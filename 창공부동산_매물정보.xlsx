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'주택매물'!$A$1:$AA$617</definedName>
    <definedName name="_xlnm._FilterDatabase" localSheetId="2" hidden="1">'토지매물'!$A$1:$V$1844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250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1.7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HYPERLINK("https://fin.land.naver.com/articles/2650916208",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5870</v>
      </c>
      <c r="I20" s="4" t="n">
        <v>1776</v>
      </c>
      <c r="J20" s="5" t="n">
        <v>337.8</v>
      </c>
      <c r="K20" s="4" t="n">
        <v>2714</v>
      </c>
      <c r="L20" s="4" t="n">
        <v>821</v>
      </c>
      <c r="M20" s="5" t="n">
        <v>730.8</v>
      </c>
      <c r="N20" s="3" t="inlineStr">
        <is>
          <t>3</t>
        </is>
      </c>
      <c r="O20" s="3" t="inlineStr">
        <is>
          <t>-</t>
        </is>
      </c>
      <c r="P20" s="3" t="inlineStr">
        <is>
          <t>청주 하이테크밸리에 위치한 저렴한 공장 매물, 4차선도로 인접</t>
        </is>
      </c>
      <c r="Q20" s="6">
        <f>HYPERLINK("https://fin.land.naver.com/articles/2649111226",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골든타임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390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2.3</v>
      </c>
      <c r="N29" s="3" t="inlineStr">
        <is>
          <t>1</t>
        </is>
      </c>
      <c r="O29" s="3" t="inlineStr">
        <is>
          <t>-</t>
        </is>
      </c>
      <c r="P29" s="3" t="inlineStr">
        <is>
          <t>사진有 공장 임대</t>
        </is>
      </c>
      <c r="Q29" s="6">
        <f>HYPERLINK("https://fin.land.naver.com/articles/2652988625",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월드</t>
        </is>
      </c>
      <c r="U29" s="4" t="n">
        <v>3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HYPERLINK("https://fin.land.naver.com/articles/2651673597",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HYPERLINK("https://fin.land.naver.com/articles/2652590762",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150</v>
      </c>
      <c r="H45" s="4" t="n">
        <v>2284</v>
      </c>
      <c r="I45" s="4" t="n">
        <v>691</v>
      </c>
      <c r="J45" s="5" t="n">
        <v>0.2</v>
      </c>
      <c r="K45" s="4" t="n">
        <v>199</v>
      </c>
      <c r="L45" s="4" t="n">
        <v>60</v>
      </c>
      <c r="M45" s="5" t="n">
        <v>2.5</v>
      </c>
      <c r="N45" s="3" t="inlineStr">
        <is>
          <t>1</t>
        </is>
      </c>
      <c r="O45" s="3" t="inlineStr">
        <is>
          <t>-</t>
        </is>
      </c>
      <c r="P45" s="3" t="inlineStr">
        <is>
          <t>청주 흥덕구 강내면 산단리 창고 월세</t>
        </is>
      </c>
      <c r="Q45" s="6">
        <f>HYPERLINK("https://fin.land.naver.com/articles/2648559006",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일등무소</t>
        </is>
      </c>
      <c r="U45" s="4" t="n">
        <v>1</v>
      </c>
      <c r="V45" s="5" t="n">
        <v>58.7</v>
      </c>
      <c r="W45" s="4" t="n">
        <v>2277</v>
      </c>
      <c r="X45" s="3" t="inlineStr">
        <is>
          <t>주건축물제2동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HYPERLINK("https://fin.land.naver.com/articles/2649865759",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HYPERLINK("https://fin.land.naver.com/articles/2650610429",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3</t>
        </is>
      </c>
      <c r="O66" s="3" t="inlineStr">
        <is>
          <t>-</t>
        </is>
      </c>
      <c r="P66" s="3" t="inlineStr">
        <is>
          <t>nan</t>
        </is>
      </c>
      <c r="Q66" s="6">
        <f>HYPERLINK("https://fin.land.naver.com/articles/2652510659",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365</t>
        </is>
      </c>
      <c r="U66" s="4" t="n">
        <v>4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청주,세종으로 접근성 좋은,호이스트3톤,마당넓은 야적하기 좋은 공장</t>
        </is>
      </c>
      <c r="Q72" s="6">
        <f>HYPERLINK("https://fin.land.naver.com/articles/2650346158",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대로변 위치. 입출입 편하고 대지 넓음</t>
        </is>
      </c>
      <c r="Q73" s="6">
        <f>HYPERLINK("https://fin.land.naver.com/articles/2648710367",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청주1등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대형차진입가능. 청주ic 강내산업단지인근 오송산업단지인근</t>
        </is>
      </c>
      <c r="Q79" s="6">
        <f>HYPERLINK("https://fin.land.naver.com/articles/2652759281",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인근에 위치,계획관리지역,2차선 대로변으로 접근성양호</t>
        </is>
      </c>
      <c r="Q80" s="6">
        <f>HYPERLINK("https://fin.land.naver.com/articles/2650178901",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(주)미르</t>
        </is>
      </c>
      <c r="U80" s="4" t="n">
        <v>2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1</t>
        </is>
      </c>
      <c r="O81" s="3" t="inlineStr">
        <is>
          <t>-</t>
        </is>
      </c>
      <c r="P81" s="3" t="inlineStr">
        <is>
          <t>강내 일반산업단지 인근에 위치, 2차선 대로변으로 접근성 좋음</t>
        </is>
      </c>
      <c r="Q81" s="6">
        <f>HYPERLINK("https://fin.land.naver.com/articles/2650344940",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39000</v>
      </c>
      <c r="G90" s="4" t="n">
        <v>3900</v>
      </c>
      <c r="H90" s="4" t="n">
        <v>32274</v>
      </c>
      <c r="I90" s="4" t="n">
        <v>9763</v>
      </c>
      <c r="J90" s="5" t="n">
        <v>0.4</v>
      </c>
      <c r="K90" s="4" t="n">
        <v>5223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대형창고 공장임대 즉시입주가 추가면적가능</t>
        </is>
      </c>
      <c r="Q90" s="6">
        <f>HYPERLINK("https://fin.land.naver.com/articles/2650873431",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주3동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13.0m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73500</v>
      </c>
      <c r="G91" s="4" t="n">
        <v>7350</v>
      </c>
      <c r="H91" s="4" t="n">
        <v>209096</v>
      </c>
      <c r="I91" s="4" t="n">
        <v>63252</v>
      </c>
      <c r="J91" s="5" t="n">
        <v>0.1</v>
      </c>
      <c r="K91" s="4" t="n">
        <v>9733</v>
      </c>
      <c r="L91" s="4" t="n">
        <v>2944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강내일반산업단지 인근 2차선대로변 대형공장이나 창고가능</t>
        </is>
      </c>
      <c r="Q91" s="6">
        <f>HYPERLINK("https://fin.land.naver.com/articles/2649681628",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17500</v>
      </c>
      <c r="G92" s="4" t="n">
        <v>1750</v>
      </c>
      <c r="H92" s="4" t="n">
        <v>209096</v>
      </c>
      <c r="I92" s="4" t="n">
        <v>63252</v>
      </c>
      <c r="J92" s="5" t="n">
        <v>0</v>
      </c>
      <c r="K92" s="4" t="n">
        <v>2291</v>
      </c>
      <c r="L92" s="4" t="n">
        <v>693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HYPERLINK("https://fin.land.naver.com/articles/2652988487",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주건축물제16동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8.75m</t>
        </is>
      </c>
      <c r="AC92" s="3" t="inlineStr">
        <is>
          <t>2014-04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HYPERLINK("https://fin.land.naver.com/articles/2649458983",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840</v>
      </c>
      <c r="I95" s="4" t="n">
        <v>254</v>
      </c>
      <c r="J95" s="5" t="n">
        <v>334.6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2종근생제조업이나 물류창고로 사용가능   처마고8m이상</t>
        </is>
      </c>
      <c r="Q95" s="6">
        <f>HYPERLINK("https://fin.land.naver.com/articles/2652625483",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-</t>
        </is>
      </c>
      <c r="P96" s="3" t="inlineStr">
        <is>
          <t>실사진有, 강내일반산업단지 인근, 석곡분기점, 청주IC 약 10분거리</t>
        </is>
      </c>
      <c r="Q96" s="6">
        <f>HYPERLINK("https://fin.land.naver.com/articles/2652774030",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태성</t>
        </is>
      </c>
      <c r="U96" s="4" t="n">
        <v>3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 진출입 매우 편리 임대료 좋은 깔끔한 대형창고공장 임대</t>
        </is>
      </c>
      <c r="Q104" s="6">
        <f>HYPERLINK("https://fin.land.naver.com/articles/2651036703",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HYPERLINK("https://fin.land.naver.com/articles/2647701633",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10000</v>
      </c>
      <c r="G113" s="4" t="n">
        <v>970</v>
      </c>
      <c r="H113" s="4" t="n">
        <v>3500</v>
      </c>
      <c r="I113" s="4" t="n">
        <v>1059</v>
      </c>
      <c r="J113" s="5" t="n">
        <v>0.9</v>
      </c>
      <c r="K113" s="4" t="n">
        <v>1392</v>
      </c>
      <c r="L113" s="4" t="n">
        <v>421</v>
      </c>
      <c r="M113" s="5" t="n">
        <v>2.3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HYPERLINK("https://fin.land.naver.com/articles/2649942545",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달인무소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HYPERLINK("https://fin.land.naver.com/articles/2649085167",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5013</v>
      </c>
      <c r="I130" s="4" t="n">
        <v>1516</v>
      </c>
      <c r="J130" s="5" t="n">
        <v>0.5</v>
      </c>
      <c r="K130" s="4" t="n">
        <v>1535</v>
      </c>
      <c r="L130" s="4" t="n">
        <v>464</v>
      </c>
      <c r="M130" s="5" t="n">
        <v>1.7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HYPERLINK("https://fin.land.naver.com/articles/2649991282",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공장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1847</v>
      </c>
      <c r="I133" s="4" t="n">
        <v>559</v>
      </c>
      <c r="J133" s="5" t="n">
        <v>264.8</v>
      </c>
      <c r="K133" s="4" t="n">
        <v>340</v>
      </c>
      <c r="L133" s="4" t="n">
        <v>103</v>
      </c>
      <c r="M133" s="5" t="n">
        <v>1436.9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2순환 인접, 559형의 넉넉한 부지, 103형 신축 공장</t>
        </is>
      </c>
      <c r="Q133" s="6">
        <f>HYPERLINK("https://fin.land.naver.com/articles/2651815614",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1487</v>
      </c>
      <c r="I136" s="4" t="n">
        <v>450</v>
      </c>
      <c r="J136" s="5" t="n">
        <v>0.7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청주시내에서 가까운 전용마당 넓은 신축 창고 임대</t>
        </is>
      </c>
      <c r="Q136" s="6">
        <f>HYPERLINK("https://fin.land.naver.com/articles/2651969565",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태광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416</v>
      </c>
      <c r="I139" s="4" t="n">
        <v>126</v>
      </c>
      <c r="J139" s="5" t="n">
        <v>0.6</v>
      </c>
      <c r="K139" s="4" t="n">
        <v>275</v>
      </c>
      <c r="L139" s="4" t="n">
        <v>83</v>
      </c>
      <c r="M139" s="5" t="n">
        <v>0.8</v>
      </c>
      <c r="N139" s="3" t="inlineStr">
        <is>
          <t>1</t>
        </is>
      </c>
      <c r="O139" s="3" t="inlineStr">
        <is>
          <t>-</t>
        </is>
      </c>
      <c r="P139" s="3" t="inlineStr">
        <is>
          <t>소형 창고 추천, 즉시입주 가능</t>
        </is>
      </c>
      <c r="Q139" s="6">
        <f>HYPERLINK("https://fin.land.naver.com/articles/2650388132",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산남태강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남청주ic10분 마당넓은 단독창고 1종근생 사무실있음</t>
        </is>
      </c>
      <c r="Q153" s="6">
        <f>HYPERLINK("https://fin.land.naver.com/articles/2649014498",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HYPERLINK("https://fin.land.naver.com/articles/2648851464",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5200</v>
      </c>
      <c r="G165" s="4" t="n">
        <v>520</v>
      </c>
      <c r="H165" s="4" t="n">
        <v>5147</v>
      </c>
      <c r="I165" s="4" t="n">
        <v>1557</v>
      </c>
      <c r="J165" s="5" t="n">
        <v>0.3</v>
      </c>
      <c r="K165" s="4" t="n">
        <v>745</v>
      </c>
      <c r="L165" s="4" t="n">
        <v>225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사진有 공장 임대</t>
        </is>
      </c>
      <c r="Q165" s="6">
        <f>HYPERLINK("https://fin.land.naver.com/articles/2653030443",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호이스트달린 민원소지없는 공장임대</t>
        </is>
      </c>
      <c r="Q167" s="6">
        <f>HYPERLINK("https://fin.land.naver.com/articles/2652901126",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창고의여왕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 ic 15분 2차선도로 호이스트2.8톤 설치 공장등록가능</t>
        </is>
      </c>
      <c r="Q168" s="6">
        <f>HYPERLINK("https://fin.land.naver.com/articles/2651749996",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석곡사거리 5분 남청주ic, 강서하이패스 ic 접근성 좋음</t>
        </is>
      </c>
      <c r="Q170" s="6">
        <f>HYPERLINK("https://fin.land.naver.com/articles/2651673608",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더원</t>
        </is>
      </c>
      <c r="U170" s="4" t="n">
        <v>6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HYPERLINK("https://fin.land.naver.com/articles/2648959688",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진출입 용이, 모든 대형 차량 출입 가능, 층고 11.5미터</t>
        </is>
      </c>
      <c r="Q172" s="6">
        <f>HYPERLINK("https://fin.land.naver.com/articles/2647605345",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4491</v>
      </c>
      <c r="I173" s="4" t="n">
        <v>1359</v>
      </c>
      <c r="J173" s="5" t="n">
        <v>0.5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청주ic, 남청주ic 15분 야드 넓어 야적장 필요한 업체추천</t>
        </is>
      </c>
      <c r="Q173" s="6">
        <f>HYPERLINK("https://fin.land.naver.com/articles/2649681124",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350000</v>
      </c>
      <c r="G175" s="4" t="n">
        <v>0</v>
      </c>
      <c r="H175" s="4" t="n">
        <v>4997</v>
      </c>
      <c r="I175" s="4" t="n">
        <v>1512</v>
      </c>
      <c r="J175" s="5" t="n">
        <v>231.5</v>
      </c>
      <c r="K175" s="4" t="n">
        <v>1988</v>
      </c>
      <c r="L175" s="4" t="n">
        <v>601</v>
      </c>
      <c r="M175" s="5" t="n">
        <v>582.4</v>
      </c>
      <c r="N175" s="3" t="inlineStr">
        <is>
          <t>1</t>
        </is>
      </c>
      <c r="O175" s="3" t="inlineStr">
        <is>
          <t>-</t>
        </is>
      </c>
      <c r="P175" s="3" t="inlineStr">
        <is>
          <t>산밑 한적한 위치에  공장입니다</t>
        </is>
      </c>
      <c r="Q175" s="6">
        <f>HYPERLINK("https://fin.land.naver.com/articles/2653097944",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복댕이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630</v>
      </c>
      <c r="H176" s="4" t="n">
        <v>4997</v>
      </c>
      <c r="I176" s="4" t="n">
        <v>1512</v>
      </c>
      <c r="J176" s="5" t="n">
        <v>0.4</v>
      </c>
      <c r="K176" s="4" t="n">
        <v>992</v>
      </c>
      <c r="L176" s="4" t="n">
        <v>300</v>
      </c>
      <c r="M176" s="5" t="n">
        <v>2.1</v>
      </c>
      <c r="N176" s="3" t="inlineStr">
        <is>
          <t>1</t>
        </is>
      </c>
      <c r="O176" s="3" t="inlineStr">
        <is>
          <t>-</t>
        </is>
      </c>
      <c r="P176" s="3" t="inlineStr">
        <is>
          <t>한적한 위치에 신축 공장입니다</t>
        </is>
      </c>
      <c r="Q176" s="6">
        <f>HYPERLINK("https://fin.land.naver.com/articles/2649723975",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세종청주 접근성좋은 위치 단독공장 즉시입주가능</t>
        </is>
      </c>
      <c r="Q177" s="6">
        <f>HYPERLINK("https://fin.land.naver.com/articles/2648090048",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즉시입주가능한 접근성좋은 창고</t>
        </is>
      </c>
      <c r="Q178" s="6">
        <f>HYPERLINK("https://fin.land.naver.com/articles/2650481082",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창고의여왕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단독 대형 물류창고  도크시설 완비</t>
        </is>
      </c>
      <c r="Q181" s="6">
        <f>HYPERLINK("https://fin.land.naver.com/articles/2649444653",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196</v>
      </c>
      <c r="L184" s="4" t="n">
        <v>59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즉시입주가능, 민원소지없는 2종근생제조업, 준식축급공장</t>
        </is>
      </c>
      <c r="Q184" s="6">
        <f>HYPERLINK("https://fin.land.naver.com/articles/2652908776",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186</v>
      </c>
      <c r="L185" s="4" t="n">
        <v>56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건물 56형 현재 공실 2종근생 제조업</t>
        </is>
      </c>
      <c r="Q185" s="6">
        <f>HYPERLINK("https://fin.land.naver.com/articles/2648128068",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위더스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계확관리지역 내 제2종근생 제조업소</t>
        </is>
      </c>
      <c r="Q186" s="6">
        <f>HYPERLINK("https://fin.land.naver.com/articles/2649037802",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새로이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84000</v>
      </c>
      <c r="G187" s="4" t="n">
        <v>0</v>
      </c>
      <c r="H187" s="4" t="n">
        <v>1808</v>
      </c>
      <c r="I187" s="4" t="n">
        <v>547</v>
      </c>
      <c r="J187" s="5" t="n">
        <v>153.6</v>
      </c>
      <c r="K187" s="4" t="n">
        <v>382</v>
      </c>
      <c r="L187" s="4" t="n">
        <v>116</v>
      </c>
      <c r="M187" s="5" t="n">
        <v>724.1</v>
      </c>
      <c r="N187" s="3" t="inlineStr">
        <is>
          <t>1</t>
        </is>
      </c>
      <c r="O187" s="3" t="inlineStr">
        <is>
          <t>-</t>
        </is>
      </c>
      <c r="P187" s="3" t="inlineStr">
        <is>
          <t>준신축공장으로 매매,임대 가능, 즉시입주가능</t>
        </is>
      </c>
      <c r="Q187" s="6">
        <f>HYPERLINK("https://fin.land.naver.com/articles/2649076546",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2948</v>
      </c>
      <c r="I190" s="4" t="n">
        <v>892</v>
      </c>
      <c r="J190" s="5" t="n">
        <v>157</v>
      </c>
      <c r="K190" s="4" t="n">
        <v>998</v>
      </c>
      <c r="L190" s="4" t="n">
        <v>302</v>
      </c>
      <c r="M190" s="5" t="n">
        <v>463.6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HYPERLINK("https://fin.land.naver.com/articles/2649544266",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1983</v>
      </c>
      <c r="L193" s="4" t="n">
        <v>600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준공예정인 신축창고공장 임대. 총 600형 2개동으로 사용가능</t>
        </is>
      </c>
      <c r="Q193" s="6">
        <f>HYPERLINK("https://fin.land.naver.com/articles/2648258080",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270000</v>
      </c>
      <c r="G194" s="4" t="n">
        <v>0</v>
      </c>
      <c r="H194" s="4" t="n">
        <v>5897</v>
      </c>
      <c r="I194" s="4" t="n">
        <v>1784</v>
      </c>
      <c r="J194" s="5" t="n">
        <v>151.3</v>
      </c>
      <c r="K194" s="4" t="n">
        <v>1920</v>
      </c>
      <c r="L194" s="4" t="n">
        <v>581</v>
      </c>
      <c r="M194" s="5" t="n">
        <v>464.7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신축공장 매매,청주 I.C 11분, 남청주 I.C 14분 거리 대형차진출</t>
        </is>
      </c>
      <c r="Q194" s="6">
        <f>HYPERLINK("https://fin.land.naver.com/articles/2649396587",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플러스자이합동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야드넓은 물류창고</t>
        </is>
      </c>
      <c r="Q197" s="6">
        <f>HYPERLINK("https://fin.land.naver.com/articles/2653116908",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창고의여왕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 IC 10분 대형차량 진출입 편리 렉설치 대형물류창고</t>
        </is>
      </c>
      <c r="Q199" s="6">
        <f>HYPERLINK("https://fin.land.naver.com/articles/2649061971",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재일합동사무소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1392</v>
      </c>
      <c r="L202" s="4" t="n">
        <v>421</v>
      </c>
      <c r="M202" s="5" t="n">
        <v>1.1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대형차량 진출입 편리.넉넉한 작업적재 공간</t>
        </is>
      </c>
      <c r="Q202" s="6">
        <f>HYPERLINK("https://fin.land.naver.com/articles/2649135170",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대형차랑 진출입 편리 높은층고 3단적재 가능</t>
        </is>
      </c>
      <c r="Q203" s="6">
        <f>HYPERLINK("https://fin.land.naver.com/articles/2649072312",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재일합동사무소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층고가 높아 3단 적재도 충분한 창고</t>
        </is>
      </c>
      <c r="Q204" s="6">
        <f>HYPERLINK("https://fin.land.naver.com/articles/2652900624",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9275</v>
      </c>
      <c r="I209" s="4" t="n">
        <v>2806</v>
      </c>
      <c r="J209" s="5" t="n">
        <v>188.9</v>
      </c>
      <c r="K209" s="4" t="n">
        <v>1488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청주JC인근, 대형차 진출입 양호, 층고 8.5m의 공장과 근생건물</t>
        </is>
      </c>
      <c r="Q209" s="6">
        <f>HYPERLINK("https://fin.land.naver.com/articles/2650621151",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(주)미르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7706</v>
      </c>
      <c r="I210" s="4" t="n">
        <v>2331</v>
      </c>
      <c r="J210" s="5" t="n">
        <v>227.4</v>
      </c>
      <c r="K210" s="4" t="n">
        <v>1489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HYPERLINK("https://fin.land.naver.com/articles/2650518771",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3.5KM 광고효과 좋고 저렴한 무권리 대형 냉장냉동창고</t>
        </is>
      </c>
      <c r="Q214" s="6">
        <f>HYPERLINK("https://fin.land.naver.com/articles/2648362783",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KS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인근. 저온창고 임대. 냉동 가능.</t>
        </is>
      </c>
      <c r="Q215" s="6">
        <f>HYPERLINK("https://fin.land.naver.com/articles/2647717304",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청원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4000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1층,2층 전체사용냉동창고,화물엘리베이터 有</t>
        </is>
      </c>
      <c r="Q216" s="6">
        <f>HYPERLINK("https://fin.land.naver.com/articles/2649149615",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미우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407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B1</t>
        </is>
      </c>
      <c r="P222" s="3" t="inlineStr">
        <is>
          <t>nan</t>
        </is>
      </c>
      <c r="Q222" s="6">
        <f>HYPERLINK("https://fin.land.naver.com/articles/2648087319",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지웰선우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HYPERLINK("https://fin.land.naver.com/articles/2648927106",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신축건물로 주차공간 넓음</t>
        </is>
      </c>
      <c r="Q232" s="6">
        <f>HYPERLINK("https://fin.land.naver.com/articles/2647918405",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길마루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창고, 진입로 좋음, 제2종근생 제조업소</t>
        </is>
      </c>
      <c r="Q235" s="6">
        <f>HYPERLINK("https://fin.land.naver.com/articles/2652724308",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마당넓어 차량회차 편리한 소형공장</t>
        </is>
      </c>
      <c r="Q237" s="6">
        <f>HYPERLINK("https://fin.land.naver.com/articles/2649121882",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사진 有, 2차선 대로변에서 바로 진입, 해당 건물 앞마당 단독 사용</t>
        </is>
      </c>
      <c r="Q238" s="6">
        <f>HYPERLINK("https://fin.land.naver.com/articles/2652222464",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태성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175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2.9</v>
      </c>
      <c r="N239" s="3" t="inlineStr">
        <is>
          <t>1</t>
        </is>
      </c>
      <c r="O239" s="3" t="inlineStr">
        <is>
          <t>-</t>
        </is>
      </c>
      <c r="P239" s="3" t="inlineStr">
        <is>
          <t>청주,창고,마당넓음</t>
        </is>
      </c>
      <c r="Q239" s="6">
        <f>HYPERLINK("https://fin.land.naver.com/articles/2652690964",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LBA리치아노합동사무소</t>
        </is>
      </c>
      <c r="U239" s="4" t="n">
        <v>2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실사진. 신축급 ic가까운 2종근생제조업소, 대형차량진출입용이</t>
        </is>
      </c>
      <c r="Q244" s="6">
        <f>HYPERLINK("https://fin.land.naver.com/articles/2652302730",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한아름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935</v>
      </c>
      <c r="I245" s="4" t="n">
        <v>283</v>
      </c>
      <c r="J245" s="5" t="n">
        <v>0.7</v>
      </c>
      <c r="K245" s="4" t="n">
        <v>360</v>
      </c>
      <c r="L245" s="4" t="n">
        <v>109</v>
      </c>
      <c r="M245" s="5" t="n">
        <v>1.8</v>
      </c>
      <c r="N245" s="3" t="inlineStr">
        <is>
          <t>1</t>
        </is>
      </c>
      <c r="O245" s="3" t="inlineStr">
        <is>
          <t>B2</t>
        </is>
      </c>
      <c r="P245" s="3" t="inlineStr">
        <is>
          <t>대형차량 진출입 용이, 주차 완전 편리,깨끗한 2종근생 제조업소</t>
        </is>
      </c>
      <c r="Q245" s="6">
        <f>HYPERLINK("https://fin.land.naver.com/articles/2648159964",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HYPERLINK("https://fin.land.naver.com/articles/2647696291",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HYPERLINK("https://fin.land.naver.com/articles/2650192508",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 50형 대지230형</t>
        </is>
      </c>
      <c r="Q257" s="6">
        <f>HYPERLINK("https://fin.land.naver.com/articles/2648128086",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192</v>
      </c>
      <c r="H259" s="4" t="n">
        <v>1753</v>
      </c>
      <c r="I259" s="4" t="n">
        <v>530</v>
      </c>
      <c r="J259" s="5" t="n">
        <v>0.4</v>
      </c>
      <c r="K259" s="4" t="n">
        <v>183</v>
      </c>
      <c r="L259" s="4" t="n">
        <v>55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야적공간 충분한 마당넓은 소형근생창고</t>
        </is>
      </c>
      <c r="Q259" s="6">
        <f>HYPERLINK("https://fin.land.naver.com/articles/2652023570",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창고의여왕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신축 창고, 2차선 도로 접, 대형차량 진출입 용이, 접근성 좋음</t>
        </is>
      </c>
      <c r="Q260" s="6">
        <f>HYPERLINK("https://fin.land.naver.com/articles/2650247827",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외부사진 有, 석판분기점 인근으로 3순환로 이용 편함, 마당 넓음</t>
        </is>
      </c>
      <c r="Q264" s="6">
        <f>HYPERLINK("https://fin.land.naver.com/articles/2650896451",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건물 80형 공장 창고 건물</t>
        </is>
      </c>
      <c r="Q265" s="6">
        <f>HYPERLINK("https://fin.land.naver.com/articles/2650897401",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남청주IC인근 냉장냉동 시설완비된 물류창고임대 대로변에 접함 진출입용이</t>
        </is>
      </c>
      <c r="Q270" s="6">
        <f>HYPERLINK("https://fin.land.naver.com/articles/2651986329",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태광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 5분 공장용도 현 물류창고로 사용중 입주협의</t>
        </is>
      </c>
      <c r="Q271" s="6">
        <f>HYPERLINK("https://fin.land.naver.com/articles/2650949814",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사진有 저온창고 임대</t>
        </is>
      </c>
      <c r="Q272" s="6">
        <f>HYPERLINK("https://fin.land.naver.com/articles/2653029028",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2148</v>
      </c>
      <c r="L273" s="4" t="n">
        <v>650</v>
      </c>
      <c r="M273" s="5" t="n">
        <v>2.6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냉동,냉장 설비 갖춘 대형물류창고 임대,대형차량 진출입 편리</t>
        </is>
      </c>
      <c r="Q273" s="6">
        <f>HYPERLINK("https://fin.land.naver.com/articles/2650942641",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냉장,냉동 설비된 대형물류창고, 공장 매매</t>
        </is>
      </c>
      <c r="Q274" s="6">
        <f>HYPERLINK("https://fin.land.naver.com/articles/2651981912",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남청주IC와 가까워 진출입이 용이하며, 1층 공장,연구실 3층 사무실</t>
        </is>
      </c>
      <c r="Q281" s="6">
        <f>HYPERLINK("https://fin.land.naver.com/articles/2649988952",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HYPERLINK("https://fin.land.naver.com/articles/2647746241",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남청주ic 접근성 좋은 위치 공장 기숙사 전력200kw 호이스트설치</t>
        </is>
      </c>
      <c r="Q284" s="6">
        <f>HYPERLINK("https://fin.land.naver.com/articles/2652625373",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남청주IC와 가까워 진출입이 용이한 곳,계획관리지역,호이스트2.8톤</t>
        </is>
      </c>
      <c r="Q285" s="6">
        <f>HYPERLINK("https://fin.land.naver.com/articles/2649085255",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(주)미르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500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남청주IC인근 신축대형창고공장 임대 층고높음</t>
        </is>
      </c>
      <c r="Q289" s="6">
        <f>HYPERLINK("https://fin.land.naver.com/articles/2651974388",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태광</t>
        </is>
      </c>
      <c r="U289" s="4" t="n">
        <v>2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12000</v>
      </c>
      <c r="G292" s="4" t="n">
        <v>1200</v>
      </c>
      <c r="H292" s="4" t="n">
        <v>6600</v>
      </c>
      <c r="I292" s="4" t="n">
        <v>1996</v>
      </c>
      <c r="J292" s="5" t="n">
        <v>0.6</v>
      </c>
      <c r="K292" s="4" t="n">
        <v>1451</v>
      </c>
      <c r="L292" s="4" t="n">
        <v>439</v>
      </c>
      <c r="M292" s="5" t="n">
        <v>2.7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공장 임대</t>
        </is>
      </c>
      <c r="Q292" s="6">
        <f>HYPERLINK("https://fin.land.naver.com/articles/2653029386",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사진 有, 신축 첫입주, 남청주IC 및 청남가구단지 인근</t>
        </is>
      </c>
      <c r="Q293" s="6">
        <f>HYPERLINK("https://fin.land.naver.com/articles/2650262549",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태성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400000</v>
      </c>
      <c r="G294" s="4" t="n">
        <v>0</v>
      </c>
      <c r="H294" s="4" t="n">
        <v>6600</v>
      </c>
      <c r="I294" s="4" t="n">
        <v>1996</v>
      </c>
      <c r="J294" s="5" t="n">
        <v>200.4</v>
      </c>
      <c r="K294" s="4" t="n">
        <v>1517</v>
      </c>
      <c r="L294" s="4" t="n">
        <v>459</v>
      </c>
      <c r="M294" s="5" t="n">
        <v>871.5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 깔끔한 사무실겸 숙소완비</t>
        </is>
      </c>
      <c r="Q294" s="6">
        <f>HYPERLINK("https://fin.land.naver.com/articles/2651975021",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350000</v>
      </c>
      <c r="G298" s="4" t="n">
        <v>0</v>
      </c>
      <c r="H298" s="4" t="n">
        <v>3723</v>
      </c>
      <c r="I298" s="4" t="n">
        <v>1126</v>
      </c>
      <c r="J298" s="5" t="n">
        <v>310.8</v>
      </c>
      <c r="K298" s="4" t="n">
        <v>498</v>
      </c>
      <c r="L298" s="4" t="n">
        <v>151</v>
      </c>
      <c r="M298" s="5" t="n">
        <v>2317.9</v>
      </c>
      <c r="N298" s="3" t="inlineStr">
        <is>
          <t>2</t>
        </is>
      </c>
      <c r="O298" s="3" t="inlineStr">
        <is>
          <t>-</t>
        </is>
      </c>
      <c r="P298" s="3" t="inlineStr">
        <is>
          <t>nan</t>
        </is>
      </c>
      <c r="Q298" s="6">
        <f>HYPERLINK("https://fin.land.naver.com/articles/2652938811",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이계형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300000</v>
      </c>
      <c r="G301" s="4" t="n">
        <v>0</v>
      </c>
      <c r="H301" s="4" t="n">
        <v>5120</v>
      </c>
      <c r="I301" s="4" t="n">
        <v>1549</v>
      </c>
      <c r="J301" s="5" t="n">
        <v>193.7</v>
      </c>
      <c r="K301" s="4" t="n">
        <v>2124</v>
      </c>
      <c r="L301" s="4" t="n">
        <v>643</v>
      </c>
      <c r="M301" s="5" t="n">
        <v>466.6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신탄진 대전등 접근성 좋고 전력300kw 호이스트설치</t>
        </is>
      </c>
      <c r="Q301" s="6">
        <f>HYPERLINK("https://fin.land.naver.com/articles/2648089982",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HYPERLINK("https://fin.land.naver.com/articles/2649226615",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120</v>
      </c>
      <c r="H304" s="4" t="n">
        <v>1587</v>
      </c>
      <c r="I304" s="4" t="n">
        <v>480</v>
      </c>
      <c r="J304" s="5" t="n">
        <v>0.2</v>
      </c>
      <c r="K304" s="4" t="n">
        <v>138</v>
      </c>
      <c r="L304" s="4" t="n">
        <v>42</v>
      </c>
      <c r="M304" s="5" t="n">
        <v>2.9</v>
      </c>
      <c r="N304" s="3" t="inlineStr">
        <is>
          <t>1</t>
        </is>
      </c>
      <c r="O304" s="3" t="inlineStr">
        <is>
          <t>-</t>
        </is>
      </c>
      <c r="P304" s="3" t="inlineStr">
        <is>
          <t>2차선도로접하고 마당넓은 신축소형창고 임대</t>
        </is>
      </c>
      <c r="Q304" s="6">
        <f>HYPERLINK("https://fin.land.naver.com/articles/2649683920",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3000</v>
      </c>
      <c r="G305" s="4" t="n">
        <v>220</v>
      </c>
      <c r="H305" s="4" t="n">
        <v>1587</v>
      </c>
      <c r="I305" s="4" t="n">
        <v>480</v>
      </c>
      <c r="J305" s="5" t="n">
        <v>0.5</v>
      </c>
      <c r="K305" s="4" t="n">
        <v>277</v>
      </c>
      <c r="L305" s="4" t="n">
        <v>84</v>
      </c>
      <c r="M305" s="5" t="n">
        <v>2.6</v>
      </c>
      <c r="N305" s="3" t="inlineStr">
        <is>
          <t>1</t>
        </is>
      </c>
      <c r="O305" s="3" t="inlineStr">
        <is>
          <t>-</t>
        </is>
      </c>
      <c r="P305" s="3" t="inlineStr">
        <is>
          <t>건물80형 대지큼 주차편함 소매점 창고 모두가능</t>
        </is>
      </c>
      <c r="Q305" s="6">
        <f>HYPERLINK("https://fin.land.naver.com/articles/2648516808",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진출입 매우 편리한 창고공장 임대 넓은 마당 확보. 넓은 면적가능</t>
        </is>
      </c>
      <c r="Q306" s="6">
        <f>HYPERLINK("https://fin.land.naver.com/articles/2650609474",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태광</t>
        </is>
      </c>
      <c r="U306" s="4" t="n">
        <v>2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척북삼거리 인근 2차선대로변에서 바로 진입가능</t>
        </is>
      </c>
      <c r="Q307" s="6">
        <f>HYPERLINK("https://fin.land.naver.com/articles/2649845646",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사진有.2차선도로옆,제조업소,공장,창고,식품(육)가공공장추천,</t>
        </is>
      </c>
      <c r="Q309" s="6">
        <f>HYPERLINK("https://fin.land.naver.com/articles/2648305169",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오너스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6800</v>
      </c>
      <c r="G310" s="4" t="n">
        <v>680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더 넓은 면적 가능 상세정보 확인요망</t>
        </is>
      </c>
      <c r="Q310" s="6">
        <f>HYPERLINK("https://fin.land.naver.com/articles/2650611002",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6870</v>
      </c>
      <c r="G311" s="4" t="n">
        <v>687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청주창고임대  남청주IC 인근 마당 넓은 저렴한 대형 공장창고</t>
        </is>
      </c>
      <c r="Q311" s="6">
        <f>HYPERLINK("https://fin.land.naver.com/articles/2649047840",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KS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11700</v>
      </c>
      <c r="G312" s="4" t="n">
        <v>1170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HYPERLINK("https://fin.land.naver.com/articles/2650609224",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11770</v>
      </c>
      <c r="G313" s="4" t="n">
        <v>1177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척북삼거리 인근 2차선대로변에서 바로 진입가능</t>
        </is>
      </c>
      <c r="Q313" s="6">
        <f>HYPERLINK("https://fin.land.naver.com/articles/2651592951",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제조 공장 부지.협의가능.</t>
        </is>
      </c>
      <c r="Q316" s="6">
        <f>HYPERLINK("https://fin.land.naver.com/articles/2652910166",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호반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척산삼거리 인근 마당 넓음, 2차선 대로변에서 진입</t>
        </is>
      </c>
      <c r="Q317" s="6">
        <f>HYPERLINK("https://fin.land.naver.com/articles/2649846117",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척산삼거리 인근, 도로변, 55형, 창고, 2개동사용가능, 넓은 마당</t>
        </is>
      </c>
      <c r="Q318" s="6">
        <f>HYPERLINK("https://fin.land.naver.com/articles/2650094061",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라인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HYPERLINK("https://fin.land.naver.com/articles/2649851752",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HYPERLINK("https://fin.land.naver.com/articles/2649339849",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1000</v>
      </c>
      <c r="H325" s="4" t="n">
        <v>7264</v>
      </c>
      <c r="I325" s="4" t="n">
        <v>2197</v>
      </c>
      <c r="J325" s="5" t="n">
        <v>0.5</v>
      </c>
      <c r="K325" s="4" t="n">
        <v>1337</v>
      </c>
      <c r="L325" s="4" t="n">
        <v>404</v>
      </c>
      <c r="M325" s="5" t="n">
        <v>2.5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5.3km ,넓은 야적장,  공장 창고 물류,</t>
        </is>
      </c>
      <c r="Q325" s="6">
        <f>HYPERLINK("https://fin.land.naver.com/articles/2649746971",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매매</t>
        </is>
      </c>
      <c r="F326" s="4" t="n">
        <v>400000</v>
      </c>
      <c r="G326" s="4" t="n">
        <v>0</v>
      </c>
      <c r="H326" s="4" t="n">
        <v>7264</v>
      </c>
      <c r="I326" s="4" t="n">
        <v>2197</v>
      </c>
      <c r="J326" s="5" t="n">
        <v>182.1</v>
      </c>
      <c r="K326" s="4" t="n">
        <v>1337</v>
      </c>
      <c r="L326" s="4" t="n">
        <v>404</v>
      </c>
      <c r="M326" s="5" t="n">
        <v>990.1</v>
      </c>
      <c r="N326" s="3" t="inlineStr">
        <is>
          <t>2</t>
        </is>
      </c>
      <c r="O326" s="3" t="inlineStr">
        <is>
          <t>-</t>
        </is>
      </c>
      <c r="P326" s="3" t="inlineStr">
        <is>
          <t>공장용도</t>
        </is>
      </c>
      <c r="Q326" s="6">
        <f>HYPERLINK("https://fin.land.naver.com/articles/2650638871",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 대형차 진출입 용이한 관리 잘 된 대형공장, 창고</t>
        </is>
      </c>
      <c r="Q327" s="6">
        <f>HYPERLINK("https://fin.land.naver.com/articles/2652105829",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1810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남청주 IC 인근 대형 공장, 화물 엘리베이터, 대형차 진출입 원활</t>
        </is>
      </c>
      <c r="Q328" s="6">
        <f>HYPERLINK("https://fin.land.naver.com/articles/2648836433",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대전토지로무소</t>
        </is>
      </c>
      <c r="U328" s="4" t="n">
        <v>2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1200000</v>
      </c>
      <c r="G329" s="4" t="n">
        <v>0</v>
      </c>
      <c r="H329" s="4" t="n">
        <v>3068</v>
      </c>
      <c r="I329" s="4" t="n">
        <v>928</v>
      </c>
      <c r="J329" s="5" t="n">
        <v>1293.1</v>
      </c>
      <c r="K329" s="4" t="n">
        <v>2757</v>
      </c>
      <c r="L329" s="4" t="n">
        <v>834</v>
      </c>
      <c r="M329" s="5" t="n">
        <v>1438.8</v>
      </c>
      <c r="N329" s="3" t="inlineStr">
        <is>
          <t>3</t>
        </is>
      </c>
      <c r="O329" s="3" t="inlineStr">
        <is>
          <t>B1</t>
        </is>
      </c>
      <c r="P329" s="3" t="inlineStr">
        <is>
          <t>사진有 공장 매매</t>
        </is>
      </c>
      <c r="Q329" s="6">
        <f>HYPERLINK("https://fin.land.naver.com/articles/2650520423",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월드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1812</v>
      </c>
      <c r="L330" s="4" t="n">
        <v>548</v>
      </c>
      <c r="M330" s="5" t="n">
        <v>2.2</v>
      </c>
      <c r="N330" s="3" t="inlineStr">
        <is>
          <t>3</t>
        </is>
      </c>
      <c r="O330" s="3" t="inlineStr">
        <is>
          <t>B1</t>
        </is>
      </c>
      <c r="P330" s="3" t="inlineStr">
        <is>
          <t>사진有 공장 임대</t>
        </is>
      </c>
      <c r="Q330" s="6">
        <f>HYPERLINK("https://fin.land.naver.com/articles/2653027070",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월드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1808</v>
      </c>
      <c r="L331" s="4" t="n">
        <v>547</v>
      </c>
      <c r="M331" s="5" t="n">
        <v>2.2</v>
      </c>
      <c r="N331" s="3" t="inlineStr">
        <is>
          <t>3</t>
        </is>
      </c>
      <c r="O331" s="3" t="inlineStr">
        <is>
          <t>-</t>
        </is>
      </c>
      <c r="P331" s="3" t="inlineStr">
        <is>
          <t>남청주IC인근,관리잘된 대형공장, 화물용 엘리베이터, 대형차 진입용이</t>
        </is>
      </c>
      <c r="Q331" s="6">
        <f>HYPERLINK("https://fin.land.naver.com/articles/2652109467",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(주)미르</t>
        </is>
      </c>
      <c r="U331" s="4" t="n">
        <v>1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1100000</v>
      </c>
      <c r="G332" s="4" t="n">
        <v>0</v>
      </c>
      <c r="H332" s="4" t="n">
        <v>10144</v>
      </c>
      <c r="I332" s="4" t="n">
        <v>3069</v>
      </c>
      <c r="J332" s="5" t="n">
        <v>358.4</v>
      </c>
      <c r="K332" s="4" t="n">
        <v>9117</v>
      </c>
      <c r="L332" s="4" t="n">
        <v>2758</v>
      </c>
      <c r="M332" s="5" t="n">
        <v>398.8</v>
      </c>
      <c r="N332" s="3" t="inlineStr">
        <is>
          <t>3</t>
        </is>
      </c>
      <c r="O332" s="3" t="inlineStr">
        <is>
          <t>B1</t>
        </is>
      </c>
      <c r="P332" s="3" t="inlineStr">
        <is>
          <t>남청주ic 9분거리로 고속도로 접근성 좋아 타지역으로 물류이동이 편리함</t>
        </is>
      </c>
      <c r="Q332" s="6">
        <f>HYPERLINK("https://fin.land.naver.com/articles/2652625185",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더원</t>
        </is>
      </c>
      <c r="U332" s="4" t="n">
        <v>2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HYPERLINK("https://fin.land.naver.com/articles/2649445104",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678</v>
      </c>
      <c r="L340" s="4" t="n">
        <v>205</v>
      </c>
      <c r="M340" s="5" t="n">
        <v>2</v>
      </c>
      <c r="N340" s="3" t="inlineStr">
        <is>
          <t>1</t>
        </is>
      </c>
      <c r="O340" s="3" t="inlineStr">
        <is>
          <t>-</t>
        </is>
      </c>
      <c r="P340" s="3" t="inlineStr">
        <is>
          <t>즉시 입주 가능,주차 공간 넓어 대형차량 진출입,회전 편리</t>
        </is>
      </c>
      <c r="Q340" s="6">
        <f>HYPERLINK("https://fin.land.naver.com/articles/2650939836",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678</v>
      </c>
      <c r="L341" s="4" t="n">
        <v>205</v>
      </c>
      <c r="M341" s="5" t="n">
        <v>536.6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HYPERLINK("https://fin.land.naver.com/articles/2649486296",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금맥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 척산리 창고 매매, 남청주ic 인접, 마당 넓음, 유통물류 추천</t>
        </is>
      </c>
      <c r="Q342" s="6">
        <f>HYPERLINK("https://fin.land.naver.com/articles/2652903126",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4000</v>
      </c>
      <c r="G345" s="4" t="n">
        <v>400</v>
      </c>
      <c r="H345" s="4" t="n">
        <v>1749</v>
      </c>
      <c r="I345" s="4" t="n">
        <v>529</v>
      </c>
      <c r="J345" s="5" t="n">
        <v>0.8</v>
      </c>
      <c r="K345" s="4" t="n">
        <v>678</v>
      </c>
      <c r="L345" s="4" t="n">
        <v>205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척산리 창고 월세,  마당 넓어요, 즉시입주 가능</t>
        </is>
      </c>
      <c r="Q345" s="6">
        <f>HYPERLINK("https://fin.land.naver.com/articles/2652902119",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산남태강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125000</v>
      </c>
      <c r="G346" s="4" t="n">
        <v>0</v>
      </c>
      <c r="H346" s="4" t="n">
        <v>1379</v>
      </c>
      <c r="I346" s="4" t="n">
        <v>417</v>
      </c>
      <c r="J346" s="5" t="n">
        <v>299.8</v>
      </c>
      <c r="K346" s="4" t="n">
        <v>678</v>
      </c>
      <c r="L346" s="4" t="n">
        <v>205</v>
      </c>
      <c r="M346" s="5" t="n">
        <v>609.8</v>
      </c>
      <c r="N346" s="3" t="inlineStr">
        <is>
          <t>1</t>
        </is>
      </c>
      <c r="O346" s="3" t="inlineStr">
        <is>
          <t>-</t>
        </is>
      </c>
      <c r="P346" s="3" t="inlineStr">
        <is>
          <t>건물2동을 1동으로사용</t>
        </is>
      </c>
      <c r="Q346" s="6">
        <f>HYPERLINK("https://fin.land.naver.com/articles/2649183975",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341</v>
      </c>
      <c r="L347" s="4" t="n">
        <v>103</v>
      </c>
      <c r="M347" s="5" t="n">
        <v>3.9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임대.대형차량진입가능.</t>
        </is>
      </c>
      <c r="Q347" s="6">
        <f>HYPERLINK("https://fin.land.naver.com/articles/2651304270",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700</v>
      </c>
      <c r="H348" s="4" t="n">
        <v>5582</v>
      </c>
      <c r="I348" s="4" t="n">
        <v>1689</v>
      </c>
      <c r="J348" s="5" t="n">
        <v>0.4</v>
      </c>
      <c r="K348" s="4" t="n">
        <v>2126</v>
      </c>
      <c r="L348" s="4" t="n">
        <v>643</v>
      </c>
      <c r="M348" s="5" t="n">
        <v>1.1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5km 거리. 공장. 창고.</t>
        </is>
      </c>
      <c r="Q348" s="6">
        <f>HYPERLINK("https://fin.land.naver.com/articles/2649746738",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290000</v>
      </c>
      <c r="G349" s="4" t="n">
        <v>0</v>
      </c>
      <c r="H349" s="4" t="n">
        <v>5582</v>
      </c>
      <c r="I349" s="4" t="n">
        <v>1689</v>
      </c>
      <c r="J349" s="5" t="n">
        <v>171.7</v>
      </c>
      <c r="K349" s="4" t="n">
        <v>2126</v>
      </c>
      <c r="L349" s="4" t="n">
        <v>643</v>
      </c>
      <c r="M349" s="5" t="n">
        <v>451</v>
      </c>
      <c r="N349" s="3" t="inlineStr">
        <is>
          <t>1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HYPERLINK("https://fin.land.naver.com/articles/2650638941",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80형 공장 창고</t>
        </is>
      </c>
      <c r="Q351" s="6">
        <f>HYPERLINK("https://fin.land.naver.com/articles/2649851627",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소형창고 사무실 있음 창고나 소매점가능</t>
        </is>
      </c>
      <c r="Q353" s="6">
        <f>HYPERLINK("https://fin.land.naver.com/articles/2650955465",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2</t>
        </is>
      </c>
      <c r="O355" s="3" t="inlineStr">
        <is>
          <t>-</t>
        </is>
      </c>
      <c r="P355" s="3" t="inlineStr">
        <is>
          <t>남청주 IC 5분거리 대형차량 진입 가능 제조업소 가능</t>
        </is>
      </c>
      <c r="Q355" s="6">
        <f>HYPERLINK("https://fin.land.naver.com/articles/2652470388",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미래n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시내권 접근성 좋은 위치 제조나 창고 가능</t>
        </is>
      </c>
      <c r="Q356" s="6">
        <f>HYPERLINK("https://fin.land.naver.com/articles/2652265474",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110</v>
      </c>
      <c r="H359" s="4" t="n">
        <v>1058</v>
      </c>
      <c r="I359" s="4" t="n">
        <v>320</v>
      </c>
      <c r="J359" s="5" t="n">
        <v>0.3</v>
      </c>
      <c r="K359" s="4" t="n">
        <v>189</v>
      </c>
      <c r="L359" s="4" t="n">
        <v>57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건물 55형 일반창고 35형 사무실도 있음</t>
        </is>
      </c>
      <c r="Q359" s="6">
        <f>HYPERLINK("https://fin.land.naver.com/articles/2652949730",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500</v>
      </c>
      <c r="G360" s="4" t="n">
        <v>65</v>
      </c>
      <c r="H360" s="4" t="n">
        <v>1057</v>
      </c>
      <c r="I360" s="4" t="n">
        <v>320</v>
      </c>
      <c r="J360" s="5" t="n">
        <v>0.2</v>
      </c>
      <c r="K360" s="4" t="n">
        <v>111</v>
      </c>
      <c r="L360" s="4" t="n">
        <v>34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부담없는 임대료로 사용 가능한 실용적인 창고입니다.</t>
        </is>
      </c>
      <c r="Q360" s="6">
        <f>HYPERLINK("https://fin.land.naver.com/articles/2653037551",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진천금손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남청주IC 5분거리, 대형차 진입 가능, 내부사무실있음</t>
        </is>
      </c>
      <c r="Q362" s="6">
        <f>HYPERLINK("https://fin.land.naver.com/articles/2651038278",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태성</t>
        </is>
      </c>
      <c r="U362" s="4" t="n">
        <v>3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7분거리 2종근생 창고 대형차량 진입 편리</t>
        </is>
      </c>
      <c r="Q364" s="6">
        <f>HYPERLINK("https://fin.land.naver.com/articles/2650684873",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10분안쪽 물류창고 추천</t>
        </is>
      </c>
      <c r="Q365" s="6">
        <f>HYPERLINK("https://fin.land.naver.com/articles/2651018449",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진성</t>
        </is>
      </c>
      <c r="U365" s="4" t="n">
        <v>2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남청주IC 인근 척산리, 공장 창고, 넓은마당, 임대료 조절, 즉시입주</t>
        </is>
      </c>
      <c r="Q366" s="6">
        <f>HYPERLINK("https://fin.land.naver.com/articles/2651938990",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라인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1286</v>
      </c>
      <c r="I367" s="4" t="n">
        <v>389</v>
      </c>
      <c r="J367" s="5" t="n">
        <v>0.5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1층 100형 2종근생제조업</t>
        </is>
      </c>
      <c r="Q367" s="6">
        <f>HYPERLINK("https://fin.land.naver.com/articles/2649343458",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758</v>
      </c>
      <c r="L372" s="4" t="n">
        <v>229</v>
      </c>
      <c r="M372" s="5" t="n">
        <v>1.9</v>
      </c>
      <c r="N372" s="3" t="inlineStr">
        <is>
          <t>2</t>
        </is>
      </c>
      <c r="O372" s="3" t="inlineStr">
        <is>
          <t>-</t>
        </is>
      </c>
      <c r="P372" s="3" t="inlineStr">
        <is>
          <t>접근성 편리한 부강면 공장창고임대, 대형차 출입용이</t>
        </is>
      </c>
      <c r="Q372" s="6">
        <f>HYPERLINK("https://fin.land.naver.com/articles/2650629262",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신탄진다온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493</v>
      </c>
      <c r="L373" s="4" t="n">
        <v>149</v>
      </c>
      <c r="M373" s="5" t="n">
        <v>3</v>
      </c>
      <c r="N373" s="3" t="inlineStr">
        <is>
          <t>2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HYPERLINK("https://fin.land.naver.com/articles/2648397794",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e플러스</t>
        </is>
      </c>
      <c r="U373" s="4" t="n">
        <v>1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접근성좋은 소형공장, 2차선변위치</t>
        </is>
      </c>
      <c r="Q374" s="6">
        <f>HYPERLINK("https://fin.land.naver.com/articles/2649707505",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창고의여왕</t>
        </is>
      </c>
      <c r="U374" s="4" t="n">
        <v>2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남청주ic 9분 세종 부강일반산업단지 옆 단독 소형 공장임대</t>
        </is>
      </c>
      <c r="Q377" s="6">
        <f>HYPERLINK("https://fin.land.naver.com/articles/2650873411",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더원</t>
        </is>
      </c>
      <c r="U377" s="4" t="n">
        <v>2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부강 산업단지 옆 공장 및 창고 입니다</t>
        </is>
      </c>
      <c r="Q378" s="6">
        <f>HYPERLINK("https://fin.land.naver.com/articles/2652016240",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공장 임대</t>
        </is>
      </c>
      <c r="Q379" s="6">
        <f>HYPERLINK("https://fin.land.naver.com/articles/2652988056",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세종시 층고 높은 제조업소임대 보증금3000만원 월260만원 부가세 별도</t>
        </is>
      </c>
      <c r="Q380" s="6">
        <f>HYPERLINK("https://fin.land.naver.com/articles/2647680181",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12000</v>
      </c>
      <c r="G382" s="4" t="n">
        <v>3700</v>
      </c>
      <c r="H382" s="4" t="n">
        <v>13866</v>
      </c>
      <c r="I382" s="4" t="n">
        <v>4194</v>
      </c>
      <c r="J382" s="5" t="n">
        <v>0.9</v>
      </c>
      <c r="K382" s="4" t="n">
        <v>6367</v>
      </c>
      <c r="L382" s="4" t="n">
        <v>1926</v>
      </c>
      <c r="M382" s="5" t="n">
        <v>1.9</v>
      </c>
      <c r="N382" s="3" t="inlineStr">
        <is>
          <t>1</t>
        </is>
      </c>
      <c r="O382" s="3" t="inlineStr">
        <is>
          <t>B1</t>
        </is>
      </c>
      <c r="P382" s="3" t="inlineStr">
        <is>
          <t>사진有 공장 임대</t>
        </is>
      </c>
      <c r="Q382" s="6">
        <f>HYPERLINK("https://fin.land.naver.com/articles/2652068004",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1400000</v>
      </c>
      <c r="G384" s="4" t="n">
        <v>0</v>
      </c>
      <c r="H384" s="4" t="n">
        <v>13866</v>
      </c>
      <c r="I384" s="4" t="n">
        <v>4194</v>
      </c>
      <c r="J384" s="5" t="n">
        <v>333.8</v>
      </c>
      <c r="K384" s="4" t="n">
        <v>6367</v>
      </c>
      <c r="L384" s="4" t="n">
        <v>1926</v>
      </c>
      <c r="M384" s="5" t="n">
        <v>726.9</v>
      </c>
      <c r="N384" s="3" t="inlineStr">
        <is>
          <t>1</t>
        </is>
      </c>
      <c r="O384" s="3" t="inlineStr">
        <is>
          <t>-</t>
        </is>
      </c>
      <c r="P384" s="3" t="inlineStr">
        <is>
          <t>세종 대형공장 1층 단층구조 연1926p</t>
        </is>
      </c>
      <c r="Q384" s="6">
        <f>HYPERLINK("https://fin.land.naver.com/articles/2653014661",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공장플러스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부강 산업단지 인접한 공장 및 창고 입니다</t>
        </is>
      </c>
      <c r="Q385" s="6">
        <f>HYPERLINK("https://fin.land.naver.com/articles/2652033586",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HYPERLINK("https://fin.land.naver.com/articles/2652988007",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부강산업단지 인근 야적장 넓은 공장 창고 임대</t>
        </is>
      </c>
      <c r="Q387" s="6">
        <f>HYPERLINK("https://fin.land.naver.com/articles/2652390959",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KS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층고 높고 마당 넓음, 부강산업단지 인근, 즉시입주 가능</t>
        </is>
      </c>
      <c r="Q388" s="6">
        <f>HYPERLINK("https://fin.land.naver.com/articles/2651475999",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제이</t>
        </is>
      </c>
      <c r="U388" s="4" t="n">
        <v>4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부강일반산업단지 인근 리모델링완료된 단독 공장 매매</t>
        </is>
      </c>
      <c r="Q390" s="6">
        <f>HYPERLINK("https://fin.land.naver.com/articles/2652199547",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드림사무소</t>
        </is>
      </c>
      <c r="U390" s="4" t="n">
        <v>2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2498</v>
      </c>
      <c r="I391" s="4" t="n">
        <v>756</v>
      </c>
      <c r="J391" s="5" t="n">
        <v>264.6</v>
      </c>
      <c r="K391" s="4" t="n">
        <v>755</v>
      </c>
      <c r="L391" s="4" t="n">
        <v>228</v>
      </c>
      <c r="M391" s="5" t="n">
        <v>877.2</v>
      </c>
      <c r="N391" s="3" t="inlineStr">
        <is>
          <t>2</t>
        </is>
      </c>
      <c r="O391" s="3" t="inlineStr">
        <is>
          <t>-</t>
        </is>
      </c>
      <c r="P391" s="3" t="inlineStr">
        <is>
          <t>2년전 리모델링완비, 전시판매장추천,1000여평 국유지임대가능</t>
        </is>
      </c>
      <c r="Q391" s="6">
        <f>HYPERLINK("https://fin.land.naver.com/articles/2650894474",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소소사무소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HYPERLINK("https://fin.land.naver.com/articles/2651075109",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계획관리지역 넓은 야드 층고 높은 공장임대 보1억5천 월1500 매매가능</t>
        </is>
      </c>
      <c r="Q394" s="6">
        <f>HYPERLINK("https://fin.land.naver.com/articles/2648078347",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불당대원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9566</v>
      </c>
      <c r="I395" s="4" t="n">
        <v>2894</v>
      </c>
      <c r="J395" s="5" t="n">
        <v>0.5</v>
      </c>
      <c r="K395" s="4" t="n">
        <v>1793</v>
      </c>
      <c r="L395" s="4" t="n">
        <v>542</v>
      </c>
      <c r="M395" s="5" t="n">
        <v>2.8</v>
      </c>
      <c r="N395" s="3" t="inlineStr">
        <is>
          <t>1</t>
        </is>
      </c>
      <c r="O395" s="3" t="inlineStr">
        <is>
          <t>-</t>
        </is>
      </c>
      <c r="P395" s="3" t="inlineStr">
        <is>
          <t>신탄진IC남청주IC와 중간위치, 대형차 진출입이 편리한곳,호이스트있음</t>
        </is>
      </c>
      <c r="Q395" s="6">
        <f>HYPERLINK("https://fin.land.naver.com/articles/2649085983",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남청주ic, 신탄진ic 접근성 우수 호이스트설치 전력700kw</t>
        </is>
      </c>
      <c r="Q397" s="6">
        <f>HYPERLINK("https://fin.land.naver.com/articles/2650204516",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8600</v>
      </c>
      <c r="I398" s="4" t="n">
        <v>2602</v>
      </c>
      <c r="J398" s="5" t="n">
        <v>219.1</v>
      </c>
      <c r="K398" s="4" t="n">
        <v>1793</v>
      </c>
      <c r="L398" s="4" t="n">
        <v>542</v>
      </c>
      <c r="M398" s="5" t="n">
        <v>1051.7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노호리 부지 넓은 대형공장 매매</t>
        </is>
      </c>
      <c r="Q398" s="6">
        <f>HYPERLINK("https://fin.land.naver.com/articles/2652510293",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SK랜드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사진有 공장 매매</t>
        </is>
      </c>
      <c r="Q399" s="6">
        <f>HYPERLINK("https://fin.land.naver.com/articles/2649597220",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9587</v>
      </c>
      <c r="I401" s="4" t="n">
        <v>2900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9분, 2분의 1 분할매매 가능</t>
        </is>
      </c>
      <c r="Q401" s="6">
        <f>HYPERLINK("https://fin.land.naver.com/articles/2651829026",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미더스</t>
        </is>
      </c>
      <c r="U401" s="4" t="n">
        <v>2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남청주IC에서 4분</t>
        </is>
      </c>
      <c r="Q406" s="6">
        <f>HYPERLINK("https://fin.land.naver.com/articles/2651822681",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미더스</t>
        </is>
      </c>
      <c r="U406" s="4" t="n">
        <v>3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1408</v>
      </c>
      <c r="L407" s="4" t="n">
        <v>426</v>
      </c>
      <c r="M407" s="5" t="n">
        <v>1760.6</v>
      </c>
      <c r="N407" s="3" t="inlineStr">
        <is>
          <t>2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HYPERLINK("https://fin.land.naver.com/articles/2647508713",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다온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1</t>
        </is>
      </c>
      <c r="O408" s="3" t="inlineStr">
        <is>
          <t>B1</t>
        </is>
      </c>
      <c r="P408" s="3" t="inlineStr">
        <is>
          <t>남청주IC 인근 창고, 대형차 진출입 용이</t>
        </is>
      </c>
      <c r="Q408" s="6">
        <f>HYPERLINK("https://fin.land.naver.com/articles/2649744370",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라이프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HYPERLINK("https://fin.land.naver.com/articles/2649085169",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HYPERLINK("https://fin.land.naver.com/articles/2649150131",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남청주ic 5분 거리이며 2차선도로 접한 대형물류창고 도크시설 완비</t>
        </is>
      </c>
      <c r="Q413" s="6">
        <f>HYPERLINK("https://fin.land.naver.com/articles/2648089946",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물류창고 매매</t>
        </is>
      </c>
      <c r="Q414" s="6">
        <f>HYPERLINK("https://fin.land.naver.com/articles/2649599413",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17308</v>
      </c>
      <c r="I415" s="4" t="n">
        <v>5236</v>
      </c>
      <c r="J415" s="5" t="n">
        <v>343.8</v>
      </c>
      <c r="K415" s="4" t="n">
        <v>49869</v>
      </c>
      <c r="L415" s="4" t="n">
        <v>15085</v>
      </c>
      <c r="M415" s="5" t="n">
        <v>119.3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접근성양호하며 물류전문 창고로 추천드립니다</t>
        </is>
      </c>
      <c r="Q415" s="6">
        <f>HYPERLINK("https://fin.land.naver.com/articles/2652649229",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대박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진출입편리한 남청주인근 소형창고</t>
        </is>
      </c>
      <c r="Q416" s="6">
        <f>HYPERLINK("https://fin.land.naver.com/articles/2649562576",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창고의여왕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2499</v>
      </c>
      <c r="I417" s="4" t="n">
        <v>756</v>
      </c>
      <c r="J417" s="5" t="n">
        <v>0.2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사진0, 제조업 가능하고 대형차량 진입 자유로운 창고임대</t>
        </is>
      </c>
      <c r="Q417" s="6">
        <f>HYPERLINK("https://fin.land.naver.com/articles/2649726439",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330</v>
      </c>
      <c r="I418" s="4" t="n">
        <v>100</v>
      </c>
      <c r="J418" s="5" t="n">
        <v>1.4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소형 창고 임대 대로변에 접하여 진출입 매우 용이 근생건물</t>
        </is>
      </c>
      <c r="Q418" s="6">
        <f>HYPERLINK("https://fin.land.naver.com/articles/2649200158",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2000</v>
      </c>
      <c r="G423" s="4" t="n">
        <v>245</v>
      </c>
      <c r="H423" s="4" t="n">
        <v>1326</v>
      </c>
      <c r="I423" s="4" t="n">
        <v>401</v>
      </c>
      <c r="J423" s="5" t="n">
        <v>0.6</v>
      </c>
      <c r="K423" s="4" t="n">
        <v>929</v>
      </c>
      <c r="L423" s="4" t="n">
        <v>281</v>
      </c>
      <c r="M423" s="5" t="n">
        <v>0.9</v>
      </c>
      <c r="N423" s="3" t="inlineStr">
        <is>
          <t>2</t>
        </is>
      </c>
      <c r="O423" s="3" t="inlineStr">
        <is>
          <t>-</t>
        </is>
      </c>
      <c r="P423" s="3" t="inlineStr">
        <is>
          <t>1층 창고, 2층 제조업소 각 임대 가능</t>
        </is>
      </c>
      <c r="Q423" s="6">
        <f>HYPERLINK("https://fin.land.naver.com/articles/2648014664",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어반나래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130000</v>
      </c>
      <c r="G424" s="4" t="n">
        <v>0</v>
      </c>
      <c r="H424" s="4" t="n">
        <v>1705</v>
      </c>
      <c r="I424" s="4" t="n">
        <v>516</v>
      </c>
      <c r="J424" s="5" t="n">
        <v>251.9</v>
      </c>
      <c r="K424" s="4" t="n">
        <v>929</v>
      </c>
      <c r="L424" s="4" t="n">
        <v>281</v>
      </c>
      <c r="M424" s="5" t="n">
        <v>462.6</v>
      </c>
      <c r="N424" s="3" t="inlineStr">
        <is>
          <t>2</t>
        </is>
      </c>
      <c r="O424" s="3" t="inlineStr">
        <is>
          <t>-</t>
        </is>
      </c>
      <c r="P424" s="3" t="inlineStr">
        <is>
          <t>민원 없는  남 청주 IC인근 대형차 진 출입 편리한 공장, 창고</t>
        </is>
      </c>
      <c r="Q424" s="6">
        <f>HYPERLINK("https://fin.land.naver.com/articles/2651947886",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남청주IC와가까워 대형차진출입이 용이,계획관리지역,6m 도로에접함</t>
        </is>
      </c>
      <c r="Q426" s="6">
        <f>HYPERLINK("https://fin.land.naver.com/articles/2651152338",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(주)미르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727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남청주IC약 10분거리 공장 및 창고 입니다</t>
        </is>
      </c>
      <c r="Q431" s="6">
        <f>HYPERLINK("https://fin.land.naver.com/articles/2649720688",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더행복</t>
        </is>
      </c>
      <c r="U431" s="4" t="n">
        <v>1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HYPERLINK("https://fin.land.naver.com/articles/2649682702",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HYPERLINK("https://fin.land.naver.com/articles/2648959391",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3305</v>
      </c>
      <c r="L441" s="4" t="n">
        <v>1000</v>
      </c>
      <c r="M441" s="5" t="n">
        <v>3</v>
      </c>
      <c r="N441" s="3" t="inlineStr">
        <is>
          <t>2</t>
        </is>
      </c>
      <c r="O441" s="3" t="inlineStr">
        <is>
          <t>-</t>
        </is>
      </c>
      <c r="P441" s="3" t="inlineStr">
        <is>
          <t>사진有 공장 임대</t>
        </is>
      </c>
      <c r="Q441" s="6">
        <f>HYPERLINK("https://fin.land.naver.com/articles/2653040761",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1050000</v>
      </c>
      <c r="G442" s="4" t="n">
        <v>0</v>
      </c>
      <c r="H442" s="4" t="n">
        <v>9768</v>
      </c>
      <c r="I442" s="4" t="n">
        <v>2955</v>
      </c>
      <c r="J442" s="5" t="n">
        <v>355.3</v>
      </c>
      <c r="K442" s="4" t="n">
        <v>4329</v>
      </c>
      <c r="L442" s="4" t="n">
        <v>1310</v>
      </c>
      <c r="M442" s="5" t="n">
        <v>801.5</v>
      </c>
      <c r="N442" s="3" t="inlineStr">
        <is>
          <t>2</t>
        </is>
      </c>
      <c r="O442" s="3" t="inlineStr">
        <is>
          <t>-</t>
        </is>
      </c>
      <c r="P442" s="3" t="inlineStr">
        <is>
          <t>남청주IC 10분,세종시청 20분거리,빠른 입주 가능</t>
        </is>
      </c>
      <c r="Q442" s="6">
        <f>HYPERLINK("https://fin.land.naver.com/articles/2649056345",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4329</v>
      </c>
      <c r="L443" s="4" t="n">
        <v>1310</v>
      </c>
      <c r="M443" s="5" t="n">
        <v>2.3</v>
      </c>
      <c r="N443" s="3" t="inlineStr">
        <is>
          <t>2</t>
        </is>
      </c>
      <c r="O443" s="3" t="inlineStr">
        <is>
          <t>-</t>
        </is>
      </c>
      <c r="P443" s="3" t="inlineStr">
        <is>
          <t>천평 임대,층고5m 깔끔한 공장,현재 공실로 즉시입주 가능</t>
        </is>
      </c>
      <c r="Q443" s="6">
        <f>HYPERLINK("https://fin.land.naver.com/articles/2650689887",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금화랜드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 인근 대형공장, 창고,층고 13.4m, 마당넓고 깨끗함</t>
        </is>
      </c>
      <c r="Q451" s="6">
        <f>HYPERLINK("https://fin.land.naver.com/articles/2652356797",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(주)미르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세종5생활권인근 대형공장 창고,남청주IC 10분거리 층고 13.45M</t>
        </is>
      </c>
      <c r="Q452" s="6">
        <f>HYPERLINK("https://fin.land.naver.com/articles/2652625576",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더원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행복도시 도심1분 최인접 명학산업단지 건너편 6차선도로 바로옆</t>
        </is>
      </c>
      <c r="Q453" s="6">
        <f>HYPERLINK("https://fin.land.naver.com/articles/2651087083",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세종스타</t>
        </is>
      </c>
      <c r="U453" s="4" t="n">
        <v>2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HYPERLINK("https://fin.land.naver.com/articles/2650955285",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세종땅전문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사진有 공장 매매</t>
        </is>
      </c>
      <c r="Q455" s="6">
        <f>HYPERLINK("https://fin.land.naver.com/articles/2649601039",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4000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4117</v>
      </c>
      <c r="L456" s="4" t="n">
        <v>1245</v>
      </c>
      <c r="M456" s="5" t="n">
        <v>0.3</v>
      </c>
      <c r="N456" s="3" t="inlineStr">
        <is>
          <t>2</t>
        </is>
      </c>
      <c r="O456" s="3" t="inlineStr">
        <is>
          <t>-</t>
        </is>
      </c>
      <c r="P456" s="3" t="inlineStr">
        <is>
          <t>공장 및 창고 가능, 즉시 입주 가능, 대형차 진출입 가능</t>
        </is>
      </c>
      <c r="Q456" s="6">
        <f>HYPERLINK("https://fin.land.naver.com/articles/2653062776",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주식회사 대기</t>
        </is>
      </c>
      <c r="U456" s="4" t="n">
        <v>1</v>
      </c>
      <c r="V456" s="5" t="n">
        <v>78.3</v>
      </c>
      <c r="W456" s="4" t="n">
        <v>6682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1990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3500</v>
      </c>
      <c r="G457" s="4" t="n">
        <v>240</v>
      </c>
      <c r="H457" s="4" t="n">
        <v>7015</v>
      </c>
      <c r="I457" s="4" t="n">
        <v>2122</v>
      </c>
      <c r="J457" s="5" t="n">
        <v>0.1</v>
      </c>
      <c r="K457" s="4" t="n">
        <v>4117</v>
      </c>
      <c r="L457" s="4" t="n">
        <v>1245</v>
      </c>
      <c r="M457" s="5" t="n">
        <v>0.2</v>
      </c>
      <c r="N457" s="3" t="inlineStr">
        <is>
          <t>2</t>
        </is>
      </c>
      <c r="O457" s="3" t="inlineStr">
        <is>
          <t>-</t>
        </is>
      </c>
      <c r="P457" s="3" t="inlineStr">
        <is>
          <t>공장 및 창고 가능, 즉시 입주 가능, 대형차 진출입 가능</t>
        </is>
      </c>
      <c r="Q457" s="6">
        <f>HYPERLINK("https://fin.land.naver.com/articles/2653065571",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주식회사 대기</t>
        </is>
      </c>
      <c r="U457" s="4" t="n">
        <v>1</v>
      </c>
      <c r="V457" s="5" t="n">
        <v>78.3</v>
      </c>
      <c r="W457" s="4" t="n">
        <v>6682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1990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3266</v>
      </c>
      <c r="L458" s="4" t="n">
        <v>988</v>
      </c>
      <c r="M458" s="5" t="n">
        <v>0.4</v>
      </c>
      <c r="N458" s="3" t="inlineStr">
        <is>
          <t>2</t>
        </is>
      </c>
      <c r="O458" s="3" t="inlineStr">
        <is>
          <t>B1</t>
        </is>
      </c>
      <c r="P458" s="3" t="inlineStr">
        <is>
          <t>사통팔달세종시 창고 및 공장 임대</t>
        </is>
      </c>
      <c r="Q458" s="6">
        <f>HYPERLINK("https://fin.land.naver.com/articles/2652104001",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써밋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1999-11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5677</v>
      </c>
      <c r="L460" s="4" t="n">
        <v>1717</v>
      </c>
      <c r="M460" s="5" t="n">
        <v>390.2</v>
      </c>
      <c r="N460" s="3" t="inlineStr">
        <is>
          <t>2</t>
        </is>
      </c>
      <c r="O460" s="3" t="inlineStr">
        <is>
          <t>B1</t>
        </is>
      </c>
      <c r="P460" s="3" t="inlineStr">
        <is>
          <t>사진有 공장 매매</t>
        </is>
      </c>
      <c r="Q460" s="6">
        <f>HYPERLINK("https://fin.land.naver.com/articles/2649601593",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100932</v>
      </c>
      <c r="I461" s="4" t="n">
        <v>30532</v>
      </c>
      <c r="J461" s="5" t="n">
        <v>21.9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-</t>
        </is>
      </c>
      <c r="P461" s="3" t="inlineStr">
        <is>
          <t>즉시입주 가능한 농공단지내 공장입니다</t>
        </is>
      </c>
      <c r="Q461" s="6">
        <f>HYPERLINK("https://fin.land.naver.com/articles/2649729485",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복댕이</t>
        </is>
      </c>
      <c r="U461" s="4" t="n">
        <v>2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</v>
      </c>
      <c r="I462" s="4" t="n">
        <v>3053</v>
      </c>
      <c r="J462" s="5" t="n">
        <v>219.5</v>
      </c>
      <c r="K462" s="4" t="n">
        <v>10093</v>
      </c>
      <c r="L462" s="4" t="n">
        <v>3053</v>
      </c>
      <c r="M462" s="5" t="n">
        <v>219.5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세종시 5생활권 접 산업단지  공장매매</t>
        </is>
      </c>
      <c r="Q462" s="6">
        <f>HYPERLINK("https://fin.land.naver.com/articles/2652650620",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대박</t>
        </is>
      </c>
      <c r="U462" s="4" t="n">
        <v>1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일반산업단지내 위치, 세종,대전,청주 등 중부권 공장, 창고 강추</t>
        </is>
      </c>
      <c r="Q467" s="6">
        <f>HYPERLINK("https://fin.land.naver.com/articles/2650797209",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우리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1857</v>
      </c>
      <c r="I474" s="4" t="n">
        <v>562</v>
      </c>
      <c r="J474" s="5" t="n">
        <v>0.9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전망 좋고 투자가치 높은 월하천 전망의 귀한 공장 창고 판매매장</t>
        </is>
      </c>
      <c r="Q474" s="6">
        <f>HYPERLINK("https://fin.land.naver.com/articles/2651831711",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번영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310000</v>
      </c>
      <c r="G475" s="4" t="n">
        <v>0</v>
      </c>
      <c r="H475" s="4" t="n">
        <v>1857</v>
      </c>
      <c r="I475" s="4" t="n">
        <v>562</v>
      </c>
      <c r="J475" s="5" t="n">
        <v>551.6</v>
      </c>
      <c r="K475" s="4" t="n">
        <v>1254</v>
      </c>
      <c r="L475" s="4" t="n">
        <v>379</v>
      </c>
      <c r="M475" s="5" t="n">
        <v>817.9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HYPERLINK("https://fin.land.naver.com/articles/2652571798",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1616</v>
      </c>
      <c r="I476" s="4" t="n">
        <v>489</v>
      </c>
      <c r="J476" s="5" t="n">
        <v>1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공장  임대 입니다</t>
        </is>
      </c>
      <c r="Q476" s="6">
        <f>HYPERLINK("https://fin.land.naver.com/articles/2647433809",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마니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</v>
      </c>
      <c r="G477" s="4" t="n">
        <v>180</v>
      </c>
      <c r="H477" s="4" t="n">
        <v>919</v>
      </c>
      <c r="I477" s="4" t="n">
        <v>278</v>
      </c>
      <c r="J477" s="5" t="n">
        <v>0.6</v>
      </c>
      <c r="K477" s="4" t="n">
        <v>240</v>
      </c>
      <c r="L477" s="4" t="n">
        <v>73</v>
      </c>
      <c r="M477" s="5" t="n">
        <v>2.5</v>
      </c>
      <c r="N477" s="3" t="inlineStr">
        <is>
          <t>2</t>
        </is>
      </c>
      <c r="O477" s="3" t="inlineStr">
        <is>
          <t>-</t>
        </is>
      </c>
      <c r="P477" s="3" t="inlineStr">
        <is>
          <t>조치원과 고복저수지와 연서면 국가산업단지를 연결하는 성제사거리에 입지</t>
        </is>
      </c>
      <c r="Q477" s="6">
        <f>HYPERLINK("https://fin.land.naver.com/articles/2651406061",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세종베스트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300000</v>
      </c>
      <c r="G478" s="4" t="n">
        <v>0</v>
      </c>
      <c r="H478" s="4" t="n">
        <v>1616</v>
      </c>
      <c r="I478" s="4" t="n">
        <v>489</v>
      </c>
      <c r="J478" s="5" t="n">
        <v>613.5</v>
      </c>
      <c r="K478" s="4" t="n">
        <v>1254</v>
      </c>
      <c r="L478" s="4" t="n">
        <v>379</v>
      </c>
      <c r="M478" s="5" t="n">
        <v>791.6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매매</t>
        </is>
      </c>
      <c r="Q478" s="6">
        <f>HYPERLINK("https://fin.land.naver.com/articles/2647433840",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마니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연서면 신대리 사옥 및 공장, 냉동 상온창고 총 6동 매매</t>
        </is>
      </c>
      <c r="Q480" s="6">
        <f>HYPERLINK("https://fin.land.naver.com/articles/2652165001",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뉴스카이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세종스마트국가산업단지 인근 2차선 도로변 공장 매각</t>
        </is>
      </c>
      <c r="Q481" s="6">
        <f>HYPERLINK("https://fin.land.naver.com/articles/2651693675",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청담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</v>
      </c>
      <c r="G485" s="4" t="n">
        <v>0</v>
      </c>
      <c r="H485" s="4" t="n">
        <v>3250</v>
      </c>
      <c r="I485" s="4" t="n">
        <v>983</v>
      </c>
      <c r="J485" s="5" t="n">
        <v>356.1</v>
      </c>
      <c r="K485" s="4" t="n">
        <v>1552</v>
      </c>
      <c r="L485" s="4" t="n">
        <v>469</v>
      </c>
      <c r="M485" s="5" t="n">
        <v>746.3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매매</t>
        </is>
      </c>
      <c r="Q485" s="6">
        <f>HYPERLINK("https://fin.land.naver.com/articles/2649602994",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5000</v>
      </c>
      <c r="G486" s="4" t="n">
        <v>600</v>
      </c>
      <c r="H486" s="4" t="n">
        <v>3250</v>
      </c>
      <c r="I486" s="4" t="n">
        <v>983</v>
      </c>
      <c r="J486" s="5" t="n">
        <v>0.6</v>
      </c>
      <c r="K486" s="4" t="n">
        <v>1552</v>
      </c>
      <c r="L486" s="4" t="n">
        <v>469</v>
      </c>
      <c r="M486" s="5" t="n">
        <v>1.3</v>
      </c>
      <c r="N486" s="3" t="inlineStr">
        <is>
          <t>2</t>
        </is>
      </c>
      <c r="O486" s="3" t="inlineStr">
        <is>
          <t>-</t>
        </is>
      </c>
      <c r="P486" s="3" t="inlineStr">
        <is>
          <t>사진有 공장 임대</t>
        </is>
      </c>
      <c r="Q486" s="6">
        <f>HYPERLINK("https://fin.land.naver.com/articles/2653032582",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5000</v>
      </c>
      <c r="G487" s="4" t="n">
        <v>600</v>
      </c>
      <c r="H487" s="4" t="n">
        <v>3250</v>
      </c>
      <c r="I487" s="4" t="n">
        <v>983</v>
      </c>
      <c r="J487" s="5" t="n">
        <v>0.6</v>
      </c>
      <c r="K487" s="4" t="n">
        <v>1552</v>
      </c>
      <c r="L487" s="4" t="n">
        <v>469</v>
      </c>
      <c r="M487" s="5" t="n">
        <v>1.3</v>
      </c>
      <c r="N487" s="3" t="inlineStr">
        <is>
          <t>2</t>
        </is>
      </c>
      <c r="O487" s="3" t="inlineStr">
        <is>
          <t>-</t>
        </is>
      </c>
      <c r="P487" s="3" t="inlineStr">
        <is>
          <t>호이스트, 사무동, 기숙사 있는 대형공장 아주 아주 저렴한 임대</t>
        </is>
      </c>
      <c r="Q487" s="6">
        <f>HYPERLINK("https://fin.land.naver.com/articles/2651531957",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더오름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932</v>
      </c>
      <c r="I488" s="4" t="n">
        <v>282</v>
      </c>
      <c r="J488" s="5" t="n">
        <v>0.5</v>
      </c>
      <c r="K488" s="4" t="n">
        <v>488</v>
      </c>
      <c r="L488" s="4" t="n">
        <v>148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창고월세,차량 진출입편리,창고내 지게차작업가능,주차편리,조율가능</t>
        </is>
      </c>
      <c r="Q488" s="6">
        <f>HYPERLINK("https://fin.land.naver.com/articles/2653116072",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도안우미린사랑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928</v>
      </c>
      <c r="I489" s="4" t="n">
        <v>281</v>
      </c>
      <c r="J489" s="5" t="n">
        <v>0.5</v>
      </c>
      <c r="K489" s="4" t="n">
        <v>485</v>
      </c>
      <c r="L489" s="4" t="n">
        <v>147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와촌리 창고임대 세종 초근접</t>
        </is>
      </c>
      <c r="Q489" s="6">
        <f>HYPERLINK("https://fin.land.naver.com/articles/2652499113",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엄지척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-</t>
        </is>
      </c>
      <c r="P493" s="3" t="inlineStr">
        <is>
          <t>저렴한 금액으로 대형 창고를 사용할수 있는 기회를 잡으세요</t>
        </is>
      </c>
      <c r="Q493" s="6">
        <f>HYPERLINK("https://fin.land.naver.com/articles/2651108355",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오송2단지창조</t>
        </is>
      </c>
      <c r="U493" s="4" t="n">
        <v>1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HYPERLINK("https://fin.land.naver.com/articles/2648395242",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1739</v>
      </c>
      <c r="I503" s="4" t="n">
        <v>526</v>
      </c>
      <c r="J503" s="5" t="n">
        <v>0.6</v>
      </c>
      <c r="K503" s="4" t="n">
        <v>440</v>
      </c>
      <c r="L503" s="4" t="n">
        <v>133</v>
      </c>
      <c r="M503" s="5" t="n">
        <v>2.3</v>
      </c>
      <c r="N503" s="3" t="inlineStr">
        <is>
          <t>2</t>
        </is>
      </c>
      <c r="O503" s="3" t="inlineStr">
        <is>
          <t>-</t>
        </is>
      </c>
      <c r="P503" s="3" t="inlineStr">
        <is>
          <t>오송 교차로 인근 공장.</t>
        </is>
      </c>
      <c r="Q503" s="6">
        <f>HYPERLINK("https://fin.land.naver.com/articles/2648710493",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250</v>
      </c>
      <c r="H504" s="4" t="n">
        <v>1739</v>
      </c>
      <c r="I504" s="4" t="n">
        <v>526</v>
      </c>
      <c r="J504" s="5" t="n">
        <v>0.5</v>
      </c>
      <c r="K504" s="4" t="n">
        <v>440</v>
      </c>
      <c r="L504" s="4" t="n">
        <v>133</v>
      </c>
      <c r="M504" s="5" t="n">
        <v>1.9</v>
      </c>
      <c r="N504" s="3" t="inlineStr">
        <is>
          <t>1</t>
        </is>
      </c>
      <c r="O504" s="3" t="inlineStr">
        <is>
          <t>B1</t>
        </is>
      </c>
      <c r="P504" s="3" t="inlineStr">
        <is>
          <t>공장, 창고 l 교통 편리 l 6개동 일괄 임대</t>
        </is>
      </c>
      <c r="Q504" s="6">
        <f>HYPERLINK("https://fin.land.naver.com/articles/2650437203",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에이스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999</v>
      </c>
      <c r="L510" s="4" t="n">
        <v>302</v>
      </c>
      <c r="M510" s="5" t="n">
        <v>3.3</v>
      </c>
      <c r="N510" s="3" t="inlineStr">
        <is>
          <t>2</t>
        </is>
      </c>
      <c r="O510" s="3" t="inlineStr">
        <is>
          <t>-</t>
        </is>
      </c>
      <c r="P510" s="3" t="inlineStr">
        <is>
          <t>산업단지 코너에 위치한 관리 잘 된 준신축급 공장</t>
        </is>
      </c>
      <c r="Q510" s="6">
        <f>HYPERLINK("https://fin.land.naver.com/articles/2650586118",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420000</v>
      </c>
      <c r="G511" s="4" t="n">
        <v>0</v>
      </c>
      <c r="H511" s="4" t="n">
        <v>2169</v>
      </c>
      <c r="I511" s="4" t="n">
        <v>656</v>
      </c>
      <c r="J511" s="5" t="n">
        <v>640.2</v>
      </c>
      <c r="K511" s="4" t="n">
        <v>999</v>
      </c>
      <c r="L511" s="4" t="n">
        <v>302</v>
      </c>
      <c r="M511" s="5" t="n">
        <v>1390.7</v>
      </c>
      <c r="N511" s="3" t="inlineStr">
        <is>
          <t>2</t>
        </is>
      </c>
      <c r="O511" s="3" t="inlineStr">
        <is>
          <t>-</t>
        </is>
      </c>
      <c r="P511" s="3" t="inlineStr">
        <is>
          <t>오송2산단 산업단지 코너 대로접한 신축급 공장</t>
        </is>
      </c>
      <c r="Q511" s="6">
        <f>HYPERLINK("https://fin.land.naver.com/articles/2649742642",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자이원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592</v>
      </c>
      <c r="L512" s="4" t="n">
        <v>179</v>
      </c>
      <c r="M512" s="5" t="n">
        <v>1955.3</v>
      </c>
      <c r="N512" s="3" t="inlineStr">
        <is>
          <t>1</t>
        </is>
      </c>
      <c r="O512" s="3" t="inlineStr">
        <is>
          <t>-</t>
        </is>
      </c>
      <c r="P512" s="3" t="inlineStr">
        <is>
          <t>창고부지제공, 공장 운영하기 좋은 구조 ,연구동,공장동</t>
        </is>
      </c>
      <c r="Q512" s="6">
        <f>HYPERLINK("https://fin.land.naver.com/articles/2652141929",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999</v>
      </c>
      <c r="L513" s="4" t="n">
        <v>302</v>
      </c>
      <c r="M513" s="5" t="n">
        <v>1158.9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오송2산단 의료기기업종가능 사옥형 공장으로 추천</t>
        </is>
      </c>
      <c r="Q513" s="6">
        <f>HYPERLINK("https://fin.land.naver.com/articles/2649666291",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오송바이오폴리스 산업단지 사옥형 공장 임대 입주협의</t>
        </is>
      </c>
      <c r="Q514" s="6">
        <f>HYPERLINK("https://fin.land.naver.com/articles/2650873410",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592</v>
      </c>
      <c r="L516" s="4" t="n">
        <v>179</v>
      </c>
      <c r="M516" s="5" t="n">
        <v>5.6</v>
      </c>
      <c r="N516" s="3" t="inlineStr">
        <is>
          <t>1</t>
        </is>
      </c>
      <c r="O516" s="3" t="inlineStr">
        <is>
          <t>-</t>
        </is>
      </c>
      <c r="P516" s="3" t="inlineStr">
        <is>
          <t>시설이 완벽하게 갖춰져 있는 건물,공장 월세 임대 가능한 매물입니다</t>
        </is>
      </c>
      <c r="Q516" s="6">
        <f>HYPERLINK("https://fin.land.naver.com/articles/2651110067",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오송2단지창조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HYPERLINK("https://fin.land.naver.com/articles/2649253999",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HYPERLINK("https://fin.land.naver.com/articles/2650398819",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HYPERLINK("https://fin.land.naver.com/articles/2648219901",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14761</v>
      </c>
      <c r="L522" s="4" t="n">
        <v>4465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공장 매매</t>
        </is>
      </c>
      <c r="Q522" s="6">
        <f>HYPERLINK("https://fin.land.naver.com/articles/2648235904",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5000000</v>
      </c>
      <c r="G523" s="4" t="n">
        <v>0</v>
      </c>
      <c r="H523" s="4" t="n">
        <v>10798</v>
      </c>
      <c r="I523" s="4" t="n">
        <v>3266</v>
      </c>
      <c r="J523" s="5" t="n">
        <v>1530.9</v>
      </c>
      <c r="K523" s="4" t="n">
        <v>14761</v>
      </c>
      <c r="L523" s="4" t="n">
        <v>4465</v>
      </c>
      <c r="M523" s="5" t="n">
        <v>1119.8</v>
      </c>
      <c r="N523" s="3" t="inlineStr">
        <is>
          <t>5</t>
        </is>
      </c>
      <c r="O523" s="3" t="inlineStr">
        <is>
          <t>-</t>
        </is>
      </c>
      <c r="P523" s="3" t="inlineStr">
        <is>
          <t>전층공조시설완비,바닥 유크리트마감, 신축공장,건기식,제약,화장품 추천</t>
        </is>
      </c>
      <c r="Q523" s="6">
        <f>HYPERLINK("https://fin.land.naver.com/articles/2650525742",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35000</v>
      </c>
      <c r="G524" s="4" t="n">
        <v>3500</v>
      </c>
      <c r="H524" s="4" t="n">
        <v>10798</v>
      </c>
      <c r="I524" s="4" t="n">
        <v>3266</v>
      </c>
      <c r="J524" s="5" t="n">
        <v>1.1</v>
      </c>
      <c r="K524" s="4" t="n">
        <v>3616</v>
      </c>
      <c r="L524" s="4" t="n">
        <v>1094</v>
      </c>
      <c r="M524" s="5" t="n">
        <v>3.2</v>
      </c>
      <c r="N524" s="3" t="inlineStr">
        <is>
          <t>5</t>
        </is>
      </c>
      <c r="O524" s="3" t="inlineStr">
        <is>
          <t>-</t>
        </is>
      </c>
      <c r="P524" s="3" t="inlineStr">
        <is>
          <t>3층,4층 공장, 창고 임대.전층공조시설완비,바닥 콘크리트마감, 신축</t>
        </is>
      </c>
      <c r="Q524" s="6">
        <f>HYPERLINK("https://fin.land.naver.com/articles/2648733525",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청주ic 오송ktx 10분이내 오송산업단지공장 화학업종 가능</t>
        </is>
      </c>
      <c r="Q525" s="6">
        <f>HYPERLINK("https://fin.land.naver.com/articles/2649015627",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HYPERLINK("https://fin.land.naver.com/articles/2649039082",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1476</v>
      </c>
      <c r="L528" s="4" t="n">
        <v>446</v>
      </c>
      <c r="M528" s="5" t="n">
        <v>22.4</v>
      </c>
      <c r="N528" s="3" t="inlineStr">
        <is>
          <t>5</t>
        </is>
      </c>
      <c r="O528" s="3" t="inlineStr">
        <is>
          <t>-</t>
        </is>
      </c>
      <c r="P528" s="3" t="inlineStr">
        <is>
          <t>전층공조시설완비,바닥 크리트마감, 신축공장,건기식,제약,화장품 추천</t>
        </is>
      </c>
      <c r="Q528" s="6">
        <f>HYPERLINK("https://fin.land.naver.com/articles/2650624911",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(주)미르</t>
        </is>
      </c>
      <c r="U528" s="4" t="n">
        <v>2</v>
      </c>
      <c r="V528" s="5" t="n">
        <v>74.40000000000001</v>
      </c>
      <c r="W528" s="4" t="n">
        <v>10798.4</v>
      </c>
      <c r="X528" s="3" t="inlineStr">
        <is>
          <t>부속건축물제1동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8.0m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45000</v>
      </c>
      <c r="G529" s="4" t="n">
        <v>4500</v>
      </c>
      <c r="H529" s="4" t="n">
        <v>4999</v>
      </c>
      <c r="I529" s="4" t="n">
        <v>1512</v>
      </c>
      <c r="J529" s="5" t="n">
        <v>3</v>
      </c>
      <c r="K529" s="4" t="n">
        <v>9796</v>
      </c>
      <c r="L529" s="4" t="n">
        <v>2963</v>
      </c>
      <c r="M529" s="5" t="n">
        <v>1.5</v>
      </c>
      <c r="N529" s="3" t="inlineStr">
        <is>
          <t>3</t>
        </is>
      </c>
      <c r="O529" s="3" t="inlineStr">
        <is>
          <t>-</t>
        </is>
      </c>
      <c r="P529" s="3" t="inlineStr">
        <is>
          <t>오송산단에 위치한 도로접한 공장, 사무실 및 공장 임대</t>
        </is>
      </c>
      <c r="Q529" s="6">
        <f>HYPERLINK("https://fin.land.naver.com/articles/2652357578",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HYPERLINK("https://fin.land.naver.com/articles/2647422097",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1201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150000</v>
      </c>
      <c r="H9" s="4" t="n">
        <v>0</v>
      </c>
      <c r="I9" s="4" t="n">
        <v>335</v>
      </c>
      <c r="J9" s="4" t="n">
        <v>101</v>
      </c>
      <c r="K9" s="5" t="n">
        <v>1485.1</v>
      </c>
      <c r="L9" s="4" t="n">
        <v>246</v>
      </c>
      <c r="M9" s="4" t="n">
        <v>74</v>
      </c>
      <c r="N9" s="5" t="n">
        <v>2027</v>
      </c>
      <c r="O9" s="3" t="inlineStr">
        <is>
          <t>실개천인근, 상권,학교가까운 위치최상 ,관리잘된집</t>
        </is>
      </c>
      <c r="P9" s="6">
        <f>HYPERLINK("https://fin.land.naver.com/articles/2648967623", "매물Link")</f>
        <v/>
      </c>
      <c r="Q9" s="6">
        <f>HYPERLINK("https://map.naver.com/p/search/고운동 1201", "지도Link")</f>
        <v/>
      </c>
      <c r="R9" s="6">
        <f>HYPERLINK("http://www.eum.go.kr/web/ar/lu/luLandDet.jsp?pnu=3611011200112010000&amp;isNoScr=script&amp;mode=search", "토지이음")</f>
        <v/>
      </c>
      <c r="S9" s="3" t="inlineStr">
        <is>
          <t>힐스테이트으뜸원</t>
        </is>
      </c>
      <c r="T9" s="4" t="n">
        <v>1</v>
      </c>
      <c r="U9" s="5" t="n">
        <v>308</v>
      </c>
      <c r="V9" s="4" t="n">
        <v>335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정방형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HYPERLINK("https://fin.land.naver.com/articles/2648128143",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입지 좋은 단독주택 매매, 협의입주가능</t>
        </is>
      </c>
      <c r="P11" s="6">
        <f>HYPERLINK("https://fin.land.naver.com/articles/2648120627",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130000</v>
      </c>
      <c r="H12" s="4" t="n">
        <v>0</v>
      </c>
      <c r="I12" s="4" t="n">
        <v>338</v>
      </c>
      <c r="J12" s="4" t="n">
        <v>102</v>
      </c>
      <c r="K12" s="5" t="n">
        <v>1274.5</v>
      </c>
      <c r="L12" s="4" t="n">
        <v>147</v>
      </c>
      <c r="M12" s="4" t="n">
        <v>44</v>
      </c>
      <c r="N12" s="5" t="n">
        <v>2954.5</v>
      </c>
      <c r="O12" s="3" t="inlineStr">
        <is>
          <t>nan</t>
        </is>
      </c>
      <c r="P12" s="6">
        <f>HYPERLINK("https://fin.land.naver.com/articles/2648979325", "매물Link")</f>
        <v/>
      </c>
      <c r="Q12" s="6">
        <f>HYPERLINK("https://map.naver.com/p/search/고운동 1231", "지도Link")</f>
        <v/>
      </c>
      <c r="R12" s="6">
        <f>HYPERLINK("http://www.eum.go.kr/web/ar/lu/luLandDet.jsp?pnu=3611011200112310000&amp;isNoScr=script&amp;mode=search",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338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공원조망 최상. 거실이 넓은 주택</t>
        </is>
      </c>
      <c r="P15" s="6">
        <f>HYPERLINK("https://fin.land.naver.com/articles/2652910037",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세종삼촌</t>
        </is>
      </c>
      <c r="T15" s="4" t="n">
        <v>3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HYPERLINK("https://fin.land.naver.com/articles/2647658745",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방5개, 욕실4개, 고급 단독주택, 마당넓고 카페같은 썬큰</t>
        </is>
      </c>
      <c r="P21" s="6">
        <f>HYPERLINK("https://fin.land.naver.com/articles/2648126953",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입주협의가능, 정남향, 학교인근, 방4개</t>
        </is>
      </c>
      <c r="P24" s="6">
        <f>HYPERLINK("https://fin.land.naver.com/articles/2652837282",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세종무지개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HYPERLINK("https://fin.land.naver.com/articles/2647421215",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HYPERLINK("https://fin.land.naver.com/articles/2653184611",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HYPERLINK("https://fin.land.naver.com/articles/2648979534",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nan</t>
        </is>
      </c>
      <c r="P33" s="6">
        <f>HYPERLINK("https://fin.land.naver.com/articles/2652851445",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세종삼촌</t>
        </is>
      </c>
      <c r="T33" s="4" t="n">
        <v>2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태양광, 천정이 높은 거실. 2세대 가능</t>
        </is>
      </c>
      <c r="P34" s="6">
        <f>HYPERLINK("https://fin.land.naver.com/articles/2653080532",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최무연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HYPERLINK("https://fin.land.naver.com/articles/2647692067",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초품아, 거주 만족도 높은  관리최상  매물, 협의입주</t>
        </is>
      </c>
      <c r="P45" s="6">
        <f>HYPERLINK("https://fin.land.naver.com/articles/2648366468",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2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급매,C타입,주인거주로집상태좋음.</t>
        </is>
      </c>
      <c r="P46" s="6">
        <f>HYPERLINK("https://fin.land.naver.com/articles/2653085610",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세종황소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명성공인, 온빛초품아, 시스템에어컨, 남향 추천 매물</t>
        </is>
      </c>
      <c r="P47" s="6">
        <f>HYPERLINK("https://fin.land.naver.com/articles/2652725079",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명성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입지좋은 타운하우스매매, C타입, 온빛초, 정남향</t>
        </is>
      </c>
      <c r="P48" s="6">
        <f>HYPERLINK("https://fin.land.naver.com/articles/2648836117",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131400</v>
      </c>
      <c r="H54" s="4" t="n">
        <v>0</v>
      </c>
      <c r="I54" s="4" t="n">
        <v>370</v>
      </c>
      <c r="J54" s="4" t="n">
        <v>112</v>
      </c>
      <c r="K54" s="5" t="n">
        <v>1173.2</v>
      </c>
      <c r="L54" s="4" t="n">
        <v>224</v>
      </c>
      <c r="M54" s="4" t="n">
        <v>68</v>
      </c>
      <c r="N54" s="5" t="n">
        <v>1932.4</v>
      </c>
      <c r="O54" s="3" t="inlineStr">
        <is>
          <t>아르티엠 더블랙 선임대 완료 급매</t>
        </is>
      </c>
      <c r="P54" s="6">
        <f>HYPERLINK("https://fin.land.naver.com/articles/2651673423",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프라이빗 코너 호수의 완벽한 유럽풍 라이프</t>
        </is>
      </c>
      <c r="P55" s="6">
        <f>HYPERLINK("https://fin.land.naver.com/articles/2648068359",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입지좋은 타운하우스매매, A타입, 온빛초, 정남향</t>
        </is>
      </c>
      <c r="P56" s="6">
        <f>HYPERLINK("https://fin.land.naver.com/articles/2652815452",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335</v>
      </c>
      <c r="J57" s="4" t="n">
        <v>101</v>
      </c>
      <c r="K57" s="5" t="n">
        <v>1584.2</v>
      </c>
      <c r="L57" s="4" t="n">
        <v>253</v>
      </c>
      <c r="M57" s="4" t="n">
        <v>77</v>
      </c>
      <c r="N57" s="5" t="n">
        <v>2077.9</v>
      </c>
      <c r="O57" s="3" t="inlineStr">
        <is>
          <t>프라이빗한 정원,  인네리어</t>
        </is>
      </c>
      <c r="P57" s="6">
        <f>HYPERLINK("https://fin.land.naver.com/articles/2649457044",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A타입 타운하우스매매, 입지 굿, 학교 인접, 협의입주</t>
        </is>
      </c>
      <c r="P59" s="6">
        <f>HYPERLINK("https://fin.land.naver.com/articles/2648903592",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127600</v>
      </c>
      <c r="H60" s="4" t="n">
        <v>0</v>
      </c>
      <c r="I60" s="4" t="n">
        <v>356</v>
      </c>
      <c r="J60" s="4" t="n">
        <v>108</v>
      </c>
      <c r="K60" s="5" t="n">
        <v>1181.5</v>
      </c>
      <c r="L60" s="4" t="n">
        <v>224</v>
      </c>
      <c r="M60" s="4" t="n">
        <v>68</v>
      </c>
      <c r="N60" s="5" t="n">
        <v>1876.5</v>
      </c>
      <c r="O60" s="3" t="inlineStr">
        <is>
          <t>아르티엠 더블랙 선임대 완료 급매</t>
        </is>
      </c>
      <c r="P60" s="6">
        <f>HYPERLINK("https://fin.land.naver.com/articles/2651673384",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127600</v>
      </c>
      <c r="H61" s="4" t="n">
        <v>0</v>
      </c>
      <c r="I61" s="4" t="n">
        <v>353</v>
      </c>
      <c r="J61" s="4" t="n">
        <v>107</v>
      </c>
      <c r="K61" s="5" t="n">
        <v>1192.5</v>
      </c>
      <c r="L61" s="4" t="n">
        <v>224</v>
      </c>
      <c r="M61" s="4" t="n">
        <v>68</v>
      </c>
      <c r="N61" s="5" t="n">
        <v>1876.5</v>
      </c>
      <c r="O61" s="3" t="inlineStr">
        <is>
          <t>아르티엠 더블랙 선임대 완료 급매</t>
        </is>
      </c>
      <c r="P61" s="6">
        <f>HYPERLINK("https://fin.land.naver.com/articles/2650887284",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파크힐즈 신축급 방4개 욕실3개 전세9억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2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90000</v>
      </c>
      <c r="H64" s="4" t="n">
        <v>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1551.7</v>
      </c>
      <c r="O64" s="3" t="inlineStr">
        <is>
          <t>신축급 파크힐즈주택 방4개 욕실3개 월세가능 보5억200</t>
        </is>
      </c>
      <c r="P64" s="6">
        <f>HYPERLINK("https://fin.land.naver.com/articles/2649480243",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급매가격조율지하 멀티룸과 성큰 테라스를 품은 명품 한옥 매매</t>
        </is>
      </c>
      <c r="P65" s="6">
        <f>HYPERLINK("https://fin.land.naver.com/articles/2649492619",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찬스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HYPERLINK("https://fin.land.naver.com/articles/2647443569",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HYPERLINK("https://fin.land.naver.com/articles/2647658719",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전통미 멋스럽고 고즈넉한 한옥 단독 주택 매매. 지하층설계까지 꼼꼼한 집</t>
        </is>
      </c>
      <c r="P68" s="6">
        <f>HYPERLINK("https://fin.land.naver.com/articles/2651959052",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세종올리브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희소성 높은 한옥 매매, 학군과 입지 좋은 위치</t>
        </is>
      </c>
      <c r="P72" s="6">
        <f>HYPERLINK("https://fin.land.naver.com/articles/2650893231",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HYPERLINK("https://fin.land.naver.com/articles/2647883401",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추천급매 I 고운동  타운하우스 리치먼드힐1차 귀한매물 I 잔금협의</t>
        </is>
      </c>
      <c r="P76" s="6">
        <f>HYPERLINK("https://fin.land.naver.com/articles/2653180419",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141</v>
      </c>
      <c r="J79" s="4" t="n">
        <v>43</v>
      </c>
      <c r="K79" s="5" t="n">
        <v>1855.8</v>
      </c>
      <c r="L79" s="4" t="n">
        <v>141</v>
      </c>
      <c r="M79" s="4" t="n">
        <v>43</v>
      </c>
      <c r="N79" s="5" t="n">
        <v>1855.8</v>
      </c>
      <c r="O79" s="3" t="inlineStr">
        <is>
          <t>고운동 단독주택 급매, 정원, 다락, 금액조절가능</t>
        </is>
      </c>
      <c r="P79" s="6">
        <f>HYPERLINK("https://fin.land.naver.com/articles/2651472215",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세대내 엘리베이터 있는 단독세대, 고급 타운하우스, 월세도가능 ,즉시입주</t>
        </is>
      </c>
      <c r="P81" s="6">
        <f>HYPERLINK("https://fin.land.naver.com/articles/2649446076",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힐스테이트으뜸원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단독</t>
        </is>
      </c>
      <c r="F82" s="3" t="inlineStr">
        <is>
          <t>매매</t>
        </is>
      </c>
      <c r="G82" s="4" t="n">
        <v>115000</v>
      </c>
      <c r="H82" s="4" t="n">
        <v>0</v>
      </c>
      <c r="I82" s="4" t="n">
        <v>287</v>
      </c>
      <c r="J82" s="4" t="n">
        <v>87</v>
      </c>
      <c r="K82" s="5" t="n">
        <v>1321.8</v>
      </c>
      <c r="L82" s="4" t="n">
        <v>197</v>
      </c>
      <c r="M82" s="4" t="n">
        <v>60</v>
      </c>
      <c r="N82" s="5" t="n">
        <v>1916.7</v>
      </c>
      <c r="O82" s="3" t="inlineStr">
        <is>
          <t>타운하우스,  협의가능, 테라스 넓은 다락방</t>
        </is>
      </c>
      <c r="P82" s="6">
        <f>HYPERLINK("https://fin.land.naver.com/articles/2648901530",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리치먼드힐1타운하우스매매 관리상태좋아요. 입주협의</t>
        </is>
      </c>
      <c r="P83" s="6">
        <f>HYPERLINK("https://fin.land.naver.com/articles/2647776280",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새롬스마트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전원주택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289</v>
      </c>
      <c r="J85" s="4" t="n">
        <v>87</v>
      </c>
      <c r="K85" s="5" t="n">
        <v>917.2</v>
      </c>
      <c r="L85" s="4" t="n">
        <v>15314</v>
      </c>
      <c r="M85" s="4" t="n">
        <v>4632</v>
      </c>
      <c r="N85" s="5" t="n">
        <v>17.2</v>
      </c>
      <c r="O85" s="3" t="inlineStr">
        <is>
          <t>급매,리치먼드힐1차,타운하우스, 테라스,복층</t>
        </is>
      </c>
      <c r="P85" s="6">
        <f>HYPERLINK("https://fin.land.naver.com/articles/2650403741",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확실한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전원주택</t>
        </is>
      </c>
      <c r="F86" s="3" t="inlineStr">
        <is>
          <t>전세</t>
        </is>
      </c>
      <c r="G86" s="4" t="n">
        <v>47000</v>
      </c>
      <c r="H86" s="4" t="n">
        <v>0</v>
      </c>
      <c r="I86" s="4" t="n">
        <v>15314</v>
      </c>
      <c r="J86" s="4" t="n">
        <v>4632</v>
      </c>
      <c r="K86" s="5" t="n">
        <v>10.1</v>
      </c>
      <c r="L86" s="4" t="n">
        <v>181</v>
      </c>
      <c r="M86" s="4" t="n">
        <v>55</v>
      </c>
      <c r="N86" s="5" t="n">
        <v>854.5</v>
      </c>
      <c r="O86" s="3" t="inlineStr">
        <is>
          <t>리치먼드힐1차,타운하우스, 테라스,복층,</t>
        </is>
      </c>
      <c r="P86" s="6">
        <f>HYPERLINK("https://fin.land.naver.com/articles/2650406710",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확실한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15314</v>
      </c>
      <c r="J89" s="4" t="n">
        <v>4632</v>
      </c>
      <c r="K89" s="5" t="n">
        <v>38.9</v>
      </c>
      <c r="L89" s="4" t="n">
        <v>374</v>
      </c>
      <c r="M89" s="4" t="n">
        <v>113</v>
      </c>
      <c r="N89" s="5" t="n">
        <v>1592.9</v>
      </c>
      <c r="O89" s="3" t="inlineStr">
        <is>
          <t>고운동타운하우스 엘리베이터0 층별독립 공간과 프라이빗한 라이프스타일</t>
        </is>
      </c>
      <c r="P89" s="6">
        <f>HYPERLINK("https://fin.land.naver.com/articles/2650507306",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고운동리치세종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월세</t>
        </is>
      </c>
      <c r="G90" s="4" t="n">
        <v>50000</v>
      </c>
      <c r="H90" s="4" t="n">
        <v>350</v>
      </c>
      <c r="I90" s="4" t="n">
        <v>0</v>
      </c>
      <c r="J90" s="4" t="n">
        <v>0</v>
      </c>
      <c r="K90" s="5" t="n">
        <v>0</v>
      </c>
      <c r="L90" s="4" t="n">
        <v>405</v>
      </c>
      <c r="M90" s="4" t="n">
        <v>123</v>
      </c>
      <c r="N90" s="5" t="n">
        <v>2.8</v>
      </c>
      <c r="O90" s="3" t="inlineStr">
        <is>
          <t>엘리베이터 있는 3층 타운하우스,공기좋고 조용한곳 찿으시는 분께 추천</t>
        </is>
      </c>
      <c r="P90" s="6">
        <f>HYPERLINK("https://fin.land.naver.com/articles/2651126636",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세종대승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1</t>
        </is>
      </c>
      <c r="E91" s="3" t="inlineStr">
        <is>
          <t>단독</t>
        </is>
      </c>
      <c r="F91" s="3" t="inlineStr">
        <is>
          <t>전세</t>
        </is>
      </c>
      <c r="G91" s="4" t="n">
        <v>47000</v>
      </c>
      <c r="H91" s="4" t="n">
        <v>0</v>
      </c>
      <c r="I91" s="4" t="n">
        <v>194</v>
      </c>
      <c r="J91" s="4" t="n">
        <v>59</v>
      </c>
      <c r="K91" s="5" t="n">
        <v>796.6</v>
      </c>
      <c r="L91" s="4" t="n">
        <v>194</v>
      </c>
      <c r="M91" s="4" t="n">
        <v>59</v>
      </c>
      <c r="N91" s="5" t="n">
        <v>796.6</v>
      </c>
      <c r="O91" s="3" t="inlineStr">
        <is>
          <t>조율가능,급매, 고운동 타운하우스</t>
        </is>
      </c>
      <c r="P91" s="6">
        <f>HYPERLINK("https://fin.land.naver.com/articles/2652790063",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79800</v>
      </c>
      <c r="H92" s="4" t="n">
        <v>0</v>
      </c>
      <c r="I92" s="4" t="n">
        <v>15314</v>
      </c>
      <c r="J92" s="4" t="n">
        <v>4632</v>
      </c>
      <c r="K92" s="5" t="n">
        <v>17.2</v>
      </c>
      <c r="L92" s="4" t="n">
        <v>141</v>
      </c>
      <c r="M92" s="4" t="n">
        <v>43</v>
      </c>
      <c r="N92" s="5" t="n">
        <v>1855.8</v>
      </c>
      <c r="O92" s="3" t="inlineStr">
        <is>
          <t>nan</t>
        </is>
      </c>
      <c r="P92" s="6">
        <f>HYPERLINK("https://fin.land.naver.com/articles/2653118606",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다정가온TOP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전세</t>
        </is>
      </c>
      <c r="G93" s="4" t="n">
        <v>47000</v>
      </c>
      <c r="H93" s="4" t="n">
        <v>0</v>
      </c>
      <c r="I93" s="4" t="n">
        <v>0</v>
      </c>
      <c r="J93" s="4" t="n">
        <v>0</v>
      </c>
      <c r="K93" s="5" t="n">
        <v>0</v>
      </c>
      <c r="L93" s="4" t="n">
        <v>141</v>
      </c>
      <c r="M93" s="4" t="n">
        <v>43</v>
      </c>
      <c r="N93" s="5" t="n">
        <v>1093</v>
      </c>
      <c r="O93" s="3" t="inlineStr">
        <is>
          <t>e루다 융유,리치먼드1차,협의입주,탄력적조율,테라스,마당,복층,다락</t>
        </is>
      </c>
      <c r="P93" s="6">
        <f>HYPERLINK("https://fin.land.naver.com/articles/2649834412",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이루다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전세</t>
        </is>
      </c>
      <c r="G94" s="4" t="n">
        <v>48000</v>
      </c>
      <c r="H94" s="4" t="n">
        <v>0</v>
      </c>
      <c r="I94" s="4" t="n">
        <v>141</v>
      </c>
      <c r="J94" s="4" t="n">
        <v>43</v>
      </c>
      <c r="K94" s="5" t="n">
        <v>1116.3</v>
      </c>
      <c r="L94" s="4" t="n">
        <v>141</v>
      </c>
      <c r="M94" s="4" t="n">
        <v>43</v>
      </c>
      <c r="N94" s="5" t="n">
        <v>1116.3</v>
      </c>
      <c r="O94" s="3" t="inlineStr">
        <is>
          <t>세종백화, 에어컨4, 오븐, 인덕션1, 하이라이트1, 금액조정 가능</t>
        </is>
      </c>
      <c r="P94" s="6">
        <f>HYPERLINK("https://fin.land.naver.com/articles/2651471708",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이즈 세종백화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286</v>
      </c>
      <c r="J105" s="4" t="n">
        <v>87</v>
      </c>
      <c r="K105" s="5" t="n">
        <v>1379.3</v>
      </c>
      <c r="L105" s="4" t="n">
        <v>196</v>
      </c>
      <c r="M105" s="4" t="n">
        <v>59</v>
      </c>
      <c r="N105" s="5" t="n">
        <v>2033.9</v>
      </c>
      <c r="O105" s="3" t="inlineStr">
        <is>
          <t>nan</t>
        </is>
      </c>
      <c r="P105" s="6">
        <f>HYPERLINK("https://fin.land.naver.com/articles/2650653657",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102000</v>
      </c>
      <c r="H107" s="4" t="n">
        <v>0</v>
      </c>
      <c r="I107" s="4" t="n">
        <v>299</v>
      </c>
      <c r="J107" s="4" t="n">
        <v>90</v>
      </c>
      <c r="K107" s="5" t="n">
        <v>1133.3</v>
      </c>
      <c r="L107" s="4" t="n">
        <v>171</v>
      </c>
      <c r="M107" s="4" t="n">
        <v>52</v>
      </c>
      <c r="N107" s="5" t="n">
        <v>1961.5</v>
      </c>
      <c r="O107" s="3" t="inlineStr">
        <is>
          <t>마이너스 급매 추천매물. 전세끼고매매</t>
        </is>
      </c>
      <c r="P107" s="6">
        <f>HYPERLINK("https://fin.land.naver.com/articles/2649777229",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세종올리브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105000</v>
      </c>
      <c r="H108" s="4" t="n">
        <v>0</v>
      </c>
      <c r="I108" s="4" t="n">
        <v>299</v>
      </c>
      <c r="J108" s="4" t="n">
        <v>90</v>
      </c>
      <c r="K108" s="5" t="n">
        <v>1166.7</v>
      </c>
      <c r="L108" s="4" t="n">
        <v>171</v>
      </c>
      <c r="M108" s="4" t="n">
        <v>52</v>
      </c>
      <c r="N108" s="5" t="n">
        <v>2019.2</v>
      </c>
      <c r="O108" s="3" t="inlineStr">
        <is>
          <t>급매 마피 신축 첫입주 추가조율협의가능</t>
        </is>
      </c>
      <c r="P108" s="6">
        <f>HYPERLINK("https://fin.land.naver.com/articles/2652943442",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방3개, 화장실3개, 협의입주가능</t>
        </is>
      </c>
      <c r="P109" s="6">
        <f>HYPERLINK("https://fin.land.naver.com/articles/2649871083",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월세</t>
        </is>
      </c>
      <c r="G110" s="4" t="n">
        <v>5000</v>
      </c>
      <c r="H110" s="4" t="n">
        <v>300</v>
      </c>
      <c r="I110" s="4" t="n">
        <v>196</v>
      </c>
      <c r="J110" s="4" t="n">
        <v>59</v>
      </c>
      <c r="K110" s="5" t="n">
        <v>5.1</v>
      </c>
      <c r="L110" s="4" t="n">
        <v>196</v>
      </c>
      <c r="M110" s="4" t="n">
        <v>59</v>
      </c>
      <c r="N110" s="5" t="n">
        <v>5.1</v>
      </c>
      <c r="O110" s="3" t="inlineStr">
        <is>
          <t>귀한 타운하우스 월세, 협의입주</t>
        </is>
      </c>
      <c r="P110" s="6">
        <f>HYPERLINK("https://fin.land.naver.com/articles/2649591373",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매매추천합니다,</t>
        </is>
      </c>
      <c r="P112" s="6">
        <f>HYPERLINK("https://fin.land.naver.com/articles/2648837063",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200000</v>
      </c>
      <c r="H115" s="4" t="n">
        <v>0</v>
      </c>
      <c r="I115" s="4" t="n">
        <v>356</v>
      </c>
      <c r="J115" s="4" t="n">
        <v>108</v>
      </c>
      <c r="K115" s="5" t="n">
        <v>1851.9</v>
      </c>
      <c r="L115" s="4" t="n">
        <v>196</v>
      </c>
      <c r="M115" s="4" t="n">
        <v>59</v>
      </c>
      <c r="N115" s="5" t="n">
        <v>3389.8</v>
      </c>
      <c r="O115" s="3" t="inlineStr">
        <is>
          <t>고급인테리어 단독주택, 주차4대, 태양광, 실평수 86p</t>
        </is>
      </c>
      <c r="P115" s="6">
        <f>HYPERLINK("https://fin.land.naver.com/articles/2652503459",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조율가능 판교급 하이엔드 럭셔리주택 프라이빗한설계 자재최상 창호최상급</t>
        </is>
      </c>
      <c r="P116" s="6">
        <f>HYPERLINK("https://fin.land.naver.com/articles/2652917993",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루프탑, 테라스2개,  도심속의 전원생활을 누릴수있는 단독주택, 협의입주</t>
        </is>
      </c>
      <c r="P125" s="6">
        <f>HYPERLINK("https://fin.land.naver.com/articles/2647779682",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Home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조율가능 넓은공원접한위치 테라스 조망최상</t>
        </is>
      </c>
      <c r="P126" s="6">
        <f>HYPERLINK("https://fin.land.naver.com/articles/2651086326",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세종스타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178000</v>
      </c>
      <c r="H127" s="4" t="n">
        <v>0</v>
      </c>
      <c r="I127" s="4" t="n">
        <v>304</v>
      </c>
      <c r="J127" s="4" t="n">
        <v>92</v>
      </c>
      <c r="K127" s="5" t="n">
        <v>1934.8</v>
      </c>
      <c r="L127" s="4" t="n">
        <v>176</v>
      </c>
      <c r="M127" s="4" t="n">
        <v>53</v>
      </c>
      <c r="N127" s="5" t="n">
        <v>3358.5</v>
      </c>
      <c r="O127" s="3" t="inlineStr">
        <is>
          <t>생명나무,모던한주택 예뻐요 . 협의입주.공원산책로 좋아요</t>
        </is>
      </c>
      <c r="P127" s="6">
        <f>HYPERLINK("https://fin.land.naver.com/articles/2650738587",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생명나무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2층만,3억전세가능,2층전용출입문,다락방,테라스,방축천 충대병원 도보</t>
        </is>
      </c>
      <c r="P131" s="6">
        <f>HYPERLINK("https://fin.land.naver.com/articles/2653270299",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태복</t>
        </is>
      </c>
      <c r="T131" s="4" t="n">
        <v>2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전용60.3p, 방4개, 화장실4개, 입지 좋은 단독주택</t>
        </is>
      </c>
      <c r="P134" s="6">
        <f>HYPERLINK("https://fin.land.naver.com/articles/2648833272",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HYPERLINK("https://fin.land.naver.com/articles/2647898031",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HYPERLINK("https://fin.land.naver.com/articles/2648380127",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넓은 마당, 정남향, 세컨하우스, 공방, 작업실 추천</t>
        </is>
      </c>
      <c r="P141" s="6">
        <f>HYPERLINK("https://fin.land.naver.com/articles/2651949513",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HYPERLINK("https://fin.land.naver.com/articles/2647945262",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nan</t>
        </is>
      </c>
      <c r="P144" s="6">
        <f>HYPERLINK("https://fin.land.naver.com/articles/2652442121",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생명나무,도담동 아담한 모듈하우스 경작가능 주말쉼터로도 좋아요</t>
        </is>
      </c>
      <c r="P145" s="6">
        <f>HYPERLINK("https://fin.land.naver.com/articles/2651373721",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생명나무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생명나무,관리최상 도담동 예쁜집 홈플러스인접 BRT도보가능</t>
        </is>
      </c>
      <c r="P146" s="6">
        <f>HYPERLINK("https://fin.land.naver.com/articles/2647474849",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생명나무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부강면 금호리 234-5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120000</v>
      </c>
      <c r="H153" s="4" t="n">
        <v>0</v>
      </c>
      <c r="I153" s="4" t="n">
        <v>939</v>
      </c>
      <c r="J153" s="4" t="n">
        <v>284</v>
      </c>
      <c r="K153" s="5" t="n">
        <v>422.5</v>
      </c>
      <c r="L153" s="4" t="n">
        <v>108</v>
      </c>
      <c r="M153" s="4" t="n">
        <v>33</v>
      </c>
      <c r="N153" s="5" t="n">
        <v>3636.4</v>
      </c>
      <c r="O153" s="3" t="inlineStr">
        <is>
          <t>카페운영 넓은정원카페와 넓은 주차장 세종시4생활권 진출입용이</t>
        </is>
      </c>
      <c r="P153" s="6">
        <f>HYPERLINK("https://fin.land.naver.com/articles/2650542038", "매물Link")</f>
        <v/>
      </c>
      <c r="Q153" s="6">
        <f>HYPERLINK("https://map.naver.com/p/search/부강면 금호리 234-5", "지도Link")</f>
        <v/>
      </c>
      <c r="R153" s="6">
        <f>HYPERLINK("http://www.eum.go.kr/web/ar/lu/luLandDet.jsp?pnu=3611033028102340005&amp;isNoScr=script&amp;mode=search", "토지이음")</f>
        <v/>
      </c>
      <c r="S153" s="3" t="inlineStr">
        <is>
          <t>한얼</t>
        </is>
      </c>
      <c r="T153" s="4" t="n">
        <v>1</v>
      </c>
      <c r="U153" s="5" t="n">
        <v>89.90000000000001</v>
      </c>
      <c r="V153" s="4" t="n">
        <v>939</v>
      </c>
      <c r="W153" s="3" t="inlineStr">
        <is>
          <t>지정되지않음</t>
        </is>
      </c>
      <c r="X153" s="3" t="inlineStr">
        <is>
          <t>주거기타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372-1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12500</v>
      </c>
      <c r="H154" s="4" t="n">
        <v>0</v>
      </c>
      <c r="I154" s="4" t="n">
        <v>205</v>
      </c>
      <c r="J154" s="4" t="n">
        <v>62</v>
      </c>
      <c r="K154" s="5" t="n">
        <v>201.6</v>
      </c>
      <c r="L154" s="4" t="n">
        <v>30</v>
      </c>
      <c r="M154" s="4" t="n">
        <v>9</v>
      </c>
      <c r="N154" s="5" t="n">
        <v>1388.9</v>
      </c>
      <c r="O154" s="3" t="inlineStr">
        <is>
          <t>탁트인 남향 금강변 소형단독주택지 리모델링 즉시입주</t>
        </is>
      </c>
      <c r="P154" s="6">
        <f>HYPERLINK("https://fin.land.naver.com/articles/2651072599", "매물Link")</f>
        <v/>
      </c>
      <c r="Q154" s="6">
        <f>HYPERLINK("https://map.naver.com/p/search/부강면 금호리 372-1", "지도Link")</f>
        <v/>
      </c>
      <c r="R154" s="6">
        <f>HYPERLINK("http://www.eum.go.kr/web/ar/lu/luLandDet.jsp?pnu=3611033028103720001&amp;isNoScr=script&amp;mode=search", "토지이음")</f>
        <v/>
      </c>
      <c r="S154" s="3" t="inlineStr">
        <is>
          <t>큰터</t>
        </is>
      </c>
      <c r="T154" s="4" t="n">
        <v>1</v>
      </c>
      <c r="U154" s="5" t="n">
        <v>75.09999999999999</v>
      </c>
      <c r="V154" s="4" t="n">
        <v>205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금강뷰가 멋진 단독주택입니다, 전원생활 가능</t>
        </is>
      </c>
      <c r="P155" s="6">
        <f>HYPERLINK("https://fin.land.naver.com/articles/2651728598",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제이</t>
        </is>
      </c>
      <c r="T155" s="4" t="n">
        <v>3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탁트인 전망 별장같은 멋진주택</t>
        </is>
      </c>
      <c r="P156" s="6">
        <f>HYPERLINK("https://fin.land.naver.com/articles/2648222638",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학사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HYPERLINK("https://fin.land.naver.com/articles/2649885848",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성성타운(041-553-3911)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HYPERLINK("https://fin.land.naver.com/articles/2650322763",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단기 가능한 분리형 원룸 베란다 굿</t>
        </is>
      </c>
      <c r="P166" s="6">
        <f>HYPERLINK("https://fin.land.naver.com/articles/2652542648",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125-4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210000</v>
      </c>
      <c r="H168" s="4" t="n">
        <v>0</v>
      </c>
      <c r="I168" s="4" t="n">
        <v>625</v>
      </c>
      <c r="J168" s="4" t="n">
        <v>189</v>
      </c>
      <c r="K168" s="5" t="n">
        <v>1111.1</v>
      </c>
      <c r="L168" s="4" t="n">
        <v>747</v>
      </c>
      <c r="M168" s="4" t="n">
        <v>226</v>
      </c>
      <c r="N168" s="5" t="n">
        <v>929.2</v>
      </c>
      <c r="O168" s="3" t="inlineStr">
        <is>
          <t>현재 공실 없으며 임대 수요가 매우 좋습니다.</t>
        </is>
      </c>
      <c r="P168" s="6">
        <f>HYPERLINK("https://fin.land.naver.com/articles/2653015196", "매물Link")</f>
        <v/>
      </c>
      <c r="Q168" s="6">
        <f>HYPERLINK("https://map.naver.com/p/search/부강면 부강리 125-4", "지도Link")</f>
        <v/>
      </c>
      <c r="R168" s="6">
        <f>HYPERLINK("http://www.eum.go.kr/web/ar/lu/luLandDet.jsp?pnu=3611033021101250004&amp;isNoScr=script&amp;mode=search", "토지이음")</f>
        <v/>
      </c>
      <c r="S168" s="3" t="inlineStr">
        <is>
          <t>진영</t>
        </is>
      </c>
      <c r="T168" s="4" t="n">
        <v>1</v>
      </c>
      <c r="U168" s="5" t="n">
        <v>196.4</v>
      </c>
      <c r="V168" s="4" t="n">
        <v>625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세로한면(가)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37</v>
      </c>
      <c r="I171" s="4" t="n">
        <v>28</v>
      </c>
      <c r="J171" s="4" t="n">
        <v>8</v>
      </c>
      <c r="K171" s="5" t="n">
        <v>4.6</v>
      </c>
      <c r="L171" s="4" t="n">
        <v>20</v>
      </c>
      <c r="M171" s="4" t="n">
        <v>6</v>
      </c>
      <c r="N171" s="5" t="n">
        <v>6.2</v>
      </c>
      <c r="O171" s="3" t="inlineStr">
        <is>
          <t>부강역 인근 풀옵션 원룸</t>
        </is>
      </c>
      <c r="P171" s="6">
        <f>HYPERLINK("https://fin.land.naver.com/articles/2652878868",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33</v>
      </c>
      <c r="I172" s="4" t="n">
        <v>23</v>
      </c>
      <c r="J172" s="4" t="n">
        <v>7</v>
      </c>
      <c r="K172" s="5" t="n">
        <v>4.7</v>
      </c>
      <c r="L172" s="4" t="n">
        <v>18</v>
      </c>
      <c r="M172" s="4" t="n">
        <v>5</v>
      </c>
      <c r="N172" s="5" t="n">
        <v>6.6</v>
      </c>
      <c r="O172" s="3" t="inlineStr">
        <is>
          <t>부강역 인근 풀옵션 소형원룸</t>
        </is>
      </c>
      <c r="P172" s="6">
        <f>HYPERLINK("https://fin.land.naver.com/articles/2652929753",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65</v>
      </c>
      <c r="I173" s="4" t="n">
        <v>55</v>
      </c>
      <c r="J173" s="4" t="n">
        <v>17</v>
      </c>
      <c r="K173" s="5" t="n">
        <v>3.8</v>
      </c>
      <c r="L173" s="4" t="n">
        <v>49</v>
      </c>
      <c r="M173" s="4" t="n">
        <v>15</v>
      </c>
      <c r="N173" s="5" t="n">
        <v>4.3</v>
      </c>
      <c r="O173" s="3" t="inlineStr">
        <is>
          <t>부강역과 중심상권 가까운 풀옵션 투룸</t>
        </is>
      </c>
      <c r="P173" s="6">
        <f>HYPERLINK("https://fin.land.naver.com/articles/2648410929",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463-10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전세</t>
        </is>
      </c>
      <c r="G174" s="4" t="n">
        <v>5000</v>
      </c>
      <c r="H174" s="4" t="n">
        <v>0</v>
      </c>
      <c r="I174" s="4" t="n">
        <v>45</v>
      </c>
      <c r="J174" s="4" t="n">
        <v>14</v>
      </c>
      <c r="K174" s="5" t="n">
        <v>357.1</v>
      </c>
      <c r="L174" s="4" t="n">
        <v>35</v>
      </c>
      <c r="M174" s="4" t="n">
        <v>11</v>
      </c>
      <c r="N174" s="5" t="n">
        <v>454.5</v>
      </c>
      <c r="O174" s="3" t="inlineStr">
        <is>
          <t>주차용이, 편의시설 초근접 1.5룸</t>
        </is>
      </c>
      <c r="P174" s="6">
        <f>HYPERLINK("https://fin.land.naver.com/articles/2652929816", "매물Link")</f>
        <v/>
      </c>
      <c r="Q174" s="6">
        <f>HYPERLINK("https://map.naver.com/p/search/부강면 부강리 463-10", "지도Link")</f>
        <v/>
      </c>
      <c r="R174" s="6">
        <f>HYPERLINK("http://www.eum.go.kr/web/ar/lu/luLandDet.jsp?pnu=3611033021104630010&amp;isNoScr=script&amp;mode=search",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212.4</v>
      </c>
      <c r="V174" s="4" t="n">
        <v>932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소로한면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300</v>
      </c>
      <c r="H175" s="4" t="n">
        <v>50</v>
      </c>
      <c r="I175" s="4" t="n">
        <v>45</v>
      </c>
      <c r="J175" s="4" t="n">
        <v>14</v>
      </c>
      <c r="K175" s="5" t="n">
        <v>3.6</v>
      </c>
      <c r="L175" s="4" t="n">
        <v>33</v>
      </c>
      <c r="M175" s="4" t="n">
        <v>10</v>
      </c>
      <c r="N175" s="5" t="n">
        <v>5</v>
      </c>
      <c r="O175" s="3" t="inlineStr">
        <is>
          <t>편의시설 초근접 풀옵션 1.5룸</t>
        </is>
      </c>
      <c r="P175" s="6">
        <f>HYPERLINK("https://fin.land.naver.com/articles/2652929725",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482-1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115000</v>
      </c>
      <c r="H176" s="4" t="n">
        <v>0</v>
      </c>
      <c r="I176" s="4" t="n">
        <v>284</v>
      </c>
      <c r="J176" s="4" t="n">
        <v>86</v>
      </c>
      <c r="K176" s="5" t="n">
        <v>1337.2</v>
      </c>
      <c r="L176" s="4" t="n">
        <v>565</v>
      </c>
      <c r="M176" s="4" t="n">
        <v>171</v>
      </c>
      <c r="N176" s="5" t="n">
        <v>672.5</v>
      </c>
      <c r="O176" s="3" t="inlineStr">
        <is>
          <t>직장인들에게 인기 있고 관리가 잘된 원룸입니다.</t>
        </is>
      </c>
      <c r="P176" s="6">
        <f>HYPERLINK("https://fin.land.naver.com/articles/2650315661", "매물Link")</f>
        <v/>
      </c>
      <c r="Q176" s="6">
        <f>HYPERLINK("https://map.naver.com/p/search/부강면 부강리 482-1", "지도Link")</f>
        <v/>
      </c>
      <c r="R176" s="6">
        <f>HYPERLINK("http://www.eum.go.kr/web/ar/lu/luLandDet.jsp?pnu=3611033021104820001&amp;isNoScr=script&amp;mode=search", "토지이음")</f>
        <v/>
      </c>
      <c r="S176" s="3" t="inlineStr">
        <is>
          <t>세종공감</t>
        </is>
      </c>
      <c r="T176" s="4" t="n">
        <v>1</v>
      </c>
      <c r="U176" s="5" t="n">
        <v>359.3</v>
      </c>
      <c r="V176" s="4" t="n">
        <v>284</v>
      </c>
      <c r="W176" s="3" t="inlineStr">
        <is>
          <t>지정되지않음</t>
        </is>
      </c>
      <c r="X176" s="3" t="inlineStr">
        <is>
          <t>상업기타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소로한면</t>
        </is>
      </c>
    </row>
    <row r="177">
      <c r="A177" s="3" t="inlineStr">
        <is>
          <t>부강면 부강리 482-1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115000</v>
      </c>
      <c r="H177" s="4" t="n">
        <v>0</v>
      </c>
      <c r="I177" s="4" t="n">
        <v>284</v>
      </c>
      <c r="J177" s="4" t="n">
        <v>86</v>
      </c>
      <c r="K177" s="5" t="n">
        <v>1337.2</v>
      </c>
      <c r="L177" s="4" t="n">
        <v>565</v>
      </c>
      <c r="M177" s="4" t="n">
        <v>171</v>
      </c>
      <c r="N177" s="5" t="n">
        <v>672.5</v>
      </c>
      <c r="O177" s="3" t="inlineStr">
        <is>
          <t>안정적인 임대수익 8 법인 임차수요 많은 다가구주택</t>
        </is>
      </c>
      <c r="P177" s="6">
        <f>HYPERLINK("https://fin.land.naver.com/articles/2651239114", "매물Link")</f>
        <v/>
      </c>
      <c r="Q177" s="6">
        <f>HYPERLINK("https://map.naver.com/p/search/부강면 부강리 482-1", "지도Link")</f>
        <v/>
      </c>
      <c r="R177" s="6">
        <f>HYPERLINK("http://www.eum.go.kr/web/ar/lu/luLandDet.jsp?pnu=3611033021104820001&amp;isNoScr=script&amp;mode=search", "토지이음")</f>
        <v/>
      </c>
      <c r="S177" s="3" t="inlineStr">
        <is>
          <t>법조연합은온</t>
        </is>
      </c>
      <c r="T177" s="4" t="n">
        <v>2</v>
      </c>
      <c r="U177" s="5" t="n">
        <v>359.3</v>
      </c>
      <c r="V177" s="4" t="n">
        <v>284</v>
      </c>
      <c r="W177" s="3" t="inlineStr">
        <is>
          <t>지정되지않음</t>
        </is>
      </c>
      <c r="X177" s="3" t="inlineStr">
        <is>
          <t>상업기타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소로한면</t>
        </is>
      </c>
    </row>
    <row r="178">
      <c r="A178" s="3" t="inlineStr">
        <is>
          <t>부강면 부강리 939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32</v>
      </c>
      <c r="I178" s="4" t="n">
        <v>28</v>
      </c>
      <c r="J178" s="4" t="n">
        <v>8</v>
      </c>
      <c r="K178" s="5" t="n">
        <v>4</v>
      </c>
      <c r="L178" s="4" t="n">
        <v>18</v>
      </c>
      <c r="M178" s="4" t="n">
        <v>5</v>
      </c>
      <c r="N178" s="5" t="n">
        <v>6.4</v>
      </c>
      <c r="O178" s="3" t="inlineStr">
        <is>
          <t>단기가능한 조용하고 살기좋은 위치의 저렴한 풀옵션 원룸</t>
        </is>
      </c>
      <c r="P178" s="6">
        <f>HYPERLINK("https://fin.land.naver.com/articles/2648410762", "매물Link")</f>
        <v/>
      </c>
      <c r="Q178" s="6">
        <f>HYPERLINK("https://map.naver.com/p/search/부강면 부강리 939", "지도Link")</f>
        <v/>
      </c>
      <c r="R178" s="6">
        <f>HYPERLINK("http://www.eum.go.kr/web/ar/lu/luLandDet.jsp?pnu=3611033021109390000&amp;isNoScr=script&amp;mode=search", "토지이음")</f>
        <v/>
      </c>
      <c r="S178" s="3" t="inlineStr">
        <is>
          <t>세종행복한</t>
        </is>
      </c>
      <c r="T178" s="4" t="n">
        <v>1</v>
      </c>
      <c r="U178" s="5" t="n">
        <v>204.4</v>
      </c>
      <c r="V178" s="4" t="n">
        <v>285</v>
      </c>
      <c r="W178" s="3" t="inlineStr">
        <is>
          <t>지정되지않음</t>
        </is>
      </c>
      <c r="X178" s="3" t="inlineStr">
        <is>
          <t>연립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959-1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4000</v>
      </c>
      <c r="H179" s="4" t="n">
        <v>20</v>
      </c>
      <c r="I179" s="4" t="n">
        <v>40</v>
      </c>
      <c r="J179" s="4" t="n">
        <v>12</v>
      </c>
      <c r="K179" s="5" t="n">
        <v>1.7</v>
      </c>
      <c r="L179" s="4" t="n">
        <v>33</v>
      </c>
      <c r="M179" s="4" t="n">
        <v>10</v>
      </c>
      <c r="N179" s="5" t="n">
        <v>2</v>
      </c>
      <c r="O179" s="3" t="inlineStr">
        <is>
          <t>대박 신축 1.5룸 전세 가능</t>
        </is>
      </c>
      <c r="P179" s="6">
        <f>HYPERLINK("https://fin.land.naver.com/articles/2652545951", "매물Link")</f>
        <v/>
      </c>
      <c r="Q179" s="6">
        <f>HYPERLINK("https://map.naver.com/p/search/부강면 부강리 959-1", "지도Link")</f>
        <v/>
      </c>
      <c r="R179" s="6">
        <f>HYPERLINK("http://www.eum.go.kr/web/ar/lu/luLandDet.jsp?pnu=3611033021109590001&amp;isNoScr=script&amp;mode=search", "토지이음")</f>
        <v/>
      </c>
      <c r="S179" s="3" t="inlineStr">
        <is>
          <t>부강대박</t>
        </is>
      </c>
      <c r="T179" s="4" t="n">
        <v>1</v>
      </c>
      <c r="U179" s="5" t="n">
        <v>207</v>
      </c>
      <c r="V179" s="4" t="n">
        <v>422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세로한면(가)</t>
        </is>
      </c>
    </row>
    <row r="180">
      <c r="A180" s="3" t="inlineStr">
        <is>
          <t>부강면 부강리 959-1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다가구</t>
        </is>
      </c>
      <c r="F180" s="3" t="inlineStr">
        <is>
          <t>월세</t>
        </is>
      </c>
      <c r="G180" s="4" t="n">
        <v>500</v>
      </c>
      <c r="H180" s="4" t="n">
        <v>70</v>
      </c>
      <c r="I180" s="4" t="n">
        <v>60</v>
      </c>
      <c r="J180" s="4" t="n">
        <v>18</v>
      </c>
      <c r="K180" s="5" t="n">
        <v>3.9</v>
      </c>
      <c r="L180" s="4" t="n">
        <v>50</v>
      </c>
      <c r="M180" s="4" t="n">
        <v>15</v>
      </c>
      <c r="N180" s="5" t="n">
        <v>4.7</v>
      </c>
      <c r="O180" s="3" t="inlineStr">
        <is>
          <t>대박 신축 투룸</t>
        </is>
      </c>
      <c r="P180" s="6">
        <f>HYPERLINK("https://fin.land.naver.com/articles/2652551499", "매물Link")</f>
        <v/>
      </c>
      <c r="Q180" s="6">
        <f>HYPERLINK("https://map.naver.com/p/search/부강면 부강리 959-1", "지도Link")</f>
        <v/>
      </c>
      <c r="R180" s="6">
        <f>HYPERLINK("http://www.eum.go.kr/web/ar/lu/luLandDet.jsp?pnu=3611033021109590001&amp;isNoScr=script&amp;mode=search", "토지이음")</f>
        <v/>
      </c>
      <c r="S180" s="3" t="inlineStr">
        <is>
          <t>부강대박</t>
        </is>
      </c>
      <c r="T180" s="4" t="n">
        <v>1</v>
      </c>
      <c r="U180" s="5" t="n">
        <v>207</v>
      </c>
      <c r="V180" s="4" t="n">
        <v>422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959-1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다가구</t>
        </is>
      </c>
      <c r="F181" s="3" t="inlineStr">
        <is>
          <t>월세</t>
        </is>
      </c>
      <c r="G181" s="4" t="n">
        <v>500</v>
      </c>
      <c r="H181" s="4" t="n">
        <v>95</v>
      </c>
      <c r="I181" s="4" t="n">
        <v>92</v>
      </c>
      <c r="J181" s="4" t="n">
        <v>28</v>
      </c>
      <c r="K181" s="5" t="n">
        <v>3.4</v>
      </c>
      <c r="L181" s="4" t="n">
        <v>76</v>
      </c>
      <c r="M181" s="4" t="n">
        <v>23</v>
      </c>
      <c r="N181" s="5" t="n">
        <v>4.1</v>
      </c>
      <c r="O181" s="3" t="inlineStr">
        <is>
          <t>대박 신축 3룸 욕실2</t>
        </is>
      </c>
      <c r="P181" s="6">
        <f>HYPERLINK("https://fin.land.naver.com/articles/2652544293", "매물Link")</f>
        <v/>
      </c>
      <c r="Q181" s="6">
        <f>HYPERLINK("https://map.naver.com/p/search/부강면 부강리 959-1", "지도Link")</f>
        <v/>
      </c>
      <c r="R181" s="6">
        <f>HYPERLINK("http://www.eum.go.kr/web/ar/lu/luLandDet.jsp?pnu=3611033021109590001&amp;isNoScr=script&amp;mode=search", "토지이음")</f>
        <v/>
      </c>
      <c r="S181" s="3" t="inlineStr">
        <is>
          <t>부강대박</t>
        </is>
      </c>
      <c r="T181" s="4" t="n">
        <v>1</v>
      </c>
      <c r="U181" s="5" t="n">
        <v>207</v>
      </c>
      <c r="V181" s="4" t="n">
        <v>422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966-10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38</v>
      </c>
      <c r="I182" s="4" t="n">
        <v>30</v>
      </c>
      <c r="J182" s="4" t="n">
        <v>9</v>
      </c>
      <c r="K182" s="5" t="n">
        <v>4.2</v>
      </c>
      <c r="L182" s="4" t="n">
        <v>22</v>
      </c>
      <c r="M182" s="4" t="n">
        <v>7</v>
      </c>
      <c r="N182" s="5" t="n">
        <v>5.4</v>
      </c>
      <c r="O182" s="3" t="inlineStr">
        <is>
          <t>주차공간이 종흔 풀옵션 원룸</t>
        </is>
      </c>
      <c r="P182" s="6">
        <f>HYPERLINK("https://fin.land.naver.com/articles/2652929900", "매물Link")</f>
        <v/>
      </c>
      <c r="Q182" s="6">
        <f>HYPERLINK("https://map.naver.com/p/search/부강면 부강리 966-10", "지도Link")</f>
        <v/>
      </c>
      <c r="R182" s="6">
        <f>HYPERLINK("http://www.eum.go.kr/web/ar/lu/luLandDet.jsp?pnu=3611033021109660010&amp;isNoScr=script&amp;mode=search",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234.3</v>
      </c>
      <c r="V182" s="4" t="n">
        <v>400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세로각지(가)</t>
        </is>
      </c>
    </row>
    <row r="183">
      <c r="A183" s="3" t="inlineStr">
        <is>
          <t>부강면 부강리 970-11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일반원룸</t>
        </is>
      </c>
      <c r="F183" s="3" t="inlineStr">
        <is>
          <t>월세</t>
        </is>
      </c>
      <c r="G183" s="4" t="n">
        <v>300</v>
      </c>
      <c r="H183" s="4" t="n">
        <v>55</v>
      </c>
      <c r="I183" s="4" t="n">
        <v>50</v>
      </c>
      <c r="J183" s="4" t="n">
        <v>15</v>
      </c>
      <c r="K183" s="5" t="n">
        <v>3.7</v>
      </c>
      <c r="L183" s="4" t="n">
        <v>40</v>
      </c>
      <c r="M183" s="4" t="n">
        <v>12</v>
      </c>
      <c r="N183" s="5" t="n">
        <v>4.6</v>
      </c>
      <c r="O183" s="3" t="inlineStr">
        <is>
          <t>지원l편세권.5룸lo멋진인테리어o위치최상</t>
        </is>
      </c>
      <c r="P183" s="6">
        <f>HYPERLINK("https://fin.land.naver.com/articles/2650948792", "매물Link")</f>
        <v/>
      </c>
      <c r="Q183" s="6">
        <f>HYPERLINK("https://map.naver.com/p/search/부강면 부강리 970-11", "지도Link")</f>
        <v/>
      </c>
      <c r="R183" s="6">
        <f>HYPERLINK("http://www.eum.go.kr/web/ar/lu/luLandDet.jsp?pnu=3611033021109700011&amp;isNoScr=script&amp;mode=search", "토지이음")</f>
        <v/>
      </c>
      <c r="S183" s="3" t="inlineStr">
        <is>
          <t>지원</t>
        </is>
      </c>
      <c r="T183" s="4" t="n">
        <v>1</v>
      </c>
      <c r="U183" s="5" t="n">
        <v>212.9</v>
      </c>
      <c r="V183" s="4" t="n">
        <v>392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970-2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150000</v>
      </c>
      <c r="H184" s="4" t="n">
        <v>0</v>
      </c>
      <c r="I184" s="4" t="n">
        <v>401</v>
      </c>
      <c r="J184" s="4" t="n">
        <v>121</v>
      </c>
      <c r="K184" s="5" t="n">
        <v>1239.7</v>
      </c>
      <c r="L184" s="4" t="n">
        <v>597</v>
      </c>
      <c r="M184" s="4" t="n">
        <v>181</v>
      </c>
      <c r="N184" s="5" t="n">
        <v>828.7</v>
      </c>
      <c r="O184" s="3" t="inlineStr">
        <is>
          <t>nan</t>
        </is>
      </c>
      <c r="P184" s="6">
        <f>HYPERLINK("https://fin.land.naver.com/articles/2649601044", "매물Link")</f>
        <v/>
      </c>
      <c r="Q184" s="6">
        <f>HYPERLINK("https://map.naver.com/p/search/부강면 부강리 970-2", "지도Link")</f>
        <v/>
      </c>
      <c r="R184" s="6">
        <f>HYPERLINK("http://www.eum.go.kr/web/ar/lu/luLandDet.jsp?pnu=3611033021109700002&amp;isNoScr=script&amp;mode=search", "토지이음")</f>
        <v/>
      </c>
      <c r="S184" s="3" t="inlineStr">
        <is>
          <t>성훈</t>
        </is>
      </c>
      <c r="T184" s="4" t="n">
        <v>1</v>
      </c>
      <c r="U184" s="5" t="n">
        <v>204.4</v>
      </c>
      <c r="V184" s="4" t="n">
        <v>401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973-25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321</v>
      </c>
      <c r="J185" s="4" t="n">
        <v>97</v>
      </c>
      <c r="K185" s="5" t="n">
        <v>1443.3</v>
      </c>
      <c r="L185" s="4" t="n">
        <v>452</v>
      </c>
      <c r="M185" s="4" t="n">
        <v>137</v>
      </c>
      <c r="N185" s="5" t="n">
        <v>1021.9</v>
      </c>
      <c r="O185" s="3" t="inlineStr">
        <is>
          <t>사진보기, 신축, 부강역,공단인근 세입자수요많은지역 높은수익률,만실운영중</t>
        </is>
      </c>
      <c r="P185" s="6">
        <f>HYPERLINK("https://fin.land.naver.com/articles/2649586451", "매물Link")</f>
        <v/>
      </c>
      <c r="Q185" s="6">
        <f>HYPERLINK("https://map.naver.com/p/search/부강면 부강리 973-25", "지도Link")</f>
        <v/>
      </c>
      <c r="R185" s="6">
        <f>HYPERLINK("http://www.eum.go.kr/web/ar/lu/luLandDet.jsp?pnu=3611033021109730025&amp;isNoScr=script&amp;mode=search", "토지이음")</f>
        <v/>
      </c>
      <c r="S185" s="3" t="inlineStr">
        <is>
          <t>향기나는방</t>
        </is>
      </c>
      <c r="T185" s="4" t="n">
        <v>1</v>
      </c>
      <c r="U185" s="5" t="n">
        <v>184.9</v>
      </c>
      <c r="V185" s="4" t="n">
        <v>321</v>
      </c>
      <c r="W185" s="3" t="inlineStr">
        <is>
          <t>지정되지않음</t>
        </is>
      </c>
      <c r="X185" s="3" t="inlineStr">
        <is>
          <t>주거기타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부강면 부강리 98-2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상가주택</t>
        </is>
      </c>
      <c r="F186" s="3" t="inlineStr">
        <is>
          <t>매매</t>
        </is>
      </c>
      <c r="G186" s="4" t="n">
        <v>40000</v>
      </c>
      <c r="H186" s="4" t="n">
        <v>0</v>
      </c>
      <c r="I186" s="4" t="n">
        <v>179</v>
      </c>
      <c r="J186" s="4" t="n">
        <v>54</v>
      </c>
      <c r="K186" s="5" t="n">
        <v>740.7</v>
      </c>
      <c r="L186" s="4" t="n">
        <v>175</v>
      </c>
      <c r="M186" s="4" t="n">
        <v>53</v>
      </c>
      <c r="N186" s="5" t="n">
        <v>754.7</v>
      </c>
      <c r="O186" s="3" t="inlineStr">
        <is>
          <t>부강면 2차선 도로변 상가주택 매매</t>
        </is>
      </c>
      <c r="P186" s="6">
        <f>HYPERLINK("https://fin.land.naver.com/articles/2648411743", "매물Link")</f>
        <v/>
      </c>
      <c r="Q186" s="6">
        <f>HYPERLINK("https://map.naver.com/p/search/부강면 부강리 98-2", "지도Link")</f>
        <v/>
      </c>
      <c r="R186" s="6">
        <f>HYPERLINK("http://www.eum.go.kr/web/ar/lu/luLandDet.jsp?pnu=3611033021100980002&amp;isNoScr=script&amp;mode=search",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302.7</v>
      </c>
      <c r="V186" s="4" t="n">
        <v>179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중로한면</t>
        </is>
      </c>
    </row>
    <row r="187">
      <c r="A187" s="3" t="inlineStr">
        <is>
          <t>아름동 1046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332</v>
      </c>
      <c r="J187" s="4" t="n">
        <v>100</v>
      </c>
      <c r="K187" s="5" t="n">
        <v>1400</v>
      </c>
      <c r="L187" s="4" t="n">
        <v>165</v>
      </c>
      <c r="M187" s="4" t="n">
        <v>50</v>
      </c>
      <c r="N187" s="5" t="n">
        <v>2800</v>
      </c>
      <c r="O187" s="3" t="inlineStr">
        <is>
          <t>태양광설치, 풀에어컨, 실링팬, 방4개, 화장실3개</t>
        </is>
      </c>
      <c r="P187" s="6">
        <f>HYPERLINK("https://fin.land.naver.com/articles/2652842053", "매물Link")</f>
        <v/>
      </c>
      <c r="Q187" s="6">
        <f>HYPERLINK("https://map.naver.com/p/search/아름동 1046", "지도Link")</f>
        <v/>
      </c>
      <c r="R187" s="6">
        <f>HYPERLINK("http://www.eum.go.kr/web/ar/lu/luLandDet.jsp?pnu=3611011300110460000&amp;isNoScr=script&amp;mode=search",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353.1</v>
      </c>
      <c r="V187" s="4" t="n">
        <v>332.4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1046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33</v>
      </c>
      <c r="J188" s="4" t="n">
        <v>10</v>
      </c>
      <c r="K188" s="5" t="n">
        <v>14000</v>
      </c>
      <c r="L188" s="4" t="n">
        <v>157</v>
      </c>
      <c r="M188" s="4" t="n">
        <v>47</v>
      </c>
      <c r="N188" s="5" t="n">
        <v>2978.7</v>
      </c>
      <c r="O188" s="3" t="inlineStr">
        <is>
          <t>교통편리한 세종 아름동 주택가, 서울세종고속도로,국도1호선, 세종외곽도로</t>
        </is>
      </c>
      <c r="P188" s="6">
        <f>HYPERLINK("https://fin.land.naver.com/articles/2651678765", "매물Link")</f>
        <v/>
      </c>
      <c r="Q188" s="6">
        <f>HYPERLINK("https://map.naver.com/p/search/아름동 1046", "지도Link")</f>
        <v/>
      </c>
      <c r="R188" s="6">
        <f>HYPERLINK("http://www.eum.go.kr/web/ar/lu/luLandDet.jsp?pnu=3611011300110460000&amp;isNoScr=script&amp;mode=search", "토지이음")</f>
        <v/>
      </c>
      <c r="S188" s="3" t="inlineStr">
        <is>
          <t>아름</t>
        </is>
      </c>
      <c r="T188" s="4" t="n">
        <v>1</v>
      </c>
      <c r="U188" s="5" t="n">
        <v>353.1</v>
      </c>
      <c r="V188" s="4" t="n">
        <v>332.4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1046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332</v>
      </c>
      <c r="J189" s="4" t="n">
        <v>100</v>
      </c>
      <c r="K189" s="5" t="n">
        <v>1400</v>
      </c>
      <c r="L189" s="4" t="n">
        <v>165</v>
      </c>
      <c r="M189" s="4" t="n">
        <v>50</v>
      </c>
      <c r="N189" s="5" t="n">
        <v>2800</v>
      </c>
      <c r="O189" s="3" t="inlineStr">
        <is>
          <t>태양광, 방4개, 화장실3개, 각방 에어컨, 실링팬</t>
        </is>
      </c>
      <c r="P189" s="6">
        <f>HYPERLINK("https://fin.land.naver.com/articles/2648333611", "매물Link")</f>
        <v/>
      </c>
      <c r="Q189" s="6">
        <f>HYPERLINK("https://map.naver.com/p/search/아름동 1046", "지도Link")</f>
        <v/>
      </c>
      <c r="R189" s="6">
        <f>HYPERLINK("http://www.eum.go.kr/web/ar/lu/luLandDet.jsp?pnu=3611011300110460000&amp;isNoScr=script&amp;mode=search", "토지이음")</f>
        <v/>
      </c>
      <c r="S189" s="3" t="inlineStr">
        <is>
          <t>명진</t>
        </is>
      </c>
      <c r="T189" s="4" t="n">
        <v>1</v>
      </c>
      <c r="U189" s="5" t="n">
        <v>353.1</v>
      </c>
      <c r="V189" s="4" t="n">
        <v>332.4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1113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327</v>
      </c>
      <c r="J190" s="4" t="n">
        <v>99</v>
      </c>
      <c r="K190" s="5" t="n">
        <v>1060.6</v>
      </c>
      <c r="L190" s="4" t="n">
        <v>149</v>
      </c>
      <c r="M190" s="4" t="n">
        <v>45</v>
      </c>
      <c r="N190" s="5" t="n">
        <v>2333.3</v>
      </c>
      <c r="O190" s="3" t="inlineStr">
        <is>
          <t>정남향 충대병원  단독매매</t>
        </is>
      </c>
      <c r="P190" s="6">
        <f>HYPERLINK("https://fin.land.naver.com/articles/2648491612", "매물Link")</f>
        <v/>
      </c>
      <c r="Q190" s="6">
        <f>HYPERLINK("https://map.naver.com/p/search/아름동 1113", "지도Link")</f>
        <v/>
      </c>
      <c r="R190" s="6">
        <f>HYPERLINK("http://www.eum.go.kr/web/ar/lu/luLandDet.jsp?pnu=3611011300111130000&amp;isNoScr=script&amp;mode=search", "토지이음")</f>
        <v/>
      </c>
      <c r="S190" s="3" t="inlineStr">
        <is>
          <t>THE행복</t>
        </is>
      </c>
      <c r="T190" s="4" t="n">
        <v>1</v>
      </c>
      <c r="U190" s="5" t="n">
        <v>356.4</v>
      </c>
      <c r="V190" s="4" t="n">
        <v>327.5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1148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130000</v>
      </c>
      <c r="H191" s="4" t="n">
        <v>0</v>
      </c>
      <c r="I191" s="4" t="n">
        <v>328</v>
      </c>
      <c r="J191" s="4" t="n">
        <v>99</v>
      </c>
      <c r="K191" s="5" t="n">
        <v>1313.1</v>
      </c>
      <c r="L191" s="4" t="n">
        <v>148</v>
      </c>
      <c r="M191" s="4" t="n">
        <v>45</v>
      </c>
      <c r="N191" s="5" t="n">
        <v>2888.9</v>
      </c>
      <c r="O191" s="3" t="inlineStr">
        <is>
          <t>남향집으로 따뜻한 집 입니다. 입주는 협의 가능하며 가격절충가능합니다.</t>
        </is>
      </c>
      <c r="P191" s="6">
        <f>HYPERLINK("https://fin.land.naver.com/articles/2653236355", "매물Link")</f>
        <v/>
      </c>
      <c r="Q191" s="6">
        <f>HYPERLINK("https://map.naver.com/p/search/아름동 1148", "지도Link")</f>
        <v/>
      </c>
      <c r="R191" s="6">
        <f>HYPERLINK("http://www.eum.go.kr/web/ar/lu/luLandDet.jsp?pnu=3611011300111480000&amp;isNoScr=script&amp;mode=search", "토지이음")</f>
        <v/>
      </c>
      <c r="S191" s="3" t="inlineStr">
        <is>
          <t>주황푸르지오</t>
        </is>
      </c>
      <c r="T191" s="4" t="n">
        <v>1</v>
      </c>
      <c r="U191" s="5" t="n">
        <v>356.4</v>
      </c>
      <c r="V191" s="4" t="n">
        <v>328.7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1148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130000</v>
      </c>
      <c r="H192" s="4" t="n">
        <v>0</v>
      </c>
      <c r="I192" s="4" t="n">
        <v>328</v>
      </c>
      <c r="J192" s="4" t="n">
        <v>99</v>
      </c>
      <c r="K192" s="5" t="n">
        <v>1313.1</v>
      </c>
      <c r="L192" s="4" t="n">
        <v>148</v>
      </c>
      <c r="M192" s="4" t="n">
        <v>45</v>
      </c>
      <c r="N192" s="5" t="n">
        <v>2888.9</v>
      </c>
      <c r="O192" s="3" t="inlineStr">
        <is>
          <t>벽난로 있는 예쁜집, 정남향, 조율가능, 태양광</t>
        </is>
      </c>
      <c r="P192" s="6">
        <f>HYPERLINK("https://fin.land.naver.com/articles/2652843975", "매물Link")</f>
        <v/>
      </c>
      <c r="Q192" s="6">
        <f>HYPERLINK("https://map.naver.com/p/search/아름동 1148", "지도Link")</f>
        <v/>
      </c>
      <c r="R192" s="6">
        <f>HYPERLINK("http://www.eum.go.kr/web/ar/lu/luLandDet.jsp?pnu=3611011300111480000&amp;isNoScr=script&amp;mode=search", "토지이음")</f>
        <v/>
      </c>
      <c r="S192" s="3" t="inlineStr">
        <is>
          <t>세종무지개</t>
        </is>
      </c>
      <c r="T192" s="4" t="n">
        <v>2</v>
      </c>
      <c r="U192" s="5" t="n">
        <v>356.4</v>
      </c>
      <c r="V192" s="4" t="n">
        <v>328.7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1148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130000</v>
      </c>
      <c r="H193" s="4" t="n">
        <v>0</v>
      </c>
      <c r="I193" s="4" t="n">
        <v>328</v>
      </c>
      <c r="J193" s="4" t="n">
        <v>99</v>
      </c>
      <c r="K193" s="5" t="n">
        <v>1313.1</v>
      </c>
      <c r="L193" s="4" t="n">
        <v>148</v>
      </c>
      <c r="M193" s="4" t="n">
        <v>45</v>
      </c>
      <c r="N193" s="5" t="n">
        <v>2888.9</v>
      </c>
      <c r="O193" s="3" t="inlineStr">
        <is>
          <t>조율가능 국제고인근 정남향 아이들의 놀이터같은 특색주택</t>
        </is>
      </c>
      <c r="P193" s="6">
        <f>HYPERLINK("https://fin.land.naver.com/articles/2648716323", "매물Link")</f>
        <v/>
      </c>
      <c r="Q193" s="6">
        <f>HYPERLINK("https://map.naver.com/p/search/아름동 1148", "지도Link")</f>
        <v/>
      </c>
      <c r="R193" s="6">
        <f>HYPERLINK("http://www.eum.go.kr/web/ar/lu/luLandDet.jsp?pnu=3611011300111480000&amp;isNoScr=script&amp;mode=search", "토지이음")</f>
        <v/>
      </c>
      <c r="S193" s="3" t="inlineStr">
        <is>
          <t>세종스타</t>
        </is>
      </c>
      <c r="T193" s="4" t="n">
        <v>2</v>
      </c>
      <c r="U193" s="5" t="n">
        <v>356.4</v>
      </c>
      <c r="V193" s="4" t="n">
        <v>328.7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1148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130000</v>
      </c>
      <c r="H194" s="4" t="n">
        <v>0</v>
      </c>
      <c r="I194" s="4" t="n">
        <v>328</v>
      </c>
      <c r="J194" s="4" t="n">
        <v>99</v>
      </c>
      <c r="K194" s="5" t="n">
        <v>1313.1</v>
      </c>
      <c r="L194" s="4" t="n">
        <v>148</v>
      </c>
      <c r="M194" s="4" t="n">
        <v>45</v>
      </c>
      <c r="N194" s="5" t="n">
        <v>2888.9</v>
      </c>
      <c r="O194" s="3" t="inlineStr">
        <is>
          <t>벽난로. 태양광, 국제고인근 남향. 가격조율 가능한</t>
        </is>
      </c>
      <c r="P194" s="6">
        <f>HYPERLINK("https://fin.land.naver.com/articles/2652825554", "매물Link")</f>
        <v/>
      </c>
      <c r="Q194" s="6">
        <f>HYPERLINK("https://map.naver.com/p/search/아름동 1148", "지도Link")</f>
        <v/>
      </c>
      <c r="R194" s="6">
        <f>HYPERLINK("http://www.eum.go.kr/web/ar/lu/luLandDet.jsp?pnu=3611011300111480000&amp;isNoScr=script&amp;mode=search", "토지이음")</f>
        <v/>
      </c>
      <c r="S194" s="3" t="inlineStr">
        <is>
          <t>최무연</t>
        </is>
      </c>
      <c r="T194" s="4" t="n">
        <v>1</v>
      </c>
      <c r="U194" s="5" t="n">
        <v>356.4</v>
      </c>
      <c r="V194" s="4" t="n">
        <v>328.7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1224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364</v>
      </c>
      <c r="J195" s="4" t="n">
        <v>110</v>
      </c>
      <c r="K195" s="5" t="n">
        <v>972.7</v>
      </c>
      <c r="L195" s="4" t="n">
        <v>179</v>
      </c>
      <c r="M195" s="4" t="n">
        <v>54</v>
      </c>
      <c r="N195" s="5" t="n">
        <v>1981.5</v>
      </c>
      <c r="O195" s="3" t="inlineStr">
        <is>
          <t>아름초, 입지 좋은 단독주택, 상권이용 편리</t>
        </is>
      </c>
      <c r="P195" s="6">
        <f>HYPERLINK("https://fin.land.naver.com/articles/2648126026", "매물Link")</f>
        <v/>
      </c>
      <c r="Q195" s="6">
        <f>HYPERLINK("https://map.naver.com/p/search/아름동 1224", "지도Link")</f>
        <v/>
      </c>
      <c r="R195" s="6">
        <f>HYPERLINK("http://www.eum.go.kr/web/ar/lu/luLandDet.jsp?pnu=3611011300112240000&amp;isNoScr=script&amp;mode=search",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343.1</v>
      </c>
      <c r="V195" s="4" t="n">
        <v>364.6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353</v>
      </c>
      <c r="J196" s="4" t="n">
        <v>107</v>
      </c>
      <c r="K196" s="5" t="n">
        <v>1308.4</v>
      </c>
      <c r="L196" s="4" t="n">
        <v>160</v>
      </c>
      <c r="M196" s="4" t="n">
        <v>48</v>
      </c>
      <c r="N196" s="5" t="n">
        <v>2916.7</v>
      </c>
      <c r="O196" s="3" t="inlineStr">
        <is>
          <t>전용 48.6p, 1.2층 단독주택, 시스템에어컨풀, 협의입주</t>
        </is>
      </c>
      <c r="P196" s="6">
        <f>HYPERLINK("https://fin.land.naver.com/articles/2648906147",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353</v>
      </c>
      <c r="J197" s="4" t="n">
        <v>107</v>
      </c>
      <c r="K197" s="5" t="n">
        <v>1308.4</v>
      </c>
      <c r="L197" s="4" t="n">
        <v>160</v>
      </c>
      <c r="M197" s="4" t="n">
        <v>48</v>
      </c>
      <c r="N197" s="5" t="n">
        <v>2916.7</v>
      </c>
      <c r="O197" s="3" t="inlineStr">
        <is>
          <t>주택 에어컨5개 마당있고 편안한 주택매물입니다.</t>
        </is>
      </c>
      <c r="P197" s="6">
        <f>HYPERLINK("https://fin.land.naver.com/articles/2648169316",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세석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1241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353</v>
      </c>
      <c r="J199" s="4" t="n">
        <v>107</v>
      </c>
      <c r="K199" s="5" t="n">
        <v>1355.1</v>
      </c>
      <c r="L199" s="4" t="n">
        <v>160</v>
      </c>
      <c r="M199" s="4" t="n">
        <v>48</v>
      </c>
      <c r="N199" s="5" t="n">
        <v>3020.8</v>
      </c>
      <c r="O199" s="3" t="inlineStr">
        <is>
          <t>정원있는 조용한 전원주택 매매</t>
        </is>
      </c>
      <c r="P199" s="6">
        <f>HYPERLINK("https://fin.land.naver.com/articles/2650453397", "매물Link")</f>
        <v/>
      </c>
      <c r="Q199" s="6">
        <f>HYPERLINK("https://map.naver.com/p/search/아름동 1241", "지도Link")</f>
        <v/>
      </c>
      <c r="R199" s="6">
        <f>HYPERLINK("http://www.eum.go.kr/web/ar/lu/luLandDet.jsp?pnu=3611011300112410000&amp;isNoScr=script&amp;mode=search", "토지이음")</f>
        <v/>
      </c>
      <c r="S199" s="3" t="inlineStr">
        <is>
          <t>인서</t>
        </is>
      </c>
      <c r="T199" s="4" t="n">
        <v>1</v>
      </c>
      <c r="U199" s="5" t="n">
        <v>343.1</v>
      </c>
      <c r="V199" s="4" t="n">
        <v>353.2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1241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353</v>
      </c>
      <c r="J200" s="4" t="n">
        <v>107</v>
      </c>
      <c r="K200" s="5" t="n">
        <v>1355.1</v>
      </c>
      <c r="L200" s="4" t="n">
        <v>160</v>
      </c>
      <c r="M200" s="4" t="n">
        <v>48</v>
      </c>
      <c r="N200" s="5" t="n">
        <v>3020.8</v>
      </c>
      <c r="O200" s="3" t="inlineStr">
        <is>
          <t>튼튼하게 지어진 집   교통편리 정남향</t>
        </is>
      </c>
      <c r="P200" s="6">
        <f>HYPERLINK("https://fin.land.naver.com/articles/2652845581", "매물Link")</f>
        <v/>
      </c>
      <c r="Q200" s="6">
        <f>HYPERLINK("https://map.naver.com/p/search/아름동 1241", "지도Link")</f>
        <v/>
      </c>
      <c r="R200" s="6">
        <f>HYPERLINK("http://www.eum.go.kr/web/ar/lu/luLandDet.jsp?pnu=3611011300112410000&amp;isNoScr=script&amp;mode=search", "토지이음")</f>
        <v/>
      </c>
      <c r="S200" s="3" t="inlineStr">
        <is>
          <t>세종푸르지오</t>
        </is>
      </c>
      <c r="T200" s="4" t="n">
        <v>1</v>
      </c>
      <c r="U200" s="5" t="n">
        <v>343.1</v>
      </c>
      <c r="V200" s="4" t="n">
        <v>353.2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145000</v>
      </c>
      <c r="H201" s="4" t="n">
        <v>0</v>
      </c>
      <c r="I201" s="4" t="n">
        <v>353</v>
      </c>
      <c r="J201" s="4" t="n">
        <v>107</v>
      </c>
      <c r="K201" s="5" t="n">
        <v>1355.1</v>
      </c>
      <c r="L201" s="4" t="n">
        <v>160</v>
      </c>
      <c r="M201" s="4" t="n">
        <v>48</v>
      </c>
      <c r="N201" s="5" t="n">
        <v>3020.8</v>
      </c>
      <c r="O201" s="3" t="inlineStr">
        <is>
          <t>철근콘크리트 튼튼  시스템에어컨 5대 단독 매매</t>
        </is>
      </c>
      <c r="P201" s="6">
        <f>HYPERLINK("https://fin.land.naver.com/articles/2650613200",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THE행복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1394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303</v>
      </c>
      <c r="J203" s="4" t="n">
        <v>92</v>
      </c>
      <c r="K203" s="5" t="n">
        <v>1576.1</v>
      </c>
      <c r="L203" s="4" t="n">
        <v>181</v>
      </c>
      <c r="M203" s="4" t="n">
        <v>55</v>
      </c>
      <c r="N203" s="5" t="n">
        <v>2636.4</v>
      </c>
      <c r="O203" s="3" t="inlineStr">
        <is>
          <t>내부상태 청결하고 양호함,중심학원가 근접</t>
        </is>
      </c>
      <c r="P203" s="6">
        <f>HYPERLINK("https://fin.land.naver.com/articles/2650656957", "매물Link")</f>
        <v/>
      </c>
      <c r="Q203" s="6">
        <f>HYPERLINK("https://map.naver.com/p/search/아름동 1394", "지도Link")</f>
        <v/>
      </c>
      <c r="R203" s="6">
        <f>HYPERLINK("http://www.eum.go.kr/web/ar/lu/luLandDet.jsp?pnu=3611011300113940000&amp;isNoScr=script&amp;mode=search", "토지이음")</f>
        <v/>
      </c>
      <c r="S203" s="3" t="inlineStr">
        <is>
          <t>킹세종</t>
        </is>
      </c>
      <c r="T203" s="4" t="n">
        <v>1</v>
      </c>
      <c r="U203" s="5" t="n">
        <v>338.2</v>
      </c>
      <c r="V203" s="4" t="n">
        <v>303.7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세로장방</t>
        </is>
      </c>
      <c r="AA203" s="3" t="inlineStr">
        <is>
          <t>소로한면</t>
        </is>
      </c>
    </row>
    <row r="204">
      <c r="A204" s="3" t="inlineStr">
        <is>
          <t>아름동 1408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303</v>
      </c>
      <c r="J204" s="4" t="n">
        <v>92</v>
      </c>
      <c r="K204" s="5" t="n">
        <v>1576.1</v>
      </c>
      <c r="L204" s="4" t="n">
        <v>204</v>
      </c>
      <c r="M204" s="4" t="n">
        <v>62</v>
      </c>
      <c r="N204" s="5" t="n">
        <v>2338.7</v>
      </c>
      <c r="O204" s="3" t="inlineStr">
        <is>
          <t>남향에 위치 좋은집  분리세대로 2층 시스탬에어컨2대 설치 협의 입주</t>
        </is>
      </c>
      <c r="P204" s="6">
        <f>HYPERLINK("https://fin.land.naver.com/articles/2649764622", "매물Link")</f>
        <v/>
      </c>
      <c r="Q204" s="6">
        <f>HYPERLINK("https://map.naver.com/p/search/아름동 1408", "지도Link")</f>
        <v/>
      </c>
      <c r="R204" s="6">
        <f>HYPERLINK("http://www.eum.go.kr/web/ar/lu/luLandDet.jsp?pnu=3611011300114080000&amp;isNoScr=script&amp;mode=search", "토지이음")</f>
        <v/>
      </c>
      <c r="S204" s="3" t="inlineStr">
        <is>
          <t>주황푸르지오</t>
        </is>
      </c>
      <c r="T204" s="4" t="n">
        <v>1</v>
      </c>
      <c r="U204" s="5" t="n">
        <v>338.2</v>
      </c>
      <c r="V204" s="4" t="n">
        <v>303.7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아름동 856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135000</v>
      </c>
      <c r="H205" s="4" t="n">
        <v>0</v>
      </c>
      <c r="I205" s="4" t="n">
        <v>285</v>
      </c>
      <c r="J205" s="4" t="n">
        <v>86</v>
      </c>
      <c r="K205" s="5" t="n">
        <v>1569.8</v>
      </c>
      <c r="L205" s="4" t="n">
        <v>178</v>
      </c>
      <c r="M205" s="4" t="n">
        <v>54</v>
      </c>
      <c r="N205" s="5" t="n">
        <v>2500</v>
      </c>
      <c r="O205" s="3" t="inlineStr">
        <is>
          <t>올리모델링 방3개 욕실3개 시스템에어컨5대 조율가능</t>
        </is>
      </c>
      <c r="P205" s="6">
        <f>HYPERLINK("https://fin.land.naver.com/articles/2648979509", "매물Link")</f>
        <v/>
      </c>
      <c r="Q205" s="6">
        <f>HYPERLINK("https://map.naver.com/p/search/아름동 856", "지도Link")</f>
        <v/>
      </c>
      <c r="R205" s="6">
        <f>HYPERLINK("http://www.eum.go.kr/web/ar/lu/luLandDet.jsp?pnu=3611011300108560000&amp;isNoScr=script&amp;mode=search",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356.7</v>
      </c>
      <c r="V205" s="4" t="n">
        <v>285.9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소로각지</t>
        </is>
      </c>
    </row>
    <row r="206">
      <c r="A206" s="3" t="inlineStr">
        <is>
          <t>아름동 856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135000</v>
      </c>
      <c r="H206" s="4" t="n">
        <v>0</v>
      </c>
      <c r="I206" s="4" t="n">
        <v>285</v>
      </c>
      <c r="J206" s="4" t="n">
        <v>86</v>
      </c>
      <c r="K206" s="5" t="n">
        <v>1569.8</v>
      </c>
      <c r="L206" s="4" t="n">
        <v>178</v>
      </c>
      <c r="M206" s="4" t="n">
        <v>54</v>
      </c>
      <c r="N206" s="5" t="n">
        <v>2500</v>
      </c>
      <c r="O206" s="3" t="inlineStr">
        <is>
          <t>최근 리모델링한 단독주택 매매, 방3개, 욕실2개</t>
        </is>
      </c>
      <c r="P206" s="6">
        <f>HYPERLINK("https://fin.land.naver.com/articles/2649020493", "매물Link")</f>
        <v/>
      </c>
      <c r="Q206" s="6">
        <f>HYPERLINK("https://map.naver.com/p/search/아름동 856", "지도Link")</f>
        <v/>
      </c>
      <c r="R206" s="6">
        <f>HYPERLINK("http://www.eum.go.kr/web/ar/lu/luLandDet.jsp?pnu=3611011300108560000&amp;isNoScr=script&amp;mode=search",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356.7</v>
      </c>
      <c r="V206" s="4" t="n">
        <v>285.9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소로각지</t>
        </is>
      </c>
    </row>
    <row r="207">
      <c r="A207" s="3" t="inlineStr">
        <is>
          <t>아름동 856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135000</v>
      </c>
      <c r="H207" s="4" t="n">
        <v>0</v>
      </c>
      <c r="I207" s="4" t="n">
        <v>285</v>
      </c>
      <c r="J207" s="4" t="n">
        <v>86</v>
      </c>
      <c r="K207" s="5" t="n">
        <v>1569.8</v>
      </c>
      <c r="L207" s="4" t="n">
        <v>178</v>
      </c>
      <c r="M207" s="4" t="n">
        <v>54</v>
      </c>
      <c r="N207" s="5" t="n">
        <v>2500</v>
      </c>
      <c r="O207" s="3" t="inlineStr">
        <is>
          <t>아름동 입지좋은 단독주택 매매, 올리모델링</t>
        </is>
      </c>
      <c r="P207" s="6">
        <f>HYPERLINK("https://fin.land.naver.com/articles/2648835163", "매물Link")</f>
        <v/>
      </c>
      <c r="Q207" s="6">
        <f>HYPERLINK("https://map.naver.com/p/search/아름동 856", "지도Link")</f>
        <v/>
      </c>
      <c r="R207" s="6">
        <f>HYPERLINK("http://www.eum.go.kr/web/ar/lu/luLandDet.jsp?pnu=3611011300108560000&amp;isNoScr=script&amp;mode=search",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356.7</v>
      </c>
      <c r="V207" s="4" t="n">
        <v>285.9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소로각지</t>
        </is>
      </c>
    </row>
    <row r="208">
      <c r="A208" s="3" t="inlineStr">
        <is>
          <t>아름동 856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135000</v>
      </c>
      <c r="H208" s="4" t="n">
        <v>0</v>
      </c>
      <c r="I208" s="4" t="n">
        <v>285</v>
      </c>
      <c r="J208" s="4" t="n">
        <v>86</v>
      </c>
      <c r="K208" s="5" t="n">
        <v>1569.8</v>
      </c>
      <c r="L208" s="4" t="n">
        <v>178</v>
      </c>
      <c r="M208" s="4" t="n">
        <v>54</v>
      </c>
      <c r="N208" s="5" t="n">
        <v>2500</v>
      </c>
      <c r="O208" s="3" t="inlineStr">
        <is>
          <t>올 리모델링. 풀에어컨, 코너 입지</t>
        </is>
      </c>
      <c r="P208" s="6">
        <f>HYPERLINK("https://fin.land.naver.com/articles/2649459333", "매물Link")</f>
        <v/>
      </c>
      <c r="Q208" s="6">
        <f>HYPERLINK("https://map.naver.com/p/search/아름동 856", "지도Link")</f>
        <v/>
      </c>
      <c r="R208" s="6">
        <f>HYPERLINK("http://www.eum.go.kr/web/ar/lu/luLandDet.jsp?pnu=3611011300108560000&amp;isNoScr=script&amp;mode=search", "토지이음")</f>
        <v/>
      </c>
      <c r="S208" s="3" t="inlineStr">
        <is>
          <t>세종삼촌</t>
        </is>
      </c>
      <c r="T208" s="4" t="n">
        <v>1</v>
      </c>
      <c r="U208" s="5" t="n">
        <v>356.7</v>
      </c>
      <c r="V208" s="4" t="n">
        <v>285.9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소로각지</t>
        </is>
      </c>
    </row>
    <row r="209">
      <c r="A209" s="3" t="inlineStr">
        <is>
          <t>아름동 862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314</v>
      </c>
      <c r="J209" s="4" t="n">
        <v>95</v>
      </c>
      <c r="K209" s="5" t="n">
        <v>1126.3</v>
      </c>
      <c r="L209" s="4" t="n">
        <v>147</v>
      </c>
      <c r="M209" s="4" t="n">
        <v>44</v>
      </c>
      <c r="N209" s="5" t="n">
        <v>2431.8</v>
      </c>
      <c r="O209" s="3" t="inlineStr">
        <is>
          <t>급매 전세끼고 매매 리모델링됨 마당넓음</t>
        </is>
      </c>
      <c r="P209" s="6">
        <f>HYPERLINK("https://fin.land.naver.com/articles/2651116835", "매물Link")</f>
        <v/>
      </c>
      <c r="Q209" s="6">
        <f>HYPERLINK("https://map.naver.com/p/search/아름동 862", "지도Link")</f>
        <v/>
      </c>
      <c r="R209" s="6">
        <f>HYPERLINK("http://www.eum.go.kr/web/ar/lu/luLandDet.jsp?pnu=3611011300108620000&amp;isNoScr=script&amp;mode=search",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339.8</v>
      </c>
      <c r="V209" s="4" t="n">
        <v>314.8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875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340</v>
      </c>
      <c r="J210" s="4" t="n">
        <v>103</v>
      </c>
      <c r="K210" s="5" t="n">
        <v>1553.4</v>
      </c>
      <c r="L210" s="4" t="n">
        <v>192</v>
      </c>
      <c r="M210" s="4" t="n">
        <v>58</v>
      </c>
      <c r="N210" s="5" t="n">
        <v>2758.6</v>
      </c>
      <c r="O210" s="3" t="inlineStr">
        <is>
          <t>잘 지어지고 관리가 잘된 집</t>
        </is>
      </c>
      <c r="P210" s="6">
        <f>HYPERLINK("https://fin.land.naver.com/articles/2649006146", "매물Link")</f>
        <v/>
      </c>
      <c r="Q210" s="6">
        <f>HYPERLINK("https://map.naver.com/p/search/아름동 875", "지도Link")</f>
        <v/>
      </c>
      <c r="R210" s="6">
        <f>HYPERLINK("http://www.eum.go.kr/web/ar/lu/luLandDet.jsp?pnu=3611011300108750000&amp;isNoScr=script&amp;mode=search", "토지이음")</f>
        <v/>
      </c>
      <c r="S210" s="3" t="inlineStr">
        <is>
          <t>세종푸르지오</t>
        </is>
      </c>
      <c r="T210" s="4" t="n">
        <v>1</v>
      </c>
      <c r="U210" s="5" t="n">
        <v>339.5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아름동 875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340</v>
      </c>
      <c r="J211" s="4" t="n">
        <v>103</v>
      </c>
      <c r="K211" s="5" t="n">
        <v>1553.4</v>
      </c>
      <c r="L211" s="4" t="n">
        <v>192</v>
      </c>
      <c r="M211" s="4" t="n">
        <v>58</v>
      </c>
      <c r="N211" s="5" t="n">
        <v>2758.6</v>
      </c>
      <c r="O211" s="3" t="inlineStr">
        <is>
          <t>nan</t>
        </is>
      </c>
      <c r="P211" s="6">
        <f>HYPERLINK("https://fin.land.naver.com/articles/2652438889", "매물Link")</f>
        <v/>
      </c>
      <c r="Q211" s="6">
        <f>HYPERLINK("https://map.naver.com/p/search/아름동 875", "지도Link")</f>
        <v/>
      </c>
      <c r="R211" s="6">
        <f>HYPERLINK("http://www.eum.go.kr/web/ar/lu/luLandDet.jsp?pnu=3611011300108750000&amp;isNoScr=script&amp;mode=search", "토지이음")</f>
        <v/>
      </c>
      <c r="S211" s="3" t="inlineStr">
        <is>
          <t>세종갑부</t>
        </is>
      </c>
      <c r="T211" s="4" t="n">
        <v>1</v>
      </c>
      <c r="U211" s="5" t="n">
        <v>339.5</v>
      </c>
      <c r="V211" s="4" t="n">
        <v>340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소로한면</t>
        </is>
      </c>
    </row>
    <row r="212">
      <c r="A212" s="3" t="inlineStr">
        <is>
          <t>아름동 875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160000</v>
      </c>
      <c r="H212" s="4" t="n">
        <v>0</v>
      </c>
      <c r="I212" s="4" t="n">
        <v>340</v>
      </c>
      <c r="J212" s="4" t="n">
        <v>103</v>
      </c>
      <c r="K212" s="5" t="n">
        <v>1553.4</v>
      </c>
      <c r="L212" s="4" t="n">
        <v>192</v>
      </c>
      <c r="M212" s="4" t="n">
        <v>58</v>
      </c>
      <c r="N212" s="5" t="n">
        <v>2758.6</v>
      </c>
      <c r="O212" s="3" t="inlineStr">
        <is>
          <t>입주협의 위치좋은 단독주택 관리상태굿 가격조정가능</t>
        </is>
      </c>
      <c r="P212" s="6">
        <f>HYPERLINK("https://fin.land.naver.com/articles/2650696710", "매물Link")</f>
        <v/>
      </c>
      <c r="Q212" s="6">
        <f>HYPERLINK("https://map.naver.com/p/search/아름동 875", "지도Link")</f>
        <v/>
      </c>
      <c r="R212" s="6">
        <f>HYPERLINK("http://www.eum.go.kr/web/ar/lu/luLandDet.jsp?pnu=3611011300108750000&amp;isNoScr=script&amp;mode=search", "토지이음")</f>
        <v/>
      </c>
      <c r="S212" s="3" t="inlineStr">
        <is>
          <t>고운동리치세종</t>
        </is>
      </c>
      <c r="T212" s="4" t="n">
        <v>1</v>
      </c>
      <c r="U212" s="5" t="n">
        <v>339.5</v>
      </c>
      <c r="V212" s="4" t="n">
        <v>340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소로한면</t>
        </is>
      </c>
    </row>
    <row r="213">
      <c r="A213" s="3" t="inlineStr">
        <is>
          <t>아름동 959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160000</v>
      </c>
      <c r="H213" s="4" t="n">
        <v>0</v>
      </c>
      <c r="I213" s="4" t="n">
        <v>357</v>
      </c>
      <c r="J213" s="4" t="n">
        <v>108</v>
      </c>
      <c r="K213" s="5" t="n">
        <v>1481.5</v>
      </c>
      <c r="L213" s="4" t="n">
        <v>248</v>
      </c>
      <c r="M213" s="4" t="n">
        <v>75</v>
      </c>
      <c r="N213" s="5" t="n">
        <v>2133.3</v>
      </c>
      <c r="O213" s="3" t="inlineStr">
        <is>
          <t>방5개, 화장실2개, 고급 단독주택, 태양광</t>
        </is>
      </c>
      <c r="P213" s="6">
        <f>HYPERLINK("https://fin.land.naver.com/articles/2651949107", "매물Link")</f>
        <v/>
      </c>
      <c r="Q213" s="6">
        <f>HYPERLINK("https://map.naver.com/p/search/아름동 959", "지도Link")</f>
        <v/>
      </c>
      <c r="R213" s="6">
        <f>HYPERLINK("http://www.eum.go.kr/web/ar/lu/luLandDet.jsp?pnu=3611011300109590000&amp;isNoScr=script&amp;mode=search",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327.2</v>
      </c>
      <c r="V213" s="4" t="n">
        <v>357.9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아름동 959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357</v>
      </c>
      <c r="J214" s="4" t="n">
        <v>108</v>
      </c>
      <c r="K214" s="5" t="n">
        <v>1481.5</v>
      </c>
      <c r="L214" s="4" t="n">
        <v>248</v>
      </c>
      <c r="M214" s="4" t="n">
        <v>75</v>
      </c>
      <c r="N214" s="5" t="n">
        <v>2133.3</v>
      </c>
      <c r="O214" s="3" t="inlineStr">
        <is>
          <t>고급 단독주택 매매, 태양광 설치, 1층에 방2개</t>
        </is>
      </c>
      <c r="P214" s="6">
        <f>HYPERLINK("https://fin.land.naver.com/articles/2652844353", "매물Link")</f>
        <v/>
      </c>
      <c r="Q214" s="6">
        <f>HYPERLINK("https://map.naver.com/p/search/아름동 959", "지도Link")</f>
        <v/>
      </c>
      <c r="R214" s="6">
        <f>HYPERLINK("http://www.eum.go.kr/web/ar/lu/luLandDet.jsp?pnu=3611011300109590000&amp;isNoScr=script&amp;mode=search",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327.2</v>
      </c>
      <c r="V214" s="4" t="n">
        <v>357.9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아름동 959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357</v>
      </c>
      <c r="J215" s="4" t="n">
        <v>108</v>
      </c>
      <c r="K215" s="5" t="n">
        <v>1481.5</v>
      </c>
      <c r="L215" s="4" t="n">
        <v>248</v>
      </c>
      <c r="M215" s="4" t="n">
        <v>75</v>
      </c>
      <c r="N215" s="5" t="n">
        <v>2133.3</v>
      </c>
      <c r="O215" s="3" t="inlineStr">
        <is>
          <t>조율가능 유럽풍스타일 1층 방2개 거실넓은 철콘주택</t>
        </is>
      </c>
      <c r="P215" s="6">
        <f>HYPERLINK("https://fin.land.naver.com/articles/2651088324", "매물Link")</f>
        <v/>
      </c>
      <c r="Q215" s="6">
        <f>HYPERLINK("https://map.naver.com/p/search/아름동 959", "지도Link")</f>
        <v/>
      </c>
      <c r="R215" s="6">
        <f>HYPERLINK("http://www.eum.go.kr/web/ar/lu/luLandDet.jsp?pnu=3611011300109590000&amp;isNoScr=script&amp;mode=search",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327.2</v>
      </c>
      <c r="V215" s="4" t="n">
        <v>357.9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아름동 991</t>
        </is>
      </c>
      <c r="B216" s="3" t="inlineStr">
        <is>
          <t>제1종전용주거지역</t>
        </is>
      </c>
      <c r="C216" s="3" t="inlineStr">
        <is>
          <t>공원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200000</v>
      </c>
      <c r="H216" s="4" t="n">
        <v>0</v>
      </c>
      <c r="I216" s="4" t="n">
        <v>325</v>
      </c>
      <c r="J216" s="4" t="n">
        <v>98</v>
      </c>
      <c r="K216" s="5" t="n">
        <v>2040.8</v>
      </c>
      <c r="L216" s="4" t="n">
        <v>278</v>
      </c>
      <c r="M216" s="4" t="n">
        <v>84</v>
      </c>
      <c r="N216" s="5" t="n">
        <v>2381</v>
      </c>
      <c r="O216" s="3" t="inlineStr">
        <is>
          <t>생명나무,아름동 고급주택 .꼼꼼하게 신경썼어요 관리상태 최상</t>
        </is>
      </c>
      <c r="P216" s="6">
        <f>HYPERLINK("https://fin.land.naver.com/articles/2649691019", "매물Link")</f>
        <v/>
      </c>
      <c r="Q216" s="6">
        <f>HYPERLINK("https://map.naver.com/p/search/아름동 991", "지도Link")</f>
        <v/>
      </c>
      <c r="R216" s="6">
        <f>HYPERLINK("http://www.eum.go.kr/web/ar/lu/luLandDet.jsp?pnu=3611011300109910000&amp;isNoScr=script&amp;mode=search", "토지이음")</f>
        <v/>
      </c>
      <c r="S216" s="3" t="inlineStr">
        <is>
          <t>생명나무</t>
        </is>
      </c>
      <c r="T216" s="4" t="n">
        <v>1</v>
      </c>
      <c r="U216" s="5" t="n">
        <v>110.7</v>
      </c>
      <c r="V216" s="4" t="n">
        <v>336.9</v>
      </c>
      <c r="W216" s="3" t="inlineStr">
        <is>
          <t>지정되지않음</t>
        </is>
      </c>
      <c r="X216" s="3" t="inlineStr">
        <is>
          <t>공원등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지정되지않음</t>
        </is>
      </c>
    </row>
    <row r="217">
      <c r="A217" s="3" t="inlineStr">
        <is>
          <t>아름동 993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200000</v>
      </c>
      <c r="H217" s="4" t="n">
        <v>0</v>
      </c>
      <c r="I217" s="4" t="n">
        <v>325</v>
      </c>
      <c r="J217" s="4" t="n">
        <v>98</v>
      </c>
      <c r="K217" s="5" t="n">
        <v>2040.8</v>
      </c>
      <c r="L217" s="4" t="n">
        <v>278</v>
      </c>
      <c r="M217" s="4" t="n">
        <v>84</v>
      </c>
      <c r="N217" s="5" t="n">
        <v>2381</v>
      </c>
      <c r="O217" s="3" t="inlineStr">
        <is>
          <t>방4개, 화장실3개, 벙커주차장가능, 지대높아 뷰 굿</t>
        </is>
      </c>
      <c r="P217" s="6">
        <f>HYPERLINK("https://fin.land.naver.com/articles/2652883582", "매물Link")</f>
        <v/>
      </c>
      <c r="Q217" s="6">
        <f>HYPERLINK("https://map.naver.com/p/search/아름동 993", "지도Link")</f>
        <v/>
      </c>
      <c r="R217" s="6">
        <f>HYPERLINK("http://www.eum.go.kr/web/ar/lu/luLandDet.jsp?pnu=3611011300109930000&amp;isNoScr=script&amp;mode=search", "토지이음")</f>
        <v/>
      </c>
      <c r="S217" s="3" t="inlineStr">
        <is>
          <t>세종무지개</t>
        </is>
      </c>
      <c r="T217" s="4" t="n">
        <v>1</v>
      </c>
      <c r="U217" s="5" t="n">
        <v>335.5</v>
      </c>
      <c r="V217" s="4" t="n">
        <v>325.8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993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200000</v>
      </c>
      <c r="H218" s="4" t="n">
        <v>0</v>
      </c>
      <c r="I218" s="4" t="n">
        <v>325</v>
      </c>
      <c r="J218" s="4" t="n">
        <v>98</v>
      </c>
      <c r="K218" s="5" t="n">
        <v>2040.8</v>
      </c>
      <c r="L218" s="4" t="n">
        <v>278</v>
      </c>
      <c r="M218" s="4" t="n">
        <v>84</v>
      </c>
      <c r="N218" s="5" t="n">
        <v>2381</v>
      </c>
      <c r="O218" s="3" t="inlineStr">
        <is>
          <t>전용 84.4p, 방4개, 화장실3개, 고급 단독주택, 관리잘된집</t>
        </is>
      </c>
      <c r="P218" s="6">
        <f>HYPERLINK("https://fin.land.naver.com/articles/2647443517", "매물Link")</f>
        <v/>
      </c>
      <c r="Q218" s="6">
        <f>HYPERLINK("https://map.naver.com/p/search/아름동 993", "지도Link")</f>
        <v/>
      </c>
      <c r="R218" s="6">
        <f>HYPERLINK("http://www.eum.go.kr/web/ar/lu/luLandDet.jsp?pnu=3611011300109930000&amp;isNoScr=script&amp;mode=search",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335.5</v>
      </c>
      <c r="V218" s="4" t="n">
        <v>325.8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아름동 993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동네전체 내려보이는 높은위치 벙커주차장2대 개방감최상</t>
        </is>
      </c>
      <c r="P219" s="6">
        <f>HYPERLINK("https://fin.land.naver.com/articles/2652442556", "매물Link")</f>
        <v/>
      </c>
      <c r="Q219" s="6">
        <f>HYPERLINK("https://map.naver.com/p/search/아름동 993", "지도Link")</f>
        <v/>
      </c>
      <c r="R219" s="6">
        <f>HYPERLINK("http://www.eum.go.kr/web/ar/lu/luLandDet.jsp?pnu=3611011300109930000&amp;isNoScr=script&amp;mode=search",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335.5</v>
      </c>
      <c r="V219" s="4" t="n">
        <v>325.8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소로한면</t>
        </is>
      </c>
    </row>
    <row r="220">
      <c r="A220" s="3" t="inlineStr">
        <is>
          <t>연동면 내판리 17-11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39000</v>
      </c>
      <c r="H220" s="4" t="n">
        <v>0</v>
      </c>
      <c r="I220" s="4" t="n">
        <v>284</v>
      </c>
      <c r="J220" s="4" t="n">
        <v>86</v>
      </c>
      <c r="K220" s="5" t="n">
        <v>453.5</v>
      </c>
      <c r="L220" s="4" t="n">
        <v>65</v>
      </c>
      <c r="M220" s="4" t="n">
        <v>20</v>
      </c>
      <c r="N220" s="5" t="n">
        <v>1950</v>
      </c>
      <c r="O220" s="3" t="inlineStr">
        <is>
          <t>총2필지 340㎡,세종행정중심복합도시 ,오송역 세종 청주고속도로예정</t>
        </is>
      </c>
      <c r="P220" s="6">
        <f>HYPERLINK("https://fin.land.naver.com/articles/2650782396", "매물Link")</f>
        <v/>
      </c>
      <c r="Q220" s="6">
        <f>HYPERLINK("https://map.naver.com/p/search/연동면 내판리 17-11", "지도Link")</f>
        <v/>
      </c>
      <c r="R220" s="6">
        <f>HYPERLINK("http://www.eum.go.kr/web/ar/lu/luLandDet.jsp?pnu=3611032021100170011&amp;isNoScr=script&amp;mode=search", "토지이음")</f>
        <v/>
      </c>
      <c r="S220" s="3" t="inlineStr">
        <is>
          <t>단골</t>
        </is>
      </c>
      <c r="T220" s="4" t="n">
        <v>1</v>
      </c>
      <c r="U220" s="5" t="n">
        <v>125.8</v>
      </c>
      <c r="V220" s="4" t="n">
        <v>284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내판리 425-4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65000</v>
      </c>
      <c r="H221" s="4" t="n">
        <v>0</v>
      </c>
      <c r="I221" s="4" t="n">
        <v>579</v>
      </c>
      <c r="J221" s="4" t="n">
        <v>175</v>
      </c>
      <c r="K221" s="5" t="n">
        <v>371.4</v>
      </c>
      <c r="L221" s="4" t="n">
        <v>93</v>
      </c>
      <c r="M221" s="4" t="n">
        <v>28</v>
      </c>
      <c r="N221" s="5" t="n">
        <v>2321.4</v>
      </c>
      <c r="O221" s="3" t="inlineStr">
        <is>
          <t>조용하고 살기좋은 전원주택 매매</t>
        </is>
      </c>
      <c r="P221" s="6">
        <f>HYPERLINK("https://fin.land.naver.com/articles/2649113394", "매물Link")</f>
        <v/>
      </c>
      <c r="Q221" s="6">
        <f>HYPERLINK("https://map.naver.com/p/search/연동면 내판리 425-4", "지도Link")</f>
        <v/>
      </c>
      <c r="R221" s="6">
        <f>HYPERLINK("http://www.eum.go.kr/web/ar/lu/luLandDet.jsp?pnu=3611032021104250004&amp;isNoScr=script&amp;mode=search", "토지이음")</f>
        <v/>
      </c>
      <c r="S221" s="3" t="inlineStr">
        <is>
          <t>으뜸</t>
        </is>
      </c>
      <c r="T221" s="4" t="n">
        <v>1</v>
      </c>
      <c r="U221" s="5" t="n">
        <v>73.2</v>
      </c>
      <c r="V221" s="4" t="n">
        <v>499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노송리 271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15000</v>
      </c>
      <c r="H222" s="4" t="n">
        <v>0</v>
      </c>
      <c r="I222" s="4" t="n">
        <v>357</v>
      </c>
      <c r="J222" s="4" t="n">
        <v>108</v>
      </c>
      <c r="K222" s="5" t="n">
        <v>138.9</v>
      </c>
      <c r="L222" s="4" t="n">
        <v>109</v>
      </c>
      <c r="M222" s="4" t="n">
        <v>33</v>
      </c>
      <c r="N222" s="5" t="n">
        <v>454.5</v>
      </c>
      <c r="O222" s="3" t="inlineStr">
        <is>
          <t>노송리 단독주택 텃밭가능합니다</t>
        </is>
      </c>
      <c r="P222" s="6">
        <f>HYPERLINK("https://fin.land.naver.com/articles/2647820750", "매물Link")</f>
        <v/>
      </c>
      <c r="Q222" s="6">
        <f>HYPERLINK("https://map.naver.com/p/search/연동면 노송리 271", "지도Link")</f>
        <v/>
      </c>
      <c r="R222" s="6">
        <f>HYPERLINK("http://www.eum.go.kr/web/ar/lu/luLandDet.jsp?pnu=3611032025102710000&amp;isNoScr=script&amp;mode=search",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72</v>
      </c>
      <c r="V222" s="4" t="n">
        <v>357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세로각지(가)</t>
        </is>
      </c>
    </row>
    <row r="223">
      <c r="A223" s="3" t="inlineStr">
        <is>
          <t>연동면 노송리 28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180000</v>
      </c>
      <c r="H223" s="4" t="n">
        <v>0</v>
      </c>
      <c r="I223" s="4" t="n">
        <v>1756</v>
      </c>
      <c r="J223" s="4" t="n">
        <v>531</v>
      </c>
      <c r="K223" s="5" t="n">
        <v>339</v>
      </c>
      <c r="L223" s="4" t="n">
        <v>191</v>
      </c>
      <c r="M223" s="4" t="n">
        <v>58</v>
      </c>
      <c r="N223" s="5" t="n">
        <v>3103.4</v>
      </c>
      <c r="O223" s="3" t="inlineStr">
        <is>
          <t>남향의 2층 전원주택</t>
        </is>
      </c>
      <c r="P223" s="6">
        <f>HYPERLINK("https://fin.land.naver.com/articles/2651838387", "매물Link")</f>
        <v/>
      </c>
      <c r="Q223" s="6">
        <f>HYPERLINK("https://map.naver.com/p/search/연동면 노송리 28", "지도Link")</f>
        <v/>
      </c>
      <c r="R223" s="6">
        <f>HYPERLINK("http://www.eum.go.kr/web/ar/lu/luLandDet.jsp?pnu=3611032025100280000&amp;isNoScr=script&amp;mode=search", "토지이음")</f>
        <v/>
      </c>
      <c r="S223" s="3" t="inlineStr">
        <is>
          <t>보람최고</t>
        </is>
      </c>
      <c r="T223" s="4" t="n">
        <v>1</v>
      </c>
      <c r="U223" s="5" t="n">
        <v>68.90000000000001</v>
      </c>
      <c r="V223" s="4" t="n">
        <v>1001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세로각지(가)</t>
        </is>
      </c>
    </row>
    <row r="224">
      <c r="A224" s="3" t="inlineStr">
        <is>
          <t>연동면 명학리 217-1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17000</v>
      </c>
      <c r="H224" s="4" t="n">
        <v>0</v>
      </c>
      <c r="I224" s="4" t="n">
        <v>176</v>
      </c>
      <c r="J224" s="4" t="n">
        <v>53</v>
      </c>
      <c r="K224" s="5" t="n">
        <v>320.8</v>
      </c>
      <c r="L224" s="4" t="n">
        <v>52</v>
      </c>
      <c r="M224" s="4" t="n">
        <v>16</v>
      </c>
      <c r="N224" s="5" t="n">
        <v>1062.5</v>
      </c>
      <c r="O224" s="3" t="inlineStr">
        <is>
          <t>태양광,도시가스 사용, 소액 투자, 세컨하우스, 주말별장, 실거주도 추천</t>
        </is>
      </c>
      <c r="P224" s="6">
        <f>HYPERLINK("https://fin.land.naver.com/articles/2652143034", "매물Link")</f>
        <v/>
      </c>
      <c r="Q224" s="6">
        <f>HYPERLINK("https://map.naver.com/p/search/연동면 명학리 217-1", "지도Link")</f>
        <v/>
      </c>
      <c r="R224" s="6">
        <f>HYPERLINK("http://www.eum.go.kr/web/ar/lu/luLandDet.jsp?pnu=3611032023102170001&amp;isNoScr=script&amp;mode=search", "토지이음")</f>
        <v/>
      </c>
      <c r="S224" s="3" t="inlineStr">
        <is>
          <t>수자인시티</t>
        </is>
      </c>
      <c r="T224" s="4" t="n">
        <v>1</v>
      </c>
      <c r="U224" s="5" t="n">
        <v>98.7</v>
      </c>
      <c r="V224" s="4" t="n">
        <v>176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연동면 송용리 206-6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398</v>
      </c>
      <c r="J225" s="4" t="n">
        <v>120</v>
      </c>
      <c r="K225" s="5" t="n">
        <v>208.3</v>
      </c>
      <c r="L225" s="4" t="n">
        <v>84</v>
      </c>
      <c r="M225" s="4" t="n">
        <v>25</v>
      </c>
      <c r="N225" s="5" t="n">
        <v>1000</v>
      </c>
      <c r="O225" s="3" t="inlineStr">
        <is>
          <t>송용리 단독 신축 위치 좋습니다</t>
        </is>
      </c>
      <c r="P225" s="6">
        <f>HYPERLINK("https://fin.land.naver.com/articles/2647818075", "매물Link")</f>
        <v/>
      </c>
      <c r="Q225" s="6">
        <f>HYPERLINK("https://map.naver.com/p/search/연동면 송용리 206-6", "지도Link")</f>
        <v/>
      </c>
      <c r="R225" s="6">
        <f>HYPERLINK("http://www.eum.go.kr/web/ar/lu/luLandDet.jsp?pnu=3611032027102060006&amp;isNoScr=script&amp;mode=search",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77.7</v>
      </c>
      <c r="V225" s="4" t="n">
        <v>398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세로한면(불)</t>
        </is>
      </c>
    </row>
    <row r="226">
      <c r="A226" s="3" t="inlineStr">
        <is>
          <t>연동면 예양리 27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656</v>
      </c>
      <c r="J226" s="4" t="n">
        <v>198</v>
      </c>
      <c r="K226" s="5" t="n">
        <v>227.3</v>
      </c>
      <c r="L226" s="4" t="n">
        <v>79</v>
      </c>
      <c r="M226" s="4" t="n">
        <v>24</v>
      </c>
      <c r="N226" s="5" t="n">
        <v>1875</v>
      </c>
      <c r="O226" s="3" t="inlineStr">
        <is>
          <t>예양교차로인근에 위치  교통편리 버스정류장도 바로앞에 있습니다</t>
        </is>
      </c>
      <c r="P226" s="6">
        <f>HYPERLINK("https://fin.land.naver.com/articles/2653055468", "매물Link")</f>
        <v/>
      </c>
      <c r="Q226" s="6">
        <f>HYPERLINK("https://map.naver.com/p/search/연동면 예양리 27", "지도Link")</f>
        <v/>
      </c>
      <c r="R226" s="6">
        <f>HYPERLINK("http://www.eum.go.kr/web/ar/lu/luLandDet.jsp?pnu=3611032026100270000&amp;isNoScr=script&amp;mode=search", "토지이음")</f>
        <v/>
      </c>
      <c r="S226" s="3" t="inlineStr">
        <is>
          <t>시드니</t>
        </is>
      </c>
      <c r="T226" s="4" t="n">
        <v>1</v>
      </c>
      <c r="U226" s="5" t="n">
        <v>65.3</v>
      </c>
      <c r="V226" s="4" t="n">
        <v>656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1230</v>
      </c>
      <c r="J227" s="4" t="n">
        <v>372</v>
      </c>
      <c r="K227" s="5" t="n">
        <v>147.8</v>
      </c>
      <c r="L227" s="4" t="n">
        <v>79</v>
      </c>
      <c r="M227" s="4" t="n">
        <v>24</v>
      </c>
      <c r="N227" s="5" t="n">
        <v>2291.7</v>
      </c>
      <c r="O227" s="3" t="inlineStr">
        <is>
          <t>nan</t>
        </is>
      </c>
      <c r="P227" s="6">
        <f>HYPERLINK("https://fin.land.naver.com/articles/2651986983",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오송퍼스트영웅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640-1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21000</v>
      </c>
      <c r="H228" s="4" t="n">
        <v>0</v>
      </c>
      <c r="I228" s="4" t="n">
        <v>259</v>
      </c>
      <c r="J228" s="4" t="n">
        <v>78</v>
      </c>
      <c r="K228" s="5" t="n">
        <v>269.2</v>
      </c>
      <c r="L228" s="4" t="n">
        <v>92</v>
      </c>
      <c r="M228" s="4" t="n">
        <v>28</v>
      </c>
      <c r="N228" s="5" t="n">
        <v>750</v>
      </c>
      <c r="O228" s="3" t="inlineStr">
        <is>
          <t>세종시 공기좋고 한적한 곳 저렴한 시골집 세컨하우스 주말주택</t>
        </is>
      </c>
      <c r="P228" s="6">
        <f>HYPERLINK("https://fin.land.naver.com/articles/2651693393", "매물Link")</f>
        <v/>
      </c>
      <c r="Q228" s="6">
        <f>HYPERLINK("https://map.naver.com/p/search/연동면 예양리 640-1", "지도Link")</f>
        <v/>
      </c>
      <c r="R228" s="6">
        <f>HYPERLINK("http://www.eum.go.kr/web/ar/lu/luLandDet.jsp?pnu=3611032026106400001&amp;isNoScr=script&amp;mode=search", "토지이음")</f>
        <v/>
      </c>
      <c r="S228" s="3" t="inlineStr">
        <is>
          <t>청담</t>
        </is>
      </c>
      <c r="T228" s="4" t="n">
        <v>1</v>
      </c>
      <c r="U228" s="5" t="n">
        <v>60.4</v>
      </c>
      <c r="V228" s="4" t="n">
        <v>259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연동면 예양리 642-4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28000</v>
      </c>
      <c r="H229" s="4" t="n">
        <v>0</v>
      </c>
      <c r="I229" s="4" t="n">
        <v>480</v>
      </c>
      <c r="J229" s="4" t="n">
        <v>145</v>
      </c>
      <c r="K229" s="5" t="n">
        <v>193.1</v>
      </c>
      <c r="L229" s="4" t="n">
        <v>168</v>
      </c>
      <c r="M229" s="4" t="n">
        <v>51</v>
      </c>
      <c r="N229" s="5" t="n">
        <v>549</v>
      </c>
      <c r="O229" s="3" t="inlineStr">
        <is>
          <t>즉시입주.넓은 마당과 텃밭.저렴매매.전원주택의 여유를 느껴보세요.</t>
        </is>
      </c>
      <c r="P229" s="6">
        <f>HYPERLINK("https://fin.land.naver.com/articles/2651510028", "매물Link")</f>
        <v/>
      </c>
      <c r="Q229" s="6">
        <f>HYPERLINK("https://map.naver.com/p/search/연동면 예양리 642-4", "지도Link")</f>
        <v/>
      </c>
      <c r="R229" s="6">
        <f>HYPERLINK("http://www.eum.go.kr/web/ar/lu/luLandDet.jsp?pnu=3611032026106420004&amp;isNoScr=script&amp;mode=search", "토지이음")</f>
        <v/>
      </c>
      <c r="S229" s="3" t="inlineStr">
        <is>
          <t>수자인</t>
        </is>
      </c>
      <c r="T229" s="4" t="n">
        <v>1</v>
      </c>
      <c r="U229" s="5" t="n">
        <v>60.4</v>
      </c>
      <c r="V229" s="4" t="n">
        <v>480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480</v>
      </c>
      <c r="J230" s="4" t="n">
        <v>145</v>
      </c>
      <c r="K230" s="5" t="n">
        <v>172.4</v>
      </c>
      <c r="L230" s="4" t="n">
        <v>168</v>
      </c>
      <c r="M230" s="4" t="n">
        <v>51</v>
      </c>
      <c r="N230" s="5" t="n">
        <v>490.2</v>
      </c>
      <c r="O230" s="3" t="inlineStr">
        <is>
          <t>nan</t>
        </is>
      </c>
      <c r="P230" s="6">
        <f>HYPERLINK("https://fin.land.naver.com/articles/2652759291",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효자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480</v>
      </c>
      <c r="J231" s="4" t="n">
        <v>145</v>
      </c>
      <c r="K231" s="5" t="n">
        <v>179.3</v>
      </c>
      <c r="L231" s="4" t="n">
        <v>168</v>
      </c>
      <c r="M231" s="4" t="n">
        <v>51</v>
      </c>
      <c r="N231" s="5" t="n">
        <v>509.8</v>
      </c>
      <c r="O231" s="3" t="inlineStr">
        <is>
          <t>텃밭 농가주택 세종 투자처</t>
        </is>
      </c>
      <c r="P231" s="6">
        <f>HYPERLINK("https://fin.land.naver.com/articles/2648818918",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뜨란채청춘  사무소</t>
        </is>
      </c>
      <c r="T231" s="4" t="n">
        <v>2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HYPERLINK("https://fin.land.naver.com/articles/2648221451",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199-4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27000</v>
      </c>
      <c r="H233" s="4" t="n">
        <v>0</v>
      </c>
      <c r="I233" s="4" t="n">
        <v>464</v>
      </c>
      <c r="J233" s="4" t="n">
        <v>140</v>
      </c>
      <c r="K233" s="5" t="n">
        <v>192.9</v>
      </c>
      <c r="L233" s="4" t="n">
        <v>89</v>
      </c>
      <c r="M233" s="4" t="n">
        <v>27</v>
      </c>
      <c r="N233" s="5" t="n">
        <v>1000</v>
      </c>
      <c r="O233" s="3" t="inlineStr">
        <is>
          <t>0초이스0 전세 안고 투자도 가능</t>
        </is>
      </c>
      <c r="P233" s="6">
        <f>HYPERLINK("https://fin.land.naver.com/articles/2649446382", "매물Link")</f>
        <v/>
      </c>
      <c r="Q233" s="6">
        <f>HYPERLINK("https://map.naver.com/p/search/연동면 응암리 199-4", "지도Link")</f>
        <v/>
      </c>
      <c r="R233" s="6">
        <f>HYPERLINK("http://www.eum.go.kr/web/ar/lu/luLandDet.jsp?pnu=3611032024101990004&amp;isNoScr=script&amp;mode=search", "토지이음")</f>
        <v/>
      </c>
      <c r="S233" s="3" t="inlineStr">
        <is>
          <t>세종초이스</t>
        </is>
      </c>
      <c r="T233" s="4" t="n">
        <v>1</v>
      </c>
      <c r="U233" s="5" t="n">
        <v>59.8</v>
      </c>
      <c r="V233" s="4" t="n">
        <v>464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응암리 632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35000</v>
      </c>
      <c r="H234" s="4" t="n">
        <v>0</v>
      </c>
      <c r="I234" s="4" t="n">
        <v>456</v>
      </c>
      <c r="J234" s="4" t="n">
        <v>138</v>
      </c>
      <c r="K234" s="5" t="n">
        <v>253.6</v>
      </c>
      <c r="L234" s="4" t="n">
        <v>66</v>
      </c>
      <c r="M234" s="4" t="n">
        <v>20</v>
      </c>
      <c r="N234" s="5" t="n">
        <v>1750</v>
      </c>
      <c r="O234" s="3" t="inlineStr">
        <is>
          <t>위치 매우 좋은 연동면 응암리 리모델링 추천 I 단독주택 I 텃밭 가능</t>
        </is>
      </c>
      <c r="P234" s="6">
        <f>HYPERLINK("https://fin.land.naver.com/articles/2647854285", "매물Link")</f>
        <v/>
      </c>
      <c r="Q234" s="6">
        <f>HYPERLINK("https://map.naver.com/p/search/연동면 응암리 632", "지도Link")</f>
        <v/>
      </c>
      <c r="R234" s="6">
        <f>HYPERLINK("http://www.eum.go.kr/web/ar/lu/luLandDet.jsp?pnu=3611032024106320000&amp;isNoScr=script&amp;mode=search", "토지이음")</f>
        <v/>
      </c>
      <c r="S234" s="3" t="inlineStr">
        <is>
          <t>세종신한</t>
        </is>
      </c>
      <c r="T234" s="4" t="n">
        <v>1</v>
      </c>
      <c r="U234" s="5" t="n">
        <v>85.7</v>
      </c>
      <c r="V234" s="4" t="n">
        <v>655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415-34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54200</v>
      </c>
      <c r="H235" s="4" t="n">
        <v>0</v>
      </c>
      <c r="I235" s="4" t="n">
        <v>725</v>
      </c>
      <c r="J235" s="4" t="n">
        <v>219</v>
      </c>
      <c r="K235" s="5" t="n">
        <v>247.5</v>
      </c>
      <c r="L235" s="4" t="n">
        <v>72</v>
      </c>
      <c r="M235" s="4" t="n">
        <v>22</v>
      </c>
      <c r="N235" s="5" t="n">
        <v>2463.6</v>
      </c>
      <c r="O235" s="3" t="inlineStr">
        <is>
          <t>고복저수지 초근접 한 매물이며,별장으로 활용해도 좋아요</t>
        </is>
      </c>
      <c r="P235" s="6">
        <f>HYPERLINK("https://fin.land.naver.com/articles/2647765328", "매물Link")</f>
        <v/>
      </c>
      <c r="Q235" s="6">
        <f>HYPERLINK("https://map.naver.com/p/search/연서면 고복리 415-34", "지도Link")</f>
        <v/>
      </c>
      <c r="R235" s="6">
        <f>HYPERLINK("http://www.eum.go.kr/web/ar/lu/luLandDet.jsp?pnu=3611036024104150034&amp;isNoScr=script&amp;mode=search", "토지이음")</f>
        <v/>
      </c>
      <c r="S235" s="3" t="inlineStr">
        <is>
          <t>지호주식회사</t>
        </is>
      </c>
      <c r="T235" s="4" t="n">
        <v>1</v>
      </c>
      <c r="U235" s="5" t="n">
        <v>122.9</v>
      </c>
      <c r="V235" s="4" t="n">
        <v>725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고복리 460-2</t>
        </is>
      </c>
      <c r="B236" s="3" t="inlineStr">
        <is>
          <t>자연환경보전지역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상가주택</t>
        </is>
      </c>
      <c r="F236" s="3" t="inlineStr">
        <is>
          <t>매매</t>
        </is>
      </c>
      <c r="G236" s="4" t="n">
        <v>195000</v>
      </c>
      <c r="H236" s="4" t="n">
        <v>0</v>
      </c>
      <c r="I236" s="4" t="n">
        <v>729</v>
      </c>
      <c r="J236" s="4" t="n">
        <v>221</v>
      </c>
      <c r="K236" s="5" t="n">
        <v>882.4</v>
      </c>
      <c r="L236" s="4" t="n">
        <v>378</v>
      </c>
      <c r="M236" s="4" t="n">
        <v>114</v>
      </c>
      <c r="N236" s="5" t="n">
        <v>1710.5</v>
      </c>
      <c r="O236" s="3" t="inlineStr">
        <is>
          <t>고복저수지가 보이는 곳에 2층 상가주택</t>
        </is>
      </c>
      <c r="P236" s="6">
        <f>HYPERLINK("https://fin.land.naver.com/articles/2651253733", "매물Link")</f>
        <v/>
      </c>
      <c r="Q236" s="6">
        <f>HYPERLINK("https://map.naver.com/p/search/연서면 고복리 460-2", "지도Link")</f>
        <v/>
      </c>
      <c r="R236" s="6">
        <f>HYPERLINK("http://www.eum.go.kr/web/ar/lu/luLandDet.jsp?pnu=3611036024104600002&amp;isNoScr=script&amp;mode=search", "토지이음")</f>
        <v/>
      </c>
      <c r="S236" s="3" t="inlineStr">
        <is>
          <t>세종토박이</t>
        </is>
      </c>
      <c r="T236" s="4" t="n">
        <v>1</v>
      </c>
      <c r="U236" s="5" t="n">
        <v>92.3</v>
      </c>
      <c r="V236" s="4" t="n">
        <v>729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556-16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503</v>
      </c>
      <c r="J237" s="4" t="n">
        <v>152</v>
      </c>
      <c r="K237" s="5" t="n">
        <v>394.7</v>
      </c>
      <c r="L237" s="4" t="n">
        <v>123</v>
      </c>
      <c r="M237" s="4" t="n">
        <v>37</v>
      </c>
      <c r="N237" s="5" t="n">
        <v>1621.6</v>
      </c>
      <c r="O237" s="3" t="inlineStr">
        <is>
          <t>고복저수지 조망있는 단독주택,별장용</t>
        </is>
      </c>
      <c r="P237" s="6">
        <f>HYPERLINK("https://fin.land.naver.com/articles/2648746607", "매물Link")</f>
        <v/>
      </c>
      <c r="Q237" s="6">
        <f>HYPERLINK("https://map.naver.com/p/search/연서면 고복리 556-16", "지도Link")</f>
        <v/>
      </c>
      <c r="R237" s="6">
        <f>HYPERLINK("http://www.eum.go.kr/web/ar/lu/luLandDet.jsp?pnu=3611036024105560016&amp;isNoScr=script&amp;mode=search",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119.4</v>
      </c>
      <c r="V237" s="4" t="n">
        <v>656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54000</v>
      </c>
      <c r="H239" s="4" t="n">
        <v>0</v>
      </c>
      <c r="I239" s="4" t="n">
        <v>741</v>
      </c>
      <c r="J239" s="4" t="n">
        <v>224</v>
      </c>
      <c r="K239" s="5" t="n">
        <v>241.1</v>
      </c>
      <c r="L239" s="4" t="n">
        <v>156</v>
      </c>
      <c r="M239" s="4" t="n">
        <v>47</v>
      </c>
      <c r="N239" s="5" t="n">
        <v>1148.9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421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HYPERLINK("https://fin.land.naver.com/articles/2651024368",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36</v>
      </c>
      <c r="I242" s="4" t="n">
        <v>0</v>
      </c>
      <c r="J242" s="4" t="n">
        <v>0</v>
      </c>
      <c r="K242" s="5" t="n">
        <v>0</v>
      </c>
      <c r="L242" s="4" t="n">
        <v>25</v>
      </c>
      <c r="M242" s="4" t="n">
        <v>8</v>
      </c>
      <c r="N242" s="5" t="n">
        <v>4.5</v>
      </c>
      <c r="O242" s="3" t="inlineStr">
        <is>
          <t>가성비좋은 풀옵션 방  깔끔한 주방분리  짐만 챙겨오세요  교통편리</t>
        </is>
      </c>
      <c r="P242" s="6">
        <f>HYPERLINK("https://fin.land.naver.com/articles/2652970391", "매물Link")</f>
        <v/>
      </c>
      <c r="Q242" s="6">
        <f>HYPERLINK("https://map.naver.com/p/search/연서면 봉암리 112-32", "지도Link")</f>
        <v/>
      </c>
      <c r="R242" s="6">
        <f>HYPERLINK("http://www.eum.go.kr/web/ar/lu/luLandDet.jsp?pnu=3611036033101120032&amp;isNoScr=script&amp;mode=search",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181</v>
      </c>
      <c r="V242" s="4" t="n">
        <v>497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0</v>
      </c>
      <c r="J244" s="4" t="n">
        <v>0</v>
      </c>
      <c r="K244" s="5" t="n">
        <v>0</v>
      </c>
      <c r="L244" s="4" t="n">
        <v>30</v>
      </c>
      <c r="M244" s="4" t="n">
        <v>9</v>
      </c>
      <c r="N244" s="5" t="n">
        <v>3.9</v>
      </c>
      <c r="O244" s="3" t="inlineStr">
        <is>
          <t>가성비좋은 풀옵션 완비방   깔끔한 주방분리 짐만 챙겨오세요  해밀동5분</t>
        </is>
      </c>
      <c r="P244" s="6">
        <f>HYPERLINK("https://fin.land.naver.com/articles/2649064055",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100000</v>
      </c>
      <c r="H245" s="4" t="n">
        <v>0</v>
      </c>
      <c r="I245" s="4" t="n">
        <v>269</v>
      </c>
      <c r="J245" s="4" t="n">
        <v>81</v>
      </c>
      <c r="K245" s="5" t="n">
        <v>1234.6</v>
      </c>
      <c r="L245" s="4" t="n">
        <v>327</v>
      </c>
      <c r="M245" s="4" t="n">
        <v>99</v>
      </c>
      <c r="N245" s="5" t="n">
        <v>1010.1</v>
      </c>
      <c r="O245" s="3" t="inlineStr">
        <is>
          <t>상가주택 매매</t>
        </is>
      </c>
      <c r="P245" s="6">
        <f>HYPERLINK("https://fin.land.naver.com/articles/2648813394",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HYPERLINK("https://fin.land.naver.com/articles/2648813395",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HYPERLINK("https://fin.land.naver.com/articles/2651732014",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HYPERLINK("https://fin.land.naver.com/articles/2652972750",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234-37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다가구</t>
        </is>
      </c>
      <c r="F251" s="3" t="inlineStr">
        <is>
          <t>월세</t>
        </is>
      </c>
      <c r="G251" s="4" t="n">
        <v>200</v>
      </c>
      <c r="H251" s="4" t="n">
        <v>35</v>
      </c>
      <c r="I251" s="4" t="n">
        <v>24</v>
      </c>
      <c r="J251" s="4" t="n">
        <v>7</v>
      </c>
      <c r="K251" s="5" t="n">
        <v>5</v>
      </c>
      <c r="L251" s="4" t="n">
        <v>24</v>
      </c>
      <c r="M251" s="4" t="n">
        <v>7</v>
      </c>
      <c r="N251" s="5" t="n">
        <v>5</v>
      </c>
      <c r="O251" s="3" t="inlineStr">
        <is>
          <t>봉암리 1번국도 옆 교통좋고 깨끗한 원룸. 즉시입주</t>
        </is>
      </c>
      <c r="P251" s="6">
        <f>HYPERLINK("https://fin.land.naver.com/articles/2652253099", "매물Link")</f>
        <v/>
      </c>
      <c r="Q251" s="6">
        <f>HYPERLINK("https://map.naver.com/p/search/연서면 봉암리 234-37", "지도Link")</f>
        <v/>
      </c>
      <c r="R251" s="6">
        <f>HYPERLINK("http://www.eum.go.kr/web/ar/lu/luLandDet.jsp?pnu=3611036033102340037&amp;isNoScr=script&amp;mode=search", "토지이음")</f>
        <v/>
      </c>
      <c r="S251" s="3" t="inlineStr">
        <is>
          <t>세종대장</t>
        </is>
      </c>
      <c r="T251" s="4" t="n">
        <v>1</v>
      </c>
      <c r="U251" s="5" t="n">
        <v>172.4</v>
      </c>
      <c r="V251" s="4" t="n">
        <v>356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연서면 봉암리 391-1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연립</t>
        </is>
      </c>
      <c r="F252" s="3" t="inlineStr">
        <is>
          <t>매매</t>
        </is>
      </c>
      <c r="G252" s="4" t="n">
        <v>8500</v>
      </c>
      <c r="H252" s="4" t="n">
        <v>0</v>
      </c>
      <c r="I252" s="4" t="n">
        <v>89</v>
      </c>
      <c r="J252" s="4" t="n">
        <v>27</v>
      </c>
      <c r="K252" s="5" t="n">
        <v>314.8</v>
      </c>
      <c r="L252" s="4" t="n">
        <v>82</v>
      </c>
      <c r="M252" s="4" t="n">
        <v>25</v>
      </c>
      <c r="N252" s="5" t="n">
        <v>340</v>
      </c>
      <c r="O252" s="3" t="inlineStr">
        <is>
          <t>6생활권과 8차선 확장된 1번국도와 근접.  BRT도로가 생겨 교통이 편</t>
        </is>
      </c>
      <c r="P252" s="6">
        <f>HYPERLINK("https://fin.land.naver.com/articles/2650807841", "매물Link")</f>
        <v/>
      </c>
      <c r="Q252" s="6">
        <f>HYPERLINK("https://map.naver.com/p/search/연서면 봉암리 391-1", "지도Link")</f>
        <v/>
      </c>
      <c r="R252" s="6">
        <f>HYPERLINK("http://www.eum.go.kr/web/ar/lu/luLandDet.jsp?pnu=3611036033103910001&amp;isNoScr=script&amp;mode=search", "토지이음")</f>
        <v/>
      </c>
      <c r="S252" s="3" t="inlineStr">
        <is>
          <t>꿈드림</t>
        </is>
      </c>
      <c r="T252" s="4" t="n">
        <v>1</v>
      </c>
      <c r="U252" s="5" t="n">
        <v>127.9</v>
      </c>
      <c r="V252" s="4" t="n">
        <v>410</v>
      </c>
      <c r="W252" s="3" t="inlineStr">
        <is>
          <t>농림지역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427-3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33000</v>
      </c>
      <c r="H253" s="4" t="n">
        <v>0</v>
      </c>
      <c r="I253" s="4" t="n">
        <v>420</v>
      </c>
      <c r="J253" s="4" t="n">
        <v>127</v>
      </c>
      <c r="K253" s="5" t="n">
        <v>259.8</v>
      </c>
      <c r="L253" s="4" t="n">
        <v>82</v>
      </c>
      <c r="M253" s="4" t="n">
        <v>25</v>
      </c>
      <c r="N253" s="5" t="n">
        <v>1320</v>
      </c>
      <c r="O253" s="3" t="inlineStr">
        <is>
          <t>계획관리 대지,세종시 단독주택,수도,전기,보일러,6생활권,1번국도 등.</t>
        </is>
      </c>
      <c r="P253" s="6">
        <f>HYPERLINK("https://fin.land.naver.com/articles/2648310447", "매물Link")</f>
        <v/>
      </c>
      <c r="Q253" s="6">
        <f>HYPERLINK("https://map.naver.com/p/search/연서면 봉암리 427-3", "지도Link")</f>
        <v/>
      </c>
      <c r="R253" s="6">
        <f>HYPERLINK("http://www.eum.go.kr/web/ar/lu/luLandDet.jsp?pnu=3611036033104270003&amp;isNoScr=script&amp;mode=search", "토지이음")</f>
        <v/>
      </c>
      <c r="S253" s="3" t="inlineStr">
        <is>
          <t>열린자이</t>
        </is>
      </c>
      <c r="T253" s="4" t="n">
        <v>1</v>
      </c>
      <c r="U253" s="5" t="n">
        <v>134</v>
      </c>
      <c r="V253" s="4" t="n">
        <v>343.4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54-12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0</v>
      </c>
      <c r="J254" s="4" t="n">
        <v>0</v>
      </c>
      <c r="K254" s="5" t="n">
        <v>0</v>
      </c>
      <c r="L254" s="4" t="n">
        <v>66</v>
      </c>
      <c r="M254" s="4" t="n">
        <v>20</v>
      </c>
      <c r="N254" s="5" t="n">
        <v>1.8</v>
      </c>
      <c r="O254" s="3" t="inlineStr">
        <is>
          <t>봉암리 넓은 거실 방2칸 투룸 점포  큰길가 버스,마트인근</t>
        </is>
      </c>
      <c r="P254" s="6">
        <f>HYPERLINK("https://fin.land.naver.com/articles/2653010036", "매물Link")</f>
        <v/>
      </c>
      <c r="Q254" s="6">
        <f>HYPERLINK("https://map.naver.com/p/search/연서면 봉암리 54-12", "지도Link")</f>
        <v/>
      </c>
      <c r="R254" s="6">
        <f>HYPERLINK("http://www.eum.go.kr/web/ar/lu/luLandDet.jsp?pnu=3611036033100540012&amp;isNoScr=script&amp;mode=search", "토지이음")</f>
        <v/>
      </c>
      <c r="S254" s="3" t="inlineStr">
        <is>
          <t>엄지척</t>
        </is>
      </c>
      <c r="T254" s="4" t="n">
        <v>1</v>
      </c>
      <c r="U254" s="5" t="n">
        <v>281.7</v>
      </c>
      <c r="V254" s="4" t="n">
        <v>281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소로한면</t>
        </is>
      </c>
    </row>
    <row r="255">
      <c r="A255" s="3" t="inlineStr">
        <is>
          <t>연서면 봉암리 54-4</t>
        </is>
      </c>
      <c r="B255" s="3" t="inlineStr">
        <is>
          <t>계획관리지역</t>
        </is>
      </c>
      <c r="C255" s="3" t="inlineStr">
        <is>
          <t>임야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2.7</v>
      </c>
      <c r="O255" s="3" t="inlineStr">
        <is>
          <t>1룸단기가능 세종초근접 부강.오송출퇴근도 좋아요</t>
        </is>
      </c>
      <c r="P255" s="6">
        <f>HYPERLINK("https://fin.land.naver.com/articles/2648993843", "매물Link")</f>
        <v/>
      </c>
      <c r="Q255" s="6">
        <f>HYPERLINK("https://map.naver.com/p/search/연서면 봉암리 54-4", "지도Link")</f>
        <v/>
      </c>
      <c r="R255" s="6">
        <f>HYPERLINK("http://www.eum.go.kr/web/ar/lu/luLandDet.jsp?pnu=3611036033100540004&amp;isNoScr=script&amp;mode=search",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183</v>
      </c>
      <c r="V255" s="4" t="n">
        <v>359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봉암리 54-45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18500</v>
      </c>
      <c r="H256" s="4" t="n">
        <v>0</v>
      </c>
      <c r="I256" s="4" t="n">
        <v>175</v>
      </c>
      <c r="J256" s="4" t="n">
        <v>53</v>
      </c>
      <c r="K256" s="5" t="n">
        <v>349.1</v>
      </c>
      <c r="L256" s="4" t="n">
        <v>67</v>
      </c>
      <c r="M256" s="4" t="n">
        <v>20</v>
      </c>
      <c r="N256" s="5" t="n">
        <v>925</v>
      </c>
      <c r="O256" s="3" t="inlineStr">
        <is>
          <t>nan</t>
        </is>
      </c>
      <c r="P256" s="6">
        <f>HYPERLINK("https://fin.land.naver.com/articles/2647590651", "매물Link")</f>
        <v/>
      </c>
      <c r="Q256" s="6">
        <f>HYPERLINK("https://map.naver.com/p/search/연서면 봉암리 54-45", "지도Link")</f>
        <v/>
      </c>
      <c r="R256" s="6">
        <f>HYPERLINK("http://www.eum.go.kr/web/ar/lu/luLandDet.jsp?pnu=3611036033100540045&amp;isNoScr=script&amp;mode=search", "토지이음")</f>
        <v/>
      </c>
      <c r="S256" s="3" t="inlineStr">
        <is>
          <t>KB세종</t>
        </is>
      </c>
      <c r="T256" s="4" t="n">
        <v>1</v>
      </c>
      <c r="U256" s="5" t="n">
        <v>116.1</v>
      </c>
      <c r="V256" s="4" t="n">
        <v>175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봉암리 54-76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인기좋은  풀옵션완비방   깔끔한 주방분리   바로입주  주차편함</t>
        </is>
      </c>
      <c r="P257" s="6">
        <f>HYPERLINK("https://fin.land.naver.com/articles/2648544810", "매물Link")</f>
        <v/>
      </c>
      <c r="Q257" s="6">
        <f>HYPERLINK("https://map.naver.com/p/search/연서면 봉암리 54-76", "지도Link")</f>
        <v/>
      </c>
      <c r="R257" s="6">
        <f>HYPERLINK("http://www.eum.go.kr/web/ar/lu/luLandDet.jsp?pnu=3611036033100540076&amp;isNoScr=script&amp;mode=search",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281.7</v>
      </c>
      <c r="V257" s="4" t="n">
        <v>321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소로한면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58-4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100000</v>
      </c>
      <c r="H259" s="4" t="n">
        <v>0</v>
      </c>
      <c r="I259" s="4" t="n">
        <v>435</v>
      </c>
      <c r="J259" s="4" t="n">
        <v>132</v>
      </c>
      <c r="K259" s="5" t="n">
        <v>757.6</v>
      </c>
      <c r="L259" s="4" t="n">
        <v>434</v>
      </c>
      <c r="M259" s="4" t="n">
        <v>131</v>
      </c>
      <c r="N259" s="5" t="n">
        <v>763.4</v>
      </c>
      <c r="O259" s="3" t="inlineStr">
        <is>
          <t>nan</t>
        </is>
      </c>
      <c r="P259" s="6">
        <f>HYPERLINK("https://fin.land.naver.com/articles/2651371076", "매물Link")</f>
        <v/>
      </c>
      <c r="Q259" s="6">
        <f>HYPERLINK("https://map.naver.com/p/search/연서면 봉암리 58-4", "지도Link")</f>
        <v/>
      </c>
      <c r="R259" s="6">
        <f>HYPERLINK("http://www.eum.go.kr/web/ar/lu/luLandDet.jsp?pnu=3611036033100580004&amp;isNoScr=script&amp;mode=search",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58-5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105000</v>
      </c>
      <c r="H260" s="4" t="n">
        <v>0</v>
      </c>
      <c r="I260" s="4" t="n">
        <v>436</v>
      </c>
      <c r="J260" s="4" t="n">
        <v>132</v>
      </c>
      <c r="K260" s="5" t="n">
        <v>795.5</v>
      </c>
      <c r="L260" s="4" t="n">
        <v>434</v>
      </c>
      <c r="M260" s="4" t="n">
        <v>131</v>
      </c>
      <c r="N260" s="5" t="n">
        <v>801.5</v>
      </c>
      <c r="O260" s="3" t="inlineStr">
        <is>
          <t>일반원룸보다 큰방  18개,주차편리,도시가스 월세와 관리비 포함 284만</t>
        </is>
      </c>
      <c r="P260" s="6">
        <f>HYPERLINK("https://fin.land.naver.com/articles/2649699772", "매물Link")</f>
        <v/>
      </c>
      <c r="Q260" s="6">
        <f>HYPERLINK("https://map.naver.com/p/search/연서면 봉암리 58-5", "지도Link")</f>
        <v/>
      </c>
      <c r="R260" s="6">
        <f>HYPERLINK("http://www.eum.go.kr/web/ar/lu/luLandDet.jsp?pnu=3611036033100580005&amp;isNoScr=script&amp;mode=search",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436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598-4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단기임대</t>
        </is>
      </c>
      <c r="G261" s="4" t="n">
        <v>100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26</v>
      </c>
      <c r="M261" s="4" t="n">
        <v>8</v>
      </c>
      <c r="N261" s="5" t="n">
        <v>12.5</v>
      </c>
      <c r="O261" s="3" t="inlineStr">
        <is>
          <t>큰방 현장숙소 단기가능 세종 부강 오송 근접</t>
        </is>
      </c>
      <c r="P261" s="6">
        <f>HYPERLINK("https://fin.land.naver.com/articles/2653034901", "매물Link")</f>
        <v/>
      </c>
      <c r="Q261" s="6">
        <f>HYPERLINK("https://map.naver.com/p/search/연서면 봉암리 598-4", "지도Link")</f>
        <v/>
      </c>
      <c r="R261" s="6">
        <f>HYPERLINK("http://www.eum.go.kr/web/ar/lu/luLandDet.jsp?pnu=3611036033105980004&amp;isNoScr=script&amp;mode=search",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199.6</v>
      </c>
      <c r="V261" s="4" t="n">
        <v>353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620-25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1000</v>
      </c>
      <c r="H262" s="4" t="n">
        <v>40</v>
      </c>
      <c r="I262" s="4" t="n">
        <v>397</v>
      </c>
      <c r="J262" s="4" t="n">
        <v>120</v>
      </c>
      <c r="K262" s="5" t="n">
        <v>0.3</v>
      </c>
      <c r="L262" s="4" t="n">
        <v>75</v>
      </c>
      <c r="M262" s="4" t="n">
        <v>23</v>
      </c>
      <c r="N262" s="5" t="n">
        <v>1.7</v>
      </c>
      <c r="O262" s="3" t="inlineStr">
        <is>
          <t>1번국도변 봉암리 네스트아파트앞 조용하고 텃빝에 있음.</t>
        </is>
      </c>
      <c r="P262" s="6">
        <f>HYPERLINK("https://fin.land.naver.com/articles/2648729436", "매물Link")</f>
        <v/>
      </c>
      <c r="Q262" s="6">
        <f>HYPERLINK("https://map.naver.com/p/search/연서면 봉암리 620-25", "지도Link")</f>
        <v/>
      </c>
      <c r="R262" s="6">
        <f>HYPERLINK("http://www.eum.go.kr/web/ar/lu/luLandDet.jsp?pnu=3611036033106200025&amp;isNoScr=script&amp;mode=search", "토지이음")</f>
        <v/>
      </c>
      <c r="S262" s="3" t="inlineStr">
        <is>
          <t>꿈드림</t>
        </is>
      </c>
      <c r="T262" s="4" t="n">
        <v>1</v>
      </c>
      <c r="U262" s="5" t="n">
        <v>144.4</v>
      </c>
      <c r="V262" s="4" t="n">
        <v>397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677-2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400000</v>
      </c>
      <c r="H263" s="4" t="n">
        <v>0</v>
      </c>
      <c r="I263" s="4" t="n">
        <v>655</v>
      </c>
      <c r="J263" s="4" t="n">
        <v>198</v>
      </c>
      <c r="K263" s="5" t="n">
        <v>2020.2</v>
      </c>
      <c r="L263" s="4" t="n">
        <v>253</v>
      </c>
      <c r="M263" s="4" t="n">
        <v>77</v>
      </c>
      <c r="N263" s="5" t="n">
        <v>5194.8</v>
      </c>
      <c r="O263" s="3" t="inlineStr">
        <is>
          <t>nan</t>
        </is>
      </c>
      <c r="P263" s="6">
        <f>HYPERLINK("https://fin.land.naver.com/articles/2651088122", "매물Link")</f>
        <v/>
      </c>
      <c r="Q263" s="6">
        <f>HYPERLINK("https://map.naver.com/p/search/연서면 봉암리 677-2", "지도Link")</f>
        <v/>
      </c>
      <c r="R263" s="6">
        <f>HYPERLINK("http://www.eum.go.kr/web/ar/lu/luLandDet.jsp?pnu=3611036033106770002&amp;isNoScr=script&amp;mode=search", "토지이음")</f>
        <v/>
      </c>
      <c r="S263" s="3" t="inlineStr">
        <is>
          <t>오송파라곤리치</t>
        </is>
      </c>
      <c r="T263" s="4" t="n">
        <v>1</v>
      </c>
      <c r="U263" s="5" t="n">
        <v>116.6</v>
      </c>
      <c r="V263" s="4" t="n">
        <v>655</v>
      </c>
      <c r="W263" s="3" t="inlineStr">
        <is>
          <t>지정되지않음</t>
        </is>
      </c>
      <c r="X263" s="3" t="inlineStr">
        <is>
          <t>주거기타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500</v>
      </c>
      <c r="H264" s="4" t="n">
        <v>40</v>
      </c>
      <c r="I264" s="4" t="n">
        <v>33</v>
      </c>
      <c r="J264" s="4" t="n">
        <v>10</v>
      </c>
      <c r="K264" s="5" t="n">
        <v>4</v>
      </c>
      <c r="L264" s="4" t="n">
        <v>16</v>
      </c>
      <c r="M264" s="4" t="n">
        <v>5</v>
      </c>
      <c r="N264" s="5" t="n">
        <v>8</v>
      </c>
      <c r="O264" s="3" t="inlineStr">
        <is>
          <t>원룸,11월하순입주 가능,전세도 가능 6천만원 풀옵션</t>
        </is>
      </c>
      <c r="P264" s="6">
        <f>HYPERLINK("https://fin.land.naver.com/articles/2652745423",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500</v>
      </c>
      <c r="H265" s="4" t="n">
        <v>40</v>
      </c>
      <c r="I265" s="4" t="n">
        <v>178</v>
      </c>
      <c r="J265" s="4" t="n">
        <v>54</v>
      </c>
      <c r="K265" s="5" t="n">
        <v>0.7</v>
      </c>
      <c r="L265" s="4" t="n">
        <v>25</v>
      </c>
      <c r="M265" s="4" t="n">
        <v>8</v>
      </c>
      <c r="N265" s="5" t="n">
        <v>5</v>
      </c>
      <c r="O265" s="3" t="inlineStr">
        <is>
          <t>신축 깔끔한 풀옵션완비방  엘베는기본  주차편리 정남향  정부청사10분</t>
        </is>
      </c>
      <c r="P265" s="6">
        <f>HYPERLINK("https://fin.land.naver.com/articles/2652712844",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190000</v>
      </c>
      <c r="H266" s="4" t="n">
        <v>0</v>
      </c>
      <c r="I266" s="4" t="n">
        <v>570</v>
      </c>
      <c r="J266" s="4" t="n">
        <v>172</v>
      </c>
      <c r="K266" s="5" t="n">
        <v>1104.7</v>
      </c>
      <c r="L266" s="4" t="n">
        <v>594</v>
      </c>
      <c r="M266" s="4" t="n">
        <v>180</v>
      </c>
      <c r="N266" s="5" t="n">
        <v>1055.6</v>
      </c>
      <c r="O266" s="3" t="inlineStr">
        <is>
          <t>신축다가구  가격조정가능 엘리베이터 와촌국가산업단지 인근</t>
        </is>
      </c>
      <c r="P266" s="6">
        <f>HYPERLINK("https://fin.land.naver.com/articles/2651059296",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그래그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4000</v>
      </c>
      <c r="H267" s="4" t="n">
        <v>40</v>
      </c>
      <c r="I267" s="4" t="n">
        <v>0</v>
      </c>
      <c r="J267" s="4" t="n">
        <v>0</v>
      </c>
      <c r="K267" s="5" t="n">
        <v>0</v>
      </c>
      <c r="L267" s="4" t="n">
        <v>43</v>
      </c>
      <c r="M267" s="4" t="n">
        <v>13</v>
      </c>
      <c r="N267" s="5" t="n">
        <v>3.1</v>
      </c>
      <c r="O267" s="3" t="inlineStr">
        <is>
          <t>인기짱  신축 풀옵션 2룸 심플하고 깔끔한방  엘베설치  넓은주차장</t>
        </is>
      </c>
      <c r="P267" s="6">
        <f>HYPERLINK("https://fin.land.naver.com/articles/2652750077",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4000</v>
      </c>
      <c r="H268" s="4" t="n">
        <v>40</v>
      </c>
      <c r="I268" s="4" t="n">
        <v>60</v>
      </c>
      <c r="J268" s="4" t="n">
        <v>18</v>
      </c>
      <c r="K268" s="5" t="n">
        <v>2.2</v>
      </c>
      <c r="L268" s="4" t="n">
        <v>30</v>
      </c>
      <c r="M268" s="4" t="n">
        <v>9</v>
      </c>
      <c r="N268" s="5" t="n">
        <v>4.4</v>
      </c>
      <c r="O268" s="3" t="inlineStr">
        <is>
          <t>투룸,11월입주 조율가능,금액조율가능,전세도 가능9천만원풀옵션</t>
        </is>
      </c>
      <c r="P268" s="6">
        <f>HYPERLINK("https://fin.land.naver.com/articles/2652335755",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190000</v>
      </c>
      <c r="H269" s="4" t="n">
        <v>0</v>
      </c>
      <c r="I269" s="4" t="n">
        <v>570</v>
      </c>
      <c r="J269" s="4" t="n">
        <v>172</v>
      </c>
      <c r="K269" s="5" t="n">
        <v>1104.7</v>
      </c>
      <c r="L269" s="4" t="n">
        <v>568</v>
      </c>
      <c r="M269" s="4" t="n">
        <v>172</v>
      </c>
      <c r="N269" s="5" t="n">
        <v>1104.7</v>
      </c>
      <c r="O269" s="3" t="inlineStr">
        <is>
          <t>신축다가구건물, 엘리베이터 1층 카페,23층 원룸,투룸,1.5룸으로구성</t>
        </is>
      </c>
      <c r="P269" s="6">
        <f>HYPERLINK("https://fin.land.naver.com/articles/2650625683",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담뜰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부동리 80-2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507</v>
      </c>
      <c r="J270" s="4" t="n">
        <v>153</v>
      </c>
      <c r="K270" s="5" t="n">
        <v>281</v>
      </c>
      <c r="L270" s="4" t="n">
        <v>92</v>
      </c>
      <c r="M270" s="4" t="n">
        <v>28</v>
      </c>
      <c r="N270" s="5" t="n">
        <v>1535.7</v>
      </c>
      <c r="O270" s="3" t="inlineStr">
        <is>
          <t>세종 스마트국가산업단지 인근 단독주택 도로지분포함 저렴하게 일괄매매.</t>
        </is>
      </c>
      <c r="P270" s="6">
        <f>HYPERLINK("https://fin.land.naver.com/articles/2652233102", "매물Link")</f>
        <v/>
      </c>
      <c r="Q270" s="6">
        <f>HYPERLINK("https://map.naver.com/p/search/연서면 부동리 80-2", "지도Link")</f>
        <v/>
      </c>
      <c r="R270" s="6">
        <f>HYPERLINK("http://www.eum.go.kr/web/ar/lu/luLandDet.jsp?pnu=3611036032100800002&amp;isNoScr=script&amp;mode=search", "토지이음")</f>
        <v/>
      </c>
      <c r="S270" s="3" t="inlineStr">
        <is>
          <t>세종대장</t>
        </is>
      </c>
      <c r="T270" s="4" t="n">
        <v>1</v>
      </c>
      <c r="U270" s="5" t="n">
        <v>86.40000000000001</v>
      </c>
      <c r="V270" s="4" t="n">
        <v>507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세로한면(불)</t>
        </is>
      </c>
    </row>
    <row r="271">
      <c r="A271" s="3" t="inlineStr">
        <is>
          <t>연서면 부동리 90-1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65000</v>
      </c>
      <c r="H271" s="4" t="n">
        <v>0</v>
      </c>
      <c r="I271" s="4" t="n">
        <v>592</v>
      </c>
      <c r="J271" s="4" t="n">
        <v>179</v>
      </c>
      <c r="K271" s="5" t="n">
        <v>363.1</v>
      </c>
      <c r="L271" s="4" t="n">
        <v>95</v>
      </c>
      <c r="M271" s="4" t="n">
        <v>29</v>
      </c>
      <c r="N271" s="5" t="n">
        <v>2241.4</v>
      </c>
      <c r="O271" s="3" t="inlineStr">
        <is>
          <t>(할인)세종국가산업단지 인근의 멋진집</t>
        </is>
      </c>
      <c r="P271" s="6">
        <f>HYPERLINK("https://fin.land.naver.com/articles/2651943869", "매물Link")</f>
        <v/>
      </c>
      <c r="Q271" s="6">
        <f>HYPERLINK("https://map.naver.com/p/search/연서면 부동리 90-1", "지도Link")</f>
        <v/>
      </c>
      <c r="R271" s="6">
        <f>HYPERLINK("http://www.eum.go.kr/web/ar/lu/luLandDet.jsp?pnu=3611036032100900001&amp;isNoScr=script&amp;mode=search", "토지이음")</f>
        <v/>
      </c>
      <c r="S271" s="3" t="inlineStr">
        <is>
          <t>용궁</t>
        </is>
      </c>
      <c r="T271" s="4" t="n">
        <v>1</v>
      </c>
      <c r="U271" s="5" t="n">
        <v>92.5</v>
      </c>
      <c r="V271" s="4" t="n">
        <v>592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120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112000</v>
      </c>
      <c r="H272" s="4" t="n">
        <v>0</v>
      </c>
      <c r="I272" s="4" t="n">
        <v>662</v>
      </c>
      <c r="J272" s="4" t="n">
        <v>200</v>
      </c>
      <c r="K272" s="5" t="n">
        <v>560</v>
      </c>
      <c r="L272" s="4" t="n">
        <v>128</v>
      </c>
      <c r="M272" s="4" t="n">
        <v>39</v>
      </c>
      <c r="N272" s="5" t="n">
        <v>2871.8</v>
      </c>
      <c r="O272" s="3" t="inlineStr">
        <is>
          <t>전원주택과 붙어있는 계획관리지역 전1193㎡ 를 포함한 일괄매매 협의입주</t>
        </is>
      </c>
      <c r="P272" s="6">
        <f>HYPERLINK("https://fin.land.naver.com/articles/2650977179", "매물Link")</f>
        <v/>
      </c>
      <c r="Q272" s="6">
        <f>HYPERLINK("https://map.naver.com/p/search/연서면 성제리 120", "지도Link")</f>
        <v/>
      </c>
      <c r="R272" s="6">
        <f>HYPERLINK("http://www.eum.go.kr/web/ar/lu/luLandDet.jsp?pnu=3611036023101200000&amp;isNoScr=script&amp;mode=search", "토지이음")</f>
        <v/>
      </c>
      <c r="S272" s="3" t="inlineStr">
        <is>
          <t>정보은행</t>
        </is>
      </c>
      <c r="T272" s="4" t="n">
        <v>1</v>
      </c>
      <c r="U272" s="5" t="n">
        <v>95.09999999999999</v>
      </c>
      <c r="V272" s="4" t="n">
        <v>662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성제리 150-8</t>
        </is>
      </c>
      <c r="B273" s="3" t="inlineStr">
        <is>
          <t>농림지역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33000</v>
      </c>
      <c r="H273" s="4" t="n">
        <v>0</v>
      </c>
      <c r="I273" s="4" t="n">
        <v>493</v>
      </c>
      <c r="J273" s="4" t="n">
        <v>149</v>
      </c>
      <c r="K273" s="5" t="n">
        <v>221.5</v>
      </c>
      <c r="L273" s="4" t="n">
        <v>234</v>
      </c>
      <c r="M273" s="4" t="n">
        <v>71</v>
      </c>
      <c r="N273" s="5" t="n">
        <v>464.8</v>
      </c>
      <c r="O273" s="3" t="inlineStr">
        <is>
          <t>급매, 조율가능, 2층 단독주택, 정남향, 조용한 전원주택 생활 가능</t>
        </is>
      </c>
      <c r="P273" s="6">
        <f>HYPERLINK("https://fin.land.naver.com/articles/2648134874", "매물Link")</f>
        <v/>
      </c>
      <c r="Q273" s="6">
        <f>HYPERLINK("https://map.naver.com/p/search/연서면 성제리 150-8", "지도Link")</f>
        <v/>
      </c>
      <c r="R273" s="6">
        <f>HYPERLINK("http://www.eum.go.kr/web/ar/lu/luLandDet.jsp?pnu=3611036023101500008&amp;isNoScr=script&amp;mode=search",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38.2</v>
      </c>
      <c r="V273" s="4" t="n">
        <v>493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성제리 150-8</t>
        </is>
      </c>
      <c r="B274" s="3" t="inlineStr">
        <is>
          <t>농림지역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33000</v>
      </c>
      <c r="H274" s="4" t="n">
        <v>0</v>
      </c>
      <c r="I274" s="4" t="n">
        <v>493</v>
      </c>
      <c r="J274" s="4" t="n">
        <v>149</v>
      </c>
      <c r="K274" s="5" t="n">
        <v>221.5</v>
      </c>
      <c r="L274" s="4" t="n">
        <v>234</v>
      </c>
      <c r="M274" s="4" t="n">
        <v>71</v>
      </c>
      <c r="N274" s="5" t="n">
        <v>464.8</v>
      </c>
      <c r="O274" s="3" t="inlineStr">
        <is>
          <t>급매세종 생활권 5분 탁 트인 조망과 햇살을 품은 프리미엄 2층단독</t>
        </is>
      </c>
      <c r="P274" s="6">
        <f>HYPERLINK("https://fin.land.naver.com/articles/2648137484", "매물Link")</f>
        <v/>
      </c>
      <c r="Q274" s="6">
        <f>HYPERLINK("https://map.naver.com/p/search/연서면 성제리 150-8", "지도Link")</f>
        <v/>
      </c>
      <c r="R274" s="6">
        <f>HYPERLINK("http://www.eum.go.kr/web/ar/lu/luLandDet.jsp?pnu=3611036023101500008&amp;isNoScr=script&amp;mode=search", "토지이음")</f>
        <v/>
      </c>
      <c r="S274" s="3" t="inlineStr">
        <is>
          <t>엄지척</t>
        </is>
      </c>
      <c r="T274" s="4" t="n">
        <v>1</v>
      </c>
      <c r="U274" s="5" t="n">
        <v>38.2</v>
      </c>
      <c r="V274" s="4" t="n">
        <v>493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성제리 178-1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25000</v>
      </c>
      <c r="H275" s="4" t="n">
        <v>0</v>
      </c>
      <c r="I275" s="4" t="n">
        <v>399</v>
      </c>
      <c r="J275" s="4" t="n">
        <v>121</v>
      </c>
      <c r="K275" s="5" t="n">
        <v>206.6</v>
      </c>
      <c r="L275" s="4" t="n">
        <v>109</v>
      </c>
      <c r="M275" s="4" t="n">
        <v>33</v>
      </c>
      <c r="N275" s="5" t="n">
        <v>757.6</v>
      </c>
      <c r="O275" s="3" t="inlineStr">
        <is>
          <t>성제리 주택지</t>
        </is>
      </c>
      <c r="P275" s="6">
        <f>HYPERLINK("https://fin.land.naver.com/articles/2648746220", "매물Link")</f>
        <v/>
      </c>
      <c r="Q275" s="6">
        <f>HYPERLINK("https://map.naver.com/p/search/연서면 성제리 178-1", "지도Link")</f>
        <v/>
      </c>
      <c r="R275" s="6">
        <f>HYPERLINK("http://www.eum.go.kr/web/ar/lu/luLandDet.jsp?pnu=3611036023101780001&amp;isNoScr=script&amp;mode=search", "토지이음")</f>
        <v/>
      </c>
      <c r="S275" s="3" t="inlineStr">
        <is>
          <t>KB세종</t>
        </is>
      </c>
      <c r="T275" s="4" t="n">
        <v>1</v>
      </c>
      <c r="U275" s="5" t="n">
        <v>76.59999999999999</v>
      </c>
      <c r="V275" s="4" t="n">
        <v>399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세로한면(불)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깔끔한 전원주택</t>
        </is>
      </c>
      <c r="P276" s="6">
        <f>HYPERLINK("https://fin.land.naver.com/articles/2652284182",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전원주택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327</v>
      </c>
      <c r="J278" s="4" t="n">
        <v>99</v>
      </c>
      <c r="K278" s="5" t="n">
        <v>404</v>
      </c>
      <c r="L278" s="4" t="n">
        <v>168</v>
      </c>
      <c r="M278" s="4" t="n">
        <v>51</v>
      </c>
      <c r="N278" s="5" t="n">
        <v>784.3</v>
      </c>
      <c r="O278" s="3" t="inlineStr">
        <is>
          <t>조용한 전원생활, 초중학교 인접, 고복저수지 자연환경 전원주택 매매</t>
        </is>
      </c>
      <c r="P278" s="6">
        <f>HYPERLINK("https://fin.land.naver.com/articles/2652377919",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연기더조은</t>
        </is>
      </c>
      <c r="T278" s="4" t="n">
        <v>2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5000</v>
      </c>
      <c r="H279" s="4" t="n">
        <v>120</v>
      </c>
      <c r="I279" s="4" t="n">
        <v>327</v>
      </c>
      <c r="J279" s="4" t="n">
        <v>99</v>
      </c>
      <c r="K279" s="5" t="n">
        <v>1.2</v>
      </c>
      <c r="L279" s="4" t="n">
        <v>168</v>
      </c>
      <c r="M279" s="4" t="n">
        <v>51</v>
      </c>
      <c r="N279" s="5" t="n">
        <v>2.4</v>
      </c>
      <c r="O279" s="3" t="inlineStr">
        <is>
          <t>깔끔한 전원주택</t>
        </is>
      </c>
      <c r="P279" s="6">
        <f>HYPERLINK("https://fin.land.naver.com/articles/2652285276",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제일</t>
        </is>
      </c>
      <c r="T279" s="4" t="n">
        <v>1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깨끗한 2층전원주택,주택바로뒤가 연서중학교 위치,3층다락방은 서비스면적</t>
        </is>
      </c>
      <c r="P280" s="6">
        <f>HYPERLINK("https://fin.land.naver.com/articles/2651289585",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담뜰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전세</t>
        </is>
      </c>
      <c r="G281" s="4" t="n">
        <v>30000</v>
      </c>
      <c r="H281" s="4" t="n">
        <v>0</v>
      </c>
      <c r="I281" s="4" t="n">
        <v>327</v>
      </c>
      <c r="J281" s="4" t="n">
        <v>99</v>
      </c>
      <c r="K281" s="5" t="n">
        <v>303</v>
      </c>
      <c r="L281" s="4" t="n">
        <v>168</v>
      </c>
      <c r="M281" s="4" t="n">
        <v>51</v>
      </c>
      <c r="N281" s="5" t="n">
        <v>588.2</v>
      </c>
      <c r="O281" s="3" t="inlineStr">
        <is>
          <t>깨끗한 2층전원주택,주택바로뒤가 연서중학교 위치,3층다락방은 서비스면적</t>
        </is>
      </c>
      <c r="P281" s="6">
        <f>HYPERLINK("https://fin.land.naver.com/articles/2652036901",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깔끔한 전원주택</t>
        </is>
      </c>
      <c r="P282" s="6">
        <f>HYPERLINK("https://fin.land.naver.com/articles/2652250435",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제일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556-1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31000</v>
      </c>
      <c r="H283" s="4" t="n">
        <v>0</v>
      </c>
      <c r="I283" s="4" t="n">
        <v>373</v>
      </c>
      <c r="J283" s="4" t="n">
        <v>113</v>
      </c>
      <c r="K283" s="5" t="n">
        <v>274.3</v>
      </c>
      <c r="L283" s="4" t="n">
        <v>72</v>
      </c>
      <c r="M283" s="4" t="n">
        <v>22</v>
      </c>
      <c r="N283" s="5" t="n">
        <v>1409.1</v>
      </c>
      <c r="O283" s="3" t="inlineStr">
        <is>
          <t>태양광 설치된 1층 단독주택, 즉시입주 가능한 귀촌형 전원주택</t>
        </is>
      </c>
      <c r="P283" s="6">
        <f>HYPERLINK("https://fin.land.naver.com/articles/2650903513", "매물Link")</f>
        <v/>
      </c>
      <c r="Q283" s="6">
        <f>HYPERLINK("https://map.naver.com/p/search/연서면 신대리 556-1", "지도Link")</f>
        <v/>
      </c>
      <c r="R283" s="6">
        <f>HYPERLINK("http://www.eum.go.kr/web/ar/lu/luLandDet.jsp?pnu=3611036029105560001&amp;isNoScr=script&amp;mode=search", "토지이음")</f>
        <v/>
      </c>
      <c r="S283" s="3" t="inlineStr">
        <is>
          <t>세종소담황금</t>
        </is>
      </c>
      <c r="T283" s="4" t="n">
        <v>1</v>
      </c>
      <c r="U283" s="5" t="n">
        <v>71.90000000000001</v>
      </c>
      <c r="V283" s="4" t="n">
        <v>373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쌍류리 257-2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40000</v>
      </c>
      <c r="H284" s="4" t="n">
        <v>0</v>
      </c>
      <c r="I284" s="4" t="n">
        <v>313</v>
      </c>
      <c r="J284" s="4" t="n">
        <v>95</v>
      </c>
      <c r="K284" s="5" t="n">
        <v>421.1</v>
      </c>
      <c r="L284" s="4" t="n">
        <v>127</v>
      </c>
      <c r="M284" s="4" t="n">
        <v>38</v>
      </c>
      <c r="N284" s="5" t="n">
        <v>1052.6</v>
      </c>
      <c r="O284" s="3" t="inlineStr">
        <is>
          <t>고복저수지 인근 단독주택</t>
        </is>
      </c>
      <c r="P284" s="6">
        <f>HYPERLINK("https://fin.land.naver.com/articles/2651277336", "매물Link")</f>
        <v/>
      </c>
      <c r="Q284" s="6">
        <f>HYPERLINK("https://map.naver.com/p/search/연서면 쌍류리 257-2", "지도Link")</f>
        <v/>
      </c>
      <c r="R284" s="6">
        <f>HYPERLINK("http://www.eum.go.kr/web/ar/lu/luLandDet.jsp?pnu=3611036026102570002&amp;isNoScr=script&amp;mode=search", "토지이음")</f>
        <v/>
      </c>
      <c r="S284" s="3" t="inlineStr">
        <is>
          <t>강아지풀</t>
        </is>
      </c>
      <c r="T284" s="4" t="n">
        <v>1</v>
      </c>
      <c r="U284" s="5" t="n">
        <v>59.5</v>
      </c>
      <c r="V284" s="4" t="n">
        <v>717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쌍전리 159-2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55000</v>
      </c>
      <c r="H285" s="4" t="n">
        <v>0</v>
      </c>
      <c r="I285" s="4" t="n">
        <v>624</v>
      </c>
      <c r="J285" s="4" t="n">
        <v>189</v>
      </c>
      <c r="K285" s="5" t="n">
        <v>291</v>
      </c>
      <c r="L285" s="4" t="n">
        <v>140</v>
      </c>
      <c r="M285" s="4" t="n">
        <v>42</v>
      </c>
      <c r="N285" s="5" t="n">
        <v>1309.5</v>
      </c>
      <c r="O285" s="3" t="inlineStr">
        <is>
          <t>급매. 쌍전리 뷰 좋고 관리 잘 된 2층 단독주택. 입주일 협의.</t>
        </is>
      </c>
      <c r="P285" s="6">
        <f>HYPERLINK("https://fin.land.naver.com/articles/2648074660", "매물Link")</f>
        <v/>
      </c>
      <c r="Q285" s="6">
        <f>HYPERLINK("https://map.naver.com/p/search/연서면 쌍전리 159-2", "지도Link")</f>
        <v/>
      </c>
      <c r="R285" s="6">
        <f>HYPERLINK("http://www.eum.go.kr/web/ar/lu/luLandDet.jsp?pnu=3611036022101590002&amp;isNoScr=script&amp;mode=search", "토지이음")</f>
        <v/>
      </c>
      <c r="S285" s="3" t="inlineStr">
        <is>
          <t>세종대장</t>
        </is>
      </c>
      <c r="T285" s="4" t="n">
        <v>1</v>
      </c>
      <c r="U285" s="5" t="n">
        <v>111.2</v>
      </c>
      <c r="V285" s="4" t="n">
        <v>635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쌍전리 188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43000</v>
      </c>
      <c r="H286" s="4" t="n">
        <v>0</v>
      </c>
      <c r="I286" s="4" t="n">
        <v>421</v>
      </c>
      <c r="J286" s="4" t="n">
        <v>127</v>
      </c>
      <c r="K286" s="5" t="n">
        <v>338.6</v>
      </c>
      <c r="L286" s="4" t="n">
        <v>70</v>
      </c>
      <c r="M286" s="4" t="n">
        <v>21</v>
      </c>
      <c r="N286" s="5" t="n">
        <v>2047.6</v>
      </c>
      <c r="O286" s="3" t="inlineStr">
        <is>
          <t>세종 스마트산단 봉암IC 호재 I 뷰 좋은 대지 넓은 전원주택</t>
        </is>
      </c>
      <c r="P286" s="6">
        <f>HYPERLINK("https://fin.land.naver.com/articles/2650325536", "매물Link")</f>
        <v/>
      </c>
      <c r="Q286" s="6">
        <f>HYPERLINK("https://map.naver.com/p/search/연서면 쌍전리 188", "지도Link")</f>
        <v/>
      </c>
      <c r="R286" s="6">
        <f>HYPERLINK("http://www.eum.go.kr/web/ar/lu/luLandDet.jsp?pnu=3611036022101880000&amp;isNoScr=script&amp;mode=search", "토지이음")</f>
        <v/>
      </c>
      <c r="S286" s="3" t="inlineStr">
        <is>
          <t>세종신한</t>
        </is>
      </c>
      <c r="T286" s="4" t="n">
        <v>1</v>
      </c>
      <c r="U286" s="5" t="n">
        <v>111.2</v>
      </c>
      <c r="V286" s="4" t="n">
        <v>421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쌍전리 188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42000</v>
      </c>
      <c r="H287" s="4" t="n">
        <v>0</v>
      </c>
      <c r="I287" s="4" t="n">
        <v>421</v>
      </c>
      <c r="J287" s="4" t="n">
        <v>127</v>
      </c>
      <c r="K287" s="5" t="n">
        <v>330.7</v>
      </c>
      <c r="L287" s="4" t="n">
        <v>70</v>
      </c>
      <c r="M287" s="4" t="n">
        <v>21</v>
      </c>
      <c r="N287" s="5" t="n">
        <v>2000</v>
      </c>
      <c r="O287" s="3" t="inlineStr">
        <is>
          <t>방2개, 화장실1개, 다락있음, 뷰 좋은 단독</t>
        </is>
      </c>
      <c r="P287" s="6">
        <f>HYPERLINK("https://fin.land.naver.com/articles/2648842901", "매물Link")</f>
        <v/>
      </c>
      <c r="Q287" s="6">
        <f>HYPERLINK("https://map.naver.com/p/search/연서면 쌍전리 188", "지도Link")</f>
        <v/>
      </c>
      <c r="R287" s="6">
        <f>HYPERLINK("http://www.eum.go.kr/web/ar/lu/luLandDet.jsp?pnu=3611036022101880000&amp;isNoScr=script&amp;mode=search", "토지이음")</f>
        <v/>
      </c>
      <c r="S287" s="3" t="inlineStr">
        <is>
          <t>세종무지개</t>
        </is>
      </c>
      <c r="T287" s="4" t="n">
        <v>1</v>
      </c>
      <c r="U287" s="5" t="n">
        <v>111.2</v>
      </c>
      <c r="V287" s="4" t="n">
        <v>421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1218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71000</v>
      </c>
      <c r="H288" s="4" t="n">
        <v>0</v>
      </c>
      <c r="I288" s="4" t="n">
        <v>877</v>
      </c>
      <c r="J288" s="4" t="n">
        <v>265</v>
      </c>
      <c r="K288" s="5" t="n">
        <v>267.9</v>
      </c>
      <c r="L288" s="4" t="n">
        <v>96</v>
      </c>
      <c r="M288" s="4" t="n">
        <v>29</v>
      </c>
      <c r="N288" s="5" t="n">
        <v>2448.3</v>
      </c>
      <c r="O288" s="3" t="inlineStr">
        <is>
          <t>최근 리모델링 ,  입주 가능 , 국가산업단지 인근,투자가치높은지역</t>
        </is>
      </c>
      <c r="P288" s="6">
        <f>HYPERLINK("https://fin.land.naver.com/articles/2652359824", "매물Link")</f>
        <v/>
      </c>
      <c r="Q288" s="6">
        <f>HYPERLINK("https://map.naver.com/p/search/연서면 와촌리 1218", "지도Link")</f>
        <v/>
      </c>
      <c r="R288" s="6">
        <f>HYPERLINK("http://www.eum.go.kr/web/ar/lu/luLandDet.jsp?pnu=3611036031112180000&amp;isNoScr=script&amp;mode=search", "토지이음")</f>
        <v/>
      </c>
      <c r="S288" s="3" t="inlineStr">
        <is>
          <t>세종특별시</t>
        </is>
      </c>
      <c r="T288" s="4" t="n">
        <v>1</v>
      </c>
      <c r="U288" s="5" t="n">
        <v>90.3</v>
      </c>
      <c r="V288" s="4" t="n">
        <v>745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와촌리 1218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766</v>
      </c>
      <c r="J289" s="4" t="n">
        <v>232</v>
      </c>
      <c r="K289" s="5" t="n">
        <v>301.7</v>
      </c>
      <c r="L289" s="4" t="n">
        <v>96</v>
      </c>
      <c r="M289" s="4" t="n">
        <v>29</v>
      </c>
      <c r="N289" s="5" t="n">
        <v>2413.8</v>
      </c>
      <c r="O289" s="3" t="inlineStr">
        <is>
          <t>올리모델링. 뒷마당,앞마당 창고 및 저온저장고. 야외수도2. 지하수등.</t>
        </is>
      </c>
      <c r="P289" s="6">
        <f>HYPERLINK("https://fin.land.naver.com/articles/2651423312", "매물Link")</f>
        <v/>
      </c>
      <c r="Q289" s="6">
        <f>HYPERLINK("https://map.naver.com/p/search/연서면 와촌리 1218", "지도Link")</f>
        <v/>
      </c>
      <c r="R289" s="6">
        <f>HYPERLINK("http://www.eum.go.kr/web/ar/lu/luLandDet.jsp?pnu=3611036031112180000&amp;isNoScr=script&amp;mode=search", "토지이음")</f>
        <v/>
      </c>
      <c r="S289" s="3" t="inlineStr">
        <is>
          <t>세종소담114</t>
        </is>
      </c>
      <c r="T289" s="4" t="n">
        <v>1</v>
      </c>
      <c r="U289" s="5" t="n">
        <v>90.3</v>
      </c>
      <c r="V289" s="4" t="n">
        <v>745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와촌리 791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65000</v>
      </c>
      <c r="H290" s="4" t="n">
        <v>0</v>
      </c>
      <c r="I290" s="4" t="n">
        <v>496</v>
      </c>
      <c r="J290" s="4" t="n">
        <v>150</v>
      </c>
      <c r="K290" s="5" t="n">
        <v>433.3</v>
      </c>
      <c r="L290" s="4" t="n">
        <v>91</v>
      </c>
      <c r="M290" s="4" t="n">
        <v>28</v>
      </c>
      <c r="N290" s="5" t="n">
        <v>2321.4</v>
      </c>
      <c r="O290" s="3" t="inlineStr">
        <is>
          <t>신축 한옥주택황토방 즉시입주협의</t>
        </is>
      </c>
      <c r="P290" s="6">
        <f>HYPERLINK("https://fin.land.naver.com/articles/2650856623", "매물Link")</f>
        <v/>
      </c>
      <c r="Q290" s="6">
        <f>HYPERLINK("https://map.naver.com/p/search/연서면 와촌리 791", "지도Link")</f>
        <v/>
      </c>
      <c r="R290" s="6">
        <f>HYPERLINK("http://www.eum.go.kr/web/ar/lu/luLandDet.jsp?pnu=3611036031107910000&amp;isNoScr=script&amp;mode=search", "토지이음")</f>
        <v/>
      </c>
      <c r="S290" s="3" t="inlineStr">
        <is>
          <t>세종대박</t>
        </is>
      </c>
      <c r="T290" s="4" t="n">
        <v>1</v>
      </c>
      <c r="U290" s="5" t="n">
        <v>122</v>
      </c>
      <c r="V290" s="4" t="n">
        <v>496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와촌리 900-5</t>
        </is>
      </c>
      <c r="B291" s="3" t="inlineStr">
        <is>
          <t>계획관리지역</t>
        </is>
      </c>
      <c r="C291" s="3" t="inlineStr">
        <is>
          <t>종교용지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289000</v>
      </c>
      <c r="H291" s="4" t="n">
        <v>0</v>
      </c>
      <c r="I291" s="4" t="n">
        <v>1597</v>
      </c>
      <c r="J291" s="4" t="n">
        <v>483</v>
      </c>
      <c r="K291" s="5" t="n">
        <v>598.3</v>
      </c>
      <c r="L291" s="4" t="n">
        <v>314</v>
      </c>
      <c r="M291" s="4" t="n">
        <v>95</v>
      </c>
      <c r="N291" s="5" t="n">
        <v>3042.1</v>
      </c>
      <c r="O291" s="3" t="inlineStr">
        <is>
          <t>스마트시티도시 인근. 도로변토지.계획관리.취락지구. 건폐율,용적률완화</t>
        </is>
      </c>
      <c r="P291" s="6">
        <f>HYPERLINK("https://fin.land.naver.com/articles/2650516167", "매물Link")</f>
        <v/>
      </c>
      <c r="Q291" s="6">
        <f>HYPERLINK("https://map.naver.com/p/search/연서면 와촌리 900-5", "지도Link")</f>
        <v/>
      </c>
      <c r="R291" s="6">
        <f>HYPERLINK("http://www.eum.go.kr/web/ar/lu/luLandDet.jsp?pnu=3611036031109000005&amp;isNoScr=script&amp;mode=search", "토지이음")</f>
        <v/>
      </c>
      <c r="S291" s="3" t="inlineStr">
        <is>
          <t>양평땅진이서</t>
        </is>
      </c>
      <c r="T291" s="4" t="n">
        <v>1</v>
      </c>
      <c r="U291" s="5" t="n">
        <v>134.5</v>
      </c>
      <c r="V291" s="4" t="n">
        <v>555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소로한면</t>
        </is>
      </c>
    </row>
    <row r="292">
      <c r="A292" s="3" t="inlineStr">
        <is>
          <t>연서면 월하리 1008-5</t>
        </is>
      </c>
      <c r="B292" s="3" t="inlineStr">
        <is>
          <t>제1종일반주거지역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144</v>
      </c>
      <c r="J292" s="4" t="n">
        <v>44</v>
      </c>
      <c r="K292" s="5" t="n">
        <v>681.8</v>
      </c>
      <c r="L292" s="4" t="n">
        <v>84</v>
      </c>
      <c r="M292" s="4" t="n">
        <v>25</v>
      </c>
      <c r="N292" s="5" t="n">
        <v>1200</v>
      </c>
      <c r="O292" s="3" t="inlineStr">
        <is>
          <t>빠른입주, 전망 좋은 주택</t>
        </is>
      </c>
      <c r="P292" s="6">
        <f>HYPERLINK("https://fin.land.naver.com/articles/2651233233", "매물Link")</f>
        <v/>
      </c>
      <c r="Q292" s="6">
        <f>HYPERLINK("https://map.naver.com/p/search/연서면 월하리 1008-5", "지도Link")</f>
        <v/>
      </c>
      <c r="R292" s="6">
        <f>HYPERLINK("http://www.eum.go.kr/web/ar/lu/luLandDet.jsp?pnu=3611036021110080005&amp;isNoScr=script&amp;mode=search", "토지이음")</f>
        <v/>
      </c>
      <c r="S292" s="3" t="inlineStr">
        <is>
          <t>정인</t>
        </is>
      </c>
      <c r="T292" s="4" t="n">
        <v>1</v>
      </c>
      <c r="U292" s="5" t="n">
        <v>184.8</v>
      </c>
      <c r="V292" s="4" t="n">
        <v>145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1008-5</t>
        </is>
      </c>
      <c r="B293" s="3" t="inlineStr">
        <is>
          <t>제1종일반주거지역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전세</t>
        </is>
      </c>
      <c r="G293" s="4" t="n">
        <v>17000</v>
      </c>
      <c r="H293" s="4" t="n">
        <v>0</v>
      </c>
      <c r="I293" s="4" t="n">
        <v>84</v>
      </c>
      <c r="J293" s="4" t="n">
        <v>25</v>
      </c>
      <c r="K293" s="5" t="n">
        <v>680</v>
      </c>
      <c r="L293" s="4" t="n">
        <v>84</v>
      </c>
      <c r="M293" s="4" t="n">
        <v>25</v>
      </c>
      <c r="N293" s="5" t="n">
        <v>680</v>
      </c>
      <c r="O293" s="3" t="inlineStr">
        <is>
          <t>nan</t>
        </is>
      </c>
      <c r="P293" s="6">
        <f>HYPERLINK("https://fin.land.naver.com/articles/2649752267", "매물Link")</f>
        <v/>
      </c>
      <c r="Q293" s="6">
        <f>HYPERLINK("https://map.naver.com/p/search/연서면 월하리 1008-5", "지도Link")</f>
        <v/>
      </c>
      <c r="R293" s="6">
        <f>HYPERLINK("http://www.eum.go.kr/web/ar/lu/luLandDet.jsp?pnu=3611036021110080005&amp;isNoScr=script&amp;mode=search", "토지이음")</f>
        <v/>
      </c>
      <c r="S293" s="3" t="inlineStr">
        <is>
          <t>뉴스카이</t>
        </is>
      </c>
      <c r="T293" s="4" t="n">
        <v>1</v>
      </c>
      <c r="U293" s="5" t="n">
        <v>184.8</v>
      </c>
      <c r="V293" s="4" t="n">
        <v>145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617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60000</v>
      </c>
      <c r="H294" s="4" t="n">
        <v>0</v>
      </c>
      <c r="I294" s="4" t="n">
        <v>413</v>
      </c>
      <c r="J294" s="4" t="n">
        <v>125</v>
      </c>
      <c r="K294" s="5" t="n">
        <v>480</v>
      </c>
      <c r="L294" s="4" t="n">
        <v>296</v>
      </c>
      <c r="M294" s="4" t="n">
        <v>90</v>
      </c>
      <c r="N294" s="5" t="n">
        <v>666.7</v>
      </c>
      <c r="O294" s="3" t="inlineStr">
        <is>
          <t>1동 2동 단독주택 가격조정가능 입지좋아요</t>
        </is>
      </c>
      <c r="P294" s="6">
        <f>HYPERLINK("https://fin.land.naver.com/articles/2651366901", "매물Link")</f>
        <v/>
      </c>
      <c r="Q294" s="6">
        <f>HYPERLINK("https://map.naver.com/p/search/연서면 월하리 617", "지도Link")</f>
        <v/>
      </c>
      <c r="R294" s="6">
        <f>HYPERLINK("http://www.eum.go.kr/web/ar/lu/luLandDet.jsp?pnu=3611036021106170000&amp;isNoScr=script&amp;mode=search", "토지이음")</f>
        <v/>
      </c>
      <c r="S294" s="3" t="inlineStr">
        <is>
          <t>고운동리치세종</t>
        </is>
      </c>
      <c r="T294" s="4" t="n">
        <v>1</v>
      </c>
      <c r="U294" s="5" t="n">
        <v>157.5</v>
      </c>
      <c r="V294" s="4" t="n">
        <v>413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618-1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연립</t>
        </is>
      </c>
      <c r="F295" s="3" t="inlineStr">
        <is>
          <t>매매</t>
        </is>
      </c>
      <c r="G295" s="4" t="n">
        <v>8000</v>
      </c>
      <c r="H295" s="4" t="n">
        <v>0</v>
      </c>
      <c r="I295" s="4" t="n">
        <v>54</v>
      </c>
      <c r="J295" s="4" t="n">
        <v>16</v>
      </c>
      <c r="K295" s="5" t="n">
        <v>500</v>
      </c>
      <c r="L295" s="4" t="n">
        <v>54</v>
      </c>
      <c r="M295" s="4" t="n">
        <v>16</v>
      </c>
      <c r="N295" s="5" t="n">
        <v>500</v>
      </c>
      <c r="O295" s="3" t="inlineStr">
        <is>
          <t>욕실,주방,거실,샷시까지 올리모델링됨,세입자끼고매매,소액투자</t>
        </is>
      </c>
      <c r="P295" s="6">
        <f>HYPERLINK("https://fin.land.naver.com/articles/2650717018", "매물Link")</f>
        <v/>
      </c>
      <c r="Q295" s="6">
        <f>HYPERLINK("https://map.naver.com/p/search/연서면 월하리 618-1", "지도Link")</f>
        <v/>
      </c>
      <c r="R295" s="6">
        <f>HYPERLINK("http://www.eum.go.kr/web/ar/lu/luLandDet.jsp?pnu=3611036021106180001&amp;isNoScr=script&amp;mode=search", "토지이음")</f>
        <v/>
      </c>
      <c r="S295" s="3" t="inlineStr">
        <is>
          <t>신안무소</t>
        </is>
      </c>
      <c r="T295" s="4" t="n">
        <v>1</v>
      </c>
      <c r="U295" s="5" t="n">
        <v>151.2</v>
      </c>
      <c r="V295" s="4" t="n">
        <v>281</v>
      </c>
      <c r="W295" s="3" t="inlineStr">
        <is>
          <t>지정되지않음</t>
        </is>
      </c>
      <c r="X295" s="3" t="inlineStr">
        <is>
          <t>다세대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월하리 647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21500</v>
      </c>
      <c r="H296" s="4" t="n">
        <v>0</v>
      </c>
      <c r="I296" s="4" t="n">
        <v>281</v>
      </c>
      <c r="J296" s="4" t="n">
        <v>85</v>
      </c>
      <c r="K296" s="5" t="n">
        <v>252.9</v>
      </c>
      <c r="L296" s="4" t="n">
        <v>70</v>
      </c>
      <c r="M296" s="4" t="n">
        <v>21</v>
      </c>
      <c r="N296" s="5" t="n">
        <v>1023.8</v>
      </c>
      <c r="O296" s="3" t="inlineStr">
        <is>
          <t>가장 중심 지역으로 8차선 1번국도옆, 와촌리 국가 산업 단지 근교,</t>
        </is>
      </c>
      <c r="P296" s="6">
        <f>HYPERLINK("https://fin.land.naver.com/articles/2649482835", "매물Link")</f>
        <v/>
      </c>
      <c r="Q296" s="6">
        <f>HYPERLINK("https://map.naver.com/p/search/연서면 월하리 647", "지도Link")</f>
        <v/>
      </c>
      <c r="R296" s="6">
        <f>HYPERLINK("http://www.eum.go.kr/web/ar/lu/luLandDet.jsp?pnu=3611036021106470000&amp;isNoScr=script&amp;mode=search", "토지이음")</f>
        <v/>
      </c>
      <c r="S296" s="3" t="inlineStr">
        <is>
          <t>꿈드림</t>
        </is>
      </c>
      <c r="T296" s="4" t="n">
        <v>1</v>
      </c>
      <c r="U296" s="5" t="n">
        <v>157.5</v>
      </c>
      <c r="V296" s="4" t="n">
        <v>281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647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22000</v>
      </c>
      <c r="H297" s="4" t="n">
        <v>0</v>
      </c>
      <c r="I297" s="4" t="n">
        <v>291</v>
      </c>
      <c r="J297" s="4" t="n">
        <v>88</v>
      </c>
      <c r="K297" s="5" t="n">
        <v>250</v>
      </c>
      <c r="L297" s="4" t="n">
        <v>70</v>
      </c>
      <c r="M297" s="4" t="n">
        <v>21</v>
      </c>
      <c r="N297" s="5" t="n">
        <v>1047.6</v>
      </c>
      <c r="O297" s="3" t="inlineStr">
        <is>
          <t>6차선도로 인접이며 상태 좋은 주택입니다</t>
        </is>
      </c>
      <c r="P297" s="6">
        <f>HYPERLINK("https://fin.land.naver.com/articles/2652095425", "매물Link")</f>
        <v/>
      </c>
      <c r="Q297" s="6">
        <f>HYPERLINK("https://map.naver.com/p/search/연서면 월하리 647", "지도Link")</f>
        <v/>
      </c>
      <c r="R297" s="6">
        <f>HYPERLINK("http://www.eum.go.kr/web/ar/lu/luLandDet.jsp?pnu=3611036021106470000&amp;isNoScr=script&amp;mode=search", "토지이음")</f>
        <v/>
      </c>
      <c r="S297" s="3" t="inlineStr">
        <is>
          <t>지호주식회사</t>
        </is>
      </c>
      <c r="T297" s="4" t="n">
        <v>1</v>
      </c>
      <c r="U297" s="5" t="n">
        <v>157.5</v>
      </c>
      <c r="V297" s="4" t="n">
        <v>281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650-19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207</v>
      </c>
      <c r="J298" s="4" t="n">
        <v>63</v>
      </c>
      <c r="K298" s="5" t="n">
        <v>476.2</v>
      </c>
      <c r="L298" s="4" t="n">
        <v>82</v>
      </c>
      <c r="M298" s="4" t="n">
        <v>25</v>
      </c>
      <c r="N298" s="5" t="n">
        <v>1200</v>
      </c>
      <c r="O298" s="3" t="inlineStr">
        <is>
          <t>1번국도 인접한 교통좋고 깨끗한 2층단독주택.1층과 2층 모두 임대중.</t>
        </is>
      </c>
      <c r="P298" s="6">
        <f>HYPERLINK("https://fin.land.naver.com/articles/2653046906", "매물Link")</f>
        <v/>
      </c>
      <c r="Q298" s="6">
        <f>HYPERLINK("https://map.naver.com/p/search/연서면 월하리 650-19", "지도Link")</f>
        <v/>
      </c>
      <c r="R298" s="6">
        <f>HYPERLINK("http://www.eum.go.kr/web/ar/lu/luLandDet.jsp?pnu=3611036021106500019&amp;isNoScr=script&amp;mode=search", "토지이음")</f>
        <v/>
      </c>
      <c r="S298" s="3" t="inlineStr">
        <is>
          <t>세종대장</t>
        </is>
      </c>
      <c r="T298" s="4" t="n">
        <v>1</v>
      </c>
      <c r="U298" s="5" t="n">
        <v>157.5</v>
      </c>
      <c r="V298" s="4" t="n">
        <v>207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805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100000</v>
      </c>
      <c r="H299" s="4" t="n">
        <v>0</v>
      </c>
      <c r="I299" s="4" t="n">
        <v>637</v>
      </c>
      <c r="J299" s="4" t="n">
        <v>193</v>
      </c>
      <c r="K299" s="5" t="n">
        <v>518.1</v>
      </c>
      <c r="L299" s="4" t="n">
        <v>330</v>
      </c>
      <c r="M299" s="4" t="n">
        <v>100</v>
      </c>
      <c r="N299" s="5" t="n">
        <v>1000</v>
      </c>
      <c r="O299" s="3" t="inlineStr">
        <is>
          <t>자이 아파트에서  면사무소 가는길 2차선 변에 있음.</t>
        </is>
      </c>
      <c r="P299" s="6">
        <f>HYPERLINK("https://fin.land.naver.com/articles/2650807142", "매물Link")</f>
        <v/>
      </c>
      <c r="Q299" s="6">
        <f>HYPERLINK("https://map.naver.com/p/search/연서면 월하리 805", "지도Link")</f>
        <v/>
      </c>
      <c r="R299" s="6">
        <f>HYPERLINK("http://www.eum.go.kr/web/ar/lu/luLandDet.jsp?pnu=3611036021108050000&amp;isNoScr=script&amp;mode=search", "토지이음")</f>
        <v/>
      </c>
      <c r="S299" s="3" t="inlineStr">
        <is>
          <t>꿈드림</t>
        </is>
      </c>
      <c r="T299" s="4" t="n">
        <v>1</v>
      </c>
      <c r="U299" s="5" t="n">
        <v>242.8</v>
      </c>
      <c r="V299" s="4" t="n">
        <v>638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소로각지</t>
        </is>
      </c>
    </row>
    <row r="300">
      <c r="A300" s="3" t="inlineStr">
        <is>
          <t>연서면 월하리 805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상가주택</t>
        </is>
      </c>
      <c r="F300" s="3" t="inlineStr">
        <is>
          <t>매매</t>
        </is>
      </c>
      <c r="G300" s="4" t="n">
        <v>100000</v>
      </c>
      <c r="H300" s="4" t="n">
        <v>0</v>
      </c>
      <c r="I300" s="4" t="n">
        <v>637</v>
      </c>
      <c r="J300" s="4" t="n">
        <v>193</v>
      </c>
      <c r="K300" s="5" t="n">
        <v>518.1</v>
      </c>
      <c r="L300" s="4" t="n">
        <v>330</v>
      </c>
      <c r="M300" s="4" t="n">
        <v>100</v>
      </c>
      <c r="N300" s="5" t="n">
        <v>1000</v>
      </c>
      <c r="O300" s="3" t="inlineStr">
        <is>
          <t>관리가 잘된 상가주택. 1층 상가, 2층 주택 전체매매</t>
        </is>
      </c>
      <c r="P300" s="6">
        <f>HYPERLINK("https://fin.land.naver.com/articles/2648904500", "매물Link")</f>
        <v/>
      </c>
      <c r="Q300" s="6">
        <f>HYPERLINK("https://map.naver.com/p/search/연서면 월하리 805", "지도Link")</f>
        <v/>
      </c>
      <c r="R300" s="6">
        <f>HYPERLINK("http://www.eum.go.kr/web/ar/lu/luLandDet.jsp?pnu=3611036021108050000&amp;isNoScr=script&amp;mode=search", "토지이음")</f>
        <v/>
      </c>
      <c r="S300" s="3" t="inlineStr">
        <is>
          <t>세종대장</t>
        </is>
      </c>
      <c r="T300" s="4" t="n">
        <v>1</v>
      </c>
      <c r="U300" s="5" t="n">
        <v>242.8</v>
      </c>
      <c r="V300" s="4" t="n">
        <v>638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소로각지</t>
        </is>
      </c>
    </row>
    <row r="301">
      <c r="A301" s="3" t="inlineStr">
        <is>
          <t>조치원읍 교리 11-6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4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150000</v>
      </c>
      <c r="H301" s="4" t="n">
        <v>0</v>
      </c>
      <c r="I301" s="4" t="n">
        <v>396</v>
      </c>
      <c r="J301" s="4" t="n">
        <v>120</v>
      </c>
      <c r="K301" s="5" t="n">
        <v>1250</v>
      </c>
      <c r="L301" s="4" t="n">
        <v>616</v>
      </c>
      <c r="M301" s="4" t="n">
        <v>186</v>
      </c>
      <c r="N301" s="5" t="n">
        <v>806.5</v>
      </c>
      <c r="O301" s="3" t="inlineStr">
        <is>
          <t>상가주택, 2가구, 상가임대1, 가격조정가능, 주차가능</t>
        </is>
      </c>
      <c r="P301" s="6">
        <f>HYPERLINK("https://fin.land.naver.com/articles/2650985563", "매물Link")</f>
        <v/>
      </c>
      <c r="Q301" s="6">
        <f>HYPERLINK("https://map.naver.com/p/search/조치원읍 교리 11-6", "지도Link")</f>
        <v/>
      </c>
      <c r="R301" s="6">
        <f>HYPERLINK("http://www.eum.go.kr/web/ar/lu/luLandDet.jsp?pnu=3611025024100110006&amp;isNoScr=script&amp;mode=search", "토지이음")</f>
        <v/>
      </c>
      <c r="S301" s="3" t="inlineStr">
        <is>
          <t>엄마와딸</t>
        </is>
      </c>
      <c r="T301" s="4" t="n">
        <v>1</v>
      </c>
      <c r="U301" s="5" t="n">
        <v>283.3</v>
      </c>
      <c r="V301" s="4" t="n">
        <v>396.4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중로각지</t>
        </is>
      </c>
    </row>
    <row r="302">
      <c r="A302" s="3" t="inlineStr">
        <is>
          <t>조치원읍 교리 13-10</t>
        </is>
      </c>
      <c r="B302" s="3" t="inlineStr">
        <is>
          <t>준주거지역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202</v>
      </c>
      <c r="J302" s="4" t="n">
        <v>61</v>
      </c>
      <c r="K302" s="5" t="n">
        <v>491.8</v>
      </c>
      <c r="L302" s="4" t="n">
        <v>97</v>
      </c>
      <c r="M302" s="4" t="n">
        <v>29</v>
      </c>
      <c r="N302" s="5" t="n">
        <v>1034.5</v>
      </c>
      <c r="O302" s="3" t="inlineStr">
        <is>
          <t>단독주택 매매.입주는 협의가능.</t>
        </is>
      </c>
      <c r="P302" s="6">
        <f>HYPERLINK("https://fin.land.naver.com/articles/2647876907", "매물Link")</f>
        <v/>
      </c>
      <c r="Q302" s="6">
        <f>HYPERLINK("https://map.naver.com/p/search/조치원읍 교리 13-10", "지도Link")</f>
        <v/>
      </c>
      <c r="R302" s="6">
        <f>HYPERLINK("http://www.eum.go.kr/web/ar/lu/luLandDet.jsp?pnu=3611025024100130010&amp;isNoScr=script&amp;mode=search",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226.6</v>
      </c>
      <c r="V302" s="4" t="n">
        <v>202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세로한면(불)</t>
        </is>
      </c>
    </row>
    <row r="303">
      <c r="A303" s="3" t="inlineStr">
        <is>
          <t>조치원읍 교리 16-11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0</v>
      </c>
      <c r="J303" s="4" t="n">
        <v>0</v>
      </c>
      <c r="K303" s="5" t="n">
        <v>0</v>
      </c>
      <c r="L303" s="4" t="n">
        <v>23</v>
      </c>
      <c r="M303" s="4" t="n">
        <v>7</v>
      </c>
      <c r="N303" s="5" t="n">
        <v>4.3</v>
      </c>
      <c r="O303" s="3" t="inlineStr">
        <is>
          <t>메가박스 뒷편 조치원역 도보거리</t>
        </is>
      </c>
      <c r="P303" s="6">
        <f>HYPERLINK("https://fin.land.naver.com/articles/2652852845", "매물Link")</f>
        <v/>
      </c>
      <c r="Q303" s="6">
        <f>HYPERLINK("https://map.naver.com/p/search/조치원읍 교리 16-11", "지도Link")</f>
        <v/>
      </c>
      <c r="R303" s="6">
        <f>HYPERLINK("http://www.eum.go.kr/web/ar/lu/luLandDet.jsp?pnu=3611025024100160011&amp;isNoScr=script&amp;mode=search",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367.3</v>
      </c>
      <c r="V303" s="4" t="n">
        <v>445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16-5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40000</v>
      </c>
      <c r="H304" s="4" t="n">
        <v>0</v>
      </c>
      <c r="I304" s="4" t="n">
        <v>103</v>
      </c>
      <c r="J304" s="4" t="n">
        <v>31</v>
      </c>
      <c r="K304" s="5" t="n">
        <v>1290.3</v>
      </c>
      <c r="L304" s="4" t="n">
        <v>67</v>
      </c>
      <c r="M304" s="4" t="n">
        <v>20</v>
      </c>
      <c r="N304" s="5" t="n">
        <v>2000</v>
      </c>
      <c r="O304" s="3" t="inlineStr">
        <is>
          <t>기업은행 바로 뒷편,구옥2채 매매 입니다.</t>
        </is>
      </c>
      <c r="P304" s="6">
        <f>HYPERLINK("https://fin.land.naver.com/articles/2647876689", "매물Link")</f>
        <v/>
      </c>
      <c r="Q304" s="6">
        <f>HYPERLINK("https://map.naver.com/p/search/조치원읍 교리 16-5", "지도Link")</f>
        <v/>
      </c>
      <c r="R304" s="6">
        <f>HYPERLINK("http://www.eum.go.kr/web/ar/lu/luLandDet.jsp?pnu=3611025024100160005&amp;isNoScr=script&amp;mode=search", "토지이음")</f>
        <v/>
      </c>
      <c r="S304" s="3" t="inlineStr">
        <is>
          <t>이음 사무소</t>
        </is>
      </c>
      <c r="T304" s="4" t="n">
        <v>1</v>
      </c>
      <c r="U304" s="5" t="n">
        <v>206.5</v>
      </c>
      <c r="V304" s="4" t="n">
        <v>103.5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세로한면(가)</t>
        </is>
      </c>
    </row>
    <row r="305">
      <c r="A305" s="3" t="inlineStr">
        <is>
          <t>조치원읍 교리 16-6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0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500</v>
      </c>
      <c r="H305" s="4" t="n">
        <v>45</v>
      </c>
      <c r="I305" s="4" t="n">
        <v>35</v>
      </c>
      <c r="J305" s="4" t="n">
        <v>11</v>
      </c>
      <c r="K305" s="5" t="n">
        <v>4.1</v>
      </c>
      <c r="L305" s="4" t="n">
        <v>30</v>
      </c>
      <c r="M305" s="4" t="n">
        <v>9</v>
      </c>
      <c r="N305" s="5" t="n">
        <v>5</v>
      </c>
      <c r="O305" s="3" t="inlineStr">
        <is>
          <t>1.5룸.분리형원룸.주차공간 넉넉합니다. 11월 1일이후</t>
        </is>
      </c>
      <c r="P305" s="6">
        <f>HYPERLINK("https://fin.land.naver.com/articles/2649387949", "매물Link")</f>
        <v/>
      </c>
      <c r="Q305" s="6">
        <f>HYPERLINK("https://map.naver.com/p/search/조치원읍 교리 16-6", "지도Link")</f>
        <v/>
      </c>
      <c r="R305" s="6">
        <f>HYPERLINK("http://www.eum.go.kr/web/ar/lu/luLandDet.jsp?pnu=3611025024100160006&amp;isNoScr=script&amp;mode=search", "토지이음")</f>
        <v/>
      </c>
      <c r="S305" s="3" t="inlineStr">
        <is>
          <t>이음</t>
        </is>
      </c>
      <c r="T305" s="4" t="n">
        <v>1</v>
      </c>
      <c r="U305" s="5" t="n">
        <v>316.7</v>
      </c>
      <c r="V305" s="4" t="n">
        <v>435.7</v>
      </c>
      <c r="W305" s="3" t="inlineStr">
        <is>
          <t>지정되지않음</t>
        </is>
      </c>
      <c r="X305" s="3" t="inlineStr">
        <is>
          <t>상업용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세로한면(가)</t>
        </is>
      </c>
    </row>
    <row r="306">
      <c r="A306" s="3" t="inlineStr">
        <is>
          <t>조치원읍 교리 16-6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500</v>
      </c>
      <c r="H306" s="4" t="n">
        <v>45</v>
      </c>
      <c r="I306" s="4" t="n">
        <v>0</v>
      </c>
      <c r="J306" s="4" t="n">
        <v>0</v>
      </c>
      <c r="K306" s="5" t="n">
        <v>0</v>
      </c>
      <c r="L306" s="4" t="n">
        <v>29</v>
      </c>
      <c r="M306" s="4" t="n">
        <v>9</v>
      </c>
      <c r="N306" s="5" t="n">
        <v>5</v>
      </c>
      <c r="O306" s="3" t="inlineStr">
        <is>
          <t>역세권 투베이</t>
        </is>
      </c>
      <c r="P306" s="6">
        <f>HYPERLINK("https://fin.land.naver.com/articles/2648307815", "매물Link")</f>
        <v/>
      </c>
      <c r="Q306" s="6">
        <f>HYPERLINK("https://map.naver.com/p/search/조치원읍 교리 16-6", "지도Link")</f>
        <v/>
      </c>
      <c r="R306" s="6">
        <f>HYPERLINK("http://www.eum.go.kr/web/ar/lu/luLandDet.jsp?pnu=3611025024100160006&amp;isNoScr=script&amp;mode=search",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316.7</v>
      </c>
      <c r="V306" s="4" t="n">
        <v>435.7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세로한면(가)</t>
        </is>
      </c>
    </row>
    <row r="307">
      <c r="A307" s="3" t="inlineStr">
        <is>
          <t>조치원읍 교리 18-12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33000</v>
      </c>
      <c r="H307" s="4" t="n">
        <v>0</v>
      </c>
      <c r="I307" s="4" t="n">
        <v>122</v>
      </c>
      <c r="J307" s="4" t="n">
        <v>37</v>
      </c>
      <c r="K307" s="5" t="n">
        <v>891.9</v>
      </c>
      <c r="L307" s="4" t="n">
        <v>109</v>
      </c>
      <c r="M307" s="4" t="n">
        <v>33</v>
      </c>
      <c r="N307" s="5" t="n">
        <v>1000</v>
      </c>
      <c r="O307" s="3" t="inlineStr">
        <is>
          <t>월세 세입자안고매매</t>
        </is>
      </c>
      <c r="P307" s="6">
        <f>HYPERLINK("https://fin.land.naver.com/articles/2647876538", "매물Link")</f>
        <v/>
      </c>
      <c r="Q307" s="6">
        <f>HYPERLINK("https://map.naver.com/p/search/조치원읍 교리 18-12", "지도Link")</f>
        <v/>
      </c>
      <c r="R307" s="6">
        <f>HYPERLINK("http://www.eum.go.kr/web/ar/lu/luLandDet.jsp?pnu=3611025024100180012&amp;isNoScr=script&amp;mode=search", "토지이음")</f>
        <v/>
      </c>
      <c r="S307" s="3" t="inlineStr">
        <is>
          <t>이음 사무소</t>
        </is>
      </c>
      <c r="T307" s="4" t="n">
        <v>1</v>
      </c>
      <c r="U307" s="5" t="n">
        <v>280.4</v>
      </c>
      <c r="V307" s="4" t="n">
        <v>122.6</v>
      </c>
      <c r="W307" s="3" t="inlineStr">
        <is>
          <t>지정되지않음</t>
        </is>
      </c>
      <c r="X307" s="3" t="inlineStr">
        <is>
          <t>주상기타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18-13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25000</v>
      </c>
      <c r="H308" s="4" t="n">
        <v>0</v>
      </c>
      <c r="I308" s="4" t="n">
        <v>140</v>
      </c>
      <c r="J308" s="4" t="n">
        <v>42</v>
      </c>
      <c r="K308" s="5" t="n">
        <v>595.2</v>
      </c>
      <c r="L308" s="4" t="n">
        <v>119</v>
      </c>
      <c r="M308" s="4" t="n">
        <v>36</v>
      </c>
      <c r="N308" s="5" t="n">
        <v>694.4</v>
      </c>
      <c r="O308" s="3" t="inlineStr">
        <is>
          <t>행정복지센터 인근,2층 단독주택 매매</t>
        </is>
      </c>
      <c r="P308" s="6">
        <f>HYPERLINK("https://fin.land.naver.com/articles/2647876466", "매물Link")</f>
        <v/>
      </c>
      <c r="Q308" s="6">
        <f>HYPERLINK("https://map.naver.com/p/search/조치원읍 교리 18-13", "지도Link")</f>
        <v/>
      </c>
      <c r="R308" s="6">
        <f>HYPERLINK("http://www.eum.go.kr/web/ar/lu/luLandDet.jsp?pnu=3611025024100180013&amp;isNoScr=script&amp;mode=search", "토지이음")</f>
        <v/>
      </c>
      <c r="S308" s="3" t="inlineStr">
        <is>
          <t>이음 사무소</t>
        </is>
      </c>
      <c r="T308" s="4" t="n">
        <v>1</v>
      </c>
      <c r="U308" s="5" t="n">
        <v>229.1</v>
      </c>
      <c r="V308" s="4" t="n">
        <v>140.8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소로한면</t>
        </is>
      </c>
    </row>
    <row r="309">
      <c r="A309" s="3" t="inlineStr">
        <is>
          <t>조치원읍 교리 18-19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전세</t>
        </is>
      </c>
      <c r="G309" s="4" t="n">
        <v>7000</v>
      </c>
      <c r="H309" s="4" t="n">
        <v>0</v>
      </c>
      <c r="I309" s="4" t="n">
        <v>40</v>
      </c>
      <c r="J309" s="4" t="n">
        <v>12</v>
      </c>
      <c r="K309" s="5" t="n">
        <v>583.3</v>
      </c>
      <c r="L309" s="4" t="n">
        <v>40</v>
      </c>
      <c r="M309" s="4" t="n">
        <v>12</v>
      </c>
      <c r="N309" s="5" t="n">
        <v>583.3</v>
      </c>
      <c r="O309" s="3" t="inlineStr">
        <is>
          <t>2룸 조치원역 전통시장 도보가능 엘베유</t>
        </is>
      </c>
      <c r="P309" s="6">
        <f>HYPERLINK("https://fin.land.naver.com/articles/2649012341", "매물Link")</f>
        <v/>
      </c>
      <c r="Q309" s="6">
        <f>HYPERLINK("https://map.naver.com/p/search/조치원읍 교리 18-19", "지도Link")</f>
        <v/>
      </c>
      <c r="R309" s="6">
        <f>HYPERLINK("http://www.eum.go.kr/web/ar/lu/luLandDet.jsp?pnu=3611025024100180019&amp;isNoScr=script&amp;mode=search", "토지이음")</f>
        <v/>
      </c>
      <c r="S309" s="3" t="inlineStr">
        <is>
          <t>OK수</t>
        </is>
      </c>
      <c r="T309" s="4" t="n">
        <v>1</v>
      </c>
      <c r="U309" s="5" t="n">
        <v>283.3</v>
      </c>
      <c r="V309" s="4" t="n">
        <v>378.9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18-19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다가구</t>
        </is>
      </c>
      <c r="F310" s="3" t="inlineStr">
        <is>
          <t>전세</t>
        </is>
      </c>
      <c r="G310" s="4" t="n">
        <v>7350</v>
      </c>
      <c r="H310" s="4" t="n">
        <v>0</v>
      </c>
      <c r="I310" s="4" t="n">
        <v>49</v>
      </c>
      <c r="J310" s="4" t="n">
        <v>15</v>
      </c>
      <c r="K310" s="5" t="n">
        <v>490</v>
      </c>
      <c r="L310" s="4" t="n">
        <v>42</v>
      </c>
      <c r="M310" s="4" t="n">
        <v>13</v>
      </c>
      <c r="N310" s="5" t="n">
        <v>565.4</v>
      </c>
      <c r="O310" s="3" t="inlineStr">
        <is>
          <t>남향.시내권 넓은투룸.엘리베이터유.주차시설완비.</t>
        </is>
      </c>
      <c r="P310" s="6">
        <f>HYPERLINK("https://fin.land.naver.com/articles/2648317992", "매물Link")</f>
        <v/>
      </c>
      <c r="Q310" s="6">
        <f>HYPERLINK("https://map.naver.com/p/search/조치원읍 교리 18-19", "지도Link")</f>
        <v/>
      </c>
      <c r="R310" s="6">
        <f>HYPERLINK("http://www.eum.go.kr/web/ar/lu/luLandDet.jsp?pnu=3611025024100180019&amp;isNoScr=script&amp;mode=search",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283.3</v>
      </c>
      <c r="V310" s="4" t="n">
        <v>378.9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중로각지</t>
        </is>
      </c>
    </row>
    <row r="311">
      <c r="A311" s="3" t="inlineStr">
        <is>
          <t>조치원읍 교리 2-2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285</v>
      </c>
      <c r="J311" s="4" t="n">
        <v>86</v>
      </c>
      <c r="K311" s="5" t="n">
        <v>697.7</v>
      </c>
      <c r="L311" s="4" t="n">
        <v>201</v>
      </c>
      <c r="M311" s="4" t="n">
        <v>61</v>
      </c>
      <c r="N311" s="5" t="n">
        <v>983.6</v>
      </c>
      <c r="O311" s="3" t="inlineStr">
        <is>
          <t>문화정원 앞, 코너 2층단독주택, 옆동건축물로 월세수입 가능</t>
        </is>
      </c>
      <c r="P311" s="6">
        <f>HYPERLINK("https://fin.land.naver.com/articles/2651076917", "매물Link")</f>
        <v/>
      </c>
      <c r="Q311" s="6">
        <f>HYPERLINK("https://map.naver.com/p/search/조치원읍 교리 2-2", "지도Link")</f>
        <v/>
      </c>
      <c r="R311" s="6">
        <f>HYPERLINK("http://www.eum.go.kr/web/ar/lu/luLandDet.jsp?pnu=3611025024100020002&amp;isNoScr=script&amp;mode=search", "토지이음")</f>
        <v/>
      </c>
      <c r="S311" s="3" t="inlineStr">
        <is>
          <t>다옴</t>
        </is>
      </c>
      <c r="T311" s="4" t="n">
        <v>1</v>
      </c>
      <c r="U311" s="5" t="n">
        <v>302.8</v>
      </c>
      <c r="V311" s="4" t="n">
        <v>285.6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소로각지</t>
        </is>
      </c>
    </row>
    <row r="312">
      <c r="A312" s="3" t="inlineStr">
        <is>
          <t>조치원읍 교리 2-27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월세</t>
        </is>
      </c>
      <c r="G312" s="4" t="n">
        <v>100</v>
      </c>
      <c r="H312" s="4" t="n">
        <v>25</v>
      </c>
      <c r="I312" s="4" t="n">
        <v>23</v>
      </c>
      <c r="J312" s="4" t="n">
        <v>7</v>
      </c>
      <c r="K312" s="5" t="n">
        <v>3.6</v>
      </c>
      <c r="L312" s="4" t="n">
        <v>23</v>
      </c>
      <c r="M312" s="4" t="n">
        <v>7</v>
      </c>
      <c r="N312" s="5" t="n">
        <v>3.6</v>
      </c>
      <c r="O312" s="3" t="inlineStr">
        <is>
          <t>교동초 근처 저렴한 원룸 즉시입주가능합니다</t>
        </is>
      </c>
      <c r="P312" s="6">
        <f>HYPERLINK("https://fin.land.naver.com/articles/2651708073", "매물Link")</f>
        <v/>
      </c>
      <c r="Q312" s="6">
        <f>HYPERLINK("https://map.naver.com/p/search/조치원읍 교리 2-27", "지도Link")</f>
        <v/>
      </c>
      <c r="R312" s="6">
        <f>HYPERLINK("http://www.eum.go.kr/web/ar/lu/luLandDet.jsp?pnu=3611025024100020027&amp;isNoScr=script&amp;mode=search", "토지이음")</f>
        <v/>
      </c>
      <c r="S312" s="3" t="inlineStr">
        <is>
          <t>OK수</t>
        </is>
      </c>
      <c r="T312" s="4" t="n">
        <v>2</v>
      </c>
      <c r="U312" s="5" t="n">
        <v>199.8</v>
      </c>
      <c r="V312" s="4" t="n">
        <v>330.6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세로한면(가)</t>
        </is>
      </c>
    </row>
    <row r="313">
      <c r="A313" s="3" t="inlineStr">
        <is>
          <t>조치원읍 교리 20-10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46000</v>
      </c>
      <c r="H313" s="4" t="n">
        <v>0</v>
      </c>
      <c r="I313" s="4" t="n">
        <v>168</v>
      </c>
      <c r="J313" s="4" t="n">
        <v>51</v>
      </c>
      <c r="K313" s="5" t="n">
        <v>902</v>
      </c>
      <c r="L313" s="4" t="n">
        <v>197</v>
      </c>
      <c r="M313" s="4" t="n">
        <v>60</v>
      </c>
      <c r="N313" s="5" t="n">
        <v>766.7</v>
      </c>
      <c r="O313" s="3" t="inlineStr">
        <is>
          <t>리모델링된 상가주택매매입니다.월세 수익 받으시면서 실거주해보세요.</t>
        </is>
      </c>
      <c r="P313" s="6">
        <f>HYPERLINK("https://fin.land.naver.com/articles/2652491110", "매물Link")</f>
        <v/>
      </c>
      <c r="Q313" s="6">
        <f>HYPERLINK("https://map.naver.com/p/search/조치원읍 교리 20-10", "지도Link")</f>
        <v/>
      </c>
      <c r="R313" s="6">
        <f>HYPERLINK("http://www.eum.go.kr/web/ar/lu/luLandDet.jsp?pnu=3611025024100200010&amp;isNoScr=script&amp;mode=search",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367.3</v>
      </c>
      <c r="V313" s="4" t="n">
        <v>168.6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소로각지</t>
        </is>
      </c>
    </row>
    <row r="314">
      <c r="A314" s="3" t="inlineStr">
        <is>
          <t>조치원읍 교리 20-12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월세</t>
        </is>
      </c>
      <c r="G314" s="4" t="n">
        <v>1000</v>
      </c>
      <c r="H314" s="4" t="n">
        <v>60</v>
      </c>
      <c r="I314" s="4" t="n">
        <v>55</v>
      </c>
      <c r="J314" s="4" t="n">
        <v>17</v>
      </c>
      <c r="K314" s="5" t="n">
        <v>3.5</v>
      </c>
      <c r="L314" s="4" t="n">
        <v>55</v>
      </c>
      <c r="M314" s="4" t="n">
        <v>17</v>
      </c>
      <c r="N314" s="5" t="n">
        <v>3.5</v>
      </c>
      <c r="O314" s="3" t="inlineStr">
        <is>
          <t>조치원 중심가 위치,역 근처 상권 및 편의시설 이용 좋음.</t>
        </is>
      </c>
      <c r="P314" s="6">
        <f>HYPERLINK("https://fin.land.naver.com/articles/2651984055", "매물Link")</f>
        <v/>
      </c>
      <c r="Q314" s="6">
        <f>HYPERLINK("https://map.naver.com/p/search/조치원읍 교리 20-12", "지도Link")</f>
        <v/>
      </c>
      <c r="R314" s="6">
        <f>HYPERLINK("http://www.eum.go.kr/web/ar/lu/luLandDet.jsp?pnu=3611025024100200012&amp;isNoScr=script&amp;mode=search", "토지이음")</f>
        <v/>
      </c>
      <c r="S314" s="3" t="inlineStr">
        <is>
          <t>베스트매경</t>
        </is>
      </c>
      <c r="T314" s="4" t="n">
        <v>1</v>
      </c>
      <c r="U314" s="5" t="n">
        <v>352.7</v>
      </c>
      <c r="V314" s="4" t="n">
        <v>138.8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교리 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연립</t>
        </is>
      </c>
      <c r="F315" s="3" t="inlineStr">
        <is>
          <t>매매</t>
        </is>
      </c>
      <c r="G315" s="4" t="n">
        <v>10500</v>
      </c>
      <c r="H315" s="4" t="n">
        <v>0</v>
      </c>
      <c r="I315" s="4" t="n">
        <v>56</v>
      </c>
      <c r="J315" s="4" t="n">
        <v>17</v>
      </c>
      <c r="K315" s="5" t="n">
        <v>617.6</v>
      </c>
      <c r="L315" s="4" t="n">
        <v>51</v>
      </c>
      <c r="M315" s="4" t="n">
        <v>15</v>
      </c>
      <c r="N315" s="5" t="n">
        <v>700</v>
      </c>
      <c r="O315" s="3" t="inlineStr">
        <is>
          <t>샷시까지 올 리모델링됨 협의입주 가능합니다</t>
        </is>
      </c>
      <c r="P315" s="6">
        <f>HYPERLINK("https://fin.land.naver.com/articles/2647622666", "매물Link")</f>
        <v/>
      </c>
      <c r="Q315" s="6">
        <f>HYPERLINK("https://map.naver.com/p/search/조치원읍 교리 3", "지도Link")</f>
        <v/>
      </c>
      <c r="R315" s="6">
        <f>HYPERLINK("http://www.eum.go.kr/web/ar/lu/luLandDet.jsp?pnu=3611025024100030000&amp;isNoScr=script&amp;mode=search",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261.5</v>
      </c>
      <c r="V315" s="4" t="n">
        <v>4586.5</v>
      </c>
      <c r="W315" s="3" t="inlineStr">
        <is>
          <t>지정되지않음</t>
        </is>
      </c>
      <c r="X315" s="3" t="inlineStr">
        <is>
          <t>연립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중로한면</t>
        </is>
      </c>
    </row>
    <row r="316">
      <c r="A316" s="3" t="inlineStr">
        <is>
          <t>조치원읍 교리 3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연립</t>
        </is>
      </c>
      <c r="F316" s="3" t="inlineStr">
        <is>
          <t>매매</t>
        </is>
      </c>
      <c r="G316" s="4" t="n">
        <v>10000</v>
      </c>
      <c r="H316" s="4" t="n">
        <v>0</v>
      </c>
      <c r="I316" s="4" t="n">
        <v>56</v>
      </c>
      <c r="J316" s="4" t="n">
        <v>17</v>
      </c>
      <c r="K316" s="5" t="n">
        <v>588.2</v>
      </c>
      <c r="L316" s="4" t="n">
        <v>51</v>
      </c>
      <c r="M316" s="4" t="n">
        <v>15</v>
      </c>
      <c r="N316" s="5" t="n">
        <v>666.7</v>
      </c>
      <c r="O316" s="3" t="inlineStr">
        <is>
          <t>조치원역, 조치원 전통시장에 가까움</t>
        </is>
      </c>
      <c r="P316" s="6">
        <f>HYPERLINK("https://fin.land.naver.com/articles/2650121694", "매물Link")</f>
        <v/>
      </c>
      <c r="Q316" s="6">
        <f>HYPERLINK("https://map.naver.com/p/search/조치원읍 교리 3", "지도Link")</f>
        <v/>
      </c>
      <c r="R316" s="6">
        <f>HYPERLINK("http://www.eum.go.kr/web/ar/lu/luLandDet.jsp?pnu=3611025024100030000&amp;isNoScr=script&amp;mode=search", "토지이음")</f>
        <v/>
      </c>
      <c r="S316" s="3" t="inlineStr">
        <is>
          <t>세종베스트</t>
        </is>
      </c>
      <c r="T316" s="4" t="n">
        <v>2</v>
      </c>
      <c r="U316" s="5" t="n">
        <v>261.5</v>
      </c>
      <c r="V316" s="4" t="n">
        <v>4586.5</v>
      </c>
      <c r="W316" s="3" t="inlineStr">
        <is>
          <t>지정되지않음</t>
        </is>
      </c>
      <c r="X316" s="3" t="inlineStr">
        <is>
          <t>연립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4-13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28</v>
      </c>
      <c r="I318" s="4" t="n">
        <v>25</v>
      </c>
      <c r="J318" s="4" t="n">
        <v>8</v>
      </c>
      <c r="K318" s="5" t="n">
        <v>3.5</v>
      </c>
      <c r="L318" s="4" t="n">
        <v>20</v>
      </c>
      <c r="M318" s="4" t="n">
        <v>6</v>
      </c>
      <c r="N318" s="5" t="n">
        <v>4.7</v>
      </c>
      <c r="O318" s="3" t="inlineStr">
        <is>
          <t>문화정원인근 깔끔 원룸.분리형.방이 넓어요.즉시입주가능.</t>
        </is>
      </c>
      <c r="P318" s="6">
        <f>HYPERLINK("https://fin.land.naver.com/articles/2650064246", "매물Link")</f>
        <v/>
      </c>
      <c r="Q318" s="6">
        <f>HYPERLINK("https://map.naver.com/p/search/조치원읍 교리 4-13", "지도Link")</f>
        <v/>
      </c>
      <c r="R318" s="6">
        <f>HYPERLINK("http://www.eum.go.kr/web/ar/lu/luLandDet.jsp?pnu=3611025024100040013&amp;isNoScr=script&amp;mode=search",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269.2</v>
      </c>
      <c r="V318" s="4" t="n">
        <v>352.4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중로각지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4.3</v>
      </c>
      <c r="O320" s="3" t="inlineStr">
        <is>
          <t>역세권 투베이</t>
        </is>
      </c>
      <c r="P320" s="6">
        <f>HYPERLINK("https://fin.land.naver.com/articles/2652851166",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5-2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25000</v>
      </c>
      <c r="H321" s="4" t="n">
        <v>0</v>
      </c>
      <c r="I321" s="4" t="n">
        <v>139</v>
      </c>
      <c r="J321" s="4" t="n">
        <v>42</v>
      </c>
      <c r="K321" s="5" t="n">
        <v>595.2</v>
      </c>
      <c r="L321" s="4" t="n">
        <v>128</v>
      </c>
      <c r="M321" s="4" t="n">
        <v>39</v>
      </c>
      <c r="N321" s="5" t="n">
        <v>641</v>
      </c>
      <c r="O321" s="3" t="inlineStr">
        <is>
          <t>nan</t>
        </is>
      </c>
      <c r="P321" s="6">
        <f>HYPERLINK("https://fin.land.naver.com/articles/2649622161", "매물Link")</f>
        <v/>
      </c>
      <c r="Q321" s="6">
        <f>HYPERLINK("https://map.naver.com/p/search/조치원읍 교리 5-2", "지도Link")</f>
        <v/>
      </c>
      <c r="R321" s="6">
        <f>HYPERLINK("http://www.eum.go.kr/web/ar/lu/luLandDet.jsp?pnu=3611025024100050002&amp;isNoScr=script&amp;mode=search", "토지이음")</f>
        <v/>
      </c>
      <c r="S321" s="3" t="inlineStr">
        <is>
          <t>효자</t>
        </is>
      </c>
      <c r="T321" s="4" t="n">
        <v>1</v>
      </c>
      <c r="U321" s="5" t="n">
        <v>361.3</v>
      </c>
      <c r="V321" s="4" t="n">
        <v>139.5</v>
      </c>
      <c r="W321" s="3" t="inlineStr">
        <is>
          <t>지정되지않음</t>
        </is>
      </c>
      <c r="X321" s="3" t="inlineStr">
        <is>
          <t>주상기타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7-15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6</t>
        </is>
      </c>
      <c r="E322" s="3" t="inlineStr">
        <is>
          <t>단독</t>
        </is>
      </c>
      <c r="F322" s="3" t="inlineStr">
        <is>
          <t>매매</t>
        </is>
      </c>
      <c r="G322" s="4" t="n">
        <v>38000</v>
      </c>
      <c r="H322" s="4" t="n">
        <v>0</v>
      </c>
      <c r="I322" s="4" t="n">
        <v>139</v>
      </c>
      <c r="J322" s="4" t="n">
        <v>42</v>
      </c>
      <c r="K322" s="5" t="n">
        <v>904.8</v>
      </c>
      <c r="L322" s="4" t="n">
        <v>341</v>
      </c>
      <c r="M322" s="4" t="n">
        <v>103</v>
      </c>
      <c r="N322" s="5" t="n">
        <v>368.9</v>
      </c>
      <c r="O322" s="3" t="inlineStr">
        <is>
          <t>교리, 6층 다가구 및 사무실건물 매매 임대수익 중</t>
        </is>
      </c>
      <c r="P322" s="6">
        <f>HYPERLINK("https://fin.land.naver.com/articles/2648523163", "매물Link")</f>
        <v/>
      </c>
      <c r="Q322" s="6">
        <f>HYPERLINK("https://map.naver.com/p/search/조치원읍 교리 7-15", "지도Link")</f>
        <v/>
      </c>
      <c r="R322" s="6">
        <f>HYPERLINK("http://www.eum.go.kr/web/ar/lu/luLandDet.jsp?pnu=3611025024100070015&amp;isNoScr=script&amp;mode=search", "토지이음")</f>
        <v/>
      </c>
      <c r="S322" s="3" t="inlineStr">
        <is>
          <t>다옴</t>
        </is>
      </c>
      <c r="T322" s="4" t="n">
        <v>2</v>
      </c>
      <c r="U322" s="5" t="n">
        <v>217.4</v>
      </c>
      <c r="V322" s="4" t="n">
        <v>139.8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조치원읍 남리 103-16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29000</v>
      </c>
      <c r="H323" s="4" t="n">
        <v>0</v>
      </c>
      <c r="I323" s="4" t="n">
        <v>282</v>
      </c>
      <c r="J323" s="4" t="n">
        <v>85</v>
      </c>
      <c r="K323" s="5" t="n">
        <v>341.2</v>
      </c>
      <c r="L323" s="4" t="n">
        <v>229</v>
      </c>
      <c r="M323" s="4" t="n">
        <v>69</v>
      </c>
      <c r="N323" s="5" t="n">
        <v>420.3</v>
      </c>
      <c r="O323" s="3" t="inlineStr">
        <is>
          <t>1층 공장 , 2층 주택 , 도로변</t>
        </is>
      </c>
      <c r="P323" s="6">
        <f>HYPERLINK("https://fin.land.naver.com/articles/2652084096", "매물Link")</f>
        <v/>
      </c>
      <c r="Q323" s="6">
        <f>HYPERLINK("https://map.naver.com/p/search/조치원읍 남리 103-16", "지도Link")</f>
        <v/>
      </c>
      <c r="R323" s="6">
        <f>HYPERLINK("http://www.eum.go.kr/web/ar/lu/luLandDet.jsp?pnu=3611025027101030016&amp;isNoScr=script&amp;mode=search", "토지이음")</f>
        <v/>
      </c>
      <c r="S323" s="3" t="inlineStr">
        <is>
          <t>KB세종</t>
        </is>
      </c>
      <c r="T323" s="4" t="n">
        <v>1</v>
      </c>
      <c r="U323" s="5" t="n">
        <v>160.4</v>
      </c>
      <c r="V323" s="4" t="n">
        <v>282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세로한면(가)</t>
        </is>
      </c>
    </row>
    <row r="324">
      <c r="A324" s="3" t="inlineStr">
        <is>
          <t>조치원읍 남리 119-10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2</t>
        </is>
      </c>
      <c r="E324" s="3" t="inlineStr">
        <is>
          <t>다가구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33</v>
      </c>
      <c r="J324" s="4" t="n">
        <v>10</v>
      </c>
      <c r="K324" s="5" t="n">
        <v>2.7</v>
      </c>
      <c r="L324" s="4" t="n">
        <v>19</v>
      </c>
      <c r="M324" s="4" t="n">
        <v>6</v>
      </c>
      <c r="N324" s="5" t="n">
        <v>4.5</v>
      </c>
      <c r="O324" s="3" t="inlineStr">
        <is>
          <t>조치원역도보거리O막힘없는O깨끗한 원룸</t>
        </is>
      </c>
      <c r="P324" s="6">
        <f>HYPERLINK("https://fin.land.naver.com/articles/2651069139", "매물Link")</f>
        <v/>
      </c>
      <c r="Q324" s="6">
        <f>HYPERLINK("https://map.naver.com/p/search/조치원읍 남리 119-10", "지도Link")</f>
        <v/>
      </c>
      <c r="R324" s="6">
        <f>HYPERLINK("http://www.eum.go.kr/web/ar/lu/luLandDet.jsp?pnu=3611025027101190010&amp;isNoScr=script&amp;mode=search",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242.2</v>
      </c>
      <c r="V324" s="4" t="n">
        <v>280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자루형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119-12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26</v>
      </c>
      <c r="M326" s="4" t="n">
        <v>8</v>
      </c>
      <c r="N326" s="5" t="n">
        <v>3.8</v>
      </c>
      <c r="O326" s="3" t="inlineStr">
        <is>
          <t>남향 조치원시내권도보거리 주차시설완비 완벽풀옵션</t>
        </is>
      </c>
      <c r="P326" s="6">
        <f>HYPERLINK("https://fin.land.naver.com/articles/2652366588", "매물Link")</f>
        <v/>
      </c>
      <c r="Q326" s="6">
        <f>HYPERLINK("https://map.naver.com/p/search/조치원읍 남리 119-12", "지도Link")</f>
        <v/>
      </c>
      <c r="R326" s="6">
        <f>HYPERLINK("http://www.eum.go.kr/web/ar/lu/luLandDet.jsp?pnu=3611025027101190012&amp;isNoScr=script&amp;mode=search",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282.8</v>
      </c>
      <c r="V326" s="4" t="n">
        <v>485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소로한면</t>
        </is>
      </c>
    </row>
    <row r="327">
      <c r="A327" s="3" t="inlineStr">
        <is>
          <t>조치원읍 남리 119-6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16</v>
      </c>
      <c r="J327" s="4" t="n">
        <v>5</v>
      </c>
      <c r="K327" s="5" t="n">
        <v>5.4</v>
      </c>
      <c r="L327" s="4" t="n">
        <v>16</v>
      </c>
      <c r="M327" s="4" t="n">
        <v>5</v>
      </c>
      <c r="N327" s="5" t="n">
        <v>5.4</v>
      </c>
      <c r="O327" s="3" t="inlineStr">
        <is>
          <t>아늑하고 깔끔한 풀옵션,교통과 생활이 아주 편리,가성비 좋음,즉시 입주</t>
        </is>
      </c>
      <c r="P327" s="6">
        <f>HYPERLINK("https://fin.land.naver.com/articles/2651659898", "매물Link")</f>
        <v/>
      </c>
      <c r="Q327" s="6">
        <f>HYPERLINK("https://map.naver.com/p/search/조치원읍 남리 119-6", "지도Link")</f>
        <v/>
      </c>
      <c r="R327" s="6">
        <f>HYPERLINK("http://www.eum.go.kr/web/ar/lu/luLandDet.jsp?pnu=3611025027101190006&amp;isNoScr=script&amp;mode=search", "토지이음")</f>
        <v/>
      </c>
      <c r="S327" s="3" t="inlineStr">
        <is>
          <t>유정희</t>
        </is>
      </c>
      <c r="T327" s="4" t="n">
        <v>1</v>
      </c>
      <c r="U327" s="5" t="n">
        <v>285.5</v>
      </c>
      <c r="V327" s="4" t="n">
        <v>249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119-6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0</v>
      </c>
      <c r="J328" s="4" t="n">
        <v>0</v>
      </c>
      <c r="K328" s="5" t="n">
        <v>0</v>
      </c>
      <c r="L328" s="4" t="n">
        <v>19</v>
      </c>
      <c r="M328" s="4" t="n">
        <v>6</v>
      </c>
      <c r="N328" s="5" t="n">
        <v>4.2</v>
      </c>
      <c r="O328" s="3" t="inlineStr">
        <is>
          <t>남리 버스정류장 가까운 위치</t>
        </is>
      </c>
      <c r="P328" s="6">
        <f>HYPERLINK("https://fin.land.naver.com/articles/2648317995", "매물Link")</f>
        <v/>
      </c>
      <c r="Q328" s="6">
        <f>HYPERLINK("https://map.naver.com/p/search/조치원읍 남리 119-6", "지도Link")</f>
        <v/>
      </c>
      <c r="R328" s="6">
        <f>HYPERLINK("http://www.eum.go.kr/web/ar/lu/luLandDet.jsp?pnu=3611025027101190006&amp;isNoScr=script&amp;mode=search",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285.5</v>
      </c>
      <c r="V328" s="4" t="n">
        <v>249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12-34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16500</v>
      </c>
      <c r="H329" s="4" t="n">
        <v>0</v>
      </c>
      <c r="I329" s="4" t="n">
        <v>108</v>
      </c>
      <c r="J329" s="4" t="n">
        <v>33</v>
      </c>
      <c r="K329" s="5" t="n">
        <v>500</v>
      </c>
      <c r="L329" s="4" t="n">
        <v>110</v>
      </c>
      <c r="M329" s="4" t="n">
        <v>33</v>
      </c>
      <c r="N329" s="5" t="n">
        <v>500</v>
      </c>
      <c r="O329" s="3" t="inlineStr">
        <is>
          <t>남리 우성볼링장 뒷편  주택거주하고싶은분 추천합니다</t>
        </is>
      </c>
      <c r="P329" s="6">
        <f>HYPERLINK("https://fin.land.naver.com/articles/2649790458", "매물Link")</f>
        <v/>
      </c>
      <c r="Q329" s="6">
        <f>HYPERLINK("https://map.naver.com/p/search/조치원읍 남리 12-34", "지도Link")</f>
        <v/>
      </c>
      <c r="R329" s="6">
        <f>HYPERLINK("http://www.eum.go.kr/web/ar/lu/luLandDet.jsp?pnu=3611025027100120034&amp;isNoScr=script&amp;mode=search",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196.8</v>
      </c>
      <c r="V329" s="4" t="n">
        <v>108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299-2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26</v>
      </c>
      <c r="J330" s="4" t="n">
        <v>8</v>
      </c>
      <c r="K330" s="5" t="n">
        <v>500</v>
      </c>
      <c r="L330" s="4" t="n">
        <v>19</v>
      </c>
      <c r="M330" s="4" t="n">
        <v>6</v>
      </c>
      <c r="N330" s="5" t="n">
        <v>666.7</v>
      </c>
      <c r="O330" s="3" t="inlineStr">
        <is>
          <t>LH 가능.주방분리형.보증보험가능.시장1분. 역3분.깔끔한방</t>
        </is>
      </c>
      <c r="P330" s="6">
        <f>HYPERLINK("https://fin.land.naver.com/articles/2647870045", "매물Link")</f>
        <v/>
      </c>
      <c r="Q330" s="6">
        <f>HYPERLINK("https://map.naver.com/p/search/조치원읍 남리 299-2", "지도Link")</f>
        <v/>
      </c>
      <c r="R330" s="6">
        <f>HYPERLINK("http://www.eum.go.kr/web/ar/lu/luLandDet.jsp?pnu=3611025027102990002&amp;isNoScr=script&amp;mode=search", "토지이음")</f>
        <v/>
      </c>
      <c r="S330" s="3" t="inlineStr">
        <is>
          <t>마이룸</t>
        </is>
      </c>
      <c r="T330" s="4" t="n">
        <v>1</v>
      </c>
      <c r="U330" s="5" t="n">
        <v>223.9</v>
      </c>
      <c r="V330" s="4" t="n">
        <v>407.8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0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넓은싸이즈 깔끔한 오피스텔 편리한주차시설 엘리베이터완비</t>
        </is>
      </c>
      <c r="P331" s="6">
        <f>HYPERLINK("https://fin.land.naver.com/articles/2650578754",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도시형생활주택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25</v>
      </c>
      <c r="J332" s="4" t="n">
        <v>8</v>
      </c>
      <c r="K332" s="5" t="n">
        <v>3.8</v>
      </c>
      <c r="L332" s="4" t="n">
        <v>16</v>
      </c>
      <c r="M332" s="4" t="n">
        <v>5</v>
      </c>
      <c r="N332" s="5" t="n">
        <v>6</v>
      </c>
      <c r="O332" s="3" t="inlineStr">
        <is>
          <t>남리 깔끔1룸 월세,엘베있음.</t>
        </is>
      </c>
      <c r="P332" s="6">
        <f>HYPERLINK("https://fin.land.naver.com/articles/2650099249",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이음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120</v>
      </c>
      <c r="H333" s="4" t="n">
        <v>40</v>
      </c>
      <c r="I333" s="4" t="n">
        <v>29</v>
      </c>
      <c r="J333" s="4" t="n">
        <v>9</v>
      </c>
      <c r="K333" s="5" t="n">
        <v>13.3</v>
      </c>
      <c r="L333" s="4" t="n">
        <v>20</v>
      </c>
      <c r="M333" s="4" t="n">
        <v>6</v>
      </c>
      <c r="N333" s="5" t="n">
        <v>20</v>
      </c>
      <c r="O333" s="3" t="inlineStr">
        <is>
          <t>단기 2개월도 임대가능 명품원룸 조치원역도보5분 주차넉넉 즉시입주</t>
        </is>
      </c>
      <c r="P333" s="6">
        <f>HYPERLINK("https://fin.land.naver.com/articles/2651797631",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150</v>
      </c>
      <c r="H334" s="4" t="n">
        <v>40</v>
      </c>
      <c r="I334" s="4" t="n">
        <v>30</v>
      </c>
      <c r="J334" s="4" t="n">
        <v>9</v>
      </c>
      <c r="K334" s="5" t="n">
        <v>16.7</v>
      </c>
      <c r="L334" s="4" t="n">
        <v>21</v>
      </c>
      <c r="M334" s="4" t="n">
        <v>6</v>
      </c>
      <c r="N334" s="5" t="n">
        <v>25</v>
      </c>
      <c r="O334" s="3" t="inlineStr">
        <is>
          <t>조치원명품원룸 도시형생활주택 조치원역도보5분  즉시입주가능 관리소장근무</t>
        </is>
      </c>
      <c r="P334" s="6">
        <f>HYPERLINK("https://fin.land.naver.com/articles/2651801042",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29</v>
      </c>
      <c r="J335" s="4" t="n">
        <v>9</v>
      </c>
      <c r="K335" s="5" t="n">
        <v>3.3</v>
      </c>
      <c r="L335" s="4" t="n">
        <v>20</v>
      </c>
      <c r="M335" s="4" t="n">
        <v>6</v>
      </c>
      <c r="N335" s="5" t="n">
        <v>5</v>
      </c>
      <c r="O335" s="3" t="inlineStr">
        <is>
          <t>조치원역 도보가능 풀옵션 조용한 주택가 즉시입주가능합니다</t>
        </is>
      </c>
      <c r="P335" s="6">
        <f>HYPERLINK("https://fin.land.naver.com/articles/2647811162",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32</v>
      </c>
      <c r="I336" s="4" t="n">
        <v>24</v>
      </c>
      <c r="J336" s="4" t="n">
        <v>7</v>
      </c>
      <c r="K336" s="5" t="n">
        <v>4.6</v>
      </c>
      <c r="L336" s="4" t="n">
        <v>13</v>
      </c>
      <c r="M336" s="4" t="n">
        <v>4</v>
      </c>
      <c r="N336" s="5" t="n">
        <v>8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HYPERLINK("https://fin.land.naver.com/articles/2651832029",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367-1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100</v>
      </c>
      <c r="H338" s="4" t="n">
        <v>30</v>
      </c>
      <c r="I338" s="4" t="n">
        <v>23</v>
      </c>
      <c r="J338" s="4" t="n">
        <v>7</v>
      </c>
      <c r="K338" s="5" t="n">
        <v>4.3</v>
      </c>
      <c r="L338" s="4" t="n">
        <v>18</v>
      </c>
      <c r="M338" s="4" t="n">
        <v>5</v>
      </c>
      <c r="N338" s="5" t="n">
        <v>6</v>
      </c>
      <c r="O338" s="3" t="inlineStr">
        <is>
          <t>방크고 저렴한 원룸</t>
        </is>
      </c>
      <c r="P338" s="6">
        <f>HYPERLINK("https://fin.land.naver.com/articles/2650575812", "매물Link")</f>
        <v/>
      </c>
      <c r="Q338" s="6">
        <f>HYPERLINK("https://map.naver.com/p/search/조치원읍 남리 367-1", "지도Link")</f>
        <v/>
      </c>
      <c r="R338" s="6">
        <f>HYPERLINK("http://www.eum.go.kr/web/ar/lu/luLandDet.jsp?pnu=3611025027103670001&amp;isNoScr=script&amp;mode=search", "토지이음")</f>
        <v/>
      </c>
      <c r="S338" s="3" t="inlineStr">
        <is>
          <t>골드</t>
        </is>
      </c>
      <c r="T338" s="4" t="n">
        <v>1</v>
      </c>
      <c r="U338" s="5" t="n">
        <v>280.4</v>
      </c>
      <c r="V338" s="4" t="n">
        <v>270.8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397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다가구</t>
        </is>
      </c>
      <c r="F339" s="3" t="inlineStr">
        <is>
          <t>월세</t>
        </is>
      </c>
      <c r="G339" s="4" t="n">
        <v>500</v>
      </c>
      <c r="H339" s="4" t="n">
        <v>45</v>
      </c>
      <c r="I339" s="4" t="n">
        <v>46</v>
      </c>
      <c r="J339" s="4" t="n">
        <v>14</v>
      </c>
      <c r="K339" s="5" t="n">
        <v>3.2</v>
      </c>
      <c r="L339" s="4" t="n">
        <v>40</v>
      </c>
      <c r="M339" s="4" t="n">
        <v>12</v>
      </c>
      <c r="N339" s="5" t="n">
        <v>3.8</v>
      </c>
      <c r="O339" s="3" t="inlineStr">
        <is>
          <t>저렴 넓은투룸 엘베유 전통시장 도보 가능합니다</t>
        </is>
      </c>
      <c r="P339" s="6">
        <f>HYPERLINK("https://fin.land.naver.com/articles/2648078391", "매물Link")</f>
        <v/>
      </c>
      <c r="Q339" s="6">
        <f>HYPERLINK("https://map.naver.com/p/search/조치원읍 남리 397", "지도Link")</f>
        <v/>
      </c>
      <c r="R339" s="6">
        <f>HYPERLINK("http://www.eum.go.kr/web/ar/lu/luLandDet.jsp?pnu=3611025027103970000&amp;isNoScr=script&amp;mode=search",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286.1</v>
      </c>
      <c r="V339" s="4" t="n">
        <v>546.2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중로한면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다가구</t>
        </is>
      </c>
      <c r="F341" s="3" t="inlineStr">
        <is>
          <t>월세</t>
        </is>
      </c>
      <c r="G341" s="4" t="n">
        <v>300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36</v>
      </c>
      <c r="M341" s="4" t="n">
        <v>11</v>
      </c>
      <c r="N341" s="5" t="n">
        <v>3.2</v>
      </c>
      <c r="O341" s="3" t="inlineStr">
        <is>
          <t>관리비없음.저렴한1.5룸.세탁기.냉장고.에어컨있어요.</t>
        </is>
      </c>
      <c r="P341" s="6">
        <f>HYPERLINK("https://fin.land.naver.com/articles/2647996424",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445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150</v>
      </c>
      <c r="H343" s="4" t="n">
        <v>30</v>
      </c>
      <c r="I343" s="4" t="n">
        <v>39</v>
      </c>
      <c r="J343" s="4" t="n">
        <v>12</v>
      </c>
      <c r="K343" s="5" t="n">
        <v>2.5</v>
      </c>
      <c r="L343" s="4" t="n">
        <v>26</v>
      </c>
      <c r="M343" s="4" t="n">
        <v>8</v>
      </c>
      <c r="N343" s="5" t="n">
        <v>3.8</v>
      </c>
      <c r="O343" s="3" t="inlineStr">
        <is>
          <t>저렴한 원룸.가성비 짱.조치원역도보거리.시내권.</t>
        </is>
      </c>
      <c r="P343" s="6">
        <f>HYPERLINK("https://fin.land.naver.com/articles/2652559742", "매물Link")</f>
        <v/>
      </c>
      <c r="Q343" s="6">
        <f>HYPERLINK("https://map.naver.com/p/search/조치원읍 남리 445", "지도Link")</f>
        <v/>
      </c>
      <c r="R343" s="6">
        <f>HYPERLINK("http://www.eum.go.kr/web/ar/lu/luLandDet.jsp?pnu=3611025027104450000&amp;isNoScr=script&amp;mode=search",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207.7</v>
      </c>
      <c r="V343" s="4" t="n">
        <v>287.8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473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다가구</t>
        </is>
      </c>
      <c r="F345" s="3" t="inlineStr">
        <is>
          <t>월세</t>
        </is>
      </c>
      <c r="G345" s="4" t="n">
        <v>200</v>
      </c>
      <c r="H345" s="4" t="n">
        <v>31</v>
      </c>
      <c r="I345" s="4" t="n">
        <v>26</v>
      </c>
      <c r="J345" s="4" t="n">
        <v>8</v>
      </c>
      <c r="K345" s="5" t="n">
        <v>3.9</v>
      </c>
      <c r="L345" s="4" t="n">
        <v>26</v>
      </c>
      <c r="M345" s="4" t="n">
        <v>8</v>
      </c>
      <c r="N345" s="5" t="n">
        <v>3.9</v>
      </c>
      <c r="O345" s="3" t="inlineStr">
        <is>
          <t>조치원 시내이며, 재래시장, 초등학교인근이며, 오송과 인접함</t>
        </is>
      </c>
      <c r="P345" s="6">
        <f>HYPERLINK("https://fin.land.naver.com/articles/2651504477", "매물Link")</f>
        <v/>
      </c>
      <c r="Q345" s="6">
        <f>HYPERLINK("https://map.naver.com/p/search/조치원읍 남리 473", "지도Link")</f>
        <v/>
      </c>
      <c r="R345" s="6">
        <f>HYPERLINK("http://www.eum.go.kr/web/ar/lu/luLandDet.jsp?pnu=3611025027104730000&amp;isNoScr=script&amp;mode=search", "토지이음")</f>
        <v/>
      </c>
      <c r="S345" s="3" t="inlineStr">
        <is>
          <t>세종베스트</t>
        </is>
      </c>
      <c r="T345" s="4" t="n">
        <v>1</v>
      </c>
      <c r="U345" s="5" t="n">
        <v>261.8</v>
      </c>
      <c r="V345" s="4" t="n">
        <v>446.7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정방형</t>
        </is>
      </c>
      <c r="AA345" s="3" t="inlineStr">
        <is>
          <t>중로한면</t>
        </is>
      </c>
    </row>
    <row r="346">
      <c r="A346" s="3" t="inlineStr">
        <is>
          <t>조치원읍 남리 60-2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27</v>
      </c>
      <c r="I346" s="4" t="n">
        <v>19</v>
      </c>
      <c r="J346" s="4" t="n">
        <v>6</v>
      </c>
      <c r="K346" s="5" t="n">
        <v>4.5</v>
      </c>
      <c r="L346" s="4" t="n">
        <v>14</v>
      </c>
      <c r="M346" s="4" t="n">
        <v>4</v>
      </c>
      <c r="N346" s="5" t="n">
        <v>6.8</v>
      </c>
      <c r="O346" s="3" t="inlineStr">
        <is>
          <t>전통시장 웰마트인근 깔끔 원룸.즉시입주가능합니다.</t>
        </is>
      </c>
      <c r="P346" s="6">
        <f>HYPERLINK("https://fin.land.naver.com/articles/2649412487", "매물Link")</f>
        <v/>
      </c>
      <c r="Q346" s="6">
        <f>HYPERLINK("https://map.naver.com/p/search/조치원읍 남리 60-2", "지도Link")</f>
        <v/>
      </c>
      <c r="R346" s="6">
        <f>HYPERLINK("http://www.eum.go.kr/web/ar/lu/luLandDet.jsp?pnu=3611025027100600002&amp;isNoScr=script&amp;mode=search", "토지이음")</f>
        <v/>
      </c>
      <c r="S346" s="3" t="inlineStr">
        <is>
          <t>이음</t>
        </is>
      </c>
      <c r="T346" s="4" t="n">
        <v>1</v>
      </c>
      <c r="U346" s="5" t="n">
        <v>458.8</v>
      </c>
      <c r="V346" s="4" t="n">
        <v>452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소로각지</t>
        </is>
      </c>
    </row>
    <row r="347">
      <c r="A347" s="3" t="inlineStr">
        <is>
          <t>조치원읍 남리 60-8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월세</t>
        </is>
      </c>
      <c r="G347" s="4" t="n">
        <v>200</v>
      </c>
      <c r="H347" s="4" t="n">
        <v>28</v>
      </c>
      <c r="I347" s="4" t="n">
        <v>18</v>
      </c>
      <c r="J347" s="4" t="n">
        <v>5</v>
      </c>
      <c r="K347" s="5" t="n">
        <v>5.6</v>
      </c>
      <c r="L347" s="4" t="n">
        <v>13</v>
      </c>
      <c r="M347" s="4" t="n">
        <v>4</v>
      </c>
      <c r="N347" s="5" t="n">
        <v>7</v>
      </c>
      <c r="O347" s="3" t="inlineStr">
        <is>
          <t>남리 원룸 전통시장 조치원역 도보가능합니다</t>
        </is>
      </c>
      <c r="P347" s="6">
        <f>HYPERLINK("https://fin.land.naver.com/articles/2649006424", "매물Link")</f>
        <v/>
      </c>
      <c r="Q347" s="6">
        <f>HYPERLINK("https://map.naver.com/p/search/조치원읍 남리 60-8", "지도Link")</f>
        <v/>
      </c>
      <c r="R347" s="6">
        <f>HYPERLINK("http://www.eum.go.kr/web/ar/lu/luLandDet.jsp?pnu=3611025027100600008&amp;isNoScr=script&amp;mode=search",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400</v>
      </c>
      <c r="V347" s="4" t="n">
        <v>514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세로한면(가)</t>
        </is>
      </c>
    </row>
    <row r="348">
      <c r="A348" s="3" t="inlineStr">
        <is>
          <t>조치원읍 남리 60-8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35</v>
      </c>
      <c r="I348" s="4" t="n">
        <v>42</v>
      </c>
      <c r="J348" s="4" t="n">
        <v>13</v>
      </c>
      <c r="K348" s="5" t="n">
        <v>2.7</v>
      </c>
      <c r="L348" s="4" t="n">
        <v>29</v>
      </c>
      <c r="M348" s="4" t="n">
        <v>9</v>
      </c>
      <c r="N348" s="5" t="n">
        <v>3.9</v>
      </c>
      <c r="O348" s="3" t="inlineStr">
        <is>
          <t>큰 방.조치원시내위치.깔끔한관리.즉시입주.</t>
        </is>
      </c>
      <c r="P348" s="6">
        <f>HYPERLINK("https://fin.land.naver.com/articles/2650821771", "매물Link")</f>
        <v/>
      </c>
      <c r="Q348" s="6">
        <f>HYPERLINK("https://map.naver.com/p/search/조치원읍 남리 60-8", "지도Link")</f>
        <v/>
      </c>
      <c r="R348" s="6">
        <f>HYPERLINK("http://www.eum.go.kr/web/ar/lu/luLandDet.jsp?pnu=3611025027100600008&amp;isNoScr=script&amp;mode=search",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400</v>
      </c>
      <c r="V348" s="4" t="n">
        <v>514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세로한면(가)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29</v>
      </c>
      <c r="I349" s="4" t="n">
        <v>19</v>
      </c>
      <c r="J349" s="4" t="n">
        <v>6</v>
      </c>
      <c r="K349" s="5" t="n">
        <v>4.8</v>
      </c>
      <c r="L349" s="4" t="n">
        <v>14</v>
      </c>
      <c r="M349" s="4" t="n">
        <v>4</v>
      </c>
      <c r="N349" s="5" t="n">
        <v>7.2</v>
      </c>
      <c r="O349" s="3" t="inlineStr">
        <is>
          <t>조치원역 도보5분 풀옵션 분리형원룸</t>
        </is>
      </c>
      <c r="P349" s="6">
        <f>HYPERLINK("https://fin.land.naver.com/articles/2650893111",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용죽부자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300</v>
      </c>
      <c r="H350" s="4" t="n">
        <v>31</v>
      </c>
      <c r="I350" s="4" t="n">
        <v>22</v>
      </c>
      <c r="J350" s="4" t="n">
        <v>7</v>
      </c>
      <c r="K350" s="5" t="n">
        <v>4.4</v>
      </c>
      <c r="L350" s="4" t="n">
        <v>16</v>
      </c>
      <c r="M350" s="4" t="n">
        <v>5</v>
      </c>
      <c r="N350" s="5" t="n">
        <v>6.2</v>
      </c>
      <c r="O350" s="3" t="inlineStr">
        <is>
          <t>전통시장 웰마트인근  원룸.</t>
        </is>
      </c>
      <c r="P350" s="6">
        <f>HYPERLINK("https://fin.land.naver.com/articles/2647389460",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이음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62-19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29500</v>
      </c>
      <c r="H351" s="4" t="n">
        <v>0</v>
      </c>
      <c r="I351" s="4" t="n">
        <v>180</v>
      </c>
      <c r="J351" s="4" t="n">
        <v>54</v>
      </c>
      <c r="K351" s="5" t="n">
        <v>546.3</v>
      </c>
      <c r="L351" s="4" t="n">
        <v>163</v>
      </c>
      <c r="M351" s="4" t="n">
        <v>49</v>
      </c>
      <c r="N351" s="5" t="n">
        <v>602</v>
      </c>
      <c r="O351" s="3" t="inlineStr">
        <is>
          <t>조치원시내 관공서와 버스정류장 조치원역 도보로 가능한 조용한 주택,</t>
        </is>
      </c>
      <c r="P351" s="6">
        <f>HYPERLINK("https://fin.land.naver.com/articles/2651053326", "매물Link")</f>
        <v/>
      </c>
      <c r="Q351" s="6">
        <f>HYPERLINK("https://map.naver.com/p/search/조치원읍 남리 62-19", "지도Link")</f>
        <v/>
      </c>
      <c r="R351" s="6">
        <f>HYPERLINK("http://www.eum.go.kr/web/ar/lu/luLandDet.jsp?pnu=3611025027100620019&amp;isNoScr=script&amp;mode=search", "토지이음")</f>
        <v/>
      </c>
      <c r="S351" s="3" t="inlineStr">
        <is>
          <t>담뜰</t>
        </is>
      </c>
      <c r="T351" s="4" t="n">
        <v>1</v>
      </c>
      <c r="U351" s="5" t="n">
        <v>178.8</v>
      </c>
      <c r="V351" s="4" t="n">
        <v>180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남리 62-6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전세</t>
        </is>
      </c>
      <c r="G352" s="4" t="n">
        <v>4000</v>
      </c>
      <c r="H352" s="4" t="n">
        <v>0</v>
      </c>
      <c r="I352" s="4" t="n">
        <v>26</v>
      </c>
      <c r="J352" s="4" t="n">
        <v>8</v>
      </c>
      <c r="K352" s="5" t="n">
        <v>500</v>
      </c>
      <c r="L352" s="4" t="n">
        <v>19</v>
      </c>
      <c r="M352" s="4" t="n">
        <v>6</v>
      </c>
      <c r="N352" s="5" t="n">
        <v>666.7</v>
      </c>
      <c r="O352" s="3" t="inlineStr">
        <is>
          <t>조치원역도보5분 근저당없는 전세 풀옵션 큰방</t>
        </is>
      </c>
      <c r="P352" s="6">
        <f>HYPERLINK("https://fin.land.naver.com/articles/2649101403", "매물Link")</f>
        <v/>
      </c>
      <c r="Q352" s="6">
        <f>HYPERLINK("https://map.naver.com/p/search/조치원읍 남리 62-6", "지도Link")</f>
        <v/>
      </c>
      <c r="R352" s="6">
        <f>HYPERLINK("http://www.eum.go.kr/web/ar/lu/luLandDet.jsp?pnu=3611025027100620006&amp;isNoScr=script&amp;mode=search",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396</v>
      </c>
      <c r="V352" s="4" t="n">
        <v>472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빌라</t>
        </is>
      </c>
      <c r="F353" s="3" t="inlineStr">
        <is>
          <t>전세</t>
        </is>
      </c>
      <c r="G353" s="4" t="n">
        <v>4000</v>
      </c>
      <c r="H353" s="4" t="n">
        <v>0</v>
      </c>
      <c r="I353" s="4" t="n">
        <v>20</v>
      </c>
      <c r="J353" s="4" t="n">
        <v>6</v>
      </c>
      <c r="K353" s="5" t="n">
        <v>666.7</v>
      </c>
      <c r="L353" s="4" t="n">
        <v>19</v>
      </c>
      <c r="M353" s="4" t="n">
        <v>6</v>
      </c>
      <c r="N353" s="5" t="n">
        <v>666.7</v>
      </c>
      <c r="O353" s="3" t="inlineStr">
        <is>
          <t>LH가능.HUG.서울보증보험가능 .가성비갑.시장1분 역5분.</t>
        </is>
      </c>
      <c r="P353" s="6">
        <f>HYPERLINK("https://fin.land.naver.com/articles/2647397073",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전세</t>
        </is>
      </c>
      <c r="G354" s="4" t="n">
        <v>3900</v>
      </c>
      <c r="H354" s="4" t="n">
        <v>0</v>
      </c>
      <c r="I354" s="4" t="n">
        <v>26</v>
      </c>
      <c r="J354" s="4" t="n">
        <v>8</v>
      </c>
      <c r="K354" s="5" t="n">
        <v>487.5</v>
      </c>
      <c r="L354" s="4" t="n">
        <v>23</v>
      </c>
      <c r="M354" s="4" t="n">
        <v>7</v>
      </c>
      <c r="N354" s="5" t="n">
        <v>557.1</v>
      </c>
      <c r="O354" s="3" t="inlineStr">
        <is>
          <t>남리 원룸 전통시장 조치원역 도보가능합니다</t>
        </is>
      </c>
      <c r="P354" s="6">
        <f>HYPERLINK("https://fin.land.naver.com/articles/2649008339",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nan</t>
        </is>
      </c>
      <c r="P355" s="6">
        <f>HYPERLINK("https://fin.land.naver.com/articles/2648311440",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다가구</t>
        </is>
      </c>
      <c r="F356" s="3" t="inlineStr">
        <is>
          <t>전세</t>
        </is>
      </c>
      <c r="G356" s="4" t="n">
        <v>4000</v>
      </c>
      <c r="H356" s="4" t="n">
        <v>0</v>
      </c>
      <c r="I356" s="4" t="n">
        <v>39</v>
      </c>
      <c r="J356" s="4" t="n">
        <v>12</v>
      </c>
      <c r="K356" s="5" t="n">
        <v>333.3</v>
      </c>
      <c r="L356" s="4" t="n">
        <v>26</v>
      </c>
      <c r="M356" s="4" t="n">
        <v>8</v>
      </c>
      <c r="N356" s="5" t="n">
        <v>500</v>
      </c>
      <c r="O356" s="3" t="inlineStr">
        <is>
          <t>조치원역도보거리.융자없음.깔끔한전세.즉시입주</t>
        </is>
      </c>
      <c r="P356" s="6">
        <f>HYPERLINK("https://fin.land.naver.com/articles/2651980466",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69-17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연립</t>
        </is>
      </c>
      <c r="F357" s="3" t="inlineStr">
        <is>
          <t>매매</t>
        </is>
      </c>
      <c r="G357" s="4" t="n">
        <v>7500</v>
      </c>
      <c r="H357" s="4" t="n">
        <v>0</v>
      </c>
      <c r="I357" s="4" t="n">
        <v>47</v>
      </c>
      <c r="J357" s="4" t="n">
        <v>14</v>
      </c>
      <c r="K357" s="5" t="n">
        <v>535.7</v>
      </c>
      <c r="L357" s="4" t="n">
        <v>47</v>
      </c>
      <c r="M357" s="4" t="n">
        <v>14</v>
      </c>
      <c r="N357" s="5" t="n">
        <v>535.7</v>
      </c>
      <c r="O357" s="3" t="inlineStr">
        <is>
          <t>남리 성당근처 빌라 2층 수리됨 협의입주입니다</t>
        </is>
      </c>
      <c r="P357" s="6">
        <f>HYPERLINK("https://fin.land.naver.com/articles/2651708338", "매물Link")</f>
        <v/>
      </c>
      <c r="Q357" s="6">
        <f>HYPERLINK("https://map.naver.com/p/search/조치원읍 남리 69-17", "지도Link")</f>
        <v/>
      </c>
      <c r="R357" s="6">
        <f>HYPERLINK("http://www.eum.go.kr/web/ar/lu/luLandDet.jsp?pnu=3611025027100690017&amp;isNoScr=script&amp;mode=search",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202.1</v>
      </c>
      <c r="V357" s="4" t="n">
        <v>140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세로각지(가)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500</v>
      </c>
      <c r="H358" s="4" t="n">
        <v>40</v>
      </c>
      <c r="I358" s="4" t="n">
        <v>42</v>
      </c>
      <c r="J358" s="4" t="n">
        <v>13</v>
      </c>
      <c r="K358" s="5" t="n">
        <v>3.1</v>
      </c>
      <c r="L358" s="4" t="n">
        <v>36</v>
      </c>
      <c r="M358" s="4" t="n">
        <v>11</v>
      </c>
      <c r="N358" s="5" t="n">
        <v>3.6</v>
      </c>
      <c r="O358" s="3" t="inlineStr">
        <is>
          <t>분리형원룸 엘리베이터있고 깔끔한 관리</t>
        </is>
      </c>
      <c r="P358" s="6">
        <f>HYPERLINK("https://fin.land.naver.com/articles/2653118453",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HYPERLINK("https://fin.land.naver.com/articles/2648317283",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HYPERLINK("https://fin.land.naver.com/articles/2647595601",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50-4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매매</t>
        </is>
      </c>
      <c r="G362" s="4" t="n">
        <v>20000</v>
      </c>
      <c r="H362" s="4" t="n">
        <v>0</v>
      </c>
      <c r="I362" s="4" t="n">
        <v>171</v>
      </c>
      <c r="J362" s="4" t="n">
        <v>52</v>
      </c>
      <c r="K362" s="5" t="n">
        <v>384.6</v>
      </c>
      <c r="L362" s="4" t="n">
        <v>83</v>
      </c>
      <c r="M362" s="4" t="n">
        <v>25</v>
      </c>
      <c r="N362" s="5" t="n">
        <v>800</v>
      </c>
      <c r="O362" s="3" t="inlineStr">
        <is>
          <t>명리 단독 1층 즉시입주가능 전통시장 조치원역 도보가능합니다</t>
        </is>
      </c>
      <c r="P362" s="6">
        <f>HYPERLINK("https://fin.land.naver.com/articles/2648078031", "매물Link")</f>
        <v/>
      </c>
      <c r="Q362" s="6">
        <f>HYPERLINK("https://map.naver.com/p/search/조치원읍 명리 50-4", "지도Link")</f>
        <v/>
      </c>
      <c r="R362" s="6">
        <f>HYPERLINK("http://www.eum.go.kr/web/ar/lu/luLandDet.jsp?pnu=3611025026100500004&amp;isNoScr=script&amp;mode=search",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176.3</v>
      </c>
      <c r="V362" s="4" t="n">
        <v>171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66-6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120000</v>
      </c>
      <c r="H368" s="4" t="n">
        <v>0</v>
      </c>
      <c r="I368" s="4" t="n">
        <v>565</v>
      </c>
      <c r="J368" s="4" t="n">
        <v>171</v>
      </c>
      <c r="K368" s="5" t="n">
        <v>701.8</v>
      </c>
      <c r="L368" s="4" t="n">
        <v>161</v>
      </c>
      <c r="M368" s="4" t="n">
        <v>49</v>
      </c>
      <c r="N368" s="5" t="n">
        <v>2449</v>
      </c>
      <c r="O368" s="3" t="inlineStr">
        <is>
          <t>매매후 즉시입주가능,입지 좋고 조용한 입지</t>
        </is>
      </c>
      <c r="P368" s="6">
        <f>HYPERLINK("https://fin.land.naver.com/articles/2647996012", "매물Link")</f>
        <v/>
      </c>
      <c r="Q368" s="6">
        <f>HYPERLINK("https://map.naver.com/p/search/조치원읍 번암리 66-6", "지도Link")</f>
        <v/>
      </c>
      <c r="R368" s="6">
        <f>HYPERLINK("http://www.eum.go.kr/web/ar/lu/luLandDet.jsp?pnu=3611025031100660006&amp;isNoScr=script&amp;mode=search", "토지이음")</f>
        <v/>
      </c>
      <c r="S368" s="3" t="inlineStr">
        <is>
          <t>아이파크정문</t>
        </is>
      </c>
      <c r="T368" s="4" t="n">
        <v>1</v>
      </c>
      <c r="U368" s="5" t="n">
        <v>168.8</v>
      </c>
      <c r="V368" s="4" t="n">
        <v>565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자루형</t>
        </is>
      </c>
      <c r="AA368" s="3" t="inlineStr">
        <is>
          <t>소로한면</t>
        </is>
      </c>
    </row>
    <row r="369">
      <c r="A369" s="3" t="inlineStr">
        <is>
          <t>조치원읍 번암리 69-12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0</v>
      </c>
      <c r="J369" s="4" t="n">
        <v>0</v>
      </c>
      <c r="K369" s="5" t="n">
        <v>0</v>
      </c>
      <c r="L369" s="4" t="n">
        <v>26</v>
      </c>
      <c r="M369" s="4" t="n">
        <v>8</v>
      </c>
      <c r="N369" s="5" t="n">
        <v>3.8</v>
      </c>
      <c r="O369" s="3" t="inlineStr">
        <is>
          <t>엘리베이터 있어요. 원 룸 분리형 구조</t>
        </is>
      </c>
      <c r="P369" s="6">
        <f>HYPERLINK("https://fin.land.naver.com/articles/2652478073", "매물Link")</f>
        <v/>
      </c>
      <c r="Q369" s="6">
        <f>HYPERLINK("https://map.naver.com/p/search/조치원읍 번암리 69-12", "지도Link")</f>
        <v/>
      </c>
      <c r="R369" s="6">
        <f>HYPERLINK("http://www.eum.go.kr/web/ar/lu/luLandDet.jsp?pnu=3611025031100690012&amp;isNoScr=script&amp;mode=search", "토지이음")</f>
        <v/>
      </c>
      <c r="S369" s="3" t="inlineStr">
        <is>
          <t>지성</t>
        </is>
      </c>
      <c r="T369" s="4" t="n">
        <v>1</v>
      </c>
      <c r="U369" s="5" t="n">
        <v>341.2</v>
      </c>
      <c r="V369" s="4" t="n">
        <v>338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광대로한면</t>
        </is>
      </c>
    </row>
    <row r="370">
      <c r="A370" s="3" t="inlineStr">
        <is>
          <t>조치원읍 봉산리 170-9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다가구</t>
        </is>
      </c>
      <c r="F370" s="3" t="inlineStr">
        <is>
          <t>매매</t>
        </is>
      </c>
      <c r="G370" s="4" t="n">
        <v>115000</v>
      </c>
      <c r="H370" s="4" t="n">
        <v>0</v>
      </c>
      <c r="I370" s="4" t="n">
        <v>640</v>
      </c>
      <c r="J370" s="4" t="n">
        <v>194</v>
      </c>
      <c r="K370" s="5" t="n">
        <v>592.8</v>
      </c>
      <c r="L370" s="4" t="n">
        <v>332</v>
      </c>
      <c r="M370" s="4" t="n">
        <v>100</v>
      </c>
      <c r="N370" s="5" t="n">
        <v>1150</v>
      </c>
      <c r="O370" s="3" t="inlineStr">
        <is>
          <t>봉산리 1층,2층 다중주택으로 1층 리모델링 완료. 입주일 협의가능.</t>
        </is>
      </c>
      <c r="P370" s="6">
        <f>HYPERLINK("https://fin.land.naver.com/articles/2647478485", "매물Link")</f>
        <v/>
      </c>
      <c r="Q370" s="6">
        <f>HYPERLINK("https://map.naver.com/p/search/조치원읍 봉산리 170-9", "지도Link")</f>
        <v/>
      </c>
      <c r="R370" s="6">
        <f>HYPERLINK("http://www.eum.go.kr/web/ar/lu/luLandDet.jsp?pnu=3611025033101700009&amp;isNoScr=script&amp;mode=search",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162</v>
      </c>
      <c r="V370" s="4" t="n">
        <v>640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조치원읍 봉산리 190-11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4500</v>
      </c>
      <c r="H371" s="4" t="n">
        <v>0</v>
      </c>
      <c r="I371" s="4" t="n">
        <v>21</v>
      </c>
      <c r="J371" s="4" t="n">
        <v>6</v>
      </c>
      <c r="K371" s="5" t="n">
        <v>750</v>
      </c>
      <c r="L371" s="4" t="n">
        <v>20</v>
      </c>
      <c r="M371" s="4" t="n">
        <v>6</v>
      </c>
      <c r="N371" s="5" t="n">
        <v>750</v>
      </c>
      <c r="O371" s="3" t="inlineStr">
        <is>
          <t>고려대 세종캠퍼스 인근 복층형 원룸 개별 매매</t>
        </is>
      </c>
      <c r="P371" s="6">
        <f>HYPERLINK("https://fin.land.naver.com/articles/2648580362", "매물Link")</f>
        <v/>
      </c>
      <c r="Q371" s="6">
        <f>HYPERLINK("https://map.naver.com/p/search/조치원읍 봉산리 190-11", "지도Link")</f>
        <v/>
      </c>
      <c r="R371" s="6">
        <f>HYPERLINK("http://www.eum.go.kr/web/ar/lu/luLandDet.jsp?pnu=3611025033101900011&amp;isNoScr=script&amp;mode=search", "토지이음")</f>
        <v/>
      </c>
      <c r="S371" s="3" t="inlineStr">
        <is>
          <t>고래</t>
        </is>
      </c>
      <c r="T371" s="4" t="n">
        <v>1</v>
      </c>
      <c r="U371" s="5" t="n">
        <v>168.4</v>
      </c>
      <c r="V371" s="4" t="n">
        <v>565</v>
      </c>
      <c r="W371" s="3" t="inlineStr">
        <is>
          <t>지정되지않음</t>
        </is>
      </c>
      <c r="X371" s="3" t="inlineStr">
        <is>
          <t>다세대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조치원읍 봉산리 191-9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500</v>
      </c>
      <c r="H372" s="4" t="n">
        <v>35</v>
      </c>
      <c r="I372" s="4" t="n">
        <v>136</v>
      </c>
      <c r="J372" s="4" t="n">
        <v>41</v>
      </c>
      <c r="K372" s="5" t="n">
        <v>0.9</v>
      </c>
      <c r="L372" s="4" t="n">
        <v>35</v>
      </c>
      <c r="M372" s="4" t="n">
        <v>11</v>
      </c>
      <c r="N372" s="5" t="n">
        <v>3.2</v>
      </c>
      <c r="O372" s="3" t="inlineStr">
        <is>
          <t>nan</t>
        </is>
      </c>
      <c r="P372" s="6">
        <f>HYPERLINK("https://fin.land.naver.com/articles/2648764888", "매물Link")</f>
        <v/>
      </c>
      <c r="Q372" s="6">
        <f>HYPERLINK("https://map.naver.com/p/search/조치원읍 봉산리 191-9", "지도Link")</f>
        <v/>
      </c>
      <c r="R372" s="6">
        <f>HYPERLINK("http://www.eum.go.kr/web/ar/lu/luLandDet.jsp?pnu=3611025033101910009&amp;isNoScr=script&amp;mode=search",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170.1</v>
      </c>
      <c r="V372" s="4" t="n">
        <v>136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조치원읍 상리 114-1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24</v>
      </c>
      <c r="J373" s="4" t="n">
        <v>7</v>
      </c>
      <c r="K373" s="5" t="n">
        <v>4.3</v>
      </c>
      <c r="L373" s="4" t="n">
        <v>16</v>
      </c>
      <c r="M373" s="4" t="n">
        <v>5</v>
      </c>
      <c r="N373" s="5" t="n">
        <v>6</v>
      </c>
      <c r="O373" s="3" t="inlineStr">
        <is>
          <t>상리 조치원터미날 맞은편 깨끗하고 교통좋습니다9.8일입주가능</t>
        </is>
      </c>
      <c r="P373" s="6">
        <f>HYPERLINK("https://fin.land.naver.com/articles/2647972304", "매물Link")</f>
        <v/>
      </c>
      <c r="Q373" s="6">
        <f>HYPERLINK("https://map.naver.com/p/search/조치원읍 상리 114-1", "지도Link")</f>
        <v/>
      </c>
      <c r="R373" s="6">
        <f>HYPERLINK("http://www.eum.go.kr/web/ar/lu/luLandDet.jsp?pnu=3611025022101140001&amp;isNoScr=script&amp;mode=search",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261.3</v>
      </c>
      <c r="V373" s="4" t="n">
        <v>532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상리 114-1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24</v>
      </c>
      <c r="J374" s="4" t="n">
        <v>7</v>
      </c>
      <c r="K374" s="5" t="n">
        <v>4.3</v>
      </c>
      <c r="L374" s="4" t="n">
        <v>16</v>
      </c>
      <c r="M374" s="4" t="n">
        <v>5</v>
      </c>
      <c r="N374" s="5" t="n">
        <v>6</v>
      </c>
      <c r="O374" s="3" t="inlineStr">
        <is>
          <t>상리 도시형생활주택.9월 8일 입주가능.</t>
        </is>
      </c>
      <c r="P374" s="6">
        <f>HYPERLINK("https://fin.land.naver.com/articles/2647813954", "매물Link")</f>
        <v/>
      </c>
      <c r="Q374" s="6">
        <f>HYPERLINK("https://map.naver.com/p/search/조치원읍 상리 114-1", "지도Link")</f>
        <v/>
      </c>
      <c r="R374" s="6">
        <f>HYPERLINK("http://www.eum.go.kr/web/ar/lu/luLandDet.jsp?pnu=3611025022101140001&amp;isNoScr=script&amp;mode=search", "토지이음")</f>
        <v/>
      </c>
      <c r="S374" s="3" t="inlineStr">
        <is>
          <t>이음</t>
        </is>
      </c>
      <c r="T374" s="4" t="n">
        <v>1</v>
      </c>
      <c r="U374" s="5" t="n">
        <v>261.3</v>
      </c>
      <c r="V374" s="4" t="n">
        <v>532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도시형생활주택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26</v>
      </c>
      <c r="M378" s="4" t="n">
        <v>8</v>
      </c>
      <c r="N378" s="5" t="n">
        <v>3.8</v>
      </c>
      <c r="O378" s="3" t="inlineStr">
        <is>
          <t>조치원 터미널인근 시원한조망과 도보권 인프라 갖춘 곳 즉시입주 엘베유</t>
        </is>
      </c>
      <c r="P378" s="6">
        <f>HYPERLINK("https://fin.land.naver.com/articles/2648378319",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무지개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26</v>
      </c>
      <c r="M379" s="4" t="n">
        <v>8</v>
      </c>
      <c r="N379" s="5" t="n">
        <v>3.8</v>
      </c>
      <c r="O379" s="3" t="inlineStr">
        <is>
          <t>터미널 근처.예쁜룸.즉시입주 가능</t>
        </is>
      </c>
      <c r="P379" s="6">
        <f>HYPERLINK("https://fin.land.naver.com/articles/2652314109",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82000</v>
      </c>
      <c r="H381" s="4" t="n">
        <v>0</v>
      </c>
      <c r="I381" s="4" t="n">
        <v>210</v>
      </c>
      <c r="J381" s="4" t="n">
        <v>64</v>
      </c>
      <c r="K381" s="5" t="n">
        <v>1281.2</v>
      </c>
      <c r="L381" s="4" t="n">
        <v>305</v>
      </c>
      <c r="M381" s="4" t="n">
        <v>92</v>
      </c>
      <c r="N381" s="5" t="n">
        <v>891.3</v>
      </c>
      <c r="O381" s="3" t="inlineStr">
        <is>
          <t>상리 상생마을 옆 교통좋고 잘 지어진 다가구주택 매매.</t>
        </is>
      </c>
      <c r="P381" s="6">
        <f>HYPERLINK("https://fin.land.naver.com/articles/2648284479",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다가구</t>
        </is>
      </c>
      <c r="F382" s="3" t="inlineStr">
        <is>
          <t>월세</t>
        </is>
      </c>
      <c r="G382" s="4" t="n">
        <v>1000</v>
      </c>
      <c r="H382" s="4" t="n">
        <v>65</v>
      </c>
      <c r="I382" s="4" t="n">
        <v>56</v>
      </c>
      <c r="J382" s="4" t="n">
        <v>17</v>
      </c>
      <c r="K382" s="5" t="n">
        <v>3.8</v>
      </c>
      <c r="L382" s="4" t="n">
        <v>56</v>
      </c>
      <c r="M382" s="4" t="n">
        <v>17</v>
      </c>
      <c r="N382" s="5" t="n">
        <v>3.8</v>
      </c>
      <c r="O382" s="3" t="inlineStr">
        <is>
          <t>명동초 뒤 귀한 풀옵션 투룸. 10월 중순입주. 관리비 무.</t>
        </is>
      </c>
      <c r="P382" s="6">
        <f>HYPERLINK("https://fin.land.naver.com/articles/2651216985",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7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4200</v>
      </c>
      <c r="H384" s="4" t="n">
        <v>0</v>
      </c>
      <c r="I384" s="4" t="n">
        <v>30</v>
      </c>
      <c r="J384" s="4" t="n">
        <v>9</v>
      </c>
      <c r="K384" s="5" t="n">
        <v>466.7</v>
      </c>
      <c r="L384" s="4" t="n">
        <v>20</v>
      </c>
      <c r="M384" s="4" t="n">
        <v>6</v>
      </c>
      <c r="N384" s="5" t="n">
        <v>700</v>
      </c>
      <c r="O384" s="3" t="inlineStr">
        <is>
          <t>깨끗한원룸.넓은방.협의입주가능.보안철저.주차시설완비</t>
        </is>
      </c>
      <c r="P384" s="6">
        <f>HYPERLINK("https://fin.land.naver.com/articles/2651544463",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도시형생활주택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26</v>
      </c>
      <c r="J385" s="4" t="n">
        <v>8</v>
      </c>
      <c r="K385" s="5" t="n">
        <v>525</v>
      </c>
      <c r="L385" s="4" t="n">
        <v>18</v>
      </c>
      <c r="M385" s="4" t="n">
        <v>5</v>
      </c>
      <c r="N385" s="5" t="n">
        <v>840</v>
      </c>
      <c r="O385" s="3" t="inlineStr">
        <is>
          <t>풀옵션 깔끔한 도시형생활주택 무융자조건</t>
        </is>
      </c>
      <c r="P385" s="6">
        <f>HYPERLINK("https://fin.land.naver.com/articles/2650834927",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용죽부자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6</t>
        </is>
      </c>
      <c r="E389" s="3" t="inlineStr">
        <is>
          <t>도시형생활주택</t>
        </is>
      </c>
      <c r="F389" s="3" t="inlineStr">
        <is>
          <t>월세</t>
        </is>
      </c>
      <c r="G389" s="4" t="n">
        <v>300</v>
      </c>
      <c r="H389" s="4" t="n">
        <v>37</v>
      </c>
      <c r="I389" s="4" t="n">
        <v>26</v>
      </c>
      <c r="J389" s="4" t="n">
        <v>8</v>
      </c>
      <c r="K389" s="5" t="n">
        <v>4.6</v>
      </c>
      <c r="L389" s="4" t="n">
        <v>18</v>
      </c>
      <c r="M389" s="4" t="n">
        <v>5</v>
      </c>
      <c r="N389" s="5" t="n">
        <v>7.4</v>
      </c>
      <c r="O389" s="3" t="inlineStr">
        <is>
          <t>풀옵션 원룸 도시형생활주택 넓고 깔끔해요</t>
        </is>
      </c>
      <c r="P389" s="6">
        <f>HYPERLINK("https://fin.land.naver.com/articles/2650836138",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HYPERLINK("https://fin.land.naver.com/articles/2648567168",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132-7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70000</v>
      </c>
      <c r="H391" s="4" t="n">
        <v>0</v>
      </c>
      <c r="I391" s="4" t="n">
        <v>204</v>
      </c>
      <c r="J391" s="4" t="n">
        <v>62</v>
      </c>
      <c r="K391" s="5" t="n">
        <v>1129</v>
      </c>
      <c r="L391" s="4" t="n">
        <v>323</v>
      </c>
      <c r="M391" s="4" t="n">
        <v>98</v>
      </c>
      <c r="N391" s="5" t="n">
        <v>714.3</v>
      </c>
      <c r="O391" s="3" t="inlineStr">
        <is>
          <t>L 고대 도로변 위치좋은 건물</t>
        </is>
      </c>
      <c r="P391" s="6">
        <f>HYPERLINK("https://fin.land.naver.com/articles/2650552362", "매물Link")</f>
        <v/>
      </c>
      <c r="Q391" s="6">
        <f>HYPERLINK("https://map.naver.com/p/search/조치원읍 서창리 132-7", "지도Link")</f>
        <v/>
      </c>
      <c r="R391" s="6">
        <f>HYPERLINK("http://www.eum.go.kr/web/ar/lu/luLandDet.jsp?pnu=3611025034101320007&amp;isNoScr=script&amp;mode=search", "토지이음")</f>
        <v/>
      </c>
      <c r="S391" s="3" t="inlineStr">
        <is>
          <t>바다</t>
        </is>
      </c>
      <c r="T391" s="4" t="n">
        <v>1</v>
      </c>
      <c r="U391" s="5" t="n">
        <v>271.1</v>
      </c>
      <c r="V391" s="4" t="n">
        <v>204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조치원읍 서창리 133-1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다가구</t>
        </is>
      </c>
      <c r="F392" s="3" t="inlineStr">
        <is>
          <t>매매</t>
        </is>
      </c>
      <c r="G392" s="4" t="n">
        <v>110000</v>
      </c>
      <c r="H392" s="4" t="n">
        <v>0</v>
      </c>
      <c r="I392" s="4" t="n">
        <v>430</v>
      </c>
      <c r="J392" s="4" t="n">
        <v>130</v>
      </c>
      <c r="K392" s="5" t="n">
        <v>846.2</v>
      </c>
      <c r="L392" s="4" t="n">
        <v>628</v>
      </c>
      <c r="M392" s="4" t="n">
        <v>190</v>
      </c>
      <c r="N392" s="5" t="n">
        <v>578.9</v>
      </c>
      <c r="O392" s="3" t="inlineStr">
        <is>
          <t>건물통매매 깔끔 관리잘된집 연세안정적인수입 수익률최고 급매조정해드림</t>
        </is>
      </c>
      <c r="P392" s="6">
        <f>HYPERLINK("https://fin.land.naver.com/articles/2651330727", "매물Link")</f>
        <v/>
      </c>
      <c r="Q392" s="6">
        <f>HYPERLINK("https://map.naver.com/p/search/조치원읍 서창리 133-1", "지도Link")</f>
        <v/>
      </c>
      <c r="R392" s="6">
        <f>HYPERLINK("http://www.eum.go.kr/web/ar/lu/luLandDet.jsp?pnu=3611025034101330001&amp;isNoScr=script&amp;mode=search", "토지이음")</f>
        <v/>
      </c>
      <c r="S392" s="3" t="inlineStr">
        <is>
          <t>금성</t>
        </is>
      </c>
      <c r="T392" s="4" t="n">
        <v>1</v>
      </c>
      <c r="U392" s="5" t="n">
        <v>251.3</v>
      </c>
      <c r="V392" s="4" t="n">
        <v>430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조치원읍 서창리 133-25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67000</v>
      </c>
      <c r="H393" s="4" t="n">
        <v>0</v>
      </c>
      <c r="I393" s="4" t="n">
        <v>507</v>
      </c>
      <c r="J393" s="4" t="n">
        <v>153</v>
      </c>
      <c r="K393" s="5" t="n">
        <v>437.9</v>
      </c>
      <c r="L393" s="4" t="n">
        <v>495</v>
      </c>
      <c r="M393" s="4" t="n">
        <v>150</v>
      </c>
      <c r="N393" s="5" t="n">
        <v>446.7</v>
      </c>
      <c r="O393" s="3" t="inlineStr">
        <is>
          <t>고려대학교 앞o많이 찾는 위치o연세로 편리함</t>
        </is>
      </c>
      <c r="P393" s="6">
        <f>HYPERLINK("https://fin.land.naver.com/articles/2650552948", "매물Link")</f>
        <v/>
      </c>
      <c r="Q393" s="6">
        <f>HYPERLINK("https://map.naver.com/p/search/조치원읍 서창리 133-25", "지도Link")</f>
        <v/>
      </c>
      <c r="R393" s="6">
        <f>HYPERLINK("http://www.eum.go.kr/web/ar/lu/luLandDet.jsp?pnu=3611025034101330025&amp;isNoScr=script&amp;mode=search", "토지이음")</f>
        <v/>
      </c>
      <c r="S393" s="3" t="inlineStr">
        <is>
          <t>바다</t>
        </is>
      </c>
      <c r="T393" s="4" t="n">
        <v>2</v>
      </c>
      <c r="U393" s="5" t="n">
        <v>236.2</v>
      </c>
      <c r="V393" s="4" t="n">
        <v>507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소로한면</t>
        </is>
      </c>
    </row>
    <row r="394">
      <c r="A394" s="3" t="inlineStr">
        <is>
          <t>조치원읍 서창리 140-21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빌라</t>
        </is>
      </c>
      <c r="F394" s="3" t="inlineStr">
        <is>
          <t>매매</t>
        </is>
      </c>
      <c r="G394" s="4" t="n">
        <v>6000</v>
      </c>
      <c r="H394" s="4" t="n">
        <v>0</v>
      </c>
      <c r="I394" s="4" t="n">
        <v>54</v>
      </c>
      <c r="J394" s="4" t="n">
        <v>16</v>
      </c>
      <c r="K394" s="5" t="n">
        <v>375</v>
      </c>
      <c r="L394" s="4" t="n">
        <v>44</v>
      </c>
      <c r="M394" s="4" t="n">
        <v>13</v>
      </c>
      <c r="N394" s="5" t="n">
        <v>461.5</v>
      </c>
      <c r="O394" s="3" t="inlineStr">
        <is>
          <t>깨끗한상태.웬만한수리 되어있어요</t>
        </is>
      </c>
      <c r="P394" s="6">
        <f>HYPERLINK("https://fin.land.naver.com/articles/2647638124", "매물Link")</f>
        <v/>
      </c>
      <c r="Q394" s="6">
        <f>HYPERLINK("https://map.naver.com/p/search/조치원읍 서창리 140-21", "지도Link")</f>
        <v/>
      </c>
      <c r="R394" s="6">
        <f>HYPERLINK("http://www.eum.go.kr/web/ar/lu/luLandDet.jsp?pnu=3611025034101400021&amp;isNoScr=script&amp;mode=search", "토지이음")</f>
        <v/>
      </c>
      <c r="S394" s="3" t="inlineStr">
        <is>
          <t>마이룸</t>
        </is>
      </c>
      <c r="T394" s="4" t="n">
        <v>1</v>
      </c>
      <c r="U394" s="5" t="n">
        <v>210.2</v>
      </c>
      <c r="V394" s="4" t="n">
        <v>213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HYPERLINK("https://fin.land.naver.com/articles/2648565825",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HYPERLINK("https://fin.land.naver.com/articles/2648575096",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HYPERLINK("https://fin.land.naver.com/articles/2648574861",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.급매. o수익률잘나옴 o관리잘되었어요</t>
        </is>
      </c>
      <c r="P399" s="6">
        <f>HYPERLINK("https://fin.land.naver.com/articles/2650552259",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205-3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</v>
      </c>
      <c r="H401" s="4" t="n">
        <v>170</v>
      </c>
      <c r="I401" s="4" t="n">
        <v>39</v>
      </c>
      <c r="J401" s="4" t="n">
        <v>12</v>
      </c>
      <c r="K401" s="5" t="n">
        <v>14.2</v>
      </c>
      <c r="L401" s="4" t="n">
        <v>29</v>
      </c>
      <c r="M401" s="4" t="n">
        <v>9</v>
      </c>
      <c r="N401" s="5" t="n">
        <v>18.9</v>
      </c>
      <c r="O401" s="3" t="inlineStr">
        <is>
          <t>12월종강까지 단기계약.큰방.풀옵션.고대뒷길도보거리</t>
        </is>
      </c>
      <c r="P401" s="6">
        <f>HYPERLINK("https://fin.land.naver.com/articles/2648327633", "매물Link")</f>
        <v/>
      </c>
      <c r="Q401" s="6">
        <f>HYPERLINK("https://map.naver.com/p/search/조치원읍 서창리 205-3", "지도Link")</f>
        <v/>
      </c>
      <c r="R401" s="6">
        <f>HYPERLINK("http://www.eum.go.kr/web/ar/lu/luLandDet.jsp?pnu=3611025034102050003&amp;isNoScr=script&amp;mode=search",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140.4</v>
      </c>
      <c r="V401" s="4" t="n">
        <v>798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120</v>
      </c>
      <c r="M402" s="4" t="n">
        <v>36</v>
      </c>
      <c r="N402" s="5" t="n">
        <v>1305.6</v>
      </c>
      <c r="O402" s="3" t="inlineStr">
        <is>
          <t>o고려대 바로 앞 o공실없음 o항상 빨리 만실되는 곳</t>
        </is>
      </c>
      <c r="P402" s="6">
        <f>HYPERLINK("https://fin.land.naver.com/articles/2650553658",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290-5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300</v>
      </c>
      <c r="H403" s="4" t="n">
        <v>29</v>
      </c>
      <c r="I403" s="4" t="n">
        <v>39</v>
      </c>
      <c r="J403" s="4" t="n">
        <v>12</v>
      </c>
      <c r="K403" s="5" t="n">
        <v>2.4</v>
      </c>
      <c r="L403" s="4" t="n">
        <v>26</v>
      </c>
      <c r="M403" s="4" t="n">
        <v>8</v>
      </c>
      <c r="N403" s="5" t="n">
        <v>3.6</v>
      </c>
      <c r="O403" s="3" t="inlineStr">
        <is>
          <t>서창리.모든게옵션.10월초 협의입주가능</t>
        </is>
      </c>
      <c r="P403" s="6">
        <f>HYPERLINK("https://fin.land.naver.com/articles/2649226212", "매물Link")</f>
        <v/>
      </c>
      <c r="Q403" s="6">
        <f>HYPERLINK("https://map.naver.com/p/search/조치원읍 서창리 290-5", "지도Link")</f>
        <v/>
      </c>
      <c r="R403" s="6">
        <f>HYPERLINK("http://www.eum.go.kr/web/ar/lu/luLandDet.jsp?pnu=3611025034102900005&amp;isNoScr=script&amp;mode=search",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319.2</v>
      </c>
      <c r="V403" s="4" t="n">
        <v>237.8</v>
      </c>
      <c r="W403" s="3" t="inlineStr">
        <is>
          <t>지정되지않음</t>
        </is>
      </c>
      <c r="X403" s="3" t="inlineStr">
        <is>
          <t>주상나지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세로한면(가)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5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26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4.3</v>
      </c>
      <c r="O404" s="3" t="inlineStr">
        <is>
          <t>단기가능 엘리베이터</t>
        </is>
      </c>
      <c r="P404" s="6">
        <f>HYPERLINK("https://fin.land.naver.com/articles/2649436833",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27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4.5</v>
      </c>
      <c r="O405" s="3" t="inlineStr">
        <is>
          <t>단기가능 엘리베이터</t>
        </is>
      </c>
      <c r="P405" s="6">
        <f>HYPERLINK("https://fin.land.naver.com/articles/2648311935",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291-3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26</v>
      </c>
      <c r="I406" s="4" t="n">
        <v>0</v>
      </c>
      <c r="J406" s="4" t="n">
        <v>0</v>
      </c>
      <c r="K406" s="5" t="n">
        <v>0</v>
      </c>
      <c r="L406" s="4" t="n">
        <v>19</v>
      </c>
      <c r="M406" s="4" t="n">
        <v>6</v>
      </c>
      <c r="N406" s="5" t="n">
        <v>4.3</v>
      </c>
      <c r="O406" s="3" t="inlineStr">
        <is>
          <t>단기가능 엘리베이터</t>
        </is>
      </c>
      <c r="P406" s="6">
        <f>HYPERLINK("https://fin.land.naver.com/articles/2649435295", "매물Link")</f>
        <v/>
      </c>
      <c r="Q406" s="6">
        <f>HYPERLINK("https://map.naver.com/p/search/조치원읍 서창리 291-3", "지도Link")</f>
        <v/>
      </c>
      <c r="R406" s="6">
        <f>HYPERLINK("http://www.eum.go.kr/web/ar/lu/luLandDet.jsp?pnu=3611025034102910003&amp;isNoScr=script&amp;mode=search",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538.2</v>
      </c>
      <c r="V406" s="4" t="n">
        <v>221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중로한면</t>
        </is>
      </c>
    </row>
    <row r="407">
      <c r="A407" s="3" t="inlineStr">
        <is>
          <t>조치원읍 서창리 291-3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22</v>
      </c>
      <c r="I407" s="4" t="n">
        <v>0</v>
      </c>
      <c r="J407" s="4" t="n">
        <v>0</v>
      </c>
      <c r="K407" s="5" t="n">
        <v>0</v>
      </c>
      <c r="L407" s="4" t="n">
        <v>19</v>
      </c>
      <c r="M407" s="4" t="n">
        <v>6</v>
      </c>
      <c r="N407" s="5" t="n">
        <v>3.7</v>
      </c>
      <c r="O407" s="3" t="inlineStr">
        <is>
          <t>단기가능 엘리베이터 고대 도보거리</t>
        </is>
      </c>
      <c r="P407" s="6">
        <f>HYPERLINK("https://fin.land.naver.com/articles/2648297696", "매물Link")</f>
        <v/>
      </c>
      <c r="Q407" s="6">
        <f>HYPERLINK("https://map.naver.com/p/search/조치원읍 서창리 291-3", "지도Link")</f>
        <v/>
      </c>
      <c r="R407" s="6">
        <f>HYPERLINK("http://www.eum.go.kr/web/ar/lu/luLandDet.jsp?pnu=3611025034102910003&amp;isNoScr=script&amp;mode=search",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538.2</v>
      </c>
      <c r="V407" s="4" t="n">
        <v>221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중로한면</t>
        </is>
      </c>
    </row>
    <row r="408">
      <c r="A408" s="3" t="inlineStr">
        <is>
          <t>조치원읍 서창리 292-1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원룸 월세 저렴해요</t>
        </is>
      </c>
      <c r="P408" s="6">
        <f>HYPERLINK("https://fin.land.naver.com/articles/2649635531", "매물Link")</f>
        <v/>
      </c>
      <c r="Q408" s="6">
        <f>HYPERLINK("https://map.naver.com/p/search/조치원읍 서창리 292-1", "지도Link")</f>
        <v/>
      </c>
      <c r="R408" s="6">
        <f>HYPERLINK("http://www.eum.go.kr/web/ar/lu/luLandDet.jsp?pnu=3611025034102920001&amp;isNoScr=script&amp;mode=search",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327.8</v>
      </c>
      <c r="V408" s="4" t="n">
        <v>301.5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세로각지(가)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22</v>
      </c>
      <c r="I409" s="4" t="n">
        <v>0</v>
      </c>
      <c r="J409" s="4" t="n">
        <v>0</v>
      </c>
      <c r="K409" s="5" t="n">
        <v>0</v>
      </c>
      <c r="L409" s="4" t="n">
        <v>19</v>
      </c>
      <c r="M409" s="4" t="n">
        <v>6</v>
      </c>
      <c r="N409" s="5" t="n">
        <v>3.7</v>
      </c>
      <c r="O409" s="3" t="inlineStr">
        <is>
          <t>nan</t>
        </is>
      </c>
      <c r="P409" s="6">
        <f>HYPERLINK("https://fin.land.naver.com/articles/2648298187",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293-13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30</v>
      </c>
      <c r="I410" s="4" t="n">
        <v>0</v>
      </c>
      <c r="J410" s="4" t="n">
        <v>0</v>
      </c>
      <c r="K410" s="5" t="n">
        <v>0</v>
      </c>
      <c r="L410" s="4" t="n">
        <v>29</v>
      </c>
      <c r="M410" s="4" t="n">
        <v>9</v>
      </c>
      <c r="N410" s="5" t="n">
        <v>3.3</v>
      </c>
      <c r="O410" s="3" t="inlineStr">
        <is>
          <t>투베이 빠른입주가능</t>
        </is>
      </c>
      <c r="P410" s="6">
        <f>HYPERLINK("https://fin.land.naver.com/articles/2648299270", "매물Link")</f>
        <v/>
      </c>
      <c r="Q410" s="6">
        <f>HYPERLINK("https://map.naver.com/p/search/조치원읍 서창리 293-13", "지도Link")</f>
        <v/>
      </c>
      <c r="R410" s="6">
        <f>HYPERLINK("http://www.eum.go.kr/web/ar/lu/luLandDet.jsp?pnu=3611025034102930013&amp;isNoScr=script&amp;mode=search",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295.1</v>
      </c>
      <c r="V410" s="4" t="n">
        <v>224.3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조치원읍 서창리 295-1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다가구</t>
        </is>
      </c>
      <c r="F411" s="3" t="inlineStr">
        <is>
          <t>월세</t>
        </is>
      </c>
      <c r="G411" s="4" t="n">
        <v>3000</v>
      </c>
      <c r="H411" s="4" t="n">
        <v>30</v>
      </c>
      <c r="I411" s="4" t="n">
        <v>49</v>
      </c>
      <c r="J411" s="4" t="n">
        <v>15</v>
      </c>
      <c r="K411" s="5" t="n">
        <v>2</v>
      </c>
      <c r="L411" s="4" t="n">
        <v>46</v>
      </c>
      <c r="M411" s="4" t="n">
        <v>14</v>
      </c>
      <c r="N411" s="5" t="n">
        <v>2.1</v>
      </c>
      <c r="O411" s="3" t="inlineStr">
        <is>
          <t>예쁜 1.5룸.넓은거실.붙박이장.3천에40만.</t>
        </is>
      </c>
      <c r="P411" s="6">
        <f>HYPERLINK("https://fin.land.naver.com/articles/2650739917", "매물Link")</f>
        <v/>
      </c>
      <c r="Q411" s="6">
        <f>HYPERLINK("https://map.naver.com/p/search/조치원읍 서창리 295-1", "지도Link")</f>
        <v/>
      </c>
      <c r="R411" s="6">
        <f>HYPERLINK("http://www.eum.go.kr/web/ar/lu/luLandDet.jsp?pnu=3611025034102950001&amp;isNoScr=script&amp;mode=search",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321.6</v>
      </c>
      <c r="V411" s="4" t="n">
        <v>355.2</v>
      </c>
      <c r="W411" s="3" t="inlineStr">
        <is>
          <t>지정되지않음</t>
        </is>
      </c>
      <c r="X411" s="3" t="inlineStr">
        <is>
          <t>주상용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세로각지(가)</t>
        </is>
      </c>
    </row>
    <row r="412">
      <c r="A412" s="3" t="inlineStr">
        <is>
          <t>조치원읍 서창리 295-6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28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4</v>
      </c>
      <c r="O412" s="3" t="inlineStr">
        <is>
          <t>고대 도보거리 오픈형 넓은방</t>
        </is>
      </c>
      <c r="P412" s="6">
        <f>HYPERLINK("https://fin.land.naver.com/articles/2649879324", "매물Link")</f>
        <v/>
      </c>
      <c r="Q412" s="6">
        <f>HYPERLINK("https://map.naver.com/p/search/조치원읍 서창리 295-6", "지도Link")</f>
        <v/>
      </c>
      <c r="R412" s="6">
        <f>HYPERLINK("http://www.eum.go.kr/web/ar/lu/luLandDet.jsp?pnu=3611025034102950006&amp;isNoScr=script&amp;mode=search", "토지이음")</f>
        <v/>
      </c>
      <c r="S412" s="3" t="inlineStr">
        <is>
          <t>척척</t>
        </is>
      </c>
      <c r="T412" s="4" t="n">
        <v>1</v>
      </c>
      <c r="U412" s="5" t="n">
        <v>387.4</v>
      </c>
      <c r="V412" s="4" t="n">
        <v>443.9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중로각지</t>
        </is>
      </c>
    </row>
    <row r="413">
      <c r="A413" s="3" t="inlineStr">
        <is>
          <t>조치원읍 서창리 296-8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70000</v>
      </c>
      <c r="H413" s="4" t="n">
        <v>0</v>
      </c>
      <c r="I413" s="4" t="n">
        <v>317</v>
      </c>
      <c r="J413" s="4" t="n">
        <v>96</v>
      </c>
      <c r="K413" s="5" t="n">
        <v>729.2</v>
      </c>
      <c r="L413" s="4" t="n">
        <v>481</v>
      </c>
      <c r="M413" s="4" t="n">
        <v>146</v>
      </c>
      <c r="N413" s="5" t="n">
        <v>479.5</v>
      </c>
      <c r="O413" s="3" t="inlineStr">
        <is>
          <t>다가구 매매 실투자금 약 5억</t>
        </is>
      </c>
      <c r="P413" s="6">
        <f>HYPERLINK("https://fin.land.naver.com/articles/2651340270", "매물Link")</f>
        <v/>
      </c>
      <c r="Q413" s="6">
        <f>HYPERLINK("https://map.naver.com/p/search/조치원읍 서창리 296-8", "지도Link")</f>
        <v/>
      </c>
      <c r="R413" s="6">
        <f>HYPERLINK("http://www.eum.go.kr/web/ar/lu/luLandDet.jsp?pnu=3611025034102960008&amp;isNoScr=script&amp;mode=search", "토지이음")</f>
        <v/>
      </c>
      <c r="S413" s="3" t="inlineStr">
        <is>
          <t>상희</t>
        </is>
      </c>
      <c r="T413" s="4" t="n">
        <v>1</v>
      </c>
      <c r="U413" s="5" t="n">
        <v>321.1</v>
      </c>
      <c r="V413" s="4" t="n">
        <v>317.7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297-2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30</v>
      </c>
      <c r="I414" s="4" t="n">
        <v>22</v>
      </c>
      <c r="J414" s="4" t="n">
        <v>7</v>
      </c>
      <c r="K414" s="5" t="n">
        <v>4.3</v>
      </c>
      <c r="L414" s="4" t="n">
        <v>22</v>
      </c>
      <c r="M414" s="4" t="n">
        <v>7</v>
      </c>
      <c r="N414" s="5" t="n">
        <v>4.3</v>
      </c>
      <c r="O414" s="3" t="inlineStr">
        <is>
          <t>nan</t>
        </is>
      </c>
      <c r="P414" s="6">
        <f>HYPERLINK("https://fin.land.naver.com/articles/2650132096", "매물Link")</f>
        <v/>
      </c>
      <c r="Q414" s="6">
        <f>HYPERLINK("https://map.naver.com/p/search/조치원읍 서창리 297-2", "지도Link")</f>
        <v/>
      </c>
      <c r="R414" s="6">
        <f>HYPERLINK("http://www.eum.go.kr/web/ar/lu/luLandDet.jsp?pnu=3611025034102970002&amp;isNoScr=script&amp;mode=search", "토지이음")</f>
        <v/>
      </c>
      <c r="S414" s="3" t="inlineStr">
        <is>
          <t>김준희</t>
        </is>
      </c>
      <c r="T414" s="4" t="n">
        <v>1</v>
      </c>
      <c r="U414" s="5" t="n">
        <v>327.5</v>
      </c>
      <c r="V414" s="4" t="n">
        <v>288.8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조치원읍 서창리 297-8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도시형생활주택</t>
        </is>
      </c>
      <c r="F415" s="3" t="inlineStr">
        <is>
          <t>월세</t>
        </is>
      </c>
      <c r="G415" s="4" t="n">
        <v>100</v>
      </c>
      <c r="H415" s="4" t="n">
        <v>26</v>
      </c>
      <c r="I415" s="4" t="n">
        <v>0</v>
      </c>
      <c r="J415" s="4" t="n">
        <v>0</v>
      </c>
      <c r="K415" s="5" t="n">
        <v>0</v>
      </c>
      <c r="L415" s="4" t="n">
        <v>16</v>
      </c>
      <c r="M415" s="4" t="n">
        <v>5</v>
      </c>
      <c r="N415" s="5" t="n">
        <v>5.2</v>
      </c>
      <c r="O415" s="3" t="inlineStr">
        <is>
          <t>채광좋은 오픈형 원룸</t>
        </is>
      </c>
      <c r="P415" s="6">
        <f>HYPERLINK("https://fin.land.naver.com/articles/2648296356", "매물Link")</f>
        <v/>
      </c>
      <c r="Q415" s="6">
        <f>HYPERLINK("https://map.naver.com/p/search/조치원읍 서창리 297-8", "지도Link")</f>
        <v/>
      </c>
      <c r="R415" s="6">
        <f>HYPERLINK("http://www.eum.go.kr/web/ar/lu/luLandDet.jsp?pnu=3611025034102970008&amp;isNoScr=script&amp;mode=search",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359.3</v>
      </c>
      <c r="V415" s="4" t="n">
        <v>496.5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소로각지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23</v>
      </c>
      <c r="I416" s="4" t="n">
        <v>0</v>
      </c>
      <c r="J416" s="4" t="n">
        <v>0</v>
      </c>
      <c r="K416" s="5" t="n">
        <v>0</v>
      </c>
      <c r="L416" s="4" t="n">
        <v>19</v>
      </c>
      <c r="M416" s="4" t="n">
        <v>6</v>
      </c>
      <c r="N416" s="5" t="n">
        <v>3.8</v>
      </c>
      <c r="O416" s="3" t="inlineStr">
        <is>
          <t>서창리 가성비 좋은 원룸</t>
        </is>
      </c>
      <c r="P416" s="6">
        <f>HYPERLINK("https://fin.land.naver.com/articles/2652873695",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HYPERLINK("https://fin.land.naver.com/articles/2648994142",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298-2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29</v>
      </c>
      <c r="I420" s="4" t="n">
        <v>33</v>
      </c>
      <c r="J420" s="4" t="n">
        <v>10</v>
      </c>
      <c r="K420" s="5" t="n">
        <v>2.9</v>
      </c>
      <c r="L420" s="4" t="n">
        <v>19</v>
      </c>
      <c r="M420" s="4" t="n">
        <v>6</v>
      </c>
      <c r="N420" s="5" t="n">
        <v>4.8</v>
      </c>
      <c r="O420" s="3" t="inlineStr">
        <is>
          <t>인프라좋은 저렴한 원룸.1인거주최적화.모든게옵션.</t>
        </is>
      </c>
      <c r="P420" s="6">
        <f>HYPERLINK("https://fin.land.naver.com/articles/2648783864", "매물Link")</f>
        <v/>
      </c>
      <c r="Q420" s="6">
        <f>HYPERLINK("https://map.naver.com/p/search/조치원읍 서창리 298-2", "지도Link")</f>
        <v/>
      </c>
      <c r="R420" s="6">
        <f>HYPERLINK("http://www.eum.go.kr/web/ar/lu/luLandDet.jsp?pnu=3611025034102980002&amp;isNoScr=script&amp;mode=search",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347.8</v>
      </c>
      <c r="V420" s="4" t="n">
        <v>295.2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42-143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22000</v>
      </c>
      <c r="H421" s="4" t="n">
        <v>0</v>
      </c>
      <c r="I421" s="4" t="n">
        <v>304</v>
      </c>
      <c r="J421" s="4" t="n">
        <v>92</v>
      </c>
      <c r="K421" s="5" t="n">
        <v>239.1</v>
      </c>
      <c r="L421" s="4" t="n">
        <v>98</v>
      </c>
      <c r="M421" s="4" t="n">
        <v>30</v>
      </c>
      <c r="N421" s="5" t="n">
        <v>733.3</v>
      </c>
      <c r="O421" s="3" t="inlineStr">
        <is>
          <t>깨끗하게 관리된 집, 협의 입주 가능</t>
        </is>
      </c>
      <c r="P421" s="6">
        <f>HYPERLINK("https://fin.land.naver.com/articles/2650460317", "매물Link")</f>
        <v/>
      </c>
      <c r="Q421" s="6">
        <f>HYPERLINK("https://map.naver.com/p/search/조치원읍 서창리 42-143", "지도Link")</f>
        <v/>
      </c>
      <c r="R421" s="6">
        <f>HYPERLINK("http://www.eum.go.kr/web/ar/lu/luLandDet.jsp?pnu=3611025034100420143&amp;isNoScr=script&amp;mode=search",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126.9</v>
      </c>
      <c r="V421" s="4" t="n">
        <v>286.4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HYPERLINK("https://fin.land.naver.com/articles/2648573278",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HYPERLINK("https://fin.land.naver.com/articles/2648572698",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HYPERLINK("https://fin.land.naver.com/articles/2647877367",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올리모델링, 4층단독세대, 방3욕실2, 승강기, 적극협의</t>
        </is>
      </c>
      <c r="P429" s="6">
        <f>HYPERLINK("https://fin.land.naver.com/articles/2647198591",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보배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신안리 홍익대학교 연수원앞, 숲이 우거진 아름다운 집임.</t>
        </is>
      </c>
      <c r="P432" s="6">
        <f>HYPERLINK("https://fin.land.naver.com/articles/2649178224",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꿈드림</t>
        </is>
      </c>
      <c r="T432" s="4" t="n">
        <v>2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올리모델링 30p 빌라.복선전철 수혜 기대.즉시입주 가능</t>
        </is>
      </c>
      <c r="P434" s="6">
        <f>HYPERLINK("https://fin.land.naver.com/articles/2647419659",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하늘</t>
        </is>
      </c>
      <c r="T434" s="4" t="n">
        <v>1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조치원읍 신안리 신축 프리미엄 빌라 급매, 쓰리룸 엘리베이터 주차여유</t>
        </is>
      </c>
      <c r="P435" s="6">
        <f>HYPERLINK("https://fin.land.naver.com/articles/2647624029",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빅토리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99</v>
      </c>
      <c r="J436" s="4" t="n">
        <v>30</v>
      </c>
      <c r="K436" s="5" t="n">
        <v>550</v>
      </c>
      <c r="L436" s="4" t="n">
        <v>88</v>
      </c>
      <c r="M436" s="4" t="n">
        <v>27</v>
      </c>
      <c r="N436" s="5" t="n">
        <v>611.1</v>
      </c>
      <c r="O436" s="3" t="inlineStr">
        <is>
          <t>신축빌라,즉시입주가능,주차장 여유로움,올리모델링엘리베이터있음,</t>
        </is>
      </c>
      <c r="P436" s="6">
        <f>HYPERLINK("https://fin.land.naver.com/articles/2652138880",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담뜰</t>
        </is>
      </c>
      <c r="T436" s="4" t="n">
        <v>4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전원주택</t>
        </is>
      </c>
      <c r="F437" s="3" t="inlineStr">
        <is>
          <t>매매</t>
        </is>
      </c>
      <c r="G437" s="4" t="n">
        <v>28000</v>
      </c>
      <c r="H437" s="4" t="n">
        <v>0</v>
      </c>
      <c r="I437" s="4" t="n">
        <v>360</v>
      </c>
      <c r="J437" s="4" t="n">
        <v>109</v>
      </c>
      <c r="K437" s="5" t="n">
        <v>256.9</v>
      </c>
      <c r="L437" s="4" t="n">
        <v>61</v>
      </c>
      <c r="M437" s="4" t="n">
        <v>18</v>
      </c>
      <c r="N437" s="5" t="n">
        <v>1555.6</v>
      </c>
      <c r="O437" s="3" t="inlineStr">
        <is>
          <t>세종시 홍익대 주변 농가주택 급매</t>
        </is>
      </c>
      <c r="P437" s="6">
        <f>HYPERLINK("https://fin.land.naver.com/articles/2652407093", "매물Link")</f>
        <v/>
      </c>
      <c r="Q437" s="6">
        <f>HYPERLINK("https://map.naver.com/p/search/조치원읍 신안리 179-2", "지도Link")</f>
        <v/>
      </c>
      <c r="R437" s="6">
        <f>HYPERLINK("http://www.eum.go.kr/web/ar/lu/luLandDet.jsp?pnu=3611025032101790002&amp;isNoScr=script&amp;mode=search", "토지이음")</f>
        <v/>
      </c>
      <c r="S437" s="3" t="inlineStr">
        <is>
          <t>강우림</t>
        </is>
      </c>
      <c r="T437" s="4" t="n">
        <v>1</v>
      </c>
      <c r="U437" s="5" t="n">
        <v>175</v>
      </c>
      <c r="V437" s="4" t="n">
        <v>360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조치원읍 신안리 197-3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매매</t>
        </is>
      </c>
      <c r="G438" s="4" t="n">
        <v>70000</v>
      </c>
      <c r="H438" s="4" t="n">
        <v>0</v>
      </c>
      <c r="I438" s="4" t="n">
        <v>595</v>
      </c>
      <c r="J438" s="4" t="n">
        <v>180</v>
      </c>
      <c r="K438" s="5" t="n">
        <v>388.9</v>
      </c>
      <c r="L438" s="4" t="n">
        <v>346</v>
      </c>
      <c r="M438" s="4" t="n">
        <v>105</v>
      </c>
      <c r="N438" s="5" t="n">
        <v>666.7</v>
      </c>
      <c r="O438" s="3" t="inlineStr">
        <is>
          <t>서창역인근,주인세대전세끼고,수익형다가구매매,인근대학교,연수원</t>
        </is>
      </c>
      <c r="P438" s="6">
        <f>HYPERLINK("https://fin.land.naver.com/articles/2652964849", "매물Link")</f>
        <v/>
      </c>
      <c r="Q438" s="6">
        <f>HYPERLINK("https://map.naver.com/p/search/조치원읍 신안리 197-3", "지도Link")</f>
        <v/>
      </c>
      <c r="R438" s="6">
        <f>HYPERLINK("http://www.eum.go.kr/web/ar/lu/luLandDet.jsp?pnu=3611025032101970003&amp;isNoScr=script&amp;mode=search", "토지이음")</f>
        <v/>
      </c>
      <c r="S438" s="3" t="inlineStr">
        <is>
          <t>에이팩시티지정</t>
        </is>
      </c>
      <c r="T438" s="4" t="n">
        <v>1</v>
      </c>
      <c r="U438" s="5" t="n">
        <v>171.6</v>
      </c>
      <c r="V438" s="4" t="n">
        <v>595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321-63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115000</v>
      </c>
      <c r="H439" s="4" t="n">
        <v>0</v>
      </c>
      <c r="I439" s="4" t="n">
        <v>173</v>
      </c>
      <c r="J439" s="4" t="n">
        <v>52</v>
      </c>
      <c r="K439" s="5" t="n">
        <v>2211.5</v>
      </c>
      <c r="L439" s="4" t="n">
        <v>282</v>
      </c>
      <c r="M439" s="4" t="n">
        <v>85</v>
      </c>
      <c r="N439" s="5" t="n">
        <v>1352.9</v>
      </c>
      <c r="O439" s="3" t="inlineStr">
        <is>
          <t>절충가 홍익대학교 인근 연세 9천만원 나오는 풀옵션 신축 다중주택 입니다</t>
        </is>
      </c>
      <c r="P439" s="6">
        <f>HYPERLINK("https://fin.land.naver.com/articles/2650958724", "매물Link")</f>
        <v/>
      </c>
      <c r="Q439" s="6">
        <f>HYPERLINK("https://map.naver.com/p/search/조치원읍 신안리 321-63", "지도Link")</f>
        <v/>
      </c>
      <c r="R439" s="6">
        <f>HYPERLINK("http://www.eum.go.kr/web/ar/lu/luLandDet.jsp?pnu=3611025032103210063&amp;isNoScr=script&amp;mode=search", "토지이음")</f>
        <v/>
      </c>
      <c r="S439" s="3" t="inlineStr">
        <is>
          <t>스마일세종</t>
        </is>
      </c>
      <c r="T439" s="4" t="n">
        <v>1</v>
      </c>
      <c r="U439" s="5" t="n">
        <v>199.5</v>
      </c>
      <c r="V439" s="4" t="n">
        <v>173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321-64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단독</t>
        </is>
      </c>
      <c r="F440" s="3" t="inlineStr">
        <is>
          <t>매매</t>
        </is>
      </c>
      <c r="G440" s="4" t="n">
        <v>35000</v>
      </c>
      <c r="H440" s="4" t="n">
        <v>0</v>
      </c>
      <c r="I440" s="4" t="n">
        <v>166</v>
      </c>
      <c r="J440" s="4" t="n">
        <v>50</v>
      </c>
      <c r="K440" s="5" t="n">
        <v>700</v>
      </c>
      <c r="L440" s="4" t="n">
        <v>187</v>
      </c>
      <c r="M440" s="4" t="n">
        <v>57</v>
      </c>
      <c r="N440" s="5" t="n">
        <v>614</v>
      </c>
      <c r="O440" s="3" t="inlineStr">
        <is>
          <t>신축 단독 2층 주택 초급매, 현재 1층은 임대중</t>
        </is>
      </c>
      <c r="P440" s="6">
        <f>HYPERLINK("https://fin.land.naver.com/articles/2650466023", "매물Link")</f>
        <v/>
      </c>
      <c r="Q440" s="6">
        <f>HYPERLINK("https://map.naver.com/p/search/조치원읍 신안리 321-64", "지도Link")</f>
        <v/>
      </c>
      <c r="R440" s="6">
        <f>HYPERLINK("http://www.eum.go.kr/web/ar/lu/luLandDet.jsp?pnu=3611025032103210064&amp;isNoScr=script&amp;mode=search",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199.5</v>
      </c>
      <c r="V440" s="4" t="n">
        <v>166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72500</v>
      </c>
      <c r="H442" s="4" t="n">
        <v>0</v>
      </c>
      <c r="I442" s="4" t="n">
        <v>156</v>
      </c>
      <c r="J442" s="4" t="n">
        <v>47</v>
      </c>
      <c r="K442" s="5" t="n">
        <v>1542.6</v>
      </c>
      <c r="L442" s="4" t="n">
        <v>264</v>
      </c>
      <c r="M442" s="4" t="n">
        <v>80</v>
      </c>
      <c r="N442" s="5" t="n">
        <v>906.2</v>
      </c>
      <c r="O442" s="3" t="inlineStr">
        <is>
          <t>고객만족1위, 홍익대부근세종캠, 고려대근방세종캠, 조치원역 부근</t>
        </is>
      </c>
      <c r="P442" s="6">
        <f>HYPERLINK("https://fin.land.naver.com/articles/2651992800",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생생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62000</v>
      </c>
      <c r="H443" s="4" t="n">
        <v>0</v>
      </c>
      <c r="I443" s="4" t="n">
        <v>158</v>
      </c>
      <c r="J443" s="4" t="n">
        <v>48</v>
      </c>
      <c r="K443" s="5" t="n">
        <v>1291.7</v>
      </c>
      <c r="L443" s="4" t="n">
        <v>264</v>
      </c>
      <c r="M443" s="4" t="n">
        <v>80</v>
      </c>
      <c r="N443" s="5" t="n">
        <v>775</v>
      </c>
      <c r="O443" s="3" t="inlineStr">
        <is>
          <t>nan</t>
        </is>
      </c>
      <c r="P443" s="6">
        <f>HYPERLINK("https://fin.land.naver.com/articles/2650552332",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단독</t>
        </is>
      </c>
      <c r="F444" s="3" t="inlineStr">
        <is>
          <t>전세</t>
        </is>
      </c>
      <c r="G444" s="4" t="n">
        <v>15000</v>
      </c>
      <c r="H444" s="4" t="n">
        <v>0</v>
      </c>
      <c r="I444" s="4" t="n">
        <v>120</v>
      </c>
      <c r="J444" s="4" t="n">
        <v>36</v>
      </c>
      <c r="K444" s="5" t="n">
        <v>416.7</v>
      </c>
      <c r="L444" s="4" t="n">
        <v>120</v>
      </c>
      <c r="M444" s="4" t="n">
        <v>36</v>
      </c>
      <c r="N444" s="5" t="n">
        <v>416.7</v>
      </c>
      <c r="O444" s="3" t="inlineStr">
        <is>
          <t>주인세대, 태양광 설치로 인한 저렴한 전기세</t>
        </is>
      </c>
      <c r="P444" s="6">
        <f>HYPERLINK("https://fin.land.naver.com/articles/2648023507", "매물Link")</f>
        <v/>
      </c>
      <c r="Q444" s="6">
        <f>HYPERLINK("https://map.naver.com/p/search/조치원읍 신안리 355", "지도Link")</f>
        <v/>
      </c>
      <c r="R444" s="6">
        <f>HYPERLINK("http://www.eum.go.kr/web/ar/lu/luLandDet.jsp?pnu=3611025032103550000&amp;isNoScr=script&amp;mode=search",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351.4</v>
      </c>
      <c r="V444" s="4" t="n">
        <v>359</v>
      </c>
      <c r="W444" s="3" t="inlineStr">
        <is>
          <t>지정되지않음</t>
        </is>
      </c>
      <c r="X444" s="3" t="inlineStr">
        <is>
          <t>주상기타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120</v>
      </c>
      <c r="M445" s="4" t="n">
        <v>36</v>
      </c>
      <c r="N445" s="5" t="n">
        <v>416.7</v>
      </c>
      <c r="O445" s="3" t="inlineStr">
        <is>
          <t>엘리베이터 있고 화장실2개 주인세대 남향, 태양광설치</t>
        </is>
      </c>
      <c r="P445" s="6">
        <f>HYPERLINK("https://fin.land.naver.com/articles/2648521351",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361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50</v>
      </c>
      <c r="H446" s="4" t="n">
        <v>45</v>
      </c>
      <c r="I446" s="4" t="n">
        <v>0</v>
      </c>
      <c r="J446" s="4" t="n">
        <v>0</v>
      </c>
      <c r="K446" s="5" t="n">
        <v>0</v>
      </c>
      <c r="L446" s="4" t="n">
        <v>23</v>
      </c>
      <c r="M446" s="4" t="n">
        <v>7</v>
      </c>
      <c r="N446" s="5" t="n">
        <v>6.4</v>
      </c>
      <c r="O446" s="3" t="inlineStr">
        <is>
          <t>고대,홍대 도보거리 단기가능한 분리형원룸</t>
        </is>
      </c>
      <c r="P446" s="6">
        <f>HYPERLINK("https://fin.land.naver.com/articles/2648009866", "매물Link")</f>
        <v/>
      </c>
      <c r="Q446" s="6">
        <f>HYPERLINK("https://map.naver.com/p/search/조치원읍 신안리 361", "지도Link")</f>
        <v/>
      </c>
      <c r="R446" s="6">
        <f>HYPERLINK("http://www.eum.go.kr/web/ar/lu/luLandDet.jsp?pnu=3611025032103610000&amp;isNoScr=script&amp;mode=search", "토지이음")</f>
        <v/>
      </c>
      <c r="S446" s="3" t="inlineStr">
        <is>
          <t>이노</t>
        </is>
      </c>
      <c r="T446" s="4" t="n">
        <v>1</v>
      </c>
      <c r="U446" s="5" t="n">
        <v>200.1</v>
      </c>
      <c r="V446" s="4" t="n">
        <v>358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375-1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160000</v>
      </c>
      <c r="H447" s="4" t="n">
        <v>0</v>
      </c>
      <c r="I447" s="4" t="n">
        <v>832</v>
      </c>
      <c r="J447" s="4" t="n">
        <v>252</v>
      </c>
      <c r="K447" s="5" t="n">
        <v>634.9</v>
      </c>
      <c r="L447" s="4" t="n">
        <v>1266</v>
      </c>
      <c r="M447" s="4" t="n">
        <v>383</v>
      </c>
      <c r="N447" s="5" t="n">
        <v>417.8</v>
      </c>
      <c r="O447" s="3" t="inlineStr">
        <is>
          <t>L홍익대 5분 O수익률 9이상</t>
        </is>
      </c>
      <c r="P447" s="6">
        <f>HYPERLINK("https://fin.land.naver.com/articles/2650552311", "매물Link")</f>
        <v/>
      </c>
      <c r="Q447" s="6">
        <f>HYPERLINK("https://map.naver.com/p/search/조치원읍 신안리 375-1", "지도Link")</f>
        <v/>
      </c>
      <c r="R447" s="6">
        <f>HYPERLINK("http://www.eum.go.kr/web/ar/lu/luLandDet.jsp?pnu=3611025032103750001&amp;isNoScr=script&amp;mode=search",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291.6</v>
      </c>
      <c r="V447" s="4" t="n">
        <v>368</v>
      </c>
      <c r="W447" s="3" t="inlineStr">
        <is>
          <t>지정되지않음</t>
        </is>
      </c>
      <c r="X447" s="3" t="inlineStr">
        <is>
          <t>주상용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383-13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188</v>
      </c>
      <c r="J448" s="4" t="n">
        <v>57</v>
      </c>
      <c r="K448" s="5" t="n">
        <v>789.5</v>
      </c>
      <c r="L448" s="4" t="n">
        <v>326</v>
      </c>
      <c r="M448" s="4" t="n">
        <v>99</v>
      </c>
      <c r="N448" s="5" t="n">
        <v>454.5</v>
      </c>
      <c r="O448" s="3" t="inlineStr">
        <is>
          <t>리모델링 원룸 매매</t>
        </is>
      </c>
      <c r="P448" s="6">
        <f>HYPERLINK("https://fin.land.naver.com/articles/2648567043", "매물Link")</f>
        <v/>
      </c>
      <c r="Q448" s="6">
        <f>HYPERLINK("https://map.naver.com/p/search/조치원읍 신안리 383-13", "지도Link")</f>
        <v/>
      </c>
      <c r="R448" s="6">
        <f>HYPERLINK("http://www.eum.go.kr/web/ar/lu/luLandDet.jsp?pnu=3611025032103830013&amp;isNoScr=script&amp;mode=search", "토지이음")</f>
        <v/>
      </c>
      <c r="S448" s="3" t="inlineStr">
        <is>
          <t>고래</t>
        </is>
      </c>
      <c r="T448" s="4" t="n">
        <v>1</v>
      </c>
      <c r="U448" s="5" t="n">
        <v>208.6</v>
      </c>
      <c r="V448" s="4" t="n">
        <v>188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조치원읍 신안리 384-2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35000</v>
      </c>
      <c r="H449" s="4" t="n">
        <v>0</v>
      </c>
      <c r="I449" s="4" t="n">
        <v>230</v>
      </c>
      <c r="J449" s="4" t="n">
        <v>70</v>
      </c>
      <c r="K449" s="5" t="n">
        <v>500</v>
      </c>
      <c r="L449" s="4" t="n">
        <v>156</v>
      </c>
      <c r="M449" s="4" t="n">
        <v>47</v>
      </c>
      <c r="N449" s="5" t="n">
        <v>744.7</v>
      </c>
      <c r="O449" s="3" t="inlineStr">
        <is>
          <t>세종시 홍익대 고려대 홍익대정책연구원 인근</t>
        </is>
      </c>
      <c r="P449" s="6">
        <f>HYPERLINK("https://fin.land.naver.com/articles/2647867345", "매물Link")</f>
        <v/>
      </c>
      <c r="Q449" s="6">
        <f>HYPERLINK("https://map.naver.com/p/search/조치원읍 신안리 384-2", "지도Link")</f>
        <v/>
      </c>
      <c r="R449" s="6">
        <f>HYPERLINK("http://www.eum.go.kr/web/ar/lu/luLandDet.jsp?pnu=3611025032103840002&amp;isNoScr=script&amp;mode=search", "토지이음")</f>
        <v/>
      </c>
      <c r="S449" s="3" t="inlineStr">
        <is>
          <t>서울(단지내)</t>
        </is>
      </c>
      <c r="T449" s="4" t="n">
        <v>1</v>
      </c>
      <c r="U449" s="5" t="n">
        <v>206.8</v>
      </c>
      <c r="V449" s="4" t="n">
        <v>252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세로각지(가)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HYPERLINK("https://fin.land.naver.com/articles/2648513014",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100</v>
      </c>
      <c r="H454" s="4" t="n">
        <v>20</v>
      </c>
      <c r="I454" s="4" t="n">
        <v>15</v>
      </c>
      <c r="J454" s="4" t="n">
        <v>5</v>
      </c>
      <c r="K454" s="5" t="n">
        <v>4</v>
      </c>
      <c r="L454" s="4" t="n">
        <v>15</v>
      </c>
      <c r="M454" s="4" t="n">
        <v>5</v>
      </c>
      <c r="N454" s="5" t="n">
        <v>4</v>
      </c>
      <c r="O454" s="3" t="inlineStr">
        <is>
          <t>한달28만원에 공과금 모두 포함, 추가금 없음</t>
        </is>
      </c>
      <c r="P454" s="6">
        <f>HYPERLINK("https://fin.land.naver.com/articles/2648554234",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393-19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월세</t>
        </is>
      </c>
      <c r="G456" s="4" t="n">
        <v>7000</v>
      </c>
      <c r="H456" s="4" t="n">
        <v>30</v>
      </c>
      <c r="I456" s="4" t="n">
        <v>0</v>
      </c>
      <c r="J456" s="4" t="n">
        <v>0</v>
      </c>
      <c r="K456" s="5" t="n">
        <v>0</v>
      </c>
      <c r="L456" s="4" t="n">
        <v>60</v>
      </c>
      <c r="M456" s="4" t="n">
        <v>18</v>
      </c>
      <c r="N456" s="5" t="n">
        <v>1.7</v>
      </c>
      <c r="O456" s="3" t="inlineStr">
        <is>
          <t>LH 대출 가능 합니다. 투룸</t>
        </is>
      </c>
      <c r="P456" s="6">
        <f>HYPERLINK("https://fin.land.naver.com/articles/2652808262", "매물Link")</f>
        <v/>
      </c>
      <c r="Q456" s="6">
        <f>HYPERLINK("https://map.naver.com/p/search/조치원읍 신안리 393-19", "지도Link")</f>
        <v/>
      </c>
      <c r="R456" s="6">
        <f>HYPERLINK("http://www.eum.go.kr/web/ar/lu/luLandDet.jsp?pnu=3611025032103930019&amp;isNoScr=script&amp;mode=search", "토지이음")</f>
        <v/>
      </c>
      <c r="S456" s="3" t="inlineStr">
        <is>
          <t>지성</t>
        </is>
      </c>
      <c r="T456" s="4" t="n">
        <v>1</v>
      </c>
      <c r="U456" s="5" t="n">
        <v>200.1</v>
      </c>
      <c r="V456" s="4" t="n">
        <v>166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394-12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0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300</v>
      </c>
      <c r="H457" s="4" t="n">
        <v>30</v>
      </c>
      <c r="I457" s="4" t="n">
        <v>25</v>
      </c>
      <c r="J457" s="4" t="n">
        <v>8</v>
      </c>
      <c r="K457" s="5" t="n">
        <v>3.8</v>
      </c>
      <c r="L457" s="4" t="n">
        <v>25</v>
      </c>
      <c r="M457" s="4" t="n">
        <v>8</v>
      </c>
      <c r="N457" s="5" t="n">
        <v>3.8</v>
      </c>
      <c r="O457" s="3" t="inlineStr">
        <is>
          <t>음식점, 편의점, 버스정류장도 가까운 곳에 있는 집</t>
        </is>
      </c>
      <c r="P457" s="6">
        <f>HYPERLINK("https://fin.land.naver.com/articles/2649956802", "매물Link")</f>
        <v/>
      </c>
      <c r="Q457" s="6">
        <f>HYPERLINK("https://map.naver.com/p/search/조치원읍 신안리 394-12", "지도Link")</f>
        <v/>
      </c>
      <c r="R457" s="6">
        <f>HYPERLINK("http://www.eum.go.kr/web/ar/lu/luLandDet.jsp?pnu=3611025032103940012&amp;isNoScr=script&amp;mode=search", "토지이음")</f>
        <v/>
      </c>
      <c r="S457" s="3" t="inlineStr">
        <is>
          <t>부자터</t>
        </is>
      </c>
      <c r="T457" s="4" t="n">
        <v>1</v>
      </c>
      <c r="U457" s="5" t="n">
        <v>302.3</v>
      </c>
      <c r="V457" s="4" t="n">
        <v>222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중로한면</t>
        </is>
      </c>
    </row>
    <row r="458">
      <c r="A458" s="3" t="inlineStr">
        <is>
          <t>조치원읍 신안리 394-35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90000</v>
      </c>
      <c r="H458" s="4" t="n">
        <v>0</v>
      </c>
      <c r="I458" s="4" t="n">
        <v>311</v>
      </c>
      <c r="J458" s="4" t="n">
        <v>94</v>
      </c>
      <c r="K458" s="5" t="n">
        <v>957.4</v>
      </c>
      <c r="L458" s="4" t="n">
        <v>328</v>
      </c>
      <c r="M458" s="4" t="n">
        <v>99</v>
      </c>
      <c r="N458" s="5" t="n">
        <v>909.1</v>
      </c>
      <c r="O458" s="3" t="inlineStr">
        <is>
          <t>수익률 10 년수익 5,145만원 원룸 통매매</t>
        </is>
      </c>
      <c r="P458" s="6">
        <f>HYPERLINK("https://fin.land.naver.com/articles/2648570400", "매물Link")</f>
        <v/>
      </c>
      <c r="Q458" s="6">
        <f>HYPERLINK("https://map.naver.com/p/search/조치원읍 신안리 394-35", "지도Link")</f>
        <v/>
      </c>
      <c r="R458" s="6">
        <f>HYPERLINK("http://www.eum.go.kr/web/ar/lu/luLandDet.jsp?pnu=3611025032103940035&amp;isNoScr=script&amp;mode=search", "토지이음")</f>
        <v/>
      </c>
      <c r="S458" s="3" t="inlineStr">
        <is>
          <t>고래</t>
        </is>
      </c>
      <c r="T458" s="4" t="n">
        <v>1</v>
      </c>
      <c r="U458" s="5" t="n">
        <v>235.1</v>
      </c>
      <c r="V458" s="4" t="n">
        <v>311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394-38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일반원룸</t>
        </is>
      </c>
      <c r="F460" s="3" t="inlineStr">
        <is>
          <t>전세</t>
        </is>
      </c>
      <c r="G460" s="4" t="n">
        <v>5000</v>
      </c>
      <c r="H460" s="4" t="n">
        <v>0</v>
      </c>
      <c r="I460" s="4" t="n">
        <v>20</v>
      </c>
      <c r="J460" s="4" t="n">
        <v>6</v>
      </c>
      <c r="K460" s="5" t="n">
        <v>833.3</v>
      </c>
      <c r="L460" s="4" t="n">
        <v>20</v>
      </c>
      <c r="M460" s="4" t="n">
        <v>6</v>
      </c>
      <c r="N460" s="5" t="n">
        <v>833.3</v>
      </c>
      <c r="O460" s="3" t="inlineStr">
        <is>
          <t>귀한 원룸 전세매물</t>
        </is>
      </c>
      <c r="P460" s="6">
        <f>HYPERLINK("https://fin.land.naver.com/articles/2649956631", "매물Link")</f>
        <v/>
      </c>
      <c r="Q460" s="6">
        <f>HYPERLINK("https://map.naver.com/p/search/조치원읍 신안리 394-38", "지도Link")</f>
        <v/>
      </c>
      <c r="R460" s="6">
        <f>HYPERLINK("http://www.eum.go.kr/web/ar/lu/luLandDet.jsp?pnu=3611025032103940038&amp;isNoScr=script&amp;mode=search", "토지이음")</f>
        <v/>
      </c>
      <c r="S460" s="3" t="inlineStr">
        <is>
          <t>부자터</t>
        </is>
      </c>
      <c r="T460" s="4" t="n">
        <v>1</v>
      </c>
      <c r="U460" s="5" t="n">
        <v>227.9</v>
      </c>
      <c r="V460" s="4" t="n">
        <v>289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세로한면(불)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394-8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97000</v>
      </c>
      <c r="H462" s="4" t="n">
        <v>0</v>
      </c>
      <c r="I462" s="4" t="n">
        <v>251</v>
      </c>
      <c r="J462" s="4" t="n">
        <v>76</v>
      </c>
      <c r="K462" s="5" t="n">
        <v>1276.3</v>
      </c>
      <c r="L462" s="4" t="n">
        <v>329</v>
      </c>
      <c r="M462" s="4" t="n">
        <v>100</v>
      </c>
      <c r="N462" s="5" t="n">
        <v>970</v>
      </c>
      <c r="O462" s="3" t="inlineStr">
        <is>
          <t>수익율 최고 18세대, 연 9.5 프로 수익율,  관리상태 최상급</t>
        </is>
      </c>
      <c r="P462" s="6">
        <f>HYPERLINK("https://fin.land.naver.com/articles/2649567909", "매물Link")</f>
        <v/>
      </c>
      <c r="Q462" s="6">
        <f>HYPERLINK("https://map.naver.com/p/search/조치원읍 신안리 394-8", "지도Link")</f>
        <v/>
      </c>
      <c r="R462" s="6">
        <f>HYPERLINK("http://www.eum.go.kr/web/ar/lu/luLandDet.jsp?pnu=3611025032103940008&amp;isNoScr=script&amp;mode=search", "토지이음")</f>
        <v/>
      </c>
      <c r="S462" s="3" t="inlineStr">
        <is>
          <t>기흥역미래</t>
        </is>
      </c>
      <c r="T462" s="4" t="n">
        <v>1</v>
      </c>
      <c r="U462" s="5" t="n">
        <v>255.5</v>
      </c>
      <c r="V462" s="4" t="n">
        <v>251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신안리 432-15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4000</v>
      </c>
      <c r="H463" s="4" t="n">
        <v>0</v>
      </c>
      <c r="I463" s="4" t="n">
        <v>20</v>
      </c>
      <c r="J463" s="4" t="n">
        <v>6</v>
      </c>
      <c r="K463" s="5" t="n">
        <v>666.7</v>
      </c>
      <c r="L463" s="4" t="n">
        <v>20</v>
      </c>
      <c r="M463" s="4" t="n">
        <v>6</v>
      </c>
      <c r="N463" s="5" t="n">
        <v>666.7</v>
      </c>
      <c r="O463" s="3" t="inlineStr">
        <is>
          <t>즉시입주</t>
        </is>
      </c>
      <c r="P463" s="6">
        <f>HYPERLINK("https://fin.land.naver.com/articles/2649956345", "매물Link")</f>
        <v/>
      </c>
      <c r="Q463" s="6">
        <f>HYPERLINK("https://map.naver.com/p/search/조치원읍 신안리 432-15", "지도Link")</f>
        <v/>
      </c>
      <c r="R463" s="6">
        <f>HYPERLINK("http://www.eum.go.kr/web/ar/lu/luLandDet.jsp?pnu=3611025032104320015&amp;isNoScr=script&amp;mode=search",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231.7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신안리 432-17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95000</v>
      </c>
      <c r="H464" s="4" t="n">
        <v>0</v>
      </c>
      <c r="I464" s="4" t="n">
        <v>222</v>
      </c>
      <c r="J464" s="4" t="n">
        <v>67</v>
      </c>
      <c r="K464" s="5" t="n">
        <v>1417.9</v>
      </c>
      <c r="L464" s="4" t="n">
        <v>283</v>
      </c>
      <c r="M464" s="4" t="n">
        <v>86</v>
      </c>
      <c r="N464" s="5" t="n">
        <v>1104.7</v>
      </c>
      <c r="O464" s="3" t="inlineStr">
        <is>
          <t>L 홍익대5분 O학생선호도1위 O깨끗한건물</t>
        </is>
      </c>
      <c r="P464" s="6">
        <f>HYPERLINK("https://fin.land.naver.com/articles/2650552292", "매물Link")</f>
        <v/>
      </c>
      <c r="Q464" s="6">
        <f>HYPERLINK("https://map.naver.com/p/search/조치원읍 신안리 432-17", "지도Link")</f>
        <v/>
      </c>
      <c r="R464" s="6">
        <f>HYPERLINK("http://www.eum.go.kr/web/ar/lu/luLandDet.jsp?pnu=3611025032104320017&amp;isNoScr=script&amp;mode=search",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195.5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37000</v>
      </c>
      <c r="H467" s="4" t="n">
        <v>0</v>
      </c>
      <c r="I467" s="4" t="n">
        <v>73</v>
      </c>
      <c r="J467" s="4" t="n">
        <v>22</v>
      </c>
      <c r="K467" s="5" t="n">
        <v>1681.8</v>
      </c>
      <c r="L467" s="4" t="n">
        <v>67</v>
      </c>
      <c r="M467" s="4" t="n">
        <v>20</v>
      </c>
      <c r="N467" s="5" t="n">
        <v>1850</v>
      </c>
      <c r="O467" s="3" t="inlineStr">
        <is>
          <t>전세3500거주중,재건축단지</t>
        </is>
      </c>
      <c r="P467" s="6">
        <f>HYPERLINK("https://fin.land.naver.com/articles/2647456393",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25000</v>
      </c>
      <c r="H468" s="4" t="n">
        <v>0</v>
      </c>
      <c r="I468" s="4" t="n">
        <v>73</v>
      </c>
      <c r="J468" s="4" t="n">
        <v>22</v>
      </c>
      <c r="K468" s="5" t="n">
        <v>1136.4</v>
      </c>
      <c r="L468" s="4" t="n">
        <v>67</v>
      </c>
      <c r="M468" s="4" t="n">
        <v>20</v>
      </c>
      <c r="N468" s="5" t="n">
        <v>1250</v>
      </c>
      <c r="O468" s="3" t="inlineStr">
        <is>
          <t>o재건축추진o실입주가능o위치최고</t>
        </is>
      </c>
      <c r="P468" s="6">
        <f>HYPERLINK("https://fin.land.naver.com/articles/2650550533",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바다</t>
        </is>
      </c>
      <c r="T468" s="4" t="n">
        <v>2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23000</v>
      </c>
      <c r="H469" s="4" t="n">
        <v>0</v>
      </c>
      <c r="I469" s="4" t="n">
        <v>62</v>
      </c>
      <c r="J469" s="4" t="n">
        <v>19</v>
      </c>
      <c r="K469" s="5" t="n">
        <v>1210.5</v>
      </c>
      <c r="L469" s="4" t="n">
        <v>57</v>
      </c>
      <c r="M469" s="4" t="n">
        <v>17</v>
      </c>
      <c r="N469" s="5" t="n">
        <v>1352.9</v>
      </c>
      <c r="O469" s="3" t="inlineStr">
        <is>
          <t>재건축 진행중에 있는 곳입니다.</t>
        </is>
      </c>
      <c r="P469" s="6">
        <f>HYPERLINK("https://fin.land.naver.com/articles/2649704179",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이순이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17000</v>
      </c>
      <c r="H470" s="4" t="n">
        <v>0</v>
      </c>
      <c r="I470" s="4" t="n">
        <v>59</v>
      </c>
      <c r="J470" s="4" t="n">
        <v>18</v>
      </c>
      <c r="K470" s="5" t="n">
        <v>944.4</v>
      </c>
      <c r="L470" s="4" t="n">
        <v>55</v>
      </c>
      <c r="M470" s="4" t="n">
        <v>17</v>
      </c>
      <c r="N470" s="5" t="n">
        <v>1000</v>
      </c>
      <c r="O470" s="3" t="inlineStr">
        <is>
          <t>급매, 실입주 가능</t>
        </is>
      </c>
      <c r="P470" s="6">
        <f>HYPERLINK("https://fin.land.naver.com/articles/2648316706",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73</v>
      </c>
      <c r="J471" s="4" t="n">
        <v>22</v>
      </c>
      <c r="K471" s="5" t="n">
        <v>1363.6</v>
      </c>
      <c r="L471" s="4" t="n">
        <v>67</v>
      </c>
      <c r="M471" s="4" t="n">
        <v>20</v>
      </c>
      <c r="N471" s="5" t="n">
        <v>1500</v>
      </c>
      <c r="O471" s="3" t="inlineStr">
        <is>
          <t>급매,실입주가능</t>
        </is>
      </c>
      <c r="P471" s="6">
        <f>HYPERLINK("https://fin.land.naver.com/articles/2649451146",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월세</t>
        </is>
      </c>
      <c r="G472" s="4" t="n">
        <v>1000</v>
      </c>
      <c r="H472" s="4" t="n">
        <v>40</v>
      </c>
      <c r="I472" s="4" t="n">
        <v>73</v>
      </c>
      <c r="J472" s="4" t="n">
        <v>22</v>
      </c>
      <c r="K472" s="5" t="n">
        <v>1.8</v>
      </c>
      <c r="L472" s="4" t="n">
        <v>67</v>
      </c>
      <c r="M472" s="4" t="n">
        <v>20</v>
      </c>
      <c r="N472" s="5" t="n">
        <v>2</v>
      </c>
      <c r="O472" s="3" t="inlineStr">
        <is>
          <t>nan</t>
        </is>
      </c>
      <c r="P472" s="6">
        <f>HYPERLINK("https://fin.land.naver.com/articles/2652354144",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푸르지오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30000</v>
      </c>
      <c r="H474" s="4" t="n">
        <v>0</v>
      </c>
      <c r="I474" s="4" t="n">
        <v>62</v>
      </c>
      <c r="J474" s="4" t="n">
        <v>19</v>
      </c>
      <c r="K474" s="5" t="n">
        <v>1578.9</v>
      </c>
      <c r="L474" s="4" t="n">
        <v>57</v>
      </c>
      <c r="M474" s="4" t="n">
        <v>17</v>
      </c>
      <c r="N474" s="5" t="n">
        <v>1764.7</v>
      </c>
      <c r="O474" s="3" t="inlineStr">
        <is>
          <t>재건축단지,공실,입주가능</t>
        </is>
      </c>
      <c r="P474" s="6">
        <f>HYPERLINK("https://fin.land.naver.com/articles/2652978926",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다산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22000</v>
      </c>
      <c r="H475" s="4" t="n">
        <v>0</v>
      </c>
      <c r="I475" s="4" t="n">
        <v>73</v>
      </c>
      <c r="J475" s="4" t="n">
        <v>22</v>
      </c>
      <c r="K475" s="5" t="n">
        <v>1000</v>
      </c>
      <c r="L475" s="4" t="n">
        <v>67</v>
      </c>
      <c r="M475" s="4" t="n">
        <v>20</v>
      </c>
      <c r="N475" s="5" t="n">
        <v>1100</v>
      </c>
      <c r="O475" s="3" t="inlineStr">
        <is>
          <t>재건축 추진 단지이고 매도인 사정상  초급매 매물입니다</t>
        </is>
      </c>
      <c r="P475" s="6">
        <f>HYPERLINK("https://fin.land.naver.com/articles/2652900704",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명성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월세</t>
        </is>
      </c>
      <c r="G476" s="4" t="n">
        <v>1000</v>
      </c>
      <c r="H476" s="4" t="n">
        <v>30</v>
      </c>
      <c r="I476" s="4" t="n">
        <v>73</v>
      </c>
      <c r="J476" s="4" t="n">
        <v>22</v>
      </c>
      <c r="K476" s="5" t="n">
        <v>1.4</v>
      </c>
      <c r="L476" s="4" t="n">
        <v>67</v>
      </c>
      <c r="M476" s="4" t="n">
        <v>20</v>
      </c>
      <c r="N476" s="5" t="n">
        <v>1.5</v>
      </c>
      <c r="O476" s="3" t="inlineStr">
        <is>
          <t>즉시 입주 가능하고 상태 양호합니다.</t>
        </is>
      </c>
      <c r="P476" s="6">
        <f>HYPERLINK("https://fin.land.naver.com/articles/2652901910",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명성</t>
        </is>
      </c>
      <c r="T476" s="4" t="n">
        <v>2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11-10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160</v>
      </c>
      <c r="J477" s="4" t="n">
        <v>48</v>
      </c>
      <c r="K477" s="5" t="n">
        <v>500</v>
      </c>
      <c r="L477" s="4" t="n">
        <v>62</v>
      </c>
      <c r="M477" s="4" t="n">
        <v>19</v>
      </c>
      <c r="N477" s="5" t="n">
        <v>1263.2</v>
      </c>
      <c r="O477" s="3" t="inlineStr">
        <is>
          <t>남향. 도시가스. 신흥사랑주택 앞 최근 리모델링 완료한 단독주택 매매.</t>
        </is>
      </c>
      <c r="P477" s="6">
        <f>HYPERLINK("https://fin.land.naver.com/articles/2652914628", "매물Link")</f>
        <v/>
      </c>
      <c r="Q477" s="6">
        <f>HYPERLINK("https://map.naver.com/p/search/조치원읍 신흥리 11-10", "지도Link")</f>
        <v/>
      </c>
      <c r="R477" s="6">
        <f>HYPERLINK("http://www.eum.go.kr/web/ar/lu/luLandDet.jsp?pnu=3611025029100110010&amp;isNoScr=script&amp;mode=search", "토지이음")</f>
        <v/>
      </c>
      <c r="S477" s="3" t="inlineStr">
        <is>
          <t>세종대장</t>
        </is>
      </c>
      <c r="T477" s="4" t="n">
        <v>2</v>
      </c>
      <c r="U477" s="5" t="n">
        <v>182.9</v>
      </c>
      <c r="V477" s="4" t="n">
        <v>160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11-7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122</v>
      </c>
      <c r="J478" s="4" t="n">
        <v>37</v>
      </c>
      <c r="K478" s="5" t="n">
        <v>648.6</v>
      </c>
      <c r="L478" s="4" t="n">
        <v>63</v>
      </c>
      <c r="M478" s="4" t="n">
        <v>19</v>
      </c>
      <c r="N478" s="5" t="n">
        <v>1263.2</v>
      </c>
      <c r="O478" s="3" t="inlineStr">
        <is>
          <t>신흥리 급매,리모델링지붕수리하여 깔끔 단독주택</t>
        </is>
      </c>
      <c r="P478" s="6">
        <f>HYPERLINK("https://fin.land.naver.com/articles/2647562586", "매물Link")</f>
        <v/>
      </c>
      <c r="Q478" s="6">
        <f>HYPERLINK("https://map.naver.com/p/search/조치원읍 신흥리 11-7", "지도Link")</f>
        <v/>
      </c>
      <c r="R478" s="6">
        <f>HYPERLINK("http://www.eum.go.kr/web/ar/lu/luLandDet.jsp?pnu=3611025029100110007&amp;isNoScr=script&amp;mode=search",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182.9</v>
      </c>
      <c r="V478" s="4" t="n">
        <v>122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HYPERLINK("https://fin.land.naver.com/articles/2647576467",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협의가능,코너주택 채광우수,관리잘된 집</t>
        </is>
      </c>
      <c r="P483" s="6">
        <f>HYPERLINK("https://fin.land.naver.com/articles/2652016025",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다옴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5-7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18000</v>
      </c>
      <c r="H484" s="4" t="n">
        <v>0</v>
      </c>
      <c r="I484" s="4" t="n">
        <v>160</v>
      </c>
      <c r="J484" s="4" t="n">
        <v>48</v>
      </c>
      <c r="K484" s="5" t="n">
        <v>375</v>
      </c>
      <c r="L484" s="4" t="n">
        <v>50</v>
      </c>
      <c r="M484" s="4" t="n">
        <v>15</v>
      </c>
      <c r="N484" s="5" t="n">
        <v>1200</v>
      </c>
      <c r="O484" s="3" t="inlineStr">
        <is>
          <t>2차선 도로에 접한 주택, 전원생활 가능</t>
        </is>
      </c>
      <c r="P484" s="6">
        <f>HYPERLINK("https://fin.land.naver.com/articles/2648561296", "매물Link")</f>
        <v/>
      </c>
      <c r="Q484" s="6">
        <f>HYPERLINK("https://map.naver.com/p/search/조치원읍 신흥리 5-7", "지도Link")</f>
        <v/>
      </c>
      <c r="R484" s="6">
        <f>HYPERLINK("http://www.eum.go.kr/web/ar/lu/luLandDet.jsp?pnu=3611025029100050007&amp;isNoScr=script&amp;mode=search", "토지이음")</f>
        <v/>
      </c>
      <c r="S484" s="3" t="inlineStr">
        <is>
          <t>세종베스트</t>
        </is>
      </c>
      <c r="T484" s="4" t="n">
        <v>1</v>
      </c>
      <c r="U484" s="5" t="n">
        <v>179.4</v>
      </c>
      <c r="V484" s="4" t="n">
        <v>161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78-4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32000</v>
      </c>
      <c r="H485" s="4" t="n">
        <v>0</v>
      </c>
      <c r="I485" s="4" t="n">
        <v>180</v>
      </c>
      <c r="J485" s="4" t="n">
        <v>54</v>
      </c>
      <c r="K485" s="5" t="n">
        <v>592.6</v>
      </c>
      <c r="L485" s="4" t="n">
        <v>74</v>
      </c>
      <c r="M485" s="4" t="n">
        <v>22</v>
      </c>
      <c r="N485" s="5" t="n">
        <v>1454.5</v>
      </c>
      <c r="O485" s="3" t="inlineStr">
        <is>
          <t>마당있는 단독주택</t>
        </is>
      </c>
      <c r="P485" s="6">
        <f>HYPERLINK("https://fin.land.naver.com/articles/2650859599", "매물Link")</f>
        <v/>
      </c>
      <c r="Q485" s="6">
        <f>HYPERLINK("https://map.naver.com/p/search/조치원읍 신흥리 78-4", "지도Link")</f>
        <v/>
      </c>
      <c r="R485" s="6">
        <f>HYPERLINK("http://www.eum.go.kr/web/ar/lu/luLandDet.jsp?pnu=3611025029100780004&amp;isNoScr=script&amp;mode=search", "토지이음")</f>
        <v/>
      </c>
      <c r="S485" s="3" t="inlineStr">
        <is>
          <t>세종대박</t>
        </is>
      </c>
      <c r="T485" s="4" t="n">
        <v>1</v>
      </c>
      <c r="U485" s="5" t="n">
        <v>230</v>
      </c>
      <c r="V485" s="4" t="n">
        <v>180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신흥리 8-7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빌라</t>
        </is>
      </c>
      <c r="F486" s="3" t="inlineStr">
        <is>
          <t>매매</t>
        </is>
      </c>
      <c r="G486" s="4" t="n">
        <v>9000</v>
      </c>
      <c r="H486" s="4" t="n">
        <v>0</v>
      </c>
      <c r="I486" s="4" t="n">
        <v>54</v>
      </c>
      <c r="J486" s="4" t="n">
        <v>16</v>
      </c>
      <c r="K486" s="5" t="n">
        <v>562.5</v>
      </c>
      <c r="L486" s="4" t="n">
        <v>48</v>
      </c>
      <c r="M486" s="4" t="n">
        <v>15</v>
      </c>
      <c r="N486" s="5" t="n">
        <v>600</v>
      </c>
      <c r="O486" s="3" t="inlineStr">
        <is>
          <t>올수리된 깨끗한 집, 협의입주</t>
        </is>
      </c>
      <c r="P486" s="6">
        <f>HYPERLINK("https://fin.land.naver.com/articles/2652084894", "매물Link")</f>
        <v/>
      </c>
      <c r="Q486" s="6">
        <f>HYPERLINK("https://map.naver.com/p/search/조치원읍 신흥리 8-7", "지도Link")</f>
        <v/>
      </c>
      <c r="R486" s="6">
        <f>HYPERLINK("http://www.eum.go.kr/web/ar/lu/luLandDet.jsp?pnu=3611025029100080007&amp;isNoScr=script&amp;mode=search", "토지이음")</f>
        <v/>
      </c>
      <c r="S486" s="3" t="inlineStr">
        <is>
          <t>KB세종</t>
        </is>
      </c>
      <c r="T486" s="4" t="n">
        <v>1</v>
      </c>
      <c r="U486" s="5" t="n">
        <v>192</v>
      </c>
      <c r="V486" s="4" t="n">
        <v>246</v>
      </c>
      <c r="W486" s="3" t="inlineStr">
        <is>
          <t>지정되지않음</t>
        </is>
      </c>
      <c r="X486" s="3" t="inlineStr">
        <is>
          <t>다세대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소로각지</t>
        </is>
      </c>
    </row>
    <row r="487">
      <c r="A487" s="3" t="inlineStr">
        <is>
          <t>조치원읍 신흥리 98-4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15000</v>
      </c>
      <c r="H487" s="4" t="n">
        <v>0</v>
      </c>
      <c r="I487" s="4" t="n">
        <v>126</v>
      </c>
      <c r="J487" s="4" t="n">
        <v>38</v>
      </c>
      <c r="K487" s="5" t="n">
        <v>394.7</v>
      </c>
      <c r="L487" s="4" t="n">
        <v>50</v>
      </c>
      <c r="M487" s="4" t="n">
        <v>15</v>
      </c>
      <c r="N487" s="5" t="n">
        <v>1000</v>
      </c>
      <c r="O487" s="3" t="inlineStr">
        <is>
          <t>신흥리 대동초교 인근 올수리 주택, 가격 조율, 도시가스 즉시입주 가능</t>
        </is>
      </c>
      <c r="P487" s="6">
        <f>HYPERLINK("https://fin.land.naver.com/articles/2650905899", "매물Link")</f>
        <v/>
      </c>
      <c r="Q487" s="6">
        <f>HYPERLINK("https://map.naver.com/p/search/조치원읍 신흥리 98-4", "지도Link")</f>
        <v/>
      </c>
      <c r="R487" s="6">
        <f>HYPERLINK("http://www.eum.go.kr/web/ar/lu/luLandDet.jsp?pnu=3611025029100980004&amp;isNoScr=script&amp;mode=search", "토지이음")</f>
        <v/>
      </c>
      <c r="S487" s="3" t="inlineStr">
        <is>
          <t>하늘</t>
        </is>
      </c>
      <c r="T487" s="4" t="n">
        <v>1</v>
      </c>
      <c r="U487" s="5" t="n">
        <v>185</v>
      </c>
      <c r="V487" s="4" t="n">
        <v>126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세로한면(불)</t>
        </is>
      </c>
    </row>
    <row r="488">
      <c r="A488" s="3" t="inlineStr">
        <is>
          <t>조치원읍 원리 132-4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연립</t>
        </is>
      </c>
      <c r="F488" s="3" t="inlineStr">
        <is>
          <t>매매</t>
        </is>
      </c>
      <c r="G488" s="4" t="n">
        <v>6500</v>
      </c>
      <c r="H488" s="4" t="n">
        <v>0</v>
      </c>
      <c r="I488" s="4" t="n">
        <v>63</v>
      </c>
      <c r="J488" s="4" t="n">
        <v>19</v>
      </c>
      <c r="K488" s="5" t="n">
        <v>342.1</v>
      </c>
      <c r="L488" s="4" t="n">
        <v>63</v>
      </c>
      <c r="M488" s="4" t="n">
        <v>19</v>
      </c>
      <c r="N488" s="5" t="n">
        <v>342.1</v>
      </c>
      <c r="O488" s="3" t="inlineStr">
        <is>
          <t>급매.고려연립 월세 세입자 안고 매매</t>
        </is>
      </c>
      <c r="P488" s="6">
        <f>HYPERLINK("https://fin.land.naver.com/articles/2647877604", "매물Link")</f>
        <v/>
      </c>
      <c r="Q488" s="6">
        <f>HYPERLINK("https://map.naver.com/p/search/조치원읍 원리 132-4", "지도Link")</f>
        <v/>
      </c>
      <c r="R488" s="6">
        <f>HYPERLINK("http://www.eum.go.kr/web/ar/lu/luLandDet.jsp?pnu=3611025021101320004&amp;isNoScr=script&amp;mode=search", "토지이음")</f>
        <v/>
      </c>
      <c r="S488" s="3" t="inlineStr">
        <is>
          <t>이음 사무소</t>
        </is>
      </c>
      <c r="T488" s="4" t="n">
        <v>1</v>
      </c>
      <c r="U488" s="5" t="n">
        <v>184.4</v>
      </c>
      <c r="V488" s="4" t="n">
        <v>335</v>
      </c>
      <c r="W488" s="3" t="inlineStr">
        <is>
          <t>지정되지않음</t>
        </is>
      </c>
      <c r="X488" s="3" t="inlineStr">
        <is>
          <t>연립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세로각지(가)</t>
        </is>
      </c>
    </row>
    <row r="489">
      <c r="A489" s="3" t="inlineStr">
        <is>
          <t>조치원읍 원리 132-45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35000</v>
      </c>
      <c r="H489" s="4" t="n">
        <v>0</v>
      </c>
      <c r="I489" s="4" t="n">
        <v>171</v>
      </c>
      <c r="J489" s="4" t="n">
        <v>52</v>
      </c>
      <c r="K489" s="5" t="n">
        <v>673.1</v>
      </c>
      <c r="L489" s="4" t="n">
        <v>59</v>
      </c>
      <c r="M489" s="4" t="n">
        <v>18</v>
      </c>
      <c r="N489" s="5" t="n">
        <v>1944.4</v>
      </c>
      <c r="O489" s="3" t="inlineStr">
        <is>
          <t>전세세입자 안고매매.수리되어 있음.27년 3월 31일 입주가능.</t>
        </is>
      </c>
      <c r="P489" s="6">
        <f>HYPERLINK("https://fin.land.naver.com/articles/2647884188", "매물Link")</f>
        <v/>
      </c>
      <c r="Q489" s="6">
        <f>HYPERLINK("https://map.naver.com/p/search/조치원읍 원리 132-45", "지도Link")</f>
        <v/>
      </c>
      <c r="R489" s="6">
        <f>HYPERLINK("http://www.eum.go.kr/web/ar/lu/luLandDet.jsp?pnu=3611025021101320045&amp;isNoScr=script&amp;mode=search", "토지이음")</f>
        <v/>
      </c>
      <c r="S489" s="3" t="inlineStr">
        <is>
          <t>이음 사무소</t>
        </is>
      </c>
      <c r="T489" s="4" t="n">
        <v>1</v>
      </c>
      <c r="U489" s="5" t="n">
        <v>210.4</v>
      </c>
      <c r="V489" s="4" t="n">
        <v>171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소로각지</t>
        </is>
      </c>
    </row>
    <row r="490">
      <c r="A490" s="3" t="inlineStr">
        <is>
          <t>조치원읍 원리 15-9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26000</v>
      </c>
      <c r="H490" s="4" t="n">
        <v>0</v>
      </c>
      <c r="I490" s="4" t="n">
        <v>42</v>
      </c>
      <c r="J490" s="4" t="n">
        <v>13</v>
      </c>
      <c r="K490" s="5" t="n">
        <v>2000</v>
      </c>
      <c r="L490" s="4" t="n">
        <v>139</v>
      </c>
      <c r="M490" s="4" t="n">
        <v>42</v>
      </c>
      <c r="N490" s="5" t="n">
        <v>619</v>
      </c>
      <c r="O490" s="3" t="inlineStr">
        <is>
          <t>소형 상가주택매매,장사하시면서 거주하시기 좋아요.</t>
        </is>
      </c>
      <c r="P490" s="6">
        <f>HYPERLINK("https://fin.land.naver.com/articles/2647881780", "매물Link")</f>
        <v/>
      </c>
      <c r="Q490" s="6">
        <f>HYPERLINK("https://map.naver.com/p/search/조치원읍 원리 15-9", "지도Link")</f>
        <v/>
      </c>
      <c r="R490" s="6">
        <f>HYPERLINK("http://www.eum.go.kr/web/ar/lu/luLandDet.jsp?pnu=3611025021100150009&amp;isNoScr=script&amp;mode=search",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641.3</v>
      </c>
      <c r="V490" s="4" t="n">
        <v>67.8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소로한면</t>
        </is>
      </c>
    </row>
    <row r="491">
      <c r="A491" s="3" t="inlineStr">
        <is>
          <t>조치원읍 원리 15-9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26000</v>
      </c>
      <c r="H491" s="4" t="n">
        <v>0</v>
      </c>
      <c r="I491" s="4" t="n">
        <v>67</v>
      </c>
      <c r="J491" s="4" t="n">
        <v>20</v>
      </c>
      <c r="K491" s="5" t="n">
        <v>1300</v>
      </c>
      <c r="L491" s="4" t="n">
        <v>139</v>
      </c>
      <c r="M491" s="4" t="n">
        <v>42</v>
      </c>
      <c r="N491" s="5" t="n">
        <v>619</v>
      </c>
      <c r="O491" s="3" t="inlineStr">
        <is>
          <t>원리 서독안경원 골목 먹자골목내 자기상가하면서 거주하실분 추천</t>
        </is>
      </c>
      <c r="P491" s="6">
        <f>HYPERLINK("https://fin.land.naver.com/articles/2652877281", "매물Link")</f>
        <v/>
      </c>
      <c r="Q491" s="6">
        <f>HYPERLINK("https://map.naver.com/p/search/조치원읍 원리 15-9", "지도Link")</f>
        <v/>
      </c>
      <c r="R491" s="6">
        <f>HYPERLINK("http://www.eum.go.kr/web/ar/lu/luLandDet.jsp?pnu=3611025021100150009&amp;isNoScr=script&amp;mode=search",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641.3</v>
      </c>
      <c r="V491" s="4" t="n">
        <v>67.8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소로한면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25</v>
      </c>
      <c r="J492" s="4" t="n">
        <v>8</v>
      </c>
      <c r="K492" s="5" t="n">
        <v>4.4</v>
      </c>
      <c r="L492" s="4" t="n">
        <v>14</v>
      </c>
      <c r="M492" s="4" t="n">
        <v>4</v>
      </c>
      <c r="N492" s="5" t="n">
        <v>8.800000000000001</v>
      </c>
      <c r="O492" s="3" t="inlineStr">
        <is>
          <t>조치원역5분컷.국민은행 뒷편,생활권 편리합니다.</t>
        </is>
      </c>
      <c r="P492" s="6">
        <f>HYPERLINK("https://fin.land.naver.com/articles/2649382027",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2-11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도시형생활주택</t>
        </is>
      </c>
      <c r="F494" s="3" t="inlineStr">
        <is>
          <t>월세</t>
        </is>
      </c>
      <c r="G494" s="4" t="n">
        <v>300</v>
      </c>
      <c r="H494" s="4" t="n">
        <v>35</v>
      </c>
      <c r="I494" s="4" t="n">
        <v>26</v>
      </c>
      <c r="J494" s="4" t="n">
        <v>8</v>
      </c>
      <c r="K494" s="5" t="n">
        <v>4.4</v>
      </c>
      <c r="L494" s="4" t="n">
        <v>15</v>
      </c>
      <c r="M494" s="4" t="n">
        <v>5</v>
      </c>
      <c r="N494" s="5" t="n">
        <v>7</v>
      </c>
      <c r="O494" s="3" t="inlineStr">
        <is>
          <t>nan</t>
        </is>
      </c>
      <c r="P494" s="6">
        <f>HYPERLINK("https://fin.land.naver.com/articles/2651547195", "매물Link")</f>
        <v/>
      </c>
      <c r="Q494" s="6">
        <f>HYPERLINK("https://map.naver.com/p/search/조치원읍 원리 2-11", "지도Link")</f>
        <v/>
      </c>
      <c r="R494" s="6">
        <f>HYPERLINK("http://www.eum.go.kr/web/ar/lu/luLandDet.jsp?pnu=3611025021100020011&amp;isNoScr=script&amp;mode=search", "토지이음")</f>
        <v/>
      </c>
      <c r="S494" s="3" t="inlineStr">
        <is>
          <t>척척</t>
        </is>
      </c>
      <c r="T494" s="4" t="n">
        <v>1</v>
      </c>
      <c r="U494" s="5" t="n">
        <v>488.9</v>
      </c>
      <c r="V494" s="4" t="n">
        <v>491.3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조치원읍 원리 2-11</t>
        </is>
      </c>
      <c r="B495" s="3" t="inlineStr">
        <is>
          <t>일반상업지역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0</v>
      </c>
      <c r="J495" s="4" t="n">
        <v>0</v>
      </c>
      <c r="K495" s="5" t="n">
        <v>0</v>
      </c>
      <c r="L495" s="4" t="n">
        <v>19</v>
      </c>
      <c r="M495" s="4" t="n">
        <v>6</v>
      </c>
      <c r="N495" s="5" t="n">
        <v>5</v>
      </c>
      <c r="O495" s="3" t="inlineStr">
        <is>
          <t>조치원역 도보 5분내거리</t>
        </is>
      </c>
      <c r="P495" s="6">
        <f>HYPERLINK("https://fin.land.naver.com/articles/2648295710", "매물Link")</f>
        <v/>
      </c>
      <c r="Q495" s="6">
        <f>HYPERLINK("https://map.naver.com/p/search/조치원읍 원리 2-11", "지도Link")</f>
        <v/>
      </c>
      <c r="R495" s="6">
        <f>HYPERLINK("http://www.eum.go.kr/web/ar/lu/luLandDet.jsp?pnu=3611025021100020011&amp;isNoScr=script&amp;mode=search",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488.9</v>
      </c>
      <c r="V495" s="4" t="n">
        <v>491.3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조치원읍 원리 2-11</t>
        </is>
      </c>
      <c r="B496" s="3" t="inlineStr">
        <is>
          <t>일반상업지역</t>
        </is>
      </c>
      <c r="C496" s="3" t="inlineStr">
        <is>
          <t>대</t>
        </is>
      </c>
      <c r="D496" s="3" t="inlineStr">
        <is>
          <t>0</t>
        </is>
      </c>
      <c r="E496" s="3" t="inlineStr">
        <is>
          <t>도시형생활주택</t>
        </is>
      </c>
      <c r="F496" s="3" t="inlineStr">
        <is>
          <t>월세</t>
        </is>
      </c>
      <c r="G496" s="4" t="n">
        <v>300</v>
      </c>
      <c r="H496" s="4" t="n">
        <v>35</v>
      </c>
      <c r="I496" s="4" t="n">
        <v>25</v>
      </c>
      <c r="J496" s="4" t="n">
        <v>8</v>
      </c>
      <c r="K496" s="5" t="n">
        <v>4.4</v>
      </c>
      <c r="L496" s="4" t="n">
        <v>14</v>
      </c>
      <c r="M496" s="4" t="n">
        <v>4</v>
      </c>
      <c r="N496" s="5" t="n">
        <v>8.800000000000001</v>
      </c>
      <c r="O496" s="3" t="inlineStr">
        <is>
          <t>원룸  국민은행 뒷편 조치원역 도보5분</t>
        </is>
      </c>
      <c r="P496" s="6">
        <f>HYPERLINK("https://fin.land.naver.com/articles/2649298649", "매물Link")</f>
        <v/>
      </c>
      <c r="Q496" s="6">
        <f>HYPERLINK("https://map.naver.com/p/search/조치원읍 원리 2-11", "지도Link")</f>
        <v/>
      </c>
      <c r="R496" s="6">
        <f>HYPERLINK("http://www.eum.go.kr/web/ar/lu/luLandDet.jsp?pnu=3611025021100020011&amp;isNoScr=script&amp;mode=search",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488.9</v>
      </c>
      <c r="V496" s="4" t="n">
        <v>491.3</v>
      </c>
      <c r="W496" s="3" t="inlineStr">
        <is>
          <t>지정되지않음</t>
        </is>
      </c>
      <c r="X496" s="3" t="inlineStr">
        <is>
          <t>상업용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조치원읍 원리 9-29</t>
        </is>
      </c>
      <c r="B497" s="3" t="inlineStr">
        <is>
          <t>일반상업지역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120000</v>
      </c>
      <c r="H497" s="4" t="n">
        <v>0</v>
      </c>
      <c r="I497" s="4" t="n">
        <v>149</v>
      </c>
      <c r="J497" s="4" t="n">
        <v>45</v>
      </c>
      <c r="K497" s="5" t="n">
        <v>2666.7</v>
      </c>
      <c r="L497" s="4" t="n">
        <v>360</v>
      </c>
      <c r="M497" s="4" t="n">
        <v>109</v>
      </c>
      <c r="N497" s="5" t="n">
        <v>1100.9</v>
      </c>
      <c r="O497" s="3" t="inlineStr">
        <is>
          <t>조치원역 회전교차로 인근 최상위치</t>
        </is>
      </c>
      <c r="P497" s="6">
        <f>HYPERLINK("https://fin.land.naver.com/articles/2651708568", "매물Link")</f>
        <v/>
      </c>
      <c r="Q497" s="6">
        <f>HYPERLINK("https://map.naver.com/p/search/조치원읍 원리 9-29", "지도Link")</f>
        <v/>
      </c>
      <c r="R497" s="6">
        <f>HYPERLINK("http://www.eum.go.kr/web/ar/lu/luLandDet.jsp?pnu=3611025021100090029&amp;isNoScr=script&amp;mode=search",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1102.1</v>
      </c>
      <c r="V497" s="4" t="n">
        <v>134.9</v>
      </c>
      <c r="W497" s="3" t="inlineStr">
        <is>
          <t>지정되지않음</t>
        </is>
      </c>
      <c r="X497" s="3" t="inlineStr">
        <is>
          <t>상업용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중로한면</t>
        </is>
      </c>
    </row>
    <row r="498">
      <c r="A498" s="3" t="inlineStr">
        <is>
          <t>조치원읍 정리 44-11</t>
        </is>
      </c>
      <c r="B498" s="3" t="inlineStr">
        <is>
          <t>준주거지역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12000</v>
      </c>
      <c r="H498" s="4" t="n">
        <v>0</v>
      </c>
      <c r="I498" s="4" t="n">
        <v>72</v>
      </c>
      <c r="J498" s="4" t="n">
        <v>22</v>
      </c>
      <c r="K498" s="5" t="n">
        <v>545.5</v>
      </c>
      <c r="L498" s="4" t="n">
        <v>72</v>
      </c>
      <c r="M498" s="4" t="n">
        <v>22</v>
      </c>
      <c r="N498" s="5" t="n">
        <v>545.5</v>
      </c>
      <c r="O498" s="3" t="inlineStr">
        <is>
          <t>즉시 입주,수리 완료</t>
        </is>
      </c>
      <c r="P498" s="6">
        <f>HYPERLINK("https://fin.land.naver.com/articles/2649313287", "매물Link")</f>
        <v/>
      </c>
      <c r="Q498" s="6">
        <f>HYPERLINK("https://map.naver.com/p/search/조치원읍 정리 44-11", "지도Link")</f>
        <v/>
      </c>
      <c r="R498" s="6">
        <f>HYPERLINK("http://www.eum.go.kr/web/ar/lu/luLandDet.jsp?pnu=3611025025100440011&amp;isNoScr=script&amp;mode=search", "토지이음")</f>
        <v/>
      </c>
      <c r="S498" s="3" t="inlineStr">
        <is>
          <t>골드</t>
        </is>
      </c>
      <c r="T498" s="4" t="n">
        <v>1</v>
      </c>
      <c r="U498" s="5" t="n">
        <v>198.3</v>
      </c>
      <c r="V498" s="4" t="n">
        <v>428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세로한면(가)</t>
        </is>
      </c>
    </row>
    <row r="499">
      <c r="A499" s="3" t="inlineStr">
        <is>
          <t>조치원읍 정리 50-7</t>
        </is>
      </c>
      <c r="B499" s="3" t="inlineStr">
        <is>
          <t>준주거지역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28</v>
      </c>
      <c r="J499" s="4" t="n">
        <v>8</v>
      </c>
      <c r="K499" s="5" t="n">
        <v>3.8</v>
      </c>
      <c r="L499" s="4" t="n">
        <v>25</v>
      </c>
      <c r="M499" s="4" t="n">
        <v>8</v>
      </c>
      <c r="N499" s="5" t="n">
        <v>3.8</v>
      </c>
      <c r="O499" s="3" t="inlineStr">
        <is>
          <t>엘베0.분리형.전통시장 1분거리 원룸.즉시입주가능합니다.</t>
        </is>
      </c>
      <c r="P499" s="6">
        <f>HYPERLINK("https://fin.land.naver.com/articles/2650081892", "매물Link")</f>
        <v/>
      </c>
      <c r="Q499" s="6">
        <f>HYPERLINK("https://map.naver.com/p/search/조치원읍 정리 50-7", "지도Link")</f>
        <v/>
      </c>
      <c r="R499" s="6">
        <f>HYPERLINK("http://www.eum.go.kr/web/ar/lu/luLandDet.jsp?pnu=3611025025100500007&amp;isNoScr=script&amp;mode=search", "토지이음")</f>
        <v/>
      </c>
      <c r="S499" s="3" t="inlineStr">
        <is>
          <t>이음 사무소</t>
        </is>
      </c>
      <c r="T499" s="4" t="n">
        <v>1</v>
      </c>
      <c r="U499" s="5" t="n">
        <v>259.4</v>
      </c>
      <c r="V499" s="4" t="n">
        <v>307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206-2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전세</t>
        </is>
      </c>
      <c r="G500" s="4" t="n">
        <v>3000</v>
      </c>
      <c r="H500" s="4" t="n">
        <v>0</v>
      </c>
      <c r="I500" s="4" t="n">
        <v>30</v>
      </c>
      <c r="J500" s="4" t="n">
        <v>9</v>
      </c>
      <c r="K500" s="5" t="n">
        <v>333.3</v>
      </c>
      <c r="L500" s="4" t="n">
        <v>22</v>
      </c>
      <c r="M500" s="4" t="n">
        <v>7</v>
      </c>
      <c r="N500" s="5" t="n">
        <v>428.6</v>
      </c>
      <c r="O500" s="3" t="inlineStr">
        <is>
          <t>공실이라 즉시입주 가능한 분리형 원룸</t>
        </is>
      </c>
      <c r="P500" s="6">
        <f>HYPERLINK("https://fin.land.naver.com/articles/2648997531", "매물Link")</f>
        <v/>
      </c>
      <c r="Q500" s="6">
        <f>HYPERLINK("https://map.naver.com/p/search/조치원읍 죽림리 206-2", "지도Link")</f>
        <v/>
      </c>
      <c r="R500" s="6">
        <f>HYPERLINK("http://www.eum.go.kr/web/ar/lu/luLandDet.jsp?pnu=3611025030102060002&amp;isNoScr=script&amp;mode=search",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208.5</v>
      </c>
      <c r="V500" s="4" t="n">
        <v>190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죽림리 30-4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25000</v>
      </c>
      <c r="H501" s="4" t="n">
        <v>0</v>
      </c>
      <c r="I501" s="4" t="n">
        <v>126</v>
      </c>
      <c r="J501" s="4" t="n">
        <v>38</v>
      </c>
      <c r="K501" s="5" t="n">
        <v>657.9</v>
      </c>
      <c r="L501" s="4" t="n">
        <v>123</v>
      </c>
      <c r="M501" s="4" t="n">
        <v>37</v>
      </c>
      <c r="N501" s="5" t="n">
        <v>675.7</v>
      </c>
      <c r="O501" s="3" t="inlineStr">
        <is>
          <t>죽림리 수리됨 코너 1,2층 주택 즉시입주가능합니다도시가스</t>
        </is>
      </c>
      <c r="P501" s="6">
        <f>HYPERLINK("https://fin.land.naver.com/articles/2649793053", "매물Link")</f>
        <v/>
      </c>
      <c r="Q501" s="6">
        <f>HYPERLINK("https://map.naver.com/p/search/조치원읍 죽림리 30-4", "지도Link")</f>
        <v/>
      </c>
      <c r="R501" s="6">
        <f>HYPERLINK("http://www.eum.go.kr/web/ar/lu/luLandDet.jsp?pnu=3611025030100300004&amp;isNoScr=script&amp;mode=search",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177.9</v>
      </c>
      <c r="V501" s="4" t="n">
        <v>118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333-3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상가주택</t>
        </is>
      </c>
      <c r="F502" s="3" t="inlineStr">
        <is>
          <t>매매</t>
        </is>
      </c>
      <c r="G502" s="4" t="n">
        <v>240000</v>
      </c>
      <c r="H502" s="4" t="n">
        <v>0</v>
      </c>
      <c r="I502" s="4" t="n">
        <v>1243</v>
      </c>
      <c r="J502" s="4" t="n">
        <v>376</v>
      </c>
      <c r="K502" s="5" t="n">
        <v>638.3</v>
      </c>
      <c r="L502" s="4" t="n">
        <v>740</v>
      </c>
      <c r="M502" s="4" t="n">
        <v>224</v>
      </c>
      <c r="N502" s="5" t="n">
        <v>1071.4</v>
      </c>
      <c r="O502" s="3" t="inlineStr">
        <is>
          <t>nan</t>
        </is>
      </c>
      <c r="P502" s="6">
        <f>HYPERLINK("https://fin.land.naver.com/articles/2648694246", "매물Link")</f>
        <v/>
      </c>
      <c r="Q502" s="6">
        <f>HYPERLINK("https://map.naver.com/p/search/조치원읍 죽림리 333-3", "지도Link")</f>
        <v/>
      </c>
      <c r="R502" s="6">
        <f>HYPERLINK("http://www.eum.go.kr/web/ar/lu/luLandDet.jsp?pnu=3611025030103330003&amp;isNoScr=script&amp;mode=search", "토지이음")</f>
        <v/>
      </c>
      <c r="S502" s="3" t="inlineStr">
        <is>
          <t>가온마을</t>
        </is>
      </c>
      <c r="T502" s="4" t="n">
        <v>1</v>
      </c>
      <c r="U502" s="5" t="n">
        <v>311.8</v>
      </c>
      <c r="V502" s="4" t="n">
        <v>945</v>
      </c>
      <c r="W502" s="3" t="inlineStr">
        <is>
          <t>지정되지않음</t>
        </is>
      </c>
      <c r="X502" s="3" t="inlineStr">
        <is>
          <t>주상용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광대소각</t>
        </is>
      </c>
    </row>
    <row r="503">
      <c r="A503" s="3" t="inlineStr">
        <is>
          <t>조치원읍 죽림리 338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45</v>
      </c>
      <c r="I503" s="4" t="n">
        <v>39</v>
      </c>
      <c r="J503" s="4" t="n">
        <v>12</v>
      </c>
      <c r="K503" s="5" t="n">
        <v>3.8</v>
      </c>
      <c r="L503" s="4" t="n">
        <v>33</v>
      </c>
      <c r="M503" s="4" t="n">
        <v>10</v>
      </c>
      <c r="N503" s="5" t="n">
        <v>4.5</v>
      </c>
      <c r="O503" s="3" t="inlineStr">
        <is>
          <t>뉴리모델링.1.5룸.그레이붙박이장.냉장고장.청사출퇴근용이.</t>
        </is>
      </c>
      <c r="P503" s="6">
        <f>HYPERLINK("https://fin.land.naver.com/articles/2649224679", "매물Link")</f>
        <v/>
      </c>
      <c r="Q503" s="6">
        <f>HYPERLINK("https://map.naver.com/p/search/조치원읍 죽림리 338", "지도Link")</f>
        <v/>
      </c>
      <c r="R503" s="6">
        <f>HYPERLINK("http://www.eum.go.kr/web/ar/lu/luLandDet.jsp?pnu=3611025030103380000&amp;isNoScr=script&amp;mode=search",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270.6</v>
      </c>
      <c r="V503" s="4" t="n">
        <v>420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소로한면</t>
        </is>
      </c>
    </row>
    <row r="504">
      <c r="A504" s="3" t="inlineStr">
        <is>
          <t>조치원읍 죽림리 37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100</v>
      </c>
      <c r="H504" s="4" t="n">
        <v>30</v>
      </c>
      <c r="I504" s="4" t="n">
        <v>39</v>
      </c>
      <c r="J504" s="4" t="n">
        <v>12</v>
      </c>
      <c r="K504" s="5" t="n">
        <v>2.5</v>
      </c>
      <c r="L504" s="4" t="n">
        <v>26</v>
      </c>
      <c r="M504" s="4" t="n">
        <v>8</v>
      </c>
      <c r="N504" s="5" t="n">
        <v>3.8</v>
      </c>
      <c r="O504" s="3" t="inlineStr">
        <is>
          <t>죽림O우리마트1분O완전풀옵션O엘리베이터O</t>
        </is>
      </c>
      <c r="P504" s="6">
        <f>HYPERLINK("https://fin.land.naver.com/articles/2651040064", "매물Link")</f>
        <v/>
      </c>
      <c r="Q504" s="6">
        <f>HYPERLINK("https://map.naver.com/p/search/조치원읍 죽림리 37", "지도Link")</f>
        <v/>
      </c>
      <c r="R504" s="6">
        <f>HYPERLINK("http://www.eum.go.kr/web/ar/lu/luLandDet.jsp?pnu=3611025030100370000&amp;isNoScr=script&amp;mode=search",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267.7</v>
      </c>
      <c r="V504" s="4" t="n">
        <v>382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소로각지</t>
        </is>
      </c>
    </row>
    <row r="505">
      <c r="A505" s="3" t="inlineStr">
        <is>
          <t>조치원읍 죽림리 37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100</v>
      </c>
      <c r="H505" s="4" t="n">
        <v>31</v>
      </c>
      <c r="I505" s="4" t="n">
        <v>46</v>
      </c>
      <c r="J505" s="4" t="n">
        <v>14</v>
      </c>
      <c r="K505" s="5" t="n">
        <v>2.2</v>
      </c>
      <c r="L505" s="4" t="n">
        <v>46</v>
      </c>
      <c r="M505" s="4" t="n">
        <v>14</v>
      </c>
      <c r="N505" s="5" t="n">
        <v>2.2</v>
      </c>
      <c r="O505" s="3" t="inlineStr">
        <is>
          <t>깔끔하고 넓은 원 룸으로 주변에 대형마트있으며, 대중교통편함</t>
        </is>
      </c>
      <c r="P505" s="6">
        <f>HYPERLINK("https://fin.land.naver.com/articles/2648512623", "매물Link")</f>
        <v/>
      </c>
      <c r="Q505" s="6">
        <f>HYPERLINK("https://map.naver.com/p/search/조치원읍 죽림리 37", "지도Link")</f>
        <v/>
      </c>
      <c r="R505" s="6">
        <f>HYPERLINK("http://www.eum.go.kr/web/ar/lu/luLandDet.jsp?pnu=3611025030100370000&amp;isNoScr=script&amp;mode=search", "토지이음")</f>
        <v/>
      </c>
      <c r="S505" s="3" t="inlineStr">
        <is>
          <t>세종베스트</t>
        </is>
      </c>
      <c r="T505" s="4" t="n">
        <v>1</v>
      </c>
      <c r="U505" s="5" t="n">
        <v>267.7</v>
      </c>
      <c r="V505" s="4" t="n">
        <v>382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죽림리 37-3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39</v>
      </c>
      <c r="J506" s="4" t="n">
        <v>12</v>
      </c>
      <c r="K506" s="5" t="n">
        <v>2.5</v>
      </c>
      <c r="L506" s="4" t="n">
        <v>26</v>
      </c>
      <c r="M506" s="4" t="n">
        <v>8</v>
      </c>
      <c r="N506" s="5" t="n">
        <v>3.8</v>
      </c>
      <c r="O506" s="3" t="inlineStr">
        <is>
          <t>죽림O우리마트1분O완전풀옵션O엘리베이터O</t>
        </is>
      </c>
      <c r="P506" s="6">
        <f>HYPERLINK("https://fin.land.naver.com/articles/2652374858", "매물Link")</f>
        <v/>
      </c>
      <c r="Q506" s="6">
        <f>HYPERLINK("https://map.naver.com/p/search/조치원읍 죽림리 37-3", "지도Link")</f>
        <v/>
      </c>
      <c r="R506" s="6">
        <f>HYPERLINK("http://www.eum.go.kr/web/ar/lu/luLandDet.jsp?pnu=3611025030100370003&amp;isNoScr=script&amp;mode=search",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262.5</v>
      </c>
      <c r="V506" s="4" t="n">
        <v>343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4-17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상가주택</t>
        </is>
      </c>
      <c r="F507" s="3" t="inlineStr">
        <is>
          <t>매매</t>
        </is>
      </c>
      <c r="G507" s="4" t="n">
        <v>50000</v>
      </c>
      <c r="H507" s="4" t="n">
        <v>0</v>
      </c>
      <c r="I507" s="4" t="n">
        <v>249</v>
      </c>
      <c r="J507" s="4" t="n">
        <v>75</v>
      </c>
      <c r="K507" s="5" t="n">
        <v>666.7</v>
      </c>
      <c r="L507" s="4" t="n">
        <v>156</v>
      </c>
      <c r="M507" s="4" t="n">
        <v>47</v>
      </c>
      <c r="N507" s="5" t="n">
        <v>1063.8</v>
      </c>
      <c r="O507" s="3" t="inlineStr">
        <is>
          <t>1층상가 2층 주택으로 사용하고 있는 로터리 바로앞 상가주택</t>
        </is>
      </c>
      <c r="P507" s="6">
        <f>HYPERLINK("https://fin.land.naver.com/articles/2652510722", "매물Link")</f>
        <v/>
      </c>
      <c r="Q507" s="6">
        <f>HYPERLINK("https://map.naver.com/p/search/조치원읍 죽림리 4-17", "지도Link")</f>
        <v/>
      </c>
      <c r="R507" s="6">
        <f>HYPERLINK("http://www.eum.go.kr/web/ar/lu/luLandDet.jsp?pnu=3611025030100040017&amp;isNoScr=script&amp;mode=search", "토지이음")</f>
        <v/>
      </c>
      <c r="S507" s="3" t="inlineStr">
        <is>
          <t>365</t>
        </is>
      </c>
      <c r="T507" s="4" t="n">
        <v>1</v>
      </c>
      <c r="U507" s="5" t="n">
        <v>280.7</v>
      </c>
      <c r="V507" s="4" t="n">
        <v>173</v>
      </c>
      <c r="W507" s="3" t="inlineStr">
        <is>
          <t>지정되지않음</t>
        </is>
      </c>
      <c r="X507" s="3" t="inlineStr">
        <is>
          <t>상업용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죽림리 47-7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38000</v>
      </c>
      <c r="H508" s="4" t="n">
        <v>0</v>
      </c>
      <c r="I508" s="4" t="n">
        <v>88</v>
      </c>
      <c r="J508" s="4" t="n">
        <v>27</v>
      </c>
      <c r="K508" s="5" t="n">
        <v>1407.4</v>
      </c>
      <c r="L508" s="4" t="n">
        <v>88</v>
      </c>
      <c r="M508" s="4" t="n">
        <v>27</v>
      </c>
      <c r="N508" s="5" t="n">
        <v>1407.4</v>
      </c>
      <c r="O508" s="3" t="inlineStr">
        <is>
          <t>죽림리 수리된 1,2층 남향주택 위치 좋습니다</t>
        </is>
      </c>
      <c r="P508" s="6">
        <f>HYPERLINK("https://fin.land.naver.com/articles/2651708550", "매물Link")</f>
        <v/>
      </c>
      <c r="Q508" s="6">
        <f>HYPERLINK("https://map.naver.com/p/search/조치원읍 죽림리 47-7", "지도Link")</f>
        <v/>
      </c>
      <c r="R508" s="6">
        <f>HYPERLINK("http://www.eum.go.kr/web/ar/lu/luLandDet.jsp?pnu=3611025030100470007&amp;isNoScr=script&amp;mode=search",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262.5</v>
      </c>
      <c r="V508" s="4" t="n">
        <v>159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48-2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21000</v>
      </c>
      <c r="H509" s="4" t="n">
        <v>0</v>
      </c>
      <c r="I509" s="4" t="n">
        <v>210</v>
      </c>
      <c r="J509" s="4" t="n">
        <v>64</v>
      </c>
      <c r="K509" s="5" t="n">
        <v>328.1</v>
      </c>
      <c r="L509" s="4" t="n">
        <v>80</v>
      </c>
      <c r="M509" s="4" t="n">
        <v>24</v>
      </c>
      <c r="N509" s="5" t="n">
        <v>875</v>
      </c>
      <c r="O509" s="3" t="inlineStr">
        <is>
          <t>죽림리 위치 좋은곳 단독주택</t>
        </is>
      </c>
      <c r="P509" s="6">
        <f>HYPERLINK("https://fin.land.naver.com/articles/2653156364", "매물Link")</f>
        <v/>
      </c>
      <c r="Q509" s="6">
        <f>HYPERLINK("https://map.naver.com/p/search/조치원읍 죽림리 48-2", "지도Link")</f>
        <v/>
      </c>
      <c r="R509" s="6">
        <f>HYPERLINK("http://www.eum.go.kr/web/ar/lu/luLandDet.jsp?pnu=3611025030100480002&amp;isNoScr=script&amp;mode=search", "토지이음")</f>
        <v/>
      </c>
      <c r="S509" s="3" t="inlineStr">
        <is>
          <t>KB세종</t>
        </is>
      </c>
      <c r="T509" s="4" t="n">
        <v>1</v>
      </c>
      <c r="U509" s="5" t="n">
        <v>262.5</v>
      </c>
      <c r="V509" s="4" t="n">
        <v>210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조치원읍 죽림리 50-1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18000</v>
      </c>
      <c r="H510" s="4" t="n">
        <v>0</v>
      </c>
      <c r="I510" s="4" t="n">
        <v>117</v>
      </c>
      <c r="J510" s="4" t="n">
        <v>35</v>
      </c>
      <c r="K510" s="5" t="n">
        <v>514.3</v>
      </c>
      <c r="L510" s="4" t="n">
        <v>61</v>
      </c>
      <c r="M510" s="4" t="n">
        <v>18</v>
      </c>
      <c r="N510" s="5" t="n">
        <v>1000</v>
      </c>
      <c r="O510" s="3" t="inlineStr">
        <is>
          <t>급매 공가</t>
        </is>
      </c>
      <c r="P510" s="6">
        <f>HYPERLINK("https://fin.land.naver.com/articles/2652059240", "매물Link")</f>
        <v/>
      </c>
      <c r="Q510" s="6">
        <f>HYPERLINK("https://map.naver.com/p/search/조치원읍 죽림리 50-1", "지도Link")</f>
        <v/>
      </c>
      <c r="R510" s="6">
        <f>HYPERLINK("http://www.eum.go.kr/web/ar/lu/luLandDet.jsp?pnu=3611025030100500001&amp;isNoScr=script&amp;mode=search", "토지이음")</f>
        <v/>
      </c>
      <c r="S510" s="3" t="inlineStr">
        <is>
          <t>제일</t>
        </is>
      </c>
      <c r="T510" s="4" t="n">
        <v>1</v>
      </c>
      <c r="U510" s="5" t="n">
        <v>262.5</v>
      </c>
      <c r="V510" s="4" t="n">
        <v>117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조치원읍 죽림리 50-16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단독</t>
        </is>
      </c>
      <c r="F511" s="3" t="inlineStr">
        <is>
          <t>매매</t>
        </is>
      </c>
      <c r="G511" s="4" t="n">
        <v>13000</v>
      </c>
      <c r="H511" s="4" t="n">
        <v>0</v>
      </c>
      <c r="I511" s="4" t="n">
        <v>121</v>
      </c>
      <c r="J511" s="4" t="n">
        <v>37</v>
      </c>
      <c r="K511" s="5" t="n">
        <v>351.4</v>
      </c>
      <c r="L511" s="4" t="n">
        <v>60</v>
      </c>
      <c r="M511" s="4" t="n">
        <v>18</v>
      </c>
      <c r="N511" s="5" t="n">
        <v>722.2</v>
      </c>
      <c r="O511" s="3" t="inlineStr">
        <is>
          <t>죽림리 위치 좋은 주택</t>
        </is>
      </c>
      <c r="P511" s="6">
        <f>HYPERLINK("https://fin.land.naver.com/articles/2649728501", "매물Link")</f>
        <v/>
      </c>
      <c r="Q511" s="6">
        <f>HYPERLINK("https://map.naver.com/p/search/조치원읍 죽림리 50-16", "지도Link")</f>
        <v/>
      </c>
      <c r="R511" s="6">
        <f>HYPERLINK("http://www.eum.go.kr/web/ar/lu/luLandDet.jsp?pnu=3611025030100500016&amp;isNoScr=script&amp;mode=search", "토지이음")</f>
        <v/>
      </c>
      <c r="S511" s="3" t="inlineStr">
        <is>
          <t>KB세종</t>
        </is>
      </c>
      <c r="T511" s="4" t="n">
        <v>1</v>
      </c>
      <c r="U511" s="5" t="n">
        <v>196.1</v>
      </c>
      <c r="V511" s="4" t="n">
        <v>121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조치원읍 죽림리 67-9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단독</t>
        </is>
      </c>
      <c r="F512" s="3" t="inlineStr">
        <is>
          <t>매매</t>
        </is>
      </c>
      <c r="G512" s="4" t="n">
        <v>15000</v>
      </c>
      <c r="H512" s="4" t="n">
        <v>0</v>
      </c>
      <c r="I512" s="4" t="n">
        <v>156</v>
      </c>
      <c r="J512" s="4" t="n">
        <v>47</v>
      </c>
      <c r="K512" s="5" t="n">
        <v>319.1</v>
      </c>
      <c r="L512" s="4" t="n">
        <v>71</v>
      </c>
      <c r="M512" s="4" t="n">
        <v>21</v>
      </c>
      <c r="N512" s="5" t="n">
        <v>714.3</v>
      </c>
      <c r="O512" s="3" t="inlineStr">
        <is>
          <t>리모델링완료, 마당. 텃밭있음  월세60만원 수익형매물, 입주조율가능</t>
        </is>
      </c>
      <c r="P512" s="6">
        <f>HYPERLINK("https://fin.land.naver.com/articles/2651058896", "매물Link")</f>
        <v/>
      </c>
      <c r="Q512" s="6">
        <f>HYPERLINK("https://map.naver.com/p/search/조치원읍 죽림리 67-9", "지도Link")</f>
        <v/>
      </c>
      <c r="R512" s="6">
        <f>HYPERLINK("http://www.eum.go.kr/web/ar/lu/luLandDet.jsp?pnu=3611025030100670009&amp;isNoScr=script&amp;mode=search", "토지이음")</f>
        <v/>
      </c>
      <c r="S512" s="3" t="inlineStr">
        <is>
          <t>그래그</t>
        </is>
      </c>
      <c r="T512" s="4" t="n">
        <v>5</v>
      </c>
      <c r="U512" s="5" t="n">
        <v>150.5</v>
      </c>
      <c r="V512" s="4" t="n">
        <v>156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세로한면(불)</t>
        </is>
      </c>
    </row>
    <row r="513">
      <c r="A513" s="3" t="inlineStr">
        <is>
          <t>조치원읍 침산리 110-6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25000</v>
      </c>
      <c r="H513" s="4" t="n">
        <v>0</v>
      </c>
      <c r="I513" s="4" t="n">
        <v>301</v>
      </c>
      <c r="J513" s="4" t="n">
        <v>91</v>
      </c>
      <c r="K513" s="5" t="n">
        <v>274.7</v>
      </c>
      <c r="L513" s="4" t="n">
        <v>114</v>
      </c>
      <c r="M513" s="4" t="n">
        <v>34</v>
      </c>
      <c r="N513" s="5" t="n">
        <v>735.3</v>
      </c>
      <c r="O513" s="3" t="inlineStr">
        <is>
          <t>단독 주택 매매</t>
        </is>
      </c>
      <c r="P513" s="6">
        <f>HYPERLINK("https://fin.land.naver.com/articles/2650475545", "매물Link")</f>
        <v/>
      </c>
      <c r="Q513" s="6">
        <f>HYPERLINK("https://map.naver.com/p/search/조치원읍 침산리 110-6", "지도Link")</f>
        <v/>
      </c>
      <c r="R513" s="6">
        <f>HYPERLINK("http://www.eum.go.kr/web/ar/lu/luLandDet.jsp?pnu=3611025028101100006&amp;isNoScr=script&amp;mode=search", "토지이음")</f>
        <v/>
      </c>
      <c r="S513" s="3" t="inlineStr">
        <is>
          <t>세종공감</t>
        </is>
      </c>
      <c r="T513" s="4" t="n">
        <v>1</v>
      </c>
      <c r="U513" s="5" t="n">
        <v>167.8</v>
      </c>
      <c r="V513" s="4" t="n">
        <v>301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세로한면(불)</t>
        </is>
      </c>
    </row>
    <row r="514">
      <c r="A514" s="3" t="inlineStr">
        <is>
          <t>조치원읍 침산리 130-20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6500</v>
      </c>
      <c r="H514" s="4" t="n">
        <v>0</v>
      </c>
      <c r="I514" s="4" t="n">
        <v>142</v>
      </c>
      <c r="J514" s="4" t="n">
        <v>43</v>
      </c>
      <c r="K514" s="5" t="n">
        <v>151.2</v>
      </c>
      <c r="L514" s="4" t="n">
        <v>43</v>
      </c>
      <c r="M514" s="4" t="n">
        <v>13</v>
      </c>
      <c r="N514" s="5" t="n">
        <v>500</v>
      </c>
      <c r="O514" s="3" t="inlineStr">
        <is>
          <t>nan</t>
        </is>
      </c>
      <c r="P514" s="6">
        <f>HYPERLINK("https://fin.land.naver.com/articles/2647881030", "매물Link")</f>
        <v/>
      </c>
      <c r="Q514" s="6">
        <f>HYPERLINK("https://map.naver.com/p/search/조치원읍 침산리 130-20", "지도Link")</f>
        <v/>
      </c>
      <c r="R514" s="6">
        <f>HYPERLINK("http://www.eum.go.kr/web/ar/lu/luLandDet.jsp?pnu=3611025028101300020&amp;isNoScr=script&amp;mode=search", "토지이음")</f>
        <v/>
      </c>
      <c r="S514" s="3" t="inlineStr">
        <is>
          <t>새둥지</t>
        </is>
      </c>
      <c r="T514" s="4" t="n">
        <v>1</v>
      </c>
      <c r="U514" s="5" t="n">
        <v>173</v>
      </c>
      <c r="V514" s="4" t="n">
        <v>142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세로한면(불)</t>
        </is>
      </c>
    </row>
    <row r="515">
      <c r="A515" s="3" t="inlineStr">
        <is>
          <t>조치원읍 침산리 144-9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상가주택</t>
        </is>
      </c>
      <c r="F515" s="3" t="inlineStr">
        <is>
          <t>매매</t>
        </is>
      </c>
      <c r="G515" s="4" t="n">
        <v>52000</v>
      </c>
      <c r="H515" s="4" t="n">
        <v>0</v>
      </c>
      <c r="I515" s="4" t="n">
        <v>129</v>
      </c>
      <c r="J515" s="4" t="n">
        <v>39</v>
      </c>
      <c r="K515" s="5" t="n">
        <v>1333.3</v>
      </c>
      <c r="L515" s="4" t="n">
        <v>144</v>
      </c>
      <c r="M515" s="4" t="n">
        <v>44</v>
      </c>
      <c r="N515" s="5" t="n">
        <v>1181.8</v>
      </c>
      <c r="O515" s="3" t="inlineStr">
        <is>
          <t>조치원역 서쪽 4차선 도로접함 1층 상가 2층 주택이용하실분 추천</t>
        </is>
      </c>
      <c r="P515" s="6">
        <f>HYPERLINK("https://fin.land.naver.com/articles/2652881315", "매물Link")</f>
        <v/>
      </c>
      <c r="Q515" s="6">
        <f>HYPERLINK("https://map.naver.com/p/search/조치원읍 침산리 144-9", "지도Link")</f>
        <v/>
      </c>
      <c r="R515" s="6">
        <f>HYPERLINK("http://www.eum.go.kr/web/ar/lu/luLandDet.jsp?pnu=3611025028101440009&amp;isNoScr=script&amp;mode=search",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404.6</v>
      </c>
      <c r="V515" s="4" t="n">
        <v>129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중로한면</t>
        </is>
      </c>
    </row>
    <row r="516">
      <c r="A516" s="3" t="inlineStr">
        <is>
          <t>조치원읍 침산리 145-3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</v>
      </c>
      <c r="H516" s="4" t="n">
        <v>40</v>
      </c>
      <c r="I516" s="4" t="n">
        <v>49</v>
      </c>
      <c r="J516" s="4" t="n">
        <v>15</v>
      </c>
      <c r="K516" s="5" t="n">
        <v>2.7</v>
      </c>
      <c r="L516" s="4" t="n">
        <v>49</v>
      </c>
      <c r="M516" s="4" t="n">
        <v>15</v>
      </c>
      <c r="N516" s="5" t="n">
        <v>2.7</v>
      </c>
      <c r="O516" s="3" t="inlineStr">
        <is>
          <t>조치원역 후문 올리모델링 되어 있는 룸 입니다.</t>
        </is>
      </c>
      <c r="P516" s="6">
        <f>HYPERLINK("https://fin.land.naver.com/articles/2652694071", "매물Link")</f>
        <v/>
      </c>
      <c r="Q516" s="6">
        <f>HYPERLINK("https://map.naver.com/p/search/조치원읍 침산리 145-3", "지도Link")</f>
        <v/>
      </c>
      <c r="R516" s="6">
        <f>HYPERLINK("http://www.eum.go.kr/web/ar/lu/luLandDet.jsp?pnu=3611025028101450003&amp;isNoScr=script&amp;mode=search", "토지이음")</f>
        <v/>
      </c>
      <c r="S516" s="3" t="inlineStr">
        <is>
          <t>행복을만드는</t>
        </is>
      </c>
      <c r="T516" s="4" t="n">
        <v>1</v>
      </c>
      <c r="U516" s="5" t="n">
        <v>404.6</v>
      </c>
      <c r="V516" s="4" t="n">
        <v>358</v>
      </c>
      <c r="W516" s="3" t="inlineStr">
        <is>
          <t>지정되지않음</t>
        </is>
      </c>
      <c r="X516" s="3" t="inlineStr">
        <is>
          <t>주상용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중로한면</t>
        </is>
      </c>
    </row>
    <row r="517">
      <c r="A517" s="3" t="inlineStr">
        <is>
          <t>조치원읍 침산리 145-3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35</v>
      </c>
      <c r="I517" s="4" t="n">
        <v>49</v>
      </c>
      <c r="J517" s="4" t="n">
        <v>15</v>
      </c>
      <c r="K517" s="5" t="n">
        <v>2.3</v>
      </c>
      <c r="L517" s="4" t="n">
        <v>49</v>
      </c>
      <c r="M517" s="4" t="n">
        <v>15</v>
      </c>
      <c r="N517" s="5" t="n">
        <v>2.3</v>
      </c>
      <c r="O517" s="3" t="inlineStr">
        <is>
          <t>조치원역 후문 올리모델링 되어 있는 투베이 입니다.</t>
        </is>
      </c>
      <c r="P517" s="6">
        <f>HYPERLINK("https://fin.land.naver.com/articles/2652695801", "매물Link")</f>
        <v/>
      </c>
      <c r="Q517" s="6">
        <f>HYPERLINK("https://map.naver.com/p/search/조치원읍 침산리 145-3", "지도Link")</f>
        <v/>
      </c>
      <c r="R517" s="6">
        <f>HYPERLINK("http://www.eum.go.kr/web/ar/lu/luLandDet.jsp?pnu=3611025028101450003&amp;isNoScr=script&amp;mode=search", "토지이음")</f>
        <v/>
      </c>
      <c r="S517" s="3" t="inlineStr">
        <is>
          <t>행복을만드는</t>
        </is>
      </c>
      <c r="T517" s="4" t="n">
        <v>1</v>
      </c>
      <c r="U517" s="5" t="n">
        <v>404.6</v>
      </c>
      <c r="V517" s="4" t="n">
        <v>358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중로한면</t>
        </is>
      </c>
    </row>
    <row r="518">
      <c r="A518" s="3" t="inlineStr">
        <is>
          <t>조치원읍 침산리 145-3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300</v>
      </c>
      <c r="H518" s="4" t="n">
        <v>38</v>
      </c>
      <c r="I518" s="4" t="n">
        <v>49</v>
      </c>
      <c r="J518" s="4" t="n">
        <v>15</v>
      </c>
      <c r="K518" s="5" t="n">
        <v>2.5</v>
      </c>
      <c r="L518" s="4" t="n">
        <v>49</v>
      </c>
      <c r="M518" s="4" t="n">
        <v>15</v>
      </c>
      <c r="N518" s="5" t="n">
        <v>2.5</v>
      </c>
      <c r="O518" s="3" t="inlineStr">
        <is>
          <t>조치원역 후문 올리모델링 되어 있는 투베이 입니다.</t>
        </is>
      </c>
      <c r="P518" s="6">
        <f>HYPERLINK("https://fin.land.naver.com/articles/2652696838", "매물Link")</f>
        <v/>
      </c>
      <c r="Q518" s="6">
        <f>HYPERLINK("https://map.naver.com/p/search/조치원읍 침산리 145-3", "지도Link")</f>
        <v/>
      </c>
      <c r="R518" s="6">
        <f>HYPERLINK("http://www.eum.go.kr/web/ar/lu/luLandDet.jsp?pnu=3611025028101450003&amp;isNoScr=script&amp;mode=search", "토지이음")</f>
        <v/>
      </c>
      <c r="S518" s="3" t="inlineStr">
        <is>
          <t>행복을만드는</t>
        </is>
      </c>
      <c r="T518" s="4" t="n">
        <v>1</v>
      </c>
      <c r="U518" s="5" t="n">
        <v>404.6</v>
      </c>
      <c r="V518" s="4" t="n">
        <v>358</v>
      </c>
      <c r="W518" s="3" t="inlineStr">
        <is>
          <t>지정되지않음</t>
        </is>
      </c>
      <c r="X518" s="3" t="inlineStr">
        <is>
          <t>주상용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중로한면</t>
        </is>
      </c>
    </row>
    <row r="519">
      <c r="A519" s="3" t="inlineStr">
        <is>
          <t>조치원읍 침산리 153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35</v>
      </c>
      <c r="I519" s="4" t="n">
        <v>30</v>
      </c>
      <c r="J519" s="4" t="n">
        <v>9</v>
      </c>
      <c r="K519" s="5" t="n">
        <v>3.9</v>
      </c>
      <c r="L519" s="4" t="n">
        <v>25</v>
      </c>
      <c r="M519" s="4" t="n">
        <v>8</v>
      </c>
      <c r="N519" s="5" t="n">
        <v>4.4</v>
      </c>
      <c r="O519" s="3" t="inlineStr">
        <is>
          <t>조치원역 인근 미니투룸 월세</t>
        </is>
      </c>
      <c r="P519" s="6">
        <f>HYPERLINK("https://fin.land.naver.com/articles/2652540224", "매물Link")</f>
        <v/>
      </c>
      <c r="Q519" s="6">
        <f>HYPERLINK("https://map.naver.com/p/search/조치원읍 침산리 153", "지도Link")</f>
        <v/>
      </c>
      <c r="R519" s="6">
        <f>HYPERLINK("http://www.eum.go.kr/web/ar/lu/luLandDet.jsp?pnu=3611025028101530000&amp;isNoScr=script&amp;mode=search", "토지이음")</f>
        <v/>
      </c>
      <c r="S519" s="3" t="inlineStr">
        <is>
          <t>무지개</t>
        </is>
      </c>
      <c r="T519" s="4" t="n">
        <v>1</v>
      </c>
      <c r="U519" s="5" t="n">
        <v>155.1</v>
      </c>
      <c r="V519" s="4" t="n">
        <v>220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완경사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조치원읍 침산리 166-57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120000</v>
      </c>
      <c r="H520" s="4" t="n">
        <v>0</v>
      </c>
      <c r="I520" s="4" t="n">
        <v>383</v>
      </c>
      <c r="J520" s="4" t="n">
        <v>116</v>
      </c>
      <c r="K520" s="5" t="n">
        <v>1034.5</v>
      </c>
      <c r="L520" s="4" t="n">
        <v>198</v>
      </c>
      <c r="M520" s="4" t="n">
        <v>60</v>
      </c>
      <c r="N520" s="5" t="n">
        <v>2000</v>
      </c>
      <c r="O520" s="3" t="inlineStr">
        <is>
          <t>nan</t>
        </is>
      </c>
      <c r="P520" s="6">
        <f>HYPERLINK("https://fin.land.naver.com/articles/2651570688", "매물Link")</f>
        <v/>
      </c>
      <c r="Q520" s="6">
        <f>HYPERLINK("https://map.naver.com/p/search/조치원읍 침산리 166-57", "지도Link")</f>
        <v/>
      </c>
      <c r="R520" s="6">
        <f>HYPERLINK("http://www.eum.go.kr/web/ar/lu/luLandDet.jsp?pnu=3611025028101660057&amp;isNoScr=script&amp;mode=search", "토지이음")</f>
        <v/>
      </c>
      <c r="S520" s="3" t="inlineStr">
        <is>
          <t>여기로</t>
        </is>
      </c>
      <c r="T520" s="4" t="n">
        <v>1</v>
      </c>
      <c r="U520" s="5" t="n">
        <v>233.7</v>
      </c>
      <c r="V520" s="4" t="n">
        <v>383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조치원읍 침산리 219-5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500</v>
      </c>
      <c r="H521" s="4" t="n">
        <v>58</v>
      </c>
      <c r="I521" s="4" t="n">
        <v>36</v>
      </c>
      <c r="J521" s="4" t="n">
        <v>11</v>
      </c>
      <c r="K521" s="5" t="n">
        <v>5.3</v>
      </c>
      <c r="L521" s="4" t="n">
        <v>36</v>
      </c>
      <c r="M521" s="4" t="n">
        <v>11</v>
      </c>
      <c r="N521" s="5" t="n">
        <v>5.3</v>
      </c>
      <c r="O521" s="3" t="inlineStr">
        <is>
          <t>투룸 침산리 하이마트근처 편의시설 많음</t>
        </is>
      </c>
      <c r="P521" s="6">
        <f>HYPERLINK("https://fin.land.naver.com/articles/2650357638", "매물Link")</f>
        <v/>
      </c>
      <c r="Q521" s="6">
        <f>HYPERLINK("https://map.naver.com/p/search/조치원읍 침산리 219-5", "지도Link")</f>
        <v/>
      </c>
      <c r="R521" s="6">
        <f>HYPERLINK("http://www.eum.go.kr/web/ar/lu/luLandDet.jsp?pnu=3611025028102190005&amp;isNoScr=script&amp;mode=search",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210.2</v>
      </c>
      <c r="V521" s="4" t="n">
        <v>380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자루형</t>
        </is>
      </c>
      <c r="AA521" s="3" t="inlineStr">
        <is>
          <t>세로한면(가)</t>
        </is>
      </c>
    </row>
    <row r="522">
      <c r="A522" s="3" t="inlineStr">
        <is>
          <t>조치원읍 침산리 219-5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0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500</v>
      </c>
      <c r="H522" s="4" t="n">
        <v>65</v>
      </c>
      <c r="I522" s="4" t="n">
        <v>46</v>
      </c>
      <c r="J522" s="4" t="n">
        <v>14</v>
      </c>
      <c r="K522" s="5" t="n">
        <v>4.6</v>
      </c>
      <c r="L522" s="4" t="n">
        <v>39</v>
      </c>
      <c r="M522" s="4" t="n">
        <v>12</v>
      </c>
      <c r="N522" s="5" t="n">
        <v>5.4</v>
      </c>
      <c r="O522" s="3" t="inlineStr">
        <is>
          <t>귀한 투룸.도도리파크앞.즉시입주 가능.</t>
        </is>
      </c>
      <c r="P522" s="6">
        <f>HYPERLINK("https://fin.land.naver.com/articles/2650140429", "매물Link")</f>
        <v/>
      </c>
      <c r="Q522" s="6">
        <f>HYPERLINK("https://map.naver.com/p/search/조치원읍 침산리 219-5", "지도Link")</f>
        <v/>
      </c>
      <c r="R522" s="6">
        <f>HYPERLINK("http://www.eum.go.kr/web/ar/lu/luLandDet.jsp?pnu=3611025028102190005&amp;isNoScr=script&amp;mode=search",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210.2</v>
      </c>
      <c r="V522" s="4" t="n">
        <v>380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자루형</t>
        </is>
      </c>
      <c r="AA522" s="3" t="inlineStr">
        <is>
          <t>세로한면(가)</t>
        </is>
      </c>
    </row>
    <row r="523">
      <c r="A523" s="3" t="inlineStr">
        <is>
          <t>조치원읍 침산리 251-2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28</v>
      </c>
      <c r="J523" s="4" t="n">
        <v>8</v>
      </c>
      <c r="K523" s="5" t="n">
        <v>4</v>
      </c>
      <c r="L523" s="4" t="n">
        <v>25</v>
      </c>
      <c r="M523" s="4" t="n">
        <v>8</v>
      </c>
      <c r="N523" s="5" t="n">
        <v>4</v>
      </c>
      <c r="O523" s="3" t="inlineStr">
        <is>
          <t>분리형 원룸. 관리잘되는 원룸 입주하세요. 10월12일이후가능</t>
        </is>
      </c>
      <c r="P523" s="6">
        <f>HYPERLINK("https://fin.land.naver.com/articles/2650462032", "매물Link")</f>
        <v/>
      </c>
      <c r="Q523" s="6">
        <f>HYPERLINK("https://map.naver.com/p/search/조치원읍 침산리 251-2", "지도Link")</f>
        <v/>
      </c>
      <c r="R523" s="6">
        <f>HYPERLINK("http://www.eum.go.kr/web/ar/lu/luLandDet.jsp?pnu=3611025028102510002&amp;isNoScr=script&amp;mode=search", "토지이음")</f>
        <v/>
      </c>
      <c r="S523" s="3" t="inlineStr">
        <is>
          <t>이음</t>
        </is>
      </c>
      <c r="T523" s="4" t="n">
        <v>1</v>
      </c>
      <c r="U523" s="5" t="n">
        <v>526</v>
      </c>
      <c r="V523" s="4" t="n">
        <v>271.1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중로한면</t>
        </is>
      </c>
    </row>
    <row r="524">
      <c r="A524" s="3" t="inlineStr">
        <is>
          <t>조치원읍 침산리 251-4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19</v>
      </c>
      <c r="J524" s="4" t="n">
        <v>6</v>
      </c>
      <c r="K524" s="5" t="n">
        <v>5</v>
      </c>
      <c r="L524" s="4" t="n">
        <v>13</v>
      </c>
      <c r="M524" s="4" t="n">
        <v>4</v>
      </c>
      <c r="N524" s="5" t="n">
        <v>7.5</v>
      </c>
      <c r="O524" s="3" t="inlineStr">
        <is>
          <t>입주는 계약 후 2~3일내</t>
        </is>
      </c>
      <c r="P524" s="6">
        <f>HYPERLINK("https://fin.land.naver.com/articles/2647839482", "매물Link")</f>
        <v/>
      </c>
      <c r="Q524" s="6">
        <f>HYPERLINK("https://map.naver.com/p/search/조치원읍 침산리 251-4", "지도Link")</f>
        <v/>
      </c>
      <c r="R524" s="6">
        <f>HYPERLINK("http://www.eum.go.kr/web/ar/lu/luLandDet.jsp?pnu=3611025028102510004&amp;isNoScr=script&amp;mode=search",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526</v>
      </c>
      <c r="V524" s="4" t="n">
        <v>277.6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중로한면</t>
        </is>
      </c>
    </row>
    <row r="525">
      <c r="A525" s="3" t="inlineStr">
        <is>
          <t>조치원읍 침산리 251-6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월세</t>
        </is>
      </c>
      <c r="G525" s="4" t="n">
        <v>300</v>
      </c>
      <c r="H525" s="4" t="n">
        <v>55</v>
      </c>
      <c r="I525" s="4" t="n">
        <v>39</v>
      </c>
      <c r="J525" s="4" t="n">
        <v>12</v>
      </c>
      <c r="K525" s="5" t="n">
        <v>4.6</v>
      </c>
      <c r="L525" s="4" t="n">
        <v>39</v>
      </c>
      <c r="M525" s="4" t="n">
        <v>12</v>
      </c>
      <c r="N525" s="5" t="n">
        <v>4.6</v>
      </c>
      <c r="O525" s="3" t="inlineStr">
        <is>
          <t>침산리 투룸 월세 고려대 인접 상권 인프라 완벽한 화성타운</t>
        </is>
      </c>
      <c r="P525" s="6">
        <f>HYPERLINK("https://fin.land.naver.com/articles/2647479834", "매물Link")</f>
        <v/>
      </c>
      <c r="Q525" s="6">
        <f>HYPERLINK("https://map.naver.com/p/search/조치원읍 침산리 251-6", "지도Link")</f>
        <v/>
      </c>
      <c r="R525" s="6">
        <f>HYPERLINK("http://www.eum.go.kr/web/ar/lu/luLandDet.jsp?pnu=3611025028102510006&amp;isNoScr=script&amp;mode=search", "토지이음")</f>
        <v/>
      </c>
      <c r="S525" s="3" t="inlineStr">
        <is>
          <t>번암주공</t>
        </is>
      </c>
      <c r="T525" s="4" t="n">
        <v>1</v>
      </c>
      <c r="U525" s="5" t="n">
        <v>526</v>
      </c>
      <c r="V525" s="4" t="n">
        <v>277.7</v>
      </c>
      <c r="W525" s="3" t="inlineStr">
        <is>
          <t>지정되지않음</t>
        </is>
      </c>
      <c r="X525" s="3" t="inlineStr">
        <is>
          <t>주상용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중로한면</t>
        </is>
      </c>
    </row>
    <row r="526">
      <c r="A526" s="3" t="inlineStr">
        <is>
          <t>조치원읍 침산리 251-6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55</v>
      </c>
      <c r="I526" s="4" t="n">
        <v>130</v>
      </c>
      <c r="J526" s="4" t="n">
        <v>39</v>
      </c>
      <c r="K526" s="5" t="n">
        <v>1.4</v>
      </c>
      <c r="L526" s="4" t="n">
        <v>39</v>
      </c>
      <c r="M526" s="4" t="n">
        <v>12</v>
      </c>
      <c r="N526" s="5" t="n">
        <v>4.6</v>
      </c>
      <c r="O526" s="3" t="inlineStr">
        <is>
          <t>nan</t>
        </is>
      </c>
      <c r="P526" s="6">
        <f>HYPERLINK("https://fin.land.naver.com/articles/2647831340", "매물Link")</f>
        <v/>
      </c>
      <c r="Q526" s="6">
        <f>HYPERLINK("https://map.naver.com/p/search/조치원읍 침산리 251-6", "지도Link")</f>
        <v/>
      </c>
      <c r="R526" s="6">
        <f>HYPERLINK("http://www.eum.go.kr/web/ar/lu/luLandDet.jsp?pnu=3611025028102510006&amp;isNoScr=script&amp;mode=search", "토지이음")</f>
        <v/>
      </c>
      <c r="S526" s="3" t="inlineStr">
        <is>
          <t>한뜰금빛</t>
        </is>
      </c>
      <c r="T526" s="4" t="n">
        <v>1</v>
      </c>
      <c r="U526" s="5" t="n">
        <v>526</v>
      </c>
      <c r="V526" s="4" t="n">
        <v>277.7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252-8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29</v>
      </c>
      <c r="I527" s="4" t="n">
        <v>20</v>
      </c>
      <c r="J527" s="4" t="n">
        <v>6</v>
      </c>
      <c r="K527" s="5" t="n">
        <v>4.8</v>
      </c>
      <c r="L527" s="4" t="n">
        <v>20</v>
      </c>
      <c r="M527" s="4" t="n">
        <v>6</v>
      </c>
      <c r="N527" s="5" t="n">
        <v>4.8</v>
      </c>
      <c r="O527" s="3" t="inlineStr">
        <is>
          <t>원룸  일반인 학생추천 조치원역 도보가능합니다</t>
        </is>
      </c>
      <c r="P527" s="6">
        <f>HYPERLINK("https://fin.land.naver.com/articles/2649982954", "매물Link")</f>
        <v/>
      </c>
      <c r="Q527" s="6">
        <f>HYPERLINK("https://map.naver.com/p/search/조치원읍 침산리 252-8", "지도Link")</f>
        <v/>
      </c>
      <c r="R527" s="6">
        <f>HYPERLINK("http://www.eum.go.kr/web/ar/lu/luLandDet.jsp?pnu=3611025028102520008&amp;isNoScr=script&amp;mode=search", "토지이음")</f>
        <v/>
      </c>
      <c r="S527" s="3" t="inlineStr">
        <is>
          <t>OK수</t>
        </is>
      </c>
      <c r="T527" s="4" t="n">
        <v>1</v>
      </c>
      <c r="U527" s="5" t="n">
        <v>286.8</v>
      </c>
      <c r="V527" s="4" t="n">
        <v>348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254-1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45</v>
      </c>
      <c r="I528" s="4" t="n">
        <v>212</v>
      </c>
      <c r="J528" s="4" t="n">
        <v>64</v>
      </c>
      <c r="K528" s="5" t="n">
        <v>0.7</v>
      </c>
      <c r="L528" s="4" t="n">
        <v>26</v>
      </c>
      <c r="M528" s="4" t="n">
        <v>8</v>
      </c>
      <c r="N528" s="5" t="n">
        <v>5.6</v>
      </c>
      <c r="O528" s="3" t="inlineStr">
        <is>
          <t>투베이 분리형원룸 월세</t>
        </is>
      </c>
      <c r="P528" s="6">
        <f>HYPERLINK("https://fin.land.naver.com/articles/2650857746", "매물Link")</f>
        <v/>
      </c>
      <c r="Q528" s="6">
        <f>HYPERLINK("https://map.naver.com/p/search/조치원읍 침산리 254-1", "지도Link")</f>
        <v/>
      </c>
      <c r="R528" s="6">
        <f>HYPERLINK("http://www.eum.go.kr/web/ar/lu/luLandDet.jsp?pnu=3611025028102540001&amp;isNoScr=script&amp;mode=search",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526.6</v>
      </c>
      <c r="V528" s="4" t="n">
        <v>419.3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중로각지</t>
        </is>
      </c>
    </row>
    <row r="529">
      <c r="A529" s="3" t="inlineStr">
        <is>
          <t>조치원읍 침산리 254-1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41</v>
      </c>
      <c r="I529" s="4" t="n">
        <v>43</v>
      </c>
      <c r="J529" s="4" t="n">
        <v>13</v>
      </c>
      <c r="K529" s="5" t="n">
        <v>3.2</v>
      </c>
      <c r="L529" s="4" t="n">
        <v>43</v>
      </c>
      <c r="M529" s="4" t="n">
        <v>13</v>
      </c>
      <c r="N529" s="5" t="n">
        <v>3.2</v>
      </c>
      <c r="O529" s="3" t="inlineStr">
        <is>
          <t>분리형 원룸이며, 조치원시장, 조치원역 옆에 위치하여 교통 편리</t>
        </is>
      </c>
      <c r="P529" s="6">
        <f>HYPERLINK("https://fin.land.naver.com/articles/2651501048", "매물Link")</f>
        <v/>
      </c>
      <c r="Q529" s="6">
        <f>HYPERLINK("https://map.naver.com/p/search/조치원읍 침산리 254-1", "지도Link")</f>
        <v/>
      </c>
      <c r="R529" s="6">
        <f>HYPERLINK("http://www.eum.go.kr/web/ar/lu/luLandDet.jsp?pnu=3611025028102540001&amp;isNoScr=script&amp;mode=search",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526.6</v>
      </c>
      <c r="V529" s="4" t="n">
        <v>419.3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중로각지</t>
        </is>
      </c>
    </row>
    <row r="530">
      <c r="A530" s="3" t="inlineStr">
        <is>
          <t>조치원읍 침산리 254-1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41</v>
      </c>
      <c r="I530" s="4" t="n">
        <v>43</v>
      </c>
      <c r="J530" s="4" t="n">
        <v>13</v>
      </c>
      <c r="K530" s="5" t="n">
        <v>3.2</v>
      </c>
      <c r="L530" s="4" t="n">
        <v>43</v>
      </c>
      <c r="M530" s="4" t="n">
        <v>13</v>
      </c>
      <c r="N530" s="5" t="n">
        <v>3.2</v>
      </c>
      <c r="O530" s="3" t="inlineStr">
        <is>
          <t>깨끗하고 넓은 원룸.</t>
        </is>
      </c>
      <c r="P530" s="6">
        <f>HYPERLINK("https://fin.land.naver.com/articles/2648566340", "매물Link")</f>
        <v/>
      </c>
      <c r="Q530" s="6">
        <f>HYPERLINK("https://map.naver.com/p/search/조치원읍 침산리 254-1", "지도Link")</f>
        <v/>
      </c>
      <c r="R530" s="6">
        <f>HYPERLINK("http://www.eum.go.kr/web/ar/lu/luLandDet.jsp?pnu=3611025028102540001&amp;isNoScr=script&amp;mode=search",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526.6</v>
      </c>
      <c r="V530" s="4" t="n">
        <v>419.3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중로각지</t>
        </is>
      </c>
    </row>
    <row r="531">
      <c r="A531" s="3" t="inlineStr">
        <is>
          <t>조치원읍 침산리 254-1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500</v>
      </c>
      <c r="H531" s="4" t="n">
        <v>42</v>
      </c>
      <c r="I531" s="4" t="n">
        <v>0</v>
      </c>
      <c r="J531" s="4" t="n">
        <v>0</v>
      </c>
      <c r="K531" s="5" t="n">
        <v>0</v>
      </c>
      <c r="L531" s="4" t="n">
        <v>26</v>
      </c>
      <c r="M531" s="4" t="n">
        <v>8</v>
      </c>
      <c r="N531" s="5" t="n">
        <v>5.2</v>
      </c>
      <c r="O531" s="3" t="inlineStr">
        <is>
          <t>L조용한 위치 O투베이O 역3분</t>
        </is>
      </c>
      <c r="P531" s="6">
        <f>HYPERLINK("https://fin.land.naver.com/articles/2651114575", "매물Link")</f>
        <v/>
      </c>
      <c r="Q531" s="6">
        <f>HYPERLINK("https://map.naver.com/p/search/조치원읍 침산리 254-1", "지도Link")</f>
        <v/>
      </c>
      <c r="R531" s="6">
        <f>HYPERLINK("http://www.eum.go.kr/web/ar/lu/luLandDet.jsp?pnu=3611025028102540001&amp;isNoScr=script&amp;mode=search", "토지이음")</f>
        <v/>
      </c>
      <c r="S531" s="3" t="inlineStr">
        <is>
          <t>바다</t>
        </is>
      </c>
      <c r="T531" s="4" t="n">
        <v>1</v>
      </c>
      <c r="U531" s="5" t="n">
        <v>526.6</v>
      </c>
      <c r="V531" s="4" t="n">
        <v>419.3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중로각지</t>
        </is>
      </c>
    </row>
    <row r="532">
      <c r="A532" s="3" t="inlineStr">
        <is>
          <t>조치원읍 침산리 255-10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300</v>
      </c>
      <c r="H532" s="4" t="n">
        <v>30</v>
      </c>
      <c r="I532" s="4" t="n">
        <v>25</v>
      </c>
      <c r="J532" s="4" t="n">
        <v>8</v>
      </c>
      <c r="K532" s="5" t="n">
        <v>3.8</v>
      </c>
      <c r="L532" s="4" t="n">
        <v>22</v>
      </c>
      <c r="M532" s="4" t="n">
        <v>7</v>
      </c>
      <c r="N532" s="5" t="n">
        <v>4.3</v>
      </c>
      <c r="O532" s="3" t="inlineStr">
        <is>
          <t>nan</t>
        </is>
      </c>
      <c r="P532" s="6">
        <f>HYPERLINK("https://fin.land.naver.com/articles/2652783653", "매물Link")</f>
        <v/>
      </c>
      <c r="Q532" s="6">
        <f>HYPERLINK("https://map.naver.com/p/search/조치원읍 침산리 255-10", "지도Link")</f>
        <v/>
      </c>
      <c r="R532" s="6">
        <f>HYPERLINK("http://www.eum.go.kr/web/ar/lu/luLandDet.jsp?pnu=3611025028102550010&amp;isNoScr=script&amp;mode=search", "토지이음")</f>
        <v/>
      </c>
      <c r="S532" s="3" t="inlineStr">
        <is>
          <t>효자</t>
        </is>
      </c>
      <c r="T532" s="4" t="n">
        <v>1</v>
      </c>
      <c r="U532" s="5" t="n">
        <v>292.7</v>
      </c>
      <c r="V532" s="4" t="n">
        <v>251.7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조치원읍 침산리 255-12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상가주택</t>
        </is>
      </c>
      <c r="F533" s="3" t="inlineStr">
        <is>
          <t>매매</t>
        </is>
      </c>
      <c r="G533" s="4" t="n">
        <v>36000</v>
      </c>
      <c r="H533" s="4" t="n">
        <v>0</v>
      </c>
      <c r="I533" s="4" t="n">
        <v>217</v>
      </c>
      <c r="J533" s="4" t="n">
        <v>66</v>
      </c>
      <c r="K533" s="5" t="n">
        <v>545.5</v>
      </c>
      <c r="L533" s="4" t="n">
        <v>124</v>
      </c>
      <c r="M533" s="4" t="n">
        <v>38</v>
      </c>
      <c r="N533" s="5" t="n">
        <v>947.4</v>
      </c>
      <c r="O533" s="3" t="inlineStr">
        <is>
          <t>단층 건물 매매</t>
        </is>
      </c>
      <c r="P533" s="6">
        <f>HYPERLINK("https://fin.land.naver.com/articles/2651339266", "매물Link")</f>
        <v/>
      </c>
      <c r="Q533" s="6">
        <f>HYPERLINK("https://map.naver.com/p/search/조치원읍 침산리 255-12", "지도Link")</f>
        <v/>
      </c>
      <c r="R533" s="6">
        <f>HYPERLINK("http://www.eum.go.kr/web/ar/lu/luLandDet.jsp?pnu=3611025028102550012&amp;isNoScr=script&amp;mode=search",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292.7</v>
      </c>
      <c r="V533" s="4" t="n">
        <v>217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조치원읍 침산리 255-4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단기임대</t>
        </is>
      </c>
      <c r="G534" s="4" t="n">
        <v>200</v>
      </c>
      <c r="H534" s="4" t="n">
        <v>55</v>
      </c>
      <c r="I534" s="4" t="n">
        <v>46</v>
      </c>
      <c r="J534" s="4" t="n">
        <v>14</v>
      </c>
      <c r="K534" s="5" t="n">
        <v>14.3</v>
      </c>
      <c r="L534" s="4" t="n">
        <v>39</v>
      </c>
      <c r="M534" s="4" t="n">
        <v>12</v>
      </c>
      <c r="N534" s="5" t="n">
        <v>16.7</v>
      </c>
      <c r="O534" s="3" t="inlineStr">
        <is>
          <t>2인숙소.6개월 단기계약가능.에어컨2개.화장실2개</t>
        </is>
      </c>
      <c r="P534" s="6">
        <f>HYPERLINK("https://fin.land.naver.com/articles/2652556288", "매물Link")</f>
        <v/>
      </c>
      <c r="Q534" s="6">
        <f>HYPERLINK("https://map.naver.com/p/search/조치원읍 침산리 255-4", "지도Link")</f>
        <v/>
      </c>
      <c r="R534" s="6">
        <f>HYPERLINK("http://www.eum.go.kr/web/ar/lu/luLandDet.jsp?pnu=3611025028102550004&amp;isNoScr=script&amp;mode=search",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289.8</v>
      </c>
      <c r="V534" s="4" t="n">
        <v>216.9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45</v>
      </c>
      <c r="I535" s="4" t="n">
        <v>0</v>
      </c>
      <c r="J535" s="4" t="n">
        <v>0</v>
      </c>
      <c r="K535" s="5" t="n">
        <v>0</v>
      </c>
      <c r="L535" s="4" t="n">
        <v>33</v>
      </c>
      <c r="M535" s="4" t="n">
        <v>10</v>
      </c>
      <c r="N535" s="5" t="n">
        <v>4.5</v>
      </c>
      <c r="O535" s="3" t="inlineStr">
        <is>
          <t>화장실2개 에어컨 2개    2룸</t>
        </is>
      </c>
      <c r="P535" s="6">
        <f>HYPERLINK("https://fin.land.naver.com/articles/2649435819", "매물Link")</f>
        <v/>
      </c>
      <c r="Q535" s="6">
        <f>HYPERLINK("https://map.naver.com/p/search/조치원읍 침산리 255-4", "지도Link")</f>
        <v/>
      </c>
      <c r="R535" s="6">
        <f>HYPERLINK("http://www.eum.go.kr/web/ar/lu/luLandDet.jsp?pnu=3611025028102550004&amp;isNoScr=script&amp;mode=search",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289.8</v>
      </c>
      <c r="V535" s="4" t="n">
        <v>216.9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46</v>
      </c>
      <c r="J536" s="4" t="n">
        <v>14</v>
      </c>
      <c r="K536" s="5" t="n">
        <v>3.2</v>
      </c>
      <c r="L536" s="4" t="n">
        <v>39</v>
      </c>
      <c r="M536" s="4" t="n">
        <v>12</v>
      </c>
      <c r="N536" s="5" t="n">
        <v>3.8</v>
      </c>
      <c r="O536" s="3" t="inlineStr">
        <is>
          <t>원룸 2개구조. 2인숙소 강추.</t>
        </is>
      </c>
      <c r="P536" s="6">
        <f>HYPERLINK("https://fin.land.naver.com/articles/2649229081",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월세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1.2</v>
      </c>
      <c r="L537" s="4" t="n">
        <v>40</v>
      </c>
      <c r="M537" s="4" t="n">
        <v>12</v>
      </c>
      <c r="N537" s="5" t="n">
        <v>3.8</v>
      </c>
      <c r="O537" s="3" t="inlineStr">
        <is>
          <t>방2 화장실2</t>
        </is>
      </c>
      <c r="P537" s="6">
        <f>HYPERLINK("https://fin.land.naver.com/articles/2650123958",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256-11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26</v>
      </c>
      <c r="J538" s="4" t="n">
        <v>8</v>
      </c>
      <c r="K538" s="5" t="n">
        <v>3.8</v>
      </c>
      <c r="L538" s="4" t="n">
        <v>26</v>
      </c>
      <c r="M538" s="4" t="n">
        <v>8</v>
      </c>
      <c r="N538" s="5" t="n">
        <v>3.8</v>
      </c>
      <c r="O538" s="3" t="inlineStr">
        <is>
          <t>침산리 월세 풀옵션</t>
        </is>
      </c>
      <c r="P538" s="6">
        <f>HYPERLINK("https://fin.land.naver.com/articles/2652539762", "매물Link")</f>
        <v/>
      </c>
      <c r="Q538" s="6">
        <f>HYPERLINK("https://map.naver.com/p/search/조치원읍 침산리 256-11", "지도Link")</f>
        <v/>
      </c>
      <c r="R538" s="6">
        <f>HYPERLINK("http://www.eum.go.kr/web/ar/lu/luLandDet.jsp?pnu=3611025028102560011&amp;isNoScr=script&amp;mode=search",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633.1</v>
      </c>
      <c r="V538" s="4" t="n">
        <v>215.4</v>
      </c>
      <c r="W538" s="3" t="inlineStr">
        <is>
          <t>지정되지않음</t>
        </is>
      </c>
      <c r="X538" s="3" t="inlineStr">
        <is>
          <t>상업용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중로각지</t>
        </is>
      </c>
    </row>
    <row r="539">
      <c r="A539" s="3" t="inlineStr">
        <is>
          <t>조치원읍 침산리 257-10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월세</t>
        </is>
      </c>
      <c r="G539" s="4" t="n">
        <v>300</v>
      </c>
      <c r="H539" s="4" t="n">
        <v>43</v>
      </c>
      <c r="I539" s="4" t="n">
        <v>46</v>
      </c>
      <c r="J539" s="4" t="n">
        <v>14</v>
      </c>
      <c r="K539" s="5" t="n">
        <v>3.1</v>
      </c>
      <c r="L539" s="4" t="n">
        <v>46</v>
      </c>
      <c r="M539" s="4" t="n">
        <v>14</v>
      </c>
      <c r="N539" s="5" t="n">
        <v>3.1</v>
      </c>
      <c r="O539" s="3" t="inlineStr">
        <is>
          <t>깔끔하고 귀한 넓은 복층 투룸, 조용한 주거지역, 교통사정 원활</t>
        </is>
      </c>
      <c r="P539" s="6">
        <f>HYPERLINK("https://fin.land.naver.com/articles/2648521746", "매물Link")</f>
        <v/>
      </c>
      <c r="Q539" s="6">
        <f>HYPERLINK("https://map.naver.com/p/search/조치원읍 침산리 257-10", "지도Link")</f>
        <v/>
      </c>
      <c r="R539" s="6">
        <f>HYPERLINK("http://www.eum.go.kr/web/ar/lu/luLandDet.jsp?pnu=3611025028102570010&amp;isNoScr=script&amp;mode=search", "토지이음")</f>
        <v/>
      </c>
      <c r="S539" s="3" t="inlineStr">
        <is>
          <t>세종베스트</t>
        </is>
      </c>
      <c r="T539" s="4" t="n">
        <v>1</v>
      </c>
      <c r="U539" s="5" t="n">
        <v>339.8</v>
      </c>
      <c r="V539" s="4" t="n">
        <v>336.7</v>
      </c>
      <c r="W539" s="3" t="inlineStr">
        <is>
          <t>지정되지않음</t>
        </is>
      </c>
      <c r="X539" s="3" t="inlineStr">
        <is>
          <t>주상용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소로한면</t>
        </is>
      </c>
    </row>
    <row r="540">
      <c r="A540" s="3" t="inlineStr">
        <is>
          <t>조치원읍 침산리 257-15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5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4.4</v>
      </c>
      <c r="O540" s="3" t="inlineStr">
        <is>
          <t>L 엘베. 역3분. 넓은룸. 위치최고</t>
        </is>
      </c>
      <c r="P540" s="6">
        <f>HYPERLINK("https://fin.land.naver.com/articles/2651114560", "매물Link")</f>
        <v/>
      </c>
      <c r="Q540" s="6">
        <f>HYPERLINK("https://map.naver.com/p/search/조치원읍 침산리 257-15", "지도Link")</f>
        <v/>
      </c>
      <c r="R540" s="6">
        <f>HYPERLINK("http://www.eum.go.kr/web/ar/lu/luLandDet.jsp?pnu=3611025028102570015&amp;isNoScr=script&amp;mode=search",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336.2</v>
      </c>
      <c r="V540" s="4" t="n">
        <v>226.4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257-15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5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37</v>
      </c>
      <c r="I541" s="4" t="n">
        <v>42</v>
      </c>
      <c r="J541" s="4" t="n">
        <v>13</v>
      </c>
      <c r="K541" s="5" t="n">
        <v>2.8</v>
      </c>
      <c r="L541" s="4" t="n">
        <v>36</v>
      </c>
      <c r="M541" s="4" t="n">
        <v>11</v>
      </c>
      <c r="N541" s="5" t="n">
        <v>3.4</v>
      </c>
      <c r="O541" s="3" t="inlineStr">
        <is>
          <t>1.5룸.엘리베이터있는 건물.전자제품 옵션</t>
        </is>
      </c>
      <c r="P541" s="6">
        <f>HYPERLINK("https://fin.land.naver.com/articles/2651555465", "매물Link")</f>
        <v/>
      </c>
      <c r="Q541" s="6">
        <f>HYPERLINK("https://map.naver.com/p/search/조치원읍 침산리 257-15", "지도Link")</f>
        <v/>
      </c>
      <c r="R541" s="6">
        <f>HYPERLINK("http://www.eum.go.kr/web/ar/lu/luLandDet.jsp?pnu=3611025028102570015&amp;isNoScr=script&amp;mode=search",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336.2</v>
      </c>
      <c r="V541" s="4" t="n">
        <v>226.4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257-8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 즉시입주 단기가능</t>
        </is>
      </c>
      <c r="P542" s="6">
        <f>HYPERLINK("https://fin.land.naver.com/articles/2652373282", "매물Link")</f>
        <v/>
      </c>
      <c r="Q542" s="6">
        <f>HYPERLINK("https://map.naver.com/p/search/조치원읍 침산리 257-8", "지도Link")</f>
        <v/>
      </c>
      <c r="R542" s="6">
        <f>HYPERLINK("http://www.eum.go.kr/web/ar/lu/luLandDet.jsp?pnu=3611025028102570008&amp;isNoScr=script&amp;mode=search",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412.6</v>
      </c>
      <c r="V542" s="4" t="n">
        <v>292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세로각지(가)</t>
        </is>
      </c>
    </row>
    <row r="543">
      <c r="A543" s="3" t="inlineStr">
        <is>
          <t>조치원읍 침산리 258-1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27</v>
      </c>
      <c r="I543" s="4" t="n">
        <v>19</v>
      </c>
      <c r="J543" s="4" t="n">
        <v>6</v>
      </c>
      <c r="K543" s="5" t="n">
        <v>4.5</v>
      </c>
      <c r="L543" s="4" t="n">
        <v>19</v>
      </c>
      <c r="M543" s="4" t="n">
        <v>6</v>
      </c>
      <c r="N543" s="5" t="n">
        <v>4.5</v>
      </c>
      <c r="O543" s="3" t="inlineStr">
        <is>
          <t>분리형 원룸</t>
        </is>
      </c>
      <c r="P543" s="6">
        <f>HYPERLINK("https://fin.land.naver.com/articles/2653260357", "매물Link")</f>
        <v/>
      </c>
      <c r="Q543" s="6">
        <f>HYPERLINK("https://map.naver.com/p/search/조치원읍 침산리 258-1", "지도Link")</f>
        <v/>
      </c>
      <c r="R543" s="6">
        <f>HYPERLINK("http://www.eum.go.kr/web/ar/lu/luLandDet.jsp?pnu=3611025028102580001&amp;isNoScr=script&amp;mode=search", "토지이음")</f>
        <v/>
      </c>
      <c r="S543" s="3" t="inlineStr">
        <is>
          <t>골드</t>
        </is>
      </c>
      <c r="T543" s="4" t="n">
        <v>1</v>
      </c>
      <c r="U543" s="5" t="n">
        <v>346.8</v>
      </c>
      <c r="V543" s="4" t="n">
        <v>237.5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소로각지</t>
        </is>
      </c>
    </row>
    <row r="544">
      <c r="A544" s="3" t="inlineStr">
        <is>
          <t>조치원읍 침산리 258-7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5.3</v>
      </c>
      <c r="O544" s="3" t="inlineStr">
        <is>
          <t>인기좋은  풀옵션완비방   엘베설치   바로입주  주차편함</t>
        </is>
      </c>
      <c r="P544" s="6">
        <f>HYPERLINK("https://fin.land.naver.com/articles/2652207760", "매물Link")</f>
        <v/>
      </c>
      <c r="Q544" s="6">
        <f>HYPERLINK("https://map.naver.com/p/search/조치원읍 침산리 258-7", "지도Link")</f>
        <v/>
      </c>
      <c r="R544" s="6">
        <f>HYPERLINK("http://www.eum.go.kr/web/ar/lu/luLandDet.jsp?pnu=3611025028102580007&amp;isNoScr=script&amp;mode=search",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286.5</v>
      </c>
      <c r="V544" s="4" t="n">
        <v>328.6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조치원읍 침산리 265-11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150</v>
      </c>
      <c r="H545" s="4" t="n">
        <v>25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3.6</v>
      </c>
      <c r="O545" s="3" t="inlineStr">
        <is>
          <t>nan</t>
        </is>
      </c>
      <c r="P545" s="6">
        <f>HYPERLINK("https://fin.land.naver.com/articles/2649877584", "매물Link")</f>
        <v/>
      </c>
      <c r="Q545" s="6">
        <f>HYPERLINK("https://map.naver.com/p/search/조치원읍 침산리 265-11", "지도Link")</f>
        <v/>
      </c>
      <c r="R545" s="6">
        <f>HYPERLINK("http://www.eum.go.kr/web/ar/lu/luLandDet.jsp?pnu=3611025028102650011&amp;isNoScr=script&amp;mode=search",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415.5</v>
      </c>
      <c r="V545" s="4" t="n">
        <v>190.7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조치원읍 침산리 265-11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28</v>
      </c>
      <c r="I546" s="4" t="n">
        <v>0</v>
      </c>
      <c r="J546" s="4" t="n">
        <v>0</v>
      </c>
      <c r="K546" s="5" t="n">
        <v>0</v>
      </c>
      <c r="L546" s="4" t="n">
        <v>23</v>
      </c>
      <c r="M546" s="4" t="n">
        <v>7</v>
      </c>
      <c r="N546" s="5" t="n">
        <v>4</v>
      </c>
      <c r="O546" s="3" t="inlineStr">
        <is>
          <t>nan</t>
        </is>
      </c>
      <c r="P546" s="6">
        <f>HYPERLINK("https://fin.land.naver.com/articles/2648302133", "매물Link")</f>
        <v/>
      </c>
      <c r="Q546" s="6">
        <f>HYPERLINK("https://map.naver.com/p/search/조치원읍 침산리 265-11", "지도Link")</f>
        <v/>
      </c>
      <c r="R546" s="6">
        <f>HYPERLINK("http://www.eum.go.kr/web/ar/lu/luLandDet.jsp?pnu=3611025028102650011&amp;isNoScr=script&amp;mode=search",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415.5</v>
      </c>
      <c r="V546" s="4" t="n">
        <v>190.7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소로한면</t>
        </is>
      </c>
    </row>
    <row r="547">
      <c r="A547" s="3" t="inlineStr">
        <is>
          <t>조치원읍 침산리 265-9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300</v>
      </c>
      <c r="H547" s="4" t="n">
        <v>40</v>
      </c>
      <c r="I547" s="4" t="n">
        <v>30</v>
      </c>
      <c r="J547" s="4" t="n">
        <v>9</v>
      </c>
      <c r="K547" s="5" t="n">
        <v>4.4</v>
      </c>
      <c r="L547" s="4" t="n">
        <v>30</v>
      </c>
      <c r="M547" s="4" t="n">
        <v>9</v>
      </c>
      <c r="N547" s="5" t="n">
        <v>4.4</v>
      </c>
      <c r="O547" s="3" t="inlineStr">
        <is>
          <t>투베이 분리형 이사협의</t>
        </is>
      </c>
      <c r="P547" s="6">
        <f>HYPERLINK("https://fin.land.naver.com/articles/2648493335", "매물Link")</f>
        <v/>
      </c>
      <c r="Q547" s="6">
        <f>HYPERLINK("https://map.naver.com/p/search/조치원읍 침산리 265-9", "지도Link")</f>
        <v/>
      </c>
      <c r="R547" s="6">
        <f>HYPERLINK("http://www.eum.go.kr/web/ar/lu/luLandDet.jsp?pnu=3611025028102650009&amp;isNoScr=script&amp;mode=search", "토지이음")</f>
        <v/>
      </c>
      <c r="S547" s="3" t="inlineStr">
        <is>
          <t>김준희</t>
        </is>
      </c>
      <c r="T547" s="4" t="n">
        <v>1</v>
      </c>
      <c r="U547" s="5" t="n">
        <v>419.8</v>
      </c>
      <c r="V547" s="4" t="n">
        <v>274.8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266-12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100000</v>
      </c>
      <c r="H548" s="4" t="n">
        <v>0</v>
      </c>
      <c r="I548" s="4" t="n">
        <v>259</v>
      </c>
      <c r="J548" s="4" t="n">
        <v>78</v>
      </c>
      <c r="K548" s="5" t="n">
        <v>1282.1</v>
      </c>
      <c r="L548" s="4" t="n">
        <v>473</v>
      </c>
      <c r="M548" s="4" t="n">
        <v>143</v>
      </c>
      <c r="N548" s="5" t="n">
        <v>699.3</v>
      </c>
      <c r="O548" s="3" t="inlineStr">
        <is>
          <t>nan</t>
        </is>
      </c>
      <c r="P548" s="6">
        <f>HYPERLINK("https://fin.land.naver.com/articles/2649229764", "매물Link")</f>
        <v/>
      </c>
      <c r="Q548" s="6">
        <f>HYPERLINK("https://map.naver.com/p/search/조치원읍 침산리 266-12", "지도Link")</f>
        <v/>
      </c>
      <c r="R548" s="6">
        <f>HYPERLINK("http://www.eum.go.kr/web/ar/lu/luLandDet.jsp?pnu=3611025028102660012&amp;isNoScr=script&amp;mode=search", "토지이음")</f>
        <v/>
      </c>
      <c r="S548" s="3" t="inlineStr">
        <is>
          <t>김준희</t>
        </is>
      </c>
      <c r="T548" s="4" t="n">
        <v>1</v>
      </c>
      <c r="U548" s="5" t="n">
        <v>318.2</v>
      </c>
      <c r="V548" s="4" t="n">
        <v>259.5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266-13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4500</v>
      </c>
      <c r="H549" s="4" t="n">
        <v>0</v>
      </c>
      <c r="I549" s="4" t="n">
        <v>19</v>
      </c>
      <c r="J549" s="4" t="n">
        <v>6</v>
      </c>
      <c r="K549" s="5" t="n">
        <v>750</v>
      </c>
      <c r="L549" s="4" t="n">
        <v>19</v>
      </c>
      <c r="M549" s="4" t="n">
        <v>6</v>
      </c>
      <c r="N549" s="5" t="n">
        <v>750</v>
      </c>
      <c r="O549" s="3" t="inlineStr">
        <is>
          <t>원룸 전세,  LH도 가능</t>
        </is>
      </c>
      <c r="P549" s="6">
        <f>HYPERLINK("https://fin.land.naver.com/articles/2653258812", "매물Link")</f>
        <v/>
      </c>
      <c r="Q549" s="6">
        <f>HYPERLINK("https://map.naver.com/p/search/조치원읍 침산리 266-13", "지도Link")</f>
        <v/>
      </c>
      <c r="R549" s="6">
        <f>HYPERLINK("http://www.eum.go.kr/web/ar/lu/luLandDet.jsp?pnu=3611025028102660013&amp;isNoScr=script&amp;mode=search", "토지이음")</f>
        <v/>
      </c>
      <c r="S549" s="3" t="inlineStr">
        <is>
          <t>골드</t>
        </is>
      </c>
      <c r="T549" s="4" t="n">
        <v>1</v>
      </c>
      <c r="U549" s="5" t="n">
        <v>320.1</v>
      </c>
      <c r="V549" s="4" t="n">
        <v>284.8</v>
      </c>
      <c r="W549" s="3" t="inlineStr">
        <is>
          <t>지정되지않음</t>
        </is>
      </c>
      <c r="X549" s="3" t="inlineStr">
        <is>
          <t>주상용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조치원읍 침산리 266-14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115000</v>
      </c>
      <c r="H550" s="4" t="n">
        <v>0</v>
      </c>
      <c r="I550" s="4" t="n">
        <v>284</v>
      </c>
      <c r="J550" s="4" t="n">
        <v>86</v>
      </c>
      <c r="K550" s="5" t="n">
        <v>1337.2</v>
      </c>
      <c r="L550" s="4" t="n">
        <v>510</v>
      </c>
      <c r="M550" s="4" t="n">
        <v>154</v>
      </c>
      <c r="N550" s="5" t="n">
        <v>746.8</v>
      </c>
      <c r="O550" s="3" t="inlineStr">
        <is>
          <t>전 호실 월세 매수 후 바로 수익창출</t>
        </is>
      </c>
      <c r="P550" s="6">
        <f>HYPERLINK("https://fin.land.naver.com/articles/2648993403", "매물Link")</f>
        <v/>
      </c>
      <c r="Q550" s="6">
        <f>HYPERLINK("https://map.naver.com/p/search/조치원읍 침산리 266-14", "지도Link")</f>
        <v/>
      </c>
      <c r="R550" s="6">
        <f>HYPERLINK("http://www.eum.go.kr/web/ar/lu/luLandDet.jsp?pnu=3611025028102660014&amp;isNoScr=script&amp;mode=search", "토지이음")</f>
        <v/>
      </c>
      <c r="S550" s="3" t="inlineStr">
        <is>
          <t>김준희</t>
        </is>
      </c>
      <c r="T550" s="4" t="n">
        <v>1</v>
      </c>
      <c r="U550" s="5" t="n">
        <v>323.4</v>
      </c>
      <c r="V550" s="4" t="n">
        <v>162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소로한면</t>
        </is>
      </c>
    </row>
    <row r="551">
      <c r="A551" s="3" t="inlineStr">
        <is>
          <t>조치원읍 침산리 266-14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155</v>
      </c>
      <c r="J551" s="4" t="n">
        <v>47</v>
      </c>
      <c r="K551" s="5" t="n">
        <v>0.6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HYPERLINK("https://fin.land.naver.com/articles/2648071759", "매물Link")</f>
        <v/>
      </c>
      <c r="Q551" s="6">
        <f>HYPERLINK("https://map.naver.com/p/search/조치원읍 침산리 266-14", "지도Link")</f>
        <v/>
      </c>
      <c r="R551" s="6">
        <f>HYPERLINK("http://www.eum.go.kr/web/ar/lu/luLandDet.jsp?pnu=3611025028102660014&amp;isNoScr=script&amp;mode=search",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323.4</v>
      </c>
      <c r="V551" s="4" t="n">
        <v>162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소로한면</t>
        </is>
      </c>
    </row>
    <row r="552">
      <c r="A552" s="3" t="inlineStr">
        <is>
          <t>조치원읍 침산리 266-15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28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4</v>
      </c>
      <c r="O552" s="3" t="inlineStr">
        <is>
          <t>도배완료 소방서 맞은편  즉시입주가능</t>
        </is>
      </c>
      <c r="P552" s="6">
        <f>HYPERLINK("https://fin.land.naver.com/articles/2652854803", "매물Link")</f>
        <v/>
      </c>
      <c r="Q552" s="6">
        <f>HYPERLINK("https://map.naver.com/p/search/조치원읍 침산리 266-15", "지도Link")</f>
        <v/>
      </c>
      <c r="R552" s="6">
        <f>HYPERLINK("http://www.eum.go.kr/web/ar/lu/luLandDet.jsp?pnu=3611025028102660015&amp;isNoScr=script&amp;mode=search",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323.7</v>
      </c>
      <c r="V552" s="4" t="n">
        <v>227.3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조치원읍 침산리 266-4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150</v>
      </c>
      <c r="H553" s="4" t="n">
        <v>27</v>
      </c>
      <c r="I553" s="4" t="n">
        <v>0</v>
      </c>
      <c r="J553" s="4" t="n">
        <v>0</v>
      </c>
      <c r="K553" s="5" t="n">
        <v>0</v>
      </c>
      <c r="L553" s="4" t="n">
        <v>26</v>
      </c>
      <c r="M553" s="4" t="n">
        <v>8</v>
      </c>
      <c r="N553" s="5" t="n">
        <v>3.4</v>
      </c>
      <c r="O553" s="3" t="inlineStr">
        <is>
          <t>넓은1룸 O생활권굳 O역3분 O즉시입주가능</t>
        </is>
      </c>
      <c r="P553" s="6">
        <f>HYPERLINK("https://fin.land.naver.com/articles/2649915483", "매물Link")</f>
        <v/>
      </c>
      <c r="Q553" s="6">
        <f>HYPERLINK("https://map.naver.com/p/search/조치원읍 침산리 266-4", "지도Link")</f>
        <v/>
      </c>
      <c r="R553" s="6">
        <f>HYPERLINK("http://www.eum.go.kr/web/ar/lu/luLandDet.jsp?pnu=3611025028102660004&amp;isNoScr=script&amp;mode=search",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286.8</v>
      </c>
      <c r="V553" s="4" t="n">
        <v>214.1</v>
      </c>
      <c r="W553" s="3" t="inlineStr">
        <is>
          <t>지정되지않음</t>
        </is>
      </c>
      <c r="X553" s="3" t="inlineStr">
        <is>
          <t>주거기타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126</v>
      </c>
      <c r="J555" s="4" t="n">
        <v>38</v>
      </c>
      <c r="K555" s="5" t="n">
        <v>0.7</v>
      </c>
      <c r="L555" s="4" t="n">
        <v>23</v>
      </c>
      <c r="M555" s="4" t="n">
        <v>7</v>
      </c>
      <c r="N555" s="5" t="n">
        <v>3.9</v>
      </c>
      <c r="O555" s="3" t="inlineStr">
        <is>
          <t>nan</t>
        </is>
      </c>
      <c r="P555" s="6">
        <f>HYPERLINK("https://fin.land.naver.com/articles/2651344572",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상희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30</v>
      </c>
      <c r="I556" s="4" t="n">
        <v>23</v>
      </c>
      <c r="J556" s="4" t="n">
        <v>7</v>
      </c>
      <c r="K556" s="5" t="n">
        <v>4.3</v>
      </c>
      <c r="L556" s="4" t="n">
        <v>23</v>
      </c>
      <c r="M556" s="4" t="n">
        <v>7</v>
      </c>
      <c r="N556" s="5" t="n">
        <v>4.3</v>
      </c>
      <c r="O556" s="3" t="inlineStr">
        <is>
          <t>넓은방 원룸입니다.</t>
        </is>
      </c>
      <c r="P556" s="6">
        <f>HYPERLINK("https://fin.land.naver.com/articles/2647841410",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김준희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HYPERLINK("https://fin.land.naver.com/articles/2649233482",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4.3</v>
      </c>
      <c r="O558" s="3" t="inlineStr">
        <is>
          <t>욱일앞 생활편의 시설 좋은 위치</t>
        </is>
      </c>
      <c r="P558" s="6">
        <f>HYPERLINK("https://fin.land.naver.com/articles/2648305935",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267-9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112</v>
      </c>
      <c r="J559" s="4" t="n">
        <v>34</v>
      </c>
      <c r="K559" s="5" t="n">
        <v>0.9</v>
      </c>
      <c r="L559" s="4" t="n">
        <v>22</v>
      </c>
      <c r="M559" s="4" t="n">
        <v>7</v>
      </c>
      <c r="N559" s="5" t="n">
        <v>4.3</v>
      </c>
      <c r="O559" s="3" t="inlineStr">
        <is>
          <t>계약 후 즉시 입주 가능 원룸</t>
        </is>
      </c>
      <c r="P559" s="6">
        <f>HYPERLINK("https://fin.land.naver.com/articles/2651069877", "매물Link")</f>
        <v/>
      </c>
      <c r="Q559" s="6">
        <f>HYPERLINK("https://map.naver.com/p/search/조치원읍 침산리 267-9", "지도Link")</f>
        <v/>
      </c>
      <c r="R559" s="6">
        <f>HYPERLINK("http://www.eum.go.kr/web/ar/lu/luLandDet.jsp?pnu=3611025028102670009&amp;isNoScr=script&amp;mode=search", "토지이음")</f>
        <v/>
      </c>
      <c r="S559" s="3" t="inlineStr">
        <is>
          <t>김준희</t>
        </is>
      </c>
      <c r="T559" s="4" t="n">
        <v>1</v>
      </c>
      <c r="U559" s="5" t="n">
        <v>286.8</v>
      </c>
      <c r="V559" s="4" t="n">
        <v>220.1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272-8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300</v>
      </c>
      <c r="H560" s="4" t="n">
        <v>40</v>
      </c>
      <c r="I560" s="4" t="n">
        <v>42</v>
      </c>
      <c r="J560" s="4" t="n">
        <v>13</v>
      </c>
      <c r="K560" s="5" t="n">
        <v>3.1</v>
      </c>
      <c r="L560" s="4" t="n">
        <v>36</v>
      </c>
      <c r="M560" s="4" t="n">
        <v>11</v>
      </c>
      <c r="N560" s="5" t="n">
        <v>3.6</v>
      </c>
      <c r="O560" s="3" t="inlineStr">
        <is>
          <t>버스성지.귀한 1.5룸.완전풀옵션.엘리베이터완</t>
        </is>
      </c>
      <c r="P560" s="6">
        <f>HYPERLINK("https://fin.land.naver.com/articles/2652558596", "매물Link")</f>
        <v/>
      </c>
      <c r="Q560" s="6">
        <f>HYPERLINK("https://map.naver.com/p/search/조치원읍 침산리 272-8", "지도Link")</f>
        <v/>
      </c>
      <c r="R560" s="6">
        <f>HYPERLINK("http://www.eum.go.kr/web/ar/lu/luLandDet.jsp?pnu=3611025028102720008&amp;isNoScr=script&amp;mode=search",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446.9</v>
      </c>
      <c r="V560" s="4" t="n">
        <v>260.7</v>
      </c>
      <c r="W560" s="3" t="inlineStr">
        <is>
          <t>지정되지않음</t>
        </is>
      </c>
      <c r="X560" s="3" t="inlineStr">
        <is>
          <t>주상용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소로각지</t>
        </is>
      </c>
    </row>
    <row r="561">
      <c r="A561" s="3" t="inlineStr">
        <is>
          <t>조치원읍 침산리 277-15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93000</v>
      </c>
      <c r="H561" s="4" t="n">
        <v>0</v>
      </c>
      <c r="I561" s="4" t="n">
        <v>227</v>
      </c>
      <c r="J561" s="4" t="n">
        <v>69</v>
      </c>
      <c r="K561" s="5" t="n">
        <v>1347.8</v>
      </c>
      <c r="L561" s="4" t="n">
        <v>370</v>
      </c>
      <c r="M561" s="4" t="n">
        <v>112</v>
      </c>
      <c r="N561" s="5" t="n">
        <v>830.4</v>
      </c>
      <c r="O561" s="3" t="inlineStr">
        <is>
          <t>관리잘됨. 공실 걱정 없는 곳. 역5분</t>
        </is>
      </c>
      <c r="P561" s="6">
        <f>HYPERLINK("https://fin.land.naver.com/articles/2650553807", "매물Link")</f>
        <v/>
      </c>
      <c r="Q561" s="6">
        <f>HYPERLINK("https://map.naver.com/p/search/조치원읍 침산리 277-15", "지도Link")</f>
        <v/>
      </c>
      <c r="R561" s="6">
        <f>HYPERLINK("http://www.eum.go.kr/web/ar/lu/luLandDet.jsp?pnu=3611025028102770015&amp;isNoScr=script&amp;mode=search", "토지이음")</f>
        <v/>
      </c>
      <c r="S561" s="3" t="inlineStr">
        <is>
          <t>바다</t>
        </is>
      </c>
      <c r="T561" s="4" t="n">
        <v>1</v>
      </c>
      <c r="U561" s="5" t="n">
        <v>283.1</v>
      </c>
      <c r="V561" s="4" t="n">
        <v>227.9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279-1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29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4.8</v>
      </c>
      <c r="O562" s="3" t="inlineStr">
        <is>
          <t>L 역5분. 분리형원룸. 풀옵션. 즉시입주가능</t>
        </is>
      </c>
      <c r="P562" s="6">
        <f>HYPERLINK("https://fin.land.naver.com/articles/2650104336", "매물Link")</f>
        <v/>
      </c>
      <c r="Q562" s="6">
        <f>HYPERLINK("https://map.naver.com/p/search/조치원읍 침산리 279-1", "지도Link")</f>
        <v/>
      </c>
      <c r="R562" s="6">
        <f>HYPERLINK("http://www.eum.go.kr/web/ar/lu/luLandDet.jsp?pnu=3611025028102790001&amp;isNoScr=script&amp;mode=search",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290.8</v>
      </c>
      <c r="V562" s="4" t="n">
        <v>328.1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조치원읍 침산리 279-11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100</v>
      </c>
      <c r="H563" s="4" t="n">
        <v>30</v>
      </c>
      <c r="I563" s="4" t="n">
        <v>0</v>
      </c>
      <c r="J563" s="4" t="n">
        <v>0</v>
      </c>
      <c r="K563" s="5" t="n">
        <v>0</v>
      </c>
      <c r="L563" s="4" t="n">
        <v>21</v>
      </c>
      <c r="M563" s="4" t="n">
        <v>6</v>
      </c>
      <c r="N563" s="5" t="n">
        <v>5</v>
      </c>
      <c r="O563" s="3" t="inlineStr">
        <is>
          <t>인기좋은  풀옵션 완비방  짐만 가져오세요  주차편함  도배완로 바로입주</t>
        </is>
      </c>
      <c r="P563" s="6">
        <f>HYPERLINK("https://fin.land.naver.com/articles/2652459516", "매물Link")</f>
        <v/>
      </c>
      <c r="Q563" s="6">
        <f>HYPERLINK("https://map.naver.com/p/search/조치원읍 침산리 279-11", "지도Link")</f>
        <v/>
      </c>
      <c r="R563" s="6">
        <f>HYPERLINK("http://www.eum.go.kr/web/ar/lu/luLandDet.jsp?pnu=3611025028102790011&amp;isNoScr=script&amp;mode=search", "토지이음")</f>
        <v/>
      </c>
      <c r="S563" s="3" t="inlineStr">
        <is>
          <t>연서으뜸</t>
        </is>
      </c>
      <c r="T563" s="4" t="n">
        <v>1</v>
      </c>
      <c r="U563" s="5" t="n">
        <v>283.1</v>
      </c>
      <c r="V563" s="4" t="n">
        <v>258.1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279-15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3000</v>
      </c>
      <c r="H564" s="4" t="n">
        <v>0</v>
      </c>
      <c r="I564" s="4" t="n">
        <v>0</v>
      </c>
      <c r="J564" s="4" t="n">
        <v>0</v>
      </c>
      <c r="K564" s="5" t="n">
        <v>0</v>
      </c>
      <c r="L564" s="4" t="n">
        <v>19</v>
      </c>
      <c r="M564" s="4" t="n">
        <v>6</v>
      </c>
      <c r="N564" s="5" t="n">
        <v>500</v>
      </c>
      <c r="O564" s="3" t="inlineStr">
        <is>
          <t>안전한 전세</t>
        </is>
      </c>
      <c r="P564" s="6">
        <f>HYPERLINK("https://fin.land.naver.com/articles/2652857402", "매물Link")</f>
        <v/>
      </c>
      <c r="Q564" s="6">
        <f>HYPERLINK("https://map.naver.com/p/search/조치원읍 침산리 279-15", "지도Link")</f>
        <v/>
      </c>
      <c r="R564" s="6">
        <f>HYPERLINK("http://www.eum.go.kr/web/ar/lu/luLandDet.jsp?pnu=3611025028102790015&amp;isNoScr=script&amp;mode=search",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299.6</v>
      </c>
      <c r="V564" s="4" t="n">
        <v>315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조치원읍 침산리 279-15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단독</t>
        </is>
      </c>
      <c r="F565" s="3" t="inlineStr">
        <is>
          <t>월세</t>
        </is>
      </c>
      <c r="G565" s="4" t="n">
        <v>2000</v>
      </c>
      <c r="H565" s="4" t="n">
        <v>10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1.4</v>
      </c>
      <c r="O565" s="3" t="inlineStr">
        <is>
          <t>전세,반전세 가능 도배예정</t>
        </is>
      </c>
      <c r="P565" s="6">
        <f>HYPERLINK("https://fin.land.naver.com/articles/2652860593", "매물Link")</f>
        <v/>
      </c>
      <c r="Q565" s="6">
        <f>HYPERLINK("https://map.naver.com/p/search/조치원읍 침산리 279-15", "지도Link")</f>
        <v/>
      </c>
      <c r="R565" s="6">
        <f>HYPERLINK("http://www.eum.go.kr/web/ar/lu/luLandDet.jsp?pnu=3611025028102790015&amp;isNoScr=script&amp;mode=search",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299.6</v>
      </c>
      <c r="V565" s="4" t="n">
        <v>315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279-15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110000</v>
      </c>
      <c r="H566" s="4" t="n">
        <v>0</v>
      </c>
      <c r="I566" s="4" t="n">
        <v>315</v>
      </c>
      <c r="J566" s="4" t="n">
        <v>95</v>
      </c>
      <c r="K566" s="5" t="n">
        <v>1157.9</v>
      </c>
      <c r="L566" s="4" t="n">
        <v>545</v>
      </c>
      <c r="M566" s="4" t="n">
        <v>165</v>
      </c>
      <c r="N566" s="5" t="n">
        <v>666.7</v>
      </c>
      <c r="O566" s="3" t="inlineStr">
        <is>
          <t>다가주주택 연수익률 8%</t>
        </is>
      </c>
      <c r="P566" s="6">
        <f>HYPERLINK("https://fin.land.naver.com/articles/2649673971", "매물Link")</f>
        <v/>
      </c>
      <c r="Q566" s="6">
        <f>HYPERLINK("https://map.naver.com/p/search/조치원읍 침산리 279-15", "지도Link")</f>
        <v/>
      </c>
      <c r="R566" s="6">
        <f>HYPERLINK("http://www.eum.go.kr/web/ar/lu/luLandDet.jsp?pnu=3611025028102790015&amp;isNoScr=script&amp;mode=search",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299.6</v>
      </c>
      <c r="V566" s="4" t="n">
        <v>315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279-20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31</v>
      </c>
      <c r="I567" s="4" t="n">
        <v>20</v>
      </c>
      <c r="J567" s="4" t="n">
        <v>6</v>
      </c>
      <c r="K567" s="5" t="n">
        <v>5.2</v>
      </c>
      <c r="L567" s="4" t="n">
        <v>20</v>
      </c>
      <c r="M567" s="4" t="n">
        <v>6</v>
      </c>
      <c r="N567" s="5" t="n">
        <v>5.2</v>
      </c>
      <c r="O567" s="3" t="inlineStr">
        <is>
          <t>원룸 주방분리 베란다유  깨끗합니다</t>
        </is>
      </c>
      <c r="P567" s="6">
        <f>HYPERLINK("https://fin.land.naver.com/articles/2652339845", "매물Link")</f>
        <v/>
      </c>
      <c r="Q567" s="6">
        <f>HYPERLINK("https://map.naver.com/p/search/조치원읍 침산리 279-20", "지도Link")</f>
        <v/>
      </c>
      <c r="R567" s="6">
        <f>HYPERLINK("http://www.eum.go.kr/web/ar/lu/luLandDet.jsp?pnu=3611025028102790020&amp;isNoScr=script&amp;mode=search", "토지이음")</f>
        <v/>
      </c>
      <c r="S567" s="3" t="inlineStr">
        <is>
          <t>OK수</t>
        </is>
      </c>
      <c r="T567" s="4" t="n">
        <v>1</v>
      </c>
      <c r="U567" s="5" t="n">
        <v>293.8</v>
      </c>
      <c r="V567" s="4" t="n">
        <v>275.9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소로한면</t>
        </is>
      </c>
    </row>
    <row r="568">
      <c r="A568" s="3" t="inlineStr">
        <is>
          <t>조치원읍 침산리 279-20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31</v>
      </c>
      <c r="I568" s="4" t="n">
        <v>0</v>
      </c>
      <c r="J568" s="4" t="n">
        <v>0</v>
      </c>
      <c r="K568" s="5" t="n">
        <v>0</v>
      </c>
      <c r="L568" s="4" t="n">
        <v>20</v>
      </c>
      <c r="M568" s="4" t="n">
        <v>6</v>
      </c>
      <c r="N568" s="5" t="n">
        <v>5.2</v>
      </c>
      <c r="O568" s="3" t="inlineStr">
        <is>
          <t>L 엘베. 깔끔. 열5분. 즉시입주가능</t>
        </is>
      </c>
      <c r="P568" s="6">
        <f>HYPERLINK("https://fin.land.naver.com/articles/2652039172", "매물Link")</f>
        <v/>
      </c>
      <c r="Q568" s="6">
        <f>HYPERLINK("https://map.naver.com/p/search/조치원읍 침산리 279-20", "지도Link")</f>
        <v/>
      </c>
      <c r="R568" s="6">
        <f>HYPERLINK("http://www.eum.go.kr/web/ar/lu/luLandDet.jsp?pnu=3611025028102790020&amp;isNoScr=script&amp;mode=search",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293.8</v>
      </c>
      <c r="V568" s="4" t="n">
        <v>275.9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조치원읍 침산리 280-4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월세</t>
        </is>
      </c>
      <c r="G569" s="4" t="n">
        <v>200</v>
      </c>
      <c r="H569" s="4" t="n">
        <v>30</v>
      </c>
      <c r="I569" s="4" t="n">
        <v>0</v>
      </c>
      <c r="J569" s="4" t="n">
        <v>0</v>
      </c>
      <c r="K569" s="5" t="n">
        <v>0</v>
      </c>
      <c r="L569" s="4" t="n">
        <v>20</v>
      </c>
      <c r="M569" s="4" t="n">
        <v>6</v>
      </c>
      <c r="N569" s="5" t="n">
        <v>5</v>
      </c>
      <c r="O569" s="3" t="inlineStr">
        <is>
          <t>L 남향 O즉시입주가능 O역5분 O조용한위치</t>
        </is>
      </c>
      <c r="P569" s="6">
        <f>HYPERLINK("https://fin.land.naver.com/articles/2649030028", "매물Link")</f>
        <v/>
      </c>
      <c r="Q569" s="6">
        <f>HYPERLINK("https://map.naver.com/p/search/조치원읍 침산리 280-4", "지도Link")</f>
        <v/>
      </c>
      <c r="R569" s="6">
        <f>HYPERLINK("http://www.eum.go.kr/web/ar/lu/luLandDet.jsp?pnu=3611025028102800004&amp;isNoScr=script&amp;mode=search", "토지이음")</f>
        <v/>
      </c>
      <c r="S569" s="3" t="inlineStr">
        <is>
          <t>바다</t>
        </is>
      </c>
      <c r="T569" s="4" t="n">
        <v>1</v>
      </c>
      <c r="U569" s="5" t="n">
        <v>305.5</v>
      </c>
      <c r="V569" s="4" t="n">
        <v>199.7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281-3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31</v>
      </c>
      <c r="I570" s="4" t="n">
        <v>26</v>
      </c>
      <c r="J570" s="4" t="n">
        <v>8</v>
      </c>
      <c r="K570" s="5" t="n">
        <v>3.9</v>
      </c>
      <c r="L570" s="4" t="n">
        <v>24</v>
      </c>
      <c r="M570" s="4" t="n">
        <v>7</v>
      </c>
      <c r="N570" s="5" t="n">
        <v>4.4</v>
      </c>
      <c r="O570" s="3" t="inlineStr">
        <is>
          <t>깔끔하고 넓은 원룸으로 주변에 생활편의 시설있으며, 대중교통 편합</t>
        </is>
      </c>
      <c r="P570" s="6">
        <f>HYPERLINK("https://fin.land.naver.com/articles/2648541194", "매물Link")</f>
        <v/>
      </c>
      <c r="Q570" s="6">
        <f>HYPERLINK("https://map.naver.com/p/search/조치원읍 침산리 281-3", "지도Link")</f>
        <v/>
      </c>
      <c r="R570" s="6">
        <f>HYPERLINK("http://www.eum.go.kr/web/ar/lu/luLandDet.jsp?pnu=3611025028102810003&amp;isNoScr=script&amp;mode=search",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305.5</v>
      </c>
      <c r="V570" s="4" t="n">
        <v>323.1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282-13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다가구</t>
        </is>
      </c>
      <c r="F571" s="3" t="inlineStr">
        <is>
          <t>전세</t>
        </is>
      </c>
      <c r="G571" s="4" t="n">
        <v>5000</v>
      </c>
      <c r="H571" s="4" t="n">
        <v>0</v>
      </c>
      <c r="I571" s="4" t="n">
        <v>47</v>
      </c>
      <c r="J571" s="4" t="n">
        <v>14</v>
      </c>
      <c r="K571" s="5" t="n">
        <v>357.1</v>
      </c>
      <c r="L571" s="4" t="n">
        <v>47</v>
      </c>
      <c r="M571" s="4" t="n">
        <v>14</v>
      </c>
      <c r="N571" s="5" t="n">
        <v>357.1</v>
      </c>
      <c r="O571" s="3" t="inlineStr">
        <is>
          <t>깨끗하고 넒은 원룸이며,  주저지역에 위치하여 교통 편리</t>
        </is>
      </c>
      <c r="P571" s="6">
        <f>HYPERLINK("https://fin.land.naver.com/articles/2651486371", "매물Link")</f>
        <v/>
      </c>
      <c r="Q571" s="6">
        <f>HYPERLINK("https://map.naver.com/p/search/조치원읍 침산리 282-13", "지도Link")</f>
        <v/>
      </c>
      <c r="R571" s="6">
        <f>HYPERLINK("http://www.eum.go.kr/web/ar/lu/luLandDet.jsp?pnu=3611025028102820013&amp;isNoScr=script&amp;mode=search", "토지이음")</f>
        <v/>
      </c>
      <c r="S571" s="3" t="inlineStr">
        <is>
          <t>세종베스트</t>
        </is>
      </c>
      <c r="T571" s="4" t="n">
        <v>1</v>
      </c>
      <c r="U571" s="5" t="n">
        <v>314.3</v>
      </c>
      <c r="V571" s="4" t="n">
        <v>252.9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282-6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월세</t>
        </is>
      </c>
      <c r="G572" s="4" t="n">
        <v>300</v>
      </c>
      <c r="H572" s="4" t="n">
        <v>41</v>
      </c>
      <c r="I572" s="4" t="n">
        <v>38</v>
      </c>
      <c r="J572" s="4" t="n">
        <v>11</v>
      </c>
      <c r="K572" s="5" t="n">
        <v>3.7</v>
      </c>
      <c r="L572" s="4" t="n">
        <v>38</v>
      </c>
      <c r="M572" s="4" t="n">
        <v>11</v>
      </c>
      <c r="N572" s="5" t="n">
        <v>3.7</v>
      </c>
      <c r="O572" s="3" t="inlineStr">
        <is>
          <t>nan</t>
        </is>
      </c>
      <c r="P572" s="6">
        <f>HYPERLINK("https://fin.land.naver.com/articles/2651467227", "매물Link")</f>
        <v/>
      </c>
      <c r="Q572" s="6">
        <f>HYPERLINK("https://map.naver.com/p/search/조치원읍 침산리 282-6", "지도Link")</f>
        <v/>
      </c>
      <c r="R572" s="6">
        <f>HYPERLINK("http://www.eum.go.kr/web/ar/lu/luLandDet.jsp?pnu=3611025028102820006&amp;isNoScr=script&amp;mode=search", "토지이음")</f>
        <v/>
      </c>
      <c r="S572" s="3" t="inlineStr">
        <is>
          <t>세종베스트</t>
        </is>
      </c>
      <c r="T572" s="4" t="n">
        <v>1</v>
      </c>
      <c r="U572" s="5" t="n">
        <v>316.4</v>
      </c>
      <c r="V572" s="4" t="n">
        <v>353.8</v>
      </c>
      <c r="W572" s="3" t="inlineStr">
        <is>
          <t>지정되지않음</t>
        </is>
      </c>
      <c r="X572" s="3" t="inlineStr">
        <is>
          <t>주상용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소로각지</t>
        </is>
      </c>
    </row>
    <row r="573">
      <c r="A573" s="3" t="inlineStr">
        <is>
          <t>조치원읍 침산리 283-12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32</v>
      </c>
      <c r="I573" s="4" t="n">
        <v>0</v>
      </c>
      <c r="J573" s="4" t="n">
        <v>0</v>
      </c>
      <c r="K573" s="5" t="n">
        <v>0</v>
      </c>
      <c r="L573" s="4" t="n">
        <v>24</v>
      </c>
      <c r="M573" s="4" t="n">
        <v>7</v>
      </c>
      <c r="N573" s="5" t="n">
        <v>4.6</v>
      </c>
      <c r="O573" s="3" t="inlineStr">
        <is>
          <t>인기좋은  풀옵션완비방   깔끔한 주거공간  넓은 수납공간  주차편함</t>
        </is>
      </c>
      <c r="P573" s="6">
        <f>HYPERLINK("https://fin.land.naver.com/articles/2652969124", "매물Link")</f>
        <v/>
      </c>
      <c r="Q573" s="6">
        <f>HYPERLINK("https://map.naver.com/p/search/조치원읍 침산리 283-12", "지도Link")</f>
        <v/>
      </c>
      <c r="R573" s="6">
        <f>HYPERLINK("http://www.eum.go.kr/web/ar/lu/luLandDet.jsp?pnu=3611025028102830012&amp;isNoScr=script&amp;mode=search", "토지이음")</f>
        <v/>
      </c>
      <c r="S573" s="3" t="inlineStr">
        <is>
          <t>연서으뜸</t>
        </is>
      </c>
      <c r="T573" s="4" t="n">
        <v>1</v>
      </c>
      <c r="U573" s="5" t="n">
        <v>283.1</v>
      </c>
      <c r="V573" s="4" t="n">
        <v>263.5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283-14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다가구</t>
        </is>
      </c>
      <c r="F574" s="3" t="inlineStr">
        <is>
          <t>매매</t>
        </is>
      </c>
      <c r="G574" s="4" t="n">
        <v>80000</v>
      </c>
      <c r="H574" s="4" t="n">
        <v>0</v>
      </c>
      <c r="I574" s="4" t="n">
        <v>251</v>
      </c>
      <c r="J574" s="4" t="n">
        <v>76</v>
      </c>
      <c r="K574" s="5" t="n">
        <v>1052.6</v>
      </c>
      <c r="L574" s="4" t="n">
        <v>433</v>
      </c>
      <c r="M574" s="4" t="n">
        <v>131</v>
      </c>
      <c r="N574" s="5" t="n">
        <v>610.7</v>
      </c>
      <c r="O574" s="3" t="inlineStr">
        <is>
          <t>조치원읍 다가구주택 단지의 수익율 8.5% 관리샹태 양호</t>
        </is>
      </c>
      <c r="P574" s="6">
        <f>HYPERLINK("https://fin.land.naver.com/articles/2649674944", "매물Link")</f>
        <v/>
      </c>
      <c r="Q574" s="6">
        <f>HYPERLINK("https://map.naver.com/p/search/조치원읍 침산리 283-14", "지도Link")</f>
        <v/>
      </c>
      <c r="R574" s="6">
        <f>HYPERLINK("http://www.eum.go.kr/web/ar/lu/luLandDet.jsp?pnu=3611025028102830014&amp;isNoScr=script&amp;mode=search",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283.1</v>
      </c>
      <c r="V574" s="4" t="n">
        <v>251.9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조치원읍 침산리 283-16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전세</t>
        </is>
      </c>
      <c r="G575" s="4" t="n">
        <v>3500</v>
      </c>
      <c r="H575" s="4" t="n">
        <v>0</v>
      </c>
      <c r="I575" s="4" t="n">
        <v>0</v>
      </c>
      <c r="J575" s="4" t="n">
        <v>0</v>
      </c>
      <c r="K575" s="5" t="n">
        <v>0</v>
      </c>
      <c r="L575" s="4" t="n">
        <v>25</v>
      </c>
      <c r="M575" s="4" t="n">
        <v>8</v>
      </c>
      <c r="N575" s="5" t="n">
        <v>437.5</v>
      </c>
      <c r="O575" s="3" t="inlineStr">
        <is>
          <t>넓고 깔끔한  풀옵션 완비방  주방분리  짐만 가져오세요  바로입주</t>
        </is>
      </c>
      <c r="P575" s="6">
        <f>HYPERLINK("https://fin.land.naver.com/articles/2648568156", "매물Link")</f>
        <v/>
      </c>
      <c r="Q575" s="6">
        <f>HYPERLINK("https://map.naver.com/p/search/조치원읍 침산리 283-16", "지도Link")</f>
        <v/>
      </c>
      <c r="R575" s="6">
        <f>HYPERLINK("http://www.eum.go.kr/web/ar/lu/luLandDet.jsp?pnu=3611025028102830016&amp;isNoScr=script&amp;mode=search",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283.1</v>
      </c>
      <c r="V575" s="4" t="n">
        <v>281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조치원읍 침산리 283-17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단독</t>
        </is>
      </c>
      <c r="F576" s="3" t="inlineStr">
        <is>
          <t>매매</t>
        </is>
      </c>
      <c r="G576" s="4" t="n">
        <v>100000</v>
      </c>
      <c r="H576" s="4" t="n">
        <v>0</v>
      </c>
      <c r="I576" s="4" t="n">
        <v>251</v>
      </c>
      <c r="J576" s="4" t="n">
        <v>76</v>
      </c>
      <c r="K576" s="5" t="n">
        <v>1315.8</v>
      </c>
      <c r="L576" s="4" t="n">
        <v>436</v>
      </c>
      <c r="M576" s="4" t="n">
        <v>132</v>
      </c>
      <c r="N576" s="5" t="n">
        <v>757.6</v>
      </c>
      <c r="O576" s="3" t="inlineStr">
        <is>
          <t>실투 3.2억, 떠오르는 서북부 다가구주택 단지내 관리 잘된 4층 주택</t>
        </is>
      </c>
      <c r="P576" s="6">
        <f>HYPERLINK("https://fin.land.naver.com/articles/2650412869", "매물Link")</f>
        <v/>
      </c>
      <c r="Q576" s="6">
        <f>HYPERLINK("https://map.naver.com/p/search/조치원읍 침산리 283-17", "지도Link")</f>
        <v/>
      </c>
      <c r="R576" s="6">
        <f>HYPERLINK("http://www.eum.go.kr/web/ar/lu/luLandDet.jsp?pnu=3611025028102830017&amp;isNoScr=script&amp;mode=search", "토지이음")</f>
        <v/>
      </c>
      <c r="S576" s="3" t="inlineStr">
        <is>
          <t>청주모충사모1/2LH트릴로채명성</t>
        </is>
      </c>
      <c r="T576" s="4" t="n">
        <v>1</v>
      </c>
      <c r="U576" s="5" t="n">
        <v>283.1</v>
      </c>
      <c r="V576" s="4" t="n">
        <v>251.8</v>
      </c>
      <c r="W576" s="3" t="inlineStr">
        <is>
          <t>지정되지않음</t>
        </is>
      </c>
      <c r="X576" s="3" t="inlineStr">
        <is>
          <t>주거기타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세로한면(가)</t>
        </is>
      </c>
    </row>
    <row r="577">
      <c r="A577" s="3" t="inlineStr">
        <is>
          <t>조치원읍 침산리 283-3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도시형생활주택</t>
        </is>
      </c>
      <c r="F577" s="3" t="inlineStr">
        <is>
          <t>월세</t>
        </is>
      </c>
      <c r="G577" s="4" t="n">
        <v>200</v>
      </c>
      <c r="H577" s="4" t="n">
        <v>28</v>
      </c>
      <c r="I577" s="4" t="n">
        <v>0</v>
      </c>
      <c r="J577" s="4" t="n">
        <v>0</v>
      </c>
      <c r="K577" s="5" t="n">
        <v>0</v>
      </c>
      <c r="L577" s="4" t="n">
        <v>19</v>
      </c>
      <c r="M577" s="4" t="n">
        <v>6</v>
      </c>
      <c r="N577" s="5" t="n">
        <v>4.7</v>
      </c>
      <c r="O577" s="3" t="inlineStr">
        <is>
          <t>오픈형 넓은 풀옵션</t>
        </is>
      </c>
      <c r="P577" s="6">
        <f>HYPERLINK("https://fin.land.naver.com/articles/2648298650", "매물Link")</f>
        <v/>
      </c>
      <c r="Q577" s="6">
        <f>HYPERLINK("https://map.naver.com/p/search/조치원읍 침산리 283-3", "지도Link")</f>
        <v/>
      </c>
      <c r="R577" s="6">
        <f>HYPERLINK("http://www.eum.go.kr/web/ar/lu/luLandDet.jsp?pnu=3611025028102830003&amp;isNoScr=script&amp;mode=search",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283.1</v>
      </c>
      <c r="V577" s="4" t="n">
        <v>272.3</v>
      </c>
      <c r="W577" s="3" t="inlineStr">
        <is>
          <t>지정되지않음</t>
        </is>
      </c>
      <c r="X577" s="3" t="inlineStr">
        <is>
          <t>주거기타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세로한면(가)</t>
        </is>
      </c>
    </row>
    <row r="578">
      <c r="A578" s="3" t="inlineStr">
        <is>
          <t>조치원읍 침산리 283-4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28</v>
      </c>
      <c r="I578" s="4" t="n">
        <v>39</v>
      </c>
      <c r="J578" s="4" t="n">
        <v>12</v>
      </c>
      <c r="K578" s="5" t="n">
        <v>2.3</v>
      </c>
      <c r="L578" s="4" t="n">
        <v>29</v>
      </c>
      <c r="M578" s="4" t="n">
        <v>9</v>
      </c>
      <c r="N578" s="5" t="n">
        <v>3.1</v>
      </c>
      <c r="O578" s="3" t="inlineStr">
        <is>
          <t>넓은방.풀셋팅원룸.몸만들어오세요</t>
        </is>
      </c>
      <c r="P578" s="6">
        <f>HYPERLINK("https://fin.land.naver.com/articles/2651070230", "매물Link")</f>
        <v/>
      </c>
      <c r="Q578" s="6">
        <f>HYPERLINK("https://map.naver.com/p/search/조치원읍 침산리 283-4", "지도Link")</f>
        <v/>
      </c>
      <c r="R578" s="6">
        <f>HYPERLINK("http://www.eum.go.kr/web/ar/lu/luLandDet.jsp?pnu=3611025028102830004&amp;isNoScr=script&amp;mode=search",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283.1</v>
      </c>
      <c r="V578" s="4" t="n">
        <v>272.3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285-19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매매</t>
        </is>
      </c>
      <c r="G579" s="4" t="n">
        <v>148000</v>
      </c>
      <c r="H579" s="4" t="n">
        <v>0</v>
      </c>
      <c r="I579" s="4" t="n">
        <v>300</v>
      </c>
      <c r="J579" s="4" t="n">
        <v>91</v>
      </c>
      <c r="K579" s="5" t="n">
        <v>1626.4</v>
      </c>
      <c r="L579" s="4" t="n">
        <v>593</v>
      </c>
      <c r="M579" s="4" t="n">
        <v>179</v>
      </c>
      <c r="N579" s="5" t="n">
        <v>826.8</v>
      </c>
      <c r="O579" s="3" t="inlineStr">
        <is>
          <t>신도시 스타벅스, 하이마트 옆 4층 상가 주택, 실투 5.25억</t>
        </is>
      </c>
      <c r="P579" s="6">
        <f>HYPERLINK("https://fin.land.naver.com/articles/2650412792", "매물Link")</f>
        <v/>
      </c>
      <c r="Q579" s="6">
        <f>HYPERLINK("https://map.naver.com/p/search/조치원읍 침산리 285-19", "지도Link")</f>
        <v/>
      </c>
      <c r="R579" s="6">
        <f>HYPERLINK("http://www.eum.go.kr/web/ar/lu/luLandDet.jsp?pnu=3611025028102850019&amp;isNoScr=script&amp;mode=search", "토지이음")</f>
        <v/>
      </c>
      <c r="S579" s="3" t="inlineStr">
        <is>
          <t>청주모충사모1/2LH트릴로채명성</t>
        </is>
      </c>
      <c r="T579" s="4" t="n">
        <v>1</v>
      </c>
      <c r="U579" s="5" t="n">
        <v>352.7</v>
      </c>
      <c r="V579" s="4" t="n">
        <v>300.3</v>
      </c>
      <c r="W579" s="3" t="inlineStr">
        <is>
          <t>지정되지않음</t>
        </is>
      </c>
      <c r="X579" s="3" t="inlineStr">
        <is>
          <t>상업나지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조치원읍 침산리 285-19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148000</v>
      </c>
      <c r="H580" s="4" t="n">
        <v>0</v>
      </c>
      <c r="I580" s="4" t="n">
        <v>300</v>
      </c>
      <c r="J580" s="4" t="n">
        <v>91</v>
      </c>
      <c r="K580" s="5" t="n">
        <v>1626.4</v>
      </c>
      <c r="L580" s="4" t="n">
        <v>593</v>
      </c>
      <c r="M580" s="4" t="n">
        <v>179</v>
      </c>
      <c r="N580" s="5" t="n">
        <v>826.8</v>
      </c>
      <c r="O580" s="3" t="inlineStr">
        <is>
          <t>nan</t>
        </is>
      </c>
      <c r="P580" s="6">
        <f>HYPERLINK("https://fin.land.naver.com/articles/2650405364", "매물Link")</f>
        <v/>
      </c>
      <c r="Q580" s="6">
        <f>HYPERLINK("https://map.naver.com/p/search/조치원읍 침산리 285-19", "지도Link")</f>
        <v/>
      </c>
      <c r="R580" s="6">
        <f>HYPERLINK("http://www.eum.go.kr/web/ar/lu/luLandDet.jsp?pnu=3611025028102850019&amp;isNoScr=script&amp;mode=search", "토지이음")</f>
        <v/>
      </c>
      <c r="S580" s="3" t="inlineStr">
        <is>
          <t>굿굿경매</t>
        </is>
      </c>
      <c r="T580" s="4" t="n">
        <v>1</v>
      </c>
      <c r="U580" s="5" t="n">
        <v>352.7</v>
      </c>
      <c r="V580" s="4" t="n">
        <v>300.3</v>
      </c>
      <c r="W580" s="3" t="inlineStr">
        <is>
          <t>지정되지않음</t>
        </is>
      </c>
      <c r="X580" s="3" t="inlineStr">
        <is>
          <t>상업나지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조치원읍 침산리 285-20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2000</v>
      </c>
      <c r="H581" s="4" t="n">
        <v>10</v>
      </c>
      <c r="I581" s="4" t="n">
        <v>39</v>
      </c>
      <c r="J581" s="4" t="n">
        <v>12</v>
      </c>
      <c r="K581" s="5" t="n">
        <v>0.8</v>
      </c>
      <c r="L581" s="4" t="n">
        <v>26</v>
      </c>
      <c r="M581" s="4" t="n">
        <v>8</v>
      </c>
      <c r="N581" s="5" t="n">
        <v>1.2</v>
      </c>
      <c r="O581" s="3" t="inlineStr">
        <is>
          <t>신축주거단지  채광좋은 분리형 원룸</t>
        </is>
      </c>
      <c r="P581" s="6">
        <f>HYPERLINK("https://fin.land.naver.com/articles/2651595721", "매물Link")</f>
        <v/>
      </c>
      <c r="Q581" s="6">
        <f>HYPERLINK("https://map.naver.com/p/search/조치원읍 침산리 285-20", "지도Link")</f>
        <v/>
      </c>
      <c r="R581" s="6">
        <f>HYPERLINK("http://www.eum.go.kr/web/ar/lu/luLandDet.jsp?pnu=3611025028102850020&amp;isNoScr=script&amp;mode=search",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363</v>
      </c>
      <c r="V581" s="4" t="n">
        <v>335.7</v>
      </c>
      <c r="W581" s="3" t="inlineStr">
        <is>
          <t>지정되지않음</t>
        </is>
      </c>
      <c r="X581" s="3" t="inlineStr">
        <is>
          <t>상업나지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소로각지</t>
        </is>
      </c>
    </row>
    <row r="582">
      <c r="A582" s="3" t="inlineStr">
        <is>
          <t>조치원읍 평리 107-1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24500</v>
      </c>
      <c r="H582" s="4" t="n">
        <v>0</v>
      </c>
      <c r="I582" s="4" t="n">
        <v>161</v>
      </c>
      <c r="J582" s="4" t="n">
        <v>49</v>
      </c>
      <c r="K582" s="5" t="n">
        <v>500</v>
      </c>
      <c r="L582" s="4" t="n">
        <v>85</v>
      </c>
      <c r="M582" s="4" t="n">
        <v>26</v>
      </c>
      <c r="N582" s="5" t="n">
        <v>942.3</v>
      </c>
      <c r="O582" s="3" t="inlineStr">
        <is>
          <t>평리 터미널 맞은편 위치좋은 주택가 입니다</t>
        </is>
      </c>
      <c r="P582" s="6">
        <f>HYPERLINK("https://fin.land.naver.com/articles/2649790783", "매물Link")</f>
        <v/>
      </c>
      <c r="Q582" s="6">
        <f>HYPERLINK("https://map.naver.com/p/search/조치원읍 평리 107-1", "지도Link")</f>
        <v/>
      </c>
      <c r="R582" s="6">
        <f>HYPERLINK("http://www.eum.go.kr/web/ar/lu/luLandDet.jsp?pnu=3611025023101070001&amp;isNoScr=script&amp;mode=search", "토지이음")</f>
        <v/>
      </c>
      <c r="S582" s="3" t="inlineStr">
        <is>
          <t>OK수</t>
        </is>
      </c>
      <c r="T582" s="4" t="n">
        <v>1</v>
      </c>
      <c r="U582" s="5" t="n">
        <v>213.1</v>
      </c>
      <c r="V582" s="4" t="n">
        <v>161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조치원읍 평리 23-8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전세</t>
        </is>
      </c>
      <c r="G583" s="4" t="n">
        <v>8000</v>
      </c>
      <c r="H583" s="4" t="n">
        <v>0</v>
      </c>
      <c r="I583" s="4" t="n">
        <v>50</v>
      </c>
      <c r="J583" s="4" t="n">
        <v>15</v>
      </c>
      <c r="K583" s="5" t="n">
        <v>533.3</v>
      </c>
      <c r="L583" s="4" t="n">
        <v>43</v>
      </c>
      <c r="M583" s="4" t="n">
        <v>13</v>
      </c>
      <c r="N583" s="5" t="n">
        <v>615.4</v>
      </c>
      <c r="O583" s="3" t="inlineStr">
        <is>
          <t>보증보험소독청결완벽한 풀옵 이방pick</t>
        </is>
      </c>
      <c r="P583" s="6">
        <f>HYPERLINK("https://fin.land.naver.com/articles/2651394456", "매물Link")</f>
        <v/>
      </c>
      <c r="Q583" s="6">
        <f>HYPERLINK("https://map.naver.com/p/search/조치원읍 평리 23-8", "지도Link")</f>
        <v/>
      </c>
      <c r="R583" s="6">
        <f>HYPERLINK("http://www.eum.go.kr/web/ar/lu/luLandDet.jsp?pnu=3611025023100230008&amp;isNoScr=script&amp;mode=search", "토지이음")</f>
        <v/>
      </c>
      <c r="S583" s="3" t="inlineStr">
        <is>
          <t>마이룸</t>
        </is>
      </c>
      <c r="T583" s="4" t="n">
        <v>1</v>
      </c>
      <c r="U583" s="5" t="n">
        <v>219.2</v>
      </c>
      <c r="V583" s="4" t="n">
        <v>115.7</v>
      </c>
      <c r="W583" s="3" t="inlineStr">
        <is>
          <t>지정되지않음</t>
        </is>
      </c>
      <c r="X583" s="3" t="inlineStr">
        <is>
          <t>연립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세로각지(가)</t>
        </is>
      </c>
    </row>
    <row r="584">
      <c r="A584" s="3" t="inlineStr">
        <is>
          <t>조치원읍 평리 54-2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0</t>
        </is>
      </c>
      <c r="E584" s="3" t="inlineStr">
        <is>
          <t>다가구</t>
        </is>
      </c>
      <c r="F584" s="3" t="inlineStr">
        <is>
          <t>월세</t>
        </is>
      </c>
      <c r="G584" s="4" t="n">
        <v>500</v>
      </c>
      <c r="H584" s="4" t="n">
        <v>55</v>
      </c>
      <c r="I584" s="4" t="n">
        <v>0</v>
      </c>
      <c r="J584" s="4" t="n">
        <v>0</v>
      </c>
      <c r="K584" s="5" t="n">
        <v>0</v>
      </c>
      <c r="L584" s="4" t="n">
        <v>38</v>
      </c>
      <c r="M584" s="4" t="n">
        <v>11</v>
      </c>
      <c r="N584" s="5" t="n">
        <v>5</v>
      </c>
      <c r="O584" s="3" t="inlineStr">
        <is>
          <t>투룸, 협의 입주</t>
        </is>
      </c>
      <c r="P584" s="6">
        <f>HYPERLINK("https://fin.land.naver.com/articles/2652579240", "매물Link")</f>
        <v/>
      </c>
      <c r="Q584" s="6">
        <f>HYPERLINK("https://map.naver.com/p/search/조치원읍 평리 54-2", "지도Link")</f>
        <v/>
      </c>
      <c r="R584" s="6">
        <f>HYPERLINK("http://www.eum.go.kr/web/ar/lu/luLandDet.jsp?pnu=3611025023100540002&amp;isNoScr=script&amp;mode=search", "토지이음")</f>
        <v/>
      </c>
      <c r="S584" s="3" t="inlineStr">
        <is>
          <t>골드</t>
        </is>
      </c>
      <c r="T584" s="4" t="n">
        <v>1</v>
      </c>
      <c r="U584" s="5" t="n">
        <v>206.6</v>
      </c>
      <c r="V584" s="4" t="n">
        <v>324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세로한면(가)</t>
        </is>
      </c>
    </row>
    <row r="585">
      <c r="A585" s="3" t="inlineStr">
        <is>
          <t>조치원읍 평리 56-2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30</v>
      </c>
      <c r="I585" s="4" t="n">
        <v>39</v>
      </c>
      <c r="J585" s="4" t="n">
        <v>12</v>
      </c>
      <c r="K585" s="5" t="n">
        <v>2.5</v>
      </c>
      <c r="L585" s="4" t="n">
        <v>26</v>
      </c>
      <c r="M585" s="4" t="n">
        <v>8</v>
      </c>
      <c r="N585" s="5" t="n">
        <v>3.8</v>
      </c>
      <c r="O585" s="3" t="inlineStr">
        <is>
          <t>조치원터미널근방.엘리베이터있음.공동주차시설완비</t>
        </is>
      </c>
      <c r="P585" s="6">
        <f>HYPERLINK("https://fin.land.naver.com/articles/2651626263", "매물Link")</f>
        <v/>
      </c>
      <c r="Q585" s="6">
        <f>HYPERLINK("https://map.naver.com/p/search/조치원읍 평리 56-2", "지도Link")</f>
        <v/>
      </c>
      <c r="R585" s="6">
        <f>HYPERLINK("http://www.eum.go.kr/web/ar/lu/luLandDet.jsp?pnu=3611025023100560002&amp;isNoScr=script&amp;mode=search",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206.6</v>
      </c>
      <c r="V585" s="4" t="n">
        <v>575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세로한면(가)</t>
        </is>
      </c>
    </row>
    <row r="586">
      <c r="A586" s="3" t="inlineStr">
        <is>
          <t>조치원읍 평리 56-2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0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28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</v>
      </c>
      <c r="O586" s="3" t="inlineStr">
        <is>
          <t>조치원역 도보거리</t>
        </is>
      </c>
      <c r="P586" s="6">
        <f>HYPERLINK("https://fin.land.naver.com/articles/2652856453", "매물Link")</f>
        <v/>
      </c>
      <c r="Q586" s="6">
        <f>HYPERLINK("https://map.naver.com/p/search/조치원읍 평리 56-2", "지도Link")</f>
        <v/>
      </c>
      <c r="R586" s="6">
        <f>HYPERLINK("http://www.eum.go.kr/web/ar/lu/luLandDet.jsp?pnu=3611025023100560002&amp;isNoScr=script&amp;mode=search", "토지이음")</f>
        <v/>
      </c>
      <c r="S586" s="3" t="inlineStr">
        <is>
          <t>척척</t>
        </is>
      </c>
      <c r="T586" s="4" t="n">
        <v>1</v>
      </c>
      <c r="U586" s="5" t="n">
        <v>206.6</v>
      </c>
      <c r="V586" s="4" t="n">
        <v>575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부정형</t>
        </is>
      </c>
      <c r="AA586" s="3" t="inlineStr">
        <is>
          <t>세로한면(가)</t>
        </is>
      </c>
    </row>
    <row r="587">
      <c r="A587" s="3" t="inlineStr">
        <is>
          <t>조치원읍 평리 73-1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1</t>
        </is>
      </c>
      <c r="E587" s="3" t="inlineStr">
        <is>
          <t>단독</t>
        </is>
      </c>
      <c r="F587" s="3" t="inlineStr">
        <is>
          <t>매매</t>
        </is>
      </c>
      <c r="G587" s="4" t="n">
        <v>19500</v>
      </c>
      <c r="H587" s="4" t="n">
        <v>0</v>
      </c>
      <c r="I587" s="4" t="n">
        <v>188</v>
      </c>
      <c r="J587" s="4" t="n">
        <v>57</v>
      </c>
      <c r="K587" s="5" t="n">
        <v>342.1</v>
      </c>
      <c r="L587" s="4" t="n">
        <v>49</v>
      </c>
      <c r="M587" s="4" t="n">
        <v>15</v>
      </c>
      <c r="N587" s="5" t="n">
        <v>1300</v>
      </c>
      <c r="O587" s="3" t="inlineStr">
        <is>
          <t>조치원읍 평리 단독주택 저렴하게 나왔어요.</t>
        </is>
      </c>
      <c r="P587" s="6">
        <f>HYPERLINK("https://fin.land.naver.com/articles/2649552536", "매물Link")</f>
        <v/>
      </c>
      <c r="Q587" s="6">
        <f>HYPERLINK("https://map.naver.com/p/search/조치원읍 평리 73-1", "지도Link")</f>
        <v/>
      </c>
      <c r="R587" s="6">
        <f>HYPERLINK("http://www.eum.go.kr/web/ar/lu/luLandDet.jsp?pnu=3611025023100730001&amp;isNoScr=script&amp;mode=search", "토지이음")</f>
        <v/>
      </c>
      <c r="S587" s="3" t="inlineStr">
        <is>
          <t>세종대장</t>
        </is>
      </c>
      <c r="T587" s="4" t="n">
        <v>1</v>
      </c>
      <c r="U587" s="5" t="n">
        <v>120.4</v>
      </c>
      <c r="V587" s="4" t="n">
        <v>188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부정형</t>
        </is>
      </c>
      <c r="AA587" s="3" t="inlineStr">
        <is>
          <t>세로한면(불)</t>
        </is>
      </c>
    </row>
    <row r="588">
      <c r="A588" s="3" t="inlineStr">
        <is>
          <t>한솔동 1069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155000</v>
      </c>
      <c r="H588" s="4" t="n">
        <v>0</v>
      </c>
      <c r="I588" s="4" t="n">
        <v>324</v>
      </c>
      <c r="J588" s="4" t="n">
        <v>98</v>
      </c>
      <c r="K588" s="5" t="n">
        <v>1581.6</v>
      </c>
      <c r="L588" s="4" t="n">
        <v>249</v>
      </c>
      <c r="M588" s="4" t="n">
        <v>75</v>
      </c>
      <c r="N588" s="5" t="n">
        <v>2066.7</v>
      </c>
      <c r="O588" s="3" t="inlineStr">
        <is>
          <t>전용75.5p, 방6개, 화장실4개, 해외건축가가 설계한 멋진집</t>
        </is>
      </c>
      <c r="P588" s="6">
        <f>HYPERLINK("https://fin.land.naver.com/articles/2651918512", "매물Link")</f>
        <v/>
      </c>
      <c r="Q588" s="6">
        <f>HYPERLINK("https://map.naver.com/p/search/한솔동 1069", "지도Link")</f>
        <v/>
      </c>
      <c r="R588" s="6">
        <f>HYPERLINK("http://www.eum.go.kr/web/ar/lu/luLandDet.jsp?pnu=3611010600110690000&amp;isNoScr=script&amp;mode=search",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373.6</v>
      </c>
      <c r="V588" s="4" t="n">
        <v>324.7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세로장방</t>
        </is>
      </c>
      <c r="AA588" s="3" t="inlineStr">
        <is>
          <t>소로한면</t>
        </is>
      </c>
    </row>
    <row r="589">
      <c r="A589" s="3" t="inlineStr">
        <is>
          <t>한솔동 1069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155000</v>
      </c>
      <c r="H589" s="4" t="n">
        <v>0</v>
      </c>
      <c r="I589" s="4" t="n">
        <v>324</v>
      </c>
      <c r="J589" s="4" t="n">
        <v>98</v>
      </c>
      <c r="K589" s="5" t="n">
        <v>1581.6</v>
      </c>
      <c r="L589" s="4" t="n">
        <v>249</v>
      </c>
      <c r="M589" s="4" t="n">
        <v>75</v>
      </c>
      <c r="N589" s="5" t="n">
        <v>2066.7</v>
      </c>
      <c r="O589" s="3" t="inlineStr">
        <is>
          <t>해외건축가가 설계한 멋진집, 한솔동,새롬동상권이용편리,보시면 반할집</t>
        </is>
      </c>
      <c r="P589" s="6">
        <f>HYPERLINK("https://fin.land.naver.com/articles/2648076996", "매물Link")</f>
        <v/>
      </c>
      <c r="Q589" s="6">
        <f>HYPERLINK("https://map.naver.com/p/search/한솔동 1069", "지도Link")</f>
        <v/>
      </c>
      <c r="R589" s="6">
        <f>HYPERLINK("http://www.eum.go.kr/web/ar/lu/luLandDet.jsp?pnu=3611010600110690000&amp;isNoScr=script&amp;mode=search", "토지이음")</f>
        <v/>
      </c>
      <c r="S589" s="3" t="inlineStr">
        <is>
          <t>세종제일</t>
        </is>
      </c>
      <c r="T589" s="4" t="n">
        <v>1</v>
      </c>
      <c r="U589" s="5" t="n">
        <v>373.6</v>
      </c>
      <c r="V589" s="4" t="n">
        <v>324.7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소로한면</t>
        </is>
      </c>
    </row>
    <row r="590">
      <c r="A590" s="3" t="inlineStr">
        <is>
          <t>한솔동 1069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155000</v>
      </c>
      <c r="H590" s="4" t="n">
        <v>0</v>
      </c>
      <c r="I590" s="4" t="n">
        <v>324</v>
      </c>
      <c r="J590" s="4" t="n">
        <v>98</v>
      </c>
      <c r="K590" s="5" t="n">
        <v>1581.6</v>
      </c>
      <c r="L590" s="4" t="n">
        <v>249</v>
      </c>
      <c r="M590" s="4" t="n">
        <v>75</v>
      </c>
      <c r="N590" s="5" t="n">
        <v>2066.7</v>
      </c>
      <c r="O590" s="3" t="inlineStr">
        <is>
          <t>방6개, 화장실4개, 근린공원 인근, 고급 단독주택</t>
        </is>
      </c>
      <c r="P590" s="6">
        <f>HYPERLINK("https://fin.land.naver.com/articles/2652839061", "매물Link")</f>
        <v/>
      </c>
      <c r="Q590" s="6">
        <f>HYPERLINK("https://map.naver.com/p/search/한솔동 1069", "지도Link")</f>
        <v/>
      </c>
      <c r="R590" s="6">
        <f>HYPERLINK("http://www.eum.go.kr/web/ar/lu/luLandDet.jsp?pnu=3611010600110690000&amp;isNoScr=script&amp;mode=search", "토지이음")</f>
        <v/>
      </c>
      <c r="S590" s="3" t="inlineStr">
        <is>
          <t>세종무지개</t>
        </is>
      </c>
      <c r="T590" s="4" t="n">
        <v>1</v>
      </c>
      <c r="U590" s="5" t="n">
        <v>373.6</v>
      </c>
      <c r="V590" s="4" t="n">
        <v>324.7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소로한면</t>
        </is>
      </c>
    </row>
    <row r="591">
      <c r="A591" s="3" t="inlineStr">
        <is>
          <t>한솔동 1069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155000</v>
      </c>
      <c r="H591" s="4" t="n">
        <v>0</v>
      </c>
      <c r="I591" s="4" t="n">
        <v>324</v>
      </c>
      <c r="J591" s="4" t="n">
        <v>98</v>
      </c>
      <c r="K591" s="5" t="n">
        <v>1581.6</v>
      </c>
      <c r="L591" s="4" t="n">
        <v>249</v>
      </c>
      <c r="M591" s="4" t="n">
        <v>75</v>
      </c>
      <c r="N591" s="5" t="n">
        <v>2066.7</v>
      </c>
      <c r="O591" s="3" t="inlineStr">
        <is>
          <t>한솔동 고급 2층단독주택 위치좋은 조용하고 쾌적한 환경</t>
        </is>
      </c>
      <c r="P591" s="6">
        <f>HYPERLINK("https://fin.land.naver.com/articles/2651896310", "매물Link")</f>
        <v/>
      </c>
      <c r="Q591" s="6">
        <f>HYPERLINK("https://map.naver.com/p/search/한솔동 1069", "지도Link")</f>
        <v/>
      </c>
      <c r="R591" s="6">
        <f>HYPERLINK("http://www.eum.go.kr/web/ar/lu/luLandDet.jsp?pnu=3611010600110690000&amp;isNoScr=script&amp;mode=search", "토지이음")</f>
        <v/>
      </c>
      <c r="S591" s="3" t="inlineStr">
        <is>
          <t>고운동리치세종</t>
        </is>
      </c>
      <c r="T591" s="4" t="n">
        <v>1</v>
      </c>
      <c r="U591" s="5" t="n">
        <v>373.6</v>
      </c>
      <c r="V591" s="4" t="n">
        <v>324.7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소로한면</t>
        </is>
      </c>
    </row>
    <row r="592">
      <c r="A592" s="3" t="inlineStr">
        <is>
          <t>한솔동 1118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127000</v>
      </c>
      <c r="H592" s="4" t="n">
        <v>0</v>
      </c>
      <c r="I592" s="4" t="n">
        <v>331</v>
      </c>
      <c r="J592" s="4" t="n">
        <v>100</v>
      </c>
      <c r="K592" s="5" t="n">
        <v>1270</v>
      </c>
      <c r="L592" s="4" t="n">
        <v>164</v>
      </c>
      <c r="M592" s="4" t="n">
        <v>50</v>
      </c>
      <c r="N592" s="5" t="n">
        <v>2540</v>
      </c>
      <c r="O592" s="3" t="inlineStr">
        <is>
          <t>전용49.8p, 방3개 화장실2개, 사유지땅 사용가능</t>
        </is>
      </c>
      <c r="P592" s="6">
        <f>HYPERLINK("https://fin.land.naver.com/articles/2648834239", "매물Link")</f>
        <v/>
      </c>
      <c r="Q592" s="6">
        <f>HYPERLINK("https://map.naver.com/p/search/한솔동 1118", "지도Link")</f>
        <v/>
      </c>
      <c r="R592" s="6">
        <f>HYPERLINK("http://www.eum.go.kr/web/ar/lu/luLandDet.jsp?pnu=3611010600111180000&amp;isNoScr=script&amp;mode=search",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373.6</v>
      </c>
      <c r="V592" s="4" t="n">
        <v>331.3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한솔동 1118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127000</v>
      </c>
      <c r="H593" s="4" t="n">
        <v>0</v>
      </c>
      <c r="I593" s="4" t="n">
        <v>331</v>
      </c>
      <c r="J593" s="4" t="n">
        <v>100</v>
      </c>
      <c r="K593" s="5" t="n">
        <v>1270</v>
      </c>
      <c r="L593" s="4" t="n">
        <v>164</v>
      </c>
      <c r="M593" s="4" t="n">
        <v>50</v>
      </c>
      <c r="N593" s="5" t="n">
        <v>2540</v>
      </c>
      <c r="O593" s="3" t="inlineStr">
        <is>
          <t>세종시 상권이용편리한 단독주택  앞뒤뻥</t>
        </is>
      </c>
      <c r="P593" s="6">
        <f>HYPERLINK("https://fin.land.naver.com/articles/2651811636", "매물Link")</f>
        <v/>
      </c>
      <c r="Q593" s="6">
        <f>HYPERLINK("https://map.naver.com/p/search/한솔동 1118", "지도Link")</f>
        <v/>
      </c>
      <c r="R593" s="6">
        <f>HYPERLINK("http://www.eum.go.kr/web/ar/lu/luLandDet.jsp?pnu=3611010600111180000&amp;isNoScr=script&amp;mode=search", "토지이음")</f>
        <v/>
      </c>
      <c r="S593" s="3" t="inlineStr">
        <is>
          <t>세종믿음</t>
        </is>
      </c>
      <c r="T593" s="4" t="n">
        <v>1</v>
      </c>
      <c r="U593" s="5" t="n">
        <v>373.6</v>
      </c>
      <c r="V593" s="4" t="n">
        <v>331.3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정방형</t>
        </is>
      </c>
      <c r="AA593" s="3" t="inlineStr">
        <is>
          <t>소로한면</t>
        </is>
      </c>
    </row>
    <row r="594">
      <c r="A594" s="3" t="inlineStr">
        <is>
          <t>한솔동 1118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127000</v>
      </c>
      <c r="H594" s="4" t="n">
        <v>0</v>
      </c>
      <c r="I594" s="4" t="n">
        <v>331</v>
      </c>
      <c r="J594" s="4" t="n">
        <v>100</v>
      </c>
      <c r="K594" s="5" t="n">
        <v>1270</v>
      </c>
      <c r="L594" s="4" t="n">
        <v>164</v>
      </c>
      <c r="M594" s="4" t="n">
        <v>50</v>
      </c>
      <c r="N594" s="5" t="n">
        <v>2540</v>
      </c>
      <c r="O594" s="3" t="inlineStr">
        <is>
          <t>강추 보시면 감동입니다 몸만오세요   대지넓어요 연접지 내집땅처럼사용가능</t>
        </is>
      </c>
      <c r="P594" s="6">
        <f>HYPERLINK("https://fin.land.naver.com/articles/2651945106", "매물Link")</f>
        <v/>
      </c>
      <c r="Q594" s="6">
        <f>HYPERLINK("https://map.naver.com/p/search/한솔동 1118", "지도Link")</f>
        <v/>
      </c>
      <c r="R594" s="6">
        <f>HYPERLINK("http://www.eum.go.kr/web/ar/lu/luLandDet.jsp?pnu=3611010600111180000&amp;isNoScr=script&amp;mode=search", "토지이음")</f>
        <v/>
      </c>
      <c r="S594" s="3" t="inlineStr">
        <is>
          <t>세종삼성래미안</t>
        </is>
      </c>
      <c r="T594" s="4" t="n">
        <v>3</v>
      </c>
      <c r="U594" s="5" t="n">
        <v>373.6</v>
      </c>
      <c r="V594" s="4" t="n">
        <v>331.3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소로한면</t>
        </is>
      </c>
    </row>
    <row r="595">
      <c r="A595" s="3" t="inlineStr">
        <is>
          <t>한솔동 1118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127000</v>
      </c>
      <c r="H595" s="4" t="n">
        <v>0</v>
      </c>
      <c r="I595" s="4" t="n">
        <v>331</v>
      </c>
      <c r="J595" s="4" t="n">
        <v>100</v>
      </c>
      <c r="K595" s="5" t="n">
        <v>1270</v>
      </c>
      <c r="L595" s="4" t="n">
        <v>164</v>
      </c>
      <c r="M595" s="4" t="n">
        <v>50</v>
      </c>
      <c r="N595" s="5" t="n">
        <v>2540</v>
      </c>
      <c r="O595" s="3" t="inlineStr">
        <is>
          <t>공원사유지 무상이용가능, 입지 좋은 한솔동 단독주택 매매</t>
        </is>
      </c>
      <c r="P595" s="6">
        <f>HYPERLINK("https://fin.land.naver.com/articles/2649007409", "매물Link")</f>
        <v/>
      </c>
      <c r="Q595" s="6">
        <f>HYPERLINK("https://map.naver.com/p/search/한솔동 1118", "지도Link")</f>
        <v/>
      </c>
      <c r="R595" s="6">
        <f>HYPERLINK("http://www.eum.go.kr/web/ar/lu/luLandDet.jsp?pnu=3611010600111180000&amp;isNoScr=script&amp;mode=search",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373.6</v>
      </c>
      <c r="V595" s="4" t="n">
        <v>331.3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소로한면</t>
        </is>
      </c>
    </row>
    <row r="596">
      <c r="A596" s="3" t="inlineStr">
        <is>
          <t>한솔동 1118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127000</v>
      </c>
      <c r="H596" s="4" t="n">
        <v>0</v>
      </c>
      <c r="I596" s="4" t="n">
        <v>331</v>
      </c>
      <c r="J596" s="4" t="n">
        <v>100</v>
      </c>
      <c r="K596" s="5" t="n">
        <v>1270</v>
      </c>
      <c r="L596" s="4" t="n">
        <v>164</v>
      </c>
      <c r="M596" s="4" t="n">
        <v>50</v>
      </c>
      <c r="N596" s="5" t="n">
        <v>2540</v>
      </c>
      <c r="O596" s="3" t="inlineStr">
        <is>
          <t>공원을 접한 단독주택, 여유로움을 누려보세요</t>
        </is>
      </c>
      <c r="P596" s="6">
        <f>HYPERLINK("https://fin.land.naver.com/articles/2652853639", "매물Link")</f>
        <v/>
      </c>
      <c r="Q596" s="6">
        <f>HYPERLINK("https://map.naver.com/p/search/한솔동 1118", "지도Link")</f>
        <v/>
      </c>
      <c r="R596" s="6">
        <f>HYPERLINK("http://www.eum.go.kr/web/ar/lu/luLandDet.jsp?pnu=3611010600111180000&amp;isNoScr=script&amp;mode=search", "토지이음")</f>
        <v/>
      </c>
      <c r="S596" s="3" t="inlineStr">
        <is>
          <t>최무연</t>
        </is>
      </c>
      <c r="T596" s="4" t="n">
        <v>2</v>
      </c>
      <c r="U596" s="5" t="n">
        <v>373.6</v>
      </c>
      <c r="V596" s="4" t="n">
        <v>331.3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한솔동 1156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급매 설계시공  대단한 건축가작품 입주 유용하게 구조 잘 지었어요</t>
        </is>
      </c>
      <c r="P597" s="6">
        <f>HYPERLINK("https://fin.land.naver.com/articles/2652797647", "매물Link")</f>
        <v/>
      </c>
      <c r="Q597" s="6">
        <f>HYPERLINK("https://map.naver.com/p/search/한솔동 1156", "지도Link")</f>
        <v/>
      </c>
      <c r="R597" s="6">
        <f>HYPERLINK("http://www.eum.go.kr/web/ar/lu/luLandDet.jsp?pnu=3611010600111560000&amp;isNoScr=script&amp;mode=search", "토지이음")</f>
        <v/>
      </c>
      <c r="S597" s="3" t="inlineStr">
        <is>
          <t>삼성래미안</t>
        </is>
      </c>
      <c r="T597" s="4" t="n">
        <v>3</v>
      </c>
      <c r="U597" s="5" t="n">
        <v>391.7</v>
      </c>
      <c r="V597" s="4" t="n">
        <v>303.1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세로장방</t>
        </is>
      </c>
      <c r="AA597" s="3" t="inlineStr">
        <is>
          <t>소로각지</t>
        </is>
      </c>
    </row>
    <row r="598">
      <c r="A598" s="3" t="inlineStr">
        <is>
          <t>한솔동 1156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135000</v>
      </c>
      <c r="H598" s="4" t="n">
        <v>0</v>
      </c>
      <c r="I598" s="4" t="n">
        <v>295</v>
      </c>
      <c r="J598" s="4" t="n">
        <v>89</v>
      </c>
      <c r="K598" s="5" t="n">
        <v>1516.9</v>
      </c>
      <c r="L598" s="4" t="n">
        <v>181</v>
      </c>
      <c r="M598" s="4" t="n">
        <v>55</v>
      </c>
      <c r="N598" s="5" t="n">
        <v>2454.5</v>
      </c>
      <c r="O598" s="3" t="inlineStr">
        <is>
          <t>유명건축가 멋지게 지은 집. 방4. 화장실3. 위치 최고</t>
        </is>
      </c>
      <c r="P598" s="6">
        <f>HYPERLINK("https://fin.land.naver.com/articles/2652331501", "매물Link")</f>
        <v/>
      </c>
      <c r="Q598" s="6">
        <f>HYPERLINK("https://map.naver.com/p/search/한솔동 1156", "지도Link")</f>
        <v/>
      </c>
      <c r="R598" s="6">
        <f>HYPERLINK("http://www.eum.go.kr/web/ar/lu/luLandDet.jsp?pnu=3611010600111560000&amp;isNoScr=script&amp;mode=search", "토지이음")</f>
        <v/>
      </c>
      <c r="S598" s="3" t="inlineStr">
        <is>
          <t>세종금밭</t>
        </is>
      </c>
      <c r="T598" s="4" t="n">
        <v>1</v>
      </c>
      <c r="U598" s="5" t="n">
        <v>391.7</v>
      </c>
      <c r="V598" s="4" t="n">
        <v>303.1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소로각지</t>
        </is>
      </c>
    </row>
    <row r="599">
      <c r="A599" s="3" t="inlineStr">
        <is>
          <t>한솔동 1219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85000</v>
      </c>
      <c r="H599" s="4" t="n">
        <v>0</v>
      </c>
      <c r="I599" s="4" t="n">
        <v>394</v>
      </c>
      <c r="J599" s="4" t="n">
        <v>119</v>
      </c>
      <c r="K599" s="5" t="n">
        <v>714.3</v>
      </c>
      <c r="L599" s="4" t="n">
        <v>99</v>
      </c>
      <c r="M599" s="4" t="n">
        <v>30</v>
      </c>
      <c r="N599" s="5" t="n">
        <v>2833.3</v>
      </c>
      <c r="O599" s="3" t="inlineStr">
        <is>
          <t>정원이 잘 가꾸어진 주택. 초,중, 고 도보권</t>
        </is>
      </c>
      <c r="P599" s="6">
        <f>HYPERLINK("https://fin.land.naver.com/articles/2649457945", "매물Link")</f>
        <v/>
      </c>
      <c r="Q599" s="6">
        <f>HYPERLINK("https://map.naver.com/p/search/한솔동 1219", "지도Link")</f>
        <v/>
      </c>
      <c r="R599" s="6">
        <f>HYPERLINK("http://www.eum.go.kr/web/ar/lu/luLandDet.jsp?pnu=3611010600112190000&amp;isNoScr=script&amp;mode=search", "토지이음")</f>
        <v/>
      </c>
      <c r="S599" s="3" t="inlineStr">
        <is>
          <t>세종삼촌</t>
        </is>
      </c>
      <c r="T599" s="4" t="n">
        <v>1</v>
      </c>
      <c r="U599" s="5" t="n">
        <v>373.6</v>
      </c>
      <c r="V599" s="4" t="n">
        <v>394.7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1219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85000</v>
      </c>
      <c r="H600" s="4" t="n">
        <v>0</v>
      </c>
      <c r="I600" s="4" t="n">
        <v>394</v>
      </c>
      <c r="J600" s="4" t="n">
        <v>119</v>
      </c>
      <c r="K600" s="5" t="n">
        <v>714.3</v>
      </c>
      <c r="L600" s="4" t="n">
        <v>99</v>
      </c>
      <c r="M600" s="4" t="n">
        <v>30</v>
      </c>
      <c r="N600" s="5" t="n">
        <v>2833.3</v>
      </c>
      <c r="O600" s="3" t="inlineStr">
        <is>
          <t>급매 추가조율협의가능 단층 철근콘크리트 가성비 주택</t>
        </is>
      </c>
      <c r="P600" s="6">
        <f>HYPERLINK("https://fin.land.naver.com/articles/2649375331", "매물Link")</f>
        <v/>
      </c>
      <c r="Q600" s="6">
        <f>HYPERLINK("https://map.naver.com/p/search/한솔동 1219", "지도Link")</f>
        <v/>
      </c>
      <c r="R600" s="6">
        <f>HYPERLINK("http://www.eum.go.kr/web/ar/lu/luLandDet.jsp?pnu=3611010600112190000&amp;isNoScr=script&amp;mode=search",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373.6</v>
      </c>
      <c r="V600" s="4" t="n">
        <v>394.7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867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95000</v>
      </c>
      <c r="H601" s="4" t="n">
        <v>0</v>
      </c>
      <c r="I601" s="4" t="n">
        <v>293</v>
      </c>
      <c r="J601" s="4" t="n">
        <v>89</v>
      </c>
      <c r="K601" s="5" t="n">
        <v>1067.4</v>
      </c>
      <c r="L601" s="4" t="n">
        <v>182</v>
      </c>
      <c r="M601" s="4" t="n">
        <v>55</v>
      </c>
      <c r="N601" s="5" t="n">
        <v>1727.3</v>
      </c>
      <c r="O601" s="3" t="inlineStr">
        <is>
          <t>막힘없이 좋아요 좋은 위치 brt 가까운 위치 입니다 방3, 화장실 2</t>
        </is>
      </c>
      <c r="P601" s="6">
        <f>HYPERLINK("https://fin.land.naver.com/articles/2651491871", "매물Link")</f>
        <v/>
      </c>
      <c r="Q601" s="6">
        <f>HYPERLINK("https://map.naver.com/p/search/한솔동 867", "지도Link")</f>
        <v/>
      </c>
      <c r="R601" s="6">
        <f>HYPERLINK("http://www.eum.go.kr/web/ar/lu/luLandDet.jsp?pnu=3611010600108670000&amp;isNoScr=script&amp;mode=search", "토지이음")</f>
        <v/>
      </c>
      <c r="S601" s="3" t="inlineStr">
        <is>
          <t>은성</t>
        </is>
      </c>
      <c r="T601" s="4" t="n">
        <v>1</v>
      </c>
      <c r="U601" s="5" t="n">
        <v>427.1</v>
      </c>
      <c r="V601" s="4" t="n">
        <v>293.3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899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3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269</v>
      </c>
      <c r="J602" s="4" t="n">
        <v>81</v>
      </c>
      <c r="K602" s="5" t="n">
        <v>1481.5</v>
      </c>
      <c r="L602" s="4" t="n">
        <v>201</v>
      </c>
      <c r="M602" s="4" t="n">
        <v>61</v>
      </c>
      <c r="N602" s="5" t="n">
        <v>1967.2</v>
      </c>
      <c r="O602" s="3" t="inlineStr">
        <is>
          <t>공원옆 코너각지 남향 가격조절가 태양열 전기차충전기 정원에카페사용공간있음</t>
        </is>
      </c>
      <c r="P602" s="6">
        <f>HYPERLINK("https://fin.land.naver.com/articles/2649425303", "매물Link")</f>
        <v/>
      </c>
      <c r="Q602" s="6">
        <f>HYPERLINK("https://map.naver.com/p/search/한솔동 899", "지도Link")</f>
        <v/>
      </c>
      <c r="R602" s="6">
        <f>HYPERLINK("http://www.eum.go.kr/web/ar/lu/luLandDet.jsp?pnu=3611010600108990000&amp;isNoScr=script&amp;mode=search", "토지이음")</f>
        <v/>
      </c>
      <c r="S602" s="3" t="inlineStr">
        <is>
          <t>세종시해냄</t>
        </is>
      </c>
      <c r="T602" s="4" t="n">
        <v>1</v>
      </c>
      <c r="U602" s="5" t="n">
        <v>418.8</v>
      </c>
      <c r="V602" s="4" t="n">
        <v>269.1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소로각지</t>
        </is>
      </c>
    </row>
    <row r="603">
      <c r="A603" s="3" t="inlineStr">
        <is>
          <t>한솔동 899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3</t>
        </is>
      </c>
      <c r="E603" s="3" t="inlineStr">
        <is>
          <t>단독</t>
        </is>
      </c>
      <c r="F603" s="3" t="inlineStr">
        <is>
          <t>매매</t>
        </is>
      </c>
      <c r="G603" s="4" t="n">
        <v>120000</v>
      </c>
      <c r="H603" s="4" t="n">
        <v>0</v>
      </c>
      <c r="I603" s="4" t="n">
        <v>269</v>
      </c>
      <c r="J603" s="4" t="n">
        <v>81</v>
      </c>
      <c r="K603" s="5" t="n">
        <v>1481.5</v>
      </c>
      <c r="L603" s="4" t="n">
        <v>201</v>
      </c>
      <c r="M603" s="4" t="n">
        <v>61</v>
      </c>
      <c r="N603" s="5" t="n">
        <v>1967.2</v>
      </c>
      <c r="O603" s="3" t="inlineStr">
        <is>
          <t>태양광, 풀에어컨, 주차2대, 한솔동 입지 좋은 주택 매매</t>
        </is>
      </c>
      <c r="P603" s="6">
        <f>HYPERLINK("https://fin.land.naver.com/articles/2650428908", "매물Link")</f>
        <v/>
      </c>
      <c r="Q603" s="6">
        <f>HYPERLINK("https://map.naver.com/p/search/한솔동 899", "지도Link")</f>
        <v/>
      </c>
      <c r="R603" s="6">
        <f>HYPERLINK("http://www.eum.go.kr/web/ar/lu/luLandDet.jsp?pnu=3611010600108990000&amp;isNoScr=script&amp;mode=search", "토지이음")</f>
        <v/>
      </c>
      <c r="S603" s="3" t="inlineStr">
        <is>
          <t>세종무지개</t>
        </is>
      </c>
      <c r="T603" s="4" t="n">
        <v>1</v>
      </c>
      <c r="U603" s="5" t="n">
        <v>418.8</v>
      </c>
      <c r="V603" s="4" t="n">
        <v>269.1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소로각지</t>
        </is>
      </c>
    </row>
    <row r="604">
      <c r="A604" s="3" t="inlineStr">
        <is>
          <t>한솔동 899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269</v>
      </c>
      <c r="J604" s="4" t="n">
        <v>81</v>
      </c>
      <c r="K604" s="5" t="n">
        <v>1481.5</v>
      </c>
      <c r="L604" s="4" t="n">
        <v>201</v>
      </c>
      <c r="M604" s="4" t="n">
        <v>61</v>
      </c>
      <c r="N604" s="5" t="n">
        <v>1967.2</v>
      </c>
      <c r="O604" s="3" t="inlineStr">
        <is>
          <t>입지 좋고 공간활용도가 높은 한솔동 단독주택 매매</t>
        </is>
      </c>
      <c r="P604" s="6">
        <f>HYPERLINK("https://fin.land.naver.com/articles/2651191540", "매물Link")</f>
        <v/>
      </c>
      <c r="Q604" s="6">
        <f>HYPERLINK("https://map.naver.com/p/search/한솔동 899", "지도Link")</f>
        <v/>
      </c>
      <c r="R604" s="6">
        <f>HYPERLINK("http://www.eum.go.kr/web/ar/lu/luLandDet.jsp?pnu=3611010600108990000&amp;isNoScr=script&amp;mode=search", "토지이음")</f>
        <v/>
      </c>
      <c r="S604" s="3" t="inlineStr">
        <is>
          <t>명진</t>
        </is>
      </c>
      <c r="T604" s="4" t="n">
        <v>1</v>
      </c>
      <c r="U604" s="5" t="n">
        <v>418.8</v>
      </c>
      <c r="V604" s="4" t="n">
        <v>269.1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소로각지</t>
        </is>
      </c>
    </row>
    <row r="605">
      <c r="A605" s="3" t="inlineStr">
        <is>
          <t>한솔동 903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115000</v>
      </c>
      <c r="H605" s="4" t="n">
        <v>0</v>
      </c>
      <c r="I605" s="4" t="n">
        <v>256</v>
      </c>
      <c r="J605" s="4" t="n">
        <v>77</v>
      </c>
      <c r="K605" s="5" t="n">
        <v>1493.5</v>
      </c>
      <c r="L605" s="4" t="n">
        <v>183</v>
      </c>
      <c r="M605" s="4" t="n">
        <v>55</v>
      </c>
      <c r="N605" s="5" t="n">
        <v>2090.9</v>
      </c>
      <c r="O605" s="3" t="inlineStr">
        <is>
          <t>전용55.6p, 층고 높은 신축 단독주택, 태양광, 주차2대</t>
        </is>
      </c>
      <c r="P605" s="6">
        <f>HYPERLINK("https://fin.land.naver.com/articles/2649006012", "매물Link")</f>
        <v/>
      </c>
      <c r="Q605" s="6">
        <f>HYPERLINK("https://map.naver.com/p/search/한솔동 903", "지도Link")</f>
        <v/>
      </c>
      <c r="R605" s="6">
        <f>HYPERLINK("http://www.eum.go.kr/web/ar/lu/luLandDet.jsp?pnu=3611010600109030000&amp;isNoScr=script&amp;mode=search", "토지이음")</f>
        <v/>
      </c>
      <c r="S605" s="3" t="inlineStr">
        <is>
          <t>명진</t>
        </is>
      </c>
      <c r="T605" s="4" t="n">
        <v>1</v>
      </c>
      <c r="U605" s="5" t="n">
        <v>427.1</v>
      </c>
      <c r="V605" s="4" t="n">
        <v>256.8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가로장방</t>
        </is>
      </c>
      <c r="AA605" s="3" t="inlineStr">
        <is>
          <t>소로각지</t>
        </is>
      </c>
    </row>
    <row r="606">
      <c r="A606" s="3" t="inlineStr">
        <is>
          <t>한솔동 903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115000</v>
      </c>
      <c r="H606" s="4" t="n">
        <v>0</v>
      </c>
      <c r="I606" s="4" t="n">
        <v>256</v>
      </c>
      <c r="J606" s="4" t="n">
        <v>77</v>
      </c>
      <c r="K606" s="5" t="n">
        <v>1493.5</v>
      </c>
      <c r="L606" s="4" t="n">
        <v>183</v>
      </c>
      <c r="M606" s="4" t="n">
        <v>55</v>
      </c>
      <c r="N606" s="5" t="n">
        <v>2090.9</v>
      </c>
      <c r="O606" s="3" t="inlineStr">
        <is>
          <t>신축 단독주택, 학원가 도보 가능, 태양광</t>
        </is>
      </c>
      <c r="P606" s="6">
        <f>HYPERLINK("https://fin.land.naver.com/articles/2647424371", "매물Link")</f>
        <v/>
      </c>
      <c r="Q606" s="6">
        <f>HYPERLINK("https://map.naver.com/p/search/한솔동 903", "지도Link")</f>
        <v/>
      </c>
      <c r="R606" s="6">
        <f>HYPERLINK("http://www.eum.go.kr/web/ar/lu/luLandDet.jsp?pnu=3611010600109030000&amp;isNoScr=script&amp;mode=search", "토지이음")</f>
        <v/>
      </c>
      <c r="S606" s="3" t="inlineStr">
        <is>
          <t>세종무지개</t>
        </is>
      </c>
      <c r="T606" s="4" t="n">
        <v>1</v>
      </c>
      <c r="U606" s="5" t="n">
        <v>427.1</v>
      </c>
      <c r="V606" s="4" t="n">
        <v>256.8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가로장방</t>
        </is>
      </c>
      <c r="AA606" s="3" t="inlineStr">
        <is>
          <t>소로각지</t>
        </is>
      </c>
    </row>
    <row r="607">
      <c r="A607" s="3" t="inlineStr">
        <is>
          <t>한솔동 903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115000</v>
      </c>
      <c r="H607" s="4" t="n">
        <v>0</v>
      </c>
      <c r="I607" s="4" t="n">
        <v>256</v>
      </c>
      <c r="J607" s="4" t="n">
        <v>77</v>
      </c>
      <c r="K607" s="5" t="n">
        <v>1493.5</v>
      </c>
      <c r="L607" s="4" t="n">
        <v>183</v>
      </c>
      <c r="M607" s="4" t="n">
        <v>55</v>
      </c>
      <c r="N607" s="5" t="n">
        <v>2090.9</v>
      </c>
      <c r="O607" s="3" t="inlineStr">
        <is>
          <t>입지좋은 단독주택 층고높고 태양광설치 가격조정가능</t>
        </is>
      </c>
      <c r="P607" s="6">
        <f>HYPERLINK("https://fin.land.naver.com/articles/2651806916", "매물Link")</f>
        <v/>
      </c>
      <c r="Q607" s="6">
        <f>HYPERLINK("https://map.naver.com/p/search/한솔동 903", "지도Link")</f>
        <v/>
      </c>
      <c r="R607" s="6">
        <f>HYPERLINK("http://www.eum.go.kr/web/ar/lu/luLandDet.jsp?pnu=3611010600109030000&amp;isNoScr=script&amp;mode=search", "토지이음")</f>
        <v/>
      </c>
      <c r="S607" s="3" t="inlineStr">
        <is>
          <t>고운동리치세종</t>
        </is>
      </c>
      <c r="T607" s="4" t="n">
        <v>2</v>
      </c>
      <c r="U607" s="5" t="n">
        <v>427.1</v>
      </c>
      <c r="V607" s="4" t="n">
        <v>256.8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가로장방</t>
        </is>
      </c>
      <c r="AA607" s="3" t="inlineStr">
        <is>
          <t>소로각지</t>
        </is>
      </c>
    </row>
    <row r="608">
      <c r="A608" s="3" t="inlineStr">
        <is>
          <t>한솔동 964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한솔동 단독주택 햇빛 잘들고 조용한집</t>
        </is>
      </c>
      <c r="P608" s="6">
        <f>HYPERLINK("https://fin.land.naver.com/articles/2651495321", "매물Link")</f>
        <v/>
      </c>
      <c r="Q608" s="6">
        <f>HYPERLINK("https://map.naver.com/p/search/한솔동 964", "지도Link")</f>
        <v/>
      </c>
      <c r="R608" s="6">
        <f>HYPERLINK("http://www.eum.go.kr/web/ar/lu/luLandDet.jsp?pnu=3611010600109640000&amp;isNoScr=script&amp;mode=search", "토지이음")</f>
        <v/>
      </c>
      <c r="S608" s="3" t="inlineStr">
        <is>
          <t>세종믿음</t>
        </is>
      </c>
      <c r="T608" s="4" t="n">
        <v>1</v>
      </c>
      <c r="U608" s="5" t="n">
        <v>985.8</v>
      </c>
      <c r="V608" s="4" t="n">
        <v>2623.4</v>
      </c>
      <c r="W608" s="3" t="inlineStr">
        <is>
          <t>지정되지않음</t>
        </is>
      </c>
      <c r="X608" s="3" t="inlineStr">
        <is>
          <t>업무용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중로한면</t>
        </is>
      </c>
    </row>
    <row r="609">
      <c r="A609" s="3" t="inlineStr">
        <is>
          <t>한솔동 996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120000</v>
      </c>
      <c r="H609" s="4" t="n">
        <v>0</v>
      </c>
      <c r="I609" s="4" t="n">
        <v>396</v>
      </c>
      <c r="J609" s="4" t="n">
        <v>120</v>
      </c>
      <c r="K609" s="5" t="n">
        <v>1000</v>
      </c>
      <c r="L609" s="4" t="n">
        <v>154</v>
      </c>
      <c r="M609" s="4" t="n">
        <v>47</v>
      </c>
      <c r="N609" s="5" t="n">
        <v>2553.2</v>
      </c>
      <c r="O609" s="3" t="inlineStr">
        <is>
          <t>nan</t>
        </is>
      </c>
      <c r="P609" s="6">
        <f>HYPERLINK("https://fin.land.naver.com/articles/2652015648", "매물Link")</f>
        <v/>
      </c>
      <c r="Q609" s="6">
        <f>HYPERLINK("https://map.naver.com/p/search/한솔동 996", "지도Link")</f>
        <v/>
      </c>
      <c r="R609" s="6">
        <f>HYPERLINK("http://www.eum.go.kr/web/ar/lu/luLandDet.jsp?pnu=3611010600109960000&amp;isNoScr=script&amp;mode=search", "토지이음")</f>
        <v/>
      </c>
      <c r="S609" s="3" t="inlineStr">
        <is>
          <t>그래그</t>
        </is>
      </c>
      <c r="T609" s="4" t="n">
        <v>1</v>
      </c>
      <c r="U609" s="5" t="n">
        <v>296.8</v>
      </c>
      <c r="V609" s="4" t="n">
        <v>396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소로한면</t>
        </is>
      </c>
    </row>
    <row r="610">
      <c r="A610" s="3" t="inlineStr">
        <is>
          <t>한솔동 997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130000</v>
      </c>
      <c r="H610" s="4" t="n">
        <v>0</v>
      </c>
      <c r="I610" s="4" t="n">
        <v>393</v>
      </c>
      <c r="J610" s="4" t="n">
        <v>119</v>
      </c>
      <c r="K610" s="5" t="n">
        <v>1092.4</v>
      </c>
      <c r="L610" s="4" t="n">
        <v>196</v>
      </c>
      <c r="M610" s="4" t="n">
        <v>59</v>
      </c>
      <c r="N610" s="5" t="n">
        <v>2203.4</v>
      </c>
      <c r="O610" s="3" t="inlineStr">
        <is>
          <t>급매 1년차 최신축 현대식 세련된 내부인테리어 방3개 욕실3개</t>
        </is>
      </c>
      <c r="P610" s="6">
        <f>HYPERLINK("https://fin.land.naver.com/articles/2652943099", "매물Link")</f>
        <v/>
      </c>
      <c r="Q610" s="6">
        <f>HYPERLINK("https://map.naver.com/p/search/한솔동 997", "지도Link")</f>
        <v/>
      </c>
      <c r="R610" s="6">
        <f>HYPERLINK("http://www.eum.go.kr/web/ar/lu/luLandDet.jsp?pnu=3611010600109970000&amp;isNoScr=script&amp;mode=search", "토지이음")</f>
        <v/>
      </c>
      <c r="S610" s="3" t="inlineStr">
        <is>
          <t>세종스타</t>
        </is>
      </c>
      <c r="T610" s="4" t="n">
        <v>1</v>
      </c>
      <c r="U610" s="5" t="n">
        <v>302.8</v>
      </c>
      <c r="V610" s="4" t="n">
        <v>393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정방형</t>
        </is>
      </c>
      <c r="AA610" s="3" t="inlineStr">
        <is>
          <t>소로한면</t>
        </is>
      </c>
    </row>
    <row r="611">
      <c r="A611" s="3" t="inlineStr">
        <is>
          <t>해밀동 665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전원주택</t>
        </is>
      </c>
      <c r="F611" s="3" t="inlineStr">
        <is>
          <t>월세</t>
        </is>
      </c>
      <c r="G611" s="4" t="n">
        <v>13000</v>
      </c>
      <c r="H611" s="4" t="n">
        <v>160</v>
      </c>
      <c r="I611" s="4" t="n">
        <v>34</v>
      </c>
      <c r="J611" s="4" t="n">
        <v>10</v>
      </c>
      <c r="K611" s="5" t="n">
        <v>16</v>
      </c>
      <c r="L611" s="4" t="n">
        <v>933</v>
      </c>
      <c r="M611" s="4" t="n">
        <v>282</v>
      </c>
      <c r="N611" s="5" t="n">
        <v>0.6</v>
      </c>
      <c r="O611" s="3" t="inlineStr">
        <is>
          <t>해밀동 라포르테 단독주택 월세</t>
        </is>
      </c>
      <c r="P611" s="6">
        <f>HYPERLINK("https://fin.land.naver.com/articles/2649244700", "매물Link")</f>
        <v/>
      </c>
      <c r="Q611" s="6">
        <f>HYPERLINK("https://map.naver.com/p/search/해밀동 665", "지도Link")</f>
        <v/>
      </c>
      <c r="R611" s="6">
        <f>HYPERLINK("http://www.eum.go.kr/web/ar/lu/luLandDet.jsp?pnu=3611011600106650000&amp;isNoScr=script&amp;mode=search", "토지이음")</f>
        <v/>
      </c>
      <c r="S611" s="3" t="inlineStr">
        <is>
          <t>태양</t>
        </is>
      </c>
      <c r="T611" s="4" t="n">
        <v>1</v>
      </c>
      <c r="U611" s="5" t="n">
        <v>215.1</v>
      </c>
      <c r="V611" s="4" t="n">
        <v>34519</v>
      </c>
      <c r="W611" s="3" t="inlineStr">
        <is>
          <t>지정되지않음</t>
        </is>
      </c>
      <c r="X611" s="3" t="inlineStr">
        <is>
          <t>연립</t>
        </is>
      </c>
      <c r="Y611" s="3" t="inlineStr">
        <is>
          <t>평지</t>
        </is>
      </c>
      <c r="Z611" s="3" t="inlineStr">
        <is>
          <t>부정형</t>
        </is>
      </c>
      <c r="AA611" s="3" t="inlineStr">
        <is>
          <t>광대소각</t>
        </is>
      </c>
    </row>
    <row r="612">
      <c r="A612" s="3" t="inlineStr">
        <is>
          <t>해밀동 674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단독</t>
        </is>
      </c>
      <c r="F612" s="3" t="inlineStr">
        <is>
          <t>월세</t>
        </is>
      </c>
      <c r="G612" s="4" t="n">
        <v>50000</v>
      </c>
      <c r="H612" s="4" t="n">
        <v>120</v>
      </c>
      <c r="I612" s="4" t="n">
        <v>241</v>
      </c>
      <c r="J612" s="4" t="n">
        <v>73</v>
      </c>
      <c r="K612" s="5" t="n">
        <v>1.6</v>
      </c>
      <c r="L612" s="4" t="n">
        <v>232</v>
      </c>
      <c r="M612" s="4" t="n">
        <v>70</v>
      </c>
      <c r="N612" s="5" t="n">
        <v>1.7</v>
      </c>
      <c r="O612" s="3" t="inlineStr">
        <is>
          <t>리즈데이즈 12월말부터 입주가능 보증금월세 탄력조율</t>
        </is>
      </c>
      <c r="P612" s="6">
        <f>HYPERLINK("https://fin.land.naver.com/articles/2651299492", "매물Link")</f>
        <v/>
      </c>
      <c r="Q612" s="6">
        <f>HYPERLINK("https://map.naver.com/p/search/해밀동 674", "지도Link")</f>
        <v/>
      </c>
      <c r="R612" s="6">
        <f>HYPERLINK("http://www.eum.go.kr/web/ar/lu/luLandDet.jsp?pnu=3611011600106740000&amp;isNoScr=script&amp;mode=search", "토지이음")</f>
        <v/>
      </c>
      <c r="S612" s="3" t="inlineStr">
        <is>
          <t>세종스타</t>
        </is>
      </c>
      <c r="T612" s="4" t="n">
        <v>1</v>
      </c>
      <c r="U612" s="5" t="n">
        <v>243.4</v>
      </c>
      <c r="V612" s="4" t="n">
        <v>9076.4</v>
      </c>
      <c r="W612" s="3" t="inlineStr">
        <is>
          <t>지정되지않음</t>
        </is>
      </c>
      <c r="X612" s="3" t="inlineStr">
        <is>
          <t>주거나지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중로각지</t>
        </is>
      </c>
    </row>
    <row r="613">
      <c r="A613" s="3" t="inlineStr">
        <is>
          <t>해밀동 692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전세</t>
        </is>
      </c>
      <c r="G613" s="4" t="n">
        <v>100000</v>
      </c>
      <c r="H613" s="4" t="n">
        <v>0</v>
      </c>
      <c r="I613" s="4" t="n">
        <v>0</v>
      </c>
      <c r="J613" s="4" t="n">
        <v>0</v>
      </c>
      <c r="K613" s="5" t="n">
        <v>0</v>
      </c>
      <c r="L613" s="4" t="n">
        <v>219</v>
      </c>
      <c r="M613" s="4" t="n">
        <v>66</v>
      </c>
      <c r="N613" s="5" t="n">
        <v>1515.2</v>
      </c>
      <c r="O613" s="3" t="inlineStr">
        <is>
          <t>복층형 누다락써비스공간 방4 화장실3 내집마당 테라스2 융무전세</t>
        </is>
      </c>
      <c r="P613" s="6">
        <f>HYPERLINK("https://fin.land.naver.com/articles/2647618634", "매물Link")</f>
        <v/>
      </c>
      <c r="Q613" s="6">
        <f>HYPERLINK("https://map.naver.com/p/search/해밀동 692", "지도Link")</f>
        <v/>
      </c>
      <c r="R613" s="6">
        <f>HYPERLINK("http://www.eum.go.kr/web/ar/lu/luLandDet.jsp?pnu=3611011600106920000&amp;isNoScr=script&amp;mode=search", "토지이음")</f>
        <v/>
      </c>
      <c r="S613" s="3" t="inlineStr">
        <is>
          <t>홍기표</t>
        </is>
      </c>
      <c r="T613" s="4" t="n">
        <v>1</v>
      </c>
      <c r="U613" s="5" t="n">
        <v>243.4</v>
      </c>
      <c r="V613" s="4" t="n">
        <v>6242.7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중로각지</t>
        </is>
      </c>
    </row>
    <row r="614">
      <c r="A614" s="3" t="inlineStr">
        <is>
          <t>해밀동 692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전세</t>
        </is>
      </c>
      <c r="G614" s="4" t="n">
        <v>100000</v>
      </c>
      <c r="H614" s="4" t="n">
        <v>0</v>
      </c>
      <c r="I614" s="4" t="n">
        <v>257</v>
      </c>
      <c r="J614" s="4" t="n">
        <v>78</v>
      </c>
      <c r="K614" s="5" t="n">
        <v>1282.1</v>
      </c>
      <c r="L614" s="4" t="n">
        <v>219</v>
      </c>
      <c r="M614" s="4" t="n">
        <v>66</v>
      </c>
      <c r="N614" s="5" t="n">
        <v>1515.2</v>
      </c>
      <c r="O614" s="3" t="inlineStr">
        <is>
          <t>융무귀한전세매물, 방4, 화장실3</t>
        </is>
      </c>
      <c r="P614" s="6">
        <f>HYPERLINK("https://fin.land.naver.com/articles/2652916996", "매물Link")</f>
        <v/>
      </c>
      <c r="Q614" s="6">
        <f>HYPERLINK("https://map.naver.com/p/search/해밀동 692", "지도Link")</f>
        <v/>
      </c>
      <c r="R614" s="6">
        <f>HYPERLINK("http://www.eum.go.kr/web/ar/lu/luLandDet.jsp?pnu=3611011600106920000&amp;isNoScr=script&amp;mode=search", "토지이음")</f>
        <v/>
      </c>
      <c r="S614" s="3" t="inlineStr">
        <is>
          <t>세종국제</t>
        </is>
      </c>
      <c r="T614" s="4" t="n">
        <v>1</v>
      </c>
      <c r="U614" s="5" t="n">
        <v>243.4</v>
      </c>
      <c r="V614" s="4" t="n">
        <v>6242.7</v>
      </c>
      <c r="W614" s="3" t="inlineStr">
        <is>
          <t>지정되지않음</t>
        </is>
      </c>
      <c r="X614" s="3" t="inlineStr">
        <is>
          <t>주거나지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중로각지</t>
        </is>
      </c>
    </row>
    <row r="615">
      <c r="A615" s="3" t="inlineStr">
        <is>
          <t>해밀동 692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전세</t>
        </is>
      </c>
      <c r="G615" s="4" t="n">
        <v>90000</v>
      </c>
      <c r="H615" s="4" t="n">
        <v>0</v>
      </c>
      <c r="I615" s="4" t="n">
        <v>231</v>
      </c>
      <c r="J615" s="4" t="n">
        <v>70</v>
      </c>
      <c r="K615" s="5" t="n">
        <v>1285.7</v>
      </c>
      <c r="L615" s="4" t="n">
        <v>219</v>
      </c>
      <c r="M615" s="4" t="n">
        <v>66</v>
      </c>
      <c r="N615" s="5" t="n">
        <v>1363.6</v>
      </c>
      <c r="O615" s="3" t="inlineStr">
        <is>
          <t>nan</t>
        </is>
      </c>
      <c r="P615" s="6">
        <f>HYPERLINK("https://fin.land.naver.com/articles/2650183763", "매물Link")</f>
        <v/>
      </c>
      <c r="Q615" s="6">
        <f>HYPERLINK("https://map.naver.com/p/search/해밀동 692", "지도Link")</f>
        <v/>
      </c>
      <c r="R615" s="6">
        <f>HYPERLINK("http://www.eum.go.kr/web/ar/lu/luLandDet.jsp?pnu=3611011600106920000&amp;isNoScr=script&amp;mode=search",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243.4</v>
      </c>
      <c r="V615" s="4" t="n">
        <v>6242.7</v>
      </c>
      <c r="W615" s="3" t="inlineStr">
        <is>
          <t>지정되지않음</t>
        </is>
      </c>
      <c r="X615" s="3" t="inlineStr">
        <is>
          <t>주거나지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중로각지</t>
        </is>
      </c>
    </row>
    <row r="616">
      <c r="A616" s="3" t="inlineStr">
        <is>
          <t>해밀동 694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전세</t>
        </is>
      </c>
      <c r="G616" s="4" t="n">
        <v>65000</v>
      </c>
      <c r="H616" s="4" t="n">
        <v>0</v>
      </c>
      <c r="I616" s="4" t="n">
        <v>0</v>
      </c>
      <c r="J616" s="4" t="n">
        <v>0</v>
      </c>
      <c r="K616" s="5" t="n">
        <v>0</v>
      </c>
      <c r="L616" s="4" t="n">
        <v>173</v>
      </c>
      <c r="M616" s="4" t="n">
        <v>52</v>
      </c>
      <c r="N616" s="5" t="n">
        <v>1250</v>
      </c>
      <c r="O616" s="3" t="inlineStr">
        <is>
          <t>신축 즉시입주가능 방4개 욕실3개 태양광시공</t>
        </is>
      </c>
      <c r="P616" s="6">
        <f>HYPERLINK("https://fin.land.naver.com/articles/2652918023", "매물Link")</f>
        <v/>
      </c>
      <c r="Q616" s="6">
        <f>HYPERLINK("https://map.naver.com/p/search/해밀동 694", "지도Link")</f>
        <v/>
      </c>
      <c r="R616" s="6">
        <f>HYPERLINK("http://www.eum.go.kr/web/ar/lu/luLandDet.jsp?pnu=3611011600106940000&amp;isNoScr=script&amp;mode=search", "토지이음")</f>
        <v/>
      </c>
      <c r="S616" s="3" t="inlineStr">
        <is>
          <t>세종스타</t>
        </is>
      </c>
      <c r="T616" s="4" t="n">
        <v>2</v>
      </c>
      <c r="U616" s="5" t="n">
        <v>227.3</v>
      </c>
      <c r="V616" s="4" t="n">
        <v>7358.1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해밀동 701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월세</t>
        </is>
      </c>
      <c r="G617" s="4" t="n">
        <v>5000</v>
      </c>
      <c r="H617" s="4" t="n">
        <v>250</v>
      </c>
      <c r="I617" s="4" t="n">
        <v>0</v>
      </c>
      <c r="J617" s="4" t="n">
        <v>0</v>
      </c>
      <c r="K617" s="5" t="n">
        <v>0</v>
      </c>
      <c r="L617" s="4" t="n">
        <v>167</v>
      </c>
      <c r="M617" s="4" t="n">
        <v>51</v>
      </c>
      <c r="N617" s="5" t="n">
        <v>4.9</v>
      </c>
      <c r="O617" s="3" t="inlineStr">
        <is>
          <t>방3, 가족실, 거실, 테라스, 에어컨6대, 조용한 복층 타운하우스</t>
        </is>
      </c>
      <c r="P617" s="6">
        <f>HYPERLINK("https://fin.land.naver.com/articles/2650740639", "매물Link")</f>
        <v/>
      </c>
      <c r="Q617" s="6">
        <f>HYPERLINK("https://map.naver.com/p/search/해밀동 701", "지도Link")</f>
        <v/>
      </c>
      <c r="R617" s="6">
        <f>HYPERLINK("http://www.eum.go.kr/web/ar/lu/luLandDet.jsp?pnu=3611011600107010000&amp;isNoScr=script&amp;mode=search", "토지이음")</f>
        <v/>
      </c>
      <c r="S617" s="3" t="inlineStr">
        <is>
          <t>다정한길</t>
        </is>
      </c>
      <c r="T617" s="4" t="n">
        <v>1</v>
      </c>
      <c r="U617" s="5" t="n">
        <v>219.8</v>
      </c>
      <c r="V617" s="4" t="n">
        <v>3265.3</v>
      </c>
      <c r="W617" s="3" t="inlineStr">
        <is>
          <t>지정되지않음</t>
        </is>
      </c>
      <c r="X617" s="3" t="inlineStr">
        <is>
          <t>주거나지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</sheetData>
  <autoFilter ref="A1:AA6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615</v>
      </c>
      <c r="I54" s="5" t="n">
        <v>118.7</v>
      </c>
      <c r="J54" s="5" t="n">
        <v>57.8</v>
      </c>
      <c r="K54" s="3" t="inlineStr">
        <is>
          <t>산단리 1355번지 공장 제조업등 허가등</t>
        </is>
      </c>
      <c r="L54" s="6">
        <f>HYPERLINK("https://fin.land.naver.com/articles/2647723025",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150000</v>
      </c>
      <c r="G56" s="4" t="n">
        <v>4135</v>
      </c>
      <c r="H56" s="4" t="n">
        <v>1251</v>
      </c>
      <c r="I56" s="5" t="n">
        <v>119.9</v>
      </c>
      <c r="J56" s="5" t="n">
        <v>57.8</v>
      </c>
      <c r="K56" s="3" t="inlineStr">
        <is>
          <t>사진有.제조업소허가 득. 토목공사완료.분할매매가능.</t>
        </is>
      </c>
      <c r="L56" s="6">
        <f>HYPERLINK("https://fin.land.naver.com/articles/2648349271",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오너스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HYPERLINK("https://fin.land.naver.com/articles/2649617360",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HYPERLINK("https://fin.land.naver.com/articles/2652718670",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6M도로접  땅모양 좋음 잡석 깔려 있어 깔끔해요</t>
        </is>
      </c>
      <c r="L109" s="6">
        <f>HYPERLINK("https://fin.land.naver.com/articles/2648890539",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신두꺼비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HYPERLINK("https://fin.land.naver.com/articles/2652961866",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568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e교차로합동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급매위치좋은코너자리고운동학교 상권 이용편리</t>
        </is>
      </c>
      <c r="L209" s="6">
        <f>HYPERLINK("https://fin.land.naver.com/articles/2652006650",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세종시토지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사거리 코너 각지 위치, 입지 좋은 토지매매</t>
        </is>
      </c>
      <c r="L211" s="6">
        <f>HYPERLINK("https://fin.land.naver.com/articles/2651778717",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사거리 코너, 입지 좋은 토지, 3면 각지, 전원주택지 토지매매</t>
        </is>
      </c>
      <c r="L214" s="6">
        <f>HYPERLINK("https://fin.land.naver.com/articles/2651189033",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364</v>
      </c>
      <c r="H215" s="4" t="n">
        <v>110</v>
      </c>
      <c r="I215" s="5" t="n">
        <v>545.5</v>
      </c>
      <c r="J215" s="5" t="n">
        <v>346.4</v>
      </c>
      <c r="K215" s="3" t="inlineStr">
        <is>
          <t>코너자리로 입지최고 고운동학교 상권이용편리 가격조정가능</t>
        </is>
      </c>
      <c r="L215" s="6">
        <f>HYPERLINK("https://fin.land.naver.com/articles/2651803985",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HYPERLINK("https://fin.land.naver.com/articles/2651904310",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nan</t>
        </is>
      </c>
      <c r="L219" s="6">
        <f>HYPERLINK("https://fin.land.naver.com/articles/2651033529",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전용 109.6P, 두루고등학교앞, 단독주택지</t>
        </is>
      </c>
      <c r="L220" s="6">
        <f>HYPERLINK("https://fin.land.naver.com/articles/2648900135",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109.6p, 유.초등학교인근, 고등학교 인근</t>
        </is>
      </c>
      <c r="L221" s="6">
        <f>HYPERLINK("https://fin.land.naver.com/articles/2648840606",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두루고 앞, 고운동 단독주택지 매매</t>
        </is>
      </c>
      <c r="L223" s="6">
        <f>HYPERLINK("https://fin.land.naver.com/articles/2651776855",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o택지추천o 두루고 가락초 인근. 남향. 네모 반듯.</t>
        </is>
      </c>
      <c r="L224" s="6">
        <f>HYPERLINK("https://fin.land.naver.com/articles/2652096465",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세종썬</t>
        </is>
      </c>
      <c r="P224" s="4" t="n">
        <v>3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항아리상권 가까운 생활인프라 좋은 토지 매매</t>
        </is>
      </c>
      <c r="L227" s="6">
        <f>HYPERLINK("https://fin.land.naver.com/articles/2651188831",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상가근접한 입지좋은택지,</t>
        </is>
      </c>
      <c r="L229" s="6">
        <f>HYPERLINK("https://fin.land.naver.com/articles/2653085815",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세종황소</t>
        </is>
      </c>
      <c r="P229" s="4" t="n">
        <v>2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59000</v>
      </c>
      <c r="G232" s="4" t="n">
        <v>339</v>
      </c>
      <c r="H232" s="4" t="n">
        <v>103</v>
      </c>
      <c r="I232" s="5" t="n">
        <v>572.8</v>
      </c>
      <c r="J232" s="5" t="n">
        <v>320.9</v>
      </c>
      <c r="K232" s="3" t="inlineStr">
        <is>
          <t>위치좋고 저렴한 코너각지 남향의 최 상급 주택부지</t>
        </is>
      </c>
      <c r="L232" s="6">
        <f>HYPERLINK("https://fin.land.naver.com/articles/2652931210",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대전토지로무소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329</v>
      </c>
      <c r="H236" s="4" t="n">
        <v>100</v>
      </c>
      <c r="I236" s="5" t="n">
        <v>800</v>
      </c>
      <c r="J236" s="5" t="n">
        <v>383.8</v>
      </c>
      <c r="K236" s="3" t="inlineStr">
        <is>
          <t>삼거리 코너, 토지매매, 실개천 인근</t>
        </is>
      </c>
      <c r="L236" s="6">
        <f>HYPERLINK("https://fin.land.naver.com/articles/2651948549",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332</v>
      </c>
      <c r="H238" s="4" t="n">
        <v>100</v>
      </c>
      <c r="I238" s="5" t="n">
        <v>950</v>
      </c>
      <c r="J238" s="5" t="n">
        <v>336.5</v>
      </c>
      <c r="K238" s="3" t="inlineStr">
        <is>
          <t>100.91p, 개방감 좋은 실개천 인근 토지</t>
        </is>
      </c>
      <c r="L238" s="6">
        <f>HYPERLINK("https://fin.land.naver.com/articles/2650893334",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총 106.3p, 공원바로 옆, 도로인접 위치 좋은 전원주택지</t>
        </is>
      </c>
      <c r="L241" s="6">
        <f>HYPERLINK("https://fin.land.naver.com/articles/2648899207",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106.3p, 실개천 앞, 공원인근</t>
        </is>
      </c>
      <c r="L242" s="6">
        <f>HYPERLINK("https://fin.land.naver.com/articles/2650427456",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급매 추가조율가능 넓은평수 뒤로보행로접</t>
        </is>
      </c>
      <c r="L247" s="6">
        <f>HYPERLINK("https://fin.land.naver.com/articles/2652418961",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고운동 생활인프라 좋은 위치 토지매매</t>
        </is>
      </c>
      <c r="L249" s="6">
        <f>HYPERLINK("https://fin.land.naver.com/articles/2651942130",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급매 추가조율가능 남향 코너각지</t>
        </is>
      </c>
      <c r="L255" s="6">
        <f>HYPERLINK("https://fin.land.naver.com/articles/2651115923",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348</v>
      </c>
      <c r="H260" s="4" t="n">
        <v>105</v>
      </c>
      <c r="I260" s="5" t="n">
        <v>609.5</v>
      </c>
      <c r="J260" s="5" t="n">
        <v>332.9</v>
      </c>
      <c r="K260" s="3" t="inlineStr">
        <is>
          <t>총 105.7p, 정남향, 상가인근 토지</t>
        </is>
      </c>
      <c r="L260" s="6">
        <f>HYPERLINK("https://fin.land.naver.com/articles/2647420830",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361</v>
      </c>
      <c r="H268" s="4" t="n">
        <v>109</v>
      </c>
      <c r="I268" s="5" t="n">
        <v>1009.2</v>
      </c>
      <c r="J268" s="5" t="n">
        <v>771.9</v>
      </c>
      <c r="K268" s="3" t="inlineStr">
        <is>
          <t>대로변 근생부지 매매</t>
        </is>
      </c>
      <c r="L268" s="6">
        <f>HYPERLINK("https://fin.land.naver.com/articles/2651891397",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창고의여왕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99000</v>
      </c>
      <c r="G269" s="4" t="n">
        <v>361</v>
      </c>
      <c r="H269" s="4" t="n">
        <v>109</v>
      </c>
      <c r="I269" s="5" t="n">
        <v>908.3</v>
      </c>
      <c r="J269" s="5" t="n">
        <v>771.9</v>
      </c>
      <c r="K269" s="3" t="inlineStr">
        <is>
          <t>I 급매 I 먹자골목 메인 대로변 파격 급매 근생용지, 직접 지어서 운영</t>
        </is>
      </c>
      <c r="L269" s="6">
        <f>HYPERLINK("https://fin.land.naver.com/articles/2648523071",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세종신한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HYPERLINK("https://fin.land.naver.com/articles/2652843053",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HYPERLINK("https://fin.land.naver.com/articles/2648898784",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급 매매 평수 좋음</t>
        </is>
      </c>
      <c r="L275" s="6">
        <f>HYPERLINK("https://fin.land.naver.com/articles/2649564858",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급매 3면코너각지 산조망 위치최상 조율가능</t>
        </is>
      </c>
      <c r="L282" s="6">
        <f>HYPERLINK("https://fin.land.naver.com/articles/2648615408",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급매 추가조율가능 지대높음 실개천인근 초중고도보5분</t>
        </is>
      </c>
      <c r="L288" s="6">
        <f>HYPERLINK("https://fin.land.naver.com/articles/2648615800",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105.5p, 공원 옆 전망 좋은 단독주택 토지 매매</t>
        </is>
      </c>
      <c r="L290" s="6">
        <f>HYPERLINK("https://fin.land.naver.com/articles/2648127338",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334</v>
      </c>
      <c r="H297" s="4" t="n">
        <v>101</v>
      </c>
      <c r="I297" s="5" t="n">
        <v>564.4</v>
      </c>
      <c r="J297" s="5" t="n">
        <v>297.1</v>
      </c>
      <c r="K297" s="3" t="inlineStr">
        <is>
          <t>급매 조율가능 고운초중 도보3분 학원상권 복컴 도보5분</t>
        </is>
      </c>
      <c r="L297" s="6">
        <f>HYPERLINK("https://fin.land.naver.com/articles/2648979457",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급매 대형면적 공원접한 위치최상</t>
        </is>
      </c>
      <c r="L302" s="6">
        <f>HYPERLINK("https://fin.land.naver.com/articles/2650369741",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HYPERLINK("https://fin.land.naver.com/articles/2648024777",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 코너각지 상권 학교 가까움 추가조율가능</t>
        </is>
      </c>
      <c r="L308" s="6">
        <f>HYPERLINK("https://fin.land.naver.com/articles/2652289680",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급매,막힘없는 코너각지,주민센터 및 항아리중심상권</t>
        </is>
      </c>
      <c r="L310" s="6">
        <f>HYPERLINK("https://fin.land.naver.com/articles/2650851183",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고운맘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세종시 고운동 상업지역 토지 매매</t>
        </is>
      </c>
      <c r="L322" s="6">
        <f>HYPERLINK("https://fin.land.naver.com/articles/2649606368",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행복가득한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고운동 상업지역 토지 매매</t>
        </is>
      </c>
      <c r="L323" s="6">
        <f>HYPERLINK("https://fin.land.naver.com/articles/2652224485",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황금도장</t>
        </is>
      </c>
      <c r="P323" s="4" t="n">
        <v>4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615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HYPERLINK("https://fin.land.naver.com/articles/2650459401",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수자인시티</t>
        </is>
      </c>
      <c r="P325" s="4" t="n">
        <v>2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파크힐즈 토지매매, 삼거리 앞</t>
        </is>
      </c>
      <c r="L327" s="6">
        <f>HYPERLINK("https://fin.land.naver.com/articles/2648833625",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총 117p, 파크힐즈, 조율가능, 입지좋은 곳</t>
        </is>
      </c>
      <c r="L328" s="6">
        <f>HYPERLINK("https://fin.land.naver.com/articles/2648414195",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290</v>
      </c>
      <c r="H355" s="4" t="n">
        <v>88</v>
      </c>
      <c r="I355" s="5" t="n">
        <v>568.2</v>
      </c>
      <c r="J355" s="5" t="n">
        <v>249.7</v>
      </c>
      <c r="K355" s="3" t="inlineStr">
        <is>
          <t>한옥마을토지 급매, 조율도 가능합니다</t>
        </is>
      </c>
      <c r="L355" s="6">
        <f>HYPERLINK("https://fin.land.naver.com/articles/2647424210",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한옥마을  귀한 근생 용지 .   커피숍 ,식당 등추천, 주변 아파트밀집</t>
        </is>
      </c>
      <c r="L357" s="6">
        <f>HYPERLINK("https://fin.land.naver.com/articles/2650760466",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세종특별시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고운동한옥마을 근생용지 도로변인접 노출이 잘되는 입지</t>
        </is>
      </c>
      <c r="L358" s="6">
        <f>HYPERLINK("https://fin.land.naver.com/articles/2651808448",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네이플리브 단독주택지 토지</t>
        </is>
      </c>
      <c r="L362" s="6">
        <f>HYPERLINK("https://fin.land.naver.com/articles/2648832670",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374</v>
      </c>
      <c r="H363" s="4" t="n">
        <v>113</v>
      </c>
      <c r="I363" s="5" t="n">
        <v>495.6</v>
      </c>
      <c r="J363" s="5" t="n">
        <v>319.6</v>
      </c>
      <c r="K363" s="3" t="inlineStr">
        <is>
          <t>고운동 단독주택지</t>
        </is>
      </c>
      <c r="L363" s="6">
        <f>HYPERLINK("https://fin.land.naver.com/articles/2648385636",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현대파라곤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HYPERLINK("https://fin.land.naver.com/articles/2653033687",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코지빌 토지매매, 공원 옆, 앞쪽 입지 좋은 토지</t>
        </is>
      </c>
      <c r="L376" s="6">
        <f>HYPERLINK("https://fin.land.naver.com/articles/2651770499",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290</v>
      </c>
      <c r="H377" s="4" t="n">
        <v>88</v>
      </c>
      <c r="I377" s="5" t="n">
        <v>500</v>
      </c>
      <c r="J377" s="5" t="n">
        <v>319.6</v>
      </c>
      <c r="K377" s="3" t="inlineStr">
        <is>
          <t>nan</t>
        </is>
      </c>
      <c r="L377" s="6">
        <f>HYPERLINK("https://fin.land.naver.com/articles/2650960095",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288</v>
      </c>
      <c r="H378" s="4" t="n">
        <v>87</v>
      </c>
      <c r="I378" s="5" t="n">
        <v>505.7</v>
      </c>
      <c r="J378" s="5" t="n">
        <v>319.6</v>
      </c>
      <c r="K378" s="3" t="inlineStr">
        <is>
          <t>급매, 코지빌 단독주택지 토지매매</t>
        </is>
      </c>
      <c r="L378" s="6">
        <f>HYPERLINK("https://fin.land.naver.com/articles/2651946502",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HYPERLINK("https://fin.land.naver.com/articles/2650943280",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지대높아 전망좋은 토지</t>
        </is>
      </c>
      <c r="L397" s="6">
        <f>HYPERLINK("https://fin.land.naver.com/articles/2649578017",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HYPERLINK("https://fin.land.naver.com/articles/2647421229",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급매,넓은평수,복합커뮤니티센터,항아리중심상권 생활권 편리</t>
        </is>
      </c>
      <c r="L399" s="6">
        <f>HYPERLINK("https://fin.land.naver.com/articles/2650851671",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삼거리 코너 각지, 입지 좋은 토지매매</t>
        </is>
      </c>
      <c r="L400" s="6">
        <f>HYPERLINK("https://fin.land.naver.com/articles/2651188999",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코너각지,복합커뮤니티센터,항아리중심상권 생활권 편리,가격조정가능</t>
        </is>
      </c>
      <c r="L401" s="6">
        <f>HYPERLINK("https://fin.land.naver.com/articles/2650947653",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345</v>
      </c>
      <c r="H402" s="4" t="n">
        <v>104</v>
      </c>
      <c r="I402" s="5" t="n">
        <v>596.2</v>
      </c>
      <c r="J402" s="5" t="n">
        <v>329.9</v>
      </c>
      <c r="K402" s="3" t="inlineStr">
        <is>
          <t>입지 좋은 고운동 토지매매, 코너 각지 위치</t>
        </is>
      </c>
      <c r="L402" s="6">
        <f>HYPERLINK("https://fin.land.naver.com/articles/2651905795",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1219</v>
      </c>
      <c r="H414" s="4" t="n">
        <v>369</v>
      </c>
      <c r="I414" s="5" t="n">
        <v>130.1</v>
      </c>
      <c r="J414" s="5" t="n">
        <v>46.8</v>
      </c>
      <c r="K414" s="3" t="inlineStr">
        <is>
          <t>가마리 토지매매 경치 좋아요 주말농장 원하시는 분 추천</t>
        </is>
      </c>
      <c r="L414" s="6">
        <f>HYPERLINK("https://fin.land.naver.com/articles/2649177273",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힐데스하임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1223</v>
      </c>
      <c r="H415" s="4" t="n">
        <v>370</v>
      </c>
      <c r="I415" s="5" t="n">
        <v>129.7</v>
      </c>
      <c r="J415" s="5" t="n">
        <v>46.8</v>
      </c>
      <c r="K415" s="3" t="inlineStr">
        <is>
          <t>자연녹지, 가마리 경지좋고 공기 좋아요, 주말농장으로 강추입니다.</t>
        </is>
      </c>
      <c r="L415" s="6">
        <f>HYPERLINK("https://fin.land.naver.com/articles/2649282375",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1293</v>
      </c>
      <c r="H420" s="4" t="n">
        <v>391</v>
      </c>
      <c r="I420" s="5" t="n">
        <v>588.2</v>
      </c>
      <c r="J420" s="5" t="n">
        <v>100.9</v>
      </c>
      <c r="K420" s="3" t="inlineStr">
        <is>
          <t>가마리 가마교차로인근 6차선도로변접 대로변에 길게 접함</t>
        </is>
      </c>
      <c r="L420" s="6">
        <f>HYPERLINK("https://fin.land.naver.com/articles/2651209994",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프라임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1377</v>
      </c>
      <c r="H421" s="4" t="n">
        <v>417</v>
      </c>
      <c r="I421" s="5" t="n">
        <v>551.6</v>
      </c>
      <c r="J421" s="5" t="n">
        <v>100.9</v>
      </c>
      <c r="K421" s="3" t="inlineStr">
        <is>
          <t>최근 개발되고 있는 신분평지구인근으로 다양한 용도 가능한 귀한매물</t>
        </is>
      </c>
      <c r="L421" s="6">
        <f>HYPERLINK("https://fin.land.naver.com/articles/2649136095",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청주원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HYPERLINK("https://fin.land.naver.com/articles/2648030051",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28400</v>
      </c>
      <c r="G436" s="4" t="n">
        <v>1174</v>
      </c>
      <c r="H436" s="4" t="n">
        <v>355</v>
      </c>
      <c r="I436" s="5" t="n">
        <v>80</v>
      </c>
      <c r="J436" s="5" t="n">
        <v>26.8</v>
      </c>
      <c r="K436" s="3" t="inlineStr">
        <is>
          <t>2차선 도로에 접한 자연녹지지역의 전원주택 및 근린생활용지</t>
        </is>
      </c>
      <c r="L436" s="6">
        <f>HYPERLINK("https://fin.land.naver.com/articles/2649508253",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강문구</t>
        </is>
      </c>
      <c r="P436" s="4" t="n">
        <v>2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3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가시성 뛰어난 토지. 4차선 도로접</t>
        </is>
      </c>
      <c r="L451" s="6">
        <f>HYPERLINK("https://fin.land.naver.com/articles/2648191261",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터</t>
        </is>
      </c>
      <c r="P451" s="4" t="n">
        <v>2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공장용지</t>
        </is>
      </c>
      <c r="E461" s="3" t="inlineStr">
        <is>
          <t>매매</t>
        </is>
      </c>
      <c r="F461" s="4" t="n">
        <v>544000</v>
      </c>
      <c r="G461" s="4" t="n">
        <v>11240</v>
      </c>
      <c r="H461" s="4" t="n">
        <v>3400</v>
      </c>
      <c r="I461" s="5" t="n">
        <v>160</v>
      </c>
      <c r="J461" s="5" t="n">
        <v>21.5</v>
      </c>
      <c r="K461" s="3" t="inlineStr">
        <is>
          <t>공장 인허가 완료된 토지매매</t>
        </is>
      </c>
      <c r="L461" s="6">
        <f>HYPERLINK("https://fin.land.naver.com/articles/2652774322",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금화랜드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205000</v>
      </c>
      <c r="G462" s="4" t="n">
        <v>4159</v>
      </c>
      <c r="H462" s="4" t="n">
        <v>1258</v>
      </c>
      <c r="I462" s="5" t="n">
        <v>163</v>
      </c>
      <c r="J462" s="5" t="n">
        <v>21.5</v>
      </c>
      <c r="K462" s="3" t="inlineStr">
        <is>
          <t>청주시 남이면 구미리 2차선도로변 근린생활시설허가 토지</t>
        </is>
      </c>
      <c r="L462" s="6">
        <f>HYPERLINK("https://fin.land.naver.com/articles/2650771236",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50000</v>
      </c>
      <c r="G465" s="4" t="n">
        <v>5058</v>
      </c>
      <c r="H465" s="4" t="n">
        <v>1530</v>
      </c>
      <c r="I465" s="5" t="n">
        <v>32.7</v>
      </c>
      <c r="J465" s="5" t="n">
        <v>13.1</v>
      </c>
      <c r="K465" s="3" t="inlineStr">
        <is>
          <t>nan</t>
        </is>
      </c>
      <c r="L465" s="6">
        <f>HYPERLINK("https://fin.land.naver.com/articles/2652237520",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김창수</t>
        </is>
      </c>
      <c r="P465" s="4" t="n">
        <v>3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107000</v>
      </c>
      <c r="G471" s="4" t="n">
        <v>2354</v>
      </c>
      <c r="H471" s="4" t="n">
        <v>712</v>
      </c>
      <c r="I471" s="5" t="n">
        <v>150.3</v>
      </c>
      <c r="J471" s="5" t="n">
        <v>42.8</v>
      </c>
      <c r="K471" s="3" t="inlineStr">
        <is>
          <t>청주 세종간 4차선도로변 공장부지 근린생활시설</t>
        </is>
      </c>
      <c r="L471" s="6">
        <f>HYPERLINK("https://fin.land.naver.com/articles/2650505679",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두원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74500</v>
      </c>
      <c r="G479" s="4" t="n">
        <v>41068</v>
      </c>
      <c r="H479" s="4" t="n">
        <v>12423</v>
      </c>
      <c r="I479" s="5" t="n">
        <v>6</v>
      </c>
      <c r="J479" s="5" t="n">
        <v>2.6</v>
      </c>
      <c r="K479" s="3" t="inlineStr">
        <is>
          <t>지목  임야     전</t>
        </is>
      </c>
      <c r="L479" s="6">
        <f>HYPERLINK("https://fin.land.naver.com/articles/2648314378",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80000</v>
      </c>
      <c r="G480" s="4" t="n">
        <v>41068</v>
      </c>
      <c r="H480" s="4" t="n">
        <v>12423</v>
      </c>
      <c r="I480" s="5" t="n">
        <v>6.4</v>
      </c>
      <c r="J480" s="5" t="n">
        <v>2.6</v>
      </c>
      <c r="K480" s="3" t="inlineStr">
        <is>
          <t>도시지역.보전녹지. 전.있음</t>
        </is>
      </c>
      <c r="L480" s="6">
        <f>HYPERLINK("https://fin.land.naver.com/articles/2649280447",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50000</v>
      </c>
      <c r="G483" s="4" t="n">
        <v>1667</v>
      </c>
      <c r="H483" s="4" t="n">
        <v>504</v>
      </c>
      <c r="I483" s="5" t="n">
        <v>99.2</v>
      </c>
      <c r="J483" s="5" t="n">
        <v>17.8</v>
      </c>
      <c r="K483" s="3" t="inlineStr">
        <is>
          <t>급매,추천,도로접함,위치좋음</t>
        </is>
      </c>
      <c r="L483" s="6">
        <f>HYPERLINK("https://fin.land.naver.com/articles/2651876026",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가경아이파크5단지일타</t>
        </is>
      </c>
      <c r="P483" s="4" t="n">
        <v>1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HYPERLINK("https://fin.land.naver.com/articles/2647784396",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38000</v>
      </c>
      <c r="G485" s="4" t="n">
        <v>1667</v>
      </c>
      <c r="H485" s="4" t="n">
        <v>504</v>
      </c>
      <c r="I485" s="5" t="n">
        <v>75.40000000000001</v>
      </c>
      <c r="J485" s="5" t="n">
        <v>17.8</v>
      </c>
      <c r="K485" s="3" t="inlineStr">
        <is>
          <t>남청주 IC 인근, 청주 외곽순환로 접근성 최상 입지 토지 급매</t>
        </is>
      </c>
      <c r="L485" s="6">
        <f>HYPERLINK("https://fin.land.naver.com/articles/2653087489",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대지</t>
        </is>
      </c>
      <c r="P485" s="4" t="n">
        <v>4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260000</v>
      </c>
      <c r="G492" s="4" t="n">
        <v>2066</v>
      </c>
      <c r="H492" s="4" t="n">
        <v>625</v>
      </c>
      <c r="I492" s="5" t="n">
        <v>416</v>
      </c>
      <c r="J492" s="5" t="n">
        <v>86</v>
      </c>
      <c r="K492" s="3" t="inlineStr">
        <is>
          <t>청주에서 대전가는 대도로변  가격조정가능</t>
        </is>
      </c>
      <c r="L492" s="6">
        <f>HYPERLINK("https://fin.land.naver.com/articles/2649614716",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청산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220000</v>
      </c>
      <c r="G493" s="4" t="n">
        <v>2062</v>
      </c>
      <c r="H493" s="4" t="n">
        <v>624</v>
      </c>
      <c r="I493" s="5" t="n">
        <v>352.6</v>
      </c>
      <c r="J493" s="5" t="n">
        <v>86</v>
      </c>
      <c r="K493" s="3" t="inlineStr">
        <is>
          <t>nan</t>
        </is>
      </c>
      <c r="L493" s="6">
        <f>HYPERLINK("https://fin.land.naver.com/articles/2651957545",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청주 합동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270000</v>
      </c>
      <c r="G494" s="4" t="n">
        <v>2062</v>
      </c>
      <c r="H494" s="4" t="n">
        <v>624</v>
      </c>
      <c r="I494" s="5" t="n">
        <v>432.7</v>
      </c>
      <c r="J494" s="5" t="n">
        <v>86</v>
      </c>
      <c r="K494" s="3" t="inlineStr">
        <is>
          <t>대도로변 접, 다용도 활용가능한 잡종지, 유통 물류, 광고효과</t>
        </is>
      </c>
      <c r="L494" s="6">
        <f>HYPERLINK("https://fin.land.naver.com/articles/2650955489",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두진하트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1528</v>
      </c>
      <c r="H512" s="4" t="n">
        <v>462</v>
      </c>
      <c r="I512" s="5" t="n">
        <v>54.1</v>
      </c>
      <c r="J512" s="5" t="n">
        <v>29.7</v>
      </c>
      <c r="K512" s="3" t="inlineStr">
        <is>
          <t>문동리 토목공사 완료된 전원주택지 매매, 1종근생가능</t>
        </is>
      </c>
      <c r="L512" s="6">
        <f>HYPERLINK("https://fin.land.naver.com/articles/2647589340",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원탑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1749</v>
      </c>
      <c r="H513" s="4" t="n">
        <v>529</v>
      </c>
      <c r="I513" s="5" t="n">
        <v>47.3</v>
      </c>
      <c r="J513" s="5" t="n">
        <v>29.7</v>
      </c>
      <c r="K513" s="3" t="inlineStr">
        <is>
          <t>남이면 문동리 택지 매매 토목공사 완료 주택지 창고 근생등</t>
        </is>
      </c>
      <c r="L513" s="6">
        <f>HYPERLINK("https://fin.land.naver.com/articles/2652463956",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그린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55090</v>
      </c>
      <c r="G540" s="4" t="n">
        <v>2603</v>
      </c>
      <c r="H540" s="4" t="n">
        <v>787</v>
      </c>
      <c r="I540" s="5" t="n">
        <v>70</v>
      </c>
      <c r="J540" s="5" t="n">
        <v>16.7</v>
      </c>
      <c r="K540" s="3" t="inlineStr">
        <is>
          <t>남이면 상발리 토지매매</t>
        </is>
      </c>
      <c r="L540" s="6">
        <f>HYPERLINK("https://fin.land.naver.com/articles/2649645214",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탄탄</t>
        </is>
      </c>
      <c r="P540" s="4" t="n">
        <v>1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남이면 상발리에 위치한 도로 접한 토지 매매</t>
        </is>
      </c>
      <c r="L541" s="6">
        <f>HYPERLINK("https://fin.land.naver.com/articles/2651110651",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대지</t>
        </is>
      </c>
      <c r="P541" s="4" t="n">
        <v>6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2차도로변, 2종근생허가득,부지정리해놓음</t>
        </is>
      </c>
      <c r="L557" s="6">
        <f>HYPERLINK("https://fin.land.naver.com/articles/2648332247",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만땅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250000</v>
      </c>
      <c r="G559" s="4" t="n">
        <v>4426</v>
      </c>
      <c r="H559" s="4" t="n">
        <v>1339</v>
      </c>
      <c r="I559" s="5" t="n">
        <v>186.7</v>
      </c>
      <c r="J559" s="5" t="n">
        <v>5.9</v>
      </c>
      <c r="K559" s="3" t="inlineStr">
        <is>
          <t>nan</t>
        </is>
      </c>
      <c r="L559" s="6">
        <f>HYPERLINK("https://fin.land.naver.com/articles/2648336138",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70000</v>
      </c>
      <c r="G571" s="4" t="n">
        <v>2014</v>
      </c>
      <c r="H571" s="4" t="n">
        <v>609</v>
      </c>
      <c r="I571" s="5" t="n">
        <v>114.9</v>
      </c>
      <c r="J571" s="5" t="n">
        <v>49.9</v>
      </c>
      <c r="K571" s="3" t="inlineStr">
        <is>
          <t>nan</t>
        </is>
      </c>
      <c r="L571" s="6">
        <f>HYPERLINK("https://fin.land.naver.com/articles/2649701405",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일품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73000</v>
      </c>
      <c r="G572" s="4" t="n">
        <v>2014</v>
      </c>
      <c r="H572" s="4" t="n">
        <v>609</v>
      </c>
      <c r="I572" s="5" t="n">
        <v>119.9</v>
      </c>
      <c r="J572" s="5" t="n">
        <v>49.9</v>
      </c>
      <c r="K572" s="3" t="inlineStr">
        <is>
          <t>대로변인근,진입로확보,주변시세보다 전렴한가격,물류창고,차고지추천</t>
        </is>
      </c>
      <c r="L572" s="6">
        <f>HYPERLINK("https://fin.land.naver.com/articles/2647853642",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지웰부자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22500</v>
      </c>
      <c r="G616" s="4" t="n">
        <v>620</v>
      </c>
      <c r="H616" s="4" t="n">
        <v>188</v>
      </c>
      <c r="I616" s="5" t="n">
        <v>119.7</v>
      </c>
      <c r="J616" s="5" t="n">
        <v>55.7</v>
      </c>
      <c r="K616" s="3" t="inlineStr">
        <is>
          <t>계획관리. 나대지</t>
        </is>
      </c>
      <c r="L616" s="6">
        <f>HYPERLINK("https://fin.land.naver.com/articles/2650136996",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정민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23000</v>
      </c>
      <c r="G617" s="4" t="n">
        <v>620</v>
      </c>
      <c r="H617" s="4" t="n">
        <v>188</v>
      </c>
      <c r="I617" s="5" t="n">
        <v>122.3</v>
      </c>
      <c r="J617" s="5" t="n">
        <v>55.7</v>
      </c>
      <c r="K617" s="3" t="inlineStr">
        <is>
          <t>남이면 코너 대지 매매</t>
        </is>
      </c>
      <c r="L617" s="6">
        <f>HYPERLINK("https://fin.land.naver.com/articles/2651167055",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더공감</t>
        </is>
      </c>
      <c r="P617" s="4" t="n">
        <v>1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20600</v>
      </c>
      <c r="G618" s="4" t="n">
        <v>620</v>
      </c>
      <c r="H618" s="4" t="n">
        <v>188</v>
      </c>
      <c r="I618" s="5" t="n">
        <v>109.6</v>
      </c>
      <c r="J618" s="5" t="n">
        <v>55.7</v>
      </c>
      <c r="K618" s="3" t="inlineStr">
        <is>
          <t>계획관리지역, 도로인접, 신탄진네거리에서 차량으로 20분 거리</t>
        </is>
      </c>
      <c r="L618" s="6">
        <f>HYPERLINK("https://fin.land.naver.com/articles/2648710712",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대지</t>
        </is>
      </c>
      <c r="P618" s="4" t="n">
        <v>2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급매,2차선 도로접함,투자,창고용도 추천</t>
        </is>
      </c>
      <c r="L638" s="6">
        <f>HYPERLINK("https://fin.land.naver.com/articles/2651873712",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가경아이파크5단지일타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팔봉리 2차선접 투자용 저렴한 토지매매</t>
        </is>
      </c>
      <c r="L639" s="6">
        <f>HYPERLINK("https://fin.land.naver.com/articles/2648674531",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학사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643</v>
      </c>
      <c r="H648" s="4" t="n">
        <v>195</v>
      </c>
      <c r="I648" s="5" t="n">
        <v>348.7</v>
      </c>
      <c r="J648" s="5" t="n">
        <v>278</v>
      </c>
      <c r="K648" s="3" t="inlineStr">
        <is>
          <t>급매매 큰땅입니다</t>
        </is>
      </c>
      <c r="L648" s="6">
        <f>HYPERLINK("https://fin.land.naver.com/articles/2648362434",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킹세종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534</v>
      </c>
      <c r="H649" s="4" t="n">
        <v>162</v>
      </c>
      <c r="I649" s="5" t="n">
        <v>419.8</v>
      </c>
      <c r="J649" s="5" t="n">
        <v>278</v>
      </c>
      <c r="K649" s="3" t="inlineStr">
        <is>
          <t>공원 인근 다정동 단독주택지, 넓은 면적 추천</t>
        </is>
      </c>
      <c r="L649" s="6">
        <f>HYPERLINK("https://fin.land.naver.com/articles/2650427943",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HYPERLINK("https://fin.land.naver.com/articles/2647425898",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49000</v>
      </c>
      <c r="G681" s="4" t="n">
        <v>315</v>
      </c>
      <c r="H681" s="4" t="n">
        <v>95</v>
      </c>
      <c r="I681" s="5" t="n">
        <v>515.8</v>
      </c>
      <c r="J681" s="5" t="n">
        <v>318.9</v>
      </c>
      <c r="K681" s="3" t="inlineStr">
        <is>
          <t>급매 조율가능 조용한 선호하는 안쪽위치</t>
        </is>
      </c>
      <c r="L681" s="6">
        <f>HYPERLINK("https://fin.land.naver.com/articles/2652419011",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세종스타</t>
        </is>
      </c>
      <c r="P681" s="4" t="n">
        <v>2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유치원 인근 다정동 토지매매</t>
        </is>
      </c>
      <c r="L682" s="6">
        <f>HYPERLINK("https://fin.land.naver.com/articles/2649571368",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새솔유치원인근, 가운데 토지</t>
        </is>
      </c>
      <c r="L683" s="6">
        <f>HYPERLINK("https://fin.land.naver.com/articles/2649005944",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급매로 추가 조율이 가능한 다정동 택지 급매물입니다.</t>
        </is>
      </c>
      <c r="L686" s="6">
        <f>HYPERLINK("https://fin.land.naver.com/articles/2650944049",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스마일세종</t>
        </is>
      </c>
      <c r="P686" s="4" t="n">
        <v>2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 다정동 전원주택토지임.</t>
        </is>
      </c>
      <c r="L687" s="6">
        <f>HYPERLINK("https://fin.land.naver.com/articles/2653163964",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태흥</t>
        </is>
      </c>
      <c r="P687" s="4" t="n">
        <v>1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53000</v>
      </c>
      <c r="G688" s="4" t="n">
        <v>374</v>
      </c>
      <c r="H688" s="4" t="n">
        <v>113</v>
      </c>
      <c r="I688" s="5" t="n">
        <v>469</v>
      </c>
      <c r="J688" s="5" t="n">
        <v>353.7</v>
      </c>
      <c r="K688" s="3" t="inlineStr">
        <is>
          <t>총 113.3p, 조율가능, 주유소인근, 다정동 단독주택지</t>
        </is>
      </c>
      <c r="L688" s="6">
        <f>HYPERLINK("https://fin.land.naver.com/articles/2652841282",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3면코너각지 지하건축가능 귀한큰필지 큰생부지</t>
        </is>
      </c>
      <c r="L690" s="6">
        <f>HYPERLINK("https://fin.land.naver.com/articles/2650366482",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세종스타</t>
        </is>
      </c>
      <c r="P690" s="4" t="n">
        <v>4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다정동 코너 위치한 근생 토지매매, 조율가능, 입지 최고</t>
        </is>
      </c>
      <c r="L691" s="6">
        <f>HYPERLINK("https://fin.land.naver.com/articles/2649608618",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HYPERLINK("https://fin.land.naver.com/articles/2647429203",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HYPERLINK("https://fin.land.naver.com/articles/2647428982",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303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말발굽토지 매매, 공원 인근, 선호도 높은 토지</t>
        </is>
      </c>
      <c r="L703" s="6">
        <f>HYPERLINK("https://fin.land.naver.com/articles/2650427607",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304</v>
      </c>
      <c r="H704" s="4" t="n">
        <v>92</v>
      </c>
      <c r="I704" s="5" t="n">
        <v>1195.7</v>
      </c>
      <c r="J704" s="5" t="n">
        <v>358.3</v>
      </c>
      <c r="K704" s="3" t="inlineStr">
        <is>
          <t>총 92.1p, 말발굽 최고입지, 넓은 공원 인근</t>
        </is>
      </c>
      <c r="L704" s="6">
        <f>HYPERLINK("https://fin.land.naver.com/articles/2647421924",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3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급매 양지초인근 땅모양좋음 공원용지 접함</t>
        </is>
      </c>
      <c r="L710" s="6">
        <f>HYPERLINK("https://fin.land.naver.com/articles/2649479469",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세종스타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도담동 택지. 초등학교,충남대병원 가까운거리 위치</t>
        </is>
      </c>
      <c r="L712" s="6">
        <f>HYPERLINK("https://fin.land.naver.com/articles/2650945757",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OK세종 사무소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330</v>
      </c>
      <c r="H713" s="4" t="n">
        <v>100</v>
      </c>
      <c r="I713" s="5" t="n">
        <v>800</v>
      </c>
      <c r="J713" s="5" t="n">
        <v>366.9</v>
      </c>
      <c r="K713" s="3" t="inlineStr">
        <is>
          <t>양지초 양지유치원 정문 건너편 최선호 위치 주변시세보다 저렴 추천매물</t>
        </is>
      </c>
      <c r="L713" s="6">
        <f>HYPERLINK("https://fin.land.naver.com/articles/2649479494",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도담동 말발굽택지 중 급매</t>
        </is>
      </c>
      <c r="L714" s="6">
        <f>HYPERLINK("https://fin.land.naver.com/articles/2649021645",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급매,도담동 말발굽택지 116P 코너,조율가능</t>
        </is>
      </c>
      <c r="L715" s="6">
        <f>HYPERLINK("https://fin.land.naver.com/articles/2652729660",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광장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HYPERLINK("https://fin.land.naver.com/articles/2647645491",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충남대 병원 인접, 중앙청사 도보로 출퇴근 가능</t>
        </is>
      </c>
      <c r="L722" s="6">
        <f>HYPERLINK("https://fin.land.naver.com/articles/2652967371",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오케이태복</t>
        </is>
      </c>
      <c r="P722" s="4" t="n">
        <v>2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위치좋은 코너자리 토지</t>
        </is>
      </c>
      <c r="L723" s="6">
        <f>HYPERLINK("https://fin.land.naver.com/articles/2649012828",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아파트 단지 옆, 삼거리 코너</t>
        </is>
      </c>
      <c r="L724" s="6">
        <f>HYPERLINK("https://fin.land.naver.com/articles/2652839523",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도담동 입지 좋은 단독주택지, 조율가능</t>
        </is>
      </c>
      <c r="L727" s="6">
        <f>HYPERLINK("https://fin.land.naver.com/articles/2648297361",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 근린생활용지</t>
        </is>
      </c>
      <c r="L732" s="6">
        <f>HYPERLINK("https://fin.land.naver.com/articles/2653002307",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OK세종 사무소</t>
        </is>
      </c>
      <c r="P732" s="4" t="n">
        <v>2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도담동근생용지 주변입지좋아요. 가격조정가능</t>
        </is>
      </c>
      <c r="L733" s="6">
        <f>HYPERLINK("https://fin.land.naver.com/articles/2650454199",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고운동리치세종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최적의 위치,정남향으로 단독주택수있는 예쁜 토지</t>
        </is>
      </c>
      <c r="L737" s="6">
        <f>HYPERLINK("https://fin.land.naver.com/articles/2652106915",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대한</t>
        </is>
      </c>
      <c r="P737" s="4" t="n">
        <v>2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코너 유치원 홈플러스 늘봄초인근 조율가능</t>
        </is>
      </c>
      <c r="L742" s="6">
        <f>HYPERLINK("https://fin.land.naver.com/articles/2649812078",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세종스타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HYPERLINK("https://fin.land.naver.com/articles/2647429882",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HYPERLINK("https://fin.land.naver.com/articles/2647425170",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315</v>
      </c>
      <c r="H750" s="4" t="n">
        <v>95</v>
      </c>
      <c r="I750" s="5" t="n">
        <v>736.8</v>
      </c>
      <c r="J750" s="5" t="n">
        <v>391.1</v>
      </c>
      <c r="K750" s="3" t="inlineStr">
        <is>
          <t>강추매물, 가격좋은 토지, 홈플인접</t>
        </is>
      </c>
      <c r="L750" s="6">
        <f>HYPERLINK("https://fin.land.naver.com/articles/2651289273",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사이다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도담동 위치 좋은 단독주택, 홈플러스 인근</t>
        </is>
      </c>
      <c r="L752" s="6">
        <f>HYPERLINK("https://fin.land.naver.com/articles/2650892389",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급매 KDI옆 반곡동D2 넓은평수 144.71p</t>
        </is>
      </c>
      <c r="L759" s="6">
        <f>HYPERLINK("https://fin.land.naver.com/articles/2649626883",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반곡동 토지매매, 대형평형</t>
        </is>
      </c>
      <c r="L760" s="6">
        <f>HYPERLINK("https://fin.land.naver.com/articles/2649001111",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적극조율가능 공원앞 코너각지 135p</t>
        </is>
      </c>
      <c r="L761" s="6">
        <f>HYPERLINK("https://fin.land.naver.com/articles/2648758746",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HYPERLINK("https://fin.land.naver.com/articles/2647421791",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공원 앞, 사거리 코너 각지 위치, 입지 좋은 토지</t>
        </is>
      </c>
      <c r="L763" s="6">
        <f>HYPERLINK("https://fin.land.naver.com/articles/2647427000",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삼거리 코너, 위치 좋은 반곡동 토지매매</t>
        </is>
      </c>
      <c r="L764" s="6">
        <f>HYPERLINK("https://fin.land.naver.com/articles/2648999169",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명성공인, 전용186.64, 근생용지 추천 매물</t>
        </is>
      </c>
      <c r="L769" s="6">
        <f>HYPERLINK("https://fin.land.naver.com/articles/2652073710",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명성</t>
        </is>
      </c>
      <c r="P769" s="4" t="n">
        <v>1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nan</t>
        </is>
      </c>
      <c r="L770" s="6">
        <f>HYPERLINK("https://fin.land.naver.com/articles/2651653557",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국제</t>
        </is>
      </c>
      <c r="P770" s="4" t="n">
        <v>2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세종시 반곡동 초품아 단독주택용지 I 숲세권, 공지 인접 최상급 위치</t>
        </is>
      </c>
      <c r="L771" s="6">
        <f>HYPERLINK("https://fin.land.naver.com/articles/2652173646",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세종신한</t>
        </is>
      </c>
      <c r="P771" s="4" t="n">
        <v>2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3면코너 시유지접함 위치최상</t>
        </is>
      </c>
      <c r="L773" s="6">
        <f>HYPERLINK("https://fin.land.naver.com/articles/2649625832",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유치원. 초등학교 인근, 조용한 입지 토지</t>
        </is>
      </c>
      <c r="L776" s="6">
        <f>HYPERLINK("https://fin.land.naver.com/articles/2649002989",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시유지접한 코너각지 조용한위치 조율가능</t>
        </is>
      </c>
      <c r="L778" s="6">
        <f>HYPERLINK("https://fin.land.naver.com/articles/2651085953",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조율가능, 벙커주차장가능, 반곡동 토지매매</t>
        </is>
      </c>
      <c r="L780" s="6">
        <f>HYPERLINK("https://fin.land.naver.com/articles/2648987702",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넓은평수,넓은지하주차장가능,고급 단독주택지,조율가</t>
        </is>
      </c>
      <c r="L785" s="6">
        <f>HYPERLINK("https://fin.land.naver.com/articles/2650422992",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세종시티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반곡동 위치 좋은 단독주택, 코너입지</t>
        </is>
      </c>
      <c r="L787" s="6">
        <f>HYPERLINK("https://fin.land.naver.com/articles/2648962092",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60000</v>
      </c>
      <c r="G814" s="4" t="n">
        <v>995</v>
      </c>
      <c r="H814" s="4" t="n">
        <v>301</v>
      </c>
      <c r="I814" s="5" t="n">
        <v>199.3</v>
      </c>
      <c r="J814" s="5" t="n">
        <v>5.2</v>
      </c>
      <c r="K814" s="3" t="inlineStr">
        <is>
          <t>건축허가 되어 있고 수도 오수 시설도 완비됨 전원주택지로 적합</t>
        </is>
      </c>
      <c r="L814" s="6">
        <f>HYPERLINK("https://fin.land.naver.com/articles/2648927634",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도램마을</t>
        </is>
      </c>
      <c r="P814" s="4" t="n">
        <v>2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25000</v>
      </c>
      <c r="G815" s="4" t="n">
        <v>1263</v>
      </c>
      <c r="H815" s="4" t="n">
        <v>382</v>
      </c>
      <c r="I815" s="5" t="n">
        <v>65.40000000000001</v>
      </c>
      <c r="J815" s="5" t="n">
        <v>5.2</v>
      </c>
      <c r="K815" s="3" t="inlineStr">
        <is>
          <t>즉시 신축 가능 매매 급매물 상.하수도 전기 기반공사 완료돼있고 건축허가</t>
        </is>
      </c>
      <c r="L815" s="6">
        <f>HYPERLINK("https://fin.land.naver.com/articles/2648082259",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세종시삼성래미안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금강 조망 가능한 도로접 계획관리 전원형 토지</t>
        </is>
      </c>
      <c r="L821" s="6">
        <f>HYPERLINK("https://fin.land.naver.com/articles/2648834433",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세종소담황금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계획관리자연취락 대지 및 기존주택, 산단세종오송 접근 우수</t>
        </is>
      </c>
      <c r="L831" s="6">
        <f>HYPERLINK("https://fin.land.naver.com/articles/2650898603",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부강면노호리 생산관리지역 마을인접 가격조정가능</t>
        </is>
      </c>
      <c r="L839" s="6">
        <f>HYPERLINK("https://fin.land.naver.com/articles/2649144191",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고운동리치세종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 노호리 도로접한 토지매매.</t>
        </is>
      </c>
      <c r="L842" s="6">
        <f>HYPERLINK("https://fin.land.naver.com/articles/2647631268",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방서에이스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30000</v>
      </c>
      <c r="G857" s="4" t="n">
        <v>966</v>
      </c>
      <c r="H857" s="4" t="n">
        <v>292</v>
      </c>
      <c r="I857" s="5" t="n">
        <v>102.7</v>
      </c>
      <c r="J857" s="5" t="n">
        <v>36.1</v>
      </c>
      <c r="K857" s="3" t="inlineStr">
        <is>
          <t>계획관리지역 주목</t>
        </is>
      </c>
      <c r="L857" s="6">
        <f>HYPERLINK("https://fin.land.naver.com/articles/2649735022",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30000</v>
      </c>
      <c r="G866" s="4" t="n">
        <v>2079</v>
      </c>
      <c r="H866" s="4" t="n">
        <v>629</v>
      </c>
      <c r="I866" s="5" t="n">
        <v>47.7</v>
      </c>
      <c r="J866" s="5" t="n">
        <v>44.2</v>
      </c>
      <c r="K866" s="3" t="inlineStr">
        <is>
          <t>nan</t>
        </is>
      </c>
      <c r="L866" s="6">
        <f>HYPERLINK("https://fin.land.naver.com/articles/2649292434",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갤러리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HYPERLINK("https://fin.land.naver.com/articles/2647497030",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50000</v>
      </c>
      <c r="G870" s="4" t="n">
        <v>1815</v>
      </c>
      <c r="H870" s="4" t="n">
        <v>549</v>
      </c>
      <c r="I870" s="5" t="n">
        <v>91.09999999999999</v>
      </c>
      <c r="J870" s="5" t="n">
        <v>25.9</v>
      </c>
      <c r="K870" s="3" t="inlineStr">
        <is>
          <t>계획관리지역,  세종에서 10분이내거리</t>
        </is>
      </c>
      <c r="L870" s="6">
        <f>HYPERLINK("https://fin.land.naver.com/articles/2649059214",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이담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즉시 건축 가능한 공장 및 창고부지 계획관리지역 남청주 IC인근</t>
        </is>
      </c>
      <c r="L874" s="6">
        <f>HYPERLINK("https://fin.land.naver.com/articles/2651924940",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대전토지로무소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세종시 부강면 주택, 축사·부속시설, 전 사통팔달 교통,계획관리알짜 급매</t>
        </is>
      </c>
      <c r="L906" s="6">
        <f>HYPERLINK("https://fin.land.naver.com/articles/2650006026",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주택허가축사경작지 일괄, 축산승계귀농농장 추천</t>
        </is>
      </c>
      <c r="L907" s="6">
        <f>HYPERLINK("https://fin.land.naver.com/articles/2649836388",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세종소담황금</t>
        </is>
      </c>
      <c r="P907" s="4" t="n">
        <v>1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100000</v>
      </c>
      <c r="G908" s="4" t="n">
        <v>5429</v>
      </c>
      <c r="H908" s="4" t="n">
        <v>1642</v>
      </c>
      <c r="I908" s="5" t="n">
        <v>60.9</v>
      </c>
      <c r="J908" s="5" t="n">
        <v>33.6</v>
      </c>
      <c r="K908" s="3" t="inlineStr">
        <is>
          <t>세종시 부강면 목장용지, 단독주택, 전으로 구성된 4필지 통매매가 10억</t>
        </is>
      </c>
      <c r="L908" s="6">
        <f>HYPERLINK("https://fin.land.naver.com/articles/2650228512",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5프로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147600</v>
      </c>
      <c r="G909" s="4" t="n">
        <v>5421</v>
      </c>
      <c r="H909" s="4" t="n">
        <v>1640</v>
      </c>
      <c r="I909" s="5" t="n">
        <v>90</v>
      </c>
      <c r="J909" s="5" t="n">
        <v>33.6</v>
      </c>
      <c r="K909" s="3" t="inlineStr">
        <is>
          <t>투자유망 세종관내 목장, 주택등 매매</t>
        </is>
      </c>
      <c r="L909" s="6">
        <f>HYPERLINK("https://fin.land.naver.com/articles/2648634114",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대하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계획관리지역으로 전과 대로 이뤄진 2필지 급매</t>
        </is>
      </c>
      <c r="L914" s="6">
        <f>HYPERLINK("https://fin.land.naver.com/articles/2652535526",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대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 대지 전 매매</t>
        </is>
      </c>
      <c r="L915" s="6">
        <f>HYPERLINK("https://fin.land.naver.com/articles/2652837621",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진성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90000</v>
      </c>
      <c r="G922" s="4" t="n">
        <v>2998</v>
      </c>
      <c r="H922" s="4" t="n">
        <v>907</v>
      </c>
      <c r="I922" s="5" t="n">
        <v>99.2</v>
      </c>
      <c r="J922" s="5" t="n">
        <v>24.8</v>
      </c>
      <c r="K922" s="3" t="inlineStr">
        <is>
          <t>세종시 부강면 5생활권 10분거리 각 3필지(149, 235, 522)</t>
        </is>
      </c>
      <c r="L922" s="6">
        <f>HYPERLINK("https://fin.land.naver.com/articles/2649158860",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오송k랜드</t>
        </is>
      </c>
      <c r="P922" s="4" t="n">
        <v>1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52000</v>
      </c>
      <c r="G923" s="4" t="n">
        <v>1725</v>
      </c>
      <c r="H923" s="4" t="n">
        <v>522</v>
      </c>
      <c r="I923" s="5" t="n">
        <v>99.59999999999999</v>
      </c>
      <c r="J923" s="5" t="n">
        <v>24.8</v>
      </c>
      <c r="K923" s="3" t="inlineStr">
        <is>
          <t>계획관리지역의 과수원으로 전기 및 인터넷, 상수도 배수시설이 완비된 토지</t>
        </is>
      </c>
      <c r="L923" s="6">
        <f>HYPERLINK("https://fin.land.naver.com/articles/2649861654",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스마일세종</t>
        </is>
      </c>
      <c r="P923" s="4" t="n">
        <v>2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52000</v>
      </c>
      <c r="G925" s="4" t="n">
        <v>1725</v>
      </c>
      <c r="H925" s="4" t="n">
        <v>522</v>
      </c>
      <c r="I925" s="5" t="n">
        <v>99.59999999999999</v>
      </c>
      <c r="J925" s="5" t="n">
        <v>24.8</v>
      </c>
      <c r="K925" s="3" t="inlineStr">
        <is>
          <t>급매,도로접한 계획관리지역,다용도 사용목적 가능,투자용 추천</t>
        </is>
      </c>
      <c r="L925" s="6">
        <f>HYPERLINK("https://fin.land.naver.com/articles/2649493659",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고운맘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계획관리지역의 과수원으로 농촌 체류형 쉼터나 공방 및 전원주택지로 좋은</t>
        </is>
      </c>
      <c r="L926" s="6">
        <f>HYPERLINK("https://fin.land.naver.com/articles/2650242112",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HYPERLINK("https://fin.land.naver.com/articles/2649114293",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1490</v>
      </c>
      <c r="H931" s="4" t="n">
        <v>451</v>
      </c>
      <c r="I931" s="5" t="n">
        <v>55</v>
      </c>
      <c r="J931" s="5" t="n">
        <v>18.3</v>
      </c>
      <c r="K931" s="3" t="inlineStr">
        <is>
          <t>대토농지로 추천</t>
        </is>
      </c>
      <c r="L931" s="6">
        <f>HYPERLINK("https://fin.land.naver.com/articles/2651993752",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담뜰</t>
        </is>
      </c>
      <c r="P931" s="4" t="n">
        <v>2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1491</v>
      </c>
      <c r="H932" s="4" t="n">
        <v>451</v>
      </c>
      <c r="I932" s="5" t="n">
        <v>55</v>
      </c>
      <c r="J932" s="5" t="n">
        <v>18.3</v>
      </c>
      <c r="K932" s="3" t="inlineStr">
        <is>
          <t>매매가 할인2,200만원 대토농지</t>
        </is>
      </c>
      <c r="L932" s="6">
        <f>HYPERLINK("https://fin.land.naver.com/articles/2651396371",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로데오상가</t>
        </is>
      </c>
      <c r="P932" s="4" t="n">
        <v>1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141000</v>
      </c>
      <c r="G933" s="4" t="n">
        <v>7790</v>
      </c>
      <c r="H933" s="4" t="n">
        <v>2356</v>
      </c>
      <c r="I933" s="5" t="n">
        <v>59.8</v>
      </c>
      <c r="J933" s="5" t="n">
        <v>18.3</v>
      </c>
      <c r="K933" s="3" t="inlineStr">
        <is>
          <t>2차선 도로 인접 토지 매매</t>
        </is>
      </c>
      <c r="L933" s="6">
        <f>HYPERLINK("https://fin.land.naver.com/articles/2653135877",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주식회사넥서스</t>
        </is>
      </c>
      <c r="P933" s="4" t="n">
        <v>4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129600</v>
      </c>
      <c r="G934" s="4" t="n">
        <v>7791</v>
      </c>
      <c r="H934" s="4" t="n">
        <v>2357</v>
      </c>
      <c r="I934" s="5" t="n">
        <v>55</v>
      </c>
      <c r="J934" s="5" t="n">
        <v>18.3</v>
      </c>
      <c r="K934" s="3" t="inlineStr">
        <is>
          <t>행산리 농림지역 대토 농지 논 답</t>
        </is>
      </c>
      <c r="L934" s="6">
        <f>HYPERLINK("https://fin.land.naver.com/articles/2651396542",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로데오상가</t>
        </is>
      </c>
      <c r="P934" s="4" t="n">
        <v>2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129000</v>
      </c>
      <c r="G935" s="4" t="n">
        <v>7790</v>
      </c>
      <c r="H935" s="4" t="n">
        <v>2356</v>
      </c>
      <c r="I935" s="5" t="n">
        <v>54.8</v>
      </c>
      <c r="J935" s="5" t="n">
        <v>18.3</v>
      </c>
      <c r="K935" s="3" t="inlineStr">
        <is>
          <t>부강면 행산리 2차선 도로에 접한 투자용 토지 급매물입니다</t>
        </is>
      </c>
      <c r="L935" s="6">
        <f>HYPERLINK("https://fin.land.naver.com/articles/2651951463",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스마일세종</t>
        </is>
      </c>
      <c r="P935" s="4" t="n">
        <v>4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전용100.5p, 국제고인근, 아름동 단독주택지</t>
        </is>
      </c>
      <c r="L940" s="6">
        <f>HYPERLINK("https://fin.land.naver.com/articles/2652837740",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총 100.5p, 위치좋은 아름동 단독주택지 토지</t>
        </is>
      </c>
      <c r="L941" s="6">
        <f>HYPERLINK("https://fin.land.naver.com/articles/2649022307",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108.9p, 사거리 코너자리, 아름동 최고입지</t>
        </is>
      </c>
      <c r="L945" s="6">
        <f>HYPERLINK("https://fin.land.naver.com/articles/2648835394",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총 108.9p, 사거리코너 위치좋은 입지</t>
        </is>
      </c>
      <c r="L946" s="6">
        <f>HYPERLINK("https://fin.land.naver.com/articles/2647422006",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급매 추가조율가능 입지좋은 충대병원인근</t>
        </is>
      </c>
      <c r="L951" s="6">
        <f>HYPERLINK("https://fin.land.naver.com/articles/2651133638",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공원인근, 조용한 단독주택 토지</t>
        </is>
      </c>
      <c r="L955" s="6">
        <f>HYPERLINK("https://fin.land.naver.com/articles/2652115592",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산조망 조용한위치 18만평 근린공원접함 지대높음</t>
        </is>
      </c>
      <c r="L956" s="6">
        <f>HYPERLINK("https://fin.land.naver.com/articles/2652917974",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세종스타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충대병원 인접한 아름동 근생용지, 약국위치로 좋아요</t>
        </is>
      </c>
      <c r="L958" s="6">
        <f>HYPERLINK("https://fin.land.naver.com/articles/2650939008",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OK세종 사무소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충대병원, 약국추천자리, 근생토지, 대로변 노출 좋은 자리</t>
        </is>
      </c>
      <c r="L959" s="6">
        <f>HYPERLINK("https://fin.land.naver.com/articles/2651770352",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대로변 코너 노출 좋은 입지좋은 근생 토지 매매</t>
        </is>
      </c>
      <c r="L960" s="6">
        <f>HYPERLINK("https://fin.land.naver.com/articles/2651943193",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724</v>
      </c>
      <c r="K962" s="3" t="inlineStr">
        <is>
          <t>96.1p, 근생용지, 도로변 위치 굿, 건축허가완료</t>
        </is>
      </c>
      <c r="L962" s="6">
        <f>HYPERLINK("https://fin.land.naver.com/articles/2647421008",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145000</v>
      </c>
      <c r="G963" s="4" t="n">
        <v>317</v>
      </c>
      <c r="H963" s="4" t="n">
        <v>96</v>
      </c>
      <c r="I963" s="5" t="n">
        <v>1510.4</v>
      </c>
      <c r="J963" s="5" t="n">
        <v>724</v>
      </c>
      <c r="K963" s="3" t="inlineStr">
        <is>
          <t>근린생활시설 용지로서 대단위 아파트 전면에 위치하여 최고의 상권</t>
        </is>
      </c>
      <c r="L963" s="6">
        <f>HYPERLINK("https://fin.land.naver.com/articles/2651956271",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대우마을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724</v>
      </c>
      <c r="K964" s="3" t="inlineStr">
        <is>
          <t>아름동 대로변 근생용지, 96.1p</t>
        </is>
      </c>
      <c r="L964" s="6">
        <f>HYPERLINK("https://fin.land.naver.com/articles/2652839304",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급매 남향 코너각지 조율가능 옆필지 연접매매가능</t>
        </is>
      </c>
      <c r="L965" s="6">
        <f>HYPERLINK("https://fin.land.naver.com/articles/2649375248",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세종스타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사거리 코너입지 최고, 조율도 가능</t>
        </is>
      </c>
      <c r="L966" s="6">
        <f>HYPERLINK("https://fin.land.naver.com/articles/2648832400",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총 109.3p, 사거리코너자리, 충대병원 인접 토지</t>
        </is>
      </c>
      <c r="L967" s="6">
        <f>HYPERLINK("https://fin.land.naver.com/articles/2648139112",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추가조율가능 귀한큰평형 아름초도보3분 학원가도보5분 충대병원10분</t>
        </is>
      </c>
      <c r="L974" s="6">
        <f>HYPERLINK("https://fin.land.naver.com/articles/2649375287",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세종스타</t>
        </is>
      </c>
      <c r="P974" s="4" t="n">
        <v>2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아름동 학교 가까운 주택지</t>
        </is>
      </c>
      <c r="L975" s="6">
        <f>HYPERLINK("https://fin.land.naver.com/articles/2653003576",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OK세종 사무소</t>
        </is>
      </c>
      <c r="P975" s="4" t="n">
        <v>1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총 110.7p, 아파트 단지 옆, 아름초 인근, 위치좋고 가격좋은 토지</t>
        </is>
      </c>
      <c r="L976" s="6">
        <f>HYPERLINK("https://fin.land.naver.com/articles/2652842649",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HYPERLINK("https://fin.land.naver.com/articles/2653093272",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354</v>
      </c>
      <c r="H979" s="4" t="n">
        <v>107</v>
      </c>
      <c r="I979" s="5" t="n">
        <v>654.2</v>
      </c>
      <c r="J979" s="5" t="n">
        <v>343.1</v>
      </c>
      <c r="K979" s="3" t="inlineStr">
        <is>
          <t>총 107.4p, 아름초인근, 위치좋은 단독주택지 추천</t>
        </is>
      </c>
      <c r="L979" s="6">
        <f>HYPERLINK("https://fin.land.naver.com/articles/2651902228",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조율가능 학원가최인접 땅모양 건축하기 좋음</t>
        </is>
      </c>
      <c r="L982" s="6">
        <f>HYPERLINK("https://fin.land.naver.com/articles/2652682812",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세종스타</t>
        </is>
      </c>
      <c r="P982" s="4" t="n">
        <v>4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363</v>
      </c>
      <c r="H983" s="4" t="n">
        <v>110</v>
      </c>
      <c r="I983" s="5" t="n">
        <v>545.5</v>
      </c>
      <c r="J983" s="5" t="n">
        <v>338.2</v>
      </c>
      <c r="K983" s="3" t="inlineStr">
        <is>
          <t>아름동 단독주택 토지매매, 위치 좋은 자리</t>
        </is>
      </c>
      <c r="L983" s="6">
        <f>HYPERLINK("https://fin.land.naver.com/articles/2649577908",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66000</v>
      </c>
      <c r="G985" s="4" t="n">
        <v>365</v>
      </c>
      <c r="H985" s="4" t="n">
        <v>110</v>
      </c>
      <c r="I985" s="5" t="n">
        <v>600</v>
      </c>
      <c r="J985" s="5" t="n">
        <v>338.2</v>
      </c>
      <c r="K985" s="3" t="inlineStr">
        <is>
          <t>(급매) 단독주택 건축을 고려하시면 추천합니다.</t>
        </is>
      </c>
      <c r="L985" s="6">
        <f>HYPERLINK("https://fin.land.naver.com/articles/2650054888",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리치빌아주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 아름동학원가, 상권이용편리로얄택지, 금액조율가능, 추천매매</t>
        </is>
      </c>
      <c r="L986" s="6">
        <f>HYPERLINK("https://fin.land.naver.com/articles/2650559948",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한방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아름동 영무예다음아파트 앞에 위치,하루종일 햇볕 받을수 있는 곳,주택지</t>
        </is>
      </c>
      <c r="L987" s="6">
        <f>HYPERLINK("https://fin.land.naver.com/articles/2648233324",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세종지원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주택지 저렴한 가격 급매, 코너각지, 위치좋음</t>
        </is>
      </c>
      <c r="L988" s="6">
        <f>HYPERLINK("https://fin.land.naver.com/articles/2653003304",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OK세종 사무소</t>
        </is>
      </c>
      <c r="P988" s="4" t="n">
        <v>3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급매, 총 91p, 삼거리코너, 아파트 단지 밑</t>
        </is>
      </c>
      <c r="L989" s="6">
        <f>HYPERLINK("https://fin.land.naver.com/articles/2652838634",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학교, 편의시설, 정부청사 가까워 생활편리, 보행도로접 코너각지</t>
        </is>
      </c>
      <c r="L990" s="6">
        <f>HYPERLINK("https://fin.land.naver.com/articles/2649697166",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온뜰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아파트와 중심상권지역에 위치함</t>
        </is>
      </c>
      <c r="L991" s="6">
        <f>HYPERLINK("https://fin.land.naver.com/articles/2653068274",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장수</t>
        </is>
      </c>
      <c r="P991" s="4" t="n">
        <v>13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D8중 최저가.네고 가능.초,중,고 가깝고,마트.교통까지 편리</t>
        </is>
      </c>
      <c r="L992" s="6">
        <f>HYPERLINK("https://fin.land.naver.com/articles/2650707273",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수자인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아름동 최상의 택지,학군,상권,충남대병원 생활권 편리,밀마루전망대  인근</t>
        </is>
      </c>
      <c r="L997" s="6">
        <f>HYPERLINK("https://fin.land.naver.com/articles/2647931377",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고운맘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총 96.7p, 12단지 맞은편 위치좋은 단독주택지</t>
        </is>
      </c>
      <c r="L1001" s="6">
        <f>HYPERLINK("https://fin.land.naver.com/articles/2651908937",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96.7p, 단지 맞은편, 사거리 코너자리</t>
        </is>
      </c>
      <c r="L1002" s="6">
        <f>HYPERLINK("https://fin.land.naver.com/articles/2647425590",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151.5p, 데이터센터, 방송관련 사옥 추천, 조율가능, 입지좋은 토지</t>
        </is>
      </c>
      <c r="L1004" s="6">
        <f>HYPERLINK("https://fin.land.naver.com/articles/2649023062",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국제고 인근, 충대병원 가까운 아름동 단독주택 토지매매</t>
        </is>
      </c>
      <c r="L1007" s="6">
        <f>HYPERLINK("https://fin.land.naver.com/articles/2652839214",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뒤로 넓은 공원낀위치 우측 연결녹지 넓어 쾌적한곳</t>
        </is>
      </c>
      <c r="L1011" s="6">
        <f>HYPERLINK("https://fin.land.naver.com/articles/2652418910",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,아름동 최상 택지,충남대병원 인접 생활권 편리,어린이공원접</t>
        </is>
      </c>
      <c r="L1012" s="6">
        <f>HYPERLINK("https://fin.land.naver.com/articles/2650851626",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국제고 인근, 공원인접, 조율가능</t>
        </is>
      </c>
      <c r="L1015" s="6">
        <f>HYPERLINK("https://fin.land.naver.com/articles/2650427336",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90.6p, 아름동 국제고 인근 위치 좋은 토지 매매</t>
        </is>
      </c>
      <c r="L1016" s="6">
        <f>HYPERLINK("https://fin.land.naver.com/articles/2651940283",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국제고인근 위치좋은 코너각지, 공원인접,보행로연결</t>
        </is>
      </c>
      <c r="L1017" s="6">
        <f>HYPERLINK("https://fin.land.naver.com/articles/2650825128",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똑똑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좋은매물 단독주택등추천 협의</t>
        </is>
      </c>
      <c r="L1021" s="6">
        <f>HYPERLINK("https://fin.land.naver.com/articles/2652055256",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세석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삼거리 코너, 아름동 입지 좋은 단독주택지</t>
        </is>
      </c>
      <c r="L1022" s="6">
        <f>HYPERLINK("https://fin.land.naver.com/articles/2647424901",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국제고인근.코너각지. 충대병원인접. 위치,교통 편리한 지역.조정가능</t>
        </is>
      </c>
      <c r="L1026" s="6">
        <f>HYPERLINK("https://fin.land.naver.com/articles/2651892393",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새롬삼둥이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사거리 코너 입지, 가격 최대 조율가능</t>
        </is>
      </c>
      <c r="L1027" s="6">
        <f>HYPERLINK("https://fin.land.naver.com/articles/2647421860",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220000</v>
      </c>
      <c r="G1041" s="4" t="n">
        <v>5683</v>
      </c>
      <c r="H1041" s="4" t="n">
        <v>1719</v>
      </c>
      <c r="I1041" s="5" t="n">
        <v>128</v>
      </c>
      <c r="J1041" s="5" t="n">
        <v>41.8</v>
      </c>
      <c r="K1041" s="3" t="inlineStr">
        <is>
          <t>급매 시세보다 저렴한 토지 추천매물입니다</t>
        </is>
      </c>
      <c r="L1041" s="6">
        <f>HYPERLINK("https://fin.land.naver.com/articles/2649005969",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세종푸르지오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207000</v>
      </c>
      <c r="G1042" s="4" t="n">
        <v>5683</v>
      </c>
      <c r="H1042" s="4" t="n">
        <v>1719</v>
      </c>
      <c r="I1042" s="5" t="n">
        <v>120.4</v>
      </c>
      <c r="J1042" s="5" t="n">
        <v>41.8</v>
      </c>
      <c r="K1042" s="3" t="inlineStr">
        <is>
          <t>계획관리지역 건축부지 시세이하가격</t>
        </is>
      </c>
      <c r="L1042" s="6">
        <f>HYPERLINK("https://fin.land.naver.com/articles/2650899167",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(주)경진컨설팅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210000</v>
      </c>
      <c r="G1043" s="4" t="n">
        <v>5683</v>
      </c>
      <c r="H1043" s="4" t="n">
        <v>1719</v>
      </c>
      <c r="I1043" s="5" t="n">
        <v>122.2</v>
      </c>
      <c r="J1043" s="5" t="n">
        <v>41.8</v>
      </c>
      <c r="K1043" s="3" t="inlineStr">
        <is>
          <t>시세보다 저렴한  최상의 위치로  계획관리 토지로 용도다양</t>
        </is>
      </c>
      <c r="L1043" s="6">
        <f>HYPERLINK("https://fin.land.naver.com/articles/2651026655",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145000</v>
      </c>
      <c r="G1055" s="4" t="n">
        <v>2635</v>
      </c>
      <c r="H1055" s="4" t="n">
        <v>797</v>
      </c>
      <c r="I1055" s="5" t="n">
        <v>181.9</v>
      </c>
      <c r="J1055" s="5" t="n">
        <v>83.3</v>
      </c>
      <c r="K1055" s="3" t="inlineStr">
        <is>
          <t>급매,계획관리구역,성장관리계획구역</t>
        </is>
      </c>
      <c r="L1055" s="6">
        <f>HYPERLINK("https://fin.land.naver.com/articles/2652592516",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지목 대 계획관리 자연취락지구 진입도로있음</t>
        </is>
      </c>
      <c r="L1063" s="6">
        <f>HYPERLINK("https://fin.land.naver.com/articles/2651719061",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2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500000</v>
      </c>
      <c r="G1072" s="4" t="n">
        <v>3700</v>
      </c>
      <c r="H1072" s="4" t="n">
        <v>1119</v>
      </c>
      <c r="I1072" s="5" t="n">
        <v>446.8</v>
      </c>
      <c r="J1072" s="5" t="n">
        <v>25.1</v>
      </c>
      <c r="K1072" s="3" t="inlineStr">
        <is>
          <t>nan</t>
        </is>
      </c>
      <c r="L1072" s="6">
        <f>HYPERLINK("https://fin.land.naver.com/articles/2652334541",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165000</v>
      </c>
      <c r="G1073" s="4" t="n">
        <v>991</v>
      </c>
      <c r="H1073" s="4" t="n">
        <v>300</v>
      </c>
      <c r="I1073" s="5" t="n">
        <v>550</v>
      </c>
      <c r="J1073" s="5" t="n">
        <v>25.1</v>
      </c>
      <c r="K1073" s="3" t="inlineStr">
        <is>
          <t>2차선 도로접한 금강이 보이는 지대 높은 토지</t>
        </is>
      </c>
      <c r="L1073" s="6">
        <f>HYPERLINK("https://fin.land.naver.com/articles/2652333436",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담뜰</t>
        </is>
      </c>
      <c r="P1073" s="4" t="n">
        <v>4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64400</v>
      </c>
      <c r="G1076" s="4" t="n">
        <v>1121</v>
      </c>
      <c r="H1076" s="4" t="n">
        <v>339</v>
      </c>
      <c r="I1076" s="5" t="n">
        <v>190</v>
      </c>
      <c r="J1076" s="5" t="n">
        <v>35.5</v>
      </c>
      <c r="K1076" s="3" t="inlineStr">
        <is>
          <t>보전관리, 전</t>
        </is>
      </c>
      <c r="L1076" s="6">
        <f>HYPERLINK("https://fin.land.naver.com/articles/2649732862",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HYPERLINK("https://fin.land.naver.com/articles/2651581324",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HYPERLINK("https://fin.land.naver.com/articles/2647688920",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주변 시세대비 아주저렴</t>
        </is>
      </c>
      <c r="L1106" s="6">
        <f>HYPERLINK("https://fin.land.naver.com/articles/2648462411",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50000</v>
      </c>
      <c r="G1121" s="4" t="n">
        <v>1914</v>
      </c>
      <c r="H1121" s="4" t="n">
        <v>579</v>
      </c>
      <c r="I1121" s="5" t="n">
        <v>86.40000000000001</v>
      </c>
      <c r="J1121" s="5" t="n">
        <v>35.1</v>
      </c>
      <c r="K1121" s="3" t="inlineStr">
        <is>
          <t>급매, 협의절충, 생산관리, 과수원, 입지, 주위 인프라 굿</t>
        </is>
      </c>
      <c r="L1121" s="6">
        <f>HYPERLINK("https://fin.land.naver.com/articles/2653154744",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세종한울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3m 도로접한 계획관리</t>
        </is>
      </c>
      <c r="L1127" s="6">
        <f>HYPERLINK("https://fin.land.naver.com/articles/2651242045",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세종땅사랑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답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주변시세대비 저렴한 토지, 공장, 창고, 기타 환영.</t>
        </is>
      </c>
      <c r="L1134" s="6">
        <f>HYPERLINK("https://fin.land.naver.com/articles/2651776616",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대박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nan</t>
        </is>
      </c>
      <c r="L1158" s="6">
        <f>HYPERLINK("https://fin.land.naver.com/articles/2650838247",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세종금밭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스마트국가산업단지와 북세종IC 인근 계획관리지역 토지로 지가상승 예상.</t>
        </is>
      </c>
      <c r="L1179" s="6">
        <f>HYPERLINK("https://fin.land.naver.com/articles/2650938722",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세종대장</t>
        </is>
      </c>
      <c r="P1179" s="4" t="n">
        <v>2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급매,도로접한 계획관리지역,알토란 토지,가격조정가능</t>
        </is>
      </c>
      <c r="L1180" s="6">
        <f>HYPERLINK("https://fin.land.naver.com/articles/2651676153",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고운맘</t>
        </is>
      </c>
      <c r="P1180" s="4" t="n">
        <v>1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483</v>
      </c>
      <c r="H1203" s="4" t="n">
        <v>146</v>
      </c>
      <c r="I1203" s="5" t="n">
        <v>133.6</v>
      </c>
      <c r="J1203" s="5" t="n">
        <v>66.7</v>
      </c>
      <c r="K1203" s="3" t="inlineStr">
        <is>
          <t>급매매 계획관리 도로접 건축가능 세종 연서 기룡리</t>
        </is>
      </c>
      <c r="L1203" s="6">
        <f>HYPERLINK("https://fin.land.naver.com/articles/2649923225",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명장</t>
        </is>
      </c>
      <c r="P1203" s="4" t="n">
        <v>1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급매물 마을앞 코너각지 도로접한 대지와 전매매</t>
        </is>
      </c>
      <c r="L1204" s="6">
        <f>HYPERLINK("https://fin.land.naver.com/articles/2650172378",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제이파크</t>
        </is>
      </c>
      <c r="P1204" s="4" t="n">
        <v>3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도로접 국가산단 인근으로 투자와 실사용을 동시에 만족</t>
        </is>
      </c>
      <c r="L1205" s="6">
        <f>HYPERLINK("https://fin.land.naver.com/articles/2652765583",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가치잇는</t>
        </is>
      </c>
      <c r="P1205" s="4" t="n">
        <v>8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기룡리 도로 접한 대지,일부답 세종스마트국가산업단지 개발 등 투자 호재</t>
        </is>
      </c>
      <c r="L1206" s="6">
        <f>HYPERLINK("https://fin.land.naver.com/articles/2651109883",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믿음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482</v>
      </c>
      <c r="H1207" s="4" t="n">
        <v>146</v>
      </c>
      <c r="I1207" s="5" t="n">
        <v>133.6</v>
      </c>
      <c r="J1207" s="5" t="n">
        <v>66.7</v>
      </c>
      <c r="K1207" s="3" t="inlineStr">
        <is>
          <t>연서면 기룡리 토지 계획관리지역 전원주택등</t>
        </is>
      </c>
      <c r="L1207" s="6">
        <f>HYPERLINK("https://fin.land.naver.com/articles/2652196219",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반석원무소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nan</t>
        </is>
      </c>
      <c r="L1209" s="6">
        <f>HYPERLINK("https://fin.land.naver.com/articles/2652331421",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세종금밭</t>
        </is>
      </c>
      <c r="P1209" s="4" t="n">
        <v>4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급매,투자추천,나대지</t>
        </is>
      </c>
      <c r="L1210" s="6">
        <f>HYPERLINK("https://fin.land.naver.com/articles/2648731146",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작은 텃밭 건축가능한 대지</t>
        </is>
      </c>
      <c r="L1211" s="6">
        <f>HYPERLINK("https://fin.land.naver.com/articles/2651272476",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지성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1022</v>
      </c>
      <c r="H1242" s="4" t="n">
        <v>309</v>
      </c>
      <c r="I1242" s="5" t="n">
        <v>446.6</v>
      </c>
      <c r="J1242" s="5" t="n">
        <v>55.8</v>
      </c>
      <c r="K1242" s="3" t="inlineStr">
        <is>
          <t>계획관리 전</t>
        </is>
      </c>
      <c r="L1242" s="6">
        <f>HYPERLINK("https://fin.land.naver.com/articles/2649731129",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1143</v>
      </c>
      <c r="H1243" s="4" t="n">
        <v>346</v>
      </c>
      <c r="I1243" s="5" t="n">
        <v>398.8</v>
      </c>
      <c r="J1243" s="5" t="n">
        <v>55.8</v>
      </c>
      <c r="K1243" s="3" t="inlineStr">
        <is>
          <t>조율가능 국가산단인근 귀한 계획관리 매물</t>
        </is>
      </c>
      <c r="L1243" s="6">
        <f>HYPERLINK("https://fin.land.naver.com/articles/2648979075",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세종스타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도로접한 과수원 매매</t>
        </is>
      </c>
      <c r="L1246" s="6">
        <f>HYPERLINK("https://fin.land.naver.com/articles/2653195485",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도로변 성장관리구역 과수원</t>
        </is>
      </c>
      <c r="L1247" s="6">
        <f>HYPERLINK("https://fin.land.naver.com/articles/2650613233",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5090</v>
      </c>
      <c r="H1249" s="4" t="n">
        <v>1540</v>
      </c>
      <c r="I1249" s="5" t="n">
        <v>129.9</v>
      </c>
      <c r="J1249" s="5" t="n">
        <v>27.3</v>
      </c>
      <c r="K1249" s="3" t="inlineStr">
        <is>
          <t>2차선도로접, 개발호재가 강한지역 투자가치최고</t>
        </is>
      </c>
      <c r="L1249" s="6">
        <f>HYPERLINK("https://fin.land.naver.com/articles/2651043984",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원내</t>
        </is>
      </c>
      <c r="P1249" s="4" t="n">
        <v>2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80000</v>
      </c>
      <c r="G1250" s="4" t="n">
        <v>2045</v>
      </c>
      <c r="H1250" s="4" t="n">
        <v>619</v>
      </c>
      <c r="I1250" s="5" t="n">
        <v>129.2</v>
      </c>
      <c r="J1250" s="5" t="n">
        <v>27.3</v>
      </c>
      <c r="K1250" s="3" t="inlineStr">
        <is>
          <t>2차선 도로접 북세종IC인근</t>
        </is>
      </c>
      <c r="L1250" s="6">
        <f>HYPERLINK("https://fin.land.naver.com/articles/2650478349",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가치잇는</t>
        </is>
      </c>
      <c r="P1250" s="4" t="n">
        <v>4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80400</v>
      </c>
      <c r="G1251" s="4" t="n">
        <v>2045</v>
      </c>
      <c r="H1251" s="4" t="n">
        <v>619</v>
      </c>
      <c r="I1251" s="5" t="n">
        <v>129.9</v>
      </c>
      <c r="J1251" s="5" t="n">
        <v>27.3</v>
      </c>
      <c r="K1251" s="3" t="inlineStr">
        <is>
          <t>본 토지는 2차선 도로에 접하여 연서면의 광활한 평지에 개발가능성이 높음</t>
        </is>
      </c>
      <c r="L1251" s="6">
        <f>HYPERLINK("https://fin.land.naver.com/articles/2652983578",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온누리</t>
        </is>
      </c>
      <c r="P1251" s="4" t="n">
        <v>3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93000</v>
      </c>
      <c r="G1252" s="4" t="n">
        <v>2045</v>
      </c>
      <c r="H1252" s="4" t="n">
        <v>619</v>
      </c>
      <c r="I1252" s="5" t="n">
        <v>150.2</v>
      </c>
      <c r="J1252" s="5" t="n">
        <v>27.3</v>
      </c>
      <c r="K1252" s="3" t="inlineStr">
        <is>
          <t>2차선 도로변 토지 매매</t>
        </is>
      </c>
      <c r="L1252" s="6">
        <f>HYPERLINK("https://fin.land.naver.com/articles/2653137602",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주식회사넥서스</t>
        </is>
      </c>
      <c r="P1252" s="4" t="n">
        <v>2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119000</v>
      </c>
      <c r="G1253" s="4" t="n">
        <v>3045</v>
      </c>
      <c r="H1253" s="4" t="n">
        <v>921</v>
      </c>
      <c r="I1253" s="5" t="n">
        <v>129.2</v>
      </c>
      <c r="J1253" s="5" t="n">
        <v>27.3</v>
      </c>
      <c r="K1253" s="3" t="inlineStr">
        <is>
          <t>연서면 성제리 2차선 도로에 접한 투자용 답, 2필지 합해서 매매도 가능</t>
        </is>
      </c>
      <c r="L1253" s="6">
        <f>HYPERLINK("https://fin.land.naver.com/articles/2651454310",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스마일세종</t>
        </is>
      </c>
      <c r="P1253" s="4" t="n">
        <v>3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19000</v>
      </c>
      <c r="G1259" s="4" t="n">
        <v>730</v>
      </c>
      <c r="H1259" s="4" t="n">
        <v>221</v>
      </c>
      <c r="I1259" s="5" t="n">
        <v>86</v>
      </c>
      <c r="J1259" s="5" t="n">
        <v>39.5</v>
      </c>
      <c r="K1259" s="3" t="inlineStr">
        <is>
          <t>분할매도,실수요와 투자를 동시에.미래가치 충분</t>
        </is>
      </c>
      <c r="L1259" s="6">
        <f>HYPERLINK("https://fin.land.naver.com/articles/2650336389",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가치잇는</t>
        </is>
      </c>
      <c r="P1259" s="4" t="n">
        <v>2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10000</v>
      </c>
      <c r="G1260" s="4" t="n">
        <v>330</v>
      </c>
      <c r="H1260" s="4" t="n">
        <v>100</v>
      </c>
      <c r="I1260" s="5" t="n">
        <v>100</v>
      </c>
      <c r="J1260" s="5" t="n">
        <v>39.5</v>
      </c>
      <c r="K1260" s="3" t="inlineStr">
        <is>
          <t>nan</t>
        </is>
      </c>
      <c r="L1260" s="6">
        <f>HYPERLINK("https://fin.land.naver.com/articles/2651153583",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미스터홈즈강남지사</t>
        </is>
      </c>
      <c r="P1260" s="4" t="n">
        <v>1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96000</v>
      </c>
      <c r="G1261" s="4" t="n">
        <v>3193</v>
      </c>
      <c r="H1261" s="4" t="n">
        <v>966</v>
      </c>
      <c r="I1261" s="5" t="n">
        <v>99.40000000000001</v>
      </c>
      <c r="J1261" s="5" t="n">
        <v>74.8</v>
      </c>
      <c r="K1261" s="3" t="inlineStr">
        <is>
          <t>연서면행정복지센타 인근토지</t>
        </is>
      </c>
      <c r="L1261" s="6">
        <f>HYPERLINK("https://fin.land.naver.com/articles/2648029985",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THE행복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77300</v>
      </c>
      <c r="G1262" s="4" t="n">
        <v>3194</v>
      </c>
      <c r="H1262" s="4" t="n">
        <v>966</v>
      </c>
      <c r="I1262" s="5" t="n">
        <v>80</v>
      </c>
      <c r="J1262" s="5" t="n">
        <v>74.8</v>
      </c>
      <c r="K1262" s="3" t="inlineStr">
        <is>
          <t>행정복지센터 인근 자연녹지 저렴한 토지</t>
        </is>
      </c>
      <c r="L1262" s="6">
        <f>HYPERLINK("https://fin.land.naver.com/articles/2652098500",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80000</v>
      </c>
      <c r="G1265" s="4" t="n">
        <v>1087</v>
      </c>
      <c r="H1265" s="4" t="n">
        <v>329</v>
      </c>
      <c r="I1265" s="5" t="n">
        <v>243.2</v>
      </c>
      <c r="J1265" s="5" t="n">
        <v>65.90000000000001</v>
      </c>
      <c r="K1265" s="3" t="inlineStr">
        <is>
          <t>국가산단인근  성장관리계획구역</t>
        </is>
      </c>
      <c r="L1265" s="6">
        <f>HYPERLINK("https://fin.land.naver.com/articles/2648491546",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1088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코너 도시지역 자연녹지 밭 도심과 가까운 위치</t>
        </is>
      </c>
      <c r="L1266" s="6">
        <f>HYPERLINK("https://fin.land.naver.com/articles/2648498507",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지성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82250</v>
      </c>
      <c r="G1267" s="4" t="n">
        <v>1087</v>
      </c>
      <c r="H1267" s="4" t="n">
        <v>329</v>
      </c>
      <c r="I1267" s="5" t="n">
        <v>250</v>
      </c>
      <c r="J1267" s="5" t="n">
        <v>65.90000000000001</v>
      </c>
      <c r="K1267" s="3" t="inlineStr">
        <is>
          <t>집짓기 좋은 정방형 토지 매매</t>
        </is>
      </c>
      <c r="L1267" s="6">
        <f>HYPERLINK("https://fin.land.naver.com/articles/2653195395",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nan</t>
        </is>
      </c>
      <c r="L1297" s="6">
        <f>HYPERLINK("https://fin.land.naver.com/articles/2649736710",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43700</v>
      </c>
      <c r="G1300" s="4" t="n">
        <v>1928</v>
      </c>
      <c r="H1300" s="4" t="n">
        <v>583</v>
      </c>
      <c r="I1300" s="5" t="n">
        <v>75</v>
      </c>
      <c r="J1300" s="5" t="n">
        <v>31.7</v>
      </c>
      <c r="K1300" s="3" t="inlineStr">
        <is>
          <t>2차선 도로에 접해 있는 세종 스마트 산업단지 인근의 투자용 토지</t>
        </is>
      </c>
      <c r="L1300" s="6">
        <f>HYPERLINK("https://fin.land.naver.com/articles/2653003595",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447</v>
      </c>
      <c r="H1309" s="4" t="n">
        <v>135</v>
      </c>
      <c r="I1309" s="5" t="n">
        <v>118.5</v>
      </c>
      <c r="J1309" s="5" t="n">
        <v>31.2</v>
      </c>
      <c r="K1309" s="3" t="inlineStr">
        <is>
          <t>고복저수지인근,4m도로접, 모양좋고 평탄한 농지, 주말농장,체류형쉼터,</t>
        </is>
      </c>
      <c r="L1309" s="6">
        <f>HYPERLINK("https://fin.land.naver.com/articles/2651745421",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413</v>
      </c>
      <c r="H1310" s="4" t="n">
        <v>125</v>
      </c>
      <c r="I1310" s="5" t="n">
        <v>128</v>
      </c>
      <c r="J1310" s="5" t="n">
        <v>31.2</v>
      </c>
      <c r="K1310" s="3" t="inlineStr">
        <is>
          <t>체류형쉼터강추,도로접,국유지사용가,도로지분33제곱별도면적포함가</t>
        </is>
      </c>
      <c r="L1310" s="6">
        <f>HYPERLINK("https://fin.land.naver.com/articles/2648103313",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힐스테이트행복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세종 연서면 과수원 매매 생산관리지역성장관리계획구역</t>
        </is>
      </c>
      <c r="L1318" s="6">
        <f>HYPERLINK("https://fin.land.naver.com/articles/2651520255",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연서면 쌍류리 2차선변 토지 매매</t>
        </is>
      </c>
      <c r="L1330" s="6">
        <f>HYPERLINK("https://fin.land.naver.com/articles/2649563551",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길운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36500</v>
      </c>
      <c r="G1331" s="4" t="n">
        <v>1334</v>
      </c>
      <c r="H1331" s="4" t="n">
        <v>404</v>
      </c>
      <c r="I1331" s="5" t="n">
        <v>90.3</v>
      </c>
      <c r="J1331" s="5" t="n">
        <v>29.4</v>
      </c>
      <c r="K1331" s="3" t="inlineStr">
        <is>
          <t>하천, 도로접, 포도농원</t>
        </is>
      </c>
      <c r="L1331" s="6">
        <f>HYPERLINK("https://fin.land.naver.com/articles/2650024525",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삼보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49500</v>
      </c>
      <c r="G1345" s="4" t="n">
        <v>2463</v>
      </c>
      <c r="H1345" s="4" t="n">
        <v>745</v>
      </c>
      <c r="I1345" s="5" t="n">
        <v>66.40000000000001</v>
      </c>
      <c r="J1345" s="5" t="n">
        <v>28.9</v>
      </c>
      <c r="K1345" s="3" t="inlineStr">
        <is>
          <t>도로접한 저렴한 토지매매</t>
        </is>
      </c>
      <c r="L1345" s="6">
        <f>HYPERLINK("https://fin.land.naver.com/articles/2651247524",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세종토박이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45000</v>
      </c>
      <c r="G1346" s="4" t="n">
        <v>2463</v>
      </c>
      <c r="H1346" s="4" t="n">
        <v>745</v>
      </c>
      <c r="I1346" s="5" t="n">
        <v>60.4</v>
      </c>
      <c r="J1346" s="5" t="n">
        <v>28.9</v>
      </c>
      <c r="K1346" s="3" t="inlineStr">
        <is>
          <t>쌍류리 저렴한 토지매매</t>
        </is>
      </c>
      <c r="L1346" s="6">
        <f>HYPERLINK("https://fin.land.naver.com/articles/2653075157",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세종땅사랑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16300</v>
      </c>
      <c r="G1350" s="4" t="n">
        <v>522</v>
      </c>
      <c r="H1350" s="4" t="n">
        <v>158</v>
      </c>
      <c r="I1350" s="5" t="n">
        <v>103.2</v>
      </c>
      <c r="J1350" s="5" t="n">
        <v>32.8</v>
      </c>
      <c r="K1350" s="3" t="inlineStr">
        <is>
          <t>2차선 도로변의 접근성 좋은 급매 토지</t>
        </is>
      </c>
      <c r="L1350" s="6">
        <f>HYPERLINK("https://fin.land.naver.com/articles/2648746836",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대</t>
        </is>
      </c>
      <c r="E1353" s="3" t="inlineStr">
        <is>
          <t>매매</t>
        </is>
      </c>
      <c r="F1353" s="4" t="n">
        <v>26000</v>
      </c>
      <c r="G1353" s="4" t="n">
        <v>548</v>
      </c>
      <c r="H1353" s="4" t="n">
        <v>166</v>
      </c>
      <c r="I1353" s="5" t="n">
        <v>156.6</v>
      </c>
      <c r="J1353" s="5" t="n">
        <v>30.2</v>
      </c>
      <c r="K1353" s="3" t="inlineStr">
        <is>
          <t>가격조절가능,근생부지로 허가난상태,도로지분포함,토목공사완료,</t>
        </is>
      </c>
      <c r="L1353" s="6">
        <f>HYPERLINK("https://fin.land.naver.com/articles/2651994335",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담뜰</t>
        </is>
      </c>
      <c r="P1353" s="4" t="n">
        <v>2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26560</v>
      </c>
      <c r="G1354" s="4" t="n">
        <v>477</v>
      </c>
      <c r="H1354" s="4" t="n">
        <v>144</v>
      </c>
      <c r="I1354" s="5" t="n">
        <v>184.4</v>
      </c>
      <c r="J1354" s="5" t="n">
        <v>30.2</v>
      </c>
      <c r="K1354" s="3" t="inlineStr">
        <is>
          <t>nan</t>
        </is>
      </c>
      <c r="L1354" s="6">
        <f>HYPERLINK("https://fin.land.naver.com/articles/2650436505",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40300</v>
      </c>
      <c r="G1356" s="4" t="n">
        <v>635</v>
      </c>
      <c r="H1356" s="4" t="n">
        <v>192</v>
      </c>
      <c r="I1356" s="5" t="n">
        <v>209.9</v>
      </c>
      <c r="J1356" s="5" t="n">
        <v>66.90000000000001</v>
      </c>
      <c r="K1356" s="3" t="inlineStr">
        <is>
          <t>도심근처 주택지 공방,찻집 등이 어울리는 호재성 좋은 토지</t>
        </is>
      </c>
      <c r="L1356" s="6">
        <f>HYPERLINK("https://fin.land.naver.com/articles/2650398102",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지성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39200</v>
      </c>
      <c r="G1357" s="4" t="n">
        <v>518</v>
      </c>
      <c r="H1357" s="4" t="n">
        <v>157</v>
      </c>
      <c r="I1357" s="5" t="n">
        <v>249.7</v>
      </c>
      <c r="J1357" s="5" t="n">
        <v>66.90000000000001</v>
      </c>
      <c r="K1357" s="3" t="inlineStr">
        <is>
          <t>전원주택단지 최고의 입지  단지조성완료  협의가능  연기군아파트공급호재</t>
        </is>
      </c>
      <c r="L1357" s="6">
        <f>HYPERLINK("https://fin.land.naver.com/articles/2647888422",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연세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110000</v>
      </c>
      <c r="G1370" s="4" t="n">
        <v>3607</v>
      </c>
      <c r="H1370" s="4" t="n">
        <v>1091</v>
      </c>
      <c r="I1370" s="5" t="n">
        <v>100.8</v>
      </c>
      <c r="J1370" s="5" t="n">
        <v>30.3</v>
      </c>
      <c r="K1370" s="3" t="inlineStr">
        <is>
          <t>2차선 도로에접한 토지로 현재가보다 매우 저렴하게 나온 매물임.</t>
        </is>
      </c>
      <c r="L1370" s="6">
        <f>HYPERLINK("https://fin.land.naver.com/articles/2648518171",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3607</v>
      </c>
      <c r="H1371" s="4" t="n">
        <v>1091</v>
      </c>
      <c r="I1371" s="5" t="n">
        <v>110</v>
      </c>
      <c r="J1371" s="5" t="n">
        <v>30.3</v>
      </c>
      <c r="K1371" s="3" t="inlineStr">
        <is>
          <t>도로 접한 코너 답 토지 접근성 우수</t>
        </is>
      </c>
      <c r="L1371" s="6">
        <f>HYPERLINK("https://fin.land.naver.com/articles/2648379661",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몬스터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양면6미터도로접,북세종IC예정지앞,현재 복숭아 농사중,성토완료,</t>
        </is>
      </c>
      <c r="L1374" s="6">
        <f>HYPERLINK("https://fin.land.naver.com/articles/2651993946",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담뜰</t>
        </is>
      </c>
      <c r="P1374" s="4" t="n">
        <v>8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2차선접,대토강추,투자가치최고</t>
        </is>
      </c>
      <c r="L1375" s="6">
        <f>HYPERLINK("https://fin.land.naver.com/articles/2648102972",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힐스테이트행복</t>
        </is>
      </c>
      <c r="P1375" s="4" t="n">
        <v>2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마을 맨 윗쪽 넓은 전원주택지. 현재 전 및 일부 축사</t>
        </is>
      </c>
      <c r="L1386" s="6">
        <f>HYPERLINK("https://fin.land.naver.com/articles/2651423318",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세종소담114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200000</v>
      </c>
      <c r="G1419" s="4" t="n">
        <v>1653</v>
      </c>
      <c r="H1419" s="4" t="n">
        <v>500</v>
      </c>
      <c r="I1419" s="5" t="n">
        <v>400</v>
      </c>
      <c r="J1419" s="5" t="n">
        <v>96.59999999999999</v>
      </c>
      <c r="K1419" s="3" t="inlineStr">
        <is>
          <t>nan</t>
        </is>
      </c>
      <c r="L1419" s="6">
        <f>HYPERLINK("https://fin.land.naver.com/articles/2649692747",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330000</v>
      </c>
      <c r="G1420" s="4" t="n">
        <v>3712</v>
      </c>
      <c r="H1420" s="4" t="n">
        <v>1123</v>
      </c>
      <c r="I1420" s="5" t="n">
        <v>293.9</v>
      </c>
      <c r="J1420" s="5" t="n">
        <v>96.59999999999999</v>
      </c>
      <c r="K1420" s="3" t="inlineStr">
        <is>
          <t>세종 조치원 공공주택지구 인근 투자용 토지 매매</t>
        </is>
      </c>
      <c r="L1420" s="6">
        <f>HYPERLINK("https://fin.land.naver.com/articles/2649466633",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(주)해뜰터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조치원역인근, 주말농장으로 좋아요</t>
        </is>
      </c>
      <c r="L1426" s="6">
        <f>HYPERLINK("https://fin.land.naver.com/articles/2653051509",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세종강남</t>
        </is>
      </c>
      <c r="P1426" s="4" t="n">
        <v>4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개방감 좋고 저렴하게 나온 토지</t>
        </is>
      </c>
      <c r="L1427" s="6">
        <f>HYPERLINK("https://fin.land.naver.com/articles/2651956754",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용궁</t>
        </is>
      </c>
      <c r="P1427" s="4" t="n">
        <v>2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230000</v>
      </c>
      <c r="G1434" s="4" t="n">
        <v>2234</v>
      </c>
      <c r="H1434" s="4" t="n">
        <v>676</v>
      </c>
      <c r="I1434" s="5" t="n">
        <v>340.2</v>
      </c>
      <c r="J1434" s="5" t="n">
        <v>61.5</v>
      </c>
      <c r="K1434" s="3" t="inlineStr">
        <is>
          <t>상가건물건축용</t>
        </is>
      </c>
      <c r="L1434" s="6">
        <f>HYPERLINK("https://fin.land.naver.com/articles/2648552601",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세종리츠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250000</v>
      </c>
      <c r="G1435" s="4" t="n">
        <v>2400</v>
      </c>
      <c r="H1435" s="4" t="n">
        <v>726</v>
      </c>
      <c r="I1435" s="5" t="n">
        <v>344.4</v>
      </c>
      <c r="J1435" s="5" t="n">
        <v>61.5</v>
      </c>
      <c r="K1435" s="3" t="inlineStr">
        <is>
          <t>명성공인, 월하리, 1번국도 가까운 활용도 좋은 추천 매물</t>
        </is>
      </c>
      <c r="L1435" s="6">
        <f>HYPERLINK("https://fin.land.naver.com/articles/2652073523",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명성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세종 연서면 월하리 톨게이트예정지인근 시내인근 개발지 도로접 조정가능</t>
        </is>
      </c>
      <c r="L1438" s="6">
        <f>HYPERLINK("https://fin.land.naver.com/articles/2650823939",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MK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위치 좋은 넓은 토지.연락주세요</t>
        </is>
      </c>
      <c r="L1439" s="6">
        <f>HYPERLINK("https://fin.land.naver.com/articles/2648522838",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수자인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4미터포장도로접.청라2리복지회관인근.국가산단수혜지.고복저수지5분거리</t>
        </is>
      </c>
      <c r="L1456" s="6">
        <f>HYPERLINK("https://fin.land.naver.com/articles/2651977919",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돈방석</t>
        </is>
      </c>
      <c r="P1456" s="4" t="n">
        <v>8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l청년l 세종시 투자가치 있는 토지 입니다.</t>
        </is>
      </c>
      <c r="L1457" s="6">
        <f>HYPERLINK("https://fin.land.naver.com/articles/2652676790",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청년사사무소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포장도로 접한 세종 북부권 전원주택 검토형 토지</t>
        </is>
      </c>
      <c r="L1458" s="6">
        <f>HYPERLINK("https://fin.land.naver.com/articles/2649753980",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세종소담황금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고복저수지5분거리 국산인근수혜지</t>
        </is>
      </c>
      <c r="L1459" s="6">
        <f>HYPERLINK("https://fin.land.naver.com/articles/2652904321",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오송원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차량진입완경사, 고복저수지 6분국가산단 15분권</t>
        </is>
      </c>
      <c r="L1460" s="6">
        <f>HYPERLINK("https://fin.land.naver.com/articles/2650328099",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풍수지리 최고위치 국가산단 배후지 급매물</t>
        </is>
      </c>
      <c r="L1461" s="6">
        <f>HYPERLINK("https://fin.land.naver.com/articles/2650378739",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THE행복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HYPERLINK("https://fin.land.naver.com/articles/2648087819",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HYPERLINK("https://fin.land.naver.com/articles/2648088525",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573</v>
      </c>
      <c r="H1492" s="4" t="n">
        <v>173</v>
      </c>
      <c r="I1492" s="5" t="n">
        <v>462.4</v>
      </c>
      <c r="J1492" s="5" t="n">
        <v>161.2</v>
      </c>
      <c r="K1492" s="3" t="inlineStr">
        <is>
          <t>173땅 오송역세권 미래투자가치우수한 토지</t>
        </is>
      </c>
      <c r="L1492" s="6">
        <f>HYPERLINK("https://fin.land.naver.com/articles/2648360295",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85000</v>
      </c>
      <c r="G1493" s="4" t="n">
        <v>573</v>
      </c>
      <c r="H1493" s="4" t="n">
        <v>173</v>
      </c>
      <c r="I1493" s="5" t="n">
        <v>491.3</v>
      </c>
      <c r="J1493" s="5" t="n">
        <v>161.2</v>
      </c>
      <c r="K1493" s="3" t="inlineStr">
        <is>
          <t>오송역에서 가까운 궁평리에 위치한 토지임</t>
        </is>
      </c>
      <c r="L1493" s="6">
        <f>HYPERLINK("https://fin.land.naver.com/articles/2652419897",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산성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매가 조정하여 매2.6억원 오송 산단주변 농림지역 매매</t>
        </is>
      </c>
      <c r="L1543" s="6">
        <f>HYPERLINK("https://fin.land.naver.com/articles/2651395740",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로데오상가</t>
        </is>
      </c>
      <c r="P1543" s="4" t="n">
        <v>1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세종시근접 농지,남향토지,</t>
        </is>
      </c>
      <c r="L1544" s="6">
        <f>HYPERLINK("https://fin.land.naver.com/articles/2651993334",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담뜰</t>
        </is>
      </c>
      <c r="P1544" s="4" t="n">
        <v>10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nan</t>
        </is>
      </c>
      <c r="L1561" s="6">
        <f>HYPERLINK("https://fin.land.naver.com/articles/2651726674",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OK파라곤</t>
        </is>
      </c>
      <c r="P1561" s="4" t="n">
        <v>2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창고용지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nan</t>
        </is>
      </c>
      <c r="L1568" s="6">
        <f>HYPERLINK("https://fin.land.naver.com/articles/2650862822",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프로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답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매물 특징</t>
        </is>
      </c>
      <c r="L1569" s="6">
        <f>HYPERLINK("https://fin.land.naver.com/articles/2653143304",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오송궁평마을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창고용지</t>
        </is>
      </c>
      <c r="E1580" s="3" t="inlineStr">
        <is>
          <t>매매</t>
        </is>
      </c>
      <c r="F1580" s="4" t="n">
        <v>120000</v>
      </c>
      <c r="G1580" s="4" t="n">
        <v>2423</v>
      </c>
      <c r="H1580" s="4" t="n">
        <v>733</v>
      </c>
      <c r="I1580" s="5" t="n">
        <v>163.7</v>
      </c>
      <c r="J1580" s="5" t="n">
        <v>49.6</v>
      </c>
      <c r="K1580" s="3" t="inlineStr">
        <is>
          <t>오송3산단예정지인근 2차선변 농업용창고,부분거래가능</t>
        </is>
      </c>
      <c r="L1580" s="6">
        <f>HYPERLINK("https://fin.land.naver.com/articles/2650475978",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가치잇는</t>
        </is>
      </c>
      <c r="P1580" s="4" t="n">
        <v>2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답</t>
        </is>
      </c>
      <c r="E1581" s="3" t="inlineStr">
        <is>
          <t>매매</t>
        </is>
      </c>
      <c r="F1581" s="4" t="n">
        <v>110000</v>
      </c>
      <c r="G1581" s="4" t="n">
        <v>2423</v>
      </c>
      <c r="H1581" s="4" t="n">
        <v>733</v>
      </c>
      <c r="I1581" s="5" t="n">
        <v>150.1</v>
      </c>
      <c r="J1581" s="5" t="n">
        <v>49.6</v>
      </c>
      <c r="K1581" s="3" t="inlineStr">
        <is>
          <t>2차선도로접한3필지일괄매매,창고는 현재 임대중,그리고 복숭아밭으로이용중</t>
        </is>
      </c>
      <c r="L1581" s="6">
        <f>HYPERLINK("https://fin.land.naver.com/articles/2652138120",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담뜰</t>
        </is>
      </c>
      <c r="P1581" s="4" t="n">
        <v>1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외1필지 호텔이나 오피스텔로 투자 적합</t>
        </is>
      </c>
      <c r="L1606" s="6">
        <f>HYPERLINK("https://fin.land.naver.com/articles/2650139636",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옥산하늘채 주식회사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nan</t>
        </is>
      </c>
      <c r="L1607" s="6">
        <f>HYPERLINK("https://fin.land.naver.com/articles/2651794517",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바른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140000</v>
      </c>
      <c r="G1625" s="4" t="n">
        <v>548</v>
      </c>
      <c r="H1625" s="4" t="n">
        <v>166</v>
      </c>
      <c r="I1625" s="5" t="n">
        <v>843.4</v>
      </c>
      <c r="J1625" s="5" t="n">
        <v>347.1</v>
      </c>
      <c r="K1625" s="3" t="inlineStr">
        <is>
          <t>급매, 오송 국민체육센터 인근 토지 매매</t>
        </is>
      </c>
      <c r="L1625" s="6">
        <f>HYPERLINK("https://fin.land.naver.com/articles/2648308447",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150000</v>
      </c>
      <c r="G1626" s="4" t="n">
        <v>548</v>
      </c>
      <c r="H1626" s="4" t="n">
        <v>166</v>
      </c>
      <c r="I1626" s="5" t="n">
        <v>903.6</v>
      </c>
      <c r="J1626" s="5" t="n">
        <v>347.1</v>
      </c>
      <c r="K1626" s="3" t="inlineStr">
        <is>
          <t>오송 정중리 상가 신축 가능한 투자용지</t>
        </is>
      </c>
      <c r="L1626" s="6">
        <f>HYPERLINK("https://fin.land.naver.com/articles/2647850811",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성진</t>
        </is>
      </c>
      <c r="P1626" s="4" t="n">
        <v>1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166000</v>
      </c>
      <c r="G1627" s="4" t="n">
        <v>548</v>
      </c>
      <c r="H1627" s="4" t="n">
        <v>166</v>
      </c>
      <c r="I1627" s="5" t="n">
        <v>1000</v>
      </c>
      <c r="J1627" s="5" t="n">
        <v>347.1</v>
      </c>
      <c r="K1627" s="3" t="inlineStr">
        <is>
          <t>오송 2산단 지원시설용지  아파트 인접한 대로변 토지 근생 건물등 가능</t>
        </is>
      </c>
      <c r="L1627" s="6">
        <f>HYPERLINK("https://fin.land.naver.com/articles/2652625205",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더원</t>
        </is>
      </c>
      <c r="P1627" s="4" t="n">
        <v>3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380000</v>
      </c>
      <c r="G1628" s="4" t="n">
        <v>1143</v>
      </c>
      <c r="H1628" s="4" t="n">
        <v>346</v>
      </c>
      <c r="I1628" s="5" t="n">
        <v>1098.3</v>
      </c>
      <c r="J1628" s="5" t="n">
        <v>407.6</v>
      </c>
      <c r="K1628" s="3" t="inlineStr">
        <is>
          <t>4차선 메인 코너토지 대단지아파트들을 끼고있음</t>
        </is>
      </c>
      <c r="L1628" s="6">
        <f>HYPERLINK("https://fin.land.naver.com/articles/2652380240",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조은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218000</v>
      </c>
      <c r="G1629" s="4" t="n">
        <v>1143</v>
      </c>
      <c r="H1629" s="4" t="n">
        <v>346</v>
      </c>
      <c r="I1629" s="5" t="n">
        <v>630.1</v>
      </c>
      <c r="J1629" s="5" t="n">
        <v>407.6</v>
      </c>
      <c r="K1629" s="3" t="inlineStr">
        <is>
          <t>코너땅,현재나대지,지원시설용지</t>
        </is>
      </c>
      <c r="L1629" s="6">
        <f>HYPERLINK("https://fin.land.naver.com/articles/2653153996",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오송올래</t>
        </is>
      </c>
      <c r="P1629" s="4" t="n">
        <v>1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오송2산단 지원시설용지 삼면각지 토지 건폐율70 용적률400 6층이하</t>
        </is>
      </c>
      <c r="L1630" s="6">
        <f>HYPERLINK("https://fin.land.naver.com/articles/2652468960",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365</t>
        </is>
      </c>
      <c r="P1630" s="4" t="n">
        <v>2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380000</v>
      </c>
      <c r="G1631" s="4" t="n">
        <v>1143</v>
      </c>
      <c r="H1631" s="4" t="n">
        <v>346</v>
      </c>
      <c r="I1631" s="5" t="n">
        <v>1098.3</v>
      </c>
      <c r="J1631" s="5" t="n">
        <v>407.6</v>
      </c>
      <c r="K1631" s="3" t="inlineStr">
        <is>
          <t>산업단지 시작 코너 자리, 아파트 세대 배후.</t>
        </is>
      </c>
      <c r="L1631" s="6">
        <f>HYPERLINK("https://fin.land.naver.com/articles/2652526004",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대한민국</t>
        </is>
      </c>
      <c r="P1631" s="4" t="n">
        <v>1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125000</v>
      </c>
      <c r="G1634" s="4" t="n">
        <v>590</v>
      </c>
      <c r="H1634" s="4" t="n">
        <v>178</v>
      </c>
      <c r="I1634" s="5" t="n">
        <v>702.2</v>
      </c>
      <c r="J1634" s="5" t="n">
        <v>256.4</v>
      </c>
      <c r="K1634" s="3" t="inlineStr">
        <is>
          <t>지원시설용지 매매</t>
        </is>
      </c>
      <c r="L1634" s="6">
        <f>HYPERLINK("https://fin.land.naver.com/articles/2652685303",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대한민국</t>
        </is>
      </c>
      <c r="P1634" s="4" t="n">
        <v>1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143000</v>
      </c>
      <c r="G1635" s="4" t="n">
        <v>590</v>
      </c>
      <c r="H1635" s="4" t="n">
        <v>178</v>
      </c>
      <c r="I1635" s="5" t="n">
        <v>803.4</v>
      </c>
      <c r="J1635" s="5" t="n">
        <v>256.4</v>
      </c>
      <c r="K1635" s="3" t="inlineStr">
        <is>
          <t>신도시 대단지아파트인접  지원시설용지</t>
        </is>
      </c>
      <c r="L1635" s="6">
        <f>HYPERLINK("https://fin.land.naver.com/articles/2651351013",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오송원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105000</v>
      </c>
      <c r="G1636" s="4" t="n">
        <v>590</v>
      </c>
      <c r="H1636" s="4" t="n">
        <v>178</v>
      </c>
      <c r="I1636" s="5" t="n">
        <v>589.9</v>
      </c>
      <c r="J1636" s="5" t="n">
        <v>256.4</v>
      </c>
      <c r="K1636" s="3" t="inlineStr">
        <is>
          <t>nan</t>
        </is>
      </c>
      <c r="L1636" s="6">
        <f>HYPERLINK("https://fin.land.naver.com/articles/2651733349",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동행사무소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오송2산단 준공업지역 급매 대단지아파트 및 공장지역</t>
        </is>
      </c>
      <c r="L1637" s="6">
        <f>HYPERLINK("https://fin.land.naver.com/articles/2651795106",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더원</t>
        </is>
      </c>
      <c r="P1637" s="4" t="n">
        <v>7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186000</v>
      </c>
      <c r="G1662" s="4" t="n">
        <v>15410</v>
      </c>
      <c r="H1662" s="4" t="n">
        <v>4662</v>
      </c>
      <c r="I1662" s="5" t="n">
        <v>39.9</v>
      </c>
      <c r="J1662" s="5" t="n">
        <v>59.8</v>
      </c>
      <c r="K1662" s="3" t="inlineStr">
        <is>
          <t>급매, 번암리 산업시설,공장다수,향후 활용가능성 높은토지</t>
        </is>
      </c>
      <c r="L1662" s="6">
        <f>HYPERLINK("https://fin.land.naver.com/articles/2651070894",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다옴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180000</v>
      </c>
      <c r="G1663" s="4" t="n">
        <v>15025</v>
      </c>
      <c r="H1663" s="4" t="n">
        <v>4545</v>
      </c>
      <c r="I1663" s="5" t="n">
        <v>39.6</v>
      </c>
      <c r="J1663" s="5" t="n">
        <v>59.8</v>
      </c>
      <c r="K1663" s="3" t="inlineStr">
        <is>
          <t>도로접근선 우수 여러용도 활용가능</t>
        </is>
      </c>
      <c r="L1663" s="6">
        <f>HYPERLINK("https://fin.land.naver.com/articles/2650788390",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신두정리치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450000</v>
      </c>
      <c r="G1676" s="4" t="n">
        <v>828</v>
      </c>
      <c r="H1676" s="4" t="n">
        <v>250</v>
      </c>
      <c r="I1676" s="5" t="n">
        <v>1800</v>
      </c>
      <c r="J1676" s="5" t="n">
        <v>274.4</v>
      </c>
      <c r="K1676" s="3" t="inlineStr">
        <is>
          <t>조치원 서북부지구 아파트 앞 중심상권 토지</t>
        </is>
      </c>
      <c r="L1676" s="6">
        <f>HYPERLINK("https://fin.land.naver.com/articles/2650856619",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세종대박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375000</v>
      </c>
      <c r="G1677" s="4" t="n">
        <v>828</v>
      </c>
      <c r="H1677" s="4" t="n">
        <v>250</v>
      </c>
      <c r="I1677" s="5" t="n">
        <v>1500</v>
      </c>
      <c r="J1677" s="5" t="n">
        <v>274.4</v>
      </c>
      <c r="K1677" s="3" t="inlineStr">
        <is>
          <t>준주거 대지</t>
        </is>
      </c>
      <c r="L1677" s="6">
        <f>HYPERLINK("https://fin.land.naver.com/articles/2649750743",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세종몽땅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조치원 버스터미널 인접 도로접 일반상업지역 9억대 나대지</t>
        </is>
      </c>
      <c r="L1680" s="6">
        <f>HYPERLINK("https://fin.land.naver.com/articles/2649751054",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세종소담황금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바로 옆 일반상업지역 위치 최고 대지 매매</t>
        </is>
      </c>
      <c r="L1681" s="6">
        <f>HYPERLINK("https://fin.land.naver.com/articles/2650923519",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나침반</t>
        </is>
      </c>
      <c r="P1681" s="4" t="n">
        <v>2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상리 일반상업지역 매매 대지 입니다</t>
        </is>
      </c>
      <c r="L1682" s="6">
        <f>HYPERLINK("https://fin.land.naver.com/articles/2653068453",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상희</t>
        </is>
      </c>
      <c r="P1682" s="4" t="n">
        <v>1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85000</v>
      </c>
      <c r="G1686" s="4" t="n">
        <v>620</v>
      </c>
      <c r="H1686" s="4" t="n">
        <v>188</v>
      </c>
      <c r="I1686" s="5" t="n">
        <v>452.1</v>
      </c>
      <c r="J1686" s="5" t="n">
        <v>178.5</v>
      </c>
      <c r="K1686" s="3" t="inlineStr">
        <is>
          <t>서창리 토지 매매</t>
        </is>
      </c>
      <c r="L1686" s="6">
        <f>HYPERLINK("https://fin.land.naver.com/articles/2648992439",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김준희</t>
        </is>
      </c>
      <c r="P1686" s="4" t="n">
        <v>1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85000</v>
      </c>
      <c r="G1687" s="4" t="n">
        <v>620</v>
      </c>
      <c r="H1687" s="4" t="n">
        <v>188</v>
      </c>
      <c r="I1687" s="5" t="n">
        <v>452.1</v>
      </c>
      <c r="J1687" s="5" t="n">
        <v>178.5</v>
      </c>
      <c r="K1687" s="3" t="inlineStr">
        <is>
          <t>nan</t>
        </is>
      </c>
      <c r="L1687" s="6">
        <f>HYPERLINK("https://fin.land.naver.com/articles/2649067843",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번암주공</t>
        </is>
      </c>
      <c r="P1687" s="4" t="n">
        <v>2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84960</v>
      </c>
      <c r="G1688" s="4" t="n">
        <v>620</v>
      </c>
      <c r="H1688" s="4" t="n">
        <v>188</v>
      </c>
      <c r="I1688" s="5" t="n">
        <v>451.9</v>
      </c>
      <c r="J1688" s="5" t="n">
        <v>178.5</v>
      </c>
      <c r="K1688" s="3" t="inlineStr">
        <is>
          <t>세종시 조치원읍 서창리 토지 급매 고려대,세종여고옆 제2종주거620㎡급매</t>
        </is>
      </c>
      <c r="L1688" s="6">
        <f>HYPERLINK("https://fin.land.naver.com/articles/2650379617",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세종</t>
        </is>
      </c>
      <c r="P1688" s="4" t="n">
        <v>3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서창리 2종일반주거,2차선접 코너 나대지 토지 급매</t>
        </is>
      </c>
      <c r="L1689" s="6">
        <f>HYPERLINK("https://fin.land.naver.com/articles/2649393495",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광장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150000</v>
      </c>
      <c r="G1704" s="4" t="n">
        <v>2921</v>
      </c>
      <c r="H1704" s="4" t="n">
        <v>884</v>
      </c>
      <c r="I1704" s="5" t="n">
        <v>169.7</v>
      </c>
      <c r="J1704" s="5" t="n">
        <v>59.7</v>
      </c>
      <c r="K1704" s="3" t="inlineStr">
        <is>
          <t>조치원 생활권 평탄 대형부지 소형창고 차량보관시설 검토</t>
        </is>
      </c>
      <c r="L1704" s="6">
        <f>HYPERLINK("https://fin.land.naver.com/articles/2650423353",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세종소담황금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150000</v>
      </c>
      <c r="G1705" s="4" t="n">
        <v>2920</v>
      </c>
      <c r="H1705" s="4" t="n">
        <v>883</v>
      </c>
      <c r="I1705" s="5" t="n">
        <v>169.9</v>
      </c>
      <c r="J1705" s="5" t="n">
        <v>59.7</v>
      </c>
      <c r="K1705" s="3" t="inlineStr">
        <is>
          <t>nan</t>
        </is>
      </c>
      <c r="L1705" s="6">
        <f>HYPERLINK("https://fin.land.naver.com/articles/2650423179",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현대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180000</v>
      </c>
      <c r="G1706" s="4" t="n">
        <v>2921</v>
      </c>
      <c r="H1706" s="4" t="n">
        <v>884</v>
      </c>
      <c r="I1706" s="5" t="n">
        <v>203.6</v>
      </c>
      <c r="J1706" s="5" t="n">
        <v>59.7</v>
      </c>
      <c r="K1706" s="3" t="inlineStr">
        <is>
          <t>3필지 일괄매매</t>
        </is>
      </c>
      <c r="L1706" s="6">
        <f>HYPERLINK("https://fin.land.naver.com/articles/2652420151",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오송좋은날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2921</v>
      </c>
      <c r="H1707" s="4" t="n">
        <v>884</v>
      </c>
      <c r="I1707" s="5" t="n">
        <v>169.7</v>
      </c>
      <c r="J1707" s="5" t="n">
        <v>59.7</v>
      </c>
      <c r="K1707" s="3" t="inlineStr">
        <is>
          <t>토지급매 조치원역 인근 대규모 부지 정비소, 세차장, 요양원 추천</t>
        </is>
      </c>
      <c r="L1707" s="6">
        <f>HYPERLINK("https://fin.land.naver.com/articles/2652108627",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다모아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932</v>
      </c>
      <c r="H1721" s="4" t="n">
        <v>282</v>
      </c>
      <c r="I1721" s="5" t="n">
        <v>425.5</v>
      </c>
      <c r="J1721" s="5" t="n">
        <v>72.2</v>
      </c>
      <c r="K1721" s="3" t="inlineStr">
        <is>
          <t>3면 포장도로 접함 이편한세상 984세대 인접 공영주차장이용가능</t>
        </is>
      </c>
      <c r="L1721" s="6">
        <f>HYPERLINK("https://fin.land.naver.com/articles/2649618845",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그래그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1256</v>
      </c>
      <c r="H1722" s="4" t="n">
        <v>380</v>
      </c>
      <c r="I1722" s="5" t="n">
        <v>315.8</v>
      </c>
      <c r="J1722" s="5" t="n">
        <v>72.2</v>
      </c>
      <c r="K1722" s="3" t="inlineStr">
        <is>
          <t>신안리 이편한세상 아파트 초인접, 3면 포장도로 접한 음식점,커피숍</t>
        </is>
      </c>
      <c r="L1722" s="6">
        <f>HYPERLINK("https://fin.land.naver.com/articles/2650955165",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세종나라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추천. 조치원 신흥사거리 대지</t>
        </is>
      </c>
      <c r="L1730" s="6">
        <f>HYPERLINK("https://fin.land.naver.com/articles/2649193837",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투자가치가 높은 세종시 조치원읍 신흥리 토지</t>
        </is>
      </c>
      <c r="L1731" s="6">
        <f>HYPERLINK("https://fin.land.naver.com/articles/2648407574",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비전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남향토지,도로지분포함,조치원 시장 도보5분거리 위치,</t>
        </is>
      </c>
      <c r="L1766" s="6">
        <f>HYPERLINK("https://fin.land.naver.com/articles/2652137848",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담뜰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8미터도로연접, 다가구부지 추천매매</t>
        </is>
      </c>
      <c r="L1767" s="6">
        <f>HYPERLINK("https://fin.land.naver.com/articles/2653056560",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Home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삼성천인근 남북트인위치 남쪽 보행로접함</t>
        </is>
      </c>
      <c r="L1771" s="6">
        <f>HYPERLINK("https://fin.land.naver.com/articles/2652943039",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세종스타</t>
        </is>
      </c>
      <c r="P1771" s="4" t="n">
        <v>2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집현동 위치 좋은 단독주택 토지매매, 사거리 코너 입지</t>
        </is>
      </c>
      <c r="L1772" s="6">
        <f>HYPERLINK("https://fin.land.naver.com/articles/2648137252",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집현동 위치 좋은 단독주택, 사거리 코너 입지</t>
        </is>
      </c>
      <c r="L1773" s="6">
        <f>HYPERLINK("https://fin.land.naver.com/articles/2652843192",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세종무지개</t>
        </is>
      </c>
      <c r="P1773" s="4" t="n">
        <v>1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코너각지 위치한 토지매매, 공원과 삼성천 뷰 가능</t>
        </is>
      </c>
      <c r="L1774" s="6">
        <f>HYPERLINK("https://fin.land.naver.com/articles/2649592856",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최고위치 코너각지 공원뷰 삼성천뷰</t>
        </is>
      </c>
      <c r="L1775" s="6">
        <f>HYPERLINK("https://fin.land.naver.com/articles/2650366745",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41500</v>
      </c>
      <c r="G1786" s="4" t="n">
        <v>277</v>
      </c>
      <c r="H1786" s="4" t="n">
        <v>84</v>
      </c>
      <c r="I1786" s="5" t="n">
        <v>494</v>
      </c>
      <c r="J1786" s="5" t="n">
        <v>314.9</v>
      </c>
      <c r="K1786" s="3" t="inlineStr">
        <is>
          <t>급매, 84.1p, 삼거리 코너, 상가와 공원 인근</t>
        </is>
      </c>
      <c r="L1786" s="6">
        <f>HYPERLINK("https://fin.land.naver.com/articles/2648349468",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40500</v>
      </c>
      <c r="G1787" s="4" t="n">
        <v>277</v>
      </c>
      <c r="H1787" s="4" t="n">
        <v>84</v>
      </c>
      <c r="I1787" s="5" t="n">
        <v>482.1</v>
      </c>
      <c r="J1787" s="5" t="n">
        <v>314.9</v>
      </c>
      <c r="K1787" s="3" t="inlineStr">
        <is>
          <t>채광좋음 상권가깝고 뒤로 보행로접함</t>
        </is>
      </c>
      <c r="L1787" s="6">
        <f>HYPERLINK("https://fin.land.naver.com/articles/2648615386",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41500</v>
      </c>
      <c r="G1788" s="4" t="n">
        <v>275</v>
      </c>
      <c r="H1788" s="4" t="n">
        <v>83</v>
      </c>
      <c r="I1788" s="5" t="n">
        <v>500</v>
      </c>
      <c r="J1788" s="5" t="n">
        <v>314.9</v>
      </c>
      <c r="K1788" s="3" t="inlineStr">
        <is>
          <t>급매, 총 84.1p, 삼거리 코너 토지</t>
        </is>
      </c>
      <c r="L1788" s="6">
        <f>HYPERLINK("https://fin.land.naver.com/articles/2652841509",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총 119.7p, 대형면적 단독주택토지, 한솔초.중.고 인접</t>
        </is>
      </c>
      <c r="L1791" s="6">
        <f>HYPERLINK("https://fin.land.naver.com/articles/2648349379",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62000</v>
      </c>
      <c r="G1792" s="4" t="n">
        <v>394</v>
      </c>
      <c r="H1792" s="4" t="n">
        <v>119</v>
      </c>
      <c r="I1792" s="5" t="n">
        <v>521</v>
      </c>
      <c r="J1792" s="5" t="n">
        <v>314.9</v>
      </c>
      <c r="K1792" s="3" t="inlineStr">
        <is>
          <t>단독주택 토지, 학군인접</t>
        </is>
      </c>
      <c r="L1792" s="6">
        <f>HYPERLINK("https://fin.land.naver.com/articles/2652841375",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세종무지개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59500</v>
      </c>
      <c r="G1793" s="4" t="n">
        <v>395</v>
      </c>
      <c r="H1793" s="4" t="n">
        <v>119</v>
      </c>
      <c r="I1793" s="5" t="n">
        <v>500</v>
      </c>
      <c r="J1793" s="5" t="n">
        <v>314.9</v>
      </c>
      <c r="K1793" s="3" t="inlineStr">
        <is>
          <t>넓은평형 평단가 저렴한택지 추가조율가능</t>
        </is>
      </c>
      <c r="L1793" s="6">
        <f>HYPERLINK("https://fin.land.naver.com/articles/2652410227",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세종스타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95.4p, 삼거리코너 맞은편, 새뜸1단지 앞 단독주택 토지</t>
        </is>
      </c>
      <c r="L1803" s="6">
        <f>HYPERLINK("https://fin.land.naver.com/articles/2649004548",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조건 파격조율가능 도심속전원 시내 시외 진출입편리 이곳은 엘도라도입니다</t>
        </is>
      </c>
      <c r="L1804" s="6">
        <f>HYPERLINK("https://fin.land.naver.com/articles/2648082909",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세종시삼성래미안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삼거리 코너입지, 한솔동 단독주택지</t>
        </is>
      </c>
      <c r="L1805" s="6">
        <f>HYPERLINK("https://fin.land.naver.com/articles/2650427968",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세종무지개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총 123.4p, 새뜸1단지 맞은편</t>
        </is>
      </c>
      <c r="L1810" s="6">
        <f>HYPERLINK("https://fin.land.naver.com/articles/2648127460",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명진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네모 반듯한 예쁜 토지 매매, 입지 굿</t>
        </is>
      </c>
      <c r="L1818" s="6">
        <f>HYPERLINK("https://fin.land.naver.com/articles/2650893847",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세종무지개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총 99.8p, 조율가능, 네모반듯한 남향 예쁜 토지</t>
        </is>
      </c>
      <c r="L1819" s="6">
        <f>HYPERLINK("https://fin.land.naver.com/articles/2651947606",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명진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인기지역 D2 땅모양좋음 조율가능</t>
        </is>
      </c>
      <c r="L1820" s="6">
        <f>HYPERLINK("https://fin.land.naver.com/articles/2650653609",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 한솔동d2 최저가 조율가능</t>
        </is>
      </c>
      <c r="L1822" s="6">
        <f>HYPERLINK("https://fin.land.naver.com/articles/2652208025",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세종스타</t>
        </is>
      </c>
      <c r="P1822" s="4" t="n">
        <v>2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급매, 한솔동 단독주택지 가격 좋은 토지</t>
        </is>
      </c>
      <c r="L1823" s="6">
        <f>HYPERLINK("https://fin.land.naver.com/articles/2651773518",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세종무지개</t>
        </is>
      </c>
      <c r="P1823" s="4" t="n">
        <v>1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353</v>
      </c>
      <c r="H1824" s="4" t="n">
        <v>107</v>
      </c>
      <c r="I1824" s="5" t="n">
        <v>747.7</v>
      </c>
      <c r="J1824" s="5" t="n">
        <v>403</v>
      </c>
      <c r="K1824" s="3" t="inlineStr">
        <is>
          <t>세종시 한솔동 도심속 전원주택부지 매매</t>
        </is>
      </c>
      <c r="L1824" s="6">
        <f>HYPERLINK("https://fin.land.naver.com/articles/2651763249",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전원</t>
        </is>
      </c>
      <c r="P1824" s="4" t="n">
        <v>2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총 107.1p, 한솔동 단독주택지</t>
        </is>
      </c>
      <c r="L1825" s="6">
        <f>HYPERLINK("https://fin.land.naver.com/articles/2647421737",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명진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352</v>
      </c>
      <c r="H1826" s="4" t="n">
        <v>106</v>
      </c>
      <c r="I1826" s="5" t="n">
        <v>754.7</v>
      </c>
      <c r="J1826" s="5" t="n">
        <v>403</v>
      </c>
      <c r="K1826" s="3" t="inlineStr">
        <is>
          <t>공원 인근, 조용한고 편리한 단독주택지 토지매매</t>
        </is>
      </c>
      <c r="L1826" s="6">
        <f>HYPERLINK("https://fin.land.naver.com/articles/2650427090",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세종무지개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98.18p, 해밀동 네모 반듯한 단독주택 토지매매</t>
        </is>
      </c>
      <c r="L1838" s="6">
        <f>HYPERLINK("https://fin.land.naver.com/articles/2649004455",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명진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조율가능 남동향 트인위치 땅모양 좋음</t>
        </is>
      </c>
      <c r="L1839" s="6">
        <f>HYPERLINK("https://fin.land.naver.com/articles/2649295989",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해밀동 가격 좋은 단독주택 매매, 공원인근</t>
        </is>
      </c>
      <c r="L1842" s="6">
        <f>HYPERLINK("https://fin.land.naver.com/articles/2647424555",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세종무지개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남향 원수산조망 뒷쪽 보행로접</t>
        </is>
      </c>
      <c r="L1843" s="6">
        <f>HYPERLINK("https://fin.land.naver.com/articles/2648046733",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2026-10-03T10:19:39Z</dcterms:created>
  <dcterms:modified xsi:type="dcterms:W3CDTF">2026-10-03T10:19:47Z</dcterms:modified>
</cp:coreProperties>
</file>