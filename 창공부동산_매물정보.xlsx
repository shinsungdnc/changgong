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'주택매물'!$A$1:$AA$569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6200</v>
      </c>
      <c r="G25" s="4" t="n">
        <v>620</v>
      </c>
      <c r="H25" s="4" t="n">
        <v>5466</v>
      </c>
      <c r="I25" s="4" t="n">
        <v>1653</v>
      </c>
      <c r="J25" s="5" t="n">
        <v>0.4</v>
      </c>
      <c r="K25" s="4" t="n">
        <v>919</v>
      </c>
      <c r="L25" s="4" t="n">
        <v>278</v>
      </c>
      <c r="M25" s="5" t="n">
        <v>2.2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HYPERLINK("https://fin.land.naver.com/articles/2653025267",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HYPERLINK("https://fin.land.naver.com/articles/2650344940",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HYPERLINK("https://fin.land.naver.com/articles/2651985983",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실사진有, 강내일반산업단지 인근, 석곡분기점, 청주IC 약 10분거리</t>
        </is>
      </c>
      <c r="Q88" s="6">
        <f>HYPERLINK("https://fin.land.naver.com/articles/2652774030",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태성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10000</v>
      </c>
      <c r="G101" s="4" t="n">
        <v>970</v>
      </c>
      <c r="H101" s="4" t="n">
        <v>3500</v>
      </c>
      <c r="I101" s="4" t="n">
        <v>1059</v>
      </c>
      <c r="J101" s="5" t="n">
        <v>0.9</v>
      </c>
      <c r="K101" s="4" t="n">
        <v>1392</v>
      </c>
      <c r="L101" s="4" t="n">
        <v>421</v>
      </c>
      <c r="M101" s="5" t="n">
        <v>2.3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HYPERLINK("https://fin.land.naver.com/articles/2649942545",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달인무소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HYPERLINK("https://fin.land.naver.com/articles/2652690596",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300</v>
      </c>
      <c r="H116" s="4" t="n">
        <v>5005</v>
      </c>
      <c r="I116" s="4" t="n">
        <v>1514</v>
      </c>
      <c r="J116" s="5" t="n">
        <v>0.2</v>
      </c>
      <c r="K116" s="4" t="n">
        <v>495</v>
      </c>
      <c r="L116" s="4" t="n">
        <v>150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HYPERLINK("https://fin.land.naver.com/articles/2652988446",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월드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2787</v>
      </c>
      <c r="I126" s="4" t="n">
        <v>843</v>
      </c>
      <c r="J126" s="5" t="n">
        <v>0.4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건물103형 대지850형 2종근생제조</t>
        </is>
      </c>
      <c r="Q126" s="6">
        <f>HYPERLINK("https://fin.land.naver.com/articles/2649565704",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위더스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1487</v>
      </c>
      <c r="I128" s="4" t="n">
        <v>450</v>
      </c>
      <c r="J128" s="5" t="n">
        <v>0.7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청주시내에서 가까운 전용마당 넓은 신축 창고 임대</t>
        </is>
      </c>
      <c r="Q128" s="6">
        <f>HYPERLINK("https://fin.land.naver.com/articles/2651969565",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태광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1847</v>
      </c>
      <c r="I129" s="4" t="n">
        <v>559</v>
      </c>
      <c r="J129" s="5" t="n">
        <v>264.8</v>
      </c>
      <c r="K129" s="4" t="n">
        <v>340</v>
      </c>
      <c r="L129" s="4" t="n">
        <v>103</v>
      </c>
      <c r="M129" s="5" t="n">
        <v>1436.9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 有, 2순환 인접, 559형의 넉넉한 부지, 103형 신축 공장</t>
        </is>
      </c>
      <c r="Q129" s="6">
        <f>HYPERLINK("https://fin.land.naver.com/articles/2651815614",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태성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416</v>
      </c>
      <c r="I133" s="4" t="n">
        <v>126</v>
      </c>
      <c r="J133" s="5" t="n">
        <v>0.6</v>
      </c>
      <c r="K133" s="4" t="n">
        <v>275</v>
      </c>
      <c r="L133" s="4" t="n">
        <v>83</v>
      </c>
      <c r="M133" s="5" t="n">
        <v>0.8</v>
      </c>
      <c r="N133" s="3" t="inlineStr">
        <is>
          <t>1</t>
        </is>
      </c>
      <c r="O133" s="3" t="inlineStr">
        <is>
          <t>-</t>
        </is>
      </c>
      <c r="P133" s="3" t="inlineStr">
        <is>
          <t>소형 창고 추천, 즉시입주 가능</t>
        </is>
      </c>
      <c r="Q133" s="6">
        <f>HYPERLINK("https://fin.land.naver.com/articles/2650388132",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산남태강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창고또는 조용히 사용할수있는 용도로 사용하기 좋음.</t>
        </is>
      </c>
      <c r="Q134" s="6">
        <f>HYPERLINK("https://fin.land.naver.com/articles/2652446684",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청주해솔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1680</v>
      </c>
      <c r="L138" s="4" t="n">
        <v>508</v>
      </c>
      <c r="M138" s="5" t="n">
        <v>2.5</v>
      </c>
      <c r="N138" s="3" t="inlineStr">
        <is>
          <t>2</t>
        </is>
      </c>
      <c r="O138" s="3" t="inlineStr">
        <is>
          <t>-</t>
        </is>
      </c>
      <c r="P138" s="3" t="inlineStr">
        <is>
          <t>건물 1층 단독사용, 1층 앞 마당 약 1500형 단독사용, 도크 有</t>
        </is>
      </c>
      <c r="Q138" s="6">
        <f>HYPERLINK("https://fin.land.naver.com/articles/2650262891",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대형차량 진출입 편리 도크시설완비 넓은 야적장</t>
        </is>
      </c>
      <c r="Q140" s="6">
        <f>HYPERLINK("https://fin.land.naver.com/articles/2650648946",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재일합동사무소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3000</v>
      </c>
      <c r="G146" s="4" t="n">
        <v>375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HYPERLINK("https://fin.land.naver.com/articles/2648851464",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KS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남청주ic10분 마당넓은 단독창고 1종근생 사무실있음</t>
        </is>
      </c>
      <c r="Q147" s="6">
        <f>HYPERLINK("https://fin.land.naver.com/articles/2649014498",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 ic 15분 2차선도로 호이스트2.8톤 설치 공장등록가능</t>
        </is>
      </c>
      <c r="Q157" s="6">
        <f>HYPERLINK("https://fin.land.naver.com/articles/2651749996",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 도로 접,민원 소지 없는 위치,호이스트 있음,대형차량 진출입 편함</t>
        </is>
      </c>
      <c r="Q158" s="6">
        <f>HYPERLINK("https://fin.land.naver.com/articles/2649545989",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나는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5200</v>
      </c>
      <c r="G161" s="4" t="n">
        <v>520</v>
      </c>
      <c r="H161" s="4" t="n">
        <v>5147</v>
      </c>
      <c r="I161" s="4" t="n">
        <v>1557</v>
      </c>
      <c r="J161" s="5" t="n">
        <v>0.3</v>
      </c>
      <c r="K161" s="4" t="n">
        <v>745</v>
      </c>
      <c r="L161" s="4" t="n">
        <v>225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사진有 공장 임대</t>
        </is>
      </c>
      <c r="Q161" s="6">
        <f>HYPERLINK("https://fin.land.naver.com/articles/2653030443",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월드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350000</v>
      </c>
      <c r="G167" s="4" t="n">
        <v>0</v>
      </c>
      <c r="H167" s="4" t="n">
        <v>4997</v>
      </c>
      <c r="I167" s="4" t="n">
        <v>1512</v>
      </c>
      <c r="J167" s="5" t="n">
        <v>231.5</v>
      </c>
      <c r="K167" s="4" t="n">
        <v>1988</v>
      </c>
      <c r="L167" s="4" t="n">
        <v>601</v>
      </c>
      <c r="M167" s="5" t="n">
        <v>582.4</v>
      </c>
      <c r="N167" s="3" t="inlineStr">
        <is>
          <t>1</t>
        </is>
      </c>
      <c r="O167" s="3" t="inlineStr">
        <is>
          <t>-</t>
        </is>
      </c>
      <c r="P167" s="3" t="inlineStr">
        <is>
          <t>산밑 한적한 위치에  공장입니다</t>
        </is>
      </c>
      <c r="Q167" s="6">
        <f>HYPERLINK("https://fin.land.naver.com/articles/2653097944",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3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소음걱정 없는 대형 물류창고 임대 대형차 진출입 용이 도크설치 완료</t>
        </is>
      </c>
      <c r="Q173" s="6">
        <f>HYPERLINK("https://fin.land.naver.com/articles/2649685752",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10분거리 단독 대형 물류창고  도크시설 완비</t>
        </is>
      </c>
      <c r="Q174" s="6">
        <f>HYPERLINK("https://fin.land.naver.com/articles/2649444653",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2948</v>
      </c>
      <c r="I180" s="4" t="n">
        <v>892</v>
      </c>
      <c r="J180" s="5" t="n">
        <v>0.8</v>
      </c>
      <c r="K180" s="4" t="n">
        <v>998</v>
      </c>
      <c r="L180" s="4" t="n">
        <v>302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신축단독공장,2차선인접,민원소지적고 대형차 진출입용이</t>
        </is>
      </c>
      <c r="Q180" s="6">
        <f>HYPERLINK("https://fin.land.naver.com/articles/2649545059",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280000</v>
      </c>
      <c r="G181" s="4" t="n">
        <v>0</v>
      </c>
      <c r="H181" s="4" t="n">
        <v>5897</v>
      </c>
      <c r="I181" s="4" t="n">
        <v>1784</v>
      </c>
      <c r="J181" s="5" t="n">
        <v>157</v>
      </c>
      <c r="K181" s="4" t="n">
        <v>1920</v>
      </c>
      <c r="L181" s="4" t="n">
        <v>581</v>
      </c>
      <c r="M181" s="5" t="n">
        <v>481.9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HYPERLINK("https://fin.land.naver.com/articles/2652007789",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5897</v>
      </c>
      <c r="I182" s="4" t="n">
        <v>1784</v>
      </c>
      <c r="J182" s="5" t="n">
        <v>151.3</v>
      </c>
      <c r="K182" s="4" t="n">
        <v>1920</v>
      </c>
      <c r="L182" s="4" t="n">
        <v>581</v>
      </c>
      <c r="M182" s="5" t="n">
        <v>464.7</v>
      </c>
      <c r="N182" s="3" t="inlineStr">
        <is>
          <t>1</t>
        </is>
      </c>
      <c r="O182" s="3" t="inlineStr">
        <is>
          <t>-</t>
        </is>
      </c>
      <c r="P182" s="3" t="inlineStr">
        <is>
          <t>신축공장 매매,청주 I.C 11분, 남청주 I.C 14분 거리 대형차진출</t>
        </is>
      </c>
      <c r="Q182" s="6">
        <f>HYPERLINK("https://fin.land.naver.com/articles/2649396587",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플러스자이합동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HYPERLINK("https://fin.land.naver.com/articles/2648258080",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4470</v>
      </c>
      <c r="I185" s="4" t="n">
        <v>1352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사진 有, 신축 중인 1개동에 300형씩 임대, 2개동 사용 가능</t>
        </is>
      </c>
      <c r="Q185" s="6">
        <f>HYPERLINK("https://fin.land.naver.com/articles/2651592763",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태성</t>
        </is>
      </c>
      <c r="U185" s="4" t="n">
        <v>2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즉시입주가능한 야드넓은 물류창고</t>
        </is>
      </c>
      <c r="Q189" s="6">
        <f>HYPERLINK("https://fin.land.naver.com/articles/2653116908",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창고의여왕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 IC 10분 대형차량 진출입 편리 렉설치 대형물류창고</t>
        </is>
      </c>
      <c r="Q191" s="6">
        <f>HYPERLINK("https://fin.land.naver.com/articles/2649061971",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재일합동사무소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대형차랑 진출입 편리 높은층고 3단적재 가능</t>
        </is>
      </c>
      <c r="Q194" s="6">
        <f>HYPERLINK("https://fin.land.naver.com/articles/2649072312",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재일합동사무소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층고가 높아 3단 적재도 충분한 창고</t>
        </is>
      </c>
      <c r="Q196" s="6">
        <f>HYPERLINK("https://fin.land.naver.com/articles/2652900624",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60형 신축 공장 창고 제2종근생</t>
        </is>
      </c>
      <c r="Q224" s="6">
        <f>HYPERLINK("https://fin.land.naver.com/articles/2651814834",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200</v>
      </c>
      <c r="H234" s="4" t="n">
        <v>935</v>
      </c>
      <c r="I234" s="4" t="n">
        <v>283</v>
      </c>
      <c r="J234" s="5" t="n">
        <v>0.7</v>
      </c>
      <c r="K234" s="4" t="n">
        <v>360</v>
      </c>
      <c r="L234" s="4" t="n">
        <v>109</v>
      </c>
      <c r="M234" s="5" t="n">
        <v>1.8</v>
      </c>
      <c r="N234" s="3" t="inlineStr">
        <is>
          <t>1</t>
        </is>
      </c>
      <c r="O234" s="3" t="inlineStr">
        <is>
          <t>B2</t>
        </is>
      </c>
      <c r="P234" s="3" t="inlineStr">
        <is>
          <t>대형차량 진출입 용이, 주차 완전 편리,깨끗한 2종근생 제조업소</t>
        </is>
      </c>
      <c r="Q234" s="6">
        <f>HYPERLINK("https://fin.land.naver.com/articles/2648159964",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1010</v>
      </c>
      <c r="I243" s="4" t="n">
        <v>306</v>
      </c>
      <c r="J243" s="5" t="n">
        <v>0.6</v>
      </c>
      <c r="K243" s="4" t="n">
        <v>182</v>
      </c>
      <c r="L243" s="4" t="n">
        <v>55</v>
      </c>
      <c r="M243" s="5" t="n">
        <v>3.2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2차선변에 위치한 소규모창고시설</t>
        </is>
      </c>
      <c r="Q243" s="6">
        <f>HYPERLINK("https://fin.land.naver.com/articles/2651890982",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1753</v>
      </c>
      <c r="I244" s="4" t="n">
        <v>530</v>
      </c>
      <c r="J244" s="5" t="n">
        <v>0.4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야적공간 충분한 마당넓은 소형근생창고</t>
        </is>
      </c>
      <c r="Q244" s="6">
        <f>HYPERLINK("https://fin.land.naver.com/articles/2652023570",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건물 50형 대지230형</t>
        </is>
      </c>
      <c r="Q247" s="6">
        <f>HYPERLINK("https://fin.land.naver.com/articles/2648128086",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HYPERLINK("https://fin.land.naver.com/articles/2648517174",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5분거리이며 대로변 접근성 좋은 사옥형 공장으로  최적</t>
        </is>
      </c>
      <c r="Q269" s="6">
        <f>HYPERLINK("https://fin.land.naver.com/articles/2652625202",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호이스트2.8톤,층고7,5m,남청주IC 근접, 대형차량 진출입 용이</t>
        </is>
      </c>
      <c r="Q270" s="6">
        <f>HYPERLINK("https://fin.land.naver.com/articles/2652762894",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 접근성 좋은 위치 공장 기숙사 전력200kw 호이스트설치</t>
        </is>
      </c>
      <c r="Q271" s="6">
        <f>HYPERLINK("https://fin.land.naver.com/articles/2652625373",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400000</v>
      </c>
      <c r="G276" s="4" t="n">
        <v>0</v>
      </c>
      <c r="H276" s="4" t="n">
        <v>6600</v>
      </c>
      <c r="I276" s="4" t="n">
        <v>1996</v>
      </c>
      <c r="J276" s="5" t="n">
        <v>200.4</v>
      </c>
      <c r="K276" s="4" t="n">
        <v>1517</v>
      </c>
      <c r="L276" s="4" t="n">
        <v>459</v>
      </c>
      <c r="M276" s="5" t="n">
        <v>871.5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 깔끔한 사무실겸 숙소완비</t>
        </is>
      </c>
      <c r="Q276" s="6">
        <f>HYPERLINK("https://fin.land.naver.com/articles/2651975021",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500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남청주IC인근 신축대형창고공장 임대 층고높음</t>
        </is>
      </c>
      <c r="Q277" s="6">
        <f>HYPERLINK("https://fin.land.naver.com/articles/2651974388",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태광</t>
        </is>
      </c>
      <c r="U277" s="4" t="n">
        <v>2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12000</v>
      </c>
      <c r="G278" s="4" t="n">
        <v>1200</v>
      </c>
      <c r="H278" s="4" t="n">
        <v>6600</v>
      </c>
      <c r="I278" s="4" t="n">
        <v>1996</v>
      </c>
      <c r="J278" s="5" t="n">
        <v>0.6</v>
      </c>
      <c r="K278" s="4" t="n">
        <v>1451</v>
      </c>
      <c r="L278" s="4" t="n">
        <v>439</v>
      </c>
      <c r="M278" s="5" t="n">
        <v>2.7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HYPERLINK("https://fin.land.naver.com/articles/2653029386",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550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2.5</v>
      </c>
      <c r="N279" s="3" t="inlineStr">
        <is>
          <t>1</t>
        </is>
      </c>
      <c r="O279" s="3" t="inlineStr">
        <is>
          <t>B1</t>
        </is>
      </c>
      <c r="P279" s="3" t="inlineStr">
        <is>
          <t>사진O 남청주 IC 인근 신축 깨끗한 공장 창고</t>
        </is>
      </c>
      <c r="Q279" s="6">
        <f>HYPERLINK("https://fin.land.naver.com/articles/2651773919",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미래n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HYPERLINK("https://fin.land.naver.com/articles/2648089982",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3000</v>
      </c>
      <c r="G289" s="4" t="n">
        <v>220</v>
      </c>
      <c r="H289" s="4" t="n">
        <v>1587</v>
      </c>
      <c r="I289" s="4" t="n">
        <v>480</v>
      </c>
      <c r="J289" s="5" t="n">
        <v>0.5</v>
      </c>
      <c r="K289" s="4" t="n">
        <v>277</v>
      </c>
      <c r="L289" s="4" t="n">
        <v>84</v>
      </c>
      <c r="M289" s="5" t="n">
        <v>2.6</v>
      </c>
      <c r="N289" s="3" t="inlineStr">
        <is>
          <t>1</t>
        </is>
      </c>
      <c r="O289" s="3" t="inlineStr">
        <is>
          <t>-</t>
        </is>
      </c>
      <c r="P289" s="3" t="inlineStr">
        <is>
          <t>건물80형 대지큼 주차편함 소매점 창고 모두가능</t>
        </is>
      </c>
      <c r="Q289" s="6">
        <f>HYPERLINK("https://fin.land.naver.com/articles/2648516808",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120</v>
      </c>
      <c r="H291" s="4" t="n">
        <v>1587</v>
      </c>
      <c r="I291" s="4" t="n">
        <v>480</v>
      </c>
      <c r="J291" s="5" t="n">
        <v>0.2</v>
      </c>
      <c r="K291" s="4" t="n">
        <v>133</v>
      </c>
      <c r="L291" s="4" t="n">
        <v>40</v>
      </c>
      <c r="M291" s="5" t="n">
        <v>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2차선 도로접, 차량 진출입 용이 마당 넓음</t>
        </is>
      </c>
      <c r="Q291" s="6">
        <f>HYPERLINK("https://fin.land.naver.com/articles/2649226615",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사진有.2차선도로옆,제조업소,공장,창고,식품(육)가공공장추천,</t>
        </is>
      </c>
      <c r="Q294" s="6">
        <f>HYPERLINK("https://fin.land.naver.com/articles/2648305169",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오너스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6870</v>
      </c>
      <c r="G296" s="4" t="n">
        <v>687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청주창고임대  남청주IC 인근 마당 넓은 저렴한 대형 공장창고</t>
        </is>
      </c>
      <c r="Q296" s="6">
        <f>HYPERLINK("https://fin.land.naver.com/articles/2649047840",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KS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7000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9분 청주도심권 2차선도로 접 식품업종 가능</t>
        </is>
      </c>
      <c r="Q299" s="6">
        <f>HYPERLINK("https://fin.land.naver.com/articles/2651673647",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더원</t>
        </is>
      </c>
      <c r="U299" s="4" t="n">
        <v>4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10분거리이며 민가없어 소음업종가능</t>
        </is>
      </c>
      <c r="Q301" s="6">
        <f>HYPERLINK("https://fin.land.naver.com/articles/2652964886",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건물 55형 대지 200형 사용</t>
        </is>
      </c>
      <c r="Q304" s="6">
        <f>HYPERLINK("https://fin.land.naver.com/articles/2649851752",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척산삼거리 인근 마당 넓음, 2차선 대로변에서 진입</t>
        </is>
      </c>
      <c r="Q306" s="6">
        <f>HYPERLINK("https://fin.land.naver.com/articles/2649846117",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1810</v>
      </c>
      <c r="L313" s="4" t="n">
        <v>548</v>
      </c>
      <c r="M313" s="5" t="n">
        <v>2.2</v>
      </c>
      <c r="N313" s="3" t="inlineStr">
        <is>
          <t>3</t>
        </is>
      </c>
      <c r="O313" s="3" t="inlineStr">
        <is>
          <t>B1</t>
        </is>
      </c>
      <c r="P313" s="3" t="inlineStr">
        <is>
          <t>남청주 IC 인근 대형 공장, 화물 엘리베이터, 대형차 진출입 원활</t>
        </is>
      </c>
      <c r="Q313" s="6">
        <f>HYPERLINK("https://fin.land.naver.com/articles/2648836433",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대전토지로무소</t>
        </is>
      </c>
      <c r="U313" s="4" t="n">
        <v>2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남청주ic 9분거리로 고속도로 접근성 좋아 타지역으로 물류이동이 편리함</t>
        </is>
      </c>
      <c r="Q314" s="6">
        <f>HYPERLINK("https://fin.land.naver.com/articles/2652625185",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더원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 대형차 진출입 용이한 관리 잘 된 대형공장, 창고</t>
        </is>
      </c>
      <c r="Q316" s="6">
        <f>HYPERLINK("https://fin.land.naver.com/articles/2652105829",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1808</v>
      </c>
      <c r="L317" s="4" t="n">
        <v>547</v>
      </c>
      <c r="M317" s="5" t="n">
        <v>2.2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남청주IC인근,관리잘된 대형공장, 화물용 엘리베이터, 대형차 진입용이</t>
        </is>
      </c>
      <c r="Q317" s="6">
        <f>HYPERLINK("https://fin.land.naver.com/articles/2652109467",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1360</v>
      </c>
      <c r="L321" s="4" t="n">
        <v>411</v>
      </c>
      <c r="M321" s="5" t="n">
        <v>462.3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남이면 계획관리지역,성장관리구역의 대형 창고시설 임대 및 매매</t>
        </is>
      </c>
      <c r="Q321" s="6">
        <f>HYPERLINK("https://fin.land.naver.com/articles/2650156131",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e교차로합동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HYPERLINK("https://fin.land.naver.com/articles/2649486296",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금맥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341</v>
      </c>
      <c r="L331" s="4" t="n">
        <v>103</v>
      </c>
      <c r="M331" s="5" t="n">
        <v>3.9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임대.대형차량진입가능.</t>
        </is>
      </c>
      <c r="Q331" s="6">
        <f>HYPERLINK("https://fin.land.naver.com/articles/2651304270",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341</v>
      </c>
      <c r="L332" s="4" t="n">
        <v>103</v>
      </c>
      <c r="M332" s="5" t="n">
        <v>1068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남청주ic까지 6차선확장예정.진입로25t가능.남청줏ic5분거리</t>
        </is>
      </c>
      <c r="Q332" s="6">
        <f>HYPERLINK("https://fin.land.naver.com/articles/2653147017",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옥산제일사무소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678</v>
      </c>
      <c r="L333" s="4" t="n">
        <v>205</v>
      </c>
      <c r="M333" s="5" t="n">
        <v>2</v>
      </c>
      <c r="N333" s="3" t="inlineStr">
        <is>
          <t>1</t>
        </is>
      </c>
      <c r="O333" s="3" t="inlineStr">
        <is>
          <t>-</t>
        </is>
      </c>
      <c r="P333" s="3" t="inlineStr">
        <is>
          <t>즉시 입주 가능,주차 공간 넓어 대형차량 진출입,회전 편리</t>
        </is>
      </c>
      <c r="Q333" s="6">
        <f>HYPERLINK("https://fin.land.naver.com/articles/2650939836",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소형창고 사무실 있음 창고나 소매점가능</t>
        </is>
      </c>
      <c r="Q336" s="6">
        <f>HYPERLINK("https://fin.land.naver.com/articles/2650955465",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HYPERLINK("https://fin.land.naver.com/articles/2649851627",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HYPERLINK("https://fin.land.naver.com/articles/2649233221",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건물100형 현재공실 즉시입주</t>
        </is>
      </c>
      <c r="Q341" s="6">
        <f>HYPERLINK("https://fin.land.naver.com/articles/2652949716",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 인근 척산리, 공장 창고, 넓은마당, 임대료 조절, 즉시입주</t>
        </is>
      </c>
      <c r="Q347" s="6">
        <f>HYPERLINK("https://fin.land.naver.com/articles/2651938990",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라인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 有, 남청주IC 5분거리, 대형차 진입 가능, 내부사무실있음</t>
        </is>
      </c>
      <c r="Q348" s="6">
        <f>HYPERLINK("https://fin.land.naver.com/articles/2651038278",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태성</t>
        </is>
      </c>
      <c r="U348" s="4" t="n">
        <v>3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건물150형 대지 410형 2종근생제조</t>
        </is>
      </c>
      <c r="Q351" s="6">
        <f>HYPERLINK("https://fin.land.naver.com/articles/2649343433",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1028</v>
      </c>
      <c r="I353" s="4" t="n">
        <v>311</v>
      </c>
      <c r="J353" s="5" t="n">
        <v>0.6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사진 有, 남청주IC 5분거리, 대형차 진입 가능</t>
        </is>
      </c>
      <c r="Q353" s="6">
        <f>HYPERLINK("https://fin.land.naver.com/articles/2648142628",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태성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HYPERLINK("https://fin.land.naver.com/articles/2649343458",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493</v>
      </c>
      <c r="L360" s="4" t="n">
        <v>149</v>
      </c>
      <c r="M360" s="5" t="n">
        <v>3</v>
      </c>
      <c r="N360" s="3" t="inlineStr">
        <is>
          <t>2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HYPERLINK("https://fin.land.naver.com/articles/2648397794",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e플러스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세종시 부강 산업단지 옆 공장 및 창고 입니다</t>
        </is>
      </c>
      <c r="Q363" s="6">
        <f>HYPERLINK("https://fin.land.naver.com/articles/2652016240",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더행복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HYPERLINK("https://fin.land.naver.com/articles/2652988056",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부강 산업단지 인접한 공장 및 창고 입니다</t>
        </is>
      </c>
      <c r="Q370" s="6">
        <f>HYPERLINK("https://fin.land.naver.com/articles/2652033586",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더행복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층고 높고 마당 넓음, 부강산업단지 인근, 즉시입주 가능</t>
        </is>
      </c>
      <c r="Q371" s="6">
        <f>HYPERLINK("https://fin.land.naver.com/articles/2651475999",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제이</t>
        </is>
      </c>
      <c r="U371" s="4" t="n">
        <v>4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부강산업단지인근 도로옆 단독공장 2년전 리모델링완비</t>
        </is>
      </c>
      <c r="Q375" s="6">
        <f>HYPERLINK("https://fin.land.naver.com/articles/2650938924",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부강일반산업단지 인근 리모델링완료된 단독 공장 매매</t>
        </is>
      </c>
      <c r="Q377" s="6">
        <f>HYPERLINK("https://fin.land.naver.com/articles/2652199547",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드림사무소</t>
        </is>
      </c>
      <c r="U377" s="4" t="n">
        <v>2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2년전 리모델링완비, 전시판매장추천,1000여평 국유지임대가능</t>
        </is>
      </c>
      <c r="Q378" s="6">
        <f>HYPERLINK("https://fin.land.naver.com/articles/2650894474",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소소사무소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남청주ic, 신탄진ic 접근성 우수 호이스트설치 전력700kw</t>
        </is>
      </c>
      <c r="Q384" s="6">
        <f>HYPERLINK("https://fin.land.naver.com/articles/2650204516",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HYPERLINK("https://fin.land.naver.com/articles/2649085983",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8600</v>
      </c>
      <c r="I387" s="4" t="n">
        <v>2602</v>
      </c>
      <c r="J387" s="5" t="n">
        <v>219.1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노호리 부지 넓은 대형공장 매매</t>
        </is>
      </c>
      <c r="Q387" s="6">
        <f>HYPERLINK("https://fin.land.naver.com/articles/2652510293",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SK랜드</t>
        </is>
      </c>
      <c r="U387" s="4" t="n">
        <v>2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400000</v>
      </c>
      <c r="G394" s="4" t="n">
        <v>0</v>
      </c>
      <c r="H394" s="4" t="n">
        <v>5337</v>
      </c>
      <c r="I394" s="4" t="n">
        <v>1614</v>
      </c>
      <c r="J394" s="5" t="n">
        <v>247.8</v>
      </c>
      <c r="K394" s="4" t="n">
        <v>756</v>
      </c>
      <c r="L394" s="4" t="n">
        <v>229</v>
      </c>
      <c r="M394" s="5" t="n">
        <v>1746.7</v>
      </c>
      <c r="N394" s="3" t="inlineStr">
        <is>
          <t>1</t>
        </is>
      </c>
      <c r="O394" s="3" t="inlineStr">
        <is>
          <t>-</t>
        </is>
      </c>
      <c r="P394" s="3" t="inlineStr">
        <is>
          <t>접근성이 좋은 세종시에 위치한 제조공장 매매</t>
        </is>
      </c>
      <c r="Q394" s="6">
        <f>HYPERLINK("https://fin.land.naver.com/articles/2649150131",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한화타운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5분 거리이며 2차선도로 접한 대형물류창고 도크시설 완비</t>
        </is>
      </c>
      <c r="Q398" s="6">
        <f>HYPERLINK("https://fin.land.naver.com/articles/2648089946",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195</v>
      </c>
      <c r="I400" s="4" t="n">
        <v>59</v>
      </c>
      <c r="J400" s="5" t="n">
        <v>2.4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B1</t>
        </is>
      </c>
      <c r="P400" s="3" t="inlineStr">
        <is>
          <t>10월중순 입주협의, 2개동까지 임대 가능, 연청로 근접</t>
        </is>
      </c>
      <c r="Q400" s="6">
        <f>HYPERLINK("https://fin.land.naver.com/articles/2649933957",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세종잘하는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330</v>
      </c>
      <c r="I401" s="4" t="n">
        <v>100</v>
      </c>
      <c r="J401" s="5" t="n">
        <v>1.4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소형 창고 임대 대로변에 접하여 진출입 매우 용이 근생건물</t>
        </is>
      </c>
      <c r="Q401" s="6">
        <f>HYPERLINK("https://fin.land.naver.com/articles/2649200158",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태광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HYPERLINK("https://fin.land.naver.com/articles/2649562576",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4000</v>
      </c>
      <c r="G414" s="4" t="n">
        <v>440</v>
      </c>
      <c r="H414" s="4" t="n">
        <v>21410</v>
      </c>
      <c r="I414" s="4" t="n">
        <v>6477</v>
      </c>
      <c r="J414" s="5" t="n">
        <v>0.1</v>
      </c>
      <c r="K414" s="4" t="n">
        <v>733</v>
      </c>
      <c r="L414" s="4" t="n">
        <v>222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남청주IC인근 임대료 저렴한 넓은 창고임대 진출입 용이 전력높음</t>
        </is>
      </c>
      <c r="Q414" s="6">
        <f>HYPERLINK("https://fin.land.naver.com/articles/2649682702",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726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사진有 공장 임대</t>
        </is>
      </c>
      <c r="Q416" s="6">
        <f>HYPERLINK("https://fin.land.naver.com/articles/2652988089",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월드</t>
        </is>
      </c>
      <c r="U416" s="4" t="n">
        <v>2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6446</v>
      </c>
      <c r="I417" s="4" t="n">
        <v>1950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세종 청주 접근성 우수 2차선도로변 호이스트 3기 완비된 공장 임대</t>
        </is>
      </c>
      <c r="Q417" s="6">
        <f>HYPERLINK("https://fin.land.naver.com/articles/2649493657",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청담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6404</v>
      </c>
      <c r="I418" s="4" t="n">
        <v>1937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민원 발생 소지 없음, 2차선 도로에 접함, 호이스트 5톤 2대, 계근대</t>
        </is>
      </c>
      <c r="Q418" s="6">
        <f>HYPERLINK("https://fin.land.naver.com/articles/2649581867",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제이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436</v>
      </c>
      <c r="L421" s="4" t="n">
        <v>132</v>
      </c>
      <c r="M421" s="5" t="n">
        <v>909.1</v>
      </c>
      <c r="N421" s="3" t="inlineStr">
        <is>
          <t>2</t>
        </is>
      </c>
      <c r="O421" s="3" t="inlineStr">
        <is>
          <t>-</t>
        </is>
      </c>
      <c r="P421" s="3" t="inlineStr">
        <is>
          <t>성업중인공장.진입도로확장예정.매도후재임대가능.남청주IC인근.중부물류터미널</t>
        </is>
      </c>
      <c r="Q421" s="6">
        <f>HYPERLINK("https://fin.land.naver.com/articles/2650318649",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돈방석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360</v>
      </c>
      <c r="L422" s="4" t="n">
        <v>109</v>
      </c>
      <c r="M422" s="5" t="n">
        <v>1100.9</v>
      </c>
      <c r="N422" s="3" t="inlineStr">
        <is>
          <t>1</t>
        </is>
      </c>
      <c r="O422" s="3" t="inlineStr">
        <is>
          <t>-</t>
        </is>
      </c>
      <c r="P422" s="3" t="inlineStr">
        <is>
          <t>2종른린생활시설로 현재 식품공장</t>
        </is>
      </c>
      <c r="Q422" s="6">
        <f>HYPERLINK("https://fin.land.naver.com/articles/2650479799",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창고의여왕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1050000</v>
      </c>
      <c r="G423" s="4" t="n">
        <v>0</v>
      </c>
      <c r="H423" s="4" t="n">
        <v>9768</v>
      </c>
      <c r="I423" s="4" t="n">
        <v>2955</v>
      </c>
      <c r="J423" s="5" t="n">
        <v>355.3</v>
      </c>
      <c r="K423" s="4" t="n">
        <v>4329</v>
      </c>
      <c r="L423" s="4" t="n">
        <v>1310</v>
      </c>
      <c r="M423" s="5" t="n">
        <v>801.5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10분,세종시청 20분거리,빠른 입주 가능</t>
        </is>
      </c>
      <c r="Q423" s="6">
        <f>HYPERLINK("https://fin.land.naver.com/articles/2649056345",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2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4329</v>
      </c>
      <c r="L425" s="4" t="n">
        <v>1310</v>
      </c>
      <c r="M425" s="5" t="n">
        <v>2.3</v>
      </c>
      <c r="N425" s="3" t="inlineStr">
        <is>
          <t>2</t>
        </is>
      </c>
      <c r="O425" s="3" t="inlineStr">
        <is>
          <t>-</t>
        </is>
      </c>
      <c r="P425" s="3" t="inlineStr">
        <is>
          <t>천평 임대,층고5m 깔끔한 공장,현재 공실로 즉시입주 가능</t>
        </is>
      </c>
      <c r="Q425" s="6">
        <f>HYPERLINK("https://fin.land.naver.com/articles/2650689887",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HYPERLINK("https://fin.land.naver.com/articles/2649599958",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HYPERLINK("https://fin.land.naver.com/articles/2648890752",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 인근 대형공장, 창고,층고 13.4m, 마당넓고 깨끗함</t>
        </is>
      </c>
      <c r="Q433" s="6">
        <f>HYPERLINK("https://fin.land.naver.com/articles/2652356797",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세종5생활권인근 대형공장 창고,남청주IC 10분거리 층고 13.45M</t>
        </is>
      </c>
      <c r="Q434" s="6">
        <f>HYPERLINK("https://fin.land.naver.com/articles/2652625576",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더원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HYPERLINK("https://fin.land.naver.com/articles/2650955285",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세종땅전문</t>
        </is>
      </c>
      <c r="U435" s="4" t="n">
        <v>1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사진有 공장 매매</t>
        </is>
      </c>
      <c r="Q436" s="6">
        <f>HYPERLINK("https://fin.land.naver.com/articles/2649601039",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4117</v>
      </c>
      <c r="L438" s="4" t="n">
        <v>1245</v>
      </c>
      <c r="M438" s="5" t="n">
        <v>0.3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및 창고 가능, 즉시 입주 가능, 대형차 진출입 가능</t>
        </is>
      </c>
      <c r="Q438" s="6">
        <f>HYPERLINK("https://fin.land.naver.com/articles/2653062776",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대기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4000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3266</v>
      </c>
      <c r="L439" s="4" t="n">
        <v>988</v>
      </c>
      <c r="M439" s="5" t="n">
        <v>0.4</v>
      </c>
      <c r="N439" s="3" t="inlineStr">
        <is>
          <t>2</t>
        </is>
      </c>
      <c r="O439" s="3" t="inlineStr">
        <is>
          <t>B1</t>
        </is>
      </c>
      <c r="P439" s="3" t="inlineStr">
        <is>
          <t>사통팔달세종시 창고 및 공장 임대</t>
        </is>
      </c>
      <c r="Q439" s="6">
        <f>HYPERLINK("https://fin.land.naver.com/articles/2652104001",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주식회사 써밋</t>
        </is>
      </c>
      <c r="U439" s="4" t="n">
        <v>1</v>
      </c>
      <c r="V439" s="5" t="n">
        <v>78.3</v>
      </c>
      <c r="W439" s="4" t="n">
        <v>6682</v>
      </c>
      <c r="X439" s="3" t="inlineStr">
        <is>
          <t>1동</t>
        </is>
      </c>
      <c r="Y439" s="7" t="inlineStr">
        <is>
          <t>2층</t>
        </is>
      </c>
      <c r="Z439" s="3" t="inlineStr">
        <is>
          <t>철근콘크리트구조</t>
        </is>
      </c>
      <c r="AA439" s="3" t="inlineStr">
        <is>
          <t>공장</t>
        </is>
      </c>
      <c r="AB439" s="3" t="inlineStr">
        <is>
          <t>-</t>
        </is>
      </c>
      <c r="AC439" s="3" t="inlineStr">
        <is>
          <t>1990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2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HYPERLINK("https://fin.land.naver.com/articles/2652771129",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금화랜드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1</t>
        </is>
      </c>
      <c r="O449" s="3" t="inlineStr">
        <is>
          <t>-</t>
        </is>
      </c>
      <c r="P449" s="3" t="inlineStr">
        <is>
          <t>화학물질 제조 가능</t>
        </is>
      </c>
      <c r="Q449" s="6">
        <f>HYPERLINK("https://fin.land.naver.com/articles/2652703353",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미더스</t>
        </is>
      </c>
      <c r="U449" s="4" t="n">
        <v>2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조치원 일반산업단지 대형공장매매, 최근 리모델링으로 시설 굿</t>
        </is>
      </c>
      <c r="Q450" s="6">
        <f>HYPERLINK("https://fin.land.naver.com/articles/2648903978",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명진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세종 조치원산업단지 대형 공장 매매</t>
        </is>
      </c>
      <c r="Q452" s="6">
        <f>HYPERLINK("https://fin.land.naver.com/articles/2651016586",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뉴대전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세종조치원일반산업단지 대형공장매매 최근리모델링완비로 컨디션좋음</t>
        </is>
      </c>
      <c r="Q453" s="6">
        <f>HYPERLINK("https://fin.land.naver.com/articles/2650956049",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더원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일반산업단지내 위치, 세종,대전,청주 등 중부권 공장, 창고 강추</t>
        </is>
      </c>
      <c r="Q454" s="6">
        <f>HYPERLINK("https://fin.land.naver.com/articles/2650797209",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우리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전망 좋고 투자가치 높은 월하천 전망의 귀한 공장 창고 판매매장</t>
        </is>
      </c>
      <c r="Q456" s="6">
        <f>HYPERLINK("https://fin.land.naver.com/articles/2652571798",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번영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5000</v>
      </c>
      <c r="G457" s="4" t="n">
        <v>500</v>
      </c>
      <c r="H457" s="4" t="n">
        <v>1857</v>
      </c>
      <c r="I457" s="4" t="n">
        <v>562</v>
      </c>
      <c r="J457" s="5" t="n">
        <v>0.9</v>
      </c>
      <c r="K457" s="4" t="n">
        <v>1254</v>
      </c>
      <c r="L457" s="4" t="n">
        <v>379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HYPERLINK("https://fin.land.naver.com/articles/2651831711",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310000</v>
      </c>
      <c r="G458" s="4" t="n">
        <v>0</v>
      </c>
      <c r="H458" s="4" t="n">
        <v>1857</v>
      </c>
      <c r="I458" s="4" t="n">
        <v>562</v>
      </c>
      <c r="J458" s="5" t="n">
        <v>551.6</v>
      </c>
      <c r="K458" s="4" t="n">
        <v>1254</v>
      </c>
      <c r="L458" s="4" t="n">
        <v>379</v>
      </c>
      <c r="M458" s="5" t="n">
        <v>817.9</v>
      </c>
      <c r="N458" s="3" t="inlineStr">
        <is>
          <t>2</t>
        </is>
      </c>
      <c r="O458" s="3" t="inlineStr">
        <is>
          <t>-</t>
        </is>
      </c>
      <c r="P458" s="3" t="inlineStr">
        <is>
          <t>월하천 뷰의 전망이 좋고 투자가치 탁월한 공장,창고 매매</t>
        </is>
      </c>
      <c r="Q458" s="6">
        <f>HYPERLINK("https://fin.land.naver.com/articles/2650985014",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비타민무소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세종스마트국가산업단지 인근 2차선 도로변 공장 매각</t>
        </is>
      </c>
      <c r="Q460" s="6">
        <f>HYPERLINK("https://fin.land.naver.com/articles/2651693675",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연서면 신대리 사옥 및 공장, 냉동 상온창고 총 6동 매매</t>
        </is>
      </c>
      <c r="Q461" s="6">
        <f>HYPERLINK("https://fin.land.naver.com/articles/2652165001",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뉴스카이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5000</v>
      </c>
      <c r="G465" s="4" t="n">
        <v>600</v>
      </c>
      <c r="H465" s="4" t="n">
        <v>3250</v>
      </c>
      <c r="I465" s="4" t="n">
        <v>983</v>
      </c>
      <c r="J465" s="5" t="n">
        <v>0.6</v>
      </c>
      <c r="K465" s="4" t="n">
        <v>1552</v>
      </c>
      <c r="L465" s="4" t="n">
        <v>469</v>
      </c>
      <c r="M465" s="5" t="n">
        <v>1.3</v>
      </c>
      <c r="N465" s="3" t="inlineStr">
        <is>
          <t>2</t>
        </is>
      </c>
      <c r="O465" s="3" t="inlineStr">
        <is>
          <t>-</t>
        </is>
      </c>
      <c r="P465" s="3" t="inlineStr">
        <is>
          <t>호이스트, 사무동, 기숙사 있는 대형공장 아주 아주 저렴한 임대</t>
        </is>
      </c>
      <c r="Q465" s="6">
        <f>HYPERLINK("https://fin.land.naver.com/articles/2651531957",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더오름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3250</v>
      </c>
      <c r="I466" s="4" t="n">
        <v>983</v>
      </c>
      <c r="J466" s="5" t="n">
        <v>356.1</v>
      </c>
      <c r="K466" s="4" t="n">
        <v>1552</v>
      </c>
      <c r="L466" s="4" t="n">
        <v>469</v>
      </c>
      <c r="M466" s="5" t="n">
        <v>746.3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매매</t>
        </is>
      </c>
      <c r="Q466" s="6">
        <f>HYPERLINK("https://fin.land.naver.com/articles/2649602994",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임대</t>
        </is>
      </c>
      <c r="Q467" s="6">
        <f>HYPERLINK("https://fin.land.naver.com/articles/2653032582",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932</v>
      </c>
      <c r="I468" s="4" t="n">
        <v>282</v>
      </c>
      <c r="J468" s="5" t="n">
        <v>0.5</v>
      </c>
      <c r="K468" s="4" t="n">
        <v>488</v>
      </c>
      <c r="L468" s="4" t="n">
        <v>148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HYPERLINK("https://fin.land.naver.com/articles/2652467109",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지성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928</v>
      </c>
      <c r="I469" s="4" t="n">
        <v>281</v>
      </c>
      <c r="J469" s="5" t="n">
        <v>0.5</v>
      </c>
      <c r="K469" s="4" t="n">
        <v>485</v>
      </c>
      <c r="L469" s="4" t="n">
        <v>147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창고임대 세종 초근접</t>
        </is>
      </c>
      <c r="Q469" s="6">
        <f>HYPERLINK("https://fin.land.naver.com/articles/2652499113",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엄지척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창고월세,차량 진출입편리,창고내 지게차작업가능,주차편리,조율가능</t>
        </is>
      </c>
      <c r="Q470" s="6">
        <f>HYPERLINK("https://fin.land.naver.com/articles/2653116072",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도안우미린사랑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199000</v>
      </c>
      <c r="G477" s="4" t="n">
        <v>0</v>
      </c>
      <c r="H477" s="4" t="n">
        <v>2307</v>
      </c>
      <c r="I477" s="4" t="n">
        <v>698</v>
      </c>
      <c r="J477" s="5" t="n">
        <v>285.1</v>
      </c>
      <c r="K477" s="4" t="n">
        <v>410</v>
      </c>
      <c r="L477" s="4" t="n">
        <v>124</v>
      </c>
      <c r="M477" s="5" t="n">
        <v>1604.8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오송제1생명과학단지내 저렴한 공장 급매</t>
        </is>
      </c>
      <c r="Q477" s="6">
        <f>HYPERLINK("https://fin.land.naver.com/articles/2648395242",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청담</t>
        </is>
      </c>
      <c r="U477" s="4" t="n">
        <v>2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200000</v>
      </c>
      <c r="G478" s="4" t="n">
        <v>0</v>
      </c>
      <c r="H478" s="4" t="n">
        <v>2307</v>
      </c>
      <c r="I478" s="4" t="n">
        <v>698</v>
      </c>
      <c r="J478" s="5" t="n">
        <v>286.5</v>
      </c>
      <c r="K478" s="4" t="n">
        <v>410</v>
      </c>
      <c r="L478" s="4" t="n">
        <v>124</v>
      </c>
      <c r="M478" s="5" t="n">
        <v>1612.9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오송역인근 산업단지의 층고 10m. 증축 가능한 야드 넓은 공장매매</t>
        </is>
      </c>
      <c r="Q478" s="6">
        <f>HYPERLINK("https://fin.land.naver.com/articles/2652356580",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건물1층206형 2층 44형 대지1180형 택배하던자리</t>
        </is>
      </c>
      <c r="Q480" s="6">
        <f>HYPERLINK("https://fin.land.naver.com/articles/2649343320",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위더스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대지 1180. 기존 택배자리. 물류 창고 적합</t>
        </is>
      </c>
      <c r="Q481" s="6">
        <f>HYPERLINK("https://fin.land.naver.com/articles/2648710674",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청주1등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18000</v>
      </c>
      <c r="G488" s="4" t="n">
        <v>1000</v>
      </c>
      <c r="H488" s="4" t="n">
        <v>2169</v>
      </c>
      <c r="I488" s="4" t="n">
        <v>656</v>
      </c>
      <c r="J488" s="5" t="n">
        <v>1.5</v>
      </c>
      <c r="K488" s="4" t="n">
        <v>999</v>
      </c>
      <c r="L488" s="4" t="n">
        <v>302</v>
      </c>
      <c r="M488" s="5" t="n">
        <v>3.3</v>
      </c>
      <c r="N488" s="3" t="inlineStr">
        <is>
          <t>2</t>
        </is>
      </c>
      <c r="O488" s="3" t="inlineStr">
        <is>
          <t>-</t>
        </is>
      </c>
      <c r="P488" s="3" t="inlineStr">
        <is>
          <t>산업단지 코너에 위치한 관리 잘 된 준신축급 공장</t>
        </is>
      </c>
      <c r="Q488" s="6">
        <f>HYPERLINK("https://fin.land.naver.com/articles/2650586118",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(주)미르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B1</t>
        </is>
      </c>
      <c r="P489" s="3" t="inlineStr">
        <is>
          <t>오송 2산업단지 대로면 접한 공장으로 의료기기 관련업종 즉시 입주 가능</t>
        </is>
      </c>
      <c r="Q489" s="6">
        <f>HYPERLINK("https://fin.land.naver.com/articles/2650797461",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우리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HYPERLINK("https://fin.land.naver.com/articles/2649253999",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592</v>
      </c>
      <c r="L491" s="4" t="n">
        <v>179</v>
      </c>
      <c r="M491" s="5" t="n">
        <v>5.6</v>
      </c>
      <c r="N491" s="3" t="inlineStr">
        <is>
          <t>1</t>
        </is>
      </c>
      <c r="O491" s="3" t="inlineStr">
        <is>
          <t>-</t>
        </is>
      </c>
      <c r="P491" s="3" t="inlineStr">
        <is>
          <t>시설이 완벽하게 갖춰져 있는 건물,공장 월세 임대 가능한 매물입니다</t>
        </is>
      </c>
      <c r="Q491" s="6">
        <f>HYPERLINK("https://fin.land.naver.com/articles/2651110067",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 산업단지 사옥형 공장 임대 입주협의</t>
        </is>
      </c>
      <c r="Q493" s="6">
        <f>HYPERLINK("https://fin.land.naver.com/articles/2650873410",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592</v>
      </c>
      <c r="L494" s="4" t="n">
        <v>179</v>
      </c>
      <c r="M494" s="5" t="n">
        <v>1955.3</v>
      </c>
      <c r="N494" s="3" t="inlineStr">
        <is>
          <t>1</t>
        </is>
      </c>
      <c r="O494" s="3" t="inlineStr">
        <is>
          <t>-</t>
        </is>
      </c>
      <c r="P494" s="3" t="inlineStr">
        <is>
          <t>창고부지제공, 공장 운영하기 좋은 구조 ,연구동,공장동</t>
        </is>
      </c>
      <c r="Q494" s="6">
        <f>HYPERLINK("https://fin.land.naver.com/articles/2652141929",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999</v>
      </c>
      <c r="L495" s="4" t="n">
        <v>302</v>
      </c>
      <c r="M495" s="5" t="n">
        <v>1158.9</v>
      </c>
      <c r="N495" s="3" t="inlineStr">
        <is>
          <t>2</t>
        </is>
      </c>
      <c r="O495" s="3" t="inlineStr">
        <is>
          <t>B1</t>
        </is>
      </c>
      <c r="P495" s="3" t="inlineStr">
        <is>
          <t>오송 2산업단지 대로면 접한 공장으로 의료기기 관련업종 즉시 입주 가능</t>
        </is>
      </c>
      <c r="Q495" s="6">
        <f>HYPERLINK("https://fin.land.naver.com/articles/2650796460",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우리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420000</v>
      </c>
      <c r="G496" s="4" t="n">
        <v>0</v>
      </c>
      <c r="H496" s="4" t="n">
        <v>2169</v>
      </c>
      <c r="I496" s="4" t="n">
        <v>656</v>
      </c>
      <c r="J496" s="5" t="n">
        <v>640.2</v>
      </c>
      <c r="K496" s="4" t="n">
        <v>999</v>
      </c>
      <c r="L496" s="4" t="n">
        <v>302</v>
      </c>
      <c r="M496" s="5" t="n">
        <v>1390.7</v>
      </c>
      <c r="N496" s="3" t="inlineStr">
        <is>
          <t>2</t>
        </is>
      </c>
      <c r="O496" s="3" t="inlineStr">
        <is>
          <t>-</t>
        </is>
      </c>
      <c r="P496" s="3" t="inlineStr">
        <is>
          <t>오송2산단 산업단지 코너 대로접한 신축급 공장</t>
        </is>
      </c>
      <c r="Q496" s="6">
        <f>HYPERLINK("https://fin.land.naver.com/articles/2649742642",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자이원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100000</v>
      </c>
      <c r="G498" s="4" t="n">
        <v>10000</v>
      </c>
      <c r="H498" s="4" t="n">
        <v>10798</v>
      </c>
      <c r="I498" s="4" t="n">
        <v>3266</v>
      </c>
      <c r="J498" s="5" t="n">
        <v>3.1</v>
      </c>
      <c r="K498" s="4" t="n">
        <v>1476</v>
      </c>
      <c r="L498" s="4" t="n">
        <v>446</v>
      </c>
      <c r="M498" s="5" t="n">
        <v>22.4</v>
      </c>
      <c r="N498" s="3" t="inlineStr">
        <is>
          <t>5</t>
        </is>
      </c>
      <c r="O498" s="3" t="inlineStr">
        <is>
          <t>-</t>
        </is>
      </c>
      <c r="P498" s="3" t="inlineStr">
        <is>
          <t>전층공조시설완비,바닥 크리트마감, 신축공장,건기식,제약,화장품 추천</t>
        </is>
      </c>
      <c r="Q498" s="6">
        <f>HYPERLINK("https://fin.land.naver.com/articles/2650624911",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부속건축물제1동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8.0m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오송산업단지 공장  오송역 ,청주ic 10분이내  분할 임대가능</t>
        </is>
      </c>
      <c r="Q499" s="6">
        <f>HYPERLINK("https://fin.land.naver.com/articles/2649016336",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100000</v>
      </c>
      <c r="G500" s="4" t="n">
        <v>10000</v>
      </c>
      <c r="H500" s="4" t="n">
        <v>10798</v>
      </c>
      <c r="I500" s="4" t="n">
        <v>3266</v>
      </c>
      <c r="J500" s="5" t="n">
        <v>3.1</v>
      </c>
      <c r="K500" s="4" t="n">
        <v>15064</v>
      </c>
      <c r="L500" s="4" t="n">
        <v>4557</v>
      </c>
      <c r="M500" s="5" t="n">
        <v>2.2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HYPERLINK("https://fin.land.naver.com/articles/2649039082",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35000</v>
      </c>
      <c r="G501" s="4" t="n">
        <v>3500</v>
      </c>
      <c r="H501" s="4" t="n">
        <v>10798</v>
      </c>
      <c r="I501" s="4" t="n">
        <v>3266</v>
      </c>
      <c r="J501" s="5" t="n">
        <v>1.1</v>
      </c>
      <c r="K501" s="4" t="n">
        <v>3616</v>
      </c>
      <c r="L501" s="4" t="n">
        <v>1094</v>
      </c>
      <c r="M501" s="5" t="n">
        <v>3.2</v>
      </c>
      <c r="N501" s="3" t="inlineStr">
        <is>
          <t>5</t>
        </is>
      </c>
      <c r="O501" s="3" t="inlineStr">
        <is>
          <t>-</t>
        </is>
      </c>
      <c r="P501" s="3" t="inlineStr">
        <is>
          <t>3층,4층 공장, 창고 임대.전층공조시설완비,바닥 콘크리트마감, 신축</t>
        </is>
      </c>
      <c r="Q501" s="6">
        <f>HYPERLINK("https://fin.land.naver.com/articles/2648733525",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14761</v>
      </c>
      <c r="L503" s="4" t="n">
        <v>4465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공장 매매</t>
        </is>
      </c>
      <c r="Q503" s="6">
        <f>HYPERLINK("https://fin.land.naver.com/articles/2648235904",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월드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청주ic 오송ktx 10분이내 오송산업단지공장 화학업종 가능</t>
        </is>
      </c>
      <c r="Q504" s="6">
        <f>HYPERLINK("https://fin.land.naver.com/articles/2649015627",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킹 사진0 규모의 경제 가시성 탁월 여기만 보임 압도적 존재감 절대적</t>
        </is>
      </c>
      <c r="Q505" s="6">
        <f>HYPERLINK("https://fin.land.naver.com/articles/2651362845",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킹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15064</v>
      </c>
      <c r="L506" s="4" t="n">
        <v>4557</v>
      </c>
      <c r="M506" s="5" t="n">
        <v>0.8</v>
      </c>
      <c r="N506" s="3" t="inlineStr">
        <is>
          <t>5</t>
        </is>
      </c>
      <c r="O506" s="3" t="inlineStr">
        <is>
          <t>-</t>
        </is>
      </c>
      <c r="P506" s="3" t="inlineStr">
        <is>
          <t>크린룸,폐수처리,위험물저장소,전층공조시설,화물엘베 각층3개,신축급 공장</t>
        </is>
      </c>
      <c r="Q506" s="6">
        <f>HYPERLINK("https://fin.land.naver.com/articles/2650398819",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30000</v>
      </c>
      <c r="G507" s="4" t="n">
        <v>2800</v>
      </c>
      <c r="H507" s="4" t="n">
        <v>4999</v>
      </c>
      <c r="I507" s="4" t="n">
        <v>1512</v>
      </c>
      <c r="J507" s="5" t="n">
        <v>1.9</v>
      </c>
      <c r="K507" s="4" t="n">
        <v>9796</v>
      </c>
      <c r="L507" s="4" t="n">
        <v>2963</v>
      </c>
      <c r="M507" s="5" t="n">
        <v>0.9</v>
      </c>
      <c r="N507" s="3" t="inlineStr">
        <is>
          <t>3</t>
        </is>
      </c>
      <c r="O507" s="3" t="inlineStr">
        <is>
          <t>-</t>
        </is>
      </c>
      <c r="P507" s="3" t="inlineStr">
        <is>
          <t>신축급,전기,화학,화장품,의약품 등 입주가능,각층별 과 전체 임대가능</t>
        </is>
      </c>
      <c r="Q507" s="6">
        <f>HYPERLINK("https://fin.land.naver.com/articles/2650190812",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금화랜드</t>
        </is>
      </c>
      <c r="U507" s="4" t="n">
        <v>1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1150000</v>
      </c>
      <c r="G508" s="4" t="n">
        <v>0</v>
      </c>
      <c r="H508" s="4" t="n">
        <v>4999</v>
      </c>
      <c r="I508" s="4" t="n">
        <v>1512</v>
      </c>
      <c r="J508" s="5" t="n">
        <v>760.6</v>
      </c>
      <c r="K508" s="4" t="n">
        <v>9796</v>
      </c>
      <c r="L508" s="4" t="n">
        <v>2963</v>
      </c>
      <c r="M508" s="5" t="n">
        <v>388.1</v>
      </c>
      <c r="N508" s="3" t="inlineStr">
        <is>
          <t>3</t>
        </is>
      </c>
      <c r="O508" s="3" t="inlineStr">
        <is>
          <t>-</t>
        </is>
      </c>
      <c r="P508" s="3" t="inlineStr">
        <is>
          <t>오송2산업단지 4차선도로변 접한 위치의 신축급공장</t>
        </is>
      </c>
      <c r="Q508" s="6">
        <f>HYPERLINK("https://fin.land.naver.com/articles/2649326357",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5000</v>
      </c>
      <c r="I509" s="4" t="n">
        <v>1512</v>
      </c>
      <c r="J509" s="5" t="n">
        <v>760.6</v>
      </c>
      <c r="K509" s="4" t="n">
        <v>9900</v>
      </c>
      <c r="L509" s="4" t="n">
        <v>2995</v>
      </c>
      <c r="M509" s="5" t="n">
        <v>384</v>
      </c>
      <c r="N509" s="3" t="inlineStr">
        <is>
          <t>3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HYPERLINK("https://fin.land.naver.com/articles/2652985451",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일오팔팔(주)</t>
        </is>
      </c>
      <c r="U509" s="4" t="n">
        <v>3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HYPERLINK("https://fin.land.naver.com/articles/2648120627",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HYPERLINK("https://fin.land.naver.com/articles/2648979325",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336</v>
      </c>
      <c r="J42" s="4" t="n">
        <v>102</v>
      </c>
      <c r="K42" s="5" t="n">
        <v>1568.6</v>
      </c>
      <c r="L42" s="4" t="n">
        <v>253</v>
      </c>
      <c r="M42" s="4" t="n">
        <v>77</v>
      </c>
      <c r="N42" s="5" t="n">
        <v>2077.9</v>
      </c>
      <c r="O42" s="3" t="inlineStr">
        <is>
          <t>입지 최고 거주 및 투자추천, 선임대 맞춰짐, 실입주도 협의가능,</t>
        </is>
      </c>
      <c r="P42" s="6">
        <f>HYPERLINK("https://fin.land.naver.com/articles/2648367997",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323</v>
      </c>
      <c r="J43" s="4" t="n">
        <v>98</v>
      </c>
      <c r="K43" s="5" t="n">
        <v>1632.7</v>
      </c>
      <c r="L43" s="4" t="n">
        <v>253</v>
      </c>
      <c r="M43" s="4" t="n">
        <v>77</v>
      </c>
      <c r="N43" s="5" t="n">
        <v>2077.9</v>
      </c>
      <c r="O43" s="3" t="inlineStr">
        <is>
          <t>아르티엠 더블랙  초품아 프리미엄과 풀옵션이 만난 완벽한 타운하우스</t>
        </is>
      </c>
      <c r="P43" s="6">
        <f>HYPERLINK("https://fin.land.naver.com/articles/2651672445",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유럽마을 C타입  관리상태좋음  학교 근린생활시설가까운 입지 최고 단지</t>
        </is>
      </c>
      <c r="P44" s="6">
        <f>HYPERLINK("https://fin.land.naver.com/articles/2652588602",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고운힐스테이트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명성공인, 온빛초품아, 시스템에어컨, 남향 추천 매물</t>
        </is>
      </c>
      <c r="P45" s="6">
        <f>HYPERLINK("https://fin.land.naver.com/articles/2652725079",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명성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입지좋은 타운하우스매매, C타입, 온빛초, 정남향</t>
        </is>
      </c>
      <c r="P46" s="6">
        <f>HYPERLINK("https://fin.land.naver.com/articles/2648836117",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158000</v>
      </c>
      <c r="H47" s="4" t="n">
        <v>0</v>
      </c>
      <c r="I47" s="4" t="n">
        <v>418</v>
      </c>
      <c r="J47" s="4" t="n">
        <v>126</v>
      </c>
      <c r="K47" s="5" t="n">
        <v>1254</v>
      </c>
      <c r="L47" s="4" t="n">
        <v>253</v>
      </c>
      <c r="M47" s="4" t="n">
        <v>77</v>
      </c>
      <c r="N47" s="5" t="n">
        <v>2051.9</v>
      </c>
      <c r="O47" s="3" t="inlineStr">
        <is>
          <t>아르티엠 더블랙 C타입 선임대 완료 급매</t>
        </is>
      </c>
      <c r="P47" s="6">
        <f>HYPERLINK("https://fin.land.naver.com/articles/2651673445",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A타입 타운하우스매매, 입지 굿, 학교 인접, 협의입주</t>
        </is>
      </c>
      <c r="P51" s="6">
        <f>HYPERLINK("https://fin.land.naver.com/articles/2648903592",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HYPERLINK("https://fin.land.naver.com/articles/2648909199",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356</v>
      </c>
      <c r="J53" s="4" t="n">
        <v>108</v>
      </c>
      <c r="K53" s="5" t="n">
        <v>1181.5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HYPERLINK("https://fin.land.naver.com/articles/2651673384",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HYPERLINK("https://fin.land.naver.com/articles/2648068359",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급매,C타입,주인거주로집상태좋음.</t>
        </is>
      </c>
      <c r="P56" s="6">
        <f>HYPERLINK("https://fin.land.naver.com/articles/2653085610",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세종황소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335</v>
      </c>
      <c r="J57" s="4" t="n">
        <v>101</v>
      </c>
      <c r="K57" s="5" t="n">
        <v>1584.2</v>
      </c>
      <c r="L57" s="4" t="n">
        <v>253</v>
      </c>
      <c r="M57" s="4" t="n">
        <v>77</v>
      </c>
      <c r="N57" s="5" t="n">
        <v>2077.9</v>
      </c>
      <c r="O57" s="3" t="inlineStr">
        <is>
          <t>프라이빗한 정원,  인네리어</t>
        </is>
      </c>
      <c r="P57" s="6">
        <f>HYPERLINK("https://fin.land.naver.com/articles/2649457044",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nan</t>
        </is>
      </c>
      <c r="P64" s="6">
        <f>HYPERLINK("https://fin.land.naver.com/articles/2652918003",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희소성 높은 한옥 매매, 학군과 입지 좋은 위치</t>
        </is>
      </c>
      <c r="P66" s="6">
        <f>HYPERLINK("https://fin.land.naver.com/articles/2650893231",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110000</v>
      </c>
      <c r="H69" s="4" t="n">
        <v>0</v>
      </c>
      <c r="I69" s="4" t="n">
        <v>15314</v>
      </c>
      <c r="J69" s="4" t="n">
        <v>4632</v>
      </c>
      <c r="K69" s="5" t="n">
        <v>23.7</v>
      </c>
      <c r="L69" s="4" t="n">
        <v>180</v>
      </c>
      <c r="M69" s="4" t="n">
        <v>54</v>
      </c>
      <c r="N69" s="5" t="n">
        <v>2037</v>
      </c>
      <c r="O69" s="3" t="inlineStr">
        <is>
          <t>주인거주로 관리잘된집, 협의입주, 모든 하자 완벽 수리</t>
        </is>
      </c>
      <c r="P69" s="6">
        <f>HYPERLINK("https://fin.land.naver.com/articles/2649875240",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3</t>
        </is>
      </c>
      <c r="E70" s="3" t="inlineStr">
        <is>
          <t>단독</t>
        </is>
      </c>
      <c r="F70" s="3" t="inlineStr">
        <is>
          <t>매매</t>
        </is>
      </c>
      <c r="G70" s="4" t="n">
        <v>180000</v>
      </c>
      <c r="H70" s="4" t="n">
        <v>0</v>
      </c>
      <c r="I70" s="4" t="n">
        <v>15314</v>
      </c>
      <c r="J70" s="4" t="n">
        <v>4632</v>
      </c>
      <c r="K70" s="5" t="n">
        <v>38.9</v>
      </c>
      <c r="L70" s="4" t="n">
        <v>374</v>
      </c>
      <c r="M70" s="4" t="n">
        <v>113</v>
      </c>
      <c r="N70" s="5" t="n">
        <v>1592.9</v>
      </c>
      <c r="O70" s="3" t="inlineStr">
        <is>
          <t>세대내 엘리베이터 있는 단독세대, 고급 타운하우스, 월세도가능 ,즉시입주</t>
        </is>
      </c>
      <c r="P70" s="6">
        <f>HYPERLINK("https://fin.land.naver.com/articles/2649446076",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힐스테이트으뜸원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3</t>
        </is>
      </c>
      <c r="E71" s="3" t="inlineStr">
        <is>
          <t>단독</t>
        </is>
      </c>
      <c r="F71" s="3" t="inlineStr">
        <is>
          <t>매매</t>
        </is>
      </c>
      <c r="G71" s="4" t="n">
        <v>115000</v>
      </c>
      <c r="H71" s="4" t="n">
        <v>0</v>
      </c>
      <c r="I71" s="4" t="n">
        <v>287</v>
      </c>
      <c r="J71" s="4" t="n">
        <v>87</v>
      </c>
      <c r="K71" s="5" t="n">
        <v>1321.8</v>
      </c>
      <c r="L71" s="4" t="n">
        <v>197</v>
      </c>
      <c r="M71" s="4" t="n">
        <v>60</v>
      </c>
      <c r="N71" s="5" t="n">
        <v>1916.7</v>
      </c>
      <c r="O71" s="3" t="inlineStr">
        <is>
          <t>타운하우스,  협의가능, 테라스 넓은 다락방</t>
        </is>
      </c>
      <c r="P71" s="6">
        <f>HYPERLINK("https://fin.land.naver.com/articles/2648901530",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213000</v>
      </c>
      <c r="H72" s="4" t="n">
        <v>0</v>
      </c>
      <c r="I72" s="4" t="n">
        <v>643</v>
      </c>
      <c r="J72" s="4" t="n">
        <v>195</v>
      </c>
      <c r="K72" s="5" t="n">
        <v>1092.3</v>
      </c>
      <c r="L72" s="4" t="n">
        <v>482</v>
      </c>
      <c r="M72" s="4" t="n">
        <v>146</v>
      </c>
      <c r="N72" s="5" t="n">
        <v>1458.9</v>
      </c>
      <c r="O72" s="3" t="inlineStr">
        <is>
          <t>고급타운하우스 입주일 협의 가능합니다.</t>
        </is>
      </c>
      <c r="P72" s="6">
        <f>HYPERLINK("https://fin.land.naver.com/articles/2648794282",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다정대림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급매, 입주협의가능, 고운동 타운하우스</t>
        </is>
      </c>
      <c r="P74" s="6">
        <f>HYPERLINK("https://fin.land.naver.com/articles/2649570727",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194</v>
      </c>
      <c r="J75" s="4" t="n">
        <v>59</v>
      </c>
      <c r="K75" s="5" t="n">
        <v>796.6</v>
      </c>
      <c r="L75" s="4" t="n">
        <v>194</v>
      </c>
      <c r="M75" s="4" t="n">
        <v>59</v>
      </c>
      <c r="N75" s="5" t="n">
        <v>796.6</v>
      </c>
      <c r="O75" s="3" t="inlineStr">
        <is>
          <t>조율가능,급매, 고운동 타운하우스</t>
        </is>
      </c>
      <c r="P75" s="6">
        <f>HYPERLINK("https://fin.land.naver.com/articles/2652790063",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고운동타운하우스 엘리베이터0 층별독립 공간과 프라이빗한 라이프스타일</t>
        </is>
      </c>
      <c r="P78" s="6">
        <f>HYPERLINK("https://fin.land.naver.com/articles/2650507306",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o서초만땅o급매,협의입주,복층다락</t>
        </is>
      </c>
      <c r="P82" s="6">
        <f>HYPERLINK("https://fin.land.naver.com/articles/2650272816",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서초만땅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nan</t>
        </is>
      </c>
      <c r="P83" s="6">
        <f>HYPERLINK("https://fin.land.naver.com/articles/2653118606",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다정가온TOP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e루다 급매,리치먼드1차,협의입주,적극조율,테라스,마당,복층,다락</t>
        </is>
      </c>
      <c r="P86" s="6">
        <f>HYPERLINK("https://fin.land.naver.com/articles/2649834406",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이루다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포스힐 단독주택, 에어컨풀, 인테리어완료, 주인거주</t>
        </is>
      </c>
      <c r="P96" s="6">
        <f>HYPERLINK("https://fin.land.naver.com/articles/2648345384",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129734</v>
      </c>
      <c r="H98" s="4" t="n">
        <v>0</v>
      </c>
      <c r="I98" s="4" t="n">
        <v>328</v>
      </c>
      <c r="J98" s="4" t="n">
        <v>99</v>
      </c>
      <c r="K98" s="5" t="n">
        <v>1310.4</v>
      </c>
      <c r="L98" s="4" t="n">
        <v>196</v>
      </c>
      <c r="M98" s="4" t="n">
        <v>59</v>
      </c>
      <c r="N98" s="5" t="n">
        <v>2198.9</v>
      </c>
      <c r="O98" s="3" t="inlineStr">
        <is>
          <t>고운동 타운하우스 매매, 조율가능, 풀옵션, 다락서비스면적</t>
        </is>
      </c>
      <c r="P98" s="6">
        <f>HYPERLINK("https://fin.land.naver.com/articles/2649079152",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1</t>
        </is>
      </c>
      <c r="E99" s="3" t="inlineStr">
        <is>
          <t>단독</t>
        </is>
      </c>
      <c r="F99" s="3" t="inlineStr">
        <is>
          <t>월세</t>
        </is>
      </c>
      <c r="G99" s="4" t="n">
        <v>5000</v>
      </c>
      <c r="H99" s="4" t="n">
        <v>300</v>
      </c>
      <c r="I99" s="4" t="n">
        <v>196</v>
      </c>
      <c r="J99" s="4" t="n">
        <v>59</v>
      </c>
      <c r="K99" s="5" t="n">
        <v>5.1</v>
      </c>
      <c r="L99" s="4" t="n">
        <v>196</v>
      </c>
      <c r="M99" s="4" t="n">
        <v>59</v>
      </c>
      <c r="N99" s="5" t="n">
        <v>5.1</v>
      </c>
      <c r="O99" s="3" t="inlineStr">
        <is>
          <t>귀한 타운하우스 월세, 방3개, 화장실3개, 협의입주가능</t>
        </is>
      </c>
      <c r="P99" s="6">
        <f>HYPERLINK("https://fin.land.naver.com/articles/2649871083",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115580</v>
      </c>
      <c r="H100" s="4" t="n">
        <v>0</v>
      </c>
      <c r="I100" s="4" t="n">
        <v>299</v>
      </c>
      <c r="J100" s="4" t="n">
        <v>90</v>
      </c>
      <c r="K100" s="5" t="n">
        <v>1284.2</v>
      </c>
      <c r="L100" s="4" t="n">
        <v>171</v>
      </c>
      <c r="M100" s="4" t="n">
        <v>52</v>
      </c>
      <c r="N100" s="5" t="n">
        <v>2222.7</v>
      </c>
      <c r="O100" s="3" t="inlineStr">
        <is>
          <t>인기 있는 타운하우스 , 매매추천합니다,</t>
        </is>
      </c>
      <c r="P100" s="6">
        <f>HYPERLINK("https://fin.land.naver.com/articles/2648837063",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HYPERLINK("https://fin.land.naver.com/articles/2649777229",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286</v>
      </c>
      <c r="J103" s="4" t="n">
        <v>87</v>
      </c>
      <c r="K103" s="5" t="n">
        <v>1379.3</v>
      </c>
      <c r="L103" s="4" t="n">
        <v>196</v>
      </c>
      <c r="M103" s="4" t="n">
        <v>59</v>
      </c>
      <c r="N103" s="5" t="n">
        <v>2033.9</v>
      </c>
      <c r="O103" s="3" t="inlineStr">
        <is>
          <t>nan</t>
        </is>
      </c>
      <c r="P103" s="6">
        <f>HYPERLINK("https://fin.land.naver.com/articles/2650653657",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nan</t>
        </is>
      </c>
      <c r="P113" s="6">
        <f>HYPERLINK("https://fin.land.naver.com/articles/2649459098",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세종삼촌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2층 테라스, 전망 좋은집, 방4개, 화장실3개</t>
        </is>
      </c>
      <c r="P114" s="6">
        <f>HYPERLINK("https://fin.land.naver.com/articles/2648837512",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2층과 다락방사용, 외부계단이용, 전기태양광설치, 전세로 가능</t>
        </is>
      </c>
      <c r="P122" s="6">
        <f>HYPERLINK("https://fin.land.naver.com/articles/2651701809",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OK세종</t>
        </is>
      </c>
      <c r="T122" s="4" t="n">
        <v>1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2층만,3억전세가능,2층전용출입문,다락방,테라스,방축천 충대병원 도보</t>
        </is>
      </c>
      <c r="P123" s="6">
        <f>HYPERLINK("https://fin.land.naver.com/articles/2653270299",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태복</t>
        </is>
      </c>
      <c r="T123" s="4" t="n">
        <v>2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급매. 위치 좋은 단독 주택, 구조가 이뻐요</t>
        </is>
      </c>
      <c r="P124" s="6">
        <f>HYPERLINK("https://fin.land.naver.com/articles/2652859350",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최무연</t>
        </is>
      </c>
      <c r="T124" s="4" t="n">
        <v>3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조율가능, 2세대 가능한 독립구조, 전세8억, 지하有</t>
        </is>
      </c>
      <c r="P125" s="6">
        <f>HYPERLINK("https://fin.land.naver.com/articles/2651191939",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자재 하나 하나 고급진  단독 매매</t>
        </is>
      </c>
      <c r="P126" s="6">
        <f>HYPERLINK("https://fin.land.naver.com/articles/2650613196",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THE행복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도담동 최고입지 귀한 단독주택 넓은평수 목조주택</t>
        </is>
      </c>
      <c r="P128" s="6">
        <f>HYPERLINK("https://fin.land.naver.com/articles/2648380127",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전용60.3p, 방4개, 화장실4개, 입지 좋은 단독주택</t>
        </is>
      </c>
      <c r="P129" s="6">
        <f>HYPERLINK("https://fin.land.naver.com/articles/2648833272",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nan</t>
        </is>
      </c>
      <c r="P131" s="6">
        <f>HYPERLINK("https://fin.land.naver.com/articles/2652442121",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넓은 마당, 정남향, 세컨하우스, 공방, 작업실 추천</t>
        </is>
      </c>
      <c r="P132" s="6">
        <f>HYPERLINK("https://fin.land.naver.com/articles/2651949513",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생명나무,도담동 아담한 모듈하우스 경작가능 주말쉼터로도 좋아요</t>
        </is>
      </c>
      <c r="P133" s="6">
        <f>HYPERLINK("https://fin.land.naver.com/articles/2651373721",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생명나무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조율가능 즉시입주협의 홈플 늘봄초 BRT 도보</t>
        </is>
      </c>
      <c r="P136" s="6">
        <f>HYPERLINK("https://fin.land.naver.com/articles/2652441890",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812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101000</v>
      </c>
      <c r="H137" s="4" t="n">
        <v>0</v>
      </c>
      <c r="I137" s="4" t="n">
        <v>333</v>
      </c>
      <c r="J137" s="4" t="n">
        <v>101</v>
      </c>
      <c r="K137" s="5" t="n">
        <v>1000</v>
      </c>
      <c r="L137" s="4" t="n">
        <v>72</v>
      </c>
      <c r="M137" s="4" t="n">
        <v>22</v>
      </c>
      <c r="N137" s="5" t="n">
        <v>4590.9</v>
      </c>
      <c r="O137" s="3" t="inlineStr">
        <is>
          <t>도담동 위치 좋은 단독주택, 저렴하게 매수해서 세컨하우스로 이용하세요</t>
        </is>
      </c>
      <c r="P137" s="6">
        <f>HYPERLINK("https://fin.land.naver.com/articles/2653369461", "매물Link")</f>
        <v/>
      </c>
      <c r="Q137" s="6">
        <f>HYPERLINK("https://map.naver.com/p/search/도담동 812", "지도Link")</f>
        <v/>
      </c>
      <c r="R137" s="6">
        <f>HYPERLINK("http://www.eum.go.kr/web/ar/lu/luLandDet.jsp?pnu=3611011400108120000&amp;isNoScr=script&amp;mode=search", "토지이음")</f>
        <v/>
      </c>
      <c r="S137" s="3" t="inlineStr">
        <is>
          <t>OK세종 사무소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탁트인 전망 별장같은 멋진주택</t>
        </is>
      </c>
      <c r="P144" s="6">
        <f>HYPERLINK("https://fin.land.naver.com/articles/2648222638",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학사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금강변  복층전원주택(관리 최상)</t>
        </is>
      </c>
      <c r="P145" s="6">
        <f>HYPERLINK("https://fin.land.naver.com/articles/2653362510",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이레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613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679</v>
      </c>
      <c r="J147" s="4" t="n">
        <v>205</v>
      </c>
      <c r="K147" s="5" t="n">
        <v>268.3</v>
      </c>
      <c r="L147" s="4" t="n">
        <v>92</v>
      </c>
      <c r="M147" s="4" t="n">
        <v>28</v>
      </c>
      <c r="N147" s="5" t="n">
        <v>1964.3</v>
      </c>
      <c r="O147" s="3" t="inlineStr">
        <is>
          <t>행복도시4생활권 인접, 부강산업단지에 근접한 주택으로 상태 좋음</t>
        </is>
      </c>
      <c r="P147" s="6">
        <f>HYPERLINK("https://fin.land.naver.com/articles/2651169911", "매물Link")</f>
        <v/>
      </c>
      <c r="Q147" s="6">
        <f>HYPERLINK("https://map.naver.com/p/search/부강면 금호리 613", "지도Link")</f>
        <v/>
      </c>
      <c r="R147" s="6">
        <f>HYPERLINK("http://www.eum.go.kr/web/ar/lu/luLandDet.jsp?pnu=3611033028106130000&amp;isNoScr=script&amp;mode=search", "토지이음")</f>
        <v/>
      </c>
      <c r="S147" s="3" t="inlineStr">
        <is>
          <t>드림</t>
        </is>
      </c>
      <c r="T147" s="4" t="n">
        <v>1</v>
      </c>
      <c r="U147" s="5" t="n">
        <v>88</v>
      </c>
      <c r="V147" s="4" t="n">
        <v>679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금호리 712-16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379</v>
      </c>
      <c r="J148" s="4" t="n">
        <v>115</v>
      </c>
      <c r="K148" s="5" t="n">
        <v>304.3</v>
      </c>
      <c r="L148" s="4" t="n">
        <v>71</v>
      </c>
      <c r="M148" s="4" t="n">
        <v>21</v>
      </c>
      <c r="N148" s="5" t="n">
        <v>1666.7</v>
      </c>
      <c r="O148" s="3" t="inlineStr">
        <is>
          <t>흙벽돌구조 1층 주택매매, 창고별도있음</t>
        </is>
      </c>
      <c r="P148" s="6">
        <f>HYPERLINK("https://fin.land.naver.com/articles/2650428762", "매물Link")</f>
        <v/>
      </c>
      <c r="Q148" s="6">
        <f>HYPERLINK("https://map.naver.com/p/search/부강면 금호리 712-16", "지도Link")</f>
        <v/>
      </c>
      <c r="R148" s="6">
        <f>HYPERLINK("http://www.eum.go.kr/web/ar/lu/luLandDet.jsp?pnu=3611033028107120016&amp;isNoScr=script&amp;mode=search",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94.5</v>
      </c>
      <c r="V148" s="4" t="n">
        <v>379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노호리 307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60000</v>
      </c>
      <c r="H149" s="4" t="n">
        <v>0</v>
      </c>
      <c r="I149" s="4" t="n">
        <v>340</v>
      </c>
      <c r="J149" s="4" t="n">
        <v>103</v>
      </c>
      <c r="K149" s="5" t="n">
        <v>582.5</v>
      </c>
      <c r="L149" s="4" t="n">
        <v>90</v>
      </c>
      <c r="M149" s="4" t="n">
        <v>27</v>
      </c>
      <c r="N149" s="5" t="n">
        <v>2222.2</v>
      </c>
      <c r="O149" s="3" t="inlineStr">
        <is>
          <t>nan</t>
        </is>
      </c>
      <c r="P149" s="6">
        <f>HYPERLINK("https://fin.land.naver.com/articles/2653120425", "매물Link")</f>
        <v/>
      </c>
      <c r="Q149" s="6">
        <f>HYPERLINK("https://map.naver.com/p/search/부강면 노호리 307", "지도Link")</f>
        <v/>
      </c>
      <c r="R149" s="6">
        <f>HYPERLINK("http://www.eum.go.kr/web/ar/lu/luLandDet.jsp?pnu=3611033027103070000&amp;isNoScr=script&amp;mode=search", "토지이음")</f>
        <v/>
      </c>
      <c r="S149" s="3" t="inlineStr">
        <is>
          <t>좋은</t>
        </is>
      </c>
      <c r="T149" s="4" t="n">
        <v>1</v>
      </c>
      <c r="U149" s="5" t="n">
        <v>40.6</v>
      </c>
      <c r="V149" s="4" t="n">
        <v>340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등곡리 68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35000</v>
      </c>
      <c r="H152" s="4" t="n">
        <v>0</v>
      </c>
      <c r="I152" s="4" t="n">
        <v>732</v>
      </c>
      <c r="J152" s="4" t="n">
        <v>221</v>
      </c>
      <c r="K152" s="5" t="n">
        <v>158.4</v>
      </c>
      <c r="L152" s="4" t="n">
        <v>132</v>
      </c>
      <c r="M152" s="4" t="n">
        <v>40</v>
      </c>
      <c r="N152" s="5" t="n">
        <v>875</v>
      </c>
      <c r="O152" s="3" t="inlineStr">
        <is>
          <t>좋은 더 조율해 드려요, 현재 주인분 거주하고 계심</t>
        </is>
      </c>
      <c r="P152" s="6">
        <f>HYPERLINK("https://fin.land.naver.com/articles/2650942009", "매물Link")</f>
        <v/>
      </c>
      <c r="Q152" s="6">
        <f>HYPERLINK("https://map.naver.com/p/search/부강면 등곡리 68", "지도Link")</f>
        <v/>
      </c>
      <c r="R152" s="6">
        <f>HYPERLINK("http://www.eum.go.kr/web/ar/lu/luLandDet.jsp?pnu=3611033026100680000&amp;isNoScr=script&amp;mode=search",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36.1</v>
      </c>
      <c r="V152" s="4" t="n">
        <v>732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문곡리 227-1</t>
        </is>
      </c>
      <c r="B153" s="3" t="inlineStr">
        <is>
          <t>보전관리지역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75000</v>
      </c>
      <c r="H153" s="4" t="n">
        <v>0</v>
      </c>
      <c r="I153" s="4" t="n">
        <v>1322</v>
      </c>
      <c r="J153" s="4" t="n">
        <v>400</v>
      </c>
      <c r="K153" s="5" t="n">
        <v>187.5</v>
      </c>
      <c r="L153" s="4" t="n">
        <v>145</v>
      </c>
      <c r="M153" s="4" t="n">
        <v>44</v>
      </c>
      <c r="N153" s="5" t="n">
        <v>1704.5</v>
      </c>
      <c r="O153" s="3" t="inlineStr">
        <is>
          <t>주택과 주변 텃밭포함, 전망확틔여 전원생활하기좋음</t>
        </is>
      </c>
      <c r="P153" s="6">
        <f>HYPERLINK("https://fin.land.naver.com/articles/2650178792", "매물Link")</f>
        <v/>
      </c>
      <c r="Q153" s="6">
        <f>HYPERLINK("https://map.naver.com/p/search/부강면 문곡리 227-1", "지도Link")</f>
        <v/>
      </c>
      <c r="R153" s="6">
        <f>HYPERLINK("http://www.eum.go.kr/web/ar/lu/luLandDet.jsp?pnu=3611033025102270001&amp;isNoScr=script&amp;mode=search", "토지이음")</f>
        <v/>
      </c>
      <c r="S153" s="3" t="inlineStr">
        <is>
          <t>연동스카이</t>
        </is>
      </c>
      <c r="T153" s="4" t="n">
        <v>1</v>
      </c>
      <c r="U153" s="5" t="n">
        <v>47.9</v>
      </c>
      <c r="V153" s="4" t="n">
        <v>970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문곡리 294-2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83000</v>
      </c>
      <c r="H154" s="4" t="n">
        <v>0</v>
      </c>
      <c r="I154" s="4" t="n">
        <v>660</v>
      </c>
      <c r="J154" s="4" t="n">
        <v>200</v>
      </c>
      <c r="K154" s="5" t="n">
        <v>415</v>
      </c>
      <c r="L154" s="4" t="n">
        <v>192</v>
      </c>
      <c r="M154" s="4" t="n">
        <v>58</v>
      </c>
      <c r="N154" s="5" t="n">
        <v>1431</v>
      </c>
      <c r="O154" s="3" t="inlineStr">
        <is>
          <t>남청주ic에서 부강방면 남쪽 산기슭에 위치한 그림같은 전원주택</t>
        </is>
      </c>
      <c r="P154" s="6">
        <f>HYPERLINK("https://fin.land.naver.com/articles/2652660732", "매물Link")</f>
        <v/>
      </c>
      <c r="Q154" s="6">
        <f>HYPERLINK("https://map.naver.com/p/search/부강면 문곡리 294-2", "지도Link")</f>
        <v/>
      </c>
      <c r="R154" s="6">
        <f>HYPERLINK("http://www.eum.go.kr/web/ar/lu/luLandDet.jsp?pnu=3611033025102940002&amp;isNoScr=script&amp;mode=search", "토지이음")</f>
        <v/>
      </c>
      <c r="S154" s="3" t="inlineStr">
        <is>
          <t>주식회사정원</t>
        </is>
      </c>
      <c r="T154" s="4" t="n">
        <v>1</v>
      </c>
      <c r="U154" s="5" t="n">
        <v>66.90000000000001</v>
      </c>
      <c r="V154" s="4" t="n">
        <v>660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세로각지(가)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분리형 원룸 베란다 굿</t>
        </is>
      </c>
      <c r="P156" s="6">
        <f>HYPERLINK("https://fin.land.naver.com/articles/2652542744",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112-5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135000</v>
      </c>
      <c r="H157" s="4" t="n">
        <v>0</v>
      </c>
      <c r="I157" s="4" t="n">
        <v>390</v>
      </c>
      <c r="J157" s="4" t="n">
        <v>118</v>
      </c>
      <c r="K157" s="5" t="n">
        <v>1144.1</v>
      </c>
      <c r="L157" s="4" t="n">
        <v>510</v>
      </c>
      <c r="M157" s="4" t="n">
        <v>154</v>
      </c>
      <c r="N157" s="5" t="n">
        <v>876.6</v>
      </c>
      <c r="O157" s="3" t="inlineStr">
        <is>
          <t>임대수요 풍부하고 공실 걱정없는 세종시 부강면 저렴한 다가구주택</t>
        </is>
      </c>
      <c r="P157" s="6">
        <f>HYPERLINK("https://fin.land.naver.com/articles/2650694892", "매물Link")</f>
        <v/>
      </c>
      <c r="Q157" s="6">
        <f>HYPERLINK("https://map.naver.com/p/search/부강면 부강리 112-5", "지도Link")</f>
        <v/>
      </c>
      <c r="R157" s="6">
        <f>HYPERLINK("http://www.eum.go.kr/web/ar/lu/luLandDet.jsp?pnu=3611033021101120005&amp;isNoScr=script&amp;mode=search", "토지이음")</f>
        <v/>
      </c>
      <c r="S157" s="3" t="inlineStr">
        <is>
          <t>세종행복한</t>
        </is>
      </c>
      <c r="T157" s="4" t="n">
        <v>1</v>
      </c>
      <c r="U157" s="5" t="n">
        <v>171.6</v>
      </c>
      <c r="V157" s="4" t="n">
        <v>390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세로한면(불)</t>
        </is>
      </c>
    </row>
    <row r="158">
      <c r="A158" s="3" t="inlineStr">
        <is>
          <t>부강면 부강리 125-4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210000</v>
      </c>
      <c r="H158" s="4" t="n">
        <v>0</v>
      </c>
      <c r="I158" s="4" t="n">
        <v>625</v>
      </c>
      <c r="J158" s="4" t="n">
        <v>189</v>
      </c>
      <c r="K158" s="5" t="n">
        <v>1111.1</v>
      </c>
      <c r="L158" s="4" t="n">
        <v>747</v>
      </c>
      <c r="M158" s="4" t="n">
        <v>226</v>
      </c>
      <c r="N158" s="5" t="n">
        <v>929.2</v>
      </c>
      <c r="O158" s="3" t="inlineStr">
        <is>
          <t>현재 공실 없으며 임대 수요가 매우 좋습니다.</t>
        </is>
      </c>
      <c r="P158" s="6">
        <f>HYPERLINK("https://fin.land.naver.com/articles/2653015196", "매물Link")</f>
        <v/>
      </c>
      <c r="Q158" s="6">
        <f>HYPERLINK("https://map.naver.com/p/search/부강면 부강리 125-4", "지도Link")</f>
        <v/>
      </c>
      <c r="R158" s="6">
        <f>HYPERLINK("http://www.eum.go.kr/web/ar/lu/luLandDet.jsp?pnu=3611033021101250004&amp;isNoScr=script&amp;mode=search", "토지이음")</f>
        <v/>
      </c>
      <c r="S158" s="3" t="inlineStr">
        <is>
          <t>진영</t>
        </is>
      </c>
      <c r="T158" s="4" t="n">
        <v>1</v>
      </c>
      <c r="U158" s="5" t="n">
        <v>196.4</v>
      </c>
      <c r="V158" s="4" t="n">
        <v>625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33</v>
      </c>
      <c r="I161" s="4" t="n">
        <v>23</v>
      </c>
      <c r="J161" s="4" t="n">
        <v>7</v>
      </c>
      <c r="K161" s="5" t="n">
        <v>4.7</v>
      </c>
      <c r="L161" s="4" t="n">
        <v>18</v>
      </c>
      <c r="M161" s="4" t="n">
        <v>5</v>
      </c>
      <c r="N161" s="5" t="n">
        <v>6.6</v>
      </c>
      <c r="O161" s="3" t="inlineStr">
        <is>
          <t>부강역 인근 풀옵션 소형원룸</t>
        </is>
      </c>
      <c r="P161" s="6">
        <f>HYPERLINK("https://fin.land.naver.com/articles/2652929753",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37</v>
      </c>
      <c r="I162" s="4" t="n">
        <v>28</v>
      </c>
      <c r="J162" s="4" t="n">
        <v>8</v>
      </c>
      <c r="K162" s="5" t="n">
        <v>4.6</v>
      </c>
      <c r="L162" s="4" t="n">
        <v>20</v>
      </c>
      <c r="M162" s="4" t="n">
        <v>6</v>
      </c>
      <c r="N162" s="5" t="n">
        <v>6.2</v>
      </c>
      <c r="O162" s="3" t="inlineStr">
        <is>
          <t>부강역 인근 풀옵션 원룸</t>
        </is>
      </c>
      <c r="P162" s="6">
        <f>HYPERLINK("https://fin.land.naver.com/articles/2652878868",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65</v>
      </c>
      <c r="I163" s="4" t="n">
        <v>55</v>
      </c>
      <c r="J163" s="4" t="n">
        <v>17</v>
      </c>
      <c r="K163" s="5" t="n">
        <v>3.8</v>
      </c>
      <c r="L163" s="4" t="n">
        <v>49</v>
      </c>
      <c r="M163" s="4" t="n">
        <v>15</v>
      </c>
      <c r="N163" s="5" t="n">
        <v>4.3</v>
      </c>
      <c r="O163" s="3" t="inlineStr">
        <is>
          <t>부강역과 중심상권 가까운 풀옵션 투룸</t>
        </is>
      </c>
      <c r="P163" s="6">
        <f>HYPERLINK("https://fin.land.naver.com/articles/2648410929",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284</v>
      </c>
      <c r="J167" s="4" t="n">
        <v>86</v>
      </c>
      <c r="K167" s="5" t="n">
        <v>1337.2</v>
      </c>
      <c r="L167" s="4" t="n">
        <v>565</v>
      </c>
      <c r="M167" s="4" t="n">
        <v>171</v>
      </c>
      <c r="N167" s="5" t="n">
        <v>672.5</v>
      </c>
      <c r="O167" s="3" t="inlineStr">
        <is>
          <t>안정적인 임대수익 8 법인 임차수요 많은 다가구주택</t>
        </is>
      </c>
      <c r="P167" s="6">
        <f>HYPERLINK("https://fin.land.naver.com/articles/2651239114",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법조연합은온</t>
        </is>
      </c>
      <c r="T167" s="4" t="n">
        <v>2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939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28</v>
      </c>
      <c r="J168" s="4" t="n">
        <v>8</v>
      </c>
      <c r="K168" s="5" t="n">
        <v>4</v>
      </c>
      <c r="L168" s="4" t="n">
        <v>18</v>
      </c>
      <c r="M168" s="4" t="n">
        <v>5</v>
      </c>
      <c r="N168" s="5" t="n">
        <v>6.4</v>
      </c>
      <c r="O168" s="3" t="inlineStr">
        <is>
          <t>단기가능한 조용하고 살기좋은 위치의 저렴한 풀옵션 원룸</t>
        </is>
      </c>
      <c r="P168" s="6">
        <f>HYPERLINK("https://fin.land.naver.com/articles/2648410762", "매물Link")</f>
        <v/>
      </c>
      <c r="Q168" s="6">
        <f>HYPERLINK("https://map.naver.com/p/search/부강면 부강리 939", "지도Link")</f>
        <v/>
      </c>
      <c r="R168" s="6">
        <f>HYPERLINK("http://www.eum.go.kr/web/ar/lu/luLandDet.jsp?pnu=3611033021109390000&amp;isNoScr=script&amp;mode=search",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204.4</v>
      </c>
      <c r="V168" s="4" t="n">
        <v>285</v>
      </c>
      <c r="W168" s="3" t="inlineStr">
        <is>
          <t>지정되지않음</t>
        </is>
      </c>
      <c r="X168" s="3" t="inlineStr">
        <is>
          <t>연립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4000</v>
      </c>
      <c r="H169" s="4" t="n">
        <v>20</v>
      </c>
      <c r="I169" s="4" t="n">
        <v>40</v>
      </c>
      <c r="J169" s="4" t="n">
        <v>12</v>
      </c>
      <c r="K169" s="5" t="n">
        <v>1.7</v>
      </c>
      <c r="L169" s="4" t="n">
        <v>33</v>
      </c>
      <c r="M169" s="4" t="n">
        <v>10</v>
      </c>
      <c r="N169" s="5" t="n">
        <v>2</v>
      </c>
      <c r="O169" s="3" t="inlineStr">
        <is>
          <t>대박 신축 1.5룸 전세 가능</t>
        </is>
      </c>
      <c r="P169" s="6">
        <f>HYPERLINK("https://fin.land.naver.com/articles/2652545951",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95</v>
      </c>
      <c r="I170" s="4" t="n">
        <v>92</v>
      </c>
      <c r="J170" s="4" t="n">
        <v>28</v>
      </c>
      <c r="K170" s="5" t="n">
        <v>3.4</v>
      </c>
      <c r="L170" s="4" t="n">
        <v>76</v>
      </c>
      <c r="M170" s="4" t="n">
        <v>23</v>
      </c>
      <c r="N170" s="5" t="n">
        <v>4.1</v>
      </c>
      <c r="O170" s="3" t="inlineStr">
        <is>
          <t>대박 신축 3룸 욕실2</t>
        </is>
      </c>
      <c r="P170" s="6">
        <f>HYPERLINK("https://fin.land.naver.com/articles/2652544293",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다가구</t>
        </is>
      </c>
      <c r="F171" s="3" t="inlineStr">
        <is>
          <t>월세</t>
        </is>
      </c>
      <c r="G171" s="4" t="n">
        <v>500</v>
      </c>
      <c r="H171" s="4" t="n">
        <v>70</v>
      </c>
      <c r="I171" s="4" t="n">
        <v>60</v>
      </c>
      <c r="J171" s="4" t="n">
        <v>18</v>
      </c>
      <c r="K171" s="5" t="n">
        <v>3.9</v>
      </c>
      <c r="L171" s="4" t="n">
        <v>50</v>
      </c>
      <c r="M171" s="4" t="n">
        <v>15</v>
      </c>
      <c r="N171" s="5" t="n">
        <v>4.7</v>
      </c>
      <c r="O171" s="3" t="inlineStr">
        <is>
          <t>대박 신축 투룸</t>
        </is>
      </c>
      <c r="P171" s="6">
        <f>HYPERLINK("https://fin.land.naver.com/articles/2652551499",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38</v>
      </c>
      <c r="I172" s="4" t="n">
        <v>30</v>
      </c>
      <c r="J172" s="4" t="n">
        <v>9</v>
      </c>
      <c r="K172" s="5" t="n">
        <v>4.2</v>
      </c>
      <c r="L172" s="4" t="n">
        <v>22</v>
      </c>
      <c r="M172" s="4" t="n">
        <v>7</v>
      </c>
      <c r="N172" s="5" t="n">
        <v>5.4</v>
      </c>
      <c r="O172" s="3" t="inlineStr">
        <is>
          <t>주차공간이 종흔 풀옵션 원룸</t>
        </is>
      </c>
      <c r="P172" s="6">
        <f>HYPERLINK("https://fin.land.naver.com/articles/2652929900",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973-25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140000</v>
      </c>
      <c r="H175" s="4" t="n">
        <v>0</v>
      </c>
      <c r="I175" s="4" t="n">
        <v>321</v>
      </c>
      <c r="J175" s="4" t="n">
        <v>97</v>
      </c>
      <c r="K175" s="5" t="n">
        <v>1443.3</v>
      </c>
      <c r="L175" s="4" t="n">
        <v>452</v>
      </c>
      <c r="M175" s="4" t="n">
        <v>137</v>
      </c>
      <c r="N175" s="5" t="n">
        <v>1021.9</v>
      </c>
      <c r="O175" s="3" t="inlineStr">
        <is>
          <t>사진보기, 신축, 부강역,공단인근 세입자수요많은지역 높은수익률,만실운영중</t>
        </is>
      </c>
      <c r="P175" s="6">
        <f>HYPERLINK("https://fin.land.naver.com/articles/2649586451", "매물Link")</f>
        <v/>
      </c>
      <c r="Q175" s="6">
        <f>HYPERLINK("https://map.naver.com/p/search/부강면 부강리 973-25", "지도Link")</f>
        <v/>
      </c>
      <c r="R175" s="6">
        <f>HYPERLINK("http://www.eum.go.kr/web/ar/lu/luLandDet.jsp?pnu=3611033021109730025&amp;isNoScr=script&amp;mode=search", "토지이음")</f>
        <v/>
      </c>
      <c r="S175" s="3" t="inlineStr">
        <is>
          <t>향기나는방</t>
        </is>
      </c>
      <c r="T175" s="4" t="n">
        <v>1</v>
      </c>
      <c r="U175" s="5" t="n">
        <v>184.9</v>
      </c>
      <c r="V175" s="4" t="n">
        <v>321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세로한면(가)</t>
        </is>
      </c>
    </row>
    <row r="176">
      <c r="A176" s="3" t="inlineStr">
        <is>
          <t>부강면 부강리 98-2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40000</v>
      </c>
      <c r="H176" s="4" t="n">
        <v>0</v>
      </c>
      <c r="I176" s="4" t="n">
        <v>179</v>
      </c>
      <c r="J176" s="4" t="n">
        <v>54</v>
      </c>
      <c r="K176" s="5" t="n">
        <v>740.7</v>
      </c>
      <c r="L176" s="4" t="n">
        <v>175</v>
      </c>
      <c r="M176" s="4" t="n">
        <v>53</v>
      </c>
      <c r="N176" s="5" t="n">
        <v>754.7</v>
      </c>
      <c r="O176" s="3" t="inlineStr">
        <is>
          <t>부강면 2차선 도로변 상가주택 매매</t>
        </is>
      </c>
      <c r="P176" s="6">
        <f>HYPERLINK("https://fin.land.naver.com/articles/2648411743", "매물Link")</f>
        <v/>
      </c>
      <c r="Q176" s="6">
        <f>HYPERLINK("https://map.naver.com/p/search/부강면 부강리 98-2", "지도Link")</f>
        <v/>
      </c>
      <c r="R176" s="6">
        <f>HYPERLINK("http://www.eum.go.kr/web/ar/lu/luLandDet.jsp?pnu=3611033021100980002&amp;isNoScr=script&amp;mode=search",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302.7</v>
      </c>
      <c r="V176" s="4" t="n">
        <v>179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332</v>
      </c>
      <c r="J179" s="4" t="n">
        <v>100</v>
      </c>
      <c r="K179" s="5" t="n">
        <v>1400</v>
      </c>
      <c r="L179" s="4" t="n">
        <v>165</v>
      </c>
      <c r="M179" s="4" t="n">
        <v>50</v>
      </c>
      <c r="N179" s="5" t="n">
        <v>2800</v>
      </c>
      <c r="O179" s="3" t="inlineStr">
        <is>
          <t>태양광설치, 풀에어컨, 실링팬, 방4개, 화장실3개</t>
        </is>
      </c>
      <c r="P179" s="6">
        <f>HYPERLINK("https://fin.land.naver.com/articles/2652842053",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HYPERLINK("https://fin.land.naver.com/articles/2648491612",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 있는 예쁜집, 정남향, 조율가능, 태양광</t>
        </is>
      </c>
      <c r="P181" s="6">
        <f>HYPERLINK("https://fin.land.naver.com/articles/2652843975",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세종무지개</t>
        </is>
      </c>
      <c r="T181" s="4" t="n">
        <v>2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조율가능 국제고인근 정남향 아이들의 놀이터같은 특색주택</t>
        </is>
      </c>
      <c r="P182" s="6">
        <f>HYPERLINK("https://fin.land.naver.com/articles/2648716323",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세종스타</t>
        </is>
      </c>
      <c r="T182" s="4" t="n">
        <v>2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벽난로. 태양광, 국제고인근 남향. 가격조율 가능한</t>
        </is>
      </c>
      <c r="P183" s="6">
        <f>HYPERLINK("https://fin.land.naver.com/articles/2652825554",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최무연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남향집으로 따뜻한 집 입니다. 입주는 협의 가능하며 가격절충가능합니다.</t>
        </is>
      </c>
      <c r="P184" s="6">
        <f>HYPERLINK("https://fin.land.naver.com/articles/2653236355",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주황푸르지오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HYPERLINK("https://fin.land.naver.com/articles/2648126026",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튼튼하게 지어진 집   교통편리 정남향</t>
        </is>
      </c>
      <c r="P186" s="6">
        <f>HYPERLINK("https://fin.land.naver.com/articles/2652845581",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세종푸르지오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정원있는 조용한 전원주택 매매</t>
        </is>
      </c>
      <c r="P187" s="6">
        <f>HYPERLINK("https://fin.land.naver.com/articles/2650453397",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인서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353</v>
      </c>
      <c r="J189" s="4" t="n">
        <v>107</v>
      </c>
      <c r="K189" s="5" t="n">
        <v>1308.4</v>
      </c>
      <c r="L189" s="4" t="n">
        <v>160</v>
      </c>
      <c r="M189" s="4" t="n">
        <v>48</v>
      </c>
      <c r="N189" s="5" t="n">
        <v>2916.7</v>
      </c>
      <c r="O189" s="3" t="inlineStr">
        <is>
          <t>시스템에어컨풀, 주인거주, 협의입주, 1.2층 단독주택</t>
        </is>
      </c>
      <c r="P189" s="6">
        <f>HYPERLINK("https://fin.land.naver.com/articles/2652838554",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전용 48.6p, 1.2층 단독주택, 시스템에어컨풀, 협의입주</t>
        </is>
      </c>
      <c r="P191" s="6">
        <f>HYPERLINK("https://fin.land.naver.com/articles/2648906147",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명진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전원주택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353</v>
      </c>
      <c r="J192" s="4" t="n">
        <v>107</v>
      </c>
      <c r="K192" s="5" t="n">
        <v>1355.1</v>
      </c>
      <c r="L192" s="4" t="n">
        <v>160</v>
      </c>
      <c r="M192" s="4" t="n">
        <v>48</v>
      </c>
      <c r="N192" s="5" t="n">
        <v>3020.8</v>
      </c>
      <c r="O192" s="3" t="inlineStr">
        <is>
          <t>철근콘크리트 튼튼  시스템에어컨 5대 단독 매매</t>
        </is>
      </c>
      <c r="P192" s="6">
        <f>HYPERLINK("https://fin.land.naver.com/articles/2650613200",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THE행복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1394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181</v>
      </c>
      <c r="M193" s="4" t="n">
        <v>55</v>
      </c>
      <c r="N193" s="5" t="n">
        <v>2636.4</v>
      </c>
      <c r="O193" s="3" t="inlineStr">
        <is>
          <t>내부상태 청결하고 양호함,중심학원가 근접</t>
        </is>
      </c>
      <c r="P193" s="6">
        <f>HYPERLINK("https://fin.land.naver.com/articles/2650656957", "매물Link")</f>
        <v/>
      </c>
      <c r="Q193" s="6">
        <f>HYPERLINK("https://map.naver.com/p/search/아름동 1394", "지도Link")</f>
        <v/>
      </c>
      <c r="R193" s="6">
        <f>HYPERLINK("http://www.eum.go.kr/web/ar/lu/luLandDet.jsp?pnu=3611011300113940000&amp;isNoScr=script&amp;mode=search", "토지이음")</f>
        <v/>
      </c>
      <c r="S193" s="3" t="inlineStr">
        <is>
          <t>킹세종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1408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145000</v>
      </c>
      <c r="H194" s="4" t="n">
        <v>0</v>
      </c>
      <c r="I194" s="4" t="n">
        <v>303</v>
      </c>
      <c r="J194" s="4" t="n">
        <v>92</v>
      </c>
      <c r="K194" s="5" t="n">
        <v>1576.1</v>
      </c>
      <c r="L194" s="4" t="n">
        <v>204</v>
      </c>
      <c r="M194" s="4" t="n">
        <v>62</v>
      </c>
      <c r="N194" s="5" t="n">
        <v>2338.7</v>
      </c>
      <c r="O194" s="3" t="inlineStr">
        <is>
          <t>남향에 위치 좋은집  분리세대로 2층 시스탬에어컨2대 설치 협의 입주</t>
        </is>
      </c>
      <c r="P194" s="6">
        <f>HYPERLINK("https://fin.land.naver.com/articles/2649764622", "매물Link")</f>
        <v/>
      </c>
      <c r="Q194" s="6">
        <f>HYPERLINK("https://map.naver.com/p/search/아름동 1408", "지도Link")</f>
        <v/>
      </c>
      <c r="R194" s="6">
        <f>HYPERLINK("http://www.eum.go.kr/web/ar/lu/luLandDet.jsp?pnu=3611011300114080000&amp;isNoScr=script&amp;mode=search", "토지이음")</f>
        <v/>
      </c>
      <c r="S194" s="3" t="inlineStr">
        <is>
          <t>주황푸르지오</t>
        </is>
      </c>
      <c r="T194" s="4" t="n">
        <v>1</v>
      </c>
      <c r="U194" s="5" t="n">
        <v>338.2</v>
      </c>
      <c r="V194" s="4" t="n">
        <v>303.7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올리모델링 방3개 욕실3개 시스템에어컨5대 조율가능</t>
        </is>
      </c>
      <c r="P195" s="6">
        <f>HYPERLINK("https://fin.land.naver.com/articles/2648979509",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아름동 입지좋은 단독주택 매매, 올리모델링</t>
        </is>
      </c>
      <c r="P196" s="6">
        <f>HYPERLINK("https://fin.land.naver.com/articles/2648835163",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856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135000</v>
      </c>
      <c r="H198" s="4" t="n">
        <v>0</v>
      </c>
      <c r="I198" s="4" t="n">
        <v>285</v>
      </c>
      <c r="J198" s="4" t="n">
        <v>86</v>
      </c>
      <c r="K198" s="5" t="n">
        <v>1569.8</v>
      </c>
      <c r="L198" s="4" t="n">
        <v>178</v>
      </c>
      <c r="M198" s="4" t="n">
        <v>54</v>
      </c>
      <c r="N198" s="5" t="n">
        <v>2500</v>
      </c>
      <c r="O198" s="3" t="inlineStr">
        <is>
          <t>최근 리모델링한 단독주택 매매, 방3개, 욕실2개</t>
        </is>
      </c>
      <c r="P198" s="6">
        <f>HYPERLINK("https://fin.land.naver.com/articles/2649020493", "매물Link")</f>
        <v/>
      </c>
      <c r="Q198" s="6">
        <f>HYPERLINK("https://map.naver.com/p/search/아름동 856", "지도Link")</f>
        <v/>
      </c>
      <c r="R198" s="6">
        <f>HYPERLINK("http://www.eum.go.kr/web/ar/lu/luLandDet.jsp?pnu=3611011300108560000&amp;isNoScr=script&amp;mode=search",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356.7</v>
      </c>
      <c r="V198" s="4" t="n">
        <v>285.9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소로각지</t>
        </is>
      </c>
    </row>
    <row r="199">
      <c r="A199" s="3" t="inlineStr">
        <is>
          <t>아름동 862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107000</v>
      </c>
      <c r="H199" s="4" t="n">
        <v>0</v>
      </c>
      <c r="I199" s="4" t="n">
        <v>314</v>
      </c>
      <c r="J199" s="4" t="n">
        <v>95</v>
      </c>
      <c r="K199" s="5" t="n">
        <v>1126.3</v>
      </c>
      <c r="L199" s="4" t="n">
        <v>147</v>
      </c>
      <c r="M199" s="4" t="n">
        <v>44</v>
      </c>
      <c r="N199" s="5" t="n">
        <v>2431.8</v>
      </c>
      <c r="O199" s="3" t="inlineStr">
        <is>
          <t>급매 전세끼고 매매 리모델링됨 마당넓음</t>
        </is>
      </c>
      <c r="P199" s="6">
        <f>HYPERLINK("https://fin.land.naver.com/articles/2651116835", "매물Link")</f>
        <v/>
      </c>
      <c r="Q199" s="6">
        <f>HYPERLINK("https://map.naver.com/p/search/아름동 862", "지도Link")</f>
        <v/>
      </c>
      <c r="R199" s="6">
        <f>HYPERLINK("http://www.eum.go.kr/web/ar/lu/luLandDet.jsp?pnu=3611011300108620000&amp;isNoScr=script&amp;mode=search",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339.8</v>
      </c>
      <c r="V199" s="4" t="n">
        <v>314.8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875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340</v>
      </c>
      <c r="J202" s="4" t="n">
        <v>103</v>
      </c>
      <c r="K202" s="5" t="n">
        <v>1553.4</v>
      </c>
      <c r="L202" s="4" t="n">
        <v>192</v>
      </c>
      <c r="M202" s="4" t="n">
        <v>58</v>
      </c>
      <c r="N202" s="5" t="n">
        <v>2758.6</v>
      </c>
      <c r="O202" s="3" t="inlineStr">
        <is>
          <t>nan</t>
        </is>
      </c>
      <c r="P202" s="6">
        <f>HYPERLINK("https://fin.land.naver.com/articles/2652438889", "매물Link")</f>
        <v/>
      </c>
      <c r="Q202" s="6">
        <f>HYPERLINK("https://map.naver.com/p/search/아름동 875", "지도Link")</f>
        <v/>
      </c>
      <c r="R202" s="6">
        <f>HYPERLINK("http://www.eum.go.kr/web/ar/lu/luLandDet.jsp?pnu=3611011300108750000&amp;isNoScr=script&amp;mode=search", "토지이음")</f>
        <v/>
      </c>
      <c r="S202" s="3" t="inlineStr">
        <is>
          <t>세종갑부</t>
        </is>
      </c>
      <c r="T202" s="4" t="n">
        <v>1</v>
      </c>
      <c r="U202" s="5" t="n">
        <v>339.5</v>
      </c>
      <c r="V202" s="4" t="n">
        <v>340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조율가능 유럽풍스타일 1층 방2개 거실넓은 철콘주택</t>
        </is>
      </c>
      <c r="P203" s="6">
        <f>HYPERLINK("https://fin.land.naver.com/articles/2651088324",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방5개, 화장실2개, 고급 단독주택, 태양광</t>
        </is>
      </c>
      <c r="P204" s="6">
        <f>HYPERLINK("https://fin.land.naver.com/articles/2651949107",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959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357</v>
      </c>
      <c r="J205" s="4" t="n">
        <v>108</v>
      </c>
      <c r="K205" s="5" t="n">
        <v>1481.5</v>
      </c>
      <c r="L205" s="4" t="n">
        <v>248</v>
      </c>
      <c r="M205" s="4" t="n">
        <v>75</v>
      </c>
      <c r="N205" s="5" t="n">
        <v>2133.3</v>
      </c>
      <c r="O205" s="3" t="inlineStr">
        <is>
          <t>고급 단독주택 매매, 태양광 설치, 1층에 방2개</t>
        </is>
      </c>
      <c r="P205" s="6">
        <f>HYPERLINK("https://fin.land.naver.com/articles/2652844353", "매물Link")</f>
        <v/>
      </c>
      <c r="Q205" s="6">
        <f>HYPERLINK("https://map.naver.com/p/search/아름동 959", "지도Link")</f>
        <v/>
      </c>
      <c r="R205" s="6">
        <f>HYPERLINK("http://www.eum.go.kr/web/ar/lu/luLandDet.jsp?pnu=3611011300109590000&amp;isNoScr=script&amp;mode=search", "토지이음")</f>
        <v/>
      </c>
      <c r="S205" s="3" t="inlineStr">
        <is>
          <t>세종무지개</t>
        </is>
      </c>
      <c r="T205" s="4" t="n">
        <v>1</v>
      </c>
      <c r="U205" s="5" t="n">
        <v>327.2</v>
      </c>
      <c r="V205" s="4" t="n">
        <v>357.9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아름동 991</t>
        </is>
      </c>
      <c r="B206" s="3" t="inlineStr">
        <is>
          <t>제1종전용주거지역</t>
        </is>
      </c>
      <c r="C206" s="3" t="inlineStr">
        <is>
          <t>공원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생명나무,아름동 고급주택 .꼼꼼하게 신경썼어요 관리상태 최상</t>
        </is>
      </c>
      <c r="P206" s="6">
        <f>HYPERLINK("https://fin.land.naver.com/articles/2649691019", "매물Link")</f>
        <v/>
      </c>
      <c r="Q206" s="6">
        <f>HYPERLINK("https://map.naver.com/p/search/아름동 991", "지도Link")</f>
        <v/>
      </c>
      <c r="R206" s="6">
        <f>HYPERLINK("http://www.eum.go.kr/web/ar/lu/luLandDet.jsp?pnu=3611011300109910000&amp;isNoScr=script&amp;mode=search", "토지이음")</f>
        <v/>
      </c>
      <c r="S206" s="3" t="inlineStr">
        <is>
          <t>생명나무</t>
        </is>
      </c>
      <c r="T206" s="4" t="n">
        <v>1</v>
      </c>
      <c r="U206" s="5" t="n">
        <v>110.7</v>
      </c>
      <c r="V206" s="4" t="n">
        <v>336.9</v>
      </c>
      <c r="W206" s="3" t="inlineStr">
        <is>
          <t>지정되지않음</t>
        </is>
      </c>
      <c r="X206" s="3" t="inlineStr">
        <is>
          <t>공원등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지정되지않음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993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200000</v>
      </c>
      <c r="H208" s="4" t="n">
        <v>0</v>
      </c>
      <c r="I208" s="4" t="n">
        <v>325</v>
      </c>
      <c r="J208" s="4" t="n">
        <v>98</v>
      </c>
      <c r="K208" s="5" t="n">
        <v>2040.8</v>
      </c>
      <c r="L208" s="4" t="n">
        <v>278</v>
      </c>
      <c r="M208" s="4" t="n">
        <v>84</v>
      </c>
      <c r="N208" s="5" t="n">
        <v>2381</v>
      </c>
      <c r="O208" s="3" t="inlineStr">
        <is>
          <t>동네전체 내려보이는 높은위치 벙커주차장2대 개방감최상</t>
        </is>
      </c>
      <c r="P208" s="6">
        <f>HYPERLINK("https://fin.land.naver.com/articles/2652442556", "매물Link")</f>
        <v/>
      </c>
      <c r="Q208" s="6">
        <f>HYPERLINK("https://map.naver.com/p/search/아름동 993", "지도Link")</f>
        <v/>
      </c>
      <c r="R208" s="6">
        <f>HYPERLINK("http://www.eum.go.kr/web/ar/lu/luLandDet.jsp?pnu=3611011300109930000&amp;isNoScr=script&amp;mode=search", "토지이음")</f>
        <v/>
      </c>
      <c r="S208" s="3" t="inlineStr">
        <is>
          <t>세종스타</t>
        </is>
      </c>
      <c r="T208" s="4" t="n">
        <v>1</v>
      </c>
      <c r="U208" s="5" t="n">
        <v>335.5</v>
      </c>
      <c r="V208" s="4" t="n">
        <v>325.8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연동면 내판리 17-11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39000</v>
      </c>
      <c r="H209" s="4" t="n">
        <v>0</v>
      </c>
      <c r="I209" s="4" t="n">
        <v>284</v>
      </c>
      <c r="J209" s="4" t="n">
        <v>86</v>
      </c>
      <c r="K209" s="5" t="n">
        <v>453.5</v>
      </c>
      <c r="L209" s="4" t="n">
        <v>65</v>
      </c>
      <c r="M209" s="4" t="n">
        <v>20</v>
      </c>
      <c r="N209" s="5" t="n">
        <v>1950</v>
      </c>
      <c r="O209" s="3" t="inlineStr">
        <is>
          <t>총2필지 340㎡,세종행정중심복합도시 ,오송역 세종 청주고속도로예정</t>
        </is>
      </c>
      <c r="P209" s="6">
        <f>HYPERLINK("https://fin.land.naver.com/articles/2650782396", "매물Link")</f>
        <v/>
      </c>
      <c r="Q209" s="6">
        <f>HYPERLINK("https://map.naver.com/p/search/연동면 내판리 17-11", "지도Link")</f>
        <v/>
      </c>
      <c r="R209" s="6">
        <f>HYPERLINK("http://www.eum.go.kr/web/ar/lu/luLandDet.jsp?pnu=3611032021100170011&amp;isNoScr=script&amp;mode=search", "토지이음")</f>
        <v/>
      </c>
      <c r="S209" s="3" t="inlineStr">
        <is>
          <t>단골</t>
        </is>
      </c>
      <c r="T209" s="4" t="n">
        <v>1</v>
      </c>
      <c r="U209" s="5" t="n">
        <v>125.8</v>
      </c>
      <c r="V209" s="4" t="n">
        <v>284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연동면 내판리 425-4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65000</v>
      </c>
      <c r="H210" s="4" t="n">
        <v>0</v>
      </c>
      <c r="I210" s="4" t="n">
        <v>579</v>
      </c>
      <c r="J210" s="4" t="n">
        <v>175</v>
      </c>
      <c r="K210" s="5" t="n">
        <v>371.4</v>
      </c>
      <c r="L210" s="4" t="n">
        <v>93</v>
      </c>
      <c r="M210" s="4" t="n">
        <v>28</v>
      </c>
      <c r="N210" s="5" t="n">
        <v>2321.4</v>
      </c>
      <c r="O210" s="3" t="inlineStr">
        <is>
          <t>조용하고 살기좋은 전원주택 매매</t>
        </is>
      </c>
      <c r="P210" s="6">
        <f>HYPERLINK("https://fin.land.naver.com/articles/2649113394", "매물Link")</f>
        <v/>
      </c>
      <c r="Q210" s="6">
        <f>HYPERLINK("https://map.naver.com/p/search/연동면 내판리 425-4", "지도Link")</f>
        <v/>
      </c>
      <c r="R210" s="6">
        <f>HYPERLINK("http://www.eum.go.kr/web/ar/lu/luLandDet.jsp?pnu=3611032021104250004&amp;isNoScr=script&amp;mode=search", "토지이음")</f>
        <v/>
      </c>
      <c r="S210" s="3" t="inlineStr">
        <is>
          <t>으뜸</t>
        </is>
      </c>
      <c r="T210" s="4" t="n">
        <v>1</v>
      </c>
      <c r="U210" s="5" t="n">
        <v>73.2</v>
      </c>
      <c r="V210" s="4" t="n">
        <v>499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656</v>
      </c>
      <c r="J214" s="4" t="n">
        <v>198</v>
      </c>
      <c r="K214" s="5" t="n">
        <v>227.3</v>
      </c>
      <c r="L214" s="4" t="n">
        <v>79</v>
      </c>
      <c r="M214" s="4" t="n">
        <v>24</v>
      </c>
      <c r="N214" s="5" t="n">
        <v>1875</v>
      </c>
      <c r="O214" s="3" t="inlineStr">
        <is>
          <t>예양교차로인근에 위치  교통편리 버스정류장도 바로앞에 있습니다</t>
        </is>
      </c>
      <c r="P214" s="6">
        <f>HYPERLINK("https://fin.land.naver.com/articles/2653055468",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시드니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640-1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259</v>
      </c>
      <c r="J215" s="4" t="n">
        <v>78</v>
      </c>
      <c r="K215" s="5" t="n">
        <v>269.2</v>
      </c>
      <c r="L215" s="4" t="n">
        <v>92</v>
      </c>
      <c r="M215" s="4" t="n">
        <v>28</v>
      </c>
      <c r="N215" s="5" t="n">
        <v>750</v>
      </c>
      <c r="O215" s="3" t="inlineStr">
        <is>
          <t>세종시 공기좋고 한적한 곳 저렴한 시골집 세컨하우스 주말주택</t>
        </is>
      </c>
      <c r="P215" s="6">
        <f>HYPERLINK("https://fin.land.naver.com/articles/2651693393", "매물Link")</f>
        <v/>
      </c>
      <c r="Q215" s="6">
        <f>HYPERLINK("https://map.naver.com/p/search/연동면 예양리 640-1", "지도Link")</f>
        <v/>
      </c>
      <c r="R215" s="6">
        <f>HYPERLINK("http://www.eum.go.kr/web/ar/lu/luLandDet.jsp?pnu=3611032026106400001&amp;isNoScr=script&amp;mode=search", "토지이음")</f>
        <v/>
      </c>
      <c r="S215" s="3" t="inlineStr">
        <is>
          <t>청담</t>
        </is>
      </c>
      <c r="T215" s="4" t="n">
        <v>1</v>
      </c>
      <c r="U215" s="5" t="n">
        <v>60.4</v>
      </c>
      <c r="V215" s="4" t="n">
        <v>259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28000</v>
      </c>
      <c r="H216" s="4" t="n">
        <v>0</v>
      </c>
      <c r="I216" s="4" t="n">
        <v>480</v>
      </c>
      <c r="J216" s="4" t="n">
        <v>145</v>
      </c>
      <c r="K216" s="5" t="n">
        <v>193.1</v>
      </c>
      <c r="L216" s="4" t="n">
        <v>168</v>
      </c>
      <c r="M216" s="4" t="n">
        <v>51</v>
      </c>
      <c r="N216" s="5" t="n">
        <v>549</v>
      </c>
      <c r="O216" s="3" t="inlineStr">
        <is>
          <t>즉시입주.넓은 마당과 텃밭.저렴매매.전원주택의 여유를 느껴보세요.</t>
        </is>
      </c>
      <c r="P216" s="6">
        <f>HYPERLINK("https://fin.land.naver.com/articles/2651510028",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수자인</t>
        </is>
      </c>
      <c r="T216" s="4" t="n">
        <v>1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26000</v>
      </c>
      <c r="H218" s="4" t="n">
        <v>0</v>
      </c>
      <c r="I218" s="4" t="n">
        <v>480</v>
      </c>
      <c r="J218" s="4" t="n">
        <v>145</v>
      </c>
      <c r="K218" s="5" t="n">
        <v>179.3</v>
      </c>
      <c r="L218" s="4" t="n">
        <v>168</v>
      </c>
      <c r="M218" s="4" t="n">
        <v>51</v>
      </c>
      <c r="N218" s="5" t="n">
        <v>509.8</v>
      </c>
      <c r="O218" s="3" t="inlineStr">
        <is>
          <t>텃밭 농가주택 세종 투자처</t>
        </is>
      </c>
      <c r="P218" s="6">
        <f>HYPERLINK("https://fin.land.naver.com/articles/2648818918",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뜨란채청춘  사무소</t>
        </is>
      </c>
      <c r="T218" s="4" t="n">
        <v>2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HYPERLINK("https://fin.land.naver.com/articles/2648221451",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556-16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503</v>
      </c>
      <c r="J223" s="4" t="n">
        <v>152</v>
      </c>
      <c r="K223" s="5" t="n">
        <v>394.7</v>
      </c>
      <c r="L223" s="4" t="n">
        <v>123</v>
      </c>
      <c r="M223" s="4" t="n">
        <v>37</v>
      </c>
      <c r="N223" s="5" t="n">
        <v>1621.6</v>
      </c>
      <c r="O223" s="3" t="inlineStr">
        <is>
          <t>고복저수지 조망있는 단독주택,별장용</t>
        </is>
      </c>
      <c r="P223" s="6">
        <f>HYPERLINK("https://fin.land.naver.com/articles/2648746607", "매물Link")</f>
        <v/>
      </c>
      <c r="Q223" s="6">
        <f>HYPERLINK("https://map.naver.com/p/search/연서면 고복리 556-16", "지도Link")</f>
        <v/>
      </c>
      <c r="R223" s="6">
        <f>HYPERLINK("http://www.eum.go.kr/web/ar/lu/luLandDet.jsp?pnu=3611036024105560016&amp;isNoScr=script&amp;mode=search",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119.4</v>
      </c>
      <c r="V223" s="4" t="n">
        <v>656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고복리 75-1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150000</v>
      </c>
      <c r="H224" s="4" t="n">
        <v>0</v>
      </c>
      <c r="I224" s="4" t="n">
        <v>2707</v>
      </c>
      <c r="J224" s="4" t="n">
        <v>819</v>
      </c>
      <c r="K224" s="5" t="n">
        <v>183.2</v>
      </c>
      <c r="L224" s="4" t="n">
        <v>187</v>
      </c>
      <c r="M224" s="4" t="n">
        <v>57</v>
      </c>
      <c r="N224" s="5" t="n">
        <v>2631.6</v>
      </c>
      <c r="O224" s="3" t="inlineStr">
        <is>
          <t>고복저수지 방향 상가주택 장수한증막운영중. 3필지 일괄매매 건물포함.</t>
        </is>
      </c>
      <c r="P224" s="6">
        <f>HYPERLINK("https://fin.land.naver.com/articles/2652535751", "매물Link")</f>
        <v/>
      </c>
      <c r="Q224" s="6">
        <f>HYPERLINK("https://map.naver.com/p/search/연서면 고복리 75-1", "지도Link")</f>
        <v/>
      </c>
      <c r="R224" s="6">
        <f>HYPERLINK("http://www.eum.go.kr/web/ar/lu/luLandDet.jsp?pnu=3611036024100750001&amp;isNoScr=script&amp;mode=search",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91.8</v>
      </c>
      <c r="V224" s="4" t="n">
        <v>999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국촌리 122-2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54000</v>
      </c>
      <c r="H225" s="4" t="n">
        <v>0</v>
      </c>
      <c r="I225" s="4" t="n">
        <v>741</v>
      </c>
      <c r="J225" s="4" t="n">
        <v>224</v>
      </c>
      <c r="K225" s="5" t="n">
        <v>241.1</v>
      </c>
      <c r="L225" s="4" t="n">
        <v>156</v>
      </c>
      <c r="M225" s="4" t="n">
        <v>47</v>
      </c>
      <c r="N225" s="5" t="n">
        <v>1148.9</v>
      </c>
      <c r="O225" s="3" t="inlineStr">
        <is>
          <t>국촌리 한옥목조주택으로 주변 개발이 많아 향후 투자로 적극추천.</t>
        </is>
      </c>
      <c r="P225" s="6">
        <f>HYPERLINK("https://fin.land.naver.com/articles/2649553012", "매물Link")</f>
        <v/>
      </c>
      <c r="Q225" s="6">
        <f>HYPERLINK("https://map.naver.com/p/search/연서면 국촌리 122-2", "지도Link")</f>
        <v/>
      </c>
      <c r="R225" s="6">
        <f>HYPERLINK("http://www.eum.go.kr/web/ar/lu/luLandDet.jsp?pnu=3611036030101220002&amp;isNoScr=script&amp;mode=search", "토지이음")</f>
        <v/>
      </c>
      <c r="S225" s="3" t="inlineStr">
        <is>
          <t>세종대장</t>
        </is>
      </c>
      <c r="T225" s="4" t="n">
        <v>1</v>
      </c>
      <c r="U225" s="5" t="n">
        <v>106.6</v>
      </c>
      <c r="V225" s="4" t="n">
        <v>741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연서면 기룡리 657-4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7000</v>
      </c>
      <c r="H226" s="4" t="n">
        <v>0</v>
      </c>
      <c r="I226" s="4" t="n">
        <v>304</v>
      </c>
      <c r="J226" s="4" t="n">
        <v>92</v>
      </c>
      <c r="K226" s="5" t="n">
        <v>76.09999999999999</v>
      </c>
      <c r="L226" s="4" t="n">
        <v>54</v>
      </c>
      <c r="M226" s="4" t="n">
        <v>16</v>
      </c>
      <c r="N226" s="5" t="n">
        <v>437.5</v>
      </c>
      <c r="O226" s="3" t="inlineStr">
        <is>
          <t>매매가 이하 저렴한 농가주택입니다</t>
        </is>
      </c>
      <c r="P226" s="6">
        <f>HYPERLINK("https://fin.land.naver.com/articles/2650597094", "매물Link")</f>
        <v/>
      </c>
      <c r="Q226" s="6">
        <f>HYPERLINK("https://map.naver.com/p/search/연서면 기룡리 657-4", "지도Link")</f>
        <v/>
      </c>
      <c r="R226" s="6">
        <f>HYPERLINK("http://www.eum.go.kr/web/ar/lu/luLandDet.jsp?pnu=3611036028106570004&amp;isNoScr=script&amp;mode=search", "토지이음")</f>
        <v/>
      </c>
      <c r="S226" s="3" t="inlineStr">
        <is>
          <t>캠퍼스</t>
        </is>
      </c>
      <c r="T226" s="4" t="n">
        <v>1</v>
      </c>
      <c r="U226" s="5" t="n">
        <v>66.7</v>
      </c>
      <c r="V226" s="4" t="n">
        <v>304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단독</t>
        </is>
      </c>
      <c r="F228" s="3" t="inlineStr">
        <is>
          <t>매매</t>
        </is>
      </c>
      <c r="G228" s="4" t="n">
        <v>107000</v>
      </c>
      <c r="H228" s="4" t="n">
        <v>0</v>
      </c>
      <c r="I228" s="4" t="n">
        <v>421</v>
      </c>
      <c r="J228" s="4" t="n">
        <v>127</v>
      </c>
      <c r="K228" s="5" t="n">
        <v>842.5</v>
      </c>
      <c r="L228" s="4" t="n">
        <v>450</v>
      </c>
      <c r="M228" s="4" t="n">
        <v>136</v>
      </c>
      <c r="N228" s="5" t="n">
        <v>786.8</v>
      </c>
      <c r="O228" s="3" t="inlineStr">
        <is>
          <t>스마트산업단지 예정 인근 다가구 통매매,중심상권 위치로 투자수익 기대</t>
        </is>
      </c>
      <c r="P228" s="6">
        <f>HYPERLINK("https://fin.land.naver.com/articles/2651024368", "매물Link")</f>
        <v/>
      </c>
      <c r="Q228" s="6">
        <f>HYPERLINK("https://map.naver.com/p/search/연서면 봉암리 112-30", "지도Link")</f>
        <v/>
      </c>
      <c r="R228" s="6">
        <f>HYPERLINK("http://www.eum.go.kr/web/ar/lu/luLandDet.jsp?pnu=3611036033101120030&amp;isNoScr=script&amp;mode=search", "토지이음")</f>
        <v/>
      </c>
      <c r="S228" s="3" t="inlineStr">
        <is>
          <t>연기더조은</t>
        </is>
      </c>
      <c r="T228" s="4" t="n">
        <v>1</v>
      </c>
      <c r="U228" s="5" t="n">
        <v>194.8</v>
      </c>
      <c r="V228" s="4" t="n">
        <v>421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36</v>
      </c>
      <c r="I229" s="4" t="n">
        <v>0</v>
      </c>
      <c r="J229" s="4" t="n">
        <v>0</v>
      </c>
      <c r="K229" s="5" t="n">
        <v>0</v>
      </c>
      <c r="L229" s="4" t="n">
        <v>25</v>
      </c>
      <c r="M229" s="4" t="n">
        <v>8</v>
      </c>
      <c r="N229" s="5" t="n">
        <v>4.5</v>
      </c>
      <c r="O229" s="3" t="inlineStr">
        <is>
          <t>가성비좋은 풀옵션 방  깔끔한 주방분리  짐만 챙겨오세요  교통편리</t>
        </is>
      </c>
      <c r="P229" s="6">
        <f>HYPERLINK("https://fin.land.naver.com/articles/2652970391", "매물Link")</f>
        <v/>
      </c>
      <c r="Q229" s="6">
        <f>HYPERLINK("https://map.naver.com/p/search/연서면 봉암리 112-32", "지도Link")</f>
        <v/>
      </c>
      <c r="R229" s="6">
        <f>HYPERLINK("http://www.eum.go.kr/web/ar/lu/luLandDet.jsp?pnu=3611036033101120032&amp;isNoScr=script&amp;mode=search",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181</v>
      </c>
      <c r="V229" s="4" t="n">
        <v>497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봉암리 112-35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98000</v>
      </c>
      <c r="H230" s="4" t="n">
        <v>0</v>
      </c>
      <c r="I230" s="4" t="n">
        <v>410</v>
      </c>
      <c r="J230" s="4" t="n">
        <v>124</v>
      </c>
      <c r="K230" s="5" t="n">
        <v>790.3</v>
      </c>
      <c r="L230" s="4" t="n">
        <v>487</v>
      </c>
      <c r="M230" s="4" t="n">
        <v>147</v>
      </c>
      <c r="N230" s="5" t="n">
        <v>666.7</v>
      </c>
      <c r="O230" s="3" t="inlineStr">
        <is>
          <t>세종시 투자의 정석 공실 걱정 없는 안정적인 고수익 다가구주택</t>
        </is>
      </c>
      <c r="P230" s="6">
        <f>HYPERLINK("https://fin.land.naver.com/articles/2652498864", "매물Link")</f>
        <v/>
      </c>
      <c r="Q230" s="6">
        <f>HYPERLINK("https://map.naver.com/p/search/연서면 봉암리 112-35", "지도Link")</f>
        <v/>
      </c>
      <c r="R230" s="6">
        <f>HYPERLINK("http://www.eum.go.kr/web/ar/lu/luLandDet.jsp?pnu=3611036033101120035&amp;isNoScr=script&amp;mode=search",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194.8</v>
      </c>
      <c r="V230" s="4" t="n">
        <v>410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세로한면(가)</t>
        </is>
      </c>
    </row>
    <row r="231">
      <c r="A231" s="3" t="inlineStr">
        <is>
          <t>연서면 봉암리 112-40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35</v>
      </c>
      <c r="I231" s="4" t="n">
        <v>0</v>
      </c>
      <c r="J231" s="4" t="n">
        <v>0</v>
      </c>
      <c r="K231" s="5" t="n">
        <v>0</v>
      </c>
      <c r="L231" s="4" t="n">
        <v>30</v>
      </c>
      <c r="M231" s="4" t="n">
        <v>9</v>
      </c>
      <c r="N231" s="5" t="n">
        <v>3.9</v>
      </c>
      <c r="O231" s="3" t="inlineStr">
        <is>
          <t>가성비좋은 풀옵션 완비방   깔끔한 주방분리 짐만 챙겨오세요  해밀동5분</t>
        </is>
      </c>
      <c r="P231" s="6">
        <f>HYPERLINK("https://fin.land.naver.com/articles/2649064055", "매물Link")</f>
        <v/>
      </c>
      <c r="Q231" s="6">
        <f>HYPERLINK("https://map.naver.com/p/search/연서면 봉암리 112-40", "지도Link")</f>
        <v/>
      </c>
      <c r="R231" s="6">
        <f>HYPERLINK("http://www.eum.go.kr/web/ar/lu/luLandDet.jsp?pnu=3611036033101120040&amp;isNoScr=script&amp;mode=search",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194.8</v>
      </c>
      <c r="V231" s="4" t="n">
        <v>412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세로한면(가)</t>
        </is>
      </c>
    </row>
    <row r="232">
      <c r="A232" s="3" t="inlineStr">
        <is>
          <t>연서면 봉암리 215-4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100000</v>
      </c>
      <c r="H232" s="4" t="n">
        <v>0</v>
      </c>
      <c r="I232" s="4" t="n">
        <v>269</v>
      </c>
      <c r="J232" s="4" t="n">
        <v>81</v>
      </c>
      <c r="K232" s="5" t="n">
        <v>1234.6</v>
      </c>
      <c r="L232" s="4" t="n">
        <v>327</v>
      </c>
      <c r="M232" s="4" t="n">
        <v>99</v>
      </c>
      <c r="N232" s="5" t="n">
        <v>1010.1</v>
      </c>
      <c r="O232" s="3" t="inlineStr">
        <is>
          <t>상가주택 매매</t>
        </is>
      </c>
      <c r="P232" s="6">
        <f>HYPERLINK("https://fin.land.naver.com/articles/2648813394", "매물Link")</f>
        <v/>
      </c>
      <c r="Q232" s="6">
        <f>HYPERLINK("https://map.naver.com/p/search/연서면 봉암리 215-4", "지도Link")</f>
        <v/>
      </c>
      <c r="R232" s="6">
        <f>HYPERLINK("http://www.eum.go.kr/web/ar/lu/luLandDet.jsp?pnu=3611036033102150004&amp;isNoScr=script&amp;mode=search", "토지이음")</f>
        <v/>
      </c>
      <c r="S232" s="3" t="inlineStr">
        <is>
          <t>세종대박</t>
        </is>
      </c>
      <c r="T232" s="4" t="n">
        <v>1</v>
      </c>
      <c r="U232" s="5" t="n">
        <v>321.4</v>
      </c>
      <c r="V232" s="4" t="n">
        <v>269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215-4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50</v>
      </c>
      <c r="I233" s="4" t="n">
        <v>0</v>
      </c>
      <c r="J233" s="4" t="n">
        <v>0</v>
      </c>
      <c r="K233" s="5" t="n">
        <v>0</v>
      </c>
      <c r="L233" s="4" t="n">
        <v>45</v>
      </c>
      <c r="M233" s="4" t="n">
        <v>14</v>
      </c>
      <c r="N233" s="5" t="n">
        <v>3.6</v>
      </c>
      <c r="O233" s="3" t="inlineStr">
        <is>
          <t>깨끗한 투룸</t>
        </is>
      </c>
      <c r="P233" s="6">
        <f>HYPERLINK("https://fin.land.naver.com/articles/2648813395", "매물Link")</f>
        <v/>
      </c>
      <c r="Q233" s="6">
        <f>HYPERLINK("https://map.naver.com/p/search/연서면 봉암리 215-4", "지도Link")</f>
        <v/>
      </c>
      <c r="R233" s="6">
        <f>HYPERLINK("http://www.eum.go.kr/web/ar/lu/luLandDet.jsp?pnu=3611036033102150004&amp;isNoScr=script&amp;mode=search", "토지이음")</f>
        <v/>
      </c>
      <c r="S233" s="3" t="inlineStr">
        <is>
          <t>세종대박</t>
        </is>
      </c>
      <c r="T233" s="4" t="n">
        <v>1</v>
      </c>
      <c r="U233" s="5" t="n">
        <v>321.4</v>
      </c>
      <c r="V233" s="4" t="n">
        <v>269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소로한면</t>
        </is>
      </c>
    </row>
    <row r="234">
      <c r="A234" s="3" t="inlineStr">
        <is>
          <t>연서면 봉암리 217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0</v>
      </c>
      <c r="J234" s="4" t="n">
        <v>0</v>
      </c>
      <c r="K234" s="5" t="n">
        <v>0</v>
      </c>
      <c r="L234" s="4" t="n">
        <v>23</v>
      </c>
      <c r="M234" s="4" t="n">
        <v>7</v>
      </c>
      <c r="N234" s="5" t="n">
        <v>4.3</v>
      </c>
      <c r="O234" s="3" t="inlineStr">
        <is>
          <t>nan</t>
        </is>
      </c>
      <c r="P234" s="6">
        <f>HYPERLINK("https://fin.land.naver.com/articles/2653013969", "매물Link")</f>
        <v/>
      </c>
      <c r="Q234" s="6">
        <f>HYPERLINK("https://map.naver.com/p/search/연서면 봉암리 217", "지도Link")</f>
        <v/>
      </c>
      <c r="R234" s="6">
        <f>HYPERLINK("http://www.eum.go.kr/web/ar/lu/luLandDet.jsp?pnu=3611036033102170000&amp;isNoScr=script&amp;mode=search", "토지이음")</f>
        <v/>
      </c>
      <c r="S234" s="3" t="inlineStr">
        <is>
          <t>엄지척</t>
        </is>
      </c>
      <c r="T234" s="4" t="n">
        <v>1</v>
      </c>
      <c r="U234" s="5" t="n">
        <v>172.4</v>
      </c>
      <c r="V234" s="4" t="n">
        <v>366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217-16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단독</t>
        </is>
      </c>
      <c r="F235" s="3" t="inlineStr">
        <is>
          <t>매매</t>
        </is>
      </c>
      <c r="G235" s="4" t="n">
        <v>85000</v>
      </c>
      <c r="H235" s="4" t="n">
        <v>0</v>
      </c>
      <c r="I235" s="4" t="n">
        <v>372</v>
      </c>
      <c r="J235" s="4" t="n">
        <v>113</v>
      </c>
      <c r="K235" s="5" t="n">
        <v>752.2</v>
      </c>
      <c r="L235" s="4" t="n">
        <v>483</v>
      </c>
      <c r="M235" s="4" t="n">
        <v>146</v>
      </c>
      <c r="N235" s="5" t="n">
        <v>582.2</v>
      </c>
      <c r="O235" s="3" t="inlineStr">
        <is>
          <t>스마트산업단지 예정 인근 다가구 통매매,중심상권 위치로 투자수익 기대</t>
        </is>
      </c>
      <c r="P235" s="6">
        <f>HYPERLINK("https://fin.land.naver.com/articles/2651025375", "매물Link")</f>
        <v/>
      </c>
      <c r="Q235" s="6">
        <f>HYPERLINK("https://map.naver.com/p/search/연서면 봉암리 217-16", "지도Link")</f>
        <v/>
      </c>
      <c r="R235" s="6">
        <f>HYPERLINK("http://www.eum.go.kr/web/ar/lu/luLandDet.jsp?pnu=3611036033102170016&amp;isNoScr=script&amp;mode=search", "토지이음")</f>
        <v/>
      </c>
      <c r="S235" s="3" t="inlineStr">
        <is>
          <t>연기더조은</t>
        </is>
      </c>
      <c r="T235" s="4" t="n">
        <v>1</v>
      </c>
      <c r="U235" s="5" t="n">
        <v>172.4</v>
      </c>
      <c r="V235" s="4" t="n">
        <v>372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234-36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34</v>
      </c>
      <c r="I236" s="4" t="n">
        <v>179</v>
      </c>
      <c r="J236" s="4" t="n">
        <v>54</v>
      </c>
      <c r="K236" s="5" t="n">
        <v>0.6</v>
      </c>
      <c r="L236" s="4" t="n">
        <v>33</v>
      </c>
      <c r="M236" s="4" t="n">
        <v>10</v>
      </c>
      <c r="N236" s="5" t="n">
        <v>3.4</v>
      </c>
      <c r="O236" s="3" t="inlineStr">
        <is>
          <t>인기매물  깔끔한 풀옵션방  정류장 1분  나성동 10분  산울동  5분</t>
        </is>
      </c>
      <c r="P236" s="6">
        <f>HYPERLINK("https://fin.land.naver.com/articles/2651732014", "매물Link")</f>
        <v/>
      </c>
      <c r="Q236" s="6">
        <f>HYPERLINK("https://map.naver.com/p/search/연서면 봉암리 234-36", "지도Link")</f>
        <v/>
      </c>
      <c r="R236" s="6">
        <f>HYPERLINK("http://www.eum.go.kr/web/ar/lu/luLandDet.jsp?pnu=3611036033102340036&amp;isNoScr=script&amp;mode=search",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172.4</v>
      </c>
      <c r="V236" s="4" t="n">
        <v>363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234-37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24</v>
      </c>
      <c r="J237" s="4" t="n">
        <v>7</v>
      </c>
      <c r="K237" s="5" t="n">
        <v>5</v>
      </c>
      <c r="L237" s="4" t="n">
        <v>24</v>
      </c>
      <c r="M237" s="4" t="n">
        <v>7</v>
      </c>
      <c r="N237" s="5" t="n">
        <v>5</v>
      </c>
      <c r="O237" s="3" t="inlineStr">
        <is>
          <t>봉암리 1번국도 옆 교통좋고 깨끗한 원룸. 즉시입주</t>
        </is>
      </c>
      <c r="P237" s="6">
        <f>HYPERLINK("https://fin.land.naver.com/articles/2652253099", "매물Link")</f>
        <v/>
      </c>
      <c r="Q237" s="6">
        <f>HYPERLINK("https://map.naver.com/p/search/연서면 봉암리 234-37", "지도Link")</f>
        <v/>
      </c>
      <c r="R237" s="6">
        <f>HYPERLINK("http://www.eum.go.kr/web/ar/lu/luLandDet.jsp?pnu=3611036033102340037&amp;isNoScr=script&amp;mode=search", "토지이음")</f>
        <v/>
      </c>
      <c r="S237" s="3" t="inlineStr">
        <is>
          <t>세종대장</t>
        </is>
      </c>
      <c r="T237" s="4" t="n">
        <v>1</v>
      </c>
      <c r="U237" s="5" t="n">
        <v>172.4</v>
      </c>
      <c r="V237" s="4" t="n">
        <v>356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234-37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36</v>
      </c>
      <c r="M238" s="4" t="n">
        <v>11</v>
      </c>
      <c r="N238" s="5" t="n">
        <v>4.1</v>
      </c>
      <c r="O238" s="3" t="inlineStr">
        <is>
          <t>인기좋은  풀옵션완비 1.5룸   깔끔한 주방분리  주차편함 해밀동 5분</t>
        </is>
      </c>
      <c r="P238" s="6">
        <f>HYPERLINK("https://fin.land.naver.com/articles/2652972750", "매물Link")</f>
        <v/>
      </c>
      <c r="Q238" s="6">
        <f>HYPERLINK("https://map.naver.com/p/search/연서면 봉암리 234-37", "지도Link")</f>
        <v/>
      </c>
      <c r="R238" s="6">
        <f>HYPERLINK("http://www.eum.go.kr/web/ar/lu/luLandDet.jsp?pnu=3611036033102340037&amp;isNoScr=script&amp;mode=search",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172.4</v>
      </c>
      <c r="V238" s="4" t="n">
        <v>356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연서면 봉암리 391-1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연립</t>
        </is>
      </c>
      <c r="F239" s="3" t="inlineStr">
        <is>
          <t>매매</t>
        </is>
      </c>
      <c r="G239" s="4" t="n">
        <v>8500</v>
      </c>
      <c r="H239" s="4" t="n">
        <v>0</v>
      </c>
      <c r="I239" s="4" t="n">
        <v>89</v>
      </c>
      <c r="J239" s="4" t="n">
        <v>27</v>
      </c>
      <c r="K239" s="5" t="n">
        <v>314.8</v>
      </c>
      <c r="L239" s="4" t="n">
        <v>82</v>
      </c>
      <c r="M239" s="4" t="n">
        <v>25</v>
      </c>
      <c r="N239" s="5" t="n">
        <v>340</v>
      </c>
      <c r="O239" s="3" t="inlineStr">
        <is>
          <t>6생활권과 8차선 확장된 1번국도와 근접.  BRT도로가 생겨 교통이 편</t>
        </is>
      </c>
      <c r="P239" s="6">
        <f>HYPERLINK("https://fin.land.naver.com/articles/2650807841", "매물Link")</f>
        <v/>
      </c>
      <c r="Q239" s="6">
        <f>HYPERLINK("https://map.naver.com/p/search/연서면 봉암리 391-1", "지도Link")</f>
        <v/>
      </c>
      <c r="R239" s="6">
        <f>HYPERLINK("http://www.eum.go.kr/web/ar/lu/luLandDet.jsp?pnu=3611036033103910001&amp;isNoScr=script&amp;mode=search", "토지이음")</f>
        <v/>
      </c>
      <c r="S239" s="3" t="inlineStr">
        <is>
          <t>꿈드림</t>
        </is>
      </c>
      <c r="T239" s="4" t="n">
        <v>1</v>
      </c>
      <c r="U239" s="5" t="n">
        <v>127.9</v>
      </c>
      <c r="V239" s="4" t="n">
        <v>410</v>
      </c>
      <c r="W239" s="3" t="inlineStr">
        <is>
          <t>농림지역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427-3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33000</v>
      </c>
      <c r="H240" s="4" t="n">
        <v>0</v>
      </c>
      <c r="I240" s="4" t="n">
        <v>420</v>
      </c>
      <c r="J240" s="4" t="n">
        <v>127</v>
      </c>
      <c r="K240" s="5" t="n">
        <v>259.8</v>
      </c>
      <c r="L240" s="4" t="n">
        <v>82</v>
      </c>
      <c r="M240" s="4" t="n">
        <v>25</v>
      </c>
      <c r="N240" s="5" t="n">
        <v>1320</v>
      </c>
      <c r="O240" s="3" t="inlineStr">
        <is>
          <t>계획관리 대지,세종시 단독주택,수도,전기,보일러,6생활권,1번국도 등.</t>
        </is>
      </c>
      <c r="P240" s="6">
        <f>HYPERLINK("https://fin.land.naver.com/articles/2648310447", "매물Link")</f>
        <v/>
      </c>
      <c r="Q240" s="6">
        <f>HYPERLINK("https://map.naver.com/p/search/연서면 봉암리 427-3", "지도Link")</f>
        <v/>
      </c>
      <c r="R240" s="6">
        <f>HYPERLINK("http://www.eum.go.kr/web/ar/lu/luLandDet.jsp?pnu=3611036033104270003&amp;isNoScr=script&amp;mode=search", "토지이음")</f>
        <v/>
      </c>
      <c r="S240" s="3" t="inlineStr">
        <is>
          <t>열린자이</t>
        </is>
      </c>
      <c r="T240" s="4" t="n">
        <v>1</v>
      </c>
      <c r="U240" s="5" t="n">
        <v>134</v>
      </c>
      <c r="V240" s="4" t="n">
        <v>343.4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54-12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월세</t>
        </is>
      </c>
      <c r="G241" s="4" t="n">
        <v>200</v>
      </c>
      <c r="H241" s="4" t="n">
        <v>35</v>
      </c>
      <c r="I241" s="4" t="n">
        <v>0</v>
      </c>
      <c r="J241" s="4" t="n">
        <v>0</v>
      </c>
      <c r="K241" s="5" t="n">
        <v>0</v>
      </c>
      <c r="L241" s="4" t="n">
        <v>66</v>
      </c>
      <c r="M241" s="4" t="n">
        <v>20</v>
      </c>
      <c r="N241" s="5" t="n">
        <v>1.8</v>
      </c>
      <c r="O241" s="3" t="inlineStr">
        <is>
          <t>봉암리 넓은 거실 방2칸 투룸 점포  큰길가 버스,마트인근</t>
        </is>
      </c>
      <c r="P241" s="6">
        <f>HYPERLINK("https://fin.land.naver.com/articles/2653010036", "매물Link")</f>
        <v/>
      </c>
      <c r="Q241" s="6">
        <f>HYPERLINK("https://map.naver.com/p/search/연서면 봉암리 54-12", "지도Link")</f>
        <v/>
      </c>
      <c r="R241" s="6">
        <f>HYPERLINK("http://www.eum.go.kr/web/ar/lu/luLandDet.jsp?pnu=3611036033100540012&amp;isNoScr=script&amp;mode=search",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281.7</v>
      </c>
      <c r="V241" s="4" t="n">
        <v>281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54-4</t>
        </is>
      </c>
      <c r="B242" s="3" t="inlineStr">
        <is>
          <t>계획관리지역</t>
        </is>
      </c>
      <c r="C242" s="3" t="inlineStr">
        <is>
          <t>임야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2.7</v>
      </c>
      <c r="O242" s="3" t="inlineStr">
        <is>
          <t>1룸단기가능 세종초근접 부강.오송출퇴근도 좋아요</t>
        </is>
      </c>
      <c r="P242" s="6">
        <f>HYPERLINK("https://fin.land.naver.com/articles/2648993843", "매물Link")</f>
        <v/>
      </c>
      <c r="Q242" s="6">
        <f>HYPERLINK("https://map.naver.com/p/search/연서면 봉암리 54-4", "지도Link")</f>
        <v/>
      </c>
      <c r="R242" s="6">
        <f>HYPERLINK("http://www.eum.go.kr/web/ar/lu/luLandDet.jsp?pnu=3611036033100540004&amp;isNoScr=script&amp;mode=search",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183</v>
      </c>
      <c r="V242" s="4" t="n">
        <v>359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54-76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30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4.3</v>
      </c>
      <c r="O243" s="3" t="inlineStr">
        <is>
          <t>인기좋은  풀옵션완비방   깔끔한 주방분리   바로입주  주차편함</t>
        </is>
      </c>
      <c r="P243" s="6">
        <f>HYPERLINK("https://fin.land.naver.com/articles/2648544810", "매물Link")</f>
        <v/>
      </c>
      <c r="Q243" s="6">
        <f>HYPERLINK("https://map.naver.com/p/search/연서면 봉암리 54-76", "지도Link")</f>
        <v/>
      </c>
      <c r="R243" s="6">
        <f>HYPERLINK("http://www.eum.go.kr/web/ar/lu/luLandDet.jsp?pnu=3611036033100540076&amp;isNoScr=script&amp;mode=search",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281.7</v>
      </c>
      <c r="V243" s="4" t="n">
        <v>321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소로한면</t>
        </is>
      </c>
    </row>
    <row r="244">
      <c r="A244" s="3" t="inlineStr">
        <is>
          <t>연서면 봉암리 54-89</t>
        </is>
      </c>
      <c r="B244" s="3" t="inlineStr">
        <is>
          <t>계획관리지역</t>
        </is>
      </c>
      <c r="C244" s="3" t="inlineStr">
        <is>
          <t>임야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360</v>
      </c>
      <c r="J244" s="4" t="n">
        <v>109</v>
      </c>
      <c r="K244" s="5" t="n">
        <v>917.4</v>
      </c>
      <c r="L244" s="4" t="n">
        <v>490</v>
      </c>
      <c r="M244" s="4" t="n">
        <v>148</v>
      </c>
      <c r="N244" s="5" t="n">
        <v>675.7</v>
      </c>
      <c r="O244" s="3" t="inlineStr">
        <is>
          <t>nan</t>
        </is>
      </c>
      <c r="P244" s="6">
        <f>HYPERLINK("https://fin.land.naver.com/articles/2652499431", "매물Link")</f>
        <v/>
      </c>
      <c r="Q244" s="6">
        <f>HYPERLINK("https://map.naver.com/p/search/연서면 봉암리 54-89", "지도Link")</f>
        <v/>
      </c>
      <c r="R244" s="6">
        <f>HYPERLINK("http://www.eum.go.kr/web/ar/lu/luLandDet.jsp?pnu=3611036033100540089&amp;isNoScr=script&amp;mode=search",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196.8</v>
      </c>
      <c r="V244" s="4" t="n">
        <v>360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54-89</t>
        </is>
      </c>
      <c r="B245" s="3" t="inlineStr">
        <is>
          <t>계획관리지역</t>
        </is>
      </c>
      <c r="C245" s="3" t="inlineStr">
        <is>
          <t>임야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359</v>
      </c>
      <c r="J245" s="4" t="n">
        <v>109</v>
      </c>
      <c r="K245" s="5" t="n">
        <v>917.4</v>
      </c>
      <c r="L245" s="4" t="n">
        <v>490</v>
      </c>
      <c r="M245" s="4" t="n">
        <v>148</v>
      </c>
      <c r="N245" s="5" t="n">
        <v>675.7</v>
      </c>
      <c r="O245" s="3" t="inlineStr">
        <is>
          <t>세종시 인접  19실  수익형 다가구매매</t>
        </is>
      </c>
      <c r="P245" s="6">
        <f>HYPERLINK("https://fin.land.naver.com/articles/2653501119", "매물Link")</f>
        <v/>
      </c>
      <c r="Q245" s="6">
        <f>HYPERLINK("https://map.naver.com/p/search/연서면 봉암리 54-89", "지도Link")</f>
        <v/>
      </c>
      <c r="R245" s="6">
        <f>HYPERLINK("http://www.eum.go.kr/web/ar/lu/luLandDet.jsp?pnu=3611036033100540089&amp;isNoScr=script&amp;mode=search",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196.8</v>
      </c>
      <c r="V245" s="4" t="n">
        <v>360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557-2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30000</v>
      </c>
      <c r="H246" s="4" t="n">
        <v>0</v>
      </c>
      <c r="I246" s="4" t="n">
        <v>244</v>
      </c>
      <c r="J246" s="4" t="n">
        <v>74</v>
      </c>
      <c r="K246" s="5" t="n">
        <v>405.4</v>
      </c>
      <c r="L246" s="4" t="n">
        <v>84</v>
      </c>
      <c r="M246" s="4" t="n">
        <v>25</v>
      </c>
      <c r="N246" s="5" t="n">
        <v>1200</v>
      </c>
      <c r="O246" s="3" t="inlineStr">
        <is>
          <t>세종시 중심지역 스마산단 등 입주시 급부상 지역</t>
        </is>
      </c>
      <c r="P246" s="6">
        <f>HYPERLINK("https://fin.land.naver.com/articles/2653340050", "매물Link")</f>
        <v/>
      </c>
      <c r="Q246" s="6">
        <f>HYPERLINK("https://map.naver.com/p/search/연서면 봉암리 557-2", "지도Link")</f>
        <v/>
      </c>
      <c r="R246" s="6">
        <f>HYPERLINK("http://www.eum.go.kr/web/ar/lu/luLandDet.jsp?pnu=3611036033105570002&amp;isNoScr=script&amp;mode=search", "토지이음")</f>
        <v/>
      </c>
      <c r="S246" s="3" t="inlineStr">
        <is>
          <t>상상</t>
        </is>
      </c>
      <c r="T246" s="4" t="n">
        <v>1</v>
      </c>
      <c r="U246" s="5" t="n">
        <v>199.6</v>
      </c>
      <c r="V246" s="4" t="n">
        <v>244.3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58-4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100000</v>
      </c>
      <c r="H247" s="4" t="n">
        <v>0</v>
      </c>
      <c r="I247" s="4" t="n">
        <v>435</v>
      </c>
      <c r="J247" s="4" t="n">
        <v>132</v>
      </c>
      <c r="K247" s="5" t="n">
        <v>757.6</v>
      </c>
      <c r="L247" s="4" t="n">
        <v>434</v>
      </c>
      <c r="M247" s="4" t="n">
        <v>131</v>
      </c>
      <c r="N247" s="5" t="n">
        <v>763.4</v>
      </c>
      <c r="O247" s="3" t="inlineStr">
        <is>
          <t>nan</t>
        </is>
      </c>
      <c r="P247" s="6">
        <f>HYPERLINK("https://fin.land.naver.com/articles/2651371076", "매물Link")</f>
        <v/>
      </c>
      <c r="Q247" s="6">
        <f>HYPERLINK("https://map.naver.com/p/search/연서면 봉암리 58-4", "지도Link")</f>
        <v/>
      </c>
      <c r="R247" s="6">
        <f>HYPERLINK("http://www.eum.go.kr/web/ar/lu/luLandDet.jsp?pnu=3611036033100580004&amp;isNoScr=script&amp;mode=search",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58-5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105000</v>
      </c>
      <c r="H248" s="4" t="n">
        <v>0</v>
      </c>
      <c r="I248" s="4" t="n">
        <v>436</v>
      </c>
      <c r="J248" s="4" t="n">
        <v>132</v>
      </c>
      <c r="K248" s="5" t="n">
        <v>795.5</v>
      </c>
      <c r="L248" s="4" t="n">
        <v>434</v>
      </c>
      <c r="M248" s="4" t="n">
        <v>131</v>
      </c>
      <c r="N248" s="5" t="n">
        <v>801.5</v>
      </c>
      <c r="O248" s="3" t="inlineStr">
        <is>
          <t>일반원룸보다 큰방  18개,주차편리,도시가스 월세와 관리비 포함 284만</t>
        </is>
      </c>
      <c r="P248" s="6">
        <f>HYPERLINK("https://fin.land.naver.com/articles/2649699772", "매물Link")</f>
        <v/>
      </c>
      <c r="Q248" s="6">
        <f>HYPERLINK("https://map.naver.com/p/search/연서면 봉암리 58-5", "지도Link")</f>
        <v/>
      </c>
      <c r="R248" s="6">
        <f>HYPERLINK("http://www.eum.go.kr/web/ar/lu/luLandDet.jsp?pnu=3611036033100580005&amp;isNoScr=script&amp;mode=search", "토지이음")</f>
        <v/>
      </c>
      <c r="S248" s="3" t="inlineStr">
        <is>
          <t>동서남북</t>
        </is>
      </c>
      <c r="T248" s="4" t="n">
        <v>1</v>
      </c>
      <c r="U248" s="5" t="n">
        <v>196.8</v>
      </c>
      <c r="V248" s="4" t="n">
        <v>436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598-4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단기임대</t>
        </is>
      </c>
      <c r="G249" s="4" t="n">
        <v>100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26</v>
      </c>
      <c r="M249" s="4" t="n">
        <v>8</v>
      </c>
      <c r="N249" s="5" t="n">
        <v>12.5</v>
      </c>
      <c r="O249" s="3" t="inlineStr">
        <is>
          <t>큰방 현장숙소 단기가능 세종 부강 오송 근접</t>
        </is>
      </c>
      <c r="P249" s="6">
        <f>HYPERLINK("https://fin.land.naver.com/articles/2653034901", "매물Link")</f>
        <v/>
      </c>
      <c r="Q249" s="6">
        <f>HYPERLINK("https://map.naver.com/p/search/연서면 봉암리 598-4", "지도Link")</f>
        <v/>
      </c>
      <c r="R249" s="6">
        <f>HYPERLINK("http://www.eum.go.kr/web/ar/lu/luLandDet.jsp?pnu=3611036033105980004&amp;isNoScr=script&amp;mode=search",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199.6</v>
      </c>
      <c r="V249" s="4" t="n">
        <v>353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연서면 봉암리 620-25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전원주택</t>
        </is>
      </c>
      <c r="F250" s="3" t="inlineStr">
        <is>
          <t>월세</t>
        </is>
      </c>
      <c r="G250" s="4" t="n">
        <v>1000</v>
      </c>
      <c r="H250" s="4" t="n">
        <v>40</v>
      </c>
      <c r="I250" s="4" t="n">
        <v>397</v>
      </c>
      <c r="J250" s="4" t="n">
        <v>120</v>
      </c>
      <c r="K250" s="5" t="n">
        <v>0.3</v>
      </c>
      <c r="L250" s="4" t="n">
        <v>75</v>
      </c>
      <c r="M250" s="4" t="n">
        <v>23</v>
      </c>
      <c r="N250" s="5" t="n">
        <v>1.7</v>
      </c>
      <c r="O250" s="3" t="inlineStr">
        <is>
          <t>1번국도변 봉암리 네스트아파트앞 조용하고 텃빝에 있음.</t>
        </is>
      </c>
      <c r="P250" s="6">
        <f>HYPERLINK("https://fin.land.naver.com/articles/2648729436", "매물Link")</f>
        <v/>
      </c>
      <c r="Q250" s="6">
        <f>HYPERLINK("https://map.naver.com/p/search/연서면 봉암리 620-25", "지도Link")</f>
        <v/>
      </c>
      <c r="R250" s="6">
        <f>HYPERLINK("http://www.eum.go.kr/web/ar/lu/luLandDet.jsp?pnu=3611036033106200025&amp;isNoScr=script&amp;mode=search", "토지이음")</f>
        <v/>
      </c>
      <c r="S250" s="3" t="inlineStr">
        <is>
          <t>꿈드림</t>
        </is>
      </c>
      <c r="T250" s="4" t="n">
        <v>1</v>
      </c>
      <c r="U250" s="5" t="n">
        <v>144.4</v>
      </c>
      <c r="V250" s="4" t="n">
        <v>397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677-2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400000</v>
      </c>
      <c r="H251" s="4" t="n">
        <v>0</v>
      </c>
      <c r="I251" s="4" t="n">
        <v>655</v>
      </c>
      <c r="J251" s="4" t="n">
        <v>198</v>
      </c>
      <c r="K251" s="5" t="n">
        <v>2020.2</v>
      </c>
      <c r="L251" s="4" t="n">
        <v>253</v>
      </c>
      <c r="M251" s="4" t="n">
        <v>77</v>
      </c>
      <c r="N251" s="5" t="n">
        <v>5194.8</v>
      </c>
      <c r="O251" s="3" t="inlineStr">
        <is>
          <t>nan</t>
        </is>
      </c>
      <c r="P251" s="6">
        <f>HYPERLINK("https://fin.land.naver.com/articles/2651088122", "매물Link")</f>
        <v/>
      </c>
      <c r="Q251" s="6">
        <f>HYPERLINK("https://map.naver.com/p/search/연서면 봉암리 677-2", "지도Link")</f>
        <v/>
      </c>
      <c r="R251" s="6">
        <f>HYPERLINK("http://www.eum.go.kr/web/ar/lu/luLandDet.jsp?pnu=3611036033106770002&amp;isNoScr=script&amp;mode=search", "토지이음")</f>
        <v/>
      </c>
      <c r="S251" s="3" t="inlineStr">
        <is>
          <t>오송파라곤리치</t>
        </is>
      </c>
      <c r="T251" s="4" t="n">
        <v>1</v>
      </c>
      <c r="U251" s="5" t="n">
        <v>116.6</v>
      </c>
      <c r="V251" s="4" t="n">
        <v>655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4000</v>
      </c>
      <c r="H252" s="4" t="n">
        <v>40</v>
      </c>
      <c r="I252" s="4" t="n">
        <v>0</v>
      </c>
      <c r="J252" s="4" t="n">
        <v>0</v>
      </c>
      <c r="K252" s="5" t="n">
        <v>0</v>
      </c>
      <c r="L252" s="4" t="n">
        <v>43</v>
      </c>
      <c r="M252" s="4" t="n">
        <v>13</v>
      </c>
      <c r="N252" s="5" t="n">
        <v>3.1</v>
      </c>
      <c r="O252" s="3" t="inlineStr">
        <is>
          <t>인기짱  신축 풀옵션 2룸 심플하고 깔끔한방  엘베설치  넓은주차장</t>
        </is>
      </c>
      <c r="P252" s="6">
        <f>HYPERLINK("https://fin.land.naver.com/articles/2652750077",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190000</v>
      </c>
      <c r="H255" s="4" t="n">
        <v>0</v>
      </c>
      <c r="I255" s="4" t="n">
        <v>570</v>
      </c>
      <c r="J255" s="4" t="n">
        <v>172</v>
      </c>
      <c r="K255" s="5" t="n">
        <v>1104.7</v>
      </c>
      <c r="L255" s="4" t="n">
        <v>568</v>
      </c>
      <c r="M255" s="4" t="n">
        <v>172</v>
      </c>
      <c r="N255" s="5" t="n">
        <v>1104.7</v>
      </c>
      <c r="O255" s="3" t="inlineStr">
        <is>
          <t>신축다가구건물, 엘리베이터 1층 카페,23층 원룸,투룸,1.5룸으로구성</t>
        </is>
      </c>
      <c r="P255" s="6">
        <f>HYPERLINK("https://fin.land.naver.com/articles/2650625683",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봉암리 73-8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4000</v>
      </c>
      <c r="H256" s="4" t="n">
        <v>40</v>
      </c>
      <c r="I256" s="4" t="n">
        <v>60</v>
      </c>
      <c r="J256" s="4" t="n">
        <v>18</v>
      </c>
      <c r="K256" s="5" t="n">
        <v>2.2</v>
      </c>
      <c r="L256" s="4" t="n">
        <v>30</v>
      </c>
      <c r="M256" s="4" t="n">
        <v>9</v>
      </c>
      <c r="N256" s="5" t="n">
        <v>4.4</v>
      </c>
      <c r="O256" s="3" t="inlineStr">
        <is>
          <t>투룸,11월입주 조율가능,금액조율가능,전세도 가능9천만원풀옵션</t>
        </is>
      </c>
      <c r="P256" s="6">
        <f>HYPERLINK("https://fin.land.naver.com/articles/2652335755", "매물Link")</f>
        <v/>
      </c>
      <c r="Q256" s="6">
        <f>HYPERLINK("https://map.naver.com/p/search/연서면 봉암리 73-8", "지도Link")</f>
        <v/>
      </c>
      <c r="R256" s="6">
        <f>HYPERLINK("http://www.eum.go.kr/web/ar/lu/luLandDet.jsp?pnu=3611036033100730008&amp;isNoScr=script&amp;mode=search",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199.3</v>
      </c>
      <c r="V256" s="4" t="n">
        <v>570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자루형</t>
        </is>
      </c>
      <c r="AA256" s="3" t="inlineStr">
        <is>
          <t>소로한면</t>
        </is>
      </c>
    </row>
    <row r="257">
      <c r="A257" s="3" t="inlineStr">
        <is>
          <t>연서면 봉암리 73-8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190000</v>
      </c>
      <c r="H257" s="4" t="n">
        <v>0</v>
      </c>
      <c r="I257" s="4" t="n">
        <v>570</v>
      </c>
      <c r="J257" s="4" t="n">
        <v>172</v>
      </c>
      <c r="K257" s="5" t="n">
        <v>1104.7</v>
      </c>
      <c r="L257" s="4" t="n">
        <v>594</v>
      </c>
      <c r="M257" s="4" t="n">
        <v>180</v>
      </c>
      <c r="N257" s="5" t="n">
        <v>1055.6</v>
      </c>
      <c r="O257" s="3" t="inlineStr">
        <is>
          <t>신축다가구  가격조정가능 엘리베이터 와촌국가산업단지 인근</t>
        </is>
      </c>
      <c r="P257" s="6">
        <f>HYPERLINK("https://fin.land.naver.com/articles/2651059296", "매물Link")</f>
        <v/>
      </c>
      <c r="Q257" s="6">
        <f>HYPERLINK("https://map.naver.com/p/search/연서면 봉암리 73-8", "지도Link")</f>
        <v/>
      </c>
      <c r="R257" s="6">
        <f>HYPERLINK("http://www.eum.go.kr/web/ar/lu/luLandDet.jsp?pnu=3611036033100730008&amp;isNoScr=script&amp;mode=search", "토지이음")</f>
        <v/>
      </c>
      <c r="S257" s="3" t="inlineStr">
        <is>
          <t>그래그</t>
        </is>
      </c>
      <c r="T257" s="4" t="n">
        <v>1</v>
      </c>
      <c r="U257" s="5" t="n">
        <v>199.3</v>
      </c>
      <c r="V257" s="4" t="n">
        <v>570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자루형</t>
        </is>
      </c>
      <c r="AA257" s="3" t="inlineStr">
        <is>
          <t>소로한면</t>
        </is>
      </c>
    </row>
    <row r="258">
      <c r="A258" s="3" t="inlineStr">
        <is>
          <t>연서면 부동리 80-2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43000</v>
      </c>
      <c r="H258" s="4" t="n">
        <v>0</v>
      </c>
      <c r="I258" s="4" t="n">
        <v>507</v>
      </c>
      <c r="J258" s="4" t="n">
        <v>153</v>
      </c>
      <c r="K258" s="5" t="n">
        <v>281</v>
      </c>
      <c r="L258" s="4" t="n">
        <v>92</v>
      </c>
      <c r="M258" s="4" t="n">
        <v>28</v>
      </c>
      <c r="N258" s="5" t="n">
        <v>1535.7</v>
      </c>
      <c r="O258" s="3" t="inlineStr">
        <is>
          <t>세종 스마트국가산업단지 인근 단독주택 도로지분포함 저렴하게 일괄매매.</t>
        </is>
      </c>
      <c r="P258" s="6">
        <f>HYPERLINK("https://fin.land.naver.com/articles/2652233102", "매물Link")</f>
        <v/>
      </c>
      <c r="Q258" s="6">
        <f>HYPERLINK("https://map.naver.com/p/search/연서면 부동리 80-2", "지도Link")</f>
        <v/>
      </c>
      <c r="R258" s="6">
        <f>HYPERLINK("http://www.eum.go.kr/web/ar/lu/luLandDet.jsp?pnu=3611036032100800002&amp;isNoScr=script&amp;mode=search", "토지이음")</f>
        <v/>
      </c>
      <c r="S258" s="3" t="inlineStr">
        <is>
          <t>세종대장</t>
        </is>
      </c>
      <c r="T258" s="4" t="n">
        <v>1</v>
      </c>
      <c r="U258" s="5" t="n">
        <v>86.40000000000001</v>
      </c>
      <c r="V258" s="4" t="n">
        <v>507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부동리 90-1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592</v>
      </c>
      <c r="J259" s="4" t="n">
        <v>179</v>
      </c>
      <c r="K259" s="5" t="n">
        <v>363.1</v>
      </c>
      <c r="L259" s="4" t="n">
        <v>95</v>
      </c>
      <c r="M259" s="4" t="n">
        <v>29</v>
      </c>
      <c r="N259" s="5" t="n">
        <v>2241.4</v>
      </c>
      <c r="O259" s="3" t="inlineStr">
        <is>
          <t>(할인)세종국가산업단지 인근의 멋진집</t>
        </is>
      </c>
      <c r="P259" s="6">
        <f>HYPERLINK("https://fin.land.naver.com/articles/2651943869", "매물Link")</f>
        <v/>
      </c>
      <c r="Q259" s="6">
        <f>HYPERLINK("https://map.naver.com/p/search/연서면 부동리 90-1", "지도Link")</f>
        <v/>
      </c>
      <c r="R259" s="6">
        <f>HYPERLINK("http://www.eum.go.kr/web/ar/lu/luLandDet.jsp?pnu=3611036032100900001&amp;isNoScr=script&amp;mode=search", "토지이음")</f>
        <v/>
      </c>
      <c r="S259" s="3" t="inlineStr">
        <is>
          <t>용궁</t>
        </is>
      </c>
      <c r="T259" s="4" t="n">
        <v>1</v>
      </c>
      <c r="U259" s="5" t="n">
        <v>92.5</v>
      </c>
      <c r="V259" s="4" t="n">
        <v>592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성제리 120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전원주택</t>
        </is>
      </c>
      <c r="F260" s="3" t="inlineStr">
        <is>
          <t>매매</t>
        </is>
      </c>
      <c r="G260" s="4" t="n">
        <v>112000</v>
      </c>
      <c r="H260" s="4" t="n">
        <v>0</v>
      </c>
      <c r="I260" s="4" t="n">
        <v>662</v>
      </c>
      <c r="J260" s="4" t="n">
        <v>200</v>
      </c>
      <c r="K260" s="5" t="n">
        <v>560</v>
      </c>
      <c r="L260" s="4" t="n">
        <v>128</v>
      </c>
      <c r="M260" s="4" t="n">
        <v>39</v>
      </c>
      <c r="N260" s="5" t="n">
        <v>2871.8</v>
      </c>
      <c r="O260" s="3" t="inlineStr">
        <is>
          <t>전원주택과 붙어있는 계획관리지역 전1193㎡ 를 포함한 일괄매매 협의입주</t>
        </is>
      </c>
      <c r="P260" s="6">
        <f>HYPERLINK("https://fin.land.naver.com/articles/2650977179", "매물Link")</f>
        <v/>
      </c>
      <c r="Q260" s="6">
        <f>HYPERLINK("https://map.naver.com/p/search/연서면 성제리 120", "지도Link")</f>
        <v/>
      </c>
      <c r="R260" s="6">
        <f>HYPERLINK("http://www.eum.go.kr/web/ar/lu/luLandDet.jsp?pnu=3611036023101200000&amp;isNoScr=script&amp;mode=search", "토지이음")</f>
        <v/>
      </c>
      <c r="S260" s="3" t="inlineStr">
        <is>
          <t>정보은행</t>
        </is>
      </c>
      <c r="T260" s="4" t="n">
        <v>1</v>
      </c>
      <c r="U260" s="5" t="n">
        <v>95.09999999999999</v>
      </c>
      <c r="V260" s="4" t="n">
        <v>662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성제리 150-8</t>
        </is>
      </c>
      <c r="B261" s="3" t="inlineStr">
        <is>
          <t>농림지역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33000</v>
      </c>
      <c r="H261" s="4" t="n">
        <v>0</v>
      </c>
      <c r="I261" s="4" t="n">
        <v>493</v>
      </c>
      <c r="J261" s="4" t="n">
        <v>149</v>
      </c>
      <c r="K261" s="5" t="n">
        <v>221.5</v>
      </c>
      <c r="L261" s="4" t="n">
        <v>234</v>
      </c>
      <c r="M261" s="4" t="n">
        <v>71</v>
      </c>
      <c r="N261" s="5" t="n">
        <v>464.8</v>
      </c>
      <c r="O261" s="3" t="inlineStr">
        <is>
          <t>급매, 조율가능, 2층 단독주택, 정남향, 조용한 전원주택 생활 가능</t>
        </is>
      </c>
      <c r="P261" s="6">
        <f>HYPERLINK("https://fin.land.naver.com/articles/2648134874", "매물Link")</f>
        <v/>
      </c>
      <c r="Q261" s="6">
        <f>HYPERLINK("https://map.naver.com/p/search/연서면 성제리 150-8", "지도Link")</f>
        <v/>
      </c>
      <c r="R261" s="6">
        <f>HYPERLINK("http://www.eum.go.kr/web/ar/lu/luLandDet.jsp?pnu=3611036023101500008&amp;isNoScr=script&amp;mode=search",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38.2</v>
      </c>
      <c r="V261" s="4" t="n">
        <v>493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연서면 성제리 150-8</t>
        </is>
      </c>
      <c r="B262" s="3" t="inlineStr">
        <is>
          <t>농림지역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33000</v>
      </c>
      <c r="H262" s="4" t="n">
        <v>0</v>
      </c>
      <c r="I262" s="4" t="n">
        <v>493</v>
      </c>
      <c r="J262" s="4" t="n">
        <v>149</v>
      </c>
      <c r="K262" s="5" t="n">
        <v>221.5</v>
      </c>
      <c r="L262" s="4" t="n">
        <v>234</v>
      </c>
      <c r="M262" s="4" t="n">
        <v>71</v>
      </c>
      <c r="N262" s="5" t="n">
        <v>464.8</v>
      </c>
      <c r="O262" s="3" t="inlineStr">
        <is>
          <t>급매세종 생활권 5분 탁 트인 조망과 햇살을 품은 프리미엄 2층단독</t>
        </is>
      </c>
      <c r="P262" s="6">
        <f>HYPERLINK("https://fin.land.naver.com/articles/2648137484", "매물Link")</f>
        <v/>
      </c>
      <c r="Q262" s="6">
        <f>HYPERLINK("https://map.naver.com/p/search/연서면 성제리 150-8", "지도Link")</f>
        <v/>
      </c>
      <c r="R262" s="6">
        <f>HYPERLINK("http://www.eum.go.kr/web/ar/lu/luLandDet.jsp?pnu=3611036023101500008&amp;isNoScr=script&amp;mode=search", "토지이음")</f>
        <v/>
      </c>
      <c r="S262" s="3" t="inlineStr">
        <is>
          <t>엄지척</t>
        </is>
      </c>
      <c r="T262" s="4" t="n">
        <v>1</v>
      </c>
      <c r="U262" s="5" t="n">
        <v>38.2</v>
      </c>
      <c r="V262" s="4" t="n">
        <v>493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연서면 성제리 178-1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25000</v>
      </c>
      <c r="H263" s="4" t="n">
        <v>0</v>
      </c>
      <c r="I263" s="4" t="n">
        <v>399</v>
      </c>
      <c r="J263" s="4" t="n">
        <v>121</v>
      </c>
      <c r="K263" s="5" t="n">
        <v>206.6</v>
      </c>
      <c r="L263" s="4" t="n">
        <v>109</v>
      </c>
      <c r="M263" s="4" t="n">
        <v>33</v>
      </c>
      <c r="N263" s="5" t="n">
        <v>757.6</v>
      </c>
      <c r="O263" s="3" t="inlineStr">
        <is>
          <t>성제리 주택지</t>
        </is>
      </c>
      <c r="P263" s="6">
        <f>HYPERLINK("https://fin.land.naver.com/articles/2648746220", "매물Link")</f>
        <v/>
      </c>
      <c r="Q263" s="6">
        <f>HYPERLINK("https://map.naver.com/p/search/연서면 성제리 178-1", "지도Link")</f>
        <v/>
      </c>
      <c r="R263" s="6">
        <f>HYPERLINK("http://www.eum.go.kr/web/ar/lu/luLandDet.jsp?pnu=3611036023101780001&amp;isNoScr=script&amp;mode=search", "토지이음")</f>
        <v/>
      </c>
      <c r="S263" s="3" t="inlineStr">
        <is>
          <t>KB세종</t>
        </is>
      </c>
      <c r="T263" s="4" t="n">
        <v>1</v>
      </c>
      <c r="U263" s="5" t="n">
        <v>76.59999999999999</v>
      </c>
      <c r="V263" s="4" t="n">
        <v>399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세로한면(불)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깨끗한 2층전원주택,주택바로뒤가 연서중학교 위치,3층다락방은 서비스면적</t>
        </is>
      </c>
      <c r="P264" s="6">
        <f>HYPERLINK("https://fin.land.naver.com/articles/2651289585",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깨끗한 2층전원주택,주택바로뒤가 연서중학교 위치,3층다락방은 서비스면적</t>
        </is>
      </c>
      <c r="P265" s="6">
        <f>HYPERLINK("https://fin.land.naver.com/articles/2652036207",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담뜰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깨끗한 2층전원주택,주택바로뒤가 연서중학교 위치,3층다락방은 서비스면적</t>
        </is>
      </c>
      <c r="P266" s="6">
        <f>HYPERLINK("https://fin.land.naver.com/articles/2652036901",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105-8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39000</v>
      </c>
      <c r="H267" s="4" t="n">
        <v>0</v>
      </c>
      <c r="I267" s="4" t="n">
        <v>327</v>
      </c>
      <c r="J267" s="4" t="n">
        <v>99</v>
      </c>
      <c r="K267" s="5" t="n">
        <v>393.9</v>
      </c>
      <c r="L267" s="4" t="n">
        <v>168</v>
      </c>
      <c r="M267" s="4" t="n">
        <v>51</v>
      </c>
      <c r="N267" s="5" t="n">
        <v>764.7</v>
      </c>
      <c r="O267" s="3" t="inlineStr">
        <is>
          <t>깔끔한 전원주택</t>
        </is>
      </c>
      <c r="P267" s="6">
        <f>HYPERLINK("https://fin.land.naver.com/articles/2652250435", "매물Link")</f>
        <v/>
      </c>
      <c r="Q267" s="6">
        <f>HYPERLINK("https://map.naver.com/p/search/연서면 신대리 105-8", "지도Link")</f>
        <v/>
      </c>
      <c r="R267" s="6">
        <f>HYPERLINK("http://www.eum.go.kr/web/ar/lu/luLandDet.jsp?pnu=3611036029101050008&amp;isNoScr=script&amp;mode=search", "토지이음")</f>
        <v/>
      </c>
      <c r="S267" s="3" t="inlineStr">
        <is>
          <t>제일</t>
        </is>
      </c>
      <c r="T267" s="4" t="n">
        <v>1</v>
      </c>
      <c r="U267" s="5" t="n">
        <v>91.59999999999999</v>
      </c>
      <c r="V267" s="4" t="n">
        <v>327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전원주택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깔끔한 전원주택</t>
        </is>
      </c>
      <c r="P268" s="6">
        <f>HYPERLINK("https://fin.land.naver.com/articles/2652284182",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제일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556-1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31000</v>
      </c>
      <c r="H271" s="4" t="n">
        <v>0</v>
      </c>
      <c r="I271" s="4" t="n">
        <v>373</v>
      </c>
      <c r="J271" s="4" t="n">
        <v>113</v>
      </c>
      <c r="K271" s="5" t="n">
        <v>274.3</v>
      </c>
      <c r="L271" s="4" t="n">
        <v>72</v>
      </c>
      <c r="M271" s="4" t="n">
        <v>22</v>
      </c>
      <c r="N271" s="5" t="n">
        <v>1409.1</v>
      </c>
      <c r="O271" s="3" t="inlineStr">
        <is>
          <t>태양광 설치된 1층 단독주택, 즉시입주 가능한 귀촌형 전원주택</t>
        </is>
      </c>
      <c r="P271" s="6">
        <f>HYPERLINK("https://fin.land.naver.com/articles/2650903513", "매물Link")</f>
        <v/>
      </c>
      <c r="Q271" s="6">
        <f>HYPERLINK("https://map.naver.com/p/search/연서면 신대리 556-1", "지도Link")</f>
        <v/>
      </c>
      <c r="R271" s="6">
        <f>HYPERLINK("http://www.eum.go.kr/web/ar/lu/luLandDet.jsp?pnu=3611036029105560001&amp;isNoScr=script&amp;mode=search", "토지이음")</f>
        <v/>
      </c>
      <c r="S271" s="3" t="inlineStr">
        <is>
          <t>세종소담황금</t>
        </is>
      </c>
      <c r="T271" s="4" t="n">
        <v>1</v>
      </c>
      <c r="U271" s="5" t="n">
        <v>71.90000000000001</v>
      </c>
      <c r="V271" s="4" t="n">
        <v>373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쌍류리 257-2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</v>
      </c>
      <c r="H272" s="4" t="n">
        <v>0</v>
      </c>
      <c r="I272" s="4" t="n">
        <v>313</v>
      </c>
      <c r="J272" s="4" t="n">
        <v>95</v>
      </c>
      <c r="K272" s="5" t="n">
        <v>421.1</v>
      </c>
      <c r="L272" s="4" t="n">
        <v>127</v>
      </c>
      <c r="M272" s="4" t="n">
        <v>38</v>
      </c>
      <c r="N272" s="5" t="n">
        <v>1052.6</v>
      </c>
      <c r="O272" s="3" t="inlineStr">
        <is>
          <t>고복저수지 인근 단독주택</t>
        </is>
      </c>
      <c r="P272" s="6">
        <f>HYPERLINK("https://fin.land.naver.com/articles/2651277336", "매물Link")</f>
        <v/>
      </c>
      <c r="Q272" s="6">
        <f>HYPERLINK("https://map.naver.com/p/search/연서면 쌍류리 257-2", "지도Link")</f>
        <v/>
      </c>
      <c r="R272" s="6">
        <f>HYPERLINK("http://www.eum.go.kr/web/ar/lu/luLandDet.jsp?pnu=3611036026102570002&amp;isNoScr=script&amp;mode=search", "토지이음")</f>
        <v/>
      </c>
      <c r="S272" s="3" t="inlineStr">
        <is>
          <t>강아지풀</t>
        </is>
      </c>
      <c r="T272" s="4" t="n">
        <v>1</v>
      </c>
      <c r="U272" s="5" t="n">
        <v>59.5</v>
      </c>
      <c r="V272" s="4" t="n">
        <v>717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쌍전리 159-2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624</v>
      </c>
      <c r="J273" s="4" t="n">
        <v>189</v>
      </c>
      <c r="K273" s="5" t="n">
        <v>291</v>
      </c>
      <c r="L273" s="4" t="n">
        <v>140</v>
      </c>
      <c r="M273" s="4" t="n">
        <v>42</v>
      </c>
      <c r="N273" s="5" t="n">
        <v>1309.5</v>
      </c>
      <c r="O273" s="3" t="inlineStr">
        <is>
          <t>급매. 쌍전리 뷰 좋고 관리 잘 된 2층 단독주택. 입주일 협의.</t>
        </is>
      </c>
      <c r="P273" s="6">
        <f>HYPERLINK("https://fin.land.naver.com/articles/2648074660", "매물Link")</f>
        <v/>
      </c>
      <c r="Q273" s="6">
        <f>HYPERLINK("https://map.naver.com/p/search/연서면 쌍전리 159-2", "지도Link")</f>
        <v/>
      </c>
      <c r="R273" s="6">
        <f>HYPERLINK("http://www.eum.go.kr/web/ar/lu/luLandDet.jsp?pnu=3611036022101590002&amp;isNoScr=script&amp;mode=search", "토지이음")</f>
        <v/>
      </c>
      <c r="S273" s="3" t="inlineStr">
        <is>
          <t>세종대장</t>
        </is>
      </c>
      <c r="T273" s="4" t="n">
        <v>1</v>
      </c>
      <c r="U273" s="5" t="n">
        <v>111.2</v>
      </c>
      <c r="V273" s="4" t="n">
        <v>635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쌍전리 188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43000</v>
      </c>
      <c r="H274" s="4" t="n">
        <v>0</v>
      </c>
      <c r="I274" s="4" t="n">
        <v>421</v>
      </c>
      <c r="J274" s="4" t="n">
        <v>127</v>
      </c>
      <c r="K274" s="5" t="n">
        <v>338.6</v>
      </c>
      <c r="L274" s="4" t="n">
        <v>70</v>
      </c>
      <c r="M274" s="4" t="n">
        <v>21</v>
      </c>
      <c r="N274" s="5" t="n">
        <v>2047.6</v>
      </c>
      <c r="O274" s="3" t="inlineStr">
        <is>
          <t>세종 스마트산단 봉암IC 호재 I 뷰 좋은 대지 넓은 전원주택</t>
        </is>
      </c>
      <c r="P274" s="6">
        <f>HYPERLINK("https://fin.land.naver.com/articles/2650325536", "매물Link")</f>
        <v/>
      </c>
      <c r="Q274" s="6">
        <f>HYPERLINK("https://map.naver.com/p/search/연서면 쌍전리 188", "지도Link")</f>
        <v/>
      </c>
      <c r="R274" s="6">
        <f>HYPERLINK("http://www.eum.go.kr/web/ar/lu/luLandDet.jsp?pnu=3611036022101880000&amp;isNoScr=script&amp;mode=search", "토지이음")</f>
        <v/>
      </c>
      <c r="S274" s="3" t="inlineStr">
        <is>
          <t>세종신한</t>
        </is>
      </c>
      <c r="T274" s="4" t="n">
        <v>1</v>
      </c>
      <c r="U274" s="5" t="n">
        <v>111.2</v>
      </c>
      <c r="V274" s="4" t="n">
        <v>421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쌍전리 188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42000</v>
      </c>
      <c r="H275" s="4" t="n">
        <v>0</v>
      </c>
      <c r="I275" s="4" t="n">
        <v>421</v>
      </c>
      <c r="J275" s="4" t="n">
        <v>127</v>
      </c>
      <c r="K275" s="5" t="n">
        <v>330.7</v>
      </c>
      <c r="L275" s="4" t="n">
        <v>70</v>
      </c>
      <c r="M275" s="4" t="n">
        <v>21</v>
      </c>
      <c r="N275" s="5" t="n">
        <v>2000</v>
      </c>
      <c r="O275" s="3" t="inlineStr">
        <is>
          <t>방2개, 화장실1개, 다락있음, 뷰 좋은 단독</t>
        </is>
      </c>
      <c r="P275" s="6">
        <f>HYPERLINK("https://fin.land.naver.com/articles/2648842901", "매물Link")</f>
        <v/>
      </c>
      <c r="Q275" s="6">
        <f>HYPERLINK("https://map.naver.com/p/search/연서면 쌍전리 188", "지도Link")</f>
        <v/>
      </c>
      <c r="R275" s="6">
        <f>HYPERLINK("http://www.eum.go.kr/web/ar/lu/luLandDet.jsp?pnu=3611036022101880000&amp;isNoScr=script&amp;mode=search", "토지이음")</f>
        <v/>
      </c>
      <c r="S275" s="3" t="inlineStr">
        <is>
          <t>세종무지개</t>
        </is>
      </c>
      <c r="T275" s="4" t="n">
        <v>1</v>
      </c>
      <c r="U275" s="5" t="n">
        <v>111.2</v>
      </c>
      <c r="V275" s="4" t="n">
        <v>421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와촌리 1218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71000</v>
      </c>
      <c r="H276" s="4" t="n">
        <v>0</v>
      </c>
      <c r="I276" s="4" t="n">
        <v>877</v>
      </c>
      <c r="J276" s="4" t="n">
        <v>265</v>
      </c>
      <c r="K276" s="5" t="n">
        <v>267.9</v>
      </c>
      <c r="L276" s="4" t="n">
        <v>96</v>
      </c>
      <c r="M276" s="4" t="n">
        <v>29</v>
      </c>
      <c r="N276" s="5" t="n">
        <v>2448.3</v>
      </c>
      <c r="O276" s="3" t="inlineStr">
        <is>
          <t>최근 리모델링 ,  입주 가능 , 국가산업단지 인근,투자가치높은지역</t>
        </is>
      </c>
      <c r="P276" s="6">
        <f>HYPERLINK("https://fin.land.naver.com/articles/2652359824", "매물Link")</f>
        <v/>
      </c>
      <c r="Q276" s="6">
        <f>HYPERLINK("https://map.naver.com/p/search/연서면 와촌리 1218", "지도Link")</f>
        <v/>
      </c>
      <c r="R276" s="6">
        <f>HYPERLINK("http://www.eum.go.kr/web/ar/lu/luLandDet.jsp?pnu=3611036031112180000&amp;isNoScr=script&amp;mode=search", "토지이음")</f>
        <v/>
      </c>
      <c r="S276" s="3" t="inlineStr">
        <is>
          <t>세종특별시</t>
        </is>
      </c>
      <c r="T276" s="4" t="n">
        <v>1</v>
      </c>
      <c r="U276" s="5" t="n">
        <v>90.3</v>
      </c>
      <c r="V276" s="4" t="n">
        <v>745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연서면 와촌리 1218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전원주택</t>
        </is>
      </c>
      <c r="F277" s="3" t="inlineStr">
        <is>
          <t>매매</t>
        </is>
      </c>
      <c r="G277" s="4" t="n">
        <v>70000</v>
      </c>
      <c r="H277" s="4" t="n">
        <v>0</v>
      </c>
      <c r="I277" s="4" t="n">
        <v>766</v>
      </c>
      <c r="J277" s="4" t="n">
        <v>232</v>
      </c>
      <c r="K277" s="5" t="n">
        <v>301.7</v>
      </c>
      <c r="L277" s="4" t="n">
        <v>96</v>
      </c>
      <c r="M277" s="4" t="n">
        <v>29</v>
      </c>
      <c r="N277" s="5" t="n">
        <v>2413.8</v>
      </c>
      <c r="O277" s="3" t="inlineStr">
        <is>
          <t>올리모델링. 뒷마당,앞마당 창고 및 저온저장고. 야외수도2. 지하수등.</t>
        </is>
      </c>
      <c r="P277" s="6">
        <f>HYPERLINK("https://fin.land.naver.com/articles/2651423312", "매물Link")</f>
        <v/>
      </c>
      <c r="Q277" s="6">
        <f>HYPERLINK("https://map.naver.com/p/search/연서면 와촌리 1218", "지도Link")</f>
        <v/>
      </c>
      <c r="R277" s="6">
        <f>HYPERLINK("http://www.eum.go.kr/web/ar/lu/luLandDet.jsp?pnu=3611036031112180000&amp;isNoScr=script&amp;mode=search", "토지이음")</f>
        <v/>
      </c>
      <c r="S277" s="3" t="inlineStr">
        <is>
          <t>세종소담114</t>
        </is>
      </c>
      <c r="T277" s="4" t="n">
        <v>1</v>
      </c>
      <c r="U277" s="5" t="n">
        <v>90.3</v>
      </c>
      <c r="V277" s="4" t="n">
        <v>745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와촌리 791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496</v>
      </c>
      <c r="J278" s="4" t="n">
        <v>150</v>
      </c>
      <c r="K278" s="5" t="n">
        <v>433.3</v>
      </c>
      <c r="L278" s="4" t="n">
        <v>91</v>
      </c>
      <c r="M278" s="4" t="n">
        <v>28</v>
      </c>
      <c r="N278" s="5" t="n">
        <v>2321.4</v>
      </c>
      <c r="O278" s="3" t="inlineStr">
        <is>
          <t>신축 한옥주택황토방 즉시입주협의</t>
        </is>
      </c>
      <c r="P278" s="6">
        <f>HYPERLINK("https://fin.land.naver.com/articles/2650856623", "매물Link")</f>
        <v/>
      </c>
      <c r="Q278" s="6">
        <f>HYPERLINK("https://map.naver.com/p/search/연서면 와촌리 791", "지도Link")</f>
        <v/>
      </c>
      <c r="R278" s="6">
        <f>HYPERLINK("http://www.eum.go.kr/web/ar/lu/luLandDet.jsp?pnu=3611036031107910000&amp;isNoScr=script&amp;mode=search", "토지이음")</f>
        <v/>
      </c>
      <c r="S278" s="3" t="inlineStr">
        <is>
          <t>세종대박</t>
        </is>
      </c>
      <c r="T278" s="4" t="n">
        <v>1</v>
      </c>
      <c r="U278" s="5" t="n">
        <v>122</v>
      </c>
      <c r="V278" s="4" t="n">
        <v>496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와촌리 900-5</t>
        </is>
      </c>
      <c r="B279" s="3" t="inlineStr">
        <is>
          <t>계획관리지역</t>
        </is>
      </c>
      <c r="C279" s="3" t="inlineStr">
        <is>
          <t>종교용지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289000</v>
      </c>
      <c r="H279" s="4" t="n">
        <v>0</v>
      </c>
      <c r="I279" s="4" t="n">
        <v>1597</v>
      </c>
      <c r="J279" s="4" t="n">
        <v>483</v>
      </c>
      <c r="K279" s="5" t="n">
        <v>598.3</v>
      </c>
      <c r="L279" s="4" t="n">
        <v>314</v>
      </c>
      <c r="M279" s="4" t="n">
        <v>95</v>
      </c>
      <c r="N279" s="5" t="n">
        <v>3042.1</v>
      </c>
      <c r="O279" s="3" t="inlineStr">
        <is>
          <t>스마트시티도시 인근. 도로변토지.계획관리.취락지구. 건폐율,용적률완화</t>
        </is>
      </c>
      <c r="P279" s="6">
        <f>HYPERLINK("https://fin.land.naver.com/articles/2650516167", "매물Link")</f>
        <v/>
      </c>
      <c r="Q279" s="6">
        <f>HYPERLINK("https://map.naver.com/p/search/연서면 와촌리 900-5", "지도Link")</f>
        <v/>
      </c>
      <c r="R279" s="6">
        <f>HYPERLINK("http://www.eum.go.kr/web/ar/lu/luLandDet.jsp?pnu=3611036031109000005&amp;isNoScr=script&amp;mode=search", "토지이음")</f>
        <v/>
      </c>
      <c r="S279" s="3" t="inlineStr">
        <is>
          <t>양평땅진이서</t>
        </is>
      </c>
      <c r="T279" s="4" t="n">
        <v>1</v>
      </c>
      <c r="U279" s="5" t="n">
        <v>134.5</v>
      </c>
      <c r="V279" s="4" t="n">
        <v>555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연서면 월하리 1008-5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전세</t>
        </is>
      </c>
      <c r="G280" s="4" t="n">
        <v>17000</v>
      </c>
      <c r="H280" s="4" t="n">
        <v>0</v>
      </c>
      <c r="I280" s="4" t="n">
        <v>84</v>
      </c>
      <c r="J280" s="4" t="n">
        <v>25</v>
      </c>
      <c r="K280" s="5" t="n">
        <v>680</v>
      </c>
      <c r="L280" s="4" t="n">
        <v>84</v>
      </c>
      <c r="M280" s="4" t="n">
        <v>25</v>
      </c>
      <c r="N280" s="5" t="n">
        <v>680</v>
      </c>
      <c r="O280" s="3" t="inlineStr">
        <is>
          <t>nan</t>
        </is>
      </c>
      <c r="P280" s="6">
        <f>HYPERLINK("https://fin.land.naver.com/articles/2649752267", "매물Link")</f>
        <v/>
      </c>
      <c r="Q280" s="6">
        <f>HYPERLINK("https://map.naver.com/p/search/연서면 월하리 1008-5", "지도Link")</f>
        <v/>
      </c>
      <c r="R280" s="6">
        <f>HYPERLINK("http://www.eum.go.kr/web/ar/lu/luLandDet.jsp?pnu=3611036021110080005&amp;isNoScr=script&amp;mode=search", "토지이음")</f>
        <v/>
      </c>
      <c r="S280" s="3" t="inlineStr">
        <is>
          <t>뉴스카이</t>
        </is>
      </c>
      <c r="T280" s="4" t="n">
        <v>1</v>
      </c>
      <c r="U280" s="5" t="n">
        <v>184.8</v>
      </c>
      <c r="V280" s="4" t="n">
        <v>145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1008-5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144</v>
      </c>
      <c r="J281" s="4" t="n">
        <v>44</v>
      </c>
      <c r="K281" s="5" t="n">
        <v>681.8</v>
      </c>
      <c r="L281" s="4" t="n">
        <v>84</v>
      </c>
      <c r="M281" s="4" t="n">
        <v>25</v>
      </c>
      <c r="N281" s="5" t="n">
        <v>1200</v>
      </c>
      <c r="O281" s="3" t="inlineStr">
        <is>
          <t>빠른입주, 전망 좋은 주택</t>
        </is>
      </c>
      <c r="P281" s="6">
        <f>HYPERLINK("https://fin.land.naver.com/articles/2651233233", "매물Link")</f>
        <v/>
      </c>
      <c r="Q281" s="6">
        <f>HYPERLINK("https://map.naver.com/p/search/연서면 월하리 1008-5", "지도Link")</f>
        <v/>
      </c>
      <c r="R281" s="6">
        <f>HYPERLINK("http://www.eum.go.kr/web/ar/lu/luLandDet.jsp?pnu=3611036021110080005&amp;isNoScr=script&amp;mode=search", "토지이음")</f>
        <v/>
      </c>
      <c r="S281" s="3" t="inlineStr">
        <is>
          <t>정인</t>
        </is>
      </c>
      <c r="T281" s="4" t="n">
        <v>1</v>
      </c>
      <c r="U281" s="5" t="n">
        <v>184.8</v>
      </c>
      <c r="V281" s="4" t="n">
        <v>145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617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60000</v>
      </c>
      <c r="H282" s="4" t="n">
        <v>0</v>
      </c>
      <c r="I282" s="4" t="n">
        <v>413</v>
      </c>
      <c r="J282" s="4" t="n">
        <v>125</v>
      </c>
      <c r="K282" s="5" t="n">
        <v>480</v>
      </c>
      <c r="L282" s="4" t="n">
        <v>296</v>
      </c>
      <c r="M282" s="4" t="n">
        <v>90</v>
      </c>
      <c r="N282" s="5" t="n">
        <v>666.7</v>
      </c>
      <c r="O282" s="3" t="inlineStr">
        <is>
          <t>1동 2동 단독주택 가격조정가능 입지좋아요</t>
        </is>
      </c>
      <c r="P282" s="6">
        <f>HYPERLINK("https://fin.land.naver.com/articles/2651366901", "매물Link")</f>
        <v/>
      </c>
      <c r="Q282" s="6">
        <f>HYPERLINK("https://map.naver.com/p/search/연서면 월하리 617", "지도Link")</f>
        <v/>
      </c>
      <c r="R282" s="6">
        <f>HYPERLINK("http://www.eum.go.kr/web/ar/lu/luLandDet.jsp?pnu=3611036021106170000&amp;isNoScr=script&amp;mode=search", "토지이음")</f>
        <v/>
      </c>
      <c r="S282" s="3" t="inlineStr">
        <is>
          <t>고운동리치세종</t>
        </is>
      </c>
      <c r="T282" s="4" t="n">
        <v>1</v>
      </c>
      <c r="U282" s="5" t="n">
        <v>157.5</v>
      </c>
      <c r="V282" s="4" t="n">
        <v>413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618-1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연립</t>
        </is>
      </c>
      <c r="F283" s="3" t="inlineStr">
        <is>
          <t>매매</t>
        </is>
      </c>
      <c r="G283" s="4" t="n">
        <v>8000</v>
      </c>
      <c r="H283" s="4" t="n">
        <v>0</v>
      </c>
      <c r="I283" s="4" t="n">
        <v>54</v>
      </c>
      <c r="J283" s="4" t="n">
        <v>16</v>
      </c>
      <c r="K283" s="5" t="n">
        <v>500</v>
      </c>
      <c r="L283" s="4" t="n">
        <v>54</v>
      </c>
      <c r="M283" s="4" t="n">
        <v>16</v>
      </c>
      <c r="N283" s="5" t="n">
        <v>500</v>
      </c>
      <c r="O283" s="3" t="inlineStr">
        <is>
          <t>욕실,주방,거실,샷시까지 올리모델링됨,세입자끼고매매,소액투자</t>
        </is>
      </c>
      <c r="P283" s="6">
        <f>HYPERLINK("https://fin.land.naver.com/articles/2650717018", "매물Link")</f>
        <v/>
      </c>
      <c r="Q283" s="6">
        <f>HYPERLINK("https://map.naver.com/p/search/연서면 월하리 618-1", "지도Link")</f>
        <v/>
      </c>
      <c r="R283" s="6">
        <f>HYPERLINK("http://www.eum.go.kr/web/ar/lu/luLandDet.jsp?pnu=3611036021106180001&amp;isNoScr=script&amp;mode=search", "토지이음")</f>
        <v/>
      </c>
      <c r="S283" s="3" t="inlineStr">
        <is>
          <t>신안무소</t>
        </is>
      </c>
      <c r="T283" s="4" t="n">
        <v>1</v>
      </c>
      <c r="U283" s="5" t="n">
        <v>151.2</v>
      </c>
      <c r="V283" s="4" t="n">
        <v>281</v>
      </c>
      <c r="W283" s="3" t="inlineStr">
        <is>
          <t>지정되지않음</t>
        </is>
      </c>
      <c r="X283" s="3" t="inlineStr">
        <is>
          <t>다세대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월하리 647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22000</v>
      </c>
      <c r="H284" s="4" t="n">
        <v>0</v>
      </c>
      <c r="I284" s="4" t="n">
        <v>291</v>
      </c>
      <c r="J284" s="4" t="n">
        <v>88</v>
      </c>
      <c r="K284" s="5" t="n">
        <v>250</v>
      </c>
      <c r="L284" s="4" t="n">
        <v>70</v>
      </c>
      <c r="M284" s="4" t="n">
        <v>21</v>
      </c>
      <c r="N284" s="5" t="n">
        <v>1047.6</v>
      </c>
      <c r="O284" s="3" t="inlineStr">
        <is>
          <t>6차선도로 인접이며 상태 좋은 주택입니다</t>
        </is>
      </c>
      <c r="P284" s="6">
        <f>HYPERLINK("https://fin.land.naver.com/articles/2652095425", "매물Link")</f>
        <v/>
      </c>
      <c r="Q284" s="6">
        <f>HYPERLINK("https://map.naver.com/p/search/연서면 월하리 647", "지도Link")</f>
        <v/>
      </c>
      <c r="R284" s="6">
        <f>HYPERLINK("http://www.eum.go.kr/web/ar/lu/luLandDet.jsp?pnu=3611036021106470000&amp;isNoScr=script&amp;mode=search", "토지이음")</f>
        <v/>
      </c>
      <c r="S284" s="3" t="inlineStr">
        <is>
          <t>지호주식회사</t>
        </is>
      </c>
      <c r="T284" s="4" t="n">
        <v>1</v>
      </c>
      <c r="U284" s="5" t="n">
        <v>157.5</v>
      </c>
      <c r="V284" s="4" t="n">
        <v>281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647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21500</v>
      </c>
      <c r="H285" s="4" t="n">
        <v>0</v>
      </c>
      <c r="I285" s="4" t="n">
        <v>281</v>
      </c>
      <c r="J285" s="4" t="n">
        <v>85</v>
      </c>
      <c r="K285" s="5" t="n">
        <v>252.9</v>
      </c>
      <c r="L285" s="4" t="n">
        <v>70</v>
      </c>
      <c r="M285" s="4" t="n">
        <v>21</v>
      </c>
      <c r="N285" s="5" t="n">
        <v>1023.8</v>
      </c>
      <c r="O285" s="3" t="inlineStr">
        <is>
          <t>가장 중심 지역으로 8차선 1번국도옆, 와촌리 국가 산업 단지 근교,</t>
        </is>
      </c>
      <c r="P285" s="6">
        <f>HYPERLINK("https://fin.land.naver.com/articles/2649482835", "매물Link")</f>
        <v/>
      </c>
      <c r="Q285" s="6">
        <f>HYPERLINK("https://map.naver.com/p/search/연서면 월하리 647", "지도Link")</f>
        <v/>
      </c>
      <c r="R285" s="6">
        <f>HYPERLINK("http://www.eum.go.kr/web/ar/lu/luLandDet.jsp?pnu=3611036021106470000&amp;isNoScr=script&amp;mode=search", "토지이음")</f>
        <v/>
      </c>
      <c r="S285" s="3" t="inlineStr">
        <is>
          <t>꿈드림</t>
        </is>
      </c>
      <c r="T285" s="4" t="n">
        <v>1</v>
      </c>
      <c r="U285" s="5" t="n">
        <v>157.5</v>
      </c>
      <c r="V285" s="4" t="n">
        <v>281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650-19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30000</v>
      </c>
      <c r="H286" s="4" t="n">
        <v>0</v>
      </c>
      <c r="I286" s="4" t="n">
        <v>207</v>
      </c>
      <c r="J286" s="4" t="n">
        <v>63</v>
      </c>
      <c r="K286" s="5" t="n">
        <v>476.2</v>
      </c>
      <c r="L286" s="4" t="n">
        <v>82</v>
      </c>
      <c r="M286" s="4" t="n">
        <v>25</v>
      </c>
      <c r="N286" s="5" t="n">
        <v>1200</v>
      </c>
      <c r="O286" s="3" t="inlineStr">
        <is>
          <t>1번국도 인접한 교통좋고 깨끗한 2층단독주택.1층과 2층 모두 임대중.</t>
        </is>
      </c>
      <c r="P286" s="6">
        <f>HYPERLINK("https://fin.land.naver.com/articles/2653046906", "매물Link")</f>
        <v/>
      </c>
      <c r="Q286" s="6">
        <f>HYPERLINK("https://map.naver.com/p/search/연서면 월하리 650-19", "지도Link")</f>
        <v/>
      </c>
      <c r="R286" s="6">
        <f>HYPERLINK("http://www.eum.go.kr/web/ar/lu/luLandDet.jsp?pnu=3611036021106500019&amp;isNoScr=script&amp;mode=search", "토지이음")</f>
        <v/>
      </c>
      <c r="S286" s="3" t="inlineStr">
        <is>
          <t>세종대장</t>
        </is>
      </c>
      <c r="T286" s="4" t="n">
        <v>1</v>
      </c>
      <c r="U286" s="5" t="n">
        <v>157.5</v>
      </c>
      <c r="V286" s="4" t="n">
        <v>207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805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100000</v>
      </c>
      <c r="H287" s="4" t="n">
        <v>0</v>
      </c>
      <c r="I287" s="4" t="n">
        <v>637</v>
      </c>
      <c r="J287" s="4" t="n">
        <v>193</v>
      </c>
      <c r="K287" s="5" t="n">
        <v>518.1</v>
      </c>
      <c r="L287" s="4" t="n">
        <v>330</v>
      </c>
      <c r="M287" s="4" t="n">
        <v>100</v>
      </c>
      <c r="N287" s="5" t="n">
        <v>1000</v>
      </c>
      <c r="O287" s="3" t="inlineStr">
        <is>
          <t>자이 아파트에서  면사무소 가는길 2차선 변에 있음.</t>
        </is>
      </c>
      <c r="P287" s="6">
        <f>HYPERLINK("https://fin.land.naver.com/articles/2650807142", "매물Link")</f>
        <v/>
      </c>
      <c r="Q287" s="6">
        <f>HYPERLINK("https://map.naver.com/p/search/연서면 월하리 805", "지도Link")</f>
        <v/>
      </c>
      <c r="R287" s="6">
        <f>HYPERLINK("http://www.eum.go.kr/web/ar/lu/luLandDet.jsp?pnu=3611036021108050000&amp;isNoScr=script&amp;mode=search", "토지이음")</f>
        <v/>
      </c>
      <c r="S287" s="3" t="inlineStr">
        <is>
          <t>꿈드림</t>
        </is>
      </c>
      <c r="T287" s="4" t="n">
        <v>1</v>
      </c>
      <c r="U287" s="5" t="n">
        <v>242.8</v>
      </c>
      <c r="V287" s="4" t="n">
        <v>638</v>
      </c>
      <c r="W287" s="3" t="inlineStr">
        <is>
          <t>지정되지않음</t>
        </is>
      </c>
      <c r="X287" s="3" t="inlineStr">
        <is>
          <t>상업기타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소로각지</t>
        </is>
      </c>
    </row>
    <row r="288">
      <c r="A288" s="3" t="inlineStr">
        <is>
          <t>연서면 월하리 805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100000</v>
      </c>
      <c r="H288" s="4" t="n">
        <v>0</v>
      </c>
      <c r="I288" s="4" t="n">
        <v>637</v>
      </c>
      <c r="J288" s="4" t="n">
        <v>193</v>
      </c>
      <c r="K288" s="5" t="n">
        <v>518.1</v>
      </c>
      <c r="L288" s="4" t="n">
        <v>330</v>
      </c>
      <c r="M288" s="4" t="n">
        <v>100</v>
      </c>
      <c r="N288" s="5" t="n">
        <v>1000</v>
      </c>
      <c r="O288" s="3" t="inlineStr">
        <is>
          <t>관리가 잘된 상가주택. 1층 상가, 2층 주택 전체매매</t>
        </is>
      </c>
      <c r="P288" s="6">
        <f>HYPERLINK("https://fin.land.naver.com/articles/2648904500", "매물Link")</f>
        <v/>
      </c>
      <c r="Q288" s="6">
        <f>HYPERLINK("https://map.naver.com/p/search/연서면 월하리 805", "지도Link")</f>
        <v/>
      </c>
      <c r="R288" s="6">
        <f>HYPERLINK("http://www.eum.go.kr/web/ar/lu/luLandDet.jsp?pnu=3611036021108050000&amp;isNoScr=script&amp;mode=search", "토지이음")</f>
        <v/>
      </c>
      <c r="S288" s="3" t="inlineStr">
        <is>
          <t>세종대장</t>
        </is>
      </c>
      <c r="T288" s="4" t="n">
        <v>1</v>
      </c>
      <c r="U288" s="5" t="n">
        <v>242.8</v>
      </c>
      <c r="V288" s="4" t="n">
        <v>638</v>
      </c>
      <c r="W288" s="3" t="inlineStr">
        <is>
          <t>지정되지않음</t>
        </is>
      </c>
      <c r="X288" s="3" t="inlineStr">
        <is>
          <t>상업기타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소로각지</t>
        </is>
      </c>
    </row>
    <row r="289">
      <c r="A289" s="3" t="inlineStr">
        <is>
          <t>조치원읍 교리 11-6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150000</v>
      </c>
      <c r="H289" s="4" t="n">
        <v>0</v>
      </c>
      <c r="I289" s="4" t="n">
        <v>396</v>
      </c>
      <c r="J289" s="4" t="n">
        <v>120</v>
      </c>
      <c r="K289" s="5" t="n">
        <v>1250</v>
      </c>
      <c r="L289" s="4" t="n">
        <v>616</v>
      </c>
      <c r="M289" s="4" t="n">
        <v>186</v>
      </c>
      <c r="N289" s="5" t="n">
        <v>806.5</v>
      </c>
      <c r="O289" s="3" t="inlineStr">
        <is>
          <t>상가주택, 2가구, 상가임대1, 가격조정가능, 주차가능</t>
        </is>
      </c>
      <c r="P289" s="6">
        <f>HYPERLINK("https://fin.land.naver.com/articles/2650985563", "매물Link")</f>
        <v/>
      </c>
      <c r="Q289" s="6">
        <f>HYPERLINK("https://map.naver.com/p/search/조치원읍 교리 11-6", "지도Link")</f>
        <v/>
      </c>
      <c r="R289" s="6">
        <f>HYPERLINK("http://www.eum.go.kr/web/ar/lu/luLandDet.jsp?pnu=3611025024100110006&amp;isNoScr=script&amp;mode=search", "토지이음")</f>
        <v/>
      </c>
      <c r="S289" s="3" t="inlineStr">
        <is>
          <t>엄마와딸</t>
        </is>
      </c>
      <c r="T289" s="4" t="n">
        <v>1</v>
      </c>
      <c r="U289" s="5" t="n">
        <v>283.3</v>
      </c>
      <c r="V289" s="4" t="n">
        <v>396.4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16-11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30</v>
      </c>
      <c r="I290" s="4" t="n">
        <v>0</v>
      </c>
      <c r="J290" s="4" t="n">
        <v>0</v>
      </c>
      <c r="K290" s="5" t="n">
        <v>0</v>
      </c>
      <c r="L290" s="4" t="n">
        <v>23</v>
      </c>
      <c r="M290" s="4" t="n">
        <v>7</v>
      </c>
      <c r="N290" s="5" t="n">
        <v>4.3</v>
      </c>
      <c r="O290" s="3" t="inlineStr">
        <is>
          <t>메가박스 뒷편 조치원역 도보거리</t>
        </is>
      </c>
      <c r="P290" s="6">
        <f>HYPERLINK("https://fin.land.naver.com/articles/2652852845", "매물Link")</f>
        <v/>
      </c>
      <c r="Q290" s="6">
        <f>HYPERLINK("https://map.naver.com/p/search/조치원읍 교리 16-11", "지도Link")</f>
        <v/>
      </c>
      <c r="R290" s="6">
        <f>HYPERLINK("http://www.eum.go.kr/web/ar/lu/luLandDet.jsp?pnu=3611025024100160011&amp;isNoScr=script&amp;mode=search", "토지이음")</f>
        <v/>
      </c>
      <c r="S290" s="3" t="inlineStr">
        <is>
          <t>척척</t>
        </is>
      </c>
      <c r="T290" s="4" t="n">
        <v>1</v>
      </c>
      <c r="U290" s="5" t="n">
        <v>367.3</v>
      </c>
      <c r="V290" s="4" t="n">
        <v>445</v>
      </c>
      <c r="W290" s="3" t="inlineStr">
        <is>
          <t>지정되지않음</t>
        </is>
      </c>
      <c r="X290" s="3" t="inlineStr">
        <is>
          <t>상업나지</t>
        </is>
      </c>
      <c r="Y290" s="3" t="inlineStr">
        <is>
          <t>평지</t>
        </is>
      </c>
      <c r="Z290" s="3" t="inlineStr">
        <is>
          <t>가로장방</t>
        </is>
      </c>
      <c r="AA290" s="3" t="inlineStr">
        <is>
          <t>소로각지</t>
        </is>
      </c>
    </row>
    <row r="291">
      <c r="A291" s="3" t="inlineStr">
        <is>
          <t>조치원읍 교리 16-6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500</v>
      </c>
      <c r="H291" s="4" t="n">
        <v>45</v>
      </c>
      <c r="I291" s="4" t="n">
        <v>35</v>
      </c>
      <c r="J291" s="4" t="n">
        <v>11</v>
      </c>
      <c r="K291" s="5" t="n">
        <v>4.1</v>
      </c>
      <c r="L291" s="4" t="n">
        <v>30</v>
      </c>
      <c r="M291" s="4" t="n">
        <v>9</v>
      </c>
      <c r="N291" s="5" t="n">
        <v>5</v>
      </c>
      <c r="O291" s="3" t="inlineStr">
        <is>
          <t>1.5룸.분리형원룸.주차공간 넉넉합니다. 11월 1일이후</t>
        </is>
      </c>
      <c r="P291" s="6">
        <f>HYPERLINK("https://fin.land.naver.com/articles/2649387949", "매물Link")</f>
        <v/>
      </c>
      <c r="Q291" s="6">
        <f>HYPERLINK("https://map.naver.com/p/search/조치원읍 교리 16-6", "지도Link")</f>
        <v/>
      </c>
      <c r="R291" s="6">
        <f>HYPERLINK("http://www.eum.go.kr/web/ar/lu/luLandDet.jsp?pnu=3611025024100160006&amp;isNoScr=script&amp;mode=search",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316.7</v>
      </c>
      <c r="V291" s="4" t="n">
        <v>435.7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조치원읍 교리 16-6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500</v>
      </c>
      <c r="H292" s="4" t="n">
        <v>45</v>
      </c>
      <c r="I292" s="4" t="n">
        <v>0</v>
      </c>
      <c r="J292" s="4" t="n">
        <v>0</v>
      </c>
      <c r="K292" s="5" t="n">
        <v>0</v>
      </c>
      <c r="L292" s="4" t="n">
        <v>29</v>
      </c>
      <c r="M292" s="4" t="n">
        <v>9</v>
      </c>
      <c r="N292" s="5" t="n">
        <v>5</v>
      </c>
      <c r="O292" s="3" t="inlineStr">
        <is>
          <t>역세권 투베이</t>
        </is>
      </c>
      <c r="P292" s="6">
        <f>HYPERLINK("https://fin.land.naver.com/articles/2648307815", "매물Link")</f>
        <v/>
      </c>
      <c r="Q292" s="6">
        <f>HYPERLINK("https://map.naver.com/p/search/조치원읍 교리 16-6", "지도Link")</f>
        <v/>
      </c>
      <c r="R292" s="6">
        <f>HYPERLINK("http://www.eum.go.kr/web/ar/lu/luLandDet.jsp?pnu=3611025024100160006&amp;isNoScr=script&amp;mode=search", "토지이음")</f>
        <v/>
      </c>
      <c r="S292" s="3" t="inlineStr">
        <is>
          <t>척척</t>
        </is>
      </c>
      <c r="T292" s="4" t="n">
        <v>1</v>
      </c>
      <c r="U292" s="5" t="n">
        <v>316.7</v>
      </c>
      <c r="V292" s="4" t="n">
        <v>435.7</v>
      </c>
      <c r="W292" s="3" t="inlineStr">
        <is>
          <t>지정되지않음</t>
        </is>
      </c>
      <c r="X292" s="3" t="inlineStr">
        <is>
          <t>상업용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조치원읍 교리 18-19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다가구</t>
        </is>
      </c>
      <c r="F293" s="3" t="inlineStr">
        <is>
          <t>전세</t>
        </is>
      </c>
      <c r="G293" s="4" t="n">
        <v>7350</v>
      </c>
      <c r="H293" s="4" t="n">
        <v>0</v>
      </c>
      <c r="I293" s="4" t="n">
        <v>49</v>
      </c>
      <c r="J293" s="4" t="n">
        <v>15</v>
      </c>
      <c r="K293" s="5" t="n">
        <v>490</v>
      </c>
      <c r="L293" s="4" t="n">
        <v>42</v>
      </c>
      <c r="M293" s="4" t="n">
        <v>13</v>
      </c>
      <c r="N293" s="5" t="n">
        <v>565.4</v>
      </c>
      <c r="O293" s="3" t="inlineStr">
        <is>
          <t>남향.시내권 넓은투룸.엘리베이터유.주차시설완비.</t>
        </is>
      </c>
      <c r="P293" s="6">
        <f>HYPERLINK("https://fin.land.naver.com/articles/2648317992", "매물Link")</f>
        <v/>
      </c>
      <c r="Q293" s="6">
        <f>HYPERLINK("https://map.naver.com/p/search/조치원읍 교리 18-19", "지도Link")</f>
        <v/>
      </c>
      <c r="R293" s="6">
        <f>HYPERLINK("http://www.eum.go.kr/web/ar/lu/luLandDet.jsp?pnu=3611025024100180019&amp;isNoScr=script&amp;mode=search",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283.3</v>
      </c>
      <c r="V293" s="4" t="n">
        <v>378.9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18-19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7000</v>
      </c>
      <c r="H294" s="4" t="n">
        <v>0</v>
      </c>
      <c r="I294" s="4" t="n">
        <v>40</v>
      </c>
      <c r="J294" s="4" t="n">
        <v>12</v>
      </c>
      <c r="K294" s="5" t="n">
        <v>583.3</v>
      </c>
      <c r="L294" s="4" t="n">
        <v>40</v>
      </c>
      <c r="M294" s="4" t="n">
        <v>12</v>
      </c>
      <c r="N294" s="5" t="n">
        <v>583.3</v>
      </c>
      <c r="O294" s="3" t="inlineStr">
        <is>
          <t>2룸 조치원역 전통시장 도보가능 엘베유</t>
        </is>
      </c>
      <c r="P294" s="6">
        <f>HYPERLINK("https://fin.land.naver.com/articles/2649012341", "매물Link")</f>
        <v/>
      </c>
      <c r="Q294" s="6">
        <f>HYPERLINK("https://map.naver.com/p/search/조치원읍 교리 18-19", "지도Link")</f>
        <v/>
      </c>
      <c r="R294" s="6">
        <f>HYPERLINK("http://www.eum.go.kr/web/ar/lu/luLandDet.jsp?pnu=3611025024100180019&amp;isNoScr=script&amp;mode=search", "토지이음")</f>
        <v/>
      </c>
      <c r="S294" s="3" t="inlineStr">
        <is>
          <t>OK수</t>
        </is>
      </c>
      <c r="T294" s="4" t="n">
        <v>1</v>
      </c>
      <c r="U294" s="5" t="n">
        <v>283.3</v>
      </c>
      <c r="V294" s="4" t="n">
        <v>378.9</v>
      </c>
      <c r="W294" s="3" t="inlineStr">
        <is>
          <t>지정되지않음</t>
        </is>
      </c>
      <c r="X294" s="3" t="inlineStr">
        <is>
          <t>주상용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중로각지</t>
        </is>
      </c>
    </row>
    <row r="295">
      <c r="A295" s="3" t="inlineStr">
        <is>
          <t>조치원읍 교리 2-2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60000</v>
      </c>
      <c r="H295" s="4" t="n">
        <v>0</v>
      </c>
      <c r="I295" s="4" t="n">
        <v>285</v>
      </c>
      <c r="J295" s="4" t="n">
        <v>86</v>
      </c>
      <c r="K295" s="5" t="n">
        <v>697.7</v>
      </c>
      <c r="L295" s="4" t="n">
        <v>201</v>
      </c>
      <c r="M295" s="4" t="n">
        <v>61</v>
      </c>
      <c r="N295" s="5" t="n">
        <v>983.6</v>
      </c>
      <c r="O295" s="3" t="inlineStr">
        <is>
          <t>문화정원 앞, 코너 2층단독주택, 옆동건축물로 월세수입 가능</t>
        </is>
      </c>
      <c r="P295" s="6">
        <f>HYPERLINK("https://fin.land.naver.com/articles/2651076917", "매물Link")</f>
        <v/>
      </c>
      <c r="Q295" s="6">
        <f>HYPERLINK("https://map.naver.com/p/search/조치원읍 교리 2-2", "지도Link")</f>
        <v/>
      </c>
      <c r="R295" s="6">
        <f>HYPERLINK("http://www.eum.go.kr/web/ar/lu/luLandDet.jsp?pnu=3611025024100020002&amp;isNoScr=script&amp;mode=search", "토지이음")</f>
        <v/>
      </c>
      <c r="S295" s="3" t="inlineStr">
        <is>
          <t>다옴</t>
        </is>
      </c>
      <c r="T295" s="4" t="n">
        <v>1</v>
      </c>
      <c r="U295" s="5" t="n">
        <v>302.8</v>
      </c>
      <c r="V295" s="4" t="n">
        <v>285.6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조치원읍 교리 2-27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100</v>
      </c>
      <c r="H296" s="4" t="n">
        <v>25</v>
      </c>
      <c r="I296" s="4" t="n">
        <v>23</v>
      </c>
      <c r="J296" s="4" t="n">
        <v>7</v>
      </c>
      <c r="K296" s="5" t="n">
        <v>3.6</v>
      </c>
      <c r="L296" s="4" t="n">
        <v>23</v>
      </c>
      <c r="M296" s="4" t="n">
        <v>7</v>
      </c>
      <c r="N296" s="5" t="n">
        <v>3.6</v>
      </c>
      <c r="O296" s="3" t="inlineStr">
        <is>
          <t>교동초 근처 저렴한 원룸 즉시입주가능합니다</t>
        </is>
      </c>
      <c r="P296" s="6">
        <f>HYPERLINK("https://fin.land.naver.com/articles/2651708073", "매물Link")</f>
        <v/>
      </c>
      <c r="Q296" s="6">
        <f>HYPERLINK("https://map.naver.com/p/search/조치원읍 교리 2-27", "지도Link")</f>
        <v/>
      </c>
      <c r="R296" s="6">
        <f>HYPERLINK("http://www.eum.go.kr/web/ar/lu/luLandDet.jsp?pnu=3611025024100020027&amp;isNoScr=script&amp;mode=search", "토지이음")</f>
        <v/>
      </c>
      <c r="S296" s="3" t="inlineStr">
        <is>
          <t>OK수</t>
        </is>
      </c>
      <c r="T296" s="4" t="n">
        <v>2</v>
      </c>
      <c r="U296" s="5" t="n">
        <v>199.8</v>
      </c>
      <c r="V296" s="4" t="n">
        <v>330.6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세로한면(가)</t>
        </is>
      </c>
    </row>
    <row r="297">
      <c r="A297" s="3" t="inlineStr">
        <is>
          <t>조치원읍 교리 20-10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46000</v>
      </c>
      <c r="H297" s="4" t="n">
        <v>0</v>
      </c>
      <c r="I297" s="4" t="n">
        <v>168</v>
      </c>
      <c r="J297" s="4" t="n">
        <v>51</v>
      </c>
      <c r="K297" s="5" t="n">
        <v>902</v>
      </c>
      <c r="L297" s="4" t="n">
        <v>197</v>
      </c>
      <c r="M297" s="4" t="n">
        <v>60</v>
      </c>
      <c r="N297" s="5" t="n">
        <v>766.7</v>
      </c>
      <c r="O297" s="3" t="inlineStr">
        <is>
          <t>리모델링된 상가주택매매입니다.월세 수익 받으시면서 실거주해보세요.</t>
        </is>
      </c>
      <c r="P297" s="6">
        <f>HYPERLINK("https://fin.land.naver.com/articles/2652491110", "매물Link")</f>
        <v/>
      </c>
      <c r="Q297" s="6">
        <f>HYPERLINK("https://map.naver.com/p/search/조치원읍 교리 20-10", "지도Link")</f>
        <v/>
      </c>
      <c r="R297" s="6">
        <f>HYPERLINK("http://www.eum.go.kr/web/ar/lu/luLandDet.jsp?pnu=3611025024100200010&amp;isNoScr=script&amp;mode=search", "토지이음")</f>
        <v/>
      </c>
      <c r="S297" s="3" t="inlineStr">
        <is>
          <t>이음</t>
        </is>
      </c>
      <c r="T297" s="4" t="n">
        <v>1</v>
      </c>
      <c r="U297" s="5" t="n">
        <v>367.3</v>
      </c>
      <c r="V297" s="4" t="n">
        <v>168.6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20-12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상가주택</t>
        </is>
      </c>
      <c r="F298" s="3" t="inlineStr">
        <is>
          <t>월세</t>
        </is>
      </c>
      <c r="G298" s="4" t="n">
        <v>1000</v>
      </c>
      <c r="H298" s="4" t="n">
        <v>60</v>
      </c>
      <c r="I298" s="4" t="n">
        <v>55</v>
      </c>
      <c r="J298" s="4" t="n">
        <v>17</v>
      </c>
      <c r="K298" s="5" t="n">
        <v>3.5</v>
      </c>
      <c r="L298" s="4" t="n">
        <v>55</v>
      </c>
      <c r="M298" s="4" t="n">
        <v>17</v>
      </c>
      <c r="N298" s="5" t="n">
        <v>3.5</v>
      </c>
      <c r="O298" s="3" t="inlineStr">
        <is>
          <t>조치원 중심가 위치,역 근처 상권 및 편의시설 이용 좋음.</t>
        </is>
      </c>
      <c r="P298" s="6">
        <f>HYPERLINK("https://fin.land.naver.com/articles/2651984055", "매물Link")</f>
        <v/>
      </c>
      <c r="Q298" s="6">
        <f>HYPERLINK("https://map.naver.com/p/search/조치원읍 교리 20-12", "지도Link")</f>
        <v/>
      </c>
      <c r="R298" s="6">
        <f>HYPERLINK("http://www.eum.go.kr/web/ar/lu/luLandDet.jsp?pnu=3611025024100200012&amp;isNoScr=script&amp;mode=search", "토지이음")</f>
        <v/>
      </c>
      <c r="S298" s="3" t="inlineStr">
        <is>
          <t>베스트매경</t>
        </is>
      </c>
      <c r="T298" s="4" t="n">
        <v>1</v>
      </c>
      <c r="U298" s="5" t="n">
        <v>352.7</v>
      </c>
      <c r="V298" s="4" t="n">
        <v>138.8</v>
      </c>
      <c r="W298" s="3" t="inlineStr">
        <is>
          <t>지정되지않음</t>
        </is>
      </c>
      <c r="X298" s="3" t="inlineStr">
        <is>
          <t>상업나지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소로한면</t>
        </is>
      </c>
    </row>
    <row r="299">
      <c r="A299" s="3" t="inlineStr">
        <is>
          <t>조치원읍 교리 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연립</t>
        </is>
      </c>
      <c r="F299" s="3" t="inlineStr">
        <is>
          <t>매매</t>
        </is>
      </c>
      <c r="G299" s="4" t="n">
        <v>12000</v>
      </c>
      <c r="H299" s="4" t="n">
        <v>0</v>
      </c>
      <c r="I299" s="4" t="n">
        <v>56</v>
      </c>
      <c r="J299" s="4" t="n">
        <v>17</v>
      </c>
      <c r="K299" s="5" t="n">
        <v>705.9</v>
      </c>
      <c r="L299" s="4" t="n">
        <v>51</v>
      </c>
      <c r="M299" s="4" t="n">
        <v>15</v>
      </c>
      <c r="N299" s="5" t="n">
        <v>800</v>
      </c>
      <c r="O299" s="3" t="inlineStr">
        <is>
          <t>샷시까지 올 리모델링됨 협의입주 가능합니다</t>
        </is>
      </c>
      <c r="P299" s="6">
        <f>HYPERLINK("https://fin.land.naver.com/articles/2650000609", "매물Link")</f>
        <v/>
      </c>
      <c r="Q299" s="6">
        <f>HYPERLINK("https://map.naver.com/p/search/조치원읍 교리 3", "지도Link")</f>
        <v/>
      </c>
      <c r="R299" s="6">
        <f>HYPERLINK("http://www.eum.go.kr/web/ar/lu/luLandDet.jsp?pnu=3611025024100030000&amp;isNoScr=script&amp;mode=search",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261.5</v>
      </c>
      <c r="V299" s="4" t="n">
        <v>4586.5</v>
      </c>
      <c r="W299" s="3" t="inlineStr">
        <is>
          <t>지정되지않음</t>
        </is>
      </c>
      <c r="X299" s="3" t="inlineStr">
        <is>
          <t>연립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중로한면</t>
        </is>
      </c>
    </row>
    <row r="300">
      <c r="A300" s="3" t="inlineStr">
        <is>
          <t>조치원읍 교리 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연립</t>
        </is>
      </c>
      <c r="F300" s="3" t="inlineStr">
        <is>
          <t>매매</t>
        </is>
      </c>
      <c r="G300" s="4" t="n">
        <v>10000</v>
      </c>
      <c r="H300" s="4" t="n">
        <v>0</v>
      </c>
      <c r="I300" s="4" t="n">
        <v>56</v>
      </c>
      <c r="J300" s="4" t="n">
        <v>17</v>
      </c>
      <c r="K300" s="5" t="n">
        <v>588.2</v>
      </c>
      <c r="L300" s="4" t="n">
        <v>51</v>
      </c>
      <c r="M300" s="4" t="n">
        <v>15</v>
      </c>
      <c r="N300" s="5" t="n">
        <v>666.7</v>
      </c>
      <c r="O300" s="3" t="inlineStr">
        <is>
          <t>조치원역, 조치원 전통시장에 가까움</t>
        </is>
      </c>
      <c r="P300" s="6">
        <f>HYPERLINK("https://fin.land.naver.com/articles/2650121694", "매물Link")</f>
        <v/>
      </c>
      <c r="Q300" s="6">
        <f>HYPERLINK("https://map.naver.com/p/search/조치원읍 교리 3", "지도Link")</f>
        <v/>
      </c>
      <c r="R300" s="6">
        <f>HYPERLINK("http://www.eum.go.kr/web/ar/lu/luLandDet.jsp?pnu=3611025024100030000&amp;isNoScr=script&amp;mode=search", "토지이음")</f>
        <v/>
      </c>
      <c r="S300" s="3" t="inlineStr">
        <is>
          <t>세종베스트</t>
        </is>
      </c>
      <c r="T300" s="4" t="n">
        <v>2</v>
      </c>
      <c r="U300" s="5" t="n">
        <v>261.5</v>
      </c>
      <c r="V300" s="4" t="n">
        <v>4586.5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중로한면</t>
        </is>
      </c>
    </row>
    <row r="301">
      <c r="A301" s="3" t="inlineStr">
        <is>
          <t>조치원읍 교리 4-13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28</v>
      </c>
      <c r="I301" s="4" t="n">
        <v>25</v>
      </c>
      <c r="J301" s="4" t="n">
        <v>8</v>
      </c>
      <c r="K301" s="5" t="n">
        <v>3.5</v>
      </c>
      <c r="L301" s="4" t="n">
        <v>20</v>
      </c>
      <c r="M301" s="4" t="n">
        <v>6</v>
      </c>
      <c r="N301" s="5" t="n">
        <v>4.7</v>
      </c>
      <c r="O301" s="3" t="inlineStr">
        <is>
          <t>문화정원인근 깔끔 원룸.분리형.방이 넓어요.즉시입주가능.</t>
        </is>
      </c>
      <c r="P301" s="6">
        <f>HYPERLINK("https://fin.land.naver.com/articles/2650064246", "매물Link")</f>
        <v/>
      </c>
      <c r="Q301" s="6">
        <f>HYPERLINK("https://map.naver.com/p/search/조치원읍 교리 4-13", "지도Link")</f>
        <v/>
      </c>
      <c r="R301" s="6">
        <f>HYPERLINK("http://www.eum.go.kr/web/ar/lu/luLandDet.jsp?pnu=3611025024100040013&amp;isNoScr=script&amp;mode=search", "토지이음")</f>
        <v/>
      </c>
      <c r="S301" s="3" t="inlineStr">
        <is>
          <t>이음</t>
        </is>
      </c>
      <c r="T301" s="4" t="n">
        <v>1</v>
      </c>
      <c r="U301" s="5" t="n">
        <v>269.2</v>
      </c>
      <c r="V301" s="4" t="n">
        <v>352.4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4-13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3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역세권 투베이</t>
        </is>
      </c>
      <c r="P302" s="6">
        <f>HYPERLINK("https://fin.land.naver.com/articles/2652851166", "매물Link")</f>
        <v/>
      </c>
      <c r="Q302" s="6">
        <f>HYPERLINK("https://map.naver.com/p/search/조치원읍 교리 4-13", "지도Link")</f>
        <v/>
      </c>
      <c r="R302" s="6">
        <f>HYPERLINK("http://www.eum.go.kr/web/ar/lu/luLandDet.jsp?pnu=3611025024100040013&amp;isNoScr=script&amp;mode=search",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269.2</v>
      </c>
      <c r="V302" s="4" t="n">
        <v>352.4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중로각지</t>
        </is>
      </c>
    </row>
    <row r="303">
      <c r="A303" s="3" t="inlineStr">
        <is>
          <t>조치원읍 교리 4-13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27</v>
      </c>
      <c r="I303" s="4" t="n">
        <v>0</v>
      </c>
      <c r="J303" s="4" t="n">
        <v>0</v>
      </c>
      <c r="K303" s="5" t="n">
        <v>0</v>
      </c>
      <c r="L303" s="4" t="n">
        <v>23</v>
      </c>
      <c r="M303" s="4" t="n">
        <v>7</v>
      </c>
      <c r="N303" s="5" t="n">
        <v>3.9</v>
      </c>
      <c r="O303" s="3" t="inlineStr">
        <is>
          <t>역세권 주방넓고 통풍잘되는 집</t>
        </is>
      </c>
      <c r="P303" s="6">
        <f>HYPERLINK("https://fin.land.naver.com/articles/2649888270", "매물Link")</f>
        <v/>
      </c>
      <c r="Q303" s="6">
        <f>HYPERLINK("https://map.naver.com/p/search/조치원읍 교리 4-13", "지도Link")</f>
        <v/>
      </c>
      <c r="R303" s="6">
        <f>HYPERLINK("http://www.eum.go.kr/web/ar/lu/luLandDet.jsp?pnu=3611025024100040013&amp;isNoScr=script&amp;mode=search",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269.2</v>
      </c>
      <c r="V303" s="4" t="n">
        <v>352.4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중로각지</t>
        </is>
      </c>
    </row>
    <row r="304">
      <c r="A304" s="3" t="inlineStr">
        <is>
          <t>조치원읍 교리 5-2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25000</v>
      </c>
      <c r="H304" s="4" t="n">
        <v>0</v>
      </c>
      <c r="I304" s="4" t="n">
        <v>139</v>
      </c>
      <c r="J304" s="4" t="n">
        <v>42</v>
      </c>
      <c r="K304" s="5" t="n">
        <v>595.2</v>
      </c>
      <c r="L304" s="4" t="n">
        <v>128</v>
      </c>
      <c r="M304" s="4" t="n">
        <v>39</v>
      </c>
      <c r="N304" s="5" t="n">
        <v>641</v>
      </c>
      <c r="O304" s="3" t="inlineStr">
        <is>
          <t>nan</t>
        </is>
      </c>
      <c r="P304" s="6">
        <f>HYPERLINK("https://fin.land.naver.com/articles/2649622161", "매물Link")</f>
        <v/>
      </c>
      <c r="Q304" s="6">
        <f>HYPERLINK("https://map.naver.com/p/search/조치원읍 교리 5-2", "지도Link")</f>
        <v/>
      </c>
      <c r="R304" s="6">
        <f>HYPERLINK("http://www.eum.go.kr/web/ar/lu/luLandDet.jsp?pnu=3611025024100050002&amp;isNoScr=script&amp;mode=search", "토지이음")</f>
        <v/>
      </c>
      <c r="S304" s="3" t="inlineStr">
        <is>
          <t>효자</t>
        </is>
      </c>
      <c r="T304" s="4" t="n">
        <v>1</v>
      </c>
      <c r="U304" s="5" t="n">
        <v>361.3</v>
      </c>
      <c r="V304" s="4" t="n">
        <v>139.5</v>
      </c>
      <c r="W304" s="3" t="inlineStr">
        <is>
          <t>지정되지않음</t>
        </is>
      </c>
      <c r="X304" s="3" t="inlineStr">
        <is>
          <t>주상기타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중로각지</t>
        </is>
      </c>
    </row>
    <row r="305">
      <c r="A305" s="3" t="inlineStr">
        <is>
          <t>조치원읍 교리 7-15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6</t>
        </is>
      </c>
      <c r="E305" s="3" t="inlineStr">
        <is>
          <t>단독</t>
        </is>
      </c>
      <c r="F305" s="3" t="inlineStr">
        <is>
          <t>매매</t>
        </is>
      </c>
      <c r="G305" s="4" t="n">
        <v>38000</v>
      </c>
      <c r="H305" s="4" t="n">
        <v>0</v>
      </c>
      <c r="I305" s="4" t="n">
        <v>139</v>
      </c>
      <c r="J305" s="4" t="n">
        <v>42</v>
      </c>
      <c r="K305" s="5" t="n">
        <v>904.8</v>
      </c>
      <c r="L305" s="4" t="n">
        <v>341</v>
      </c>
      <c r="M305" s="4" t="n">
        <v>103</v>
      </c>
      <c r="N305" s="5" t="n">
        <v>368.9</v>
      </c>
      <c r="O305" s="3" t="inlineStr">
        <is>
          <t>교리, 6층 다가구 및 사무실건물 매매 임대수익 중</t>
        </is>
      </c>
      <c r="P305" s="6">
        <f>HYPERLINK("https://fin.land.naver.com/articles/2648523163", "매물Link")</f>
        <v/>
      </c>
      <c r="Q305" s="6">
        <f>HYPERLINK("https://map.naver.com/p/search/조치원읍 교리 7-15", "지도Link")</f>
        <v/>
      </c>
      <c r="R305" s="6">
        <f>HYPERLINK("http://www.eum.go.kr/web/ar/lu/luLandDet.jsp?pnu=3611025024100070015&amp;isNoScr=script&amp;mode=search", "토지이음")</f>
        <v/>
      </c>
      <c r="S305" s="3" t="inlineStr">
        <is>
          <t>다옴</t>
        </is>
      </c>
      <c r="T305" s="4" t="n">
        <v>2</v>
      </c>
      <c r="U305" s="5" t="n">
        <v>217.4</v>
      </c>
      <c r="V305" s="4" t="n">
        <v>139.8</v>
      </c>
      <c r="W305" s="3" t="inlineStr">
        <is>
          <t>지정되지않음</t>
        </is>
      </c>
      <c r="X305" s="3" t="inlineStr">
        <is>
          <t>주거기타</t>
        </is>
      </c>
      <c r="Y305" s="3" t="inlineStr">
        <is>
          <t>평지</t>
        </is>
      </c>
      <c r="Z305" s="3" t="inlineStr">
        <is>
          <t>가로장방</t>
        </is>
      </c>
      <c r="AA305" s="3" t="inlineStr">
        <is>
          <t>소로한면</t>
        </is>
      </c>
    </row>
    <row r="306">
      <c r="A306" s="3" t="inlineStr">
        <is>
          <t>조치원읍 남리 103-16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29000</v>
      </c>
      <c r="H306" s="4" t="n">
        <v>0</v>
      </c>
      <c r="I306" s="4" t="n">
        <v>282</v>
      </c>
      <c r="J306" s="4" t="n">
        <v>85</v>
      </c>
      <c r="K306" s="5" t="n">
        <v>341.2</v>
      </c>
      <c r="L306" s="4" t="n">
        <v>229</v>
      </c>
      <c r="M306" s="4" t="n">
        <v>69</v>
      </c>
      <c r="N306" s="5" t="n">
        <v>420.3</v>
      </c>
      <c r="O306" s="3" t="inlineStr">
        <is>
          <t>1층 공장 , 2층 주택 , 도로변</t>
        </is>
      </c>
      <c r="P306" s="6">
        <f>HYPERLINK("https://fin.land.naver.com/articles/2652084096", "매물Link")</f>
        <v/>
      </c>
      <c r="Q306" s="6">
        <f>HYPERLINK("https://map.naver.com/p/search/조치원읍 남리 103-16", "지도Link")</f>
        <v/>
      </c>
      <c r="R306" s="6">
        <f>HYPERLINK("http://www.eum.go.kr/web/ar/lu/luLandDet.jsp?pnu=3611025027101030016&amp;isNoScr=script&amp;mode=search", "토지이음")</f>
        <v/>
      </c>
      <c r="S306" s="3" t="inlineStr">
        <is>
          <t>KB세종</t>
        </is>
      </c>
      <c r="T306" s="4" t="n">
        <v>1</v>
      </c>
      <c r="U306" s="5" t="n">
        <v>160.4</v>
      </c>
      <c r="V306" s="4" t="n">
        <v>282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조치원읍 남리 119-10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1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33</v>
      </c>
      <c r="J307" s="4" t="n">
        <v>10</v>
      </c>
      <c r="K307" s="5" t="n">
        <v>2.5</v>
      </c>
      <c r="L307" s="4" t="n">
        <v>5</v>
      </c>
      <c r="M307" s="4" t="n">
        <v>2</v>
      </c>
      <c r="N307" s="5" t="n">
        <v>12.5</v>
      </c>
      <c r="O307" s="3" t="inlineStr">
        <is>
          <t>조치원역도보거리 저렴한 원룸 즉시입주</t>
        </is>
      </c>
      <c r="P307" s="6">
        <f>HYPERLINK("https://fin.land.naver.com/articles/2650728690", "매물Link")</f>
        <v/>
      </c>
      <c r="Q307" s="6">
        <f>HYPERLINK("https://map.naver.com/p/search/조치원읍 남리 119-10", "지도Link")</f>
        <v/>
      </c>
      <c r="R307" s="6">
        <f>HYPERLINK("http://www.eum.go.kr/web/ar/lu/luLandDet.jsp?pnu=3611025027101190010&amp;isNoScr=script&amp;mode=search",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242.2</v>
      </c>
      <c r="V307" s="4" t="n">
        <v>280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자루형</t>
        </is>
      </c>
      <c r="AA307" s="3" t="inlineStr">
        <is>
          <t>세로한면(가)</t>
        </is>
      </c>
    </row>
    <row r="308">
      <c r="A308" s="3" t="inlineStr">
        <is>
          <t>조치원읍 남리 119-10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2</t>
        </is>
      </c>
      <c r="E308" s="3" t="inlineStr">
        <is>
          <t>다가구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33</v>
      </c>
      <c r="J308" s="4" t="n">
        <v>10</v>
      </c>
      <c r="K308" s="5" t="n">
        <v>2.7</v>
      </c>
      <c r="L308" s="4" t="n">
        <v>19</v>
      </c>
      <c r="M308" s="4" t="n">
        <v>6</v>
      </c>
      <c r="N308" s="5" t="n">
        <v>4.5</v>
      </c>
      <c r="O308" s="3" t="inlineStr">
        <is>
          <t>조치원역도보거리O막힘없는O깨끗한 원룸</t>
        </is>
      </c>
      <c r="P308" s="6">
        <f>HYPERLINK("https://fin.land.naver.com/articles/2651069139", "매물Link")</f>
        <v/>
      </c>
      <c r="Q308" s="6">
        <f>HYPERLINK("https://map.naver.com/p/search/조치원읍 남리 119-10", "지도Link")</f>
        <v/>
      </c>
      <c r="R308" s="6">
        <f>HYPERLINK("http://www.eum.go.kr/web/ar/lu/luLandDet.jsp?pnu=3611025027101190010&amp;isNoScr=script&amp;mode=search",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242.2</v>
      </c>
      <c r="V308" s="4" t="n">
        <v>280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자루형</t>
        </is>
      </c>
      <c r="AA308" s="3" t="inlineStr">
        <is>
          <t>세로한면(가)</t>
        </is>
      </c>
    </row>
    <row r="309">
      <c r="A309" s="3" t="inlineStr">
        <is>
          <t>조치원읍 남리 119-12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남향 조치원시내권도보거리 주차시설완비 완벽풀옵션</t>
        </is>
      </c>
      <c r="P309" s="6">
        <f>HYPERLINK("https://fin.land.naver.com/articles/2652366588", "매물Link")</f>
        <v/>
      </c>
      <c r="Q309" s="6">
        <f>HYPERLINK("https://map.naver.com/p/search/조치원읍 남리 119-12", "지도Link")</f>
        <v/>
      </c>
      <c r="R309" s="6">
        <f>HYPERLINK("http://www.eum.go.kr/web/ar/lu/luLandDet.jsp?pnu=3611025027101190012&amp;isNoScr=script&amp;mode=search",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282.8</v>
      </c>
      <c r="V309" s="4" t="n">
        <v>485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119-6</t>
        </is>
      </c>
      <c r="B311" s="3" t="inlineStr">
        <is>
          <t>제2종일반주거지역</t>
        </is>
      </c>
      <c r="C311" s="3" t="inlineStr">
        <is>
          <t>잡종지</t>
        </is>
      </c>
      <c r="D311" s="3" t="inlineStr">
        <is>
          <t>2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25</v>
      </c>
      <c r="I311" s="4" t="n">
        <v>0</v>
      </c>
      <c r="J311" s="4" t="n">
        <v>0</v>
      </c>
      <c r="K311" s="5" t="n">
        <v>0</v>
      </c>
      <c r="L311" s="4" t="n">
        <v>19</v>
      </c>
      <c r="M311" s="4" t="n">
        <v>6</v>
      </c>
      <c r="N311" s="5" t="n">
        <v>4.2</v>
      </c>
      <c r="O311" s="3" t="inlineStr">
        <is>
          <t>남리 버스정류장 가까운 위치</t>
        </is>
      </c>
      <c r="P311" s="6">
        <f>HYPERLINK("https://fin.land.naver.com/articles/2648317995", "매물Link")</f>
        <v/>
      </c>
      <c r="Q311" s="6">
        <f>HYPERLINK("https://map.naver.com/p/search/조치원읍 남리 119-6", "지도Link")</f>
        <v/>
      </c>
      <c r="R311" s="6">
        <f>HYPERLINK("http://www.eum.go.kr/web/ar/lu/luLandDet.jsp?pnu=3611025027101190006&amp;isNoScr=script&amp;mode=search",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285.5</v>
      </c>
      <c r="V311" s="4" t="n">
        <v>249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12-34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16500</v>
      </c>
      <c r="H312" s="4" t="n">
        <v>0</v>
      </c>
      <c r="I312" s="4" t="n">
        <v>108</v>
      </c>
      <c r="J312" s="4" t="n">
        <v>33</v>
      </c>
      <c r="K312" s="5" t="n">
        <v>500</v>
      </c>
      <c r="L312" s="4" t="n">
        <v>110</v>
      </c>
      <c r="M312" s="4" t="n">
        <v>33</v>
      </c>
      <c r="N312" s="5" t="n">
        <v>500</v>
      </c>
      <c r="O312" s="3" t="inlineStr">
        <is>
          <t>남리 우성볼링장 뒷편  주택거주하고싶은분 추천합니다</t>
        </is>
      </c>
      <c r="P312" s="6">
        <f>HYPERLINK("https://fin.land.naver.com/articles/2649790458", "매물Link")</f>
        <v/>
      </c>
      <c r="Q312" s="6">
        <f>HYPERLINK("https://map.naver.com/p/search/조치원읍 남리 12-34", "지도Link")</f>
        <v/>
      </c>
      <c r="R312" s="6">
        <f>HYPERLINK("http://www.eum.go.kr/web/ar/lu/luLandDet.jsp?pnu=3611025027100120034&amp;isNoScr=script&amp;mode=search",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196.8</v>
      </c>
      <c r="V312" s="4" t="n">
        <v>108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도시형생활주택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25</v>
      </c>
      <c r="J313" s="4" t="n">
        <v>8</v>
      </c>
      <c r="K313" s="5" t="n">
        <v>3.8</v>
      </c>
      <c r="L313" s="4" t="n">
        <v>16</v>
      </c>
      <c r="M313" s="4" t="n">
        <v>5</v>
      </c>
      <c r="N313" s="5" t="n">
        <v>6</v>
      </c>
      <c r="O313" s="3" t="inlineStr">
        <is>
          <t>남리 깔끔1룸 월세,엘베있음.</t>
        </is>
      </c>
      <c r="P313" s="6">
        <f>HYPERLINK("https://fin.land.naver.com/articles/2650099249",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351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39</v>
      </c>
      <c r="J314" s="4" t="n">
        <v>12</v>
      </c>
      <c r="K314" s="5" t="n">
        <v>2.5</v>
      </c>
      <c r="L314" s="4" t="n">
        <v>26</v>
      </c>
      <c r="M314" s="4" t="n">
        <v>8</v>
      </c>
      <c r="N314" s="5" t="n">
        <v>3.8</v>
      </c>
      <c r="O314" s="3" t="inlineStr">
        <is>
          <t>넓은싸이즈 깔끔한 오피스텔 편리한주차시설 엘리베이터완비</t>
        </is>
      </c>
      <c r="P314" s="6">
        <f>HYPERLINK("https://fin.land.naver.com/articles/2650578754", "매물Link")</f>
        <v/>
      </c>
      <c r="Q314" s="6">
        <f>HYPERLINK("https://map.naver.com/p/search/조치원읍 남리 351", "지도Link")</f>
        <v/>
      </c>
      <c r="R314" s="6">
        <f>HYPERLINK("http://www.eum.go.kr/web/ar/lu/luLandDet.jsp?pnu=3611025027103510000&amp;isNoScr=script&amp;mode=search",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278.9</v>
      </c>
      <c r="V314" s="4" t="n">
        <v>812.5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소로각지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4</t>
        </is>
      </c>
      <c r="E316" s="3" t="inlineStr">
        <is>
          <t>일반원룸</t>
        </is>
      </c>
      <c r="F316" s="3" t="inlineStr">
        <is>
          <t>단기임대</t>
        </is>
      </c>
      <c r="G316" s="4" t="n">
        <v>120</v>
      </c>
      <c r="H316" s="4" t="n">
        <v>40</v>
      </c>
      <c r="I316" s="4" t="n">
        <v>29</v>
      </c>
      <c r="J316" s="4" t="n">
        <v>9</v>
      </c>
      <c r="K316" s="5" t="n">
        <v>13.3</v>
      </c>
      <c r="L316" s="4" t="n">
        <v>20</v>
      </c>
      <c r="M316" s="4" t="n">
        <v>6</v>
      </c>
      <c r="N316" s="5" t="n">
        <v>20</v>
      </c>
      <c r="O316" s="3" t="inlineStr">
        <is>
          <t>단기 2개월도 임대가능 명품원룸 조치원역도보5분 주차넉넉 즉시입주</t>
        </is>
      </c>
      <c r="P316" s="6">
        <f>HYPERLINK("https://fin.land.naver.com/articles/2651797631",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150</v>
      </c>
      <c r="H317" s="4" t="n">
        <v>40</v>
      </c>
      <c r="I317" s="4" t="n">
        <v>30</v>
      </c>
      <c r="J317" s="4" t="n">
        <v>9</v>
      </c>
      <c r="K317" s="5" t="n">
        <v>16.7</v>
      </c>
      <c r="L317" s="4" t="n">
        <v>21</v>
      </c>
      <c r="M317" s="4" t="n">
        <v>6</v>
      </c>
      <c r="N317" s="5" t="n">
        <v>25</v>
      </c>
      <c r="O317" s="3" t="inlineStr">
        <is>
          <t>조치원명품원룸 도시형생활주택 조치원역도보5분  즉시입주가능 관리소장근무</t>
        </is>
      </c>
      <c r="P317" s="6">
        <f>HYPERLINK("https://fin.land.naver.com/articles/2651801042",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150</v>
      </c>
      <c r="H318" s="4" t="n">
        <v>32</v>
      </c>
      <c r="I318" s="4" t="n">
        <v>24</v>
      </c>
      <c r="J318" s="4" t="n">
        <v>7</v>
      </c>
      <c r="K318" s="5" t="n">
        <v>4.6</v>
      </c>
      <c r="L318" s="4" t="n">
        <v>13</v>
      </c>
      <c r="M318" s="4" t="n">
        <v>4</v>
      </c>
      <c r="N318" s="5" t="n">
        <v>8</v>
      </c>
      <c r="O318" s="3" t="inlineStr">
        <is>
          <t>조치원명품원룸 도시형생활주택 조치원역도보5분  즉시입주가능 관리소장근무</t>
        </is>
      </c>
      <c r="P318" s="6">
        <f>HYPERLINK("https://fin.land.naver.com/articles/2651832029",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367-1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100</v>
      </c>
      <c r="H319" s="4" t="n">
        <v>30</v>
      </c>
      <c r="I319" s="4" t="n">
        <v>23</v>
      </c>
      <c r="J319" s="4" t="n">
        <v>7</v>
      </c>
      <c r="K319" s="5" t="n">
        <v>4.3</v>
      </c>
      <c r="L319" s="4" t="n">
        <v>18</v>
      </c>
      <c r="M319" s="4" t="n">
        <v>5</v>
      </c>
      <c r="N319" s="5" t="n">
        <v>6</v>
      </c>
      <c r="O319" s="3" t="inlineStr">
        <is>
          <t>방크고 저렴한 원룸</t>
        </is>
      </c>
      <c r="P319" s="6">
        <f>HYPERLINK("https://fin.land.naver.com/articles/2650575812", "매물Link")</f>
        <v/>
      </c>
      <c r="Q319" s="6">
        <f>HYPERLINK("https://map.naver.com/p/search/조치원읍 남리 367-1", "지도Link")</f>
        <v/>
      </c>
      <c r="R319" s="6">
        <f>HYPERLINK("http://www.eum.go.kr/web/ar/lu/luLandDet.jsp?pnu=3611025027103670001&amp;isNoScr=script&amp;mode=search", "토지이음")</f>
        <v/>
      </c>
      <c r="S319" s="3" t="inlineStr">
        <is>
          <t>골드</t>
        </is>
      </c>
      <c r="T319" s="4" t="n">
        <v>1</v>
      </c>
      <c r="U319" s="5" t="n">
        <v>280.4</v>
      </c>
      <c r="V319" s="4" t="n">
        <v>270.8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397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500</v>
      </c>
      <c r="H320" s="4" t="n">
        <v>45</v>
      </c>
      <c r="I320" s="4" t="n">
        <v>46</v>
      </c>
      <c r="J320" s="4" t="n">
        <v>14</v>
      </c>
      <c r="K320" s="5" t="n">
        <v>3.2</v>
      </c>
      <c r="L320" s="4" t="n">
        <v>40</v>
      </c>
      <c r="M320" s="4" t="n">
        <v>12</v>
      </c>
      <c r="N320" s="5" t="n">
        <v>3.8</v>
      </c>
      <c r="O320" s="3" t="inlineStr">
        <is>
          <t>저렴 넓은투룸 엘베유 전통시장 도보 가능합니다</t>
        </is>
      </c>
      <c r="P320" s="6">
        <f>HYPERLINK("https://fin.land.naver.com/articles/2648078391", "매물Link")</f>
        <v/>
      </c>
      <c r="Q320" s="6">
        <f>HYPERLINK("https://map.naver.com/p/search/조치원읍 남리 397", "지도Link")</f>
        <v/>
      </c>
      <c r="R320" s="6">
        <f>HYPERLINK("http://www.eum.go.kr/web/ar/lu/luLandDet.jsp?pnu=3611025027103970000&amp;isNoScr=script&amp;mode=search",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286.1</v>
      </c>
      <c r="V320" s="4" t="n">
        <v>546.2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중로한면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421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42</v>
      </c>
      <c r="J322" s="4" t="n">
        <v>13</v>
      </c>
      <c r="K322" s="5" t="n">
        <v>2.3</v>
      </c>
      <c r="L322" s="4" t="n">
        <v>36</v>
      </c>
      <c r="M322" s="4" t="n">
        <v>11</v>
      </c>
      <c r="N322" s="5" t="n">
        <v>2.7</v>
      </c>
      <c r="O322" s="3" t="inlineStr">
        <is>
          <t>풀옵션완비.주차시설편리.조치원시내권.역도가까워요</t>
        </is>
      </c>
      <c r="P322" s="6">
        <f>HYPERLINK("https://fin.land.naver.com/articles/2652875059", "매물Link")</f>
        <v/>
      </c>
      <c r="Q322" s="6">
        <f>HYPERLINK("https://map.naver.com/p/search/조치원읍 남리 421", "지도Link")</f>
        <v/>
      </c>
      <c r="R322" s="6">
        <f>HYPERLINK("http://www.eum.go.kr/web/ar/lu/luLandDet.jsp?pnu=3611025027104210000&amp;isNoScr=script&amp;mode=search",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284.6</v>
      </c>
      <c r="V322" s="4" t="n">
        <v>248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소로각지</t>
        </is>
      </c>
    </row>
    <row r="323">
      <c r="A323" s="3" t="inlineStr">
        <is>
          <t>조치원읍 남리 445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150</v>
      </c>
      <c r="H323" s="4" t="n">
        <v>30</v>
      </c>
      <c r="I323" s="4" t="n">
        <v>39</v>
      </c>
      <c r="J323" s="4" t="n">
        <v>12</v>
      </c>
      <c r="K323" s="5" t="n">
        <v>2.5</v>
      </c>
      <c r="L323" s="4" t="n">
        <v>26</v>
      </c>
      <c r="M323" s="4" t="n">
        <v>8</v>
      </c>
      <c r="N323" s="5" t="n">
        <v>3.8</v>
      </c>
      <c r="O323" s="3" t="inlineStr">
        <is>
          <t>저렴한 원룸.가성비 짱.조치원역도보거리.시내권.</t>
        </is>
      </c>
      <c r="P323" s="6">
        <f>HYPERLINK("https://fin.land.naver.com/articles/2652559742", "매물Link")</f>
        <v/>
      </c>
      <c r="Q323" s="6">
        <f>HYPERLINK("https://map.naver.com/p/search/조치원읍 남리 445", "지도Link")</f>
        <v/>
      </c>
      <c r="R323" s="6">
        <f>HYPERLINK("http://www.eum.go.kr/web/ar/lu/luLandDet.jsp?pnu=3611025027104450000&amp;isNoScr=script&amp;mode=search",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207.7</v>
      </c>
      <c r="V323" s="4" t="n">
        <v>287.8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소로한면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26</v>
      </c>
      <c r="I324" s="4" t="n">
        <v>20</v>
      </c>
      <c r="J324" s="4" t="n">
        <v>6</v>
      </c>
      <c r="K324" s="5" t="n">
        <v>4.3</v>
      </c>
      <c r="L324" s="4" t="n">
        <v>20</v>
      </c>
      <c r="M324" s="4" t="n">
        <v>6</v>
      </c>
      <c r="N324" s="5" t="n">
        <v>4.3</v>
      </c>
      <c r="O324" s="3" t="inlineStr">
        <is>
          <t>남리 원룸 전통시장 조치원역도보가능합니다</t>
        </is>
      </c>
      <c r="P324" s="6">
        <f>HYPERLINK("https://fin.land.naver.com/articles/2649793828",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OK수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473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다가구</t>
        </is>
      </c>
      <c r="F325" s="3" t="inlineStr">
        <is>
          <t>월세</t>
        </is>
      </c>
      <c r="G325" s="4" t="n">
        <v>200</v>
      </c>
      <c r="H325" s="4" t="n">
        <v>31</v>
      </c>
      <c r="I325" s="4" t="n">
        <v>26</v>
      </c>
      <c r="J325" s="4" t="n">
        <v>8</v>
      </c>
      <c r="K325" s="5" t="n">
        <v>3.9</v>
      </c>
      <c r="L325" s="4" t="n">
        <v>26</v>
      </c>
      <c r="M325" s="4" t="n">
        <v>8</v>
      </c>
      <c r="N325" s="5" t="n">
        <v>3.9</v>
      </c>
      <c r="O325" s="3" t="inlineStr">
        <is>
          <t>조치원 시내이며, 재래시장, 초등학교인근이며, 오송과 인접함</t>
        </is>
      </c>
      <c r="P325" s="6">
        <f>HYPERLINK("https://fin.land.naver.com/articles/2651504477", "매물Link")</f>
        <v/>
      </c>
      <c r="Q325" s="6">
        <f>HYPERLINK("https://map.naver.com/p/search/조치원읍 남리 473", "지도Link")</f>
        <v/>
      </c>
      <c r="R325" s="6">
        <f>HYPERLINK("http://www.eum.go.kr/web/ar/lu/luLandDet.jsp?pnu=3611025027104730000&amp;isNoScr=script&amp;mode=search",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261.8</v>
      </c>
      <c r="V325" s="4" t="n">
        <v>446.7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중로한면</t>
        </is>
      </c>
    </row>
    <row r="326">
      <c r="A326" s="3" t="inlineStr">
        <is>
          <t>조치원읍 남리 60-2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19</v>
      </c>
      <c r="J326" s="4" t="n">
        <v>6</v>
      </c>
      <c r="K326" s="5" t="n">
        <v>4.5</v>
      </c>
      <c r="L326" s="4" t="n">
        <v>14</v>
      </c>
      <c r="M326" s="4" t="n">
        <v>4</v>
      </c>
      <c r="N326" s="5" t="n">
        <v>6.8</v>
      </c>
      <c r="O326" s="3" t="inlineStr">
        <is>
          <t>전통시장 웰마트인근 깔끔 원룸.즉시입주가능합니다.</t>
        </is>
      </c>
      <c r="P326" s="6">
        <f>HYPERLINK("https://fin.land.naver.com/articles/2649412487", "매물Link")</f>
        <v/>
      </c>
      <c r="Q326" s="6">
        <f>HYPERLINK("https://map.naver.com/p/search/조치원읍 남리 60-2", "지도Link")</f>
        <v/>
      </c>
      <c r="R326" s="6">
        <f>HYPERLINK("http://www.eum.go.kr/web/ar/lu/luLandDet.jsp?pnu=3611025027100600002&amp;isNoScr=script&amp;mode=search", "토지이음")</f>
        <v/>
      </c>
      <c r="S326" s="3" t="inlineStr">
        <is>
          <t>이음</t>
        </is>
      </c>
      <c r="T326" s="4" t="n">
        <v>1</v>
      </c>
      <c r="U326" s="5" t="n">
        <v>458.8</v>
      </c>
      <c r="V326" s="4" t="n">
        <v>452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소로각지</t>
        </is>
      </c>
    </row>
    <row r="327">
      <c r="A327" s="3" t="inlineStr">
        <is>
          <t>조치원읍 남리 60-8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35</v>
      </c>
      <c r="I327" s="4" t="n">
        <v>42</v>
      </c>
      <c r="J327" s="4" t="n">
        <v>13</v>
      </c>
      <c r="K327" s="5" t="n">
        <v>2.7</v>
      </c>
      <c r="L327" s="4" t="n">
        <v>29</v>
      </c>
      <c r="M327" s="4" t="n">
        <v>9</v>
      </c>
      <c r="N327" s="5" t="n">
        <v>3.9</v>
      </c>
      <c r="O327" s="3" t="inlineStr">
        <is>
          <t>큰 방.조치원시내위치.깔끔한관리.즉시입주.</t>
        </is>
      </c>
      <c r="P327" s="6">
        <f>HYPERLINK("https://fin.land.naver.com/articles/2650821771", "매물Link")</f>
        <v/>
      </c>
      <c r="Q327" s="6">
        <f>HYPERLINK("https://map.naver.com/p/search/조치원읍 남리 60-8", "지도Link")</f>
        <v/>
      </c>
      <c r="R327" s="6">
        <f>HYPERLINK("http://www.eum.go.kr/web/ar/lu/luLandDet.jsp?pnu=3611025027100600008&amp;isNoScr=script&amp;mode=search",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400</v>
      </c>
      <c r="V327" s="4" t="n">
        <v>514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세로한면(가)</t>
        </is>
      </c>
    </row>
    <row r="328">
      <c r="A328" s="3" t="inlineStr">
        <is>
          <t>조치원읍 남리 60-8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월세</t>
        </is>
      </c>
      <c r="G328" s="4" t="n">
        <v>200</v>
      </c>
      <c r="H328" s="4" t="n">
        <v>28</v>
      </c>
      <c r="I328" s="4" t="n">
        <v>18</v>
      </c>
      <c r="J328" s="4" t="n">
        <v>5</v>
      </c>
      <c r="K328" s="5" t="n">
        <v>5.6</v>
      </c>
      <c r="L328" s="4" t="n">
        <v>13</v>
      </c>
      <c r="M328" s="4" t="n">
        <v>4</v>
      </c>
      <c r="N328" s="5" t="n">
        <v>7</v>
      </c>
      <c r="O328" s="3" t="inlineStr">
        <is>
          <t>남리 원룸 전통시장 조치원역 도보가능합니다</t>
        </is>
      </c>
      <c r="P328" s="6">
        <f>HYPERLINK("https://fin.land.naver.com/articles/2649006424", "매물Link")</f>
        <v/>
      </c>
      <c r="Q328" s="6">
        <f>HYPERLINK("https://map.naver.com/p/search/조치원읍 남리 60-8", "지도Link")</f>
        <v/>
      </c>
      <c r="R328" s="6">
        <f>HYPERLINK("http://www.eum.go.kr/web/ar/lu/luLandDet.jsp?pnu=3611025027100600008&amp;isNoScr=script&amp;mode=search",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400</v>
      </c>
      <c r="V328" s="4" t="n">
        <v>514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세로한면(가)</t>
        </is>
      </c>
    </row>
    <row r="329">
      <c r="A329" s="3" t="inlineStr">
        <is>
          <t>조치원읍 남리 60-8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29</v>
      </c>
      <c r="I329" s="4" t="n">
        <v>19</v>
      </c>
      <c r="J329" s="4" t="n">
        <v>6</v>
      </c>
      <c r="K329" s="5" t="n">
        <v>4.8</v>
      </c>
      <c r="L329" s="4" t="n">
        <v>14</v>
      </c>
      <c r="M329" s="4" t="n">
        <v>4</v>
      </c>
      <c r="N329" s="5" t="n">
        <v>7.2</v>
      </c>
      <c r="O329" s="3" t="inlineStr">
        <is>
          <t>조치원역 도보5분 풀옵션 분리형원룸</t>
        </is>
      </c>
      <c r="P329" s="6">
        <f>HYPERLINK("https://fin.land.naver.com/articles/2650893111", "매물Link")</f>
        <v/>
      </c>
      <c r="Q329" s="6">
        <f>HYPERLINK("https://map.naver.com/p/search/조치원읍 남리 60-8", "지도Link")</f>
        <v/>
      </c>
      <c r="R329" s="6">
        <f>HYPERLINK("http://www.eum.go.kr/web/ar/lu/luLandDet.jsp?pnu=3611025027100600008&amp;isNoScr=script&amp;mode=search",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400</v>
      </c>
      <c r="V329" s="4" t="n">
        <v>514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세로한면(가)</t>
        </is>
      </c>
    </row>
    <row r="330">
      <c r="A330" s="3" t="inlineStr">
        <is>
          <t>조치원읍 남리 62-19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다가구</t>
        </is>
      </c>
      <c r="F330" s="3" t="inlineStr">
        <is>
          <t>매매</t>
        </is>
      </c>
      <c r="G330" s="4" t="n">
        <v>29500</v>
      </c>
      <c r="H330" s="4" t="n">
        <v>0</v>
      </c>
      <c r="I330" s="4" t="n">
        <v>180</v>
      </c>
      <c r="J330" s="4" t="n">
        <v>54</v>
      </c>
      <c r="K330" s="5" t="n">
        <v>546.3</v>
      </c>
      <c r="L330" s="4" t="n">
        <v>163</v>
      </c>
      <c r="M330" s="4" t="n">
        <v>49</v>
      </c>
      <c r="N330" s="5" t="n">
        <v>602</v>
      </c>
      <c r="O330" s="3" t="inlineStr">
        <is>
          <t>조치원시내 관공서와 버스정류장 조치원역 도보로 가능한 조용한 주택,</t>
        </is>
      </c>
      <c r="P330" s="6">
        <f>HYPERLINK("https://fin.land.naver.com/articles/2651053326", "매물Link")</f>
        <v/>
      </c>
      <c r="Q330" s="6">
        <f>HYPERLINK("https://map.naver.com/p/search/조치원읍 남리 62-19", "지도Link")</f>
        <v/>
      </c>
      <c r="R330" s="6">
        <f>HYPERLINK("http://www.eum.go.kr/web/ar/lu/luLandDet.jsp?pnu=3611025027100620019&amp;isNoScr=script&amp;mode=search", "토지이음")</f>
        <v/>
      </c>
      <c r="S330" s="3" t="inlineStr">
        <is>
          <t>담뜰</t>
        </is>
      </c>
      <c r="T330" s="4" t="n">
        <v>1</v>
      </c>
      <c r="U330" s="5" t="n">
        <v>178.8</v>
      </c>
      <c r="V330" s="4" t="n">
        <v>180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세로한면(불)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전세</t>
        </is>
      </c>
      <c r="G331" s="4" t="n">
        <v>3900</v>
      </c>
      <c r="H331" s="4" t="n">
        <v>0</v>
      </c>
      <c r="I331" s="4" t="n">
        <v>26</v>
      </c>
      <c r="J331" s="4" t="n">
        <v>8</v>
      </c>
      <c r="K331" s="5" t="n">
        <v>487.5</v>
      </c>
      <c r="L331" s="4" t="n">
        <v>23</v>
      </c>
      <c r="M331" s="4" t="n">
        <v>7</v>
      </c>
      <c r="N331" s="5" t="n">
        <v>557.1</v>
      </c>
      <c r="O331" s="3" t="inlineStr">
        <is>
          <t>남리 원룸 전통시장 조치원역 도보가능합니다</t>
        </is>
      </c>
      <c r="P331" s="6">
        <f>HYPERLINK("https://fin.land.naver.com/articles/2649008339",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62-6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전세</t>
        </is>
      </c>
      <c r="G332" s="4" t="n">
        <v>4000</v>
      </c>
      <c r="H332" s="4" t="n">
        <v>0</v>
      </c>
      <c r="I332" s="4" t="n">
        <v>39</v>
      </c>
      <c r="J332" s="4" t="n">
        <v>12</v>
      </c>
      <c r="K332" s="5" t="n">
        <v>333.3</v>
      </c>
      <c r="L332" s="4" t="n">
        <v>26</v>
      </c>
      <c r="M332" s="4" t="n">
        <v>8</v>
      </c>
      <c r="N332" s="5" t="n">
        <v>500</v>
      </c>
      <c r="O332" s="3" t="inlineStr">
        <is>
          <t>nan</t>
        </is>
      </c>
      <c r="P332" s="6">
        <f>HYPERLINK("https://fin.land.naver.com/articles/2648311440", "매물Link")</f>
        <v/>
      </c>
      <c r="Q332" s="6">
        <f>HYPERLINK("https://map.naver.com/p/search/조치원읍 남리 62-6", "지도Link")</f>
        <v/>
      </c>
      <c r="R332" s="6">
        <f>HYPERLINK("http://www.eum.go.kr/web/ar/lu/luLandDet.jsp?pnu=3611025027100620006&amp;isNoScr=script&amp;mode=search",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396</v>
      </c>
      <c r="V332" s="4" t="n">
        <v>472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조치원읍 남리 62-6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전세</t>
        </is>
      </c>
      <c r="G333" s="4" t="n">
        <v>4000</v>
      </c>
      <c r="H333" s="4" t="n">
        <v>0</v>
      </c>
      <c r="I333" s="4" t="n">
        <v>26</v>
      </c>
      <c r="J333" s="4" t="n">
        <v>8</v>
      </c>
      <c r="K333" s="5" t="n">
        <v>500</v>
      </c>
      <c r="L333" s="4" t="n">
        <v>19</v>
      </c>
      <c r="M333" s="4" t="n">
        <v>6</v>
      </c>
      <c r="N333" s="5" t="n">
        <v>666.7</v>
      </c>
      <c r="O333" s="3" t="inlineStr">
        <is>
          <t>조치원역도보5분 근저당없는 전세 풀옵션 큰방</t>
        </is>
      </c>
      <c r="P333" s="6">
        <f>HYPERLINK("https://fin.land.naver.com/articles/2649101403", "매물Link")</f>
        <v/>
      </c>
      <c r="Q333" s="6">
        <f>HYPERLINK("https://map.naver.com/p/search/조치원읍 남리 62-6", "지도Link")</f>
        <v/>
      </c>
      <c r="R333" s="6">
        <f>HYPERLINK("http://www.eum.go.kr/web/ar/lu/luLandDet.jsp?pnu=3611025027100620006&amp;isNoScr=script&amp;mode=search", "토지이음")</f>
        <v/>
      </c>
      <c r="S333" s="3" t="inlineStr">
        <is>
          <t>용죽부자</t>
        </is>
      </c>
      <c r="T333" s="4" t="n">
        <v>1</v>
      </c>
      <c r="U333" s="5" t="n">
        <v>396</v>
      </c>
      <c r="V333" s="4" t="n">
        <v>472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69-17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연립</t>
        </is>
      </c>
      <c r="F335" s="3" t="inlineStr">
        <is>
          <t>매매</t>
        </is>
      </c>
      <c r="G335" s="4" t="n">
        <v>7500</v>
      </c>
      <c r="H335" s="4" t="n">
        <v>0</v>
      </c>
      <c r="I335" s="4" t="n">
        <v>47</v>
      </c>
      <c r="J335" s="4" t="n">
        <v>14</v>
      </c>
      <c r="K335" s="5" t="n">
        <v>535.7</v>
      </c>
      <c r="L335" s="4" t="n">
        <v>47</v>
      </c>
      <c r="M335" s="4" t="n">
        <v>14</v>
      </c>
      <c r="N335" s="5" t="n">
        <v>535.7</v>
      </c>
      <c r="O335" s="3" t="inlineStr">
        <is>
          <t>남리 성당근처 빌라 2층 수리됨 협의입주입니다</t>
        </is>
      </c>
      <c r="P335" s="6">
        <f>HYPERLINK("https://fin.land.naver.com/articles/2651708338", "매물Link")</f>
        <v/>
      </c>
      <c r="Q335" s="6">
        <f>HYPERLINK("https://map.naver.com/p/search/조치원읍 남리 69-17", "지도Link")</f>
        <v/>
      </c>
      <c r="R335" s="6">
        <f>HYPERLINK("http://www.eum.go.kr/web/ar/lu/luLandDet.jsp?pnu=3611025027100690017&amp;isNoScr=script&amp;mode=search",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202.1</v>
      </c>
      <c r="V335" s="4" t="n">
        <v>140</v>
      </c>
      <c r="W335" s="3" t="inlineStr">
        <is>
          <t>지정되지않음</t>
        </is>
      </c>
      <c r="X335" s="3" t="inlineStr">
        <is>
          <t>다세대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세로각지(가)</t>
        </is>
      </c>
    </row>
    <row r="336">
      <c r="A336" s="3" t="inlineStr">
        <is>
          <t>조치원읍 명리 13-1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500</v>
      </c>
      <c r="H336" s="4" t="n">
        <v>40</v>
      </c>
      <c r="I336" s="4" t="n">
        <v>42</v>
      </c>
      <c r="J336" s="4" t="n">
        <v>13</v>
      </c>
      <c r="K336" s="5" t="n">
        <v>3.1</v>
      </c>
      <c r="L336" s="4" t="n">
        <v>36</v>
      </c>
      <c r="M336" s="4" t="n">
        <v>11</v>
      </c>
      <c r="N336" s="5" t="n">
        <v>3.6</v>
      </c>
      <c r="O336" s="3" t="inlineStr">
        <is>
          <t>분리형1.5룸 엘리베이터있고 깔끔한 관리</t>
        </is>
      </c>
      <c r="P336" s="6">
        <f>HYPERLINK("https://fin.land.naver.com/articles/2653118453", "매물Link")</f>
        <v/>
      </c>
      <c r="Q336" s="6">
        <f>HYPERLINK("https://map.naver.com/p/search/조치원읍 명리 13-1", "지도Link")</f>
        <v/>
      </c>
      <c r="R336" s="6">
        <f>HYPERLINK("http://www.eum.go.kr/web/ar/lu/luLandDet.jsp?pnu=3611025026100130001&amp;isNoScr=script&amp;mode=search",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270.4</v>
      </c>
      <c r="V336" s="4" t="n">
        <v>377</v>
      </c>
      <c r="W336" s="3" t="inlineStr">
        <is>
          <t>지정되지않음</t>
        </is>
      </c>
      <c r="X336" s="3" t="inlineStr">
        <is>
          <t>주상기타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소로한면</t>
        </is>
      </c>
    </row>
    <row r="337">
      <c r="A337" s="3" t="inlineStr">
        <is>
          <t>조치원읍 명리 14-2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월세</t>
        </is>
      </c>
      <c r="G337" s="4" t="n">
        <v>1000</v>
      </c>
      <c r="H337" s="4" t="n">
        <v>55</v>
      </c>
      <c r="I337" s="4" t="n">
        <v>65</v>
      </c>
      <c r="J337" s="4" t="n">
        <v>20</v>
      </c>
      <c r="K337" s="5" t="n">
        <v>2.8</v>
      </c>
      <c r="L337" s="4" t="n">
        <v>65</v>
      </c>
      <c r="M337" s="4" t="n">
        <v>20</v>
      </c>
      <c r="N337" s="5" t="n">
        <v>2.8</v>
      </c>
      <c r="O337" s="3" t="inlineStr">
        <is>
          <t>시장 근처 깨끗한 2층 월세</t>
        </is>
      </c>
      <c r="P337" s="6">
        <f>HYPERLINK("https://fin.land.naver.com/articles/2648317283", "매물Link")</f>
        <v/>
      </c>
      <c r="Q337" s="6">
        <f>HYPERLINK("https://map.naver.com/p/search/조치원읍 명리 14-2", "지도Link")</f>
        <v/>
      </c>
      <c r="R337" s="6">
        <f>HYPERLINK("http://www.eum.go.kr/web/ar/lu/luLandDet.jsp?pnu=3611025026100140002&amp;isNoScr=script&amp;mode=search", "토지이음")</f>
        <v/>
      </c>
      <c r="S337" s="3" t="inlineStr">
        <is>
          <t>KB세종</t>
        </is>
      </c>
      <c r="T337" s="4" t="n">
        <v>1</v>
      </c>
      <c r="U337" s="5" t="n">
        <v>184.6</v>
      </c>
      <c r="V337" s="4" t="n">
        <v>145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세로한면(가)</t>
        </is>
      </c>
    </row>
    <row r="338">
      <c r="A338" s="3" t="inlineStr">
        <is>
          <t>조치원읍 명리 15-1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35000</v>
      </c>
      <c r="H338" s="4" t="n">
        <v>0</v>
      </c>
      <c r="I338" s="4" t="n">
        <v>340</v>
      </c>
      <c r="J338" s="4" t="n">
        <v>103</v>
      </c>
      <c r="K338" s="5" t="n">
        <v>339.8</v>
      </c>
      <c r="L338" s="4" t="n">
        <v>76</v>
      </c>
      <c r="M338" s="4" t="n">
        <v>23</v>
      </c>
      <c r="N338" s="5" t="n">
        <v>1521.7</v>
      </c>
      <c r="O338" s="3" t="inlineStr">
        <is>
          <t>명동초등학교 코너 주택</t>
        </is>
      </c>
      <c r="P338" s="6">
        <f>HYPERLINK("https://fin.land.naver.com/articles/2651590418", "매물Link")</f>
        <v/>
      </c>
      <c r="Q338" s="6">
        <f>HYPERLINK("https://map.naver.com/p/search/조치원읍 명리 15-1", "지도Link")</f>
        <v/>
      </c>
      <c r="R338" s="6">
        <f>HYPERLINK("http://www.eum.go.kr/web/ar/lu/luLandDet.jsp?pnu=3611025026100150001&amp;isNoScr=script&amp;mode=search",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207.3</v>
      </c>
      <c r="V338" s="4" t="n">
        <v>304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명리 50-4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매매</t>
        </is>
      </c>
      <c r="G339" s="4" t="n">
        <v>20000</v>
      </c>
      <c r="H339" s="4" t="n">
        <v>0</v>
      </c>
      <c r="I339" s="4" t="n">
        <v>171</v>
      </c>
      <c r="J339" s="4" t="n">
        <v>52</v>
      </c>
      <c r="K339" s="5" t="n">
        <v>384.6</v>
      </c>
      <c r="L339" s="4" t="n">
        <v>83</v>
      </c>
      <c r="M339" s="4" t="n">
        <v>25</v>
      </c>
      <c r="N339" s="5" t="n">
        <v>800</v>
      </c>
      <c r="O339" s="3" t="inlineStr">
        <is>
          <t>명리 단독 1층 즉시입주가능 전통시장 조치원역 도보가능합니다</t>
        </is>
      </c>
      <c r="P339" s="6">
        <f>HYPERLINK("https://fin.land.naver.com/articles/2648078031", "매물Link")</f>
        <v/>
      </c>
      <c r="Q339" s="6">
        <f>HYPERLINK("https://map.naver.com/p/search/조치원읍 명리 50-4", "지도Link")</f>
        <v/>
      </c>
      <c r="R339" s="6">
        <f>HYPERLINK("http://www.eum.go.kr/web/ar/lu/luLandDet.jsp?pnu=3611025026100500004&amp;isNoScr=script&amp;mode=search",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176.3</v>
      </c>
      <c r="V339" s="4" t="n">
        <v>171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명리 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325</v>
      </c>
      <c r="J340" s="4" t="n">
        <v>98</v>
      </c>
      <c r="K340" s="5" t="n">
        <v>459.2</v>
      </c>
      <c r="L340" s="4" t="n">
        <v>218</v>
      </c>
      <c r="M340" s="4" t="n">
        <v>66</v>
      </c>
      <c r="N340" s="5" t="n">
        <v>681.8</v>
      </c>
      <c r="O340" s="3" t="inlineStr">
        <is>
          <t>교통과 생활이 편리한 위치,초등학교 인근,대지 넓은 단독주택</t>
        </is>
      </c>
      <c r="P340" s="6">
        <f>HYPERLINK("https://fin.land.naver.com/articles/2653047822", "매물Link")</f>
        <v/>
      </c>
      <c r="Q340" s="6">
        <f>HYPERLINK("https://map.naver.com/p/search/조치원읍 명리 51", "지도Link")</f>
        <v/>
      </c>
      <c r="R340" s="6">
        <f>HYPERLINK("http://www.eum.go.kr/web/ar/lu/luLandDet.jsp?pnu=3611025026100510000&amp;isNoScr=script&amp;mode=search", "토지이음")</f>
        <v/>
      </c>
      <c r="S340" s="3" t="inlineStr">
        <is>
          <t>유정희</t>
        </is>
      </c>
      <c r="T340" s="4" t="n">
        <v>1</v>
      </c>
      <c r="U340" s="5" t="n">
        <v>223.3</v>
      </c>
      <c r="V340" s="4" t="n">
        <v>318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부정형</t>
        </is>
      </c>
      <c r="AA340" s="3" t="inlineStr">
        <is>
          <t>소로한면</t>
        </is>
      </c>
    </row>
    <row r="341">
      <c r="A341" s="3" t="inlineStr">
        <is>
          <t>조치원읍 명리 54-12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31</v>
      </c>
      <c r="I341" s="4" t="n">
        <v>26</v>
      </c>
      <c r="J341" s="4" t="n">
        <v>8</v>
      </c>
      <c r="K341" s="5" t="n">
        <v>3.9</v>
      </c>
      <c r="L341" s="4" t="n">
        <v>26</v>
      </c>
      <c r="M341" s="4" t="n">
        <v>8</v>
      </c>
      <c r="N341" s="5" t="n">
        <v>3.9</v>
      </c>
      <c r="O341" s="3" t="inlineStr">
        <is>
          <t>끌끔하고 위치좋은 원룸 2층</t>
        </is>
      </c>
      <c r="P341" s="6">
        <f>HYPERLINK("https://fin.land.naver.com/articles/2648560985", "매물Link")</f>
        <v/>
      </c>
      <c r="Q341" s="6">
        <f>HYPERLINK("https://map.naver.com/p/search/조치원읍 명리 54-12", "지도Link")</f>
        <v/>
      </c>
      <c r="R341" s="6">
        <f>HYPERLINK("http://www.eum.go.kr/web/ar/lu/luLandDet.jsp?pnu=3611025026100540012&amp;isNoScr=script&amp;mode=search", "토지이음")</f>
        <v/>
      </c>
      <c r="S341" s="3" t="inlineStr">
        <is>
          <t>세종베스트</t>
        </is>
      </c>
      <c r="T341" s="4" t="n">
        <v>1</v>
      </c>
      <c r="U341" s="5" t="n">
        <v>230.3</v>
      </c>
      <c r="V341" s="4" t="n">
        <v>520</v>
      </c>
      <c r="W341" s="3" t="inlineStr">
        <is>
          <t>지정되지않음</t>
        </is>
      </c>
      <c r="X341" s="3" t="inlineStr">
        <is>
          <t>주거기타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소로한면</t>
        </is>
      </c>
    </row>
    <row r="342">
      <c r="A342" s="3" t="inlineStr">
        <is>
          <t>조치원읍 명리 66-2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단독</t>
        </is>
      </c>
      <c r="F342" s="3" t="inlineStr">
        <is>
          <t>월세</t>
        </is>
      </c>
      <c r="G342" s="4" t="n">
        <v>1000</v>
      </c>
      <c r="H342" s="4" t="n">
        <v>50</v>
      </c>
      <c r="I342" s="4" t="n">
        <v>0</v>
      </c>
      <c r="J342" s="4" t="n">
        <v>0</v>
      </c>
      <c r="K342" s="5" t="n">
        <v>0</v>
      </c>
      <c r="L342" s="4" t="n">
        <v>71</v>
      </c>
      <c r="M342" s="4" t="n">
        <v>21</v>
      </c>
      <c r="N342" s="5" t="n">
        <v>2.4</v>
      </c>
      <c r="O342" s="3" t="inlineStr">
        <is>
          <t>남리 마을회관인근 1층 귀한 주택월세 방3개 화1</t>
        </is>
      </c>
      <c r="P342" s="6">
        <f>HYPERLINK("https://fin.land.naver.com/articles/2652009820", "매물Link")</f>
        <v/>
      </c>
      <c r="Q342" s="6">
        <f>HYPERLINK("https://map.naver.com/p/search/조치원읍 명리 66-2", "지도Link")</f>
        <v/>
      </c>
      <c r="R342" s="6">
        <f>HYPERLINK("http://www.eum.go.kr/web/ar/lu/luLandDet.jsp?pnu=3611025026100660002&amp;isNoScr=script&amp;mode=search", "토지이음")</f>
        <v/>
      </c>
      <c r="S342" s="3" t="inlineStr">
        <is>
          <t>욱일</t>
        </is>
      </c>
      <c r="T342" s="4" t="n">
        <v>1</v>
      </c>
      <c r="U342" s="5" t="n">
        <v>208.4</v>
      </c>
      <c r="V342" s="4" t="n">
        <v>141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소로한면</t>
        </is>
      </c>
    </row>
    <row r="343">
      <c r="A343" s="3" t="inlineStr">
        <is>
          <t>조치원읍 명리 79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상가주택</t>
        </is>
      </c>
      <c r="F343" s="3" t="inlineStr">
        <is>
          <t>매매</t>
        </is>
      </c>
      <c r="G343" s="4" t="n">
        <v>95000</v>
      </c>
      <c r="H343" s="4" t="n">
        <v>0</v>
      </c>
      <c r="I343" s="4" t="n">
        <v>261</v>
      </c>
      <c r="J343" s="4" t="n">
        <v>79</v>
      </c>
      <c r="K343" s="5" t="n">
        <v>1202.5</v>
      </c>
      <c r="L343" s="4" t="n">
        <v>492</v>
      </c>
      <c r="M343" s="4" t="n">
        <v>149</v>
      </c>
      <c r="N343" s="5" t="n">
        <v>637.6</v>
      </c>
      <c r="O343" s="3" t="inlineStr">
        <is>
          <t>명리 코너 상가주택 1,2층 상가 3층주택</t>
        </is>
      </c>
      <c r="P343" s="6">
        <f>HYPERLINK("https://fin.land.naver.com/articles/2649283511", "매물Link")</f>
        <v/>
      </c>
      <c r="Q343" s="6">
        <f>HYPERLINK("https://map.naver.com/p/search/조치원읍 명리 79", "지도Link")</f>
        <v/>
      </c>
      <c r="R343" s="6">
        <f>HYPERLINK("http://www.eum.go.kr/web/ar/lu/luLandDet.jsp?pnu=3611025026100790000&amp;isNoScr=script&amp;mode=search",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358.3</v>
      </c>
      <c r="V343" s="4" t="n">
        <v>153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중로각지</t>
        </is>
      </c>
    </row>
    <row r="344">
      <c r="A344" s="3" t="inlineStr">
        <is>
          <t>조치원읍 번암리 110-1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상가주택</t>
        </is>
      </c>
      <c r="F344" s="3" t="inlineStr">
        <is>
          <t>매매</t>
        </is>
      </c>
      <c r="G344" s="4" t="n">
        <v>75000</v>
      </c>
      <c r="H344" s="4" t="n">
        <v>0</v>
      </c>
      <c r="I344" s="4" t="n">
        <v>328</v>
      </c>
      <c r="J344" s="4" t="n">
        <v>99</v>
      </c>
      <c r="K344" s="5" t="n">
        <v>757.6</v>
      </c>
      <c r="L344" s="4" t="n">
        <v>421</v>
      </c>
      <c r="M344" s="4" t="n">
        <v>127</v>
      </c>
      <c r="N344" s="5" t="n">
        <v>590.6</v>
      </c>
      <c r="O344" s="3" t="inlineStr">
        <is>
          <t>번암리 홈플러스 맞은편 6차선 접한 상가주택 저렴합니다</t>
        </is>
      </c>
      <c r="P344" s="6">
        <f>HYPERLINK("https://fin.land.naver.com/articles/2649796407", "매물Link")</f>
        <v/>
      </c>
      <c r="Q344" s="6">
        <f>HYPERLINK("https://map.naver.com/p/search/조치원읍 번암리 110-1", "지도Link")</f>
        <v/>
      </c>
      <c r="R344" s="6">
        <f>HYPERLINK("http://www.eum.go.kr/web/ar/lu/luLandDet.jsp?pnu=3611025031101100001&amp;isNoScr=script&amp;mode=search",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341.8</v>
      </c>
      <c r="V344" s="4" t="n">
        <v>349</v>
      </c>
      <c r="W344" s="3" t="inlineStr">
        <is>
          <t>지정되지않음</t>
        </is>
      </c>
      <c r="X344" s="3" t="inlineStr">
        <is>
          <t>주상용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광대로한면</t>
        </is>
      </c>
    </row>
    <row r="345">
      <c r="A345" s="3" t="inlineStr">
        <is>
          <t>조치원읍 번암리 69-12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200</v>
      </c>
      <c r="H345" s="4" t="n">
        <v>30</v>
      </c>
      <c r="I345" s="4" t="n">
        <v>0</v>
      </c>
      <c r="J345" s="4" t="n">
        <v>0</v>
      </c>
      <c r="K345" s="5" t="n">
        <v>0</v>
      </c>
      <c r="L345" s="4" t="n">
        <v>26</v>
      </c>
      <c r="M345" s="4" t="n">
        <v>8</v>
      </c>
      <c r="N345" s="5" t="n">
        <v>3.8</v>
      </c>
      <c r="O345" s="3" t="inlineStr">
        <is>
          <t>엘리베이터 있어요. 원 룸 분리형 구조</t>
        </is>
      </c>
      <c r="P345" s="6">
        <f>HYPERLINK("https://fin.land.naver.com/articles/2652478073", "매물Link")</f>
        <v/>
      </c>
      <c r="Q345" s="6">
        <f>HYPERLINK("https://map.naver.com/p/search/조치원읍 번암리 69-12", "지도Link")</f>
        <v/>
      </c>
      <c r="R345" s="6">
        <f>HYPERLINK("http://www.eum.go.kr/web/ar/lu/luLandDet.jsp?pnu=3611025031100690012&amp;isNoScr=script&amp;mode=search", "토지이음")</f>
        <v/>
      </c>
      <c r="S345" s="3" t="inlineStr">
        <is>
          <t>지성</t>
        </is>
      </c>
      <c r="T345" s="4" t="n">
        <v>1</v>
      </c>
      <c r="U345" s="5" t="n">
        <v>341.2</v>
      </c>
      <c r="V345" s="4" t="n">
        <v>338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광대로한면</t>
        </is>
      </c>
    </row>
    <row r="346">
      <c r="A346" s="3" t="inlineStr">
        <is>
          <t>조치원읍 봉산리 190-11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빌라</t>
        </is>
      </c>
      <c r="F346" s="3" t="inlineStr">
        <is>
          <t>매매</t>
        </is>
      </c>
      <c r="G346" s="4" t="n">
        <v>4500</v>
      </c>
      <c r="H346" s="4" t="n">
        <v>0</v>
      </c>
      <c r="I346" s="4" t="n">
        <v>21</v>
      </c>
      <c r="J346" s="4" t="n">
        <v>6</v>
      </c>
      <c r="K346" s="5" t="n">
        <v>750</v>
      </c>
      <c r="L346" s="4" t="n">
        <v>20</v>
      </c>
      <c r="M346" s="4" t="n">
        <v>6</v>
      </c>
      <c r="N346" s="5" t="n">
        <v>750</v>
      </c>
      <c r="O346" s="3" t="inlineStr">
        <is>
          <t>고려대 세종캠퍼스 인근 복층형 원룸 개별 매매</t>
        </is>
      </c>
      <c r="P346" s="6">
        <f>HYPERLINK("https://fin.land.naver.com/articles/2648580362", "매물Link")</f>
        <v/>
      </c>
      <c r="Q346" s="6">
        <f>HYPERLINK("https://map.naver.com/p/search/조치원읍 봉산리 190-11", "지도Link")</f>
        <v/>
      </c>
      <c r="R346" s="6">
        <f>HYPERLINK("http://www.eum.go.kr/web/ar/lu/luLandDet.jsp?pnu=3611025033101900011&amp;isNoScr=script&amp;mode=search", "토지이음")</f>
        <v/>
      </c>
      <c r="S346" s="3" t="inlineStr">
        <is>
          <t>고래</t>
        </is>
      </c>
      <c r="T346" s="4" t="n">
        <v>1</v>
      </c>
      <c r="U346" s="5" t="n">
        <v>168.4</v>
      </c>
      <c r="V346" s="4" t="n">
        <v>565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봉산리 191-9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월세</t>
        </is>
      </c>
      <c r="G347" s="4" t="n">
        <v>500</v>
      </c>
      <c r="H347" s="4" t="n">
        <v>35</v>
      </c>
      <c r="I347" s="4" t="n">
        <v>136</v>
      </c>
      <c r="J347" s="4" t="n">
        <v>41</v>
      </c>
      <c r="K347" s="5" t="n">
        <v>0.9</v>
      </c>
      <c r="L347" s="4" t="n">
        <v>35</v>
      </c>
      <c r="M347" s="4" t="n">
        <v>11</v>
      </c>
      <c r="N347" s="5" t="n">
        <v>3.2</v>
      </c>
      <c r="O347" s="3" t="inlineStr">
        <is>
          <t>nan</t>
        </is>
      </c>
      <c r="P347" s="6">
        <f>HYPERLINK("https://fin.land.naver.com/articles/2648764888", "매물Link")</f>
        <v/>
      </c>
      <c r="Q347" s="6">
        <f>HYPERLINK("https://map.naver.com/p/search/조치원읍 봉산리 191-9", "지도Link")</f>
        <v/>
      </c>
      <c r="R347" s="6">
        <f>HYPERLINK("http://www.eum.go.kr/web/ar/lu/luLandDet.jsp?pnu=3611025033101910009&amp;isNoScr=script&amp;mode=search",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170.1</v>
      </c>
      <c r="V347" s="4" t="n">
        <v>136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세로한면(가)</t>
        </is>
      </c>
    </row>
    <row r="348">
      <c r="A348" s="3" t="inlineStr">
        <is>
          <t>조치원읍 상리 123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23</v>
      </c>
      <c r="M348" s="4" t="n">
        <v>7</v>
      </c>
      <c r="N348" s="5" t="n">
        <v>4.3</v>
      </c>
      <c r="O348" s="3" t="inlineStr">
        <is>
          <t>L 시장.터미널앞, 역5분, 즉시입주가능, 특대형원룸</t>
        </is>
      </c>
      <c r="P348" s="6">
        <f>HYPERLINK("https://fin.land.naver.com/articles/2651114568", "매물Link")</f>
        <v/>
      </c>
      <c r="Q348" s="6">
        <f>HYPERLINK("https://map.naver.com/p/search/조치원읍 상리 123", "지도Link")</f>
        <v/>
      </c>
      <c r="R348" s="6">
        <f>HYPERLINK("http://www.eum.go.kr/web/ar/lu/luLandDet.jsp?pnu=3611025022101230000&amp;isNoScr=script&amp;mode=search", "토지이음")</f>
        <v/>
      </c>
      <c r="S348" s="3" t="inlineStr">
        <is>
          <t>바다</t>
        </is>
      </c>
      <c r="T348" s="4" t="n">
        <v>1</v>
      </c>
      <c r="U348" s="5" t="n">
        <v>280</v>
      </c>
      <c r="V348" s="4" t="n">
        <v>236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23</v>
      </c>
      <c r="J349" s="4" t="n">
        <v>7</v>
      </c>
      <c r="K349" s="5" t="n">
        <v>4.3</v>
      </c>
      <c r="L349" s="4" t="n">
        <v>18</v>
      </c>
      <c r="M349" s="4" t="n">
        <v>5</v>
      </c>
      <c r="N349" s="5" t="n">
        <v>6</v>
      </c>
      <c r="O349" s="3" t="inlineStr">
        <is>
          <t>베란다,엘리베이터</t>
        </is>
      </c>
      <c r="P349" s="6">
        <f>HYPERLINK("https://fin.land.naver.com/articles/2649308603",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골드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39</v>
      </c>
      <c r="J351" s="4" t="n">
        <v>12</v>
      </c>
      <c r="K351" s="5" t="n">
        <v>2.5</v>
      </c>
      <c r="L351" s="4" t="n">
        <v>26</v>
      </c>
      <c r="M351" s="4" t="n">
        <v>8</v>
      </c>
      <c r="N351" s="5" t="n">
        <v>3.8</v>
      </c>
      <c r="O351" s="3" t="inlineStr">
        <is>
          <t>터미널 근처.예쁜룸.즉시입주 가능</t>
        </is>
      </c>
      <c r="P351" s="6">
        <f>HYPERLINK("https://fin.land.naver.com/articles/2652314109",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124-2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39</v>
      </c>
      <c r="J352" s="4" t="n">
        <v>12</v>
      </c>
      <c r="K352" s="5" t="n">
        <v>2.5</v>
      </c>
      <c r="L352" s="4" t="n">
        <v>26</v>
      </c>
      <c r="M352" s="4" t="n">
        <v>8</v>
      </c>
      <c r="N352" s="5" t="n">
        <v>3.8</v>
      </c>
      <c r="O352" s="3" t="inlineStr">
        <is>
          <t>터미널 근처.배란다가 아주큰 전망좋은 집.즉시입주 가능</t>
        </is>
      </c>
      <c r="P352" s="6">
        <f>HYPERLINK("https://fin.land.naver.com/articles/2652312867", "매물Link")</f>
        <v/>
      </c>
      <c r="Q352" s="6">
        <f>HYPERLINK("https://map.naver.com/p/search/조치원읍 상리 124-2", "지도Link")</f>
        <v/>
      </c>
      <c r="R352" s="6">
        <f>HYPERLINK("http://www.eum.go.kr/web/ar/lu/luLandDet.jsp?pnu=3611025022101240002&amp;isNoScr=script&amp;mode=search",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240.7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상리 132-1</t>
        </is>
      </c>
      <c r="B353" s="3" t="inlineStr">
        <is>
          <t>준주거지역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65000</v>
      </c>
      <c r="H353" s="4" t="n">
        <v>0</v>
      </c>
      <c r="I353" s="4" t="n">
        <v>116</v>
      </c>
      <c r="J353" s="4" t="n">
        <v>35</v>
      </c>
      <c r="K353" s="5" t="n">
        <v>1857.1</v>
      </c>
      <c r="L353" s="4" t="n">
        <v>184</v>
      </c>
      <c r="M353" s="4" t="n">
        <v>56</v>
      </c>
      <c r="N353" s="5" t="n">
        <v>1160.7</v>
      </c>
      <c r="O353" s="3" t="inlineStr">
        <is>
          <t>상리 세종문화원 맞은편 2차선 접한 전면 넓은 상가 광고효과 좋음</t>
        </is>
      </c>
      <c r="P353" s="6">
        <f>HYPERLINK("https://fin.land.naver.com/articles/2651593382", "매물Link")</f>
        <v/>
      </c>
      <c r="Q353" s="6">
        <f>HYPERLINK("https://map.naver.com/p/search/조치원읍 상리 132-1", "지도Link")</f>
        <v/>
      </c>
      <c r="R353" s="6">
        <f>HYPERLINK("http://www.eum.go.kr/web/ar/lu/luLandDet.jsp?pnu=3611025022101320001&amp;isNoScr=script&amp;mode=search",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640.7</v>
      </c>
      <c r="V353" s="4" t="n">
        <v>116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중로한면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59-1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매매</t>
        </is>
      </c>
      <c r="G355" s="4" t="n">
        <v>82000</v>
      </c>
      <c r="H355" s="4" t="n">
        <v>0</v>
      </c>
      <c r="I355" s="4" t="n">
        <v>210</v>
      </c>
      <c r="J355" s="4" t="n">
        <v>64</v>
      </c>
      <c r="K355" s="5" t="n">
        <v>1281.2</v>
      </c>
      <c r="L355" s="4" t="n">
        <v>305</v>
      </c>
      <c r="M355" s="4" t="n">
        <v>92</v>
      </c>
      <c r="N355" s="5" t="n">
        <v>891.3</v>
      </c>
      <c r="O355" s="3" t="inlineStr">
        <is>
          <t>상리 상생마을 옆 교통좋고 잘 지어진 다가구주택 매매.</t>
        </is>
      </c>
      <c r="P355" s="6">
        <f>HYPERLINK("https://fin.land.naver.com/articles/2648284479", "매물Link")</f>
        <v/>
      </c>
      <c r="Q355" s="6">
        <f>HYPERLINK("https://map.naver.com/p/search/조치원읍 상리 59-1", "지도Link")</f>
        <v/>
      </c>
      <c r="R355" s="6">
        <f>HYPERLINK("http://www.eum.go.kr/web/ar/lu/luLandDet.jsp?pnu=3611025022100590001&amp;isNoScr=script&amp;mode=search", "토지이음")</f>
        <v/>
      </c>
      <c r="S355" s="3" t="inlineStr">
        <is>
          <t>세종대장</t>
        </is>
      </c>
      <c r="T355" s="4" t="n">
        <v>1</v>
      </c>
      <c r="U355" s="5" t="n">
        <v>207.1</v>
      </c>
      <c r="V355" s="4" t="n">
        <v>210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소로각지</t>
        </is>
      </c>
    </row>
    <row r="356">
      <c r="A356" s="3" t="inlineStr">
        <is>
          <t>조치원읍 상리 67-9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월세</t>
        </is>
      </c>
      <c r="G356" s="4" t="n">
        <v>200</v>
      </c>
      <c r="H356" s="4" t="n">
        <v>25</v>
      </c>
      <c r="I356" s="4" t="n">
        <v>19</v>
      </c>
      <c r="J356" s="4" t="n">
        <v>6</v>
      </c>
      <c r="K356" s="5" t="n">
        <v>4.2</v>
      </c>
      <c r="L356" s="4" t="n">
        <v>19</v>
      </c>
      <c r="M356" s="4" t="n">
        <v>6</v>
      </c>
      <c r="N356" s="5" t="n">
        <v>4.2</v>
      </c>
      <c r="O356" s="3" t="inlineStr">
        <is>
          <t>조치원읍 상리 단독주택 2층 월세</t>
        </is>
      </c>
      <c r="P356" s="6">
        <f>HYPERLINK("https://fin.land.naver.com/articles/2652494086", "매물Link")</f>
        <v/>
      </c>
      <c r="Q356" s="6">
        <f>HYPERLINK("https://map.naver.com/p/search/조치원읍 상리 67-9", "지도Link")</f>
        <v/>
      </c>
      <c r="R356" s="6">
        <f>HYPERLINK("http://www.eum.go.kr/web/ar/lu/luLandDet.jsp?pnu=3611025022100670009&amp;isNoScr=script&amp;mode=search", "토지이음")</f>
        <v/>
      </c>
      <c r="S356" s="3" t="inlineStr">
        <is>
          <t>동원</t>
        </is>
      </c>
      <c r="T356" s="4" t="n">
        <v>1</v>
      </c>
      <c r="U356" s="5" t="n">
        <v>154</v>
      </c>
      <c r="V356" s="4" t="n">
        <v>201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세로한면(불)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0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4500</v>
      </c>
      <c r="H357" s="4" t="n">
        <v>12</v>
      </c>
      <c r="I357" s="4" t="n">
        <v>0</v>
      </c>
      <c r="J357" s="4" t="n">
        <v>0</v>
      </c>
      <c r="K357" s="5" t="n">
        <v>0</v>
      </c>
      <c r="L357" s="4" t="n">
        <v>18</v>
      </c>
      <c r="M357" s="4" t="n">
        <v>5</v>
      </c>
      <c r="N357" s="5" t="n">
        <v>2.4</v>
      </c>
      <c r="O357" s="3" t="inlineStr">
        <is>
          <t>L 즉시입주가능  O엘베 O정남향 O역10분내</t>
        </is>
      </c>
      <c r="P357" s="6">
        <f>HYPERLINK("https://fin.land.naver.com/articles/2648531034",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바다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6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300</v>
      </c>
      <c r="H358" s="4" t="n">
        <v>37</v>
      </c>
      <c r="I358" s="4" t="n">
        <v>26</v>
      </c>
      <c r="J358" s="4" t="n">
        <v>8</v>
      </c>
      <c r="K358" s="5" t="n">
        <v>4.6</v>
      </c>
      <c r="L358" s="4" t="n">
        <v>18</v>
      </c>
      <c r="M358" s="4" t="n">
        <v>5</v>
      </c>
      <c r="N358" s="5" t="n">
        <v>7.4</v>
      </c>
      <c r="O358" s="3" t="inlineStr">
        <is>
          <t>풀옵션 원룸 도시형생활주택 넓고 깔끔해요</t>
        </is>
      </c>
      <c r="P358" s="6">
        <f>HYPERLINK("https://fin.land.naver.com/articles/2650836138",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5</t>
        </is>
      </c>
      <c r="E359" s="3" t="inlineStr">
        <is>
          <t>도시형생활주택</t>
        </is>
      </c>
      <c r="F359" s="3" t="inlineStr">
        <is>
          <t>전세</t>
        </is>
      </c>
      <c r="G359" s="4" t="n">
        <v>4200</v>
      </c>
      <c r="H359" s="4" t="n">
        <v>0</v>
      </c>
      <c r="I359" s="4" t="n">
        <v>26</v>
      </c>
      <c r="J359" s="4" t="n">
        <v>8</v>
      </c>
      <c r="K359" s="5" t="n">
        <v>525</v>
      </c>
      <c r="L359" s="4" t="n">
        <v>18</v>
      </c>
      <c r="M359" s="4" t="n">
        <v>5</v>
      </c>
      <c r="N359" s="5" t="n">
        <v>840</v>
      </c>
      <c r="O359" s="3" t="inlineStr">
        <is>
          <t>풀옵션 깔끔한 도시형생활주택 무융자조건</t>
        </is>
      </c>
      <c r="P359" s="6">
        <f>HYPERLINK("https://fin.land.naver.com/articles/2650834927",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300</v>
      </c>
      <c r="H360" s="4" t="n">
        <v>36</v>
      </c>
      <c r="I360" s="4" t="n">
        <v>30</v>
      </c>
      <c r="J360" s="4" t="n">
        <v>9</v>
      </c>
      <c r="K360" s="5" t="n">
        <v>4</v>
      </c>
      <c r="L360" s="4" t="n">
        <v>20</v>
      </c>
      <c r="M360" s="4" t="n">
        <v>6</v>
      </c>
      <c r="N360" s="5" t="n">
        <v>6</v>
      </c>
      <c r="O360" s="3" t="inlineStr">
        <is>
          <t>깨끗한원룸.실사진.보안철저.주차시설완비</t>
        </is>
      </c>
      <c r="P360" s="6">
        <f>HYPERLINK("https://fin.land.naver.com/articles/2651069563",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7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4200</v>
      </c>
      <c r="H361" s="4" t="n">
        <v>0</v>
      </c>
      <c r="I361" s="4" t="n">
        <v>30</v>
      </c>
      <c r="J361" s="4" t="n">
        <v>9</v>
      </c>
      <c r="K361" s="5" t="n">
        <v>466.7</v>
      </c>
      <c r="L361" s="4" t="n">
        <v>20</v>
      </c>
      <c r="M361" s="4" t="n">
        <v>6</v>
      </c>
      <c r="N361" s="5" t="n">
        <v>700</v>
      </c>
      <c r="O361" s="3" t="inlineStr">
        <is>
          <t>깨끗한원룸.넓은방.협의입주가능.보안철저.주차시설완비</t>
        </is>
      </c>
      <c r="P361" s="6">
        <f>HYPERLINK("https://fin.land.naver.com/articles/2651544463",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6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300</v>
      </c>
      <c r="H362" s="4" t="n">
        <v>37</v>
      </c>
      <c r="I362" s="4" t="n">
        <v>26</v>
      </c>
      <c r="J362" s="4" t="n">
        <v>8</v>
      </c>
      <c r="K362" s="5" t="n">
        <v>4.6</v>
      </c>
      <c r="L362" s="4" t="n">
        <v>18</v>
      </c>
      <c r="M362" s="4" t="n">
        <v>5</v>
      </c>
      <c r="N362" s="5" t="n">
        <v>7.4</v>
      </c>
      <c r="O362" s="3" t="inlineStr">
        <is>
          <t>상리 터미널인근 깨끗한 원룸</t>
        </is>
      </c>
      <c r="P362" s="6">
        <f>HYPERLINK("https://fin.land.naver.com/articles/2652419757",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다가구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L 고대 도로변 위치좋은 건물</t>
        </is>
      </c>
      <c r="P363" s="6">
        <f>HYPERLINK("https://fin.land.naver.com/articles/2650552362",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바다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132-7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단독</t>
        </is>
      </c>
      <c r="F364" s="3" t="inlineStr">
        <is>
          <t>매매</t>
        </is>
      </c>
      <c r="G364" s="4" t="n">
        <v>70000</v>
      </c>
      <c r="H364" s="4" t="n">
        <v>0</v>
      </c>
      <c r="I364" s="4" t="n">
        <v>204</v>
      </c>
      <c r="J364" s="4" t="n">
        <v>62</v>
      </c>
      <c r="K364" s="5" t="n">
        <v>1129</v>
      </c>
      <c r="L364" s="4" t="n">
        <v>323</v>
      </c>
      <c r="M364" s="4" t="n">
        <v>98</v>
      </c>
      <c r="N364" s="5" t="n">
        <v>714.3</v>
      </c>
      <c r="O364" s="3" t="inlineStr">
        <is>
          <t>대학가 원룸 통매매</t>
        </is>
      </c>
      <c r="P364" s="6">
        <f>HYPERLINK("https://fin.land.naver.com/articles/2648567168", "매물Link")</f>
        <v/>
      </c>
      <c r="Q364" s="6">
        <f>HYPERLINK("https://map.naver.com/p/search/조치원읍 서창리 132-7", "지도Link")</f>
        <v/>
      </c>
      <c r="R364" s="6">
        <f>HYPERLINK("http://www.eum.go.kr/web/ar/lu/luLandDet.jsp?pnu=3611025034101320007&amp;isNoScr=script&amp;mode=search", "토지이음")</f>
        <v/>
      </c>
      <c r="S364" s="3" t="inlineStr">
        <is>
          <t>고래</t>
        </is>
      </c>
      <c r="T364" s="4" t="n">
        <v>1</v>
      </c>
      <c r="U364" s="5" t="n">
        <v>271.1</v>
      </c>
      <c r="V364" s="4" t="n">
        <v>204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서창리 133-1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다가구</t>
        </is>
      </c>
      <c r="F365" s="3" t="inlineStr">
        <is>
          <t>매매</t>
        </is>
      </c>
      <c r="G365" s="4" t="n">
        <v>110000</v>
      </c>
      <c r="H365" s="4" t="n">
        <v>0</v>
      </c>
      <c r="I365" s="4" t="n">
        <v>430</v>
      </c>
      <c r="J365" s="4" t="n">
        <v>130</v>
      </c>
      <c r="K365" s="5" t="n">
        <v>846.2</v>
      </c>
      <c r="L365" s="4" t="n">
        <v>628</v>
      </c>
      <c r="M365" s="4" t="n">
        <v>190</v>
      </c>
      <c r="N365" s="5" t="n">
        <v>578.9</v>
      </c>
      <c r="O365" s="3" t="inlineStr">
        <is>
          <t>건물통매매 깔끔 관리잘된집 연세안정적인수입 수익률최고 급매조정해드림</t>
        </is>
      </c>
      <c r="P365" s="6">
        <f>HYPERLINK("https://fin.land.naver.com/articles/2651330727", "매물Link")</f>
        <v/>
      </c>
      <c r="Q365" s="6">
        <f>HYPERLINK("https://map.naver.com/p/search/조치원읍 서창리 133-1", "지도Link")</f>
        <v/>
      </c>
      <c r="R365" s="6">
        <f>HYPERLINK("http://www.eum.go.kr/web/ar/lu/luLandDet.jsp?pnu=3611025034101330001&amp;isNoScr=script&amp;mode=search", "토지이음")</f>
        <v/>
      </c>
      <c r="S365" s="3" t="inlineStr">
        <is>
          <t>금성</t>
        </is>
      </c>
      <c r="T365" s="4" t="n">
        <v>1</v>
      </c>
      <c r="U365" s="5" t="n">
        <v>251.3</v>
      </c>
      <c r="V365" s="4" t="n">
        <v>430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정방형</t>
        </is>
      </c>
      <c r="AA365" s="3" t="inlineStr">
        <is>
          <t>소로한면</t>
        </is>
      </c>
    </row>
    <row r="366">
      <c r="A366" s="3" t="inlineStr">
        <is>
          <t>조치원읍 서창리 133-25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다가구</t>
        </is>
      </c>
      <c r="F366" s="3" t="inlineStr">
        <is>
          <t>매매</t>
        </is>
      </c>
      <c r="G366" s="4" t="n">
        <v>67000</v>
      </c>
      <c r="H366" s="4" t="n">
        <v>0</v>
      </c>
      <c r="I366" s="4" t="n">
        <v>507</v>
      </c>
      <c r="J366" s="4" t="n">
        <v>153</v>
      </c>
      <c r="K366" s="5" t="n">
        <v>437.9</v>
      </c>
      <c r="L366" s="4" t="n">
        <v>495</v>
      </c>
      <c r="M366" s="4" t="n">
        <v>150</v>
      </c>
      <c r="N366" s="5" t="n">
        <v>446.7</v>
      </c>
      <c r="O366" s="3" t="inlineStr">
        <is>
          <t>고려대학교 앞o많이 찾는 위치o연세로 편리함</t>
        </is>
      </c>
      <c r="P366" s="6">
        <f>HYPERLINK("https://fin.land.naver.com/articles/2650552948", "매물Link")</f>
        <v/>
      </c>
      <c r="Q366" s="6">
        <f>HYPERLINK("https://map.naver.com/p/search/조치원읍 서창리 133-25", "지도Link")</f>
        <v/>
      </c>
      <c r="R366" s="6">
        <f>HYPERLINK("http://www.eum.go.kr/web/ar/lu/luLandDet.jsp?pnu=3611025034101330025&amp;isNoScr=script&amp;mode=search", "토지이음")</f>
        <v/>
      </c>
      <c r="S366" s="3" t="inlineStr">
        <is>
          <t>바다</t>
        </is>
      </c>
      <c r="T366" s="4" t="n">
        <v>2</v>
      </c>
      <c r="U366" s="5" t="n">
        <v>236.2</v>
      </c>
      <c r="V366" s="4" t="n">
        <v>507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소로한면</t>
        </is>
      </c>
    </row>
    <row r="367">
      <c r="A367" s="3" t="inlineStr">
        <is>
          <t>조치원읍 서창리 143-4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0</v>
      </c>
      <c r="J367" s="4" t="n">
        <v>0</v>
      </c>
      <c r="K367" s="5" t="n">
        <v>0</v>
      </c>
      <c r="L367" s="4" t="n">
        <v>33</v>
      </c>
      <c r="M367" s="4" t="n">
        <v>10</v>
      </c>
      <c r="N367" s="5" t="n">
        <v>2.5</v>
      </c>
      <c r="O367" s="3" t="inlineStr">
        <is>
          <t>L 월25만. 역3분. 바로입주가능</t>
        </is>
      </c>
      <c r="P367" s="6">
        <f>HYPERLINK("https://fin.land.naver.com/articles/2651114519", "매물Link")</f>
        <v/>
      </c>
      <c r="Q367" s="6">
        <f>HYPERLINK("https://map.naver.com/p/search/조치원읍 서창리 143-4", "지도Link")</f>
        <v/>
      </c>
      <c r="R367" s="6">
        <f>HYPERLINK("http://www.eum.go.kr/web/ar/lu/luLandDet.jsp?pnu=3611025034101430004&amp;isNoScr=script&amp;mode=search", "토지이음")</f>
        <v/>
      </c>
      <c r="S367" s="3" t="inlineStr">
        <is>
          <t>바다</t>
        </is>
      </c>
      <c r="T367" s="4" t="n">
        <v>1</v>
      </c>
      <c r="U367" s="5" t="n">
        <v>419.8</v>
      </c>
      <c r="V367" s="4" t="n">
        <v>242</v>
      </c>
      <c r="W367" s="3" t="inlineStr">
        <is>
          <t>지정되지않음</t>
        </is>
      </c>
      <c r="X367" s="3" t="inlineStr">
        <is>
          <t>상업용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중로각지</t>
        </is>
      </c>
    </row>
    <row r="368">
      <c r="A368" s="3" t="inlineStr">
        <is>
          <t>조치원읍 서창리 178-1</t>
        </is>
      </c>
      <c r="B368" s="3" t="inlineStr">
        <is>
          <t>제1종일반주거지역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상가주택</t>
        </is>
      </c>
      <c r="F368" s="3" t="inlineStr">
        <is>
          <t>매매</t>
        </is>
      </c>
      <c r="G368" s="4" t="n">
        <v>125000</v>
      </c>
      <c r="H368" s="4" t="n">
        <v>0</v>
      </c>
      <c r="I368" s="4" t="n">
        <v>258</v>
      </c>
      <c r="J368" s="4" t="n">
        <v>78</v>
      </c>
      <c r="K368" s="5" t="n">
        <v>1602.6</v>
      </c>
      <c r="L368" s="4" t="n">
        <v>454</v>
      </c>
      <c r="M368" s="4" t="n">
        <v>137</v>
      </c>
      <c r="N368" s="5" t="n">
        <v>912.4</v>
      </c>
      <c r="O368" s="3" t="inlineStr">
        <is>
          <t>대학가 상가주택 통매매</t>
        </is>
      </c>
      <c r="P368" s="6">
        <f>HYPERLINK("https://fin.land.naver.com/articles/2648565825", "매물Link")</f>
        <v/>
      </c>
      <c r="Q368" s="6">
        <f>HYPERLINK("https://map.naver.com/p/search/조치원읍 서창리 178-1", "지도Link")</f>
        <v/>
      </c>
      <c r="R368" s="6">
        <f>HYPERLINK("http://www.eum.go.kr/web/ar/lu/luLandDet.jsp?pnu=3611025034101780001&amp;isNoScr=script&amp;mode=search",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227.8</v>
      </c>
      <c r="V368" s="4" t="n">
        <v>258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조치원읍 서창리 188-13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87000</v>
      </c>
      <c r="H369" s="4" t="n">
        <v>0</v>
      </c>
      <c r="I369" s="4" t="n">
        <v>286</v>
      </c>
      <c r="J369" s="4" t="n">
        <v>87</v>
      </c>
      <c r="K369" s="5" t="n">
        <v>1000</v>
      </c>
      <c r="L369" s="4" t="n">
        <v>448</v>
      </c>
      <c r="M369" s="4" t="n">
        <v>136</v>
      </c>
      <c r="N369" s="5" t="n">
        <v>639.7</v>
      </c>
      <c r="O369" s="3" t="inlineStr">
        <is>
          <t>대학가 수익률9 다가구주택</t>
        </is>
      </c>
      <c r="P369" s="6">
        <f>HYPERLINK("https://fin.land.naver.com/articles/2648575096", "매물Link")</f>
        <v/>
      </c>
      <c r="Q369" s="6">
        <f>HYPERLINK("https://map.naver.com/p/search/조치원읍 서창리 188-13", "지도Link")</f>
        <v/>
      </c>
      <c r="R369" s="6">
        <f>HYPERLINK("http://www.eum.go.kr/web/ar/lu/luLandDet.jsp?pnu=3611025034101880013&amp;isNoScr=script&amp;mode=search",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216.6</v>
      </c>
      <c r="V369" s="4" t="n">
        <v>286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조치원읍 서창리 188-31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73000</v>
      </c>
      <c r="H370" s="4" t="n">
        <v>0</v>
      </c>
      <c r="I370" s="4" t="n">
        <v>245</v>
      </c>
      <c r="J370" s="4" t="n">
        <v>74</v>
      </c>
      <c r="K370" s="5" t="n">
        <v>986.5</v>
      </c>
      <c r="L370" s="4" t="n">
        <v>382</v>
      </c>
      <c r="M370" s="4" t="n">
        <v>116</v>
      </c>
      <c r="N370" s="5" t="n">
        <v>629.3</v>
      </c>
      <c r="O370" s="3" t="inlineStr">
        <is>
          <t>월세440만원가능 다가구 건물</t>
        </is>
      </c>
      <c r="P370" s="6">
        <f>HYPERLINK("https://fin.land.naver.com/articles/2648574861", "매물Link")</f>
        <v/>
      </c>
      <c r="Q370" s="6">
        <f>HYPERLINK("https://map.naver.com/p/search/조치원읍 서창리 188-31", "지도Link")</f>
        <v/>
      </c>
      <c r="R370" s="6">
        <f>HYPERLINK("http://www.eum.go.kr/web/ar/lu/luLandDet.jsp?pnu=3611025034101880031&amp;isNoScr=script&amp;mode=search",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240.7</v>
      </c>
      <c r="V370" s="4" t="n">
        <v>245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조치원읍 서창리 203-10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49000</v>
      </c>
      <c r="H371" s="4" t="n">
        <v>0</v>
      </c>
      <c r="I371" s="4" t="n">
        <v>654</v>
      </c>
      <c r="J371" s="4" t="n">
        <v>198</v>
      </c>
      <c r="K371" s="5" t="n">
        <v>247.5</v>
      </c>
      <c r="L371" s="4" t="n">
        <v>581</v>
      </c>
      <c r="M371" s="4" t="n">
        <v>176</v>
      </c>
      <c r="N371" s="5" t="n">
        <v>278.4</v>
      </c>
      <c r="O371" s="3" t="inlineStr">
        <is>
          <t>.급매. o수익률잘나옴 o관리잘되었어요</t>
        </is>
      </c>
      <c r="P371" s="6">
        <f>HYPERLINK("https://fin.land.naver.com/articles/2650552259", "매물Link")</f>
        <v/>
      </c>
      <c r="Q371" s="6">
        <f>HYPERLINK("https://map.naver.com/p/search/조치원읍 서창리 203-10", "지도Link")</f>
        <v/>
      </c>
      <c r="R371" s="6">
        <f>HYPERLINK("http://www.eum.go.kr/web/ar/lu/luLandDet.jsp?pnu=3611025034102030010&amp;isNoScr=script&amp;mode=search",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205.7</v>
      </c>
      <c r="V371" s="4" t="n">
        <v>415</v>
      </c>
      <c r="W371" s="3" t="inlineStr">
        <is>
          <t>자연녹지지역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서창리 203-6</t>
        </is>
      </c>
      <c r="B372" s="3" t="inlineStr">
        <is>
          <t>제1종일반주거지역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일반원룸</t>
        </is>
      </c>
      <c r="F372" s="3" t="inlineStr">
        <is>
          <t>전세</t>
        </is>
      </c>
      <c r="G372" s="4" t="n">
        <v>3000</v>
      </c>
      <c r="H372" s="4" t="n">
        <v>0</v>
      </c>
      <c r="I372" s="4" t="n">
        <v>30</v>
      </c>
      <c r="J372" s="4" t="n">
        <v>9</v>
      </c>
      <c r="K372" s="5" t="n">
        <v>333.3</v>
      </c>
      <c r="L372" s="4" t="n">
        <v>30</v>
      </c>
      <c r="M372" s="4" t="n">
        <v>9</v>
      </c>
      <c r="N372" s="5" t="n">
        <v>333.3</v>
      </c>
      <c r="O372" s="3" t="inlineStr">
        <is>
          <t>위치좋고 상태 좋은 저렴한 매물 안전전세</t>
        </is>
      </c>
      <c r="P372" s="6">
        <f>HYPERLINK("https://fin.land.naver.com/articles/2653251836", "매물Link")</f>
        <v/>
      </c>
      <c r="Q372" s="6">
        <f>HYPERLINK("https://map.naver.com/p/search/조치원읍 서창리 203-6", "지도Link")</f>
        <v/>
      </c>
      <c r="R372" s="6">
        <f>HYPERLINK("http://www.eum.go.kr/web/ar/lu/luLandDet.jsp?pnu=3611025034102030006&amp;isNoScr=script&amp;mode=search", "토지이음")</f>
        <v/>
      </c>
      <c r="S372" s="3" t="inlineStr">
        <is>
          <t>부자터</t>
        </is>
      </c>
      <c r="T372" s="4" t="n">
        <v>1</v>
      </c>
      <c r="U372" s="5" t="n">
        <v>344.8</v>
      </c>
      <c r="V372" s="4" t="n">
        <v>477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조치원읍 서창리 205-3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</v>
      </c>
      <c r="H373" s="4" t="n">
        <v>170</v>
      </c>
      <c r="I373" s="4" t="n">
        <v>39</v>
      </c>
      <c r="J373" s="4" t="n">
        <v>12</v>
      </c>
      <c r="K373" s="5" t="n">
        <v>14.2</v>
      </c>
      <c r="L373" s="4" t="n">
        <v>29</v>
      </c>
      <c r="M373" s="4" t="n">
        <v>9</v>
      </c>
      <c r="N373" s="5" t="n">
        <v>18.9</v>
      </c>
      <c r="O373" s="3" t="inlineStr">
        <is>
          <t>12월종강까지 단기계약.큰방.풀옵션.고대뒷길도보거리</t>
        </is>
      </c>
      <c r="P373" s="6">
        <f>HYPERLINK("https://fin.land.naver.com/articles/2648327633", "매물Link")</f>
        <v/>
      </c>
      <c r="Q373" s="6">
        <f>HYPERLINK("https://map.naver.com/p/search/조치원읍 서창리 205-3", "지도Link")</f>
        <v/>
      </c>
      <c r="R373" s="6">
        <f>HYPERLINK("http://www.eum.go.kr/web/ar/lu/luLandDet.jsp?pnu=3611025034102050003&amp;isNoScr=script&amp;mode=search",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140.4</v>
      </c>
      <c r="V373" s="4" t="n">
        <v>798</v>
      </c>
      <c r="W373" s="3" t="inlineStr">
        <is>
          <t>제1종일반주거지역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219-3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47000</v>
      </c>
      <c r="H374" s="4" t="n">
        <v>0</v>
      </c>
      <c r="I374" s="4" t="n">
        <v>205</v>
      </c>
      <c r="J374" s="4" t="n">
        <v>62</v>
      </c>
      <c r="K374" s="5" t="n">
        <v>758.1</v>
      </c>
      <c r="L374" s="4" t="n">
        <v>120</v>
      </c>
      <c r="M374" s="4" t="n">
        <v>36</v>
      </c>
      <c r="N374" s="5" t="n">
        <v>1305.6</v>
      </c>
      <c r="O374" s="3" t="inlineStr">
        <is>
          <t>o고려대 바로 앞 o공실없음 o항상 빨리 만실되는 곳</t>
        </is>
      </c>
      <c r="P374" s="6">
        <f>HYPERLINK("https://fin.land.naver.com/articles/2650553658", "매물Link")</f>
        <v/>
      </c>
      <c r="Q374" s="6">
        <f>HYPERLINK("https://map.naver.com/p/search/조치원읍 서창리 219-3", "지도Link")</f>
        <v/>
      </c>
      <c r="R374" s="6">
        <f>HYPERLINK("http://www.eum.go.kr/web/ar/lu/luLandDet.jsp?pnu=3611025034102190003&amp;isNoScr=script&amp;mode=search",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244.1</v>
      </c>
      <c r="V374" s="4" t="n">
        <v>205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서창리 290-5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300</v>
      </c>
      <c r="H375" s="4" t="n">
        <v>29</v>
      </c>
      <c r="I375" s="4" t="n">
        <v>39</v>
      </c>
      <c r="J375" s="4" t="n">
        <v>12</v>
      </c>
      <c r="K375" s="5" t="n">
        <v>2.4</v>
      </c>
      <c r="L375" s="4" t="n">
        <v>26</v>
      </c>
      <c r="M375" s="4" t="n">
        <v>8</v>
      </c>
      <c r="N375" s="5" t="n">
        <v>3.6</v>
      </c>
      <c r="O375" s="3" t="inlineStr">
        <is>
          <t>서창리.모든게옵션.10월초 협의입주가능</t>
        </is>
      </c>
      <c r="P375" s="6">
        <f>HYPERLINK("https://fin.land.naver.com/articles/2649226212", "매물Link")</f>
        <v/>
      </c>
      <c r="Q375" s="6">
        <f>HYPERLINK("https://map.naver.com/p/search/조치원읍 서창리 290-5", "지도Link")</f>
        <v/>
      </c>
      <c r="R375" s="6">
        <f>HYPERLINK("http://www.eum.go.kr/web/ar/lu/luLandDet.jsp?pnu=3611025034102900005&amp;isNoScr=script&amp;mode=search",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319.2</v>
      </c>
      <c r="V375" s="4" t="n">
        <v>237.8</v>
      </c>
      <c r="W375" s="3" t="inlineStr">
        <is>
          <t>지정되지않음</t>
        </is>
      </c>
      <c r="X375" s="3" t="inlineStr">
        <is>
          <t>주상나지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5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26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4.3</v>
      </c>
      <c r="O376" s="3" t="inlineStr">
        <is>
          <t>단기가능 엘리베이터</t>
        </is>
      </c>
      <c r="P376" s="6">
        <f>HYPERLINK("https://fin.land.naver.com/articles/2649436833",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22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3.7</v>
      </c>
      <c r="O377" s="3" t="inlineStr">
        <is>
          <t>단기가능 엘리베이터 고대 도보거리</t>
        </is>
      </c>
      <c r="P377" s="6">
        <f>HYPERLINK("https://fin.land.naver.com/articles/2648297696",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27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4.5</v>
      </c>
      <c r="O378" s="3" t="inlineStr">
        <is>
          <t>단기가능 엘리베이터</t>
        </is>
      </c>
      <c r="P378" s="6">
        <f>HYPERLINK("https://fin.land.naver.com/articles/2648311935",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291-3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26</v>
      </c>
      <c r="I379" s="4" t="n">
        <v>0</v>
      </c>
      <c r="J379" s="4" t="n">
        <v>0</v>
      </c>
      <c r="K379" s="5" t="n">
        <v>0</v>
      </c>
      <c r="L379" s="4" t="n">
        <v>19</v>
      </c>
      <c r="M379" s="4" t="n">
        <v>6</v>
      </c>
      <c r="N379" s="5" t="n">
        <v>4.3</v>
      </c>
      <c r="O379" s="3" t="inlineStr">
        <is>
          <t>단기가능 엘리베이터</t>
        </is>
      </c>
      <c r="P379" s="6">
        <f>HYPERLINK("https://fin.land.naver.com/articles/2649435295", "매물Link")</f>
        <v/>
      </c>
      <c r="Q379" s="6">
        <f>HYPERLINK("https://map.naver.com/p/search/조치원읍 서창리 291-3", "지도Link")</f>
        <v/>
      </c>
      <c r="R379" s="6">
        <f>HYPERLINK("http://www.eum.go.kr/web/ar/lu/luLandDet.jsp?pnu=3611025034102910003&amp;isNoScr=script&amp;mode=search",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538.2</v>
      </c>
      <c r="V379" s="4" t="n">
        <v>221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중로한면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293-13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0</v>
      </c>
      <c r="J381" s="4" t="n">
        <v>0</v>
      </c>
      <c r="K381" s="5" t="n">
        <v>0</v>
      </c>
      <c r="L381" s="4" t="n">
        <v>29</v>
      </c>
      <c r="M381" s="4" t="n">
        <v>9</v>
      </c>
      <c r="N381" s="5" t="n">
        <v>3.3</v>
      </c>
      <c r="O381" s="3" t="inlineStr">
        <is>
          <t>투베이 빠른입주가능</t>
        </is>
      </c>
      <c r="P381" s="6">
        <f>HYPERLINK("https://fin.land.naver.com/articles/2648299270", "매물Link")</f>
        <v/>
      </c>
      <c r="Q381" s="6">
        <f>HYPERLINK("https://map.naver.com/p/search/조치원읍 서창리 293-13", "지도Link")</f>
        <v/>
      </c>
      <c r="R381" s="6">
        <f>HYPERLINK("http://www.eum.go.kr/web/ar/lu/luLandDet.jsp?pnu=3611025034102930013&amp;isNoScr=script&amp;mode=search",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295.1</v>
      </c>
      <c r="V381" s="4" t="n">
        <v>224.3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세로한면(가)</t>
        </is>
      </c>
    </row>
    <row r="382">
      <c r="A382" s="3" t="inlineStr">
        <is>
          <t>조치원읍 서창리 295-1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다가구</t>
        </is>
      </c>
      <c r="F382" s="3" t="inlineStr">
        <is>
          <t>월세</t>
        </is>
      </c>
      <c r="G382" s="4" t="n">
        <v>3000</v>
      </c>
      <c r="H382" s="4" t="n">
        <v>30</v>
      </c>
      <c r="I382" s="4" t="n">
        <v>49</v>
      </c>
      <c r="J382" s="4" t="n">
        <v>15</v>
      </c>
      <c r="K382" s="5" t="n">
        <v>2</v>
      </c>
      <c r="L382" s="4" t="n">
        <v>46</v>
      </c>
      <c r="M382" s="4" t="n">
        <v>14</v>
      </c>
      <c r="N382" s="5" t="n">
        <v>2.1</v>
      </c>
      <c r="O382" s="3" t="inlineStr">
        <is>
          <t>예쁜 1.5룸.넓은거실.붙박이장.3천에40만.</t>
        </is>
      </c>
      <c r="P382" s="6">
        <f>HYPERLINK("https://fin.land.naver.com/articles/2650739917", "매물Link")</f>
        <v/>
      </c>
      <c r="Q382" s="6">
        <f>HYPERLINK("https://map.naver.com/p/search/조치원읍 서창리 295-1", "지도Link")</f>
        <v/>
      </c>
      <c r="R382" s="6">
        <f>HYPERLINK("http://www.eum.go.kr/web/ar/lu/luLandDet.jsp?pnu=3611025034102950001&amp;isNoScr=script&amp;mode=search",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321.6</v>
      </c>
      <c r="V382" s="4" t="n">
        <v>355.2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세로각지(가)</t>
        </is>
      </c>
    </row>
    <row r="383">
      <c r="A383" s="3" t="inlineStr">
        <is>
          <t>조치원읍 서창리 295-6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28</v>
      </c>
      <c r="I383" s="4" t="n">
        <v>0</v>
      </c>
      <c r="J383" s="4" t="n">
        <v>0</v>
      </c>
      <c r="K383" s="5" t="n">
        <v>0</v>
      </c>
      <c r="L383" s="4" t="n">
        <v>23</v>
      </c>
      <c r="M383" s="4" t="n">
        <v>7</v>
      </c>
      <c r="N383" s="5" t="n">
        <v>4</v>
      </c>
      <c r="O383" s="3" t="inlineStr">
        <is>
          <t>고대 도보거리 오픈형 넓은방</t>
        </is>
      </c>
      <c r="P383" s="6">
        <f>HYPERLINK("https://fin.land.naver.com/articles/2649879324", "매물Link")</f>
        <v/>
      </c>
      <c r="Q383" s="6">
        <f>HYPERLINK("https://map.naver.com/p/search/조치원읍 서창리 295-6", "지도Link")</f>
        <v/>
      </c>
      <c r="R383" s="6">
        <f>HYPERLINK("http://www.eum.go.kr/web/ar/lu/luLandDet.jsp?pnu=3611025034102950006&amp;isNoScr=script&amp;mode=search", "토지이음")</f>
        <v/>
      </c>
      <c r="S383" s="3" t="inlineStr">
        <is>
          <t>척척</t>
        </is>
      </c>
      <c r="T383" s="4" t="n">
        <v>1</v>
      </c>
      <c r="U383" s="5" t="n">
        <v>387.4</v>
      </c>
      <c r="V383" s="4" t="n">
        <v>443.9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중로각지</t>
        </is>
      </c>
    </row>
    <row r="384">
      <c r="A384" s="3" t="inlineStr">
        <is>
          <t>조치원읍 서창리 296-8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70000</v>
      </c>
      <c r="H384" s="4" t="n">
        <v>0</v>
      </c>
      <c r="I384" s="4" t="n">
        <v>317</v>
      </c>
      <c r="J384" s="4" t="n">
        <v>96</v>
      </c>
      <c r="K384" s="5" t="n">
        <v>729.2</v>
      </c>
      <c r="L384" s="4" t="n">
        <v>481</v>
      </c>
      <c r="M384" s="4" t="n">
        <v>146</v>
      </c>
      <c r="N384" s="5" t="n">
        <v>479.5</v>
      </c>
      <c r="O384" s="3" t="inlineStr">
        <is>
          <t>다가구 매매 실투자금 약 5억</t>
        </is>
      </c>
      <c r="P384" s="6">
        <f>HYPERLINK("https://fin.land.naver.com/articles/2651340270", "매물Link")</f>
        <v/>
      </c>
      <c r="Q384" s="6">
        <f>HYPERLINK("https://map.naver.com/p/search/조치원읍 서창리 296-8", "지도Link")</f>
        <v/>
      </c>
      <c r="R384" s="6">
        <f>HYPERLINK("http://www.eum.go.kr/web/ar/lu/luLandDet.jsp?pnu=3611025034102960008&amp;isNoScr=script&amp;mode=search", "토지이음")</f>
        <v/>
      </c>
      <c r="S384" s="3" t="inlineStr">
        <is>
          <t>상희</t>
        </is>
      </c>
      <c r="T384" s="4" t="n">
        <v>1</v>
      </c>
      <c r="U384" s="5" t="n">
        <v>321.1</v>
      </c>
      <c r="V384" s="4" t="n">
        <v>317.7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서창리 297-2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100</v>
      </c>
      <c r="H385" s="4" t="n">
        <v>30</v>
      </c>
      <c r="I385" s="4" t="n">
        <v>22</v>
      </c>
      <c r="J385" s="4" t="n">
        <v>7</v>
      </c>
      <c r="K385" s="5" t="n">
        <v>4.3</v>
      </c>
      <c r="L385" s="4" t="n">
        <v>22</v>
      </c>
      <c r="M385" s="4" t="n">
        <v>7</v>
      </c>
      <c r="N385" s="5" t="n">
        <v>4.3</v>
      </c>
      <c r="O385" s="3" t="inlineStr">
        <is>
          <t>nan</t>
        </is>
      </c>
      <c r="P385" s="6">
        <f>HYPERLINK("https://fin.land.naver.com/articles/2653345298", "매물Link")</f>
        <v/>
      </c>
      <c r="Q385" s="6">
        <f>HYPERLINK("https://map.naver.com/p/search/조치원읍 서창리 297-2", "지도Link")</f>
        <v/>
      </c>
      <c r="R385" s="6">
        <f>HYPERLINK("http://www.eum.go.kr/web/ar/lu/luLandDet.jsp?pnu=3611025034102970002&amp;isNoScr=script&amp;mode=search", "토지이음")</f>
        <v/>
      </c>
      <c r="S385" s="3" t="inlineStr">
        <is>
          <t>김준희</t>
        </is>
      </c>
      <c r="T385" s="4" t="n">
        <v>1</v>
      </c>
      <c r="U385" s="5" t="n">
        <v>327.5</v>
      </c>
      <c r="V385" s="4" t="n">
        <v>288.8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서창리 297-8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100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16</v>
      </c>
      <c r="M386" s="4" t="n">
        <v>5</v>
      </c>
      <c r="N386" s="5" t="n">
        <v>5.2</v>
      </c>
      <c r="O386" s="3" t="inlineStr">
        <is>
          <t>채광좋은 오픈형 원룸</t>
        </is>
      </c>
      <c r="P386" s="6">
        <f>HYPERLINK("https://fin.land.naver.com/articles/2648296356", "매물Link")</f>
        <v/>
      </c>
      <c r="Q386" s="6">
        <f>HYPERLINK("https://map.naver.com/p/search/조치원읍 서창리 297-8", "지도Link")</f>
        <v/>
      </c>
      <c r="R386" s="6">
        <f>HYPERLINK("http://www.eum.go.kr/web/ar/lu/luLandDet.jsp?pnu=3611025034102970008&amp;isNoScr=script&amp;mode=search",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359.3</v>
      </c>
      <c r="V386" s="4" t="n">
        <v>496.5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소로각지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28</v>
      </c>
      <c r="I387" s="4" t="n">
        <v>20</v>
      </c>
      <c r="J387" s="4" t="n">
        <v>6</v>
      </c>
      <c r="K387" s="5" t="n">
        <v>4.7</v>
      </c>
      <c r="L387" s="4" t="n">
        <v>20</v>
      </c>
      <c r="M387" s="4" t="n">
        <v>6</v>
      </c>
      <c r="N387" s="5" t="n">
        <v>4.7</v>
      </c>
      <c r="O387" s="3" t="inlineStr">
        <is>
          <t>원룸 월세 서창리</t>
        </is>
      </c>
      <c r="P387" s="6">
        <f>HYPERLINK("https://fin.land.naver.com/articles/2648994142",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김준희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23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3.8</v>
      </c>
      <c r="O388" s="3" t="inlineStr">
        <is>
          <t>서창리 가성비 좋은 원룸</t>
        </is>
      </c>
      <c r="P388" s="6">
        <f>HYPERLINK("https://fin.land.naver.com/articles/2652873695",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25</v>
      </c>
      <c r="I390" s="4" t="n">
        <v>0</v>
      </c>
      <c r="J390" s="4" t="n">
        <v>0</v>
      </c>
      <c r="K390" s="5" t="n">
        <v>0</v>
      </c>
      <c r="L390" s="4" t="n">
        <v>21</v>
      </c>
      <c r="M390" s="4" t="n">
        <v>6</v>
      </c>
      <c r="N390" s="5" t="n">
        <v>4.2</v>
      </c>
      <c r="O390" s="3" t="inlineStr">
        <is>
          <t>L 월33만. 역3분. 즉시입주가능</t>
        </is>
      </c>
      <c r="P390" s="6">
        <f>HYPERLINK("https://fin.land.naver.com/articles/2649028720",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298-2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35</v>
      </c>
      <c r="I391" s="4" t="n">
        <v>0</v>
      </c>
      <c r="J391" s="4" t="n">
        <v>0</v>
      </c>
      <c r="K391" s="5" t="n">
        <v>0</v>
      </c>
      <c r="L391" s="4" t="n">
        <v>26</v>
      </c>
      <c r="M391" s="4" t="n">
        <v>8</v>
      </c>
      <c r="N391" s="5" t="n">
        <v>4.4</v>
      </c>
      <c r="O391" s="3" t="inlineStr">
        <is>
          <t>L 귀한1.5룸 O역3분 O즉시입주가능</t>
        </is>
      </c>
      <c r="P391" s="6">
        <f>HYPERLINK("https://fin.land.naver.com/articles/2649999089", "매물Link")</f>
        <v/>
      </c>
      <c r="Q391" s="6">
        <f>HYPERLINK("https://map.naver.com/p/search/조치원읍 서창리 298-2", "지도Link")</f>
        <v/>
      </c>
      <c r="R391" s="6">
        <f>HYPERLINK("http://www.eum.go.kr/web/ar/lu/luLandDet.jsp?pnu=3611025034102980002&amp;isNoScr=script&amp;mode=search",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347.8</v>
      </c>
      <c r="V391" s="4" t="n">
        <v>295.2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42-143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22000</v>
      </c>
      <c r="H392" s="4" t="n">
        <v>0</v>
      </c>
      <c r="I392" s="4" t="n">
        <v>304</v>
      </c>
      <c r="J392" s="4" t="n">
        <v>92</v>
      </c>
      <c r="K392" s="5" t="n">
        <v>239.1</v>
      </c>
      <c r="L392" s="4" t="n">
        <v>98</v>
      </c>
      <c r="M392" s="4" t="n">
        <v>30</v>
      </c>
      <c r="N392" s="5" t="n">
        <v>733.3</v>
      </c>
      <c r="O392" s="3" t="inlineStr">
        <is>
          <t>깨끗하게 관리된 집, 협의 입주 가능</t>
        </is>
      </c>
      <c r="P392" s="6">
        <f>HYPERLINK("https://fin.land.naver.com/articles/2650460317", "매물Link")</f>
        <v/>
      </c>
      <c r="Q392" s="6">
        <f>HYPERLINK("https://map.naver.com/p/search/조치원읍 서창리 42-143", "지도Link")</f>
        <v/>
      </c>
      <c r="R392" s="6">
        <f>HYPERLINK("http://www.eum.go.kr/web/ar/lu/luLandDet.jsp?pnu=3611025034100420143&amp;isNoScr=script&amp;mode=search", "토지이음")</f>
        <v/>
      </c>
      <c r="S392" s="3" t="inlineStr">
        <is>
          <t>세종공감</t>
        </is>
      </c>
      <c r="T392" s="4" t="n">
        <v>1</v>
      </c>
      <c r="U392" s="5" t="n">
        <v>126.9</v>
      </c>
      <c r="V392" s="4" t="n">
        <v>286.4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42-260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단기임대</t>
        </is>
      </c>
      <c r="G393" s="4" t="n">
        <v>100</v>
      </c>
      <c r="H393" s="4" t="n">
        <v>30</v>
      </c>
      <c r="I393" s="4" t="n">
        <v>39</v>
      </c>
      <c r="J393" s="4" t="n">
        <v>12</v>
      </c>
      <c r="K393" s="5" t="n">
        <v>8.300000000000001</v>
      </c>
      <c r="L393" s="4" t="n">
        <v>26</v>
      </c>
      <c r="M393" s="4" t="n">
        <v>8</v>
      </c>
      <c r="N393" s="5" t="n">
        <v>12.5</v>
      </c>
      <c r="O393" s="3" t="inlineStr">
        <is>
          <t>보증금 저렴.접근성 좋은 위치.주차시설 완비.</t>
        </is>
      </c>
      <c r="P393" s="6">
        <f>HYPERLINK("https://fin.land.naver.com/articles/2649285977", "매물Link")</f>
        <v/>
      </c>
      <c r="Q393" s="6">
        <f>HYPERLINK("https://map.naver.com/p/search/조치원읍 서창리 42-260", "지도Link")</f>
        <v/>
      </c>
      <c r="R393" s="6">
        <f>HYPERLINK("http://www.eum.go.kr/web/ar/lu/luLandDet.jsp?pnu=3611025034100420260&amp;isNoScr=script&amp;mode=search",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126.9</v>
      </c>
      <c r="V393" s="4" t="n">
        <v>347.8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조치원읍 서창리 66-34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192</v>
      </c>
      <c r="J394" s="4" t="n">
        <v>58</v>
      </c>
      <c r="K394" s="5" t="n">
        <v>1465.5</v>
      </c>
      <c r="L394" s="4" t="n">
        <v>254</v>
      </c>
      <c r="M394" s="4" t="n">
        <v>77</v>
      </c>
      <c r="N394" s="5" t="n">
        <v>1103.9</v>
      </c>
      <c r="O394" s="3" t="inlineStr">
        <is>
          <t>고대세종 신축급 원룸건물 매매</t>
        </is>
      </c>
      <c r="P394" s="6">
        <f>HYPERLINK("https://fin.land.naver.com/articles/2648573278", "매물Link")</f>
        <v/>
      </c>
      <c r="Q394" s="6">
        <f>HYPERLINK("https://map.naver.com/p/search/조치원읍 서창리 66-34", "지도Link")</f>
        <v/>
      </c>
      <c r="R394" s="6">
        <f>HYPERLINK("http://www.eum.go.kr/web/ar/lu/luLandDet.jsp?pnu=3611025034100660034&amp;isNoScr=script&amp;mode=search",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259</v>
      </c>
      <c r="V394" s="4" t="n">
        <v>192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세로한면(가)</t>
        </is>
      </c>
    </row>
    <row r="395">
      <c r="A395" s="3" t="inlineStr">
        <is>
          <t>조치원읍 서창리 66-35</t>
        </is>
      </c>
      <c r="B395" s="3" t="inlineStr">
        <is>
          <t>제1종일반주거지역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상가주택</t>
        </is>
      </c>
      <c r="F395" s="3" t="inlineStr">
        <is>
          <t>매매</t>
        </is>
      </c>
      <c r="G395" s="4" t="n">
        <v>76000</v>
      </c>
      <c r="H395" s="4" t="n">
        <v>0</v>
      </c>
      <c r="I395" s="4" t="n">
        <v>189</v>
      </c>
      <c r="J395" s="4" t="n">
        <v>57</v>
      </c>
      <c r="K395" s="5" t="n">
        <v>1333.3</v>
      </c>
      <c r="L395" s="4" t="n">
        <v>259</v>
      </c>
      <c r="M395" s="4" t="n">
        <v>78</v>
      </c>
      <c r="N395" s="5" t="n">
        <v>974.4</v>
      </c>
      <c r="O395" s="3" t="inlineStr">
        <is>
          <t>대학가 2억7천 투자 수익률7.5</t>
        </is>
      </c>
      <c r="P395" s="6">
        <f>HYPERLINK("https://fin.land.naver.com/articles/2648572698", "매물Link")</f>
        <v/>
      </c>
      <c r="Q395" s="6">
        <f>HYPERLINK("https://map.naver.com/p/search/조치원읍 서창리 66-35", "지도Link")</f>
        <v/>
      </c>
      <c r="R395" s="6">
        <f>HYPERLINK("http://www.eum.go.kr/web/ar/lu/luLandDet.jsp?pnu=3611025034100660035&amp;isNoScr=script&amp;mode=search",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401.7</v>
      </c>
      <c r="V395" s="4" t="n">
        <v>189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조치원읍 신안리 168-2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50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홍익대,직장인 1번국도 인접</t>
        </is>
      </c>
      <c r="P396" s="6">
        <f>HYPERLINK("https://fin.land.naver.com/articles/2652327692", "매물Link")</f>
        <v/>
      </c>
      <c r="Q396" s="6">
        <f>HYPERLINK("https://map.naver.com/p/search/조치원읍 신안리 168-2", "지도Link")</f>
        <v/>
      </c>
      <c r="R396" s="6">
        <f>HYPERLINK("http://www.eum.go.kr/web/ar/lu/luLandDet.jsp?pnu=3611025032101680002&amp;isNoScr=script&amp;mode=search",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190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168-4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30</v>
      </c>
      <c r="H397" s="4" t="n">
        <v>23</v>
      </c>
      <c r="I397" s="4" t="n">
        <v>20</v>
      </c>
      <c r="J397" s="4" t="n">
        <v>6</v>
      </c>
      <c r="K397" s="5" t="n">
        <v>3.8</v>
      </c>
      <c r="L397" s="4" t="n">
        <v>20</v>
      </c>
      <c r="M397" s="4" t="n">
        <v>6</v>
      </c>
      <c r="N397" s="5" t="n">
        <v>3.8</v>
      </c>
      <c r="O397" s="3" t="inlineStr">
        <is>
          <t>신안리 홍대국제연수원인근 저렴한원룸 즉시 입주가능합니다</t>
        </is>
      </c>
      <c r="P397" s="6">
        <f>HYPERLINK("https://fin.land.naver.com/articles/2649980274", "매물Link")</f>
        <v/>
      </c>
      <c r="Q397" s="6">
        <f>HYPERLINK("https://map.naver.com/p/search/조치원읍 신안리 168-4", "지도Link")</f>
        <v/>
      </c>
      <c r="R397" s="6">
        <f>HYPERLINK("http://www.eum.go.kr/web/ar/lu/luLandDet.jsp?pnu=3611025032101680004&amp;isNoScr=script&amp;mode=search",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171.6</v>
      </c>
      <c r="V397" s="4" t="n">
        <v>217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168-5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50000</v>
      </c>
      <c r="H398" s="4" t="n">
        <v>0</v>
      </c>
      <c r="I398" s="4" t="n">
        <v>208</v>
      </c>
      <c r="J398" s="4" t="n">
        <v>63</v>
      </c>
      <c r="K398" s="5" t="n">
        <v>793.7</v>
      </c>
      <c r="L398" s="4" t="n">
        <v>207</v>
      </c>
      <c r="M398" s="4" t="n">
        <v>63</v>
      </c>
      <c r="N398" s="5" t="n">
        <v>793.7</v>
      </c>
      <c r="O398" s="3" t="inlineStr">
        <is>
          <t>홍익대 조치원캠퍼스 인근 임대료 수익, 11호실</t>
        </is>
      </c>
      <c r="P398" s="6">
        <f>HYPERLINK("https://fin.land.naver.com/articles/2648906557", "매물Link")</f>
        <v/>
      </c>
      <c r="Q398" s="6">
        <f>HYPERLINK("https://map.naver.com/p/search/조치원읍 신안리 168-5", "지도Link")</f>
        <v/>
      </c>
      <c r="R398" s="6">
        <f>HYPERLINK("http://www.eum.go.kr/web/ar/lu/luLandDet.jsp?pnu=3611025032101680005&amp;isNoScr=script&amp;mode=search", "토지이음")</f>
        <v/>
      </c>
      <c r="S398" s="3" t="inlineStr">
        <is>
          <t>웰스플랜</t>
        </is>
      </c>
      <c r="T398" s="4" t="n">
        <v>1</v>
      </c>
      <c r="U398" s="5" t="n">
        <v>171.6</v>
      </c>
      <c r="V398" s="4" t="n">
        <v>208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신안리 홍익대학교 연수원앞, 숲이 우거진 아름다운 집임.</t>
        </is>
      </c>
      <c r="P399" s="6">
        <f>HYPERLINK("https://fin.land.naver.com/articles/2649178224",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꿈드림</t>
        </is>
      </c>
      <c r="T399" s="4" t="n">
        <v>2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nan</t>
        </is>
      </c>
      <c r="P400" s="6">
        <f>HYPERLINK("https://fin.land.naver.com/articles/2650337382",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웰스플랜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93</v>
      </c>
      <c r="J401" s="4" t="n">
        <v>28</v>
      </c>
      <c r="K401" s="5" t="n">
        <v>589.3</v>
      </c>
      <c r="L401" s="4" t="n">
        <v>80</v>
      </c>
      <c r="M401" s="4" t="n">
        <v>24</v>
      </c>
      <c r="N401" s="5" t="n">
        <v>687.5</v>
      </c>
      <c r="O401" s="3" t="inlineStr">
        <is>
          <t>신축,즉시입주가능, 홍대근접,엘리베이터 있음 주차장 여유, 조용한 환경</t>
        </is>
      </c>
      <c r="P401" s="6">
        <f>HYPERLINK("https://fin.land.naver.com/articles/2651286294",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1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99</v>
      </c>
      <c r="J402" s="4" t="n">
        <v>30</v>
      </c>
      <c r="K402" s="5" t="n">
        <v>550</v>
      </c>
      <c r="L402" s="4" t="n">
        <v>88</v>
      </c>
      <c r="M402" s="4" t="n">
        <v>27</v>
      </c>
      <c r="N402" s="5" t="n">
        <v>611.1</v>
      </c>
      <c r="O402" s="3" t="inlineStr">
        <is>
          <t>신축빌라,즉시입주가능,주차장 여유로움,올리모델링엘리베이터있음,</t>
        </is>
      </c>
      <c r="P402" s="6">
        <f>HYPERLINK("https://fin.land.naver.com/articles/2652138880",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담뜰</t>
        </is>
      </c>
      <c r="T402" s="4" t="n">
        <v>4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전원형 주거지신축빌라, 올리모델링, 급매 1억6500만원, 역세권예정</t>
        </is>
      </c>
      <c r="P403" s="6">
        <f>HYPERLINK("https://fin.land.naver.com/articles/2651743361",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대한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179-2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전원주택</t>
        </is>
      </c>
      <c r="F404" s="3" t="inlineStr">
        <is>
          <t>매매</t>
        </is>
      </c>
      <c r="G404" s="4" t="n">
        <v>28000</v>
      </c>
      <c r="H404" s="4" t="n">
        <v>0</v>
      </c>
      <c r="I404" s="4" t="n">
        <v>360</v>
      </c>
      <c r="J404" s="4" t="n">
        <v>109</v>
      </c>
      <c r="K404" s="5" t="n">
        <v>256.9</v>
      </c>
      <c r="L404" s="4" t="n">
        <v>61</v>
      </c>
      <c r="M404" s="4" t="n">
        <v>18</v>
      </c>
      <c r="N404" s="5" t="n">
        <v>1555.6</v>
      </c>
      <c r="O404" s="3" t="inlineStr">
        <is>
          <t>세종시 홍익대 주변 농가주택 급매</t>
        </is>
      </c>
      <c r="P404" s="6">
        <f>HYPERLINK("https://fin.land.naver.com/articles/2652407093", "매물Link")</f>
        <v/>
      </c>
      <c r="Q404" s="6">
        <f>HYPERLINK("https://map.naver.com/p/search/조치원읍 신안리 179-2", "지도Link")</f>
        <v/>
      </c>
      <c r="R404" s="6">
        <f>HYPERLINK("http://www.eum.go.kr/web/ar/lu/luLandDet.jsp?pnu=3611025032101790002&amp;isNoScr=script&amp;mode=search", "토지이음")</f>
        <v/>
      </c>
      <c r="S404" s="3" t="inlineStr">
        <is>
          <t>강우림</t>
        </is>
      </c>
      <c r="T404" s="4" t="n">
        <v>1</v>
      </c>
      <c r="U404" s="5" t="n">
        <v>175</v>
      </c>
      <c r="V404" s="4" t="n">
        <v>360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조치원읍 신안리 197-3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다가구</t>
        </is>
      </c>
      <c r="F405" s="3" t="inlineStr">
        <is>
          <t>매매</t>
        </is>
      </c>
      <c r="G405" s="4" t="n">
        <v>70000</v>
      </c>
      <c r="H405" s="4" t="n">
        <v>0</v>
      </c>
      <c r="I405" s="4" t="n">
        <v>595</v>
      </c>
      <c r="J405" s="4" t="n">
        <v>180</v>
      </c>
      <c r="K405" s="5" t="n">
        <v>388.9</v>
      </c>
      <c r="L405" s="4" t="n">
        <v>346</v>
      </c>
      <c r="M405" s="4" t="n">
        <v>105</v>
      </c>
      <c r="N405" s="5" t="n">
        <v>666.7</v>
      </c>
      <c r="O405" s="3" t="inlineStr">
        <is>
          <t>서창역인근,주인세대전세끼고,수익형다가구매매,인근대학교,연수원</t>
        </is>
      </c>
      <c r="P405" s="6">
        <f>HYPERLINK("https://fin.land.naver.com/articles/2652964849", "매물Link")</f>
        <v/>
      </c>
      <c r="Q405" s="6">
        <f>HYPERLINK("https://map.naver.com/p/search/조치원읍 신안리 197-3", "지도Link")</f>
        <v/>
      </c>
      <c r="R405" s="6">
        <f>HYPERLINK("http://www.eum.go.kr/web/ar/lu/luLandDet.jsp?pnu=3611025032101970003&amp;isNoScr=script&amp;mode=search", "토지이음")</f>
        <v/>
      </c>
      <c r="S405" s="3" t="inlineStr">
        <is>
          <t>에이팩시티지정</t>
        </is>
      </c>
      <c r="T405" s="4" t="n">
        <v>1</v>
      </c>
      <c r="U405" s="5" t="n">
        <v>171.6</v>
      </c>
      <c r="V405" s="4" t="n">
        <v>595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321-63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다가구</t>
        </is>
      </c>
      <c r="F406" s="3" t="inlineStr">
        <is>
          <t>매매</t>
        </is>
      </c>
      <c r="G406" s="4" t="n">
        <v>115000</v>
      </c>
      <c r="H406" s="4" t="n">
        <v>0</v>
      </c>
      <c r="I406" s="4" t="n">
        <v>173</v>
      </c>
      <c r="J406" s="4" t="n">
        <v>52</v>
      </c>
      <c r="K406" s="5" t="n">
        <v>2211.5</v>
      </c>
      <c r="L406" s="4" t="n">
        <v>282</v>
      </c>
      <c r="M406" s="4" t="n">
        <v>85</v>
      </c>
      <c r="N406" s="5" t="n">
        <v>1352.9</v>
      </c>
      <c r="O406" s="3" t="inlineStr">
        <is>
          <t>절충가 홍익대학교 인근 연세 9천만원 나오는 풀옵션 신축 다중주택 입니다</t>
        </is>
      </c>
      <c r="P406" s="6">
        <f>HYPERLINK("https://fin.land.naver.com/articles/2650958724", "매물Link")</f>
        <v/>
      </c>
      <c r="Q406" s="6">
        <f>HYPERLINK("https://map.naver.com/p/search/조치원읍 신안리 321-63", "지도Link")</f>
        <v/>
      </c>
      <c r="R406" s="6">
        <f>HYPERLINK("http://www.eum.go.kr/web/ar/lu/luLandDet.jsp?pnu=3611025032103210063&amp;isNoScr=script&amp;mode=search", "토지이음")</f>
        <v/>
      </c>
      <c r="S406" s="3" t="inlineStr">
        <is>
          <t>스마일세종</t>
        </is>
      </c>
      <c r="T406" s="4" t="n">
        <v>1</v>
      </c>
      <c r="U406" s="5" t="n">
        <v>199.5</v>
      </c>
      <c r="V406" s="4" t="n">
        <v>173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321-64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166</v>
      </c>
      <c r="J407" s="4" t="n">
        <v>50</v>
      </c>
      <c r="K407" s="5" t="n">
        <v>700</v>
      </c>
      <c r="L407" s="4" t="n">
        <v>187</v>
      </c>
      <c r="M407" s="4" t="n">
        <v>57</v>
      </c>
      <c r="N407" s="5" t="n">
        <v>614</v>
      </c>
      <c r="O407" s="3" t="inlineStr">
        <is>
          <t>신축 단독 2층 주택 초급매, 현재 1층은 임대중</t>
        </is>
      </c>
      <c r="P407" s="6">
        <f>HYPERLINK("https://fin.land.naver.com/articles/2650466023", "매물Link")</f>
        <v/>
      </c>
      <c r="Q407" s="6">
        <f>HYPERLINK("https://map.naver.com/p/search/조치원읍 신안리 321-64", "지도Link")</f>
        <v/>
      </c>
      <c r="R407" s="6">
        <f>HYPERLINK("http://www.eum.go.kr/web/ar/lu/luLandDet.jsp?pnu=3611025032103210064&amp;isNoScr=script&amp;mode=search", "토지이음")</f>
        <v/>
      </c>
      <c r="S407" s="3" t="inlineStr">
        <is>
          <t>세종공감</t>
        </is>
      </c>
      <c r="T407" s="4" t="n">
        <v>1</v>
      </c>
      <c r="U407" s="5" t="n">
        <v>199.5</v>
      </c>
      <c r="V407" s="4" t="n">
        <v>166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343-5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304</v>
      </c>
      <c r="J408" s="4" t="n">
        <v>92</v>
      </c>
      <c r="K408" s="5" t="n">
        <v>2500</v>
      </c>
      <c r="L408" s="4" t="n">
        <v>331</v>
      </c>
      <c r="M408" s="4" t="n">
        <v>100</v>
      </c>
      <c r="N408" s="5" t="n">
        <v>2300</v>
      </c>
      <c r="O408" s="3" t="inlineStr">
        <is>
          <t>고객만족1위, 앞상가 동시매매,세종시 홍익대, 고려대  인근, 투자 최상</t>
        </is>
      </c>
      <c r="P408" s="6">
        <f>HYPERLINK("https://fin.land.naver.com/articles/2651986134", "매물Link")</f>
        <v/>
      </c>
      <c r="Q408" s="6">
        <f>HYPERLINK("https://map.naver.com/p/search/조치원읍 신안리 343-5", "지도Link")</f>
        <v/>
      </c>
      <c r="R408" s="6">
        <f>HYPERLINK("http://www.eum.go.kr/web/ar/lu/luLandDet.jsp?pnu=3611025032103430005&amp;isNoScr=script&amp;mode=search",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299.6</v>
      </c>
      <c r="V408" s="4" t="n">
        <v>304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72500</v>
      </c>
      <c r="H409" s="4" t="n">
        <v>0</v>
      </c>
      <c r="I409" s="4" t="n">
        <v>156</v>
      </c>
      <c r="J409" s="4" t="n">
        <v>47</v>
      </c>
      <c r="K409" s="5" t="n">
        <v>1542.6</v>
      </c>
      <c r="L409" s="4" t="n">
        <v>264</v>
      </c>
      <c r="M409" s="4" t="n">
        <v>80</v>
      </c>
      <c r="N409" s="5" t="n">
        <v>906.2</v>
      </c>
      <c r="O409" s="3" t="inlineStr">
        <is>
          <t>고객만족1위, 홍익대부근세종캠, 고려대근방세종캠, 조치원역 부근</t>
        </is>
      </c>
      <c r="P409" s="6">
        <f>HYPERLINK("https://fin.land.naver.com/articles/2651992800",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생생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353-19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62000</v>
      </c>
      <c r="H410" s="4" t="n">
        <v>0</v>
      </c>
      <c r="I410" s="4" t="n">
        <v>158</v>
      </c>
      <c r="J410" s="4" t="n">
        <v>48</v>
      </c>
      <c r="K410" s="5" t="n">
        <v>1291.7</v>
      </c>
      <c r="L410" s="4" t="n">
        <v>264</v>
      </c>
      <c r="M410" s="4" t="n">
        <v>80</v>
      </c>
      <c r="N410" s="5" t="n">
        <v>775</v>
      </c>
      <c r="O410" s="3" t="inlineStr">
        <is>
          <t>nan</t>
        </is>
      </c>
      <c r="P410" s="6">
        <f>HYPERLINK("https://fin.land.naver.com/articles/2650552332", "매물Link")</f>
        <v/>
      </c>
      <c r="Q410" s="6">
        <f>HYPERLINK("https://map.naver.com/p/search/조치원읍 신안리 353-19", "지도Link")</f>
        <v/>
      </c>
      <c r="R410" s="6">
        <f>HYPERLINK("http://www.eum.go.kr/web/ar/lu/luLandDet.jsp?pnu=3611025032103530019&amp;isNoScr=script&amp;mode=search", "토지이음")</f>
        <v/>
      </c>
      <c r="S410" s="3" t="inlineStr">
        <is>
          <t>바다</t>
        </is>
      </c>
      <c r="T410" s="4" t="n">
        <v>1</v>
      </c>
      <c r="U410" s="5" t="n">
        <v>210.3</v>
      </c>
      <c r="V410" s="4" t="n">
        <v>156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375-1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160000</v>
      </c>
      <c r="H412" s="4" t="n">
        <v>0</v>
      </c>
      <c r="I412" s="4" t="n">
        <v>832</v>
      </c>
      <c r="J412" s="4" t="n">
        <v>252</v>
      </c>
      <c r="K412" s="5" t="n">
        <v>634.9</v>
      </c>
      <c r="L412" s="4" t="n">
        <v>1266</v>
      </c>
      <c r="M412" s="4" t="n">
        <v>383</v>
      </c>
      <c r="N412" s="5" t="n">
        <v>417.8</v>
      </c>
      <c r="O412" s="3" t="inlineStr">
        <is>
          <t>L홍익대 5분 O수익률 9이상</t>
        </is>
      </c>
      <c r="P412" s="6">
        <f>HYPERLINK("https://fin.land.naver.com/articles/2650552311", "매물Link")</f>
        <v/>
      </c>
      <c r="Q412" s="6">
        <f>HYPERLINK("https://map.naver.com/p/search/조치원읍 신안리 375-1", "지도Link")</f>
        <v/>
      </c>
      <c r="R412" s="6">
        <f>HYPERLINK("http://www.eum.go.kr/web/ar/lu/luLandDet.jsp?pnu=3611025032103750001&amp;isNoScr=script&amp;mode=search",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291.6</v>
      </c>
      <c r="V412" s="4" t="n">
        <v>368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383-13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45000</v>
      </c>
      <c r="H413" s="4" t="n">
        <v>0</v>
      </c>
      <c r="I413" s="4" t="n">
        <v>188</v>
      </c>
      <c r="J413" s="4" t="n">
        <v>57</v>
      </c>
      <c r="K413" s="5" t="n">
        <v>789.5</v>
      </c>
      <c r="L413" s="4" t="n">
        <v>326</v>
      </c>
      <c r="M413" s="4" t="n">
        <v>99</v>
      </c>
      <c r="N413" s="5" t="n">
        <v>454.5</v>
      </c>
      <c r="O413" s="3" t="inlineStr">
        <is>
          <t>리모델링 원룸 매매</t>
        </is>
      </c>
      <c r="P413" s="6">
        <f>HYPERLINK("https://fin.land.naver.com/articles/2648567043", "매물Link")</f>
        <v/>
      </c>
      <c r="Q413" s="6">
        <f>HYPERLINK("https://map.naver.com/p/search/조치원읍 신안리 383-13", "지도Link")</f>
        <v/>
      </c>
      <c r="R413" s="6">
        <f>HYPERLINK("http://www.eum.go.kr/web/ar/lu/luLandDet.jsp?pnu=3611025032103830013&amp;isNoScr=script&amp;mode=search", "토지이음")</f>
        <v/>
      </c>
      <c r="S413" s="3" t="inlineStr">
        <is>
          <t>고래</t>
        </is>
      </c>
      <c r="T413" s="4" t="n">
        <v>1</v>
      </c>
      <c r="U413" s="5" t="n">
        <v>208.6</v>
      </c>
      <c r="V413" s="4" t="n">
        <v>188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세로각지(가)</t>
        </is>
      </c>
    </row>
    <row r="414">
      <c r="A414" s="3" t="inlineStr">
        <is>
          <t>조치원읍 신안리 385-12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60000</v>
      </c>
      <c r="H414" s="4" t="n">
        <v>0</v>
      </c>
      <c r="I414" s="4" t="n">
        <v>322</v>
      </c>
      <c r="J414" s="4" t="n">
        <v>97</v>
      </c>
      <c r="K414" s="5" t="n">
        <v>618.6</v>
      </c>
      <c r="L414" s="4" t="n">
        <v>493</v>
      </c>
      <c r="M414" s="4" t="n">
        <v>149</v>
      </c>
      <c r="N414" s="5" t="n">
        <v>402.7</v>
      </c>
      <c r="O414" s="3" t="inlineStr">
        <is>
          <t>홍익대학교 원룸 다가구매매.수익률잘나옴.</t>
        </is>
      </c>
      <c r="P414" s="6">
        <f>HYPERLINK("https://fin.land.naver.com/articles/2650552276", "매물Link")</f>
        <v/>
      </c>
      <c r="Q414" s="6">
        <f>HYPERLINK("https://map.naver.com/p/search/조치원읍 신안리 385-12", "지도Link")</f>
        <v/>
      </c>
      <c r="R414" s="6">
        <f>HYPERLINK("http://www.eum.go.kr/web/ar/lu/luLandDet.jsp?pnu=3611025032103850012&amp;isNoScr=script&amp;mode=search",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192.9</v>
      </c>
      <c r="V414" s="4" t="n">
        <v>322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조치원읍 신안리 386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다가구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26</v>
      </c>
      <c r="J415" s="4" t="n">
        <v>8</v>
      </c>
      <c r="K415" s="5" t="n">
        <v>3.2</v>
      </c>
      <c r="L415" s="4" t="n">
        <v>26</v>
      </c>
      <c r="M415" s="4" t="n">
        <v>8</v>
      </c>
      <c r="N415" s="5" t="n">
        <v>3.2</v>
      </c>
      <c r="O415" s="3" t="inlineStr">
        <is>
          <t>보증금과 월세가 저렴하고 넓은 방, 고려대, 홍익대 인근임</t>
        </is>
      </c>
      <c r="P415" s="6">
        <f>HYPERLINK("https://fin.land.naver.com/articles/2648513014", "매물Link")</f>
        <v/>
      </c>
      <c r="Q415" s="6">
        <f>HYPERLINK("https://map.naver.com/p/search/조치원읍 신안리 386", "지도Link")</f>
        <v/>
      </c>
      <c r="R415" s="6">
        <f>HYPERLINK("http://www.eum.go.kr/web/ar/lu/luLandDet.jsp?pnu=3611025032103860000&amp;isNoScr=script&amp;mode=search", "토지이음")</f>
        <v/>
      </c>
      <c r="S415" s="3" t="inlineStr">
        <is>
          <t>세종베스트</t>
        </is>
      </c>
      <c r="T415" s="4" t="n">
        <v>1</v>
      </c>
      <c r="U415" s="5" t="n">
        <v>192.9</v>
      </c>
      <c r="V415" s="4" t="n">
        <v>295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387-10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33</v>
      </c>
      <c r="J416" s="4" t="n">
        <v>10</v>
      </c>
      <c r="K416" s="5" t="n">
        <v>3</v>
      </c>
      <c r="L416" s="4" t="n">
        <v>33</v>
      </c>
      <c r="M416" s="4" t="n">
        <v>10</v>
      </c>
      <c r="N416" s="5" t="n">
        <v>3</v>
      </c>
      <c r="O416" s="3" t="inlineStr">
        <is>
          <t>nan</t>
        </is>
      </c>
      <c r="P416" s="6">
        <f>HYPERLINK("https://fin.land.naver.com/articles/2651720837", "매물Link")</f>
        <v/>
      </c>
      <c r="Q416" s="6">
        <f>HYPERLINK("https://map.naver.com/p/search/조치원읍 신안리 387-10", "지도Link")</f>
        <v/>
      </c>
      <c r="R416" s="6">
        <f>HYPERLINK("http://www.eum.go.kr/web/ar/lu/luLandDet.jsp?pnu=3611025032103870010&amp;isNoScr=script&amp;mode=search", "토지이음")</f>
        <v/>
      </c>
      <c r="S416" s="3" t="inlineStr">
        <is>
          <t>-</t>
        </is>
      </c>
      <c r="T416" s="4" t="n">
        <v>1</v>
      </c>
      <c r="U416" s="5" t="n">
        <v>198.8</v>
      </c>
      <c r="V416" s="4" t="n">
        <v>294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389-8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100</v>
      </c>
      <c r="H417" s="4" t="n">
        <v>20</v>
      </c>
      <c r="I417" s="4" t="n">
        <v>15</v>
      </c>
      <c r="J417" s="4" t="n">
        <v>5</v>
      </c>
      <c r="K417" s="5" t="n">
        <v>4</v>
      </c>
      <c r="L417" s="4" t="n">
        <v>15</v>
      </c>
      <c r="M417" s="4" t="n">
        <v>5</v>
      </c>
      <c r="N417" s="5" t="n">
        <v>4</v>
      </c>
      <c r="O417" s="3" t="inlineStr">
        <is>
          <t>한달28만원에 공과금 모두 포함, 추가금 없음</t>
        </is>
      </c>
      <c r="P417" s="6">
        <f>HYPERLINK("https://fin.land.naver.com/articles/2648554234", "매물Link")</f>
        <v/>
      </c>
      <c r="Q417" s="6">
        <f>HYPERLINK("https://map.naver.com/p/search/조치원읍 신안리 389-8", "지도Link")</f>
        <v/>
      </c>
      <c r="R417" s="6">
        <f>HYPERLINK("http://www.eum.go.kr/web/ar/lu/luLandDet.jsp?pnu=3611025032103890008&amp;isNoScr=script&amp;mode=search", "토지이음")</f>
        <v/>
      </c>
      <c r="S417" s="3" t="inlineStr">
        <is>
          <t>부자터</t>
        </is>
      </c>
      <c r="T417" s="4" t="n">
        <v>1</v>
      </c>
      <c r="U417" s="5" t="n">
        <v>363.6</v>
      </c>
      <c r="V417" s="4" t="n">
        <v>294</v>
      </c>
      <c r="W417" s="3" t="inlineStr">
        <is>
          <t>지정되지않음</t>
        </is>
      </c>
      <c r="X417" s="3" t="inlineStr">
        <is>
          <t>주상용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일반원룸</t>
        </is>
      </c>
      <c r="F418" s="3" t="inlineStr">
        <is>
          <t>전세</t>
        </is>
      </c>
      <c r="G418" s="4" t="n">
        <v>4500</v>
      </c>
      <c r="H418" s="4" t="n">
        <v>0</v>
      </c>
      <c r="I418" s="4" t="n">
        <v>25</v>
      </c>
      <c r="J418" s="4" t="n">
        <v>8</v>
      </c>
      <c r="K418" s="5" t="n">
        <v>562.5</v>
      </c>
      <c r="L418" s="4" t="n">
        <v>25</v>
      </c>
      <c r="M418" s="4" t="n">
        <v>8</v>
      </c>
      <c r="N418" s="5" t="n">
        <v>562.5</v>
      </c>
      <c r="O418" s="3" t="inlineStr">
        <is>
          <t>공과금 모두 포함하여 1달 15만원 추가비용없음</t>
        </is>
      </c>
      <c r="P418" s="6">
        <f>HYPERLINK("https://fin.land.naver.com/articles/2653252633",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391-1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다가구</t>
        </is>
      </c>
      <c r="F419" s="3" t="inlineStr">
        <is>
          <t>월세</t>
        </is>
      </c>
      <c r="G419" s="4" t="n">
        <v>50</v>
      </c>
      <c r="H419" s="4" t="n">
        <v>27</v>
      </c>
      <c r="I419" s="4" t="n">
        <v>28</v>
      </c>
      <c r="J419" s="4" t="n">
        <v>8</v>
      </c>
      <c r="K419" s="5" t="n">
        <v>3.4</v>
      </c>
      <c r="L419" s="4" t="n">
        <v>28</v>
      </c>
      <c r="M419" s="4" t="n">
        <v>8</v>
      </c>
      <c r="N419" s="5" t="n">
        <v>3.4</v>
      </c>
      <c r="O419" s="3" t="inlineStr">
        <is>
          <t>넒은 원룸이며, 고려대학교, 홍익대학교 옆에 위치하여 교통 편리</t>
        </is>
      </c>
      <c r="P419" s="6">
        <f>HYPERLINK("https://fin.land.naver.com/articles/2651502820", "매물Link")</f>
        <v/>
      </c>
      <c r="Q419" s="6">
        <f>HYPERLINK("https://map.naver.com/p/search/조치원읍 신안리 391-1", "지도Link")</f>
        <v/>
      </c>
      <c r="R419" s="6">
        <f>HYPERLINK("http://www.eum.go.kr/web/ar/lu/luLandDet.jsp?pnu=3611025032103910001&amp;isNoScr=script&amp;mode=search", "토지이음")</f>
        <v/>
      </c>
      <c r="S419" s="3" t="inlineStr">
        <is>
          <t>세종베스트</t>
        </is>
      </c>
      <c r="T419" s="4" t="n">
        <v>1</v>
      </c>
      <c r="U419" s="5" t="n">
        <v>271.1</v>
      </c>
      <c r="V419" s="4" t="n">
        <v>315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세로각지(가)</t>
        </is>
      </c>
    </row>
    <row r="420">
      <c r="A420" s="3" t="inlineStr">
        <is>
          <t>조치원읍 신안리 393-19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월세</t>
        </is>
      </c>
      <c r="G420" s="4" t="n">
        <v>7000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60</v>
      </c>
      <c r="M420" s="4" t="n">
        <v>18</v>
      </c>
      <c r="N420" s="5" t="n">
        <v>1.7</v>
      </c>
      <c r="O420" s="3" t="inlineStr">
        <is>
          <t>LH 대출 가능 합니다. 투룸</t>
        </is>
      </c>
      <c r="P420" s="6">
        <f>HYPERLINK("https://fin.land.naver.com/articles/2652808262", "매물Link")</f>
        <v/>
      </c>
      <c r="Q420" s="6">
        <f>HYPERLINK("https://map.naver.com/p/search/조치원읍 신안리 393-19", "지도Link")</f>
        <v/>
      </c>
      <c r="R420" s="6">
        <f>HYPERLINK("http://www.eum.go.kr/web/ar/lu/luLandDet.jsp?pnu=3611025032103930019&amp;isNoScr=script&amp;mode=search", "토지이음")</f>
        <v/>
      </c>
      <c r="S420" s="3" t="inlineStr">
        <is>
          <t>지성</t>
        </is>
      </c>
      <c r="T420" s="4" t="n">
        <v>1</v>
      </c>
      <c r="U420" s="5" t="n">
        <v>200.1</v>
      </c>
      <c r="V420" s="4" t="n">
        <v>166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394-12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300</v>
      </c>
      <c r="H421" s="4" t="n">
        <v>30</v>
      </c>
      <c r="I421" s="4" t="n">
        <v>25</v>
      </c>
      <c r="J421" s="4" t="n">
        <v>8</v>
      </c>
      <c r="K421" s="5" t="n">
        <v>3.8</v>
      </c>
      <c r="L421" s="4" t="n">
        <v>25</v>
      </c>
      <c r="M421" s="4" t="n">
        <v>8</v>
      </c>
      <c r="N421" s="5" t="n">
        <v>3.8</v>
      </c>
      <c r="O421" s="3" t="inlineStr">
        <is>
          <t>음식점, 편의점, 버스정류장도 가까운 곳에 있는 집</t>
        </is>
      </c>
      <c r="P421" s="6">
        <f>HYPERLINK("https://fin.land.naver.com/articles/2649956802", "매물Link")</f>
        <v/>
      </c>
      <c r="Q421" s="6">
        <f>HYPERLINK("https://map.naver.com/p/search/조치원읍 신안리 394-12", "지도Link")</f>
        <v/>
      </c>
      <c r="R421" s="6">
        <f>HYPERLINK("http://www.eum.go.kr/web/ar/lu/luLandDet.jsp?pnu=3611025032103940012&amp;isNoScr=script&amp;mode=search",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302.3</v>
      </c>
      <c r="V421" s="4" t="n">
        <v>222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중로한면</t>
        </is>
      </c>
    </row>
    <row r="422">
      <c r="A422" s="3" t="inlineStr">
        <is>
          <t>조치원읍 신안리 394-35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90000</v>
      </c>
      <c r="H422" s="4" t="n">
        <v>0</v>
      </c>
      <c r="I422" s="4" t="n">
        <v>311</v>
      </c>
      <c r="J422" s="4" t="n">
        <v>94</v>
      </c>
      <c r="K422" s="5" t="n">
        <v>957.4</v>
      </c>
      <c r="L422" s="4" t="n">
        <v>328</v>
      </c>
      <c r="M422" s="4" t="n">
        <v>99</v>
      </c>
      <c r="N422" s="5" t="n">
        <v>909.1</v>
      </c>
      <c r="O422" s="3" t="inlineStr">
        <is>
          <t>수익률 10 년수익 5,145만원 원룸 통매매</t>
        </is>
      </c>
      <c r="P422" s="6">
        <f>HYPERLINK("https://fin.land.naver.com/articles/2648570400", "매물Link")</f>
        <v/>
      </c>
      <c r="Q422" s="6">
        <f>HYPERLINK("https://map.naver.com/p/search/조치원읍 신안리 394-35", "지도Link")</f>
        <v/>
      </c>
      <c r="R422" s="6">
        <f>HYPERLINK("http://www.eum.go.kr/web/ar/lu/luLandDet.jsp?pnu=3611025032103940035&amp;isNoScr=script&amp;mode=search",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235.1</v>
      </c>
      <c r="V422" s="4" t="n">
        <v>311</v>
      </c>
      <c r="W422" s="3" t="inlineStr">
        <is>
          <t>지정되지않음</t>
        </is>
      </c>
      <c r="X422" s="3" t="inlineStr">
        <is>
          <t>다세대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세로한면(불)</t>
        </is>
      </c>
    </row>
    <row r="423">
      <c r="A423" s="3" t="inlineStr">
        <is>
          <t>조치원읍 신안리 394-38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전세</t>
        </is>
      </c>
      <c r="G423" s="4" t="n">
        <v>5000</v>
      </c>
      <c r="H423" s="4" t="n">
        <v>0</v>
      </c>
      <c r="I423" s="4" t="n">
        <v>20</v>
      </c>
      <c r="J423" s="4" t="n">
        <v>6</v>
      </c>
      <c r="K423" s="5" t="n">
        <v>833.3</v>
      </c>
      <c r="L423" s="4" t="n">
        <v>20</v>
      </c>
      <c r="M423" s="4" t="n">
        <v>6</v>
      </c>
      <c r="N423" s="5" t="n">
        <v>833.3</v>
      </c>
      <c r="O423" s="3" t="inlineStr">
        <is>
          <t>귀한 원룸 전세매물</t>
        </is>
      </c>
      <c r="P423" s="6">
        <f>HYPERLINK("https://fin.land.naver.com/articles/2649956631", "매물Link")</f>
        <v/>
      </c>
      <c r="Q423" s="6">
        <f>HYPERLINK("https://map.naver.com/p/search/조치원읍 신안리 394-38", "지도Link")</f>
        <v/>
      </c>
      <c r="R423" s="6">
        <f>HYPERLINK("http://www.eum.go.kr/web/ar/lu/luLandDet.jsp?pnu=3611025032103940038&amp;isNoScr=script&amp;mode=search", "토지이음")</f>
        <v/>
      </c>
      <c r="S423" s="3" t="inlineStr">
        <is>
          <t>부자터</t>
        </is>
      </c>
      <c r="T423" s="4" t="n">
        <v>1</v>
      </c>
      <c r="U423" s="5" t="n">
        <v>227.9</v>
      </c>
      <c r="V423" s="4" t="n">
        <v>289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자루형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100000</v>
      </c>
      <c r="H424" s="4" t="n">
        <v>0</v>
      </c>
      <c r="I424" s="4" t="n">
        <v>289</v>
      </c>
      <c r="J424" s="4" t="n">
        <v>87</v>
      </c>
      <c r="K424" s="5" t="n">
        <v>1149.4</v>
      </c>
      <c r="L424" s="4" t="n">
        <v>329</v>
      </c>
      <c r="M424" s="4" t="n">
        <v>100</v>
      </c>
      <c r="N424" s="5" t="n">
        <v>1000</v>
      </c>
      <c r="O424" s="3" t="inlineStr">
        <is>
          <t>인근 홍익대 위치로 공실없이 연세로 운영되며 수익률10프로 이상</t>
        </is>
      </c>
      <c r="P424" s="6">
        <f>HYPERLINK("https://fin.land.naver.com/articles/2651069625",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한림신화</t>
        </is>
      </c>
      <c r="T424" s="4" t="n">
        <v>2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97000</v>
      </c>
      <c r="H425" s="4" t="n">
        <v>0</v>
      </c>
      <c r="I425" s="4" t="n">
        <v>251</v>
      </c>
      <c r="J425" s="4" t="n">
        <v>76</v>
      </c>
      <c r="K425" s="5" t="n">
        <v>1276.3</v>
      </c>
      <c r="L425" s="4" t="n">
        <v>329</v>
      </c>
      <c r="M425" s="4" t="n">
        <v>100</v>
      </c>
      <c r="N425" s="5" t="n">
        <v>970</v>
      </c>
      <c r="O425" s="3" t="inlineStr">
        <is>
          <t>수익율 최고 18세대, 연 9.5 프로 수익율,  관리상태 최상급</t>
        </is>
      </c>
      <c r="P425" s="6">
        <f>HYPERLINK("https://fin.land.naver.com/articles/2649567909", "매물Link")</f>
        <v/>
      </c>
      <c r="Q425" s="6">
        <f>HYPERLINK("https://map.naver.com/p/search/조치원읍 신안리 394-8", "지도Link")</f>
        <v/>
      </c>
      <c r="R425" s="6">
        <f>HYPERLINK("http://www.eum.go.kr/web/ar/lu/luLandDet.jsp?pnu=3611025032103940008&amp;isNoScr=script&amp;mode=search", "토지이음")</f>
        <v/>
      </c>
      <c r="S425" s="3" t="inlineStr">
        <is>
          <t>기흥역미래</t>
        </is>
      </c>
      <c r="T425" s="4" t="n">
        <v>1</v>
      </c>
      <c r="U425" s="5" t="n">
        <v>255.5</v>
      </c>
      <c r="V425" s="4" t="n">
        <v>251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31</v>
      </c>
      <c r="I426" s="4" t="n">
        <v>26</v>
      </c>
      <c r="J426" s="4" t="n">
        <v>8</v>
      </c>
      <c r="K426" s="5" t="n">
        <v>3.9</v>
      </c>
      <c r="L426" s="4" t="n">
        <v>26</v>
      </c>
      <c r="M426" s="4" t="n">
        <v>8</v>
      </c>
      <c r="N426" s="5" t="n">
        <v>3.9</v>
      </c>
      <c r="O426" s="3" t="inlineStr">
        <is>
          <t>깨끗한 풀옵션  원룸이며, 고려대학교와 홍익대학교와 가까움</t>
        </is>
      </c>
      <c r="P426" s="6">
        <f>HYPERLINK("https://fin.land.naver.com/articles/2651498722",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세종베스트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432-15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전세</t>
        </is>
      </c>
      <c r="G427" s="4" t="n">
        <v>4000</v>
      </c>
      <c r="H427" s="4" t="n">
        <v>0</v>
      </c>
      <c r="I427" s="4" t="n">
        <v>20</v>
      </c>
      <c r="J427" s="4" t="n">
        <v>6</v>
      </c>
      <c r="K427" s="5" t="n">
        <v>666.7</v>
      </c>
      <c r="L427" s="4" t="n">
        <v>20</v>
      </c>
      <c r="M427" s="4" t="n">
        <v>6</v>
      </c>
      <c r="N427" s="5" t="n">
        <v>666.7</v>
      </c>
      <c r="O427" s="3" t="inlineStr">
        <is>
          <t>즉시입주</t>
        </is>
      </c>
      <c r="P427" s="6">
        <f>HYPERLINK("https://fin.land.naver.com/articles/2649956345", "매물Link")</f>
        <v/>
      </c>
      <c r="Q427" s="6">
        <f>HYPERLINK("https://map.naver.com/p/search/조치원읍 신안리 432-15", "지도Link")</f>
        <v/>
      </c>
      <c r="R427" s="6">
        <f>HYPERLINK("http://www.eum.go.kr/web/ar/lu/luLandDet.jsp?pnu=3611025032104320015&amp;isNoScr=script&amp;mode=search",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231.7</v>
      </c>
      <c r="V427" s="4" t="n">
        <v>222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조치원읍 신안리 432-17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단독</t>
        </is>
      </c>
      <c r="F428" s="3" t="inlineStr">
        <is>
          <t>매매</t>
        </is>
      </c>
      <c r="G428" s="4" t="n">
        <v>95000</v>
      </c>
      <c r="H428" s="4" t="n">
        <v>0</v>
      </c>
      <c r="I428" s="4" t="n">
        <v>222</v>
      </c>
      <c r="J428" s="4" t="n">
        <v>67</v>
      </c>
      <c r="K428" s="5" t="n">
        <v>1417.9</v>
      </c>
      <c r="L428" s="4" t="n">
        <v>283</v>
      </c>
      <c r="M428" s="4" t="n">
        <v>86</v>
      </c>
      <c r="N428" s="5" t="n">
        <v>1104.7</v>
      </c>
      <c r="O428" s="3" t="inlineStr">
        <is>
          <t>L 홍익대5분 O학생선호도1위 O깨끗한건물</t>
        </is>
      </c>
      <c r="P428" s="6">
        <f>HYPERLINK("https://fin.land.naver.com/articles/2650552292", "매물Link")</f>
        <v/>
      </c>
      <c r="Q428" s="6">
        <f>HYPERLINK("https://map.naver.com/p/search/조치원읍 신안리 432-17", "지도Link")</f>
        <v/>
      </c>
      <c r="R428" s="6">
        <f>HYPERLINK("http://www.eum.go.kr/web/ar/lu/luLandDet.jsp?pnu=3611025032104320017&amp;isNoScr=script&amp;mode=search", "토지이음")</f>
        <v/>
      </c>
      <c r="S428" s="3" t="inlineStr">
        <is>
          <t>바다</t>
        </is>
      </c>
      <c r="T428" s="4" t="n">
        <v>1</v>
      </c>
      <c r="U428" s="5" t="n">
        <v>195.5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완경사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445-9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다가구</t>
        </is>
      </c>
      <c r="F429" s="3" t="inlineStr">
        <is>
          <t>매매</t>
        </is>
      </c>
      <c r="G429" s="4" t="n">
        <v>49000</v>
      </c>
      <c r="H429" s="4" t="n">
        <v>0</v>
      </c>
      <c r="I429" s="4" t="n">
        <v>268</v>
      </c>
      <c r="J429" s="4" t="n">
        <v>81</v>
      </c>
      <c r="K429" s="5" t="n">
        <v>604.9</v>
      </c>
      <c r="L429" s="4" t="n">
        <v>397</v>
      </c>
      <c r="M429" s="4" t="n">
        <v>120</v>
      </c>
      <c r="N429" s="5" t="n">
        <v>408.3</v>
      </c>
      <c r="O429" s="3" t="inlineStr">
        <is>
          <t>후문앞. 공실없는 원룸건물. 관리잘됨</t>
        </is>
      </c>
      <c r="P429" s="6">
        <f>HYPERLINK("https://fin.land.naver.com/articles/2650538930", "매물Link")</f>
        <v/>
      </c>
      <c r="Q429" s="6">
        <f>HYPERLINK("https://map.naver.com/p/search/조치원읍 신안리 445-9", "지도Link")</f>
        <v/>
      </c>
      <c r="R429" s="6">
        <f>HYPERLINK("http://www.eum.go.kr/web/ar/lu/luLandDet.jsp?pnu=3611025032104450009&amp;isNoScr=script&amp;mode=search",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217</v>
      </c>
      <c r="V429" s="4" t="n">
        <v>268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홍익대학교 도보 2분거리, 임대놓기 좋은 위치, 공실없음</t>
        </is>
      </c>
      <c r="P430" s="6">
        <f>HYPERLINK("https://fin.land.naver.com/articles/2650312958",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신흥리 106</t>
        </is>
      </c>
      <c r="B431" s="3" t="inlineStr">
        <is>
          <t>제3종일반주거지역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주공신흥</t>
        </is>
      </c>
      <c r="F431" s="3" t="inlineStr">
        <is>
          <t>매매</t>
        </is>
      </c>
      <c r="G431" s="4" t="n">
        <v>23000</v>
      </c>
      <c r="H431" s="4" t="n">
        <v>0</v>
      </c>
      <c r="I431" s="4" t="n">
        <v>62</v>
      </c>
      <c r="J431" s="4" t="n">
        <v>19</v>
      </c>
      <c r="K431" s="5" t="n">
        <v>1210.5</v>
      </c>
      <c r="L431" s="4" t="n">
        <v>57</v>
      </c>
      <c r="M431" s="4" t="n">
        <v>17</v>
      </c>
      <c r="N431" s="5" t="n">
        <v>1352.9</v>
      </c>
      <c r="O431" s="3" t="inlineStr">
        <is>
          <t>재건축 진행중에 있는 곳입니다.</t>
        </is>
      </c>
      <c r="P431" s="6">
        <f>HYPERLINK("https://fin.land.naver.com/articles/2649704179", "매물Link")</f>
        <v/>
      </c>
      <c r="Q431" s="6">
        <f>HYPERLINK("https://map.naver.com/p/search/조치원읍 신흥리 106", "지도Link")</f>
        <v/>
      </c>
      <c r="R431" s="6">
        <f>HYPERLINK("http://www.eum.go.kr/web/ar/lu/luLandDet.jsp?pnu=3611025029101060000&amp;isNoScr=script&amp;mode=search", "토지이음")</f>
        <v/>
      </c>
      <c r="S431" s="3" t="inlineStr">
        <is>
          <t>이순이</t>
        </is>
      </c>
      <c r="T431" s="4" t="n">
        <v>1</v>
      </c>
      <c r="U431" s="5" t="n">
        <v>287</v>
      </c>
      <c r="V431" s="4" t="n">
        <v>15250</v>
      </c>
      <c r="W431" s="3" t="inlineStr">
        <is>
          <t>제2종일반주거지역</t>
        </is>
      </c>
      <c r="X431" s="3" t="inlineStr">
        <is>
          <t>아파트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광대소각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22000</v>
      </c>
      <c r="H432" s="4" t="n">
        <v>0</v>
      </c>
      <c r="I432" s="4" t="n">
        <v>73</v>
      </c>
      <c r="J432" s="4" t="n">
        <v>22</v>
      </c>
      <c r="K432" s="5" t="n">
        <v>1000</v>
      </c>
      <c r="L432" s="4" t="n">
        <v>67</v>
      </c>
      <c r="M432" s="4" t="n">
        <v>20</v>
      </c>
      <c r="N432" s="5" t="n">
        <v>1100</v>
      </c>
      <c r="O432" s="3" t="inlineStr">
        <is>
          <t>재건축 추진 단지이고 매도인 사정상  초급매 매물입니다</t>
        </is>
      </c>
      <c r="P432" s="6">
        <f>HYPERLINK("https://fin.land.naver.com/articles/2652900704",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명성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주공신흥</t>
        </is>
      </c>
      <c r="F433" s="3" t="inlineStr">
        <is>
          <t>매매</t>
        </is>
      </c>
      <c r="G433" s="4" t="n">
        <v>25000</v>
      </c>
      <c r="H433" s="4" t="n">
        <v>0</v>
      </c>
      <c r="I433" s="4" t="n">
        <v>73</v>
      </c>
      <c r="J433" s="4" t="n">
        <v>22</v>
      </c>
      <c r="K433" s="5" t="n">
        <v>1136.4</v>
      </c>
      <c r="L433" s="4" t="n">
        <v>67</v>
      </c>
      <c r="M433" s="4" t="n">
        <v>20</v>
      </c>
      <c r="N433" s="5" t="n">
        <v>1250</v>
      </c>
      <c r="O433" s="3" t="inlineStr">
        <is>
          <t>o재건축추진o실입주가능o위치최고</t>
        </is>
      </c>
      <c r="P433" s="6">
        <f>HYPERLINK("https://fin.land.naver.com/articles/2650550533",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바다</t>
        </is>
      </c>
      <c r="T433" s="4" t="n">
        <v>2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3000</v>
      </c>
      <c r="H434" s="4" t="n">
        <v>25</v>
      </c>
      <c r="I434" s="4" t="n">
        <v>62</v>
      </c>
      <c r="J434" s="4" t="n">
        <v>19</v>
      </c>
      <c r="K434" s="5" t="n">
        <v>1.3</v>
      </c>
      <c r="L434" s="4" t="n">
        <v>57</v>
      </c>
      <c r="M434" s="4" t="n">
        <v>17</v>
      </c>
      <c r="N434" s="5" t="n">
        <v>1.5</v>
      </c>
      <c r="O434" s="3" t="inlineStr">
        <is>
          <t>남향 즉시입주 에어컨 있음</t>
        </is>
      </c>
      <c r="P434" s="6">
        <f>HYPERLINK("https://fin.land.naver.com/articles/2649439061",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욱일</t>
        </is>
      </c>
      <c r="T434" s="4" t="n">
        <v>4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30000</v>
      </c>
      <c r="H435" s="4" t="n">
        <v>0</v>
      </c>
      <c r="I435" s="4" t="n">
        <v>62</v>
      </c>
      <c r="J435" s="4" t="n">
        <v>19</v>
      </c>
      <c r="K435" s="5" t="n">
        <v>1578.9</v>
      </c>
      <c r="L435" s="4" t="n">
        <v>57</v>
      </c>
      <c r="M435" s="4" t="n">
        <v>17</v>
      </c>
      <c r="N435" s="5" t="n">
        <v>1764.7</v>
      </c>
      <c r="O435" s="3" t="inlineStr">
        <is>
          <t>재건축단지,공실,입주가능</t>
        </is>
      </c>
      <c r="P435" s="6">
        <f>HYPERLINK("https://fin.land.naver.com/articles/2652978926",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다산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주공신흥</t>
        </is>
      </c>
      <c r="F436" s="3" t="inlineStr">
        <is>
          <t>월세</t>
        </is>
      </c>
      <c r="G436" s="4" t="n">
        <v>1000</v>
      </c>
      <c r="H436" s="4" t="n">
        <v>40</v>
      </c>
      <c r="I436" s="4" t="n">
        <v>73</v>
      </c>
      <c r="J436" s="4" t="n">
        <v>22</v>
      </c>
      <c r="K436" s="5" t="n">
        <v>1.8</v>
      </c>
      <c r="L436" s="4" t="n">
        <v>67</v>
      </c>
      <c r="M436" s="4" t="n">
        <v>20</v>
      </c>
      <c r="N436" s="5" t="n">
        <v>2</v>
      </c>
      <c r="O436" s="3" t="inlineStr">
        <is>
          <t>nan</t>
        </is>
      </c>
      <c r="P436" s="6">
        <f>HYPERLINK("https://fin.land.naver.com/articles/2652354144",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푸르지오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30000</v>
      </c>
      <c r="H437" s="4" t="n">
        <v>0</v>
      </c>
      <c r="I437" s="4" t="n">
        <v>73</v>
      </c>
      <c r="J437" s="4" t="n">
        <v>22</v>
      </c>
      <c r="K437" s="5" t="n">
        <v>1363.6</v>
      </c>
      <c r="L437" s="4" t="n">
        <v>67</v>
      </c>
      <c r="M437" s="4" t="n">
        <v>20</v>
      </c>
      <c r="N437" s="5" t="n">
        <v>1500</v>
      </c>
      <c r="O437" s="3" t="inlineStr">
        <is>
          <t>급매,실입주가능</t>
        </is>
      </c>
      <c r="P437" s="6">
        <f>HYPERLINK("https://fin.land.naver.com/articles/2649451146",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다산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37000</v>
      </c>
      <c r="H439" s="4" t="n">
        <v>0</v>
      </c>
      <c r="I439" s="4" t="n">
        <v>73</v>
      </c>
      <c r="J439" s="4" t="n">
        <v>22</v>
      </c>
      <c r="K439" s="5" t="n">
        <v>1681.8</v>
      </c>
      <c r="L439" s="4" t="n">
        <v>67</v>
      </c>
      <c r="M439" s="4" t="n">
        <v>20</v>
      </c>
      <c r="N439" s="5" t="n">
        <v>1850</v>
      </c>
      <c r="O439" s="3" t="inlineStr">
        <is>
          <t>전세3500거주중,재건축단지</t>
        </is>
      </c>
      <c r="P439" s="6">
        <f>HYPERLINK("https://fin.land.naver.com/articles/2653381041",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다산</t>
        </is>
      </c>
      <c r="T439" s="4" t="n">
        <v>1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30</v>
      </c>
      <c r="I440" s="4" t="n">
        <v>73</v>
      </c>
      <c r="J440" s="4" t="n">
        <v>22</v>
      </c>
      <c r="K440" s="5" t="n">
        <v>1.4</v>
      </c>
      <c r="L440" s="4" t="n">
        <v>67</v>
      </c>
      <c r="M440" s="4" t="n">
        <v>20</v>
      </c>
      <c r="N440" s="5" t="n">
        <v>1.5</v>
      </c>
      <c r="O440" s="3" t="inlineStr">
        <is>
          <t>즉시 입주 가능하고 상태 양호합니다.</t>
        </is>
      </c>
      <c r="P440" s="6">
        <f>HYPERLINK("https://fin.land.naver.com/articles/2652901910",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명성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65</v>
      </c>
      <c r="J443" s="4" t="n">
        <v>20</v>
      </c>
      <c r="K443" s="5" t="n">
        <v>2</v>
      </c>
      <c r="L443" s="4" t="n">
        <v>65</v>
      </c>
      <c r="M443" s="4" t="n">
        <v>20</v>
      </c>
      <c r="N443" s="5" t="n">
        <v>2</v>
      </c>
      <c r="O443" s="3" t="inlineStr">
        <is>
          <t>신흥리 대동초등학교 인근 1층 주택 수리됨</t>
        </is>
      </c>
      <c r="P443" s="6">
        <f>HYPERLINK("https://fin.land.naver.com/articles/2652419295",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OK수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141</v>
      </c>
      <c r="J444" s="4" t="n">
        <v>43</v>
      </c>
      <c r="K444" s="5" t="n">
        <v>0.9</v>
      </c>
      <c r="L444" s="4" t="n">
        <v>65</v>
      </c>
      <c r="M444" s="4" t="n">
        <v>20</v>
      </c>
      <c r="N444" s="5" t="n">
        <v>2</v>
      </c>
      <c r="O444" s="3" t="inlineStr">
        <is>
          <t>단독주택 월세</t>
        </is>
      </c>
      <c r="P444" s="6">
        <f>HYPERLINK("https://fin.land.naver.com/articles/2649738571",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27</v>
      </c>
      <c r="J452" s="4" t="n">
        <v>8</v>
      </c>
      <c r="K452" s="5" t="n">
        <v>500</v>
      </c>
      <c r="L452" s="4" t="n">
        <v>15</v>
      </c>
      <c r="M452" s="4" t="n">
        <v>5</v>
      </c>
      <c r="N452" s="5" t="n">
        <v>800</v>
      </c>
      <c r="O452" s="3" t="inlineStr">
        <is>
          <t>원리 국민은행 뒷편 조치원역 도보3분</t>
        </is>
      </c>
      <c r="P452" s="6">
        <f>HYPERLINK("https://fin.land.naver.com/articles/2652087907",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OK수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25</v>
      </c>
      <c r="J453" s="4" t="n">
        <v>8</v>
      </c>
      <c r="K453" s="5" t="n">
        <v>4.4</v>
      </c>
      <c r="L453" s="4" t="n">
        <v>14</v>
      </c>
      <c r="M453" s="4" t="n">
        <v>4</v>
      </c>
      <c r="N453" s="5" t="n">
        <v>8.800000000000001</v>
      </c>
      <c r="O453" s="3" t="inlineStr">
        <is>
          <t>조치원역5분컷.국민은행 뒷편,생활권 편리합니다.</t>
        </is>
      </c>
      <c r="P453" s="6">
        <f>HYPERLINK("https://fin.land.naver.com/articles/2649382027",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이음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도시형생활주택</t>
        </is>
      </c>
      <c r="F454" s="3" t="inlineStr">
        <is>
          <t>월세</t>
        </is>
      </c>
      <c r="G454" s="4" t="n">
        <v>300</v>
      </c>
      <c r="H454" s="4" t="n">
        <v>35</v>
      </c>
      <c r="I454" s="4" t="n">
        <v>26</v>
      </c>
      <c r="J454" s="4" t="n">
        <v>8</v>
      </c>
      <c r="K454" s="5" t="n">
        <v>4.4</v>
      </c>
      <c r="L454" s="4" t="n">
        <v>15</v>
      </c>
      <c r="M454" s="4" t="n">
        <v>5</v>
      </c>
      <c r="N454" s="5" t="n">
        <v>7</v>
      </c>
      <c r="O454" s="3" t="inlineStr">
        <is>
          <t>nan</t>
        </is>
      </c>
      <c r="P454" s="6">
        <f>HYPERLINK("https://fin.land.naver.com/articles/2651547195",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단독</t>
        </is>
      </c>
      <c r="F455" s="3" t="inlineStr">
        <is>
          <t>월세</t>
        </is>
      </c>
      <c r="G455" s="4" t="n">
        <v>200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19</v>
      </c>
      <c r="M455" s="4" t="n">
        <v>6</v>
      </c>
      <c r="N455" s="5" t="n">
        <v>5</v>
      </c>
      <c r="O455" s="3" t="inlineStr">
        <is>
          <t>조치원역 도보 5분내거리</t>
        </is>
      </c>
      <c r="P455" s="6">
        <f>HYPERLINK("https://fin.land.naver.com/articles/2648295710",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100</v>
      </c>
      <c r="H463" s="4" t="n">
        <v>30</v>
      </c>
      <c r="I463" s="4" t="n">
        <v>39</v>
      </c>
      <c r="J463" s="4" t="n">
        <v>12</v>
      </c>
      <c r="K463" s="5" t="n">
        <v>2.5</v>
      </c>
      <c r="L463" s="4" t="n">
        <v>26</v>
      </c>
      <c r="M463" s="4" t="n">
        <v>8</v>
      </c>
      <c r="N463" s="5" t="n">
        <v>3.8</v>
      </c>
      <c r="O463" s="3" t="inlineStr">
        <is>
          <t>죽림O우리마트1분O완전풀옵션O엘리베이터O</t>
        </is>
      </c>
      <c r="P463" s="6">
        <f>HYPERLINK("https://fin.land.naver.com/articles/2651040064",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</v>
      </c>
      <c r="H464" s="4" t="n">
        <v>31</v>
      </c>
      <c r="I464" s="4" t="n">
        <v>46</v>
      </c>
      <c r="J464" s="4" t="n">
        <v>14</v>
      </c>
      <c r="K464" s="5" t="n">
        <v>2.2</v>
      </c>
      <c r="L464" s="4" t="n">
        <v>46</v>
      </c>
      <c r="M464" s="4" t="n">
        <v>14</v>
      </c>
      <c r="N464" s="5" t="n">
        <v>2.2</v>
      </c>
      <c r="O464" s="3" t="inlineStr">
        <is>
          <t>깔끔하고 넓은 원 룸으로 주변에 대형마트있으며, 대중교통편함</t>
        </is>
      </c>
      <c r="P464" s="6">
        <f>HYPERLINK("https://fin.land.naver.com/articles/2648512623",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세종베스트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400</v>
      </c>
      <c r="H474" s="4" t="n">
        <v>40</v>
      </c>
      <c r="I474" s="4" t="n">
        <v>49</v>
      </c>
      <c r="J474" s="4" t="n">
        <v>15</v>
      </c>
      <c r="K474" s="5" t="n">
        <v>2.7</v>
      </c>
      <c r="L474" s="4" t="n">
        <v>49</v>
      </c>
      <c r="M474" s="4" t="n">
        <v>15</v>
      </c>
      <c r="N474" s="5" t="n">
        <v>2.7</v>
      </c>
      <c r="O474" s="3" t="inlineStr">
        <is>
          <t>조치원역 후문 올리모델링 되어 있는 룸 입니다.</t>
        </is>
      </c>
      <c r="P474" s="6">
        <f>HYPERLINK("https://fin.land.naver.com/articles/2652694071",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38</v>
      </c>
      <c r="I475" s="4" t="n">
        <v>49</v>
      </c>
      <c r="J475" s="4" t="n">
        <v>15</v>
      </c>
      <c r="K475" s="5" t="n">
        <v>2.5</v>
      </c>
      <c r="L475" s="4" t="n">
        <v>49</v>
      </c>
      <c r="M475" s="4" t="n">
        <v>15</v>
      </c>
      <c r="N475" s="5" t="n">
        <v>2.5</v>
      </c>
      <c r="O475" s="3" t="inlineStr">
        <is>
          <t>조치원역 후문 올리모델링 되어 있는 투베이 입니다.</t>
        </is>
      </c>
      <c r="P475" s="6">
        <f>HYPERLINK("https://fin.land.naver.com/articles/2652696838",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49</v>
      </c>
      <c r="J476" s="4" t="n">
        <v>15</v>
      </c>
      <c r="K476" s="5" t="n">
        <v>2.3</v>
      </c>
      <c r="L476" s="4" t="n">
        <v>49</v>
      </c>
      <c r="M476" s="4" t="n">
        <v>15</v>
      </c>
      <c r="N476" s="5" t="n">
        <v>2.3</v>
      </c>
      <c r="O476" s="3" t="inlineStr">
        <is>
          <t>조치원역 후문 올리모델링 되어 있는 투베이 입니다.</t>
        </is>
      </c>
      <c r="P476" s="6">
        <f>HYPERLINK("https://fin.land.naver.com/articles/2652695801",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200</v>
      </c>
      <c r="H489" s="4" t="n">
        <v>45</v>
      </c>
      <c r="I489" s="4" t="n">
        <v>0</v>
      </c>
      <c r="J489" s="4" t="n">
        <v>0</v>
      </c>
      <c r="K489" s="5" t="n">
        <v>0</v>
      </c>
      <c r="L489" s="4" t="n">
        <v>33</v>
      </c>
      <c r="M489" s="4" t="n">
        <v>10</v>
      </c>
      <c r="N489" s="5" t="n">
        <v>4.5</v>
      </c>
      <c r="O489" s="3" t="inlineStr">
        <is>
          <t>화장실2개 에어컨 2개    2룸</t>
        </is>
      </c>
      <c r="P489" s="6">
        <f>HYPERLINK("https://fin.land.naver.com/articles/2649435819",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다가구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129</v>
      </c>
      <c r="J490" s="4" t="n">
        <v>39</v>
      </c>
      <c r="K490" s="5" t="n">
        <v>1.2</v>
      </c>
      <c r="L490" s="4" t="n">
        <v>40</v>
      </c>
      <c r="M490" s="4" t="n">
        <v>12</v>
      </c>
      <c r="N490" s="5" t="n">
        <v>3.8</v>
      </c>
      <c r="O490" s="3" t="inlineStr">
        <is>
          <t>방2 화장실2</t>
        </is>
      </c>
      <c r="P490" s="6">
        <f>HYPERLINK("https://fin.land.naver.com/articles/2650123958",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김준희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46</v>
      </c>
      <c r="J491" s="4" t="n">
        <v>14</v>
      </c>
      <c r="K491" s="5" t="n">
        <v>3.2</v>
      </c>
      <c r="L491" s="4" t="n">
        <v>39</v>
      </c>
      <c r="M491" s="4" t="n">
        <v>12</v>
      </c>
      <c r="N491" s="5" t="n">
        <v>3.8</v>
      </c>
      <c r="O491" s="3" t="inlineStr">
        <is>
          <t>원룸 2개구조. 2인숙소 강추.</t>
        </is>
      </c>
      <c r="P491" s="6">
        <f>HYPERLINK("https://fin.land.naver.com/articles/2649229081",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단기임대</t>
        </is>
      </c>
      <c r="G492" s="4" t="n">
        <v>200</v>
      </c>
      <c r="H492" s="4" t="n">
        <v>55</v>
      </c>
      <c r="I492" s="4" t="n">
        <v>46</v>
      </c>
      <c r="J492" s="4" t="n">
        <v>14</v>
      </c>
      <c r="K492" s="5" t="n">
        <v>14.3</v>
      </c>
      <c r="L492" s="4" t="n">
        <v>39</v>
      </c>
      <c r="M492" s="4" t="n">
        <v>12</v>
      </c>
      <c r="N492" s="5" t="n">
        <v>16.7</v>
      </c>
      <c r="O492" s="3" t="inlineStr">
        <is>
          <t>2인숙소.6개월 단기계약가능.에어컨2개.화장실2개</t>
        </is>
      </c>
      <c r="P492" s="6">
        <f>HYPERLINK("https://fin.land.naver.com/articles/2652556288",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20</v>
      </c>
      <c r="J494" s="4" t="n">
        <v>6</v>
      </c>
      <c r="K494" s="5" t="n">
        <v>5</v>
      </c>
      <c r="L494" s="4" t="n">
        <v>20</v>
      </c>
      <c r="M494" s="4" t="n">
        <v>6</v>
      </c>
      <c r="N494" s="5" t="n">
        <v>5</v>
      </c>
      <c r="O494" s="3" t="inlineStr">
        <is>
          <t>단기가능 깨끗한 풀옵션 원룸 남향</t>
        </is>
      </c>
      <c r="P494" s="6">
        <f>HYPERLINK("https://fin.land.naver.com/articles/2653345126",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26</v>
      </c>
      <c r="J495" s="4" t="n">
        <v>8</v>
      </c>
      <c r="K495" s="5" t="n">
        <v>3.8</v>
      </c>
      <c r="L495" s="4" t="n">
        <v>26</v>
      </c>
      <c r="M495" s="4" t="n">
        <v>8</v>
      </c>
      <c r="N495" s="5" t="n">
        <v>3.8</v>
      </c>
      <c r="O495" s="3" t="inlineStr">
        <is>
          <t>침산리 월세 풀옵션</t>
        </is>
      </c>
      <c r="P495" s="6">
        <f>HYPERLINK("https://fin.land.naver.com/articles/2652539762",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150</v>
      </c>
      <c r="H502" s="4" t="n">
        <v>25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3.6</v>
      </c>
      <c r="O502" s="3" t="inlineStr">
        <is>
          <t>nan</t>
        </is>
      </c>
      <c r="P502" s="6">
        <f>HYPERLINK("https://fin.land.naver.com/articles/2649877584",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28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4</v>
      </c>
      <c r="O503" s="3" t="inlineStr">
        <is>
          <t>nan</t>
        </is>
      </c>
      <c r="P503" s="6">
        <f>HYPERLINK("https://fin.land.naver.com/articles/2648302133",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100</v>
      </c>
      <c r="H505" s="4" t="n">
        <v>30</v>
      </c>
      <c r="I505" s="4" t="n">
        <v>155</v>
      </c>
      <c r="J505" s="4" t="n">
        <v>47</v>
      </c>
      <c r="K505" s="5" t="n">
        <v>0.6</v>
      </c>
      <c r="L505" s="4" t="n">
        <v>23</v>
      </c>
      <c r="M505" s="4" t="n">
        <v>7</v>
      </c>
      <c r="N505" s="5" t="n">
        <v>4.3</v>
      </c>
      <c r="O505" s="3" t="inlineStr">
        <is>
          <t>침산리 원룸 월세</t>
        </is>
      </c>
      <c r="P505" s="6">
        <f>HYPERLINK("https://fin.land.naver.com/articles/2648071759",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매매</t>
        </is>
      </c>
      <c r="G506" s="4" t="n">
        <v>115000</v>
      </c>
      <c r="H506" s="4" t="n">
        <v>0</v>
      </c>
      <c r="I506" s="4" t="n">
        <v>284</v>
      </c>
      <c r="J506" s="4" t="n">
        <v>86</v>
      </c>
      <c r="K506" s="5" t="n">
        <v>1337.2</v>
      </c>
      <c r="L506" s="4" t="n">
        <v>510</v>
      </c>
      <c r="M506" s="4" t="n">
        <v>154</v>
      </c>
      <c r="N506" s="5" t="n">
        <v>746.8</v>
      </c>
      <c r="O506" s="3" t="inlineStr">
        <is>
          <t>전 호실 월세 매수 후 바로 수익창출</t>
        </is>
      </c>
      <c r="P506" s="6">
        <f>HYPERLINK("https://fin.land.naver.com/articles/2648993403",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3.4</v>
      </c>
      <c r="O509" s="3" t="inlineStr">
        <is>
          <t>넓은1룸 O생활권굳 O역3분 O즉시입주가능</t>
        </is>
      </c>
      <c r="P509" s="6">
        <f>HYPERLINK("https://fin.land.naver.com/articles/2649915483",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126</v>
      </c>
      <c r="J510" s="4" t="n">
        <v>38</v>
      </c>
      <c r="K510" s="5" t="n">
        <v>0.7</v>
      </c>
      <c r="L510" s="4" t="n">
        <v>23</v>
      </c>
      <c r="M510" s="4" t="n">
        <v>7</v>
      </c>
      <c r="N510" s="5" t="n">
        <v>3.9</v>
      </c>
      <c r="O510" s="3" t="inlineStr">
        <is>
          <t>nan</t>
        </is>
      </c>
      <c r="P510" s="6">
        <f>HYPERLINK("https://fin.land.naver.com/articles/2652272439",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상희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110000</v>
      </c>
      <c r="H518" s="4" t="n">
        <v>0</v>
      </c>
      <c r="I518" s="4" t="n">
        <v>315</v>
      </c>
      <c r="J518" s="4" t="n">
        <v>95</v>
      </c>
      <c r="K518" s="5" t="n">
        <v>1157.9</v>
      </c>
      <c r="L518" s="4" t="n">
        <v>545</v>
      </c>
      <c r="M518" s="4" t="n">
        <v>165</v>
      </c>
      <c r="N518" s="5" t="n">
        <v>666.7</v>
      </c>
      <c r="O518" s="3" t="inlineStr">
        <is>
          <t>다가주주택 연수익률 8%</t>
        </is>
      </c>
      <c r="P518" s="6">
        <f>HYPERLINK("https://fin.land.naver.com/articles/2649673971",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세종베스트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3000</v>
      </c>
      <c r="H520" s="4" t="n">
        <v>0</v>
      </c>
      <c r="I520" s="4" t="n">
        <v>0</v>
      </c>
      <c r="J520" s="4" t="n">
        <v>0</v>
      </c>
      <c r="K520" s="5" t="n">
        <v>0</v>
      </c>
      <c r="L520" s="4" t="n">
        <v>19</v>
      </c>
      <c r="M520" s="4" t="n">
        <v>6</v>
      </c>
      <c r="N520" s="5" t="n">
        <v>500</v>
      </c>
      <c r="O520" s="3" t="inlineStr">
        <is>
          <t>안전한 전세</t>
        </is>
      </c>
      <c r="P520" s="6">
        <f>HYPERLINK("https://fin.land.naver.com/articles/2652857402",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0</v>
      </c>
      <c r="J521" s="4" t="n">
        <v>0</v>
      </c>
      <c r="K521" s="5" t="n">
        <v>0</v>
      </c>
      <c r="L521" s="4" t="n">
        <v>20</v>
      </c>
      <c r="M521" s="4" t="n">
        <v>6</v>
      </c>
      <c r="N521" s="5" t="n">
        <v>5.2</v>
      </c>
      <c r="O521" s="3" t="inlineStr">
        <is>
          <t>L 엘베. 깔끔. 열5분. 즉시입주가능</t>
        </is>
      </c>
      <c r="P521" s="6">
        <f>HYPERLINK("https://fin.land.naver.com/articles/2652039172",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20</v>
      </c>
      <c r="J522" s="4" t="n">
        <v>6</v>
      </c>
      <c r="K522" s="5" t="n">
        <v>5.2</v>
      </c>
      <c r="L522" s="4" t="n">
        <v>20</v>
      </c>
      <c r="M522" s="4" t="n">
        <v>6</v>
      </c>
      <c r="N522" s="5" t="n">
        <v>5.2</v>
      </c>
      <c r="O522" s="3" t="inlineStr">
        <is>
          <t>원룸 주방분리 베란다유  깨끗합니다</t>
        </is>
      </c>
      <c r="P522" s="6">
        <f>HYPERLINK("https://fin.land.naver.com/articles/2652339845",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 방  넓고 깔끔한 주거공간  교통편리  주차편함</t>
        </is>
      </c>
      <c r="P527" s="6">
        <f>HYPERLINK("https://fin.land.naver.com/articles/2653434553",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한솔동 고급 2층단독주택 위치좋은 조용하고 쾌적한 환경</t>
        </is>
      </c>
      <c r="P542" s="6">
        <f>HYPERLINK("https://fin.land.naver.com/articles/2651896310",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고운동리치세종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해외건축가가 설계한 멋진집, 한솔동,새롬동상권이용편리,보시면 반할집</t>
        </is>
      </c>
      <c r="P545" s="6">
        <f>HYPERLINK("https://fin.land.naver.com/articles/2648076996",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세종제일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공원을 접한 단독주택, 여유로움을 누려보세요</t>
        </is>
      </c>
      <c r="P546" s="6">
        <f>HYPERLINK("https://fin.land.naver.com/articles/2652853639",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최무연</t>
        </is>
      </c>
      <c r="T546" s="4" t="n">
        <v>2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전용49.8p, 방3개 화장실2개, 사유지땅 사용가능</t>
        </is>
      </c>
      <c r="P548" s="6">
        <f>HYPERLINK("https://fin.land.naver.com/articles/2648834239",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세종무지개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세종시 상권이용편리한 단독주택  앞뒤뻥</t>
        </is>
      </c>
      <c r="P549" s="6">
        <f>HYPERLINK("https://fin.land.naver.com/articles/2651811636",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세종믿음</t>
        </is>
      </c>
      <c r="T549" s="4" t="n">
        <v>1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공원사유지 무상이용가능, 입지 좋은 한솔동 단독주택 매매</t>
        </is>
      </c>
      <c r="P550" s="6">
        <f>HYPERLINK("https://fin.land.naver.com/articles/2649007409",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명진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급매 설계시공  대단한 건축가작품 입주 유용하게 구조 잘 지었어요</t>
        </is>
      </c>
      <c r="P551" s="6">
        <f>HYPERLINK("https://fin.land.naver.com/articles/2652797647",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삼성래미안</t>
        </is>
      </c>
      <c r="T551" s="4" t="n">
        <v>3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유명건축가 멋지게 지은 집. 방4. 화장실3. 위치 최고</t>
        </is>
      </c>
      <c r="P552" s="6">
        <f>HYPERLINK("https://fin.land.naver.com/articles/2652331501",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세종금밭</t>
        </is>
      </c>
      <c r="T552" s="4" t="n">
        <v>1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급매 추가조율협의가능 단층 철근콘크리트 가성비 주택</t>
        </is>
      </c>
      <c r="P553" s="6">
        <f>HYPERLINK("https://fin.land.naver.com/articles/2649375331",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세종스타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정원이 잘 가꾸어진 주택. 초,중, 고 도보권</t>
        </is>
      </c>
      <c r="P554" s="6">
        <f>HYPERLINK("https://fin.land.naver.com/articles/2649457945",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세종삼촌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입지 좋고 공간활용도가 높은 한솔동 단독주택 매매</t>
        </is>
      </c>
      <c r="P556" s="6">
        <f>HYPERLINK("https://fin.land.naver.com/articles/2651191540",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명진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공원옆 코너각지 남향 가격조절가 태양열 전기차충전기 정원에카페사용공간있음</t>
        </is>
      </c>
      <c r="P558" s="6">
        <f>HYPERLINK("https://fin.land.naver.com/articles/2649425303",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세종시해냄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길가 코너자리, 정남향</t>
        </is>
      </c>
      <c r="L177" s="6">
        <f>HYPERLINK("https://fin.land.naver.com/articles/2648182149",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급매 공원조망 큰평수 위치최상</t>
        </is>
      </c>
      <c r="L178" s="6">
        <f>HYPERLINK("https://fin.land.naver.com/articles/2652917969",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세종스타</t>
        </is>
      </c>
      <c r="P178" s="4" t="n">
        <v>2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nan</t>
        </is>
      </c>
      <c r="L179" s="6">
        <f>HYPERLINK("https://fin.land.naver.com/articles/2651032769",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디아트성심</t>
        </is>
      </c>
      <c r="P179" s="4" t="n">
        <v>1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급매위치좋은코너자리고운동학교 상권 이용편리</t>
        </is>
      </c>
      <c r="L192" s="6">
        <f>HYPERLINK("https://fin.land.naver.com/articles/2652006650",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HYPERLINK("https://fin.land.naver.com/articles/2651189033",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학교 인근 입지 좋은 토지, 사거리 코너</t>
        </is>
      </c>
      <c r="L197" s="6">
        <f>HYPERLINK("https://fin.land.naver.com/articles/2651904310",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nan</t>
        </is>
      </c>
      <c r="L200" s="6">
        <f>HYPERLINK("https://fin.land.naver.com/articles/2651033529",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109.6p, 유.초등학교인근, 고등학교 인근</t>
        </is>
      </c>
      <c r="L201" s="6">
        <f>HYPERLINK("https://fin.land.naver.com/articles/2648840606",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o택지추천o 두루고 가락초 인근. 남향. 네모 반듯.</t>
        </is>
      </c>
      <c r="L203" s="6">
        <f>HYPERLINK("https://fin.land.naver.com/articles/2652096465",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세종썬</t>
        </is>
      </c>
      <c r="P203" s="4" t="n">
        <v>3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고운동 단독주택지 매매, 두루고 인근, 위치 추천</t>
        </is>
      </c>
      <c r="L204" s="6">
        <f>HYPERLINK("https://fin.land.naver.com/articles/2651940575",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HYPERLINK("https://fin.land.naver.com/articles/2651188831",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상가근접한 입지좋은택지,</t>
        </is>
      </c>
      <c r="L208" s="6">
        <f>HYPERLINK("https://fin.land.naver.com/articles/2653085815",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세종황소</t>
        </is>
      </c>
      <c r="P208" s="4" t="n">
        <v>2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급매, 고운동 입지 좋은 단독주택지</t>
        </is>
      </c>
      <c r="L209" s="6">
        <f>HYPERLINK("https://fin.land.naver.com/articles/2651944037",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코너자리로 입지 최고  공원옆  실개천옆 학군 상권이용편리</t>
        </is>
      </c>
      <c r="L225" s="6">
        <f>HYPERLINK("https://fin.land.naver.com/articles/2651998602",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107p, 삼거리 코너자리</t>
        </is>
      </c>
      <c r="L226" s="6">
        <f>HYPERLINK("https://fin.land.naver.com/articles/2648840359",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위치 좋은 단독주택지, 공원인근</t>
        </is>
      </c>
      <c r="L227" s="6">
        <f>HYPERLINK("https://fin.land.naver.com/articles/2649613023",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급매 추가조율가능 남향 코너각지</t>
        </is>
      </c>
      <c r="L233" s="6">
        <f>HYPERLINK("https://fin.land.naver.com/articles/2651115923",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코너각지 위치 좋은 단독주택지</t>
        </is>
      </c>
      <c r="L234" s="6">
        <f>HYPERLINK("https://fin.land.naver.com/articles/2649698053",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61000</v>
      </c>
      <c r="G244" s="4" t="n">
        <v>357</v>
      </c>
      <c r="H244" s="4" t="n">
        <v>108</v>
      </c>
      <c r="I244" s="5" t="n">
        <v>564.8</v>
      </c>
      <c r="J244" s="5" t="n">
        <v>334.9</v>
      </c>
      <c r="K244" s="3" t="inlineStr">
        <is>
          <t>향후 투자수익 목적등 모두를 이룰 세종시 길가 주택입니다</t>
        </is>
      </c>
      <c r="L244" s="6">
        <f>HYPERLINK("https://fin.land.naver.com/articles/2653370340",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럭키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99000</v>
      </c>
      <c r="G248" s="4" t="n">
        <v>361</v>
      </c>
      <c r="H248" s="4" t="n">
        <v>109</v>
      </c>
      <c r="I248" s="5" t="n">
        <v>908.3</v>
      </c>
      <c r="J248" s="5" t="n">
        <v>771.9</v>
      </c>
      <c r="K248" s="3" t="inlineStr">
        <is>
          <t>I 급매 I 먹자골목 메인 대로변 파격 급매 근생용지, 직접 지어서 운영</t>
        </is>
      </c>
      <c r="L248" s="6">
        <f>HYPERLINK("https://fin.land.naver.com/articles/2648523071",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세종신한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총 119.9p, 상가인근토지, 삼거리 위치</t>
        </is>
      </c>
      <c r="L250" s="6">
        <f>HYPERLINK("https://fin.land.naver.com/articles/2652843053",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급매,복합커뮤니티센터,중심상권,학군도보가능 생활권 편리</t>
        </is>
      </c>
      <c r="L251" s="6">
        <f>HYPERLINK("https://fin.land.naver.com/articles/2650851019",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고운맘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 매매 평수 좋음</t>
        </is>
      </c>
      <c r="L252" s="6">
        <f>HYPERLINK("https://fin.land.naver.com/articles/2649564858",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킹세종</t>
        </is>
      </c>
      <c r="P252" s="4" t="n">
        <v>2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108.1p, 급매, 고운동 위치좋은 토지매매</t>
        </is>
      </c>
      <c r="L256" s="6">
        <f>HYPERLINK("https://fin.land.naver.com/articles/2651940835",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급매, 위치좋은 토지매매, 108.1p</t>
        </is>
      </c>
      <c r="L257" s="6">
        <f>HYPERLINK("https://fin.land.naver.com/articles/2652838759",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총 105.5p, 공원 앞, 위치좋은 토지</t>
        </is>
      </c>
      <c r="L266" s="6">
        <f>HYPERLINK("https://fin.land.naver.com/articles/2652842395",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334</v>
      </c>
      <c r="H275" s="4" t="n">
        <v>101</v>
      </c>
      <c r="I275" s="5" t="n">
        <v>564.4</v>
      </c>
      <c r="J275" s="5" t="n">
        <v>297.1</v>
      </c>
      <c r="K275" s="3" t="inlineStr">
        <is>
          <t>급매 조율가능 고운초중 도보3분 학원상권 복컴 도보5분</t>
        </is>
      </c>
      <c r="L275" s="6">
        <f>HYPERLINK("https://fin.land.naver.com/articles/2648979457",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HYPERLINK("https://fin.land.naver.com/articles/2652951847",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세종보물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급매,막힘없는 코너각지,주민센터 및 항아리중심상권</t>
        </is>
      </c>
      <c r="L285" s="6">
        <f>HYPERLINK("https://fin.land.naver.com/articles/2650851183",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고운맘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79000</v>
      </c>
      <c r="G294" s="4" t="n">
        <v>345</v>
      </c>
      <c r="H294" s="4" t="n">
        <v>104</v>
      </c>
      <c r="I294" s="5" t="n">
        <v>759.6</v>
      </c>
      <c r="J294" s="5" t="n">
        <v>297.2</v>
      </c>
      <c r="K294" s="3" t="inlineStr">
        <is>
          <t>고운동 남측, 인기좋은 단독주택지, 주변에 예쁜 주택 지어져 있음</t>
        </is>
      </c>
      <c r="L294" s="6">
        <f>HYPERLINK("https://fin.land.naver.com/articles/2652887919",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530000</v>
      </c>
      <c r="G299" s="4" t="n">
        <v>615</v>
      </c>
      <c r="H299" s="4" t="n">
        <v>186</v>
      </c>
      <c r="I299" s="5" t="n">
        <v>2849.5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HYPERLINK("https://fin.land.naver.com/articles/2652224485",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황금도장</t>
        </is>
      </c>
      <c r="P299" s="4" t="n">
        <v>3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총 120.9p, 파크힐즈 단독주택 토지, 네모반듯</t>
        </is>
      </c>
      <c r="L307" s="6">
        <f>HYPERLINK("https://fin.land.naver.com/articles/2648152800",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HYPERLINK("https://fin.land.naver.com/articles/2650891002",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2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총 118.8p, 리안비체힐즈 단독주택 토지매매</t>
        </is>
      </c>
      <c r="L316" s="6">
        <f>HYPERLINK("https://fin.land.naver.com/articles/2649022250",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세종시 블록형 리안비채힐즈 단독택지</t>
        </is>
      </c>
      <c r="L318" s="6">
        <f>HYPERLINK("https://fin.land.naver.com/articles/2651559979",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부엉이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HYPERLINK("https://fin.land.naver.com/articles/2648996399",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295</v>
      </c>
      <c r="H330" s="4" t="n">
        <v>89</v>
      </c>
      <c r="I330" s="5" t="n">
        <v>561.8</v>
      </c>
      <c r="J330" s="5" t="n">
        <v>249.7</v>
      </c>
      <c r="K330" s="3" t="inlineStr">
        <is>
          <t>급매 산접한 최상위치 건축하기 좋은 토지모양</t>
        </is>
      </c>
      <c r="L330" s="6">
        <f>HYPERLINK("https://fin.land.naver.com/articles/2649424986",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한옥마을  귀한 근생 용지 .   커피숍 ,식당 등추천, 주변 아파트밀집</t>
        </is>
      </c>
      <c r="L333" s="6">
        <f>HYPERLINK("https://fin.land.naver.com/articles/2650760466",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세종특별시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96.1p, 한옥마을 근생토지, 위치 좋고 노출 좋은 토지</t>
        </is>
      </c>
      <c r="L334" s="6">
        <f>HYPERLINK("https://fin.land.naver.com/articles/2649596569",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급매, 네이플리브 토지 76.3p, 도로지분 35.1p 총 111.4p</t>
        </is>
      </c>
      <c r="L340" s="6">
        <f>HYPERLINK("https://fin.land.naver.com/articles/2649017269",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급매 남서향 타운하우스  A타입 단독주택지</t>
        </is>
      </c>
      <c r="L345" s="6">
        <f>HYPERLINK("https://fin.land.naver.com/articles/2653033687",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SD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79000</v>
      </c>
      <c r="G361" s="4" t="n">
        <v>345</v>
      </c>
      <c r="H361" s="4" t="n">
        <v>104</v>
      </c>
      <c r="I361" s="5" t="n">
        <v>759.6</v>
      </c>
      <c r="J361" s="5" t="n">
        <v>328.2</v>
      </c>
      <c r="K361" s="3" t="inlineStr">
        <is>
          <t>nan</t>
        </is>
      </c>
      <c r="L361" s="6">
        <f>HYPERLINK("https://fin.land.naver.com/articles/2651026477",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디아트성심</t>
        </is>
      </c>
      <c r="P361" s="4" t="n">
        <v>2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344</v>
      </c>
      <c r="H362" s="4" t="n">
        <v>104</v>
      </c>
      <c r="I362" s="5" t="n">
        <v>528.8</v>
      </c>
      <c r="J362" s="5" t="n">
        <v>328.2</v>
      </c>
      <c r="K362" s="3" t="inlineStr">
        <is>
          <t>가락마을18단지 옆으로 상권 학교 이용편리 가겨조정가능</t>
        </is>
      </c>
      <c r="L362" s="6">
        <f>HYPERLINK("https://fin.land.naver.com/articles/2652657167",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고운동리치세종</t>
        </is>
      </c>
      <c r="P362" s="4" t="n">
        <v>5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학교 상가 대중교통이용편리,지하벙커주차장가능,측량완료</t>
        </is>
      </c>
      <c r="L364" s="6">
        <f>HYPERLINK("https://fin.land.naver.com/articles/2650885657",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세종제일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벙커주차장 가능한 지대높은 위치 좋은 곳. 경계측량 완료.</t>
        </is>
      </c>
      <c r="L365" s="6">
        <f>HYPERLINK("https://fin.land.naver.com/articles/2651974429",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세종올리브</t>
        </is>
      </c>
      <c r="P365" s="4" t="n">
        <v>4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HYPERLINK("https://fin.land.naver.com/articles/2650851671",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345</v>
      </c>
      <c r="H370" s="4" t="n">
        <v>104</v>
      </c>
      <c r="I370" s="5" t="n">
        <v>596.2</v>
      </c>
      <c r="J370" s="5" t="n">
        <v>329.9</v>
      </c>
      <c r="K370" s="3" t="inlineStr">
        <is>
          <t>입지 좋은 고운동 토지매매, 코너 각지 위치</t>
        </is>
      </c>
      <c r="L370" s="6">
        <f>HYPERLINK("https://fin.land.naver.com/articles/2651905795",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삼거리 코너 각지, 입지 좋은 토지매매</t>
        </is>
      </c>
      <c r="L371" s="6">
        <f>HYPERLINK("https://fin.land.naver.com/articles/2651188999",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1293</v>
      </c>
      <c r="H389" s="4" t="n">
        <v>391</v>
      </c>
      <c r="I389" s="5" t="n">
        <v>588.2</v>
      </c>
      <c r="J389" s="5" t="n">
        <v>100.9</v>
      </c>
      <c r="K389" s="3" t="inlineStr">
        <is>
          <t>가마리 가마교차로인근 6차선도로변접 대로변에 길게 접함</t>
        </is>
      </c>
      <c r="L389" s="6">
        <f>HYPERLINK("https://fin.land.naver.com/articles/2651209994",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프라임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1377</v>
      </c>
      <c r="H390" s="4" t="n">
        <v>417</v>
      </c>
      <c r="I390" s="5" t="n">
        <v>551.6</v>
      </c>
      <c r="J390" s="5" t="n">
        <v>100.9</v>
      </c>
      <c r="K390" s="3" t="inlineStr">
        <is>
          <t>최근 개발되고 있는 신분평지구인근으로 다양한 용도 가능한 귀한매물</t>
        </is>
      </c>
      <c r="L390" s="6">
        <f>HYPERLINK("https://fin.land.naver.com/articles/2649136095",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청주원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68502</v>
      </c>
      <c r="G397" s="4" t="n">
        <v>2311</v>
      </c>
      <c r="H397" s="4" t="n">
        <v>699</v>
      </c>
      <c r="I397" s="5" t="n">
        <v>98</v>
      </c>
      <c r="J397" s="5" t="n">
        <v>98.09999999999999</v>
      </c>
      <c r="K397" s="3" t="inlineStr">
        <is>
          <t>가마리 자연취락지구, 대지</t>
        </is>
      </c>
      <c r="L397" s="6">
        <f>HYPERLINK("https://fin.land.naver.com/articles/2648139877",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토담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HYPERLINK("https://fin.land.naver.com/articles/2649323311",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HYPERLINK("https://fin.land.naver.com/articles/2652455294",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130000</v>
      </c>
      <c r="G415" s="4" t="n">
        <v>1237</v>
      </c>
      <c r="H415" s="4" t="n">
        <v>374</v>
      </c>
      <c r="I415" s="5" t="n">
        <v>347.6</v>
      </c>
      <c r="J415" s="5" t="n">
        <v>31.6</v>
      </c>
      <c r="K415" s="3" t="inlineStr">
        <is>
          <t>남이면 가좌리 4차선 대로 접한 토지 음식점, 카페 등 근생 추천</t>
        </is>
      </c>
      <c r="L415" s="6">
        <f>HYPERLINK("https://fin.land.naver.com/articles/2649260760",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로앤홈즈</t>
        </is>
      </c>
      <c r="P415" s="4" t="n">
        <v>2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131000</v>
      </c>
      <c r="G416" s="4" t="n">
        <v>1237</v>
      </c>
      <c r="H416" s="4" t="n">
        <v>374</v>
      </c>
      <c r="I416" s="5" t="n">
        <v>350.3</v>
      </c>
      <c r="J416" s="5" t="n">
        <v>31.6</v>
      </c>
      <c r="K416" s="3" t="inlineStr">
        <is>
          <t>대도로변 위치했어요. 다용도 건축가능. 절충가능해요.</t>
        </is>
      </c>
      <c r="L416" s="6">
        <f>HYPERLINK("https://fin.land.naver.com/articles/2649503128",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하니힐데스</t>
        </is>
      </c>
      <c r="P416" s="4" t="n">
        <v>1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51000</v>
      </c>
      <c r="G430" s="4" t="n">
        <v>5058</v>
      </c>
      <c r="H430" s="4" t="n">
        <v>1530</v>
      </c>
      <c r="I430" s="5" t="n">
        <v>33.3</v>
      </c>
      <c r="J430" s="5" t="n">
        <v>13.1</v>
      </c>
      <c r="K430" s="3" t="inlineStr">
        <is>
          <t>nan</t>
        </is>
      </c>
      <c r="L430" s="6">
        <f>HYPERLINK("https://fin.land.naver.com/articles/2650538806",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세종큰길</t>
        </is>
      </c>
      <c r="P430" s="4" t="n">
        <v>1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nan</t>
        </is>
      </c>
      <c r="L431" s="6">
        <f>HYPERLINK("https://fin.land.naver.com/articles/2652237520",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김창수</t>
        </is>
      </c>
      <c r="P431" s="4" t="n">
        <v>3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260000</v>
      </c>
      <c r="G457" s="4" t="n">
        <v>2066</v>
      </c>
      <c r="H457" s="4" t="n">
        <v>625</v>
      </c>
      <c r="I457" s="5" t="n">
        <v>416</v>
      </c>
      <c r="J457" s="5" t="n">
        <v>86</v>
      </c>
      <c r="K457" s="3" t="inlineStr">
        <is>
          <t>청주에서 대전가는 대도로변  가격조정가능</t>
        </is>
      </c>
      <c r="L457" s="6">
        <f>HYPERLINK("https://fin.land.naver.com/articles/2649614716",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청산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220000</v>
      </c>
      <c r="G458" s="4" t="n">
        <v>2062</v>
      </c>
      <c r="H458" s="4" t="n">
        <v>624</v>
      </c>
      <c r="I458" s="5" t="n">
        <v>352.6</v>
      </c>
      <c r="J458" s="5" t="n">
        <v>86</v>
      </c>
      <c r="K458" s="3" t="inlineStr">
        <is>
          <t>nan</t>
        </is>
      </c>
      <c r="L458" s="6">
        <f>HYPERLINK("https://fin.land.naver.com/articles/2651957545",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청주 합동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270000</v>
      </c>
      <c r="G459" s="4" t="n">
        <v>2062</v>
      </c>
      <c r="H459" s="4" t="n">
        <v>624</v>
      </c>
      <c r="I459" s="5" t="n">
        <v>432.7</v>
      </c>
      <c r="J459" s="5" t="n">
        <v>86</v>
      </c>
      <c r="K459" s="3" t="inlineStr">
        <is>
          <t>대도로변 접, 다용도 활용가능한 잡종지, 유통 물류, 광고효과</t>
        </is>
      </c>
      <c r="L459" s="6">
        <f>HYPERLINK("https://fin.land.naver.com/articles/2650955489",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두진하트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975</v>
      </c>
      <c r="H509" s="4" t="n">
        <v>295</v>
      </c>
      <c r="I509" s="5" t="n">
        <v>0.4</v>
      </c>
      <c r="J509" s="5" t="n">
        <v>94</v>
      </c>
      <c r="K509" s="3" t="inlineStr">
        <is>
          <t>나대지 토지 295형 임대</t>
        </is>
      </c>
      <c r="L509" s="6">
        <f>HYPERLINK("https://fin.land.naver.com/articles/2649343452",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위더스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250000</v>
      </c>
      <c r="G521" s="4" t="n">
        <v>4426</v>
      </c>
      <c r="H521" s="4" t="n">
        <v>1339</v>
      </c>
      <c r="I521" s="5" t="n">
        <v>186.7</v>
      </c>
      <c r="J521" s="5" t="n">
        <v>5.9</v>
      </c>
      <c r="K521" s="3" t="inlineStr">
        <is>
          <t>nan</t>
        </is>
      </c>
      <c r="L521" s="6">
        <f>HYPERLINK("https://fin.land.naver.com/articles/2648336138",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만땅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2차서 도로 근접하여 진입 아주 편리. 2종근생 허가 득.</t>
        </is>
      </c>
      <c r="L522" s="6">
        <f>HYPERLINK("https://fin.land.naver.com/articles/2649236286",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진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남이면 수대리 대로변 자연녹지 매매 창고 근생 자동차관련등 추천</t>
        </is>
      </c>
      <c r="L540" s="6">
        <f>HYPERLINK("https://fin.land.naver.com/articles/2648439073",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그린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23000</v>
      </c>
      <c r="G572" s="4" t="n">
        <v>620</v>
      </c>
      <c r="H572" s="4" t="n">
        <v>188</v>
      </c>
      <c r="I572" s="5" t="n">
        <v>122.3</v>
      </c>
      <c r="J572" s="5" t="n">
        <v>55.7</v>
      </c>
      <c r="K572" s="3" t="inlineStr">
        <is>
          <t>남이면 코너 대지 매매</t>
        </is>
      </c>
      <c r="L572" s="6">
        <f>HYPERLINK("https://fin.land.naver.com/articles/2651167055",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더공감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20600</v>
      </c>
      <c r="G573" s="4" t="n">
        <v>620</v>
      </c>
      <c r="H573" s="4" t="n">
        <v>188</v>
      </c>
      <c r="I573" s="5" t="n">
        <v>109.6</v>
      </c>
      <c r="J573" s="5" t="n">
        <v>55.7</v>
      </c>
      <c r="K573" s="3" t="inlineStr">
        <is>
          <t>계획관리지역, 도로인접, 신탄진네거리에서 차량으로 20분 거리</t>
        </is>
      </c>
      <c r="L573" s="6">
        <f>HYPERLINK("https://fin.land.naver.com/articles/2648710712",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대지</t>
        </is>
      </c>
      <c r="P573" s="4" t="n">
        <v>2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토지 초급매, 추천매물</t>
        </is>
      </c>
      <c r="L606" s="6">
        <f>HYPERLINK("https://fin.land.naver.com/articles/2649020955",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다정동 저렴한 단독주택지 매매</t>
        </is>
      </c>
      <c r="L607" s="6">
        <f>HYPERLINK("https://fin.land.naver.com/articles/2652839084",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저렴한매매 가격조정가능</t>
        </is>
      </c>
      <c r="L608" s="6">
        <f>HYPERLINK("https://fin.land.naver.com/articles/2648849052",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고운동리치세종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조용한 단독주택지,급매</t>
        </is>
      </c>
      <c r="L610" s="6">
        <f>HYPERLINK("https://fin.land.naver.com/articles/2648806860",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세종금주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2면도로 접,주변 60m가로 공원근접함</t>
        </is>
      </c>
      <c r="L614" s="6">
        <f>HYPERLINK("https://fin.land.naver.com/articles/2649639476",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킹세종</t>
        </is>
      </c>
      <c r="P614" s="4" t="n">
        <v>2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280</v>
      </c>
      <c r="H620" s="4" t="n">
        <v>85</v>
      </c>
      <c r="I620" s="5" t="n">
        <v>817.6</v>
      </c>
      <c r="J620" s="5" t="n">
        <v>304.6</v>
      </c>
      <c r="K620" s="3" t="inlineStr">
        <is>
          <t>nan</t>
        </is>
      </c>
      <c r="L620" s="6">
        <f>HYPERLINK("https://fin.land.naver.com/articles/2651035742",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디아트성심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총 95.5p, 조율가능, 다정동 단독주택지</t>
        </is>
      </c>
      <c r="L628" s="6">
        <f>HYPERLINK("https://fin.land.naver.com/articles/2649022530",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95.5p, 유치원 맞은편, 가운데 토지</t>
        </is>
      </c>
      <c r="L629" s="6">
        <f>HYPERLINK("https://fin.land.naver.com/articles/2648833463",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새솔유치원인근, 가운데 토지</t>
        </is>
      </c>
      <c r="L631" s="6">
        <f>HYPERLINK("https://fin.land.naver.com/articles/2649005944",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49000</v>
      </c>
      <c r="G632" s="4" t="n">
        <v>315</v>
      </c>
      <c r="H632" s="4" t="n">
        <v>95</v>
      </c>
      <c r="I632" s="5" t="n">
        <v>515.8</v>
      </c>
      <c r="J632" s="5" t="n">
        <v>318.9</v>
      </c>
      <c r="K632" s="3" t="inlineStr">
        <is>
          <t>급매 조율가능 조용한 선호하는 안쪽위치</t>
        </is>
      </c>
      <c r="L632" s="6">
        <f>HYPERLINK("https://fin.land.naver.com/articles/2652419011",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세종스타</t>
        </is>
      </c>
      <c r="P632" s="4" t="n">
        <v>2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42500</v>
      </c>
      <c r="G636" s="4" t="n">
        <v>374</v>
      </c>
      <c r="H636" s="4" t="n">
        <v>113</v>
      </c>
      <c r="I636" s="5" t="n">
        <v>376.1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3면코너각지 지하건축가능 귀한큰필지 큰생부지</t>
        </is>
      </c>
      <c r="L639" s="6">
        <f>HYPERLINK("https://fin.land.naver.com/articles/2650366482",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세종스타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근생용지,코너각지땅으로 대단지 아파트초인근임</t>
        </is>
      </c>
      <c r="L642" s="6">
        <f>HYPERLINK("https://fin.land.naver.com/articles/2649789570",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세종대명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코너 입지한 근린생활용지 토지 매매, 위치 좋음</t>
        </is>
      </c>
      <c r="L643" s="6">
        <f>HYPERLINK("https://fin.land.naver.com/articles/2650893996",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말발굽 정남향 귀한 토지, 조율가능</t>
        </is>
      </c>
      <c r="L646" s="6">
        <f>HYPERLINK("https://fin.land.naver.com/articles/2651903895",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nan</t>
        </is>
      </c>
      <c r="L647" s="6">
        <f>HYPERLINK("https://fin.land.naver.com/articles/2652567664",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진달래</t>
        </is>
      </c>
      <c r="P647" s="4" t="n">
        <v>2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335</v>
      </c>
      <c r="H651" s="4" t="n">
        <v>101</v>
      </c>
      <c r="I651" s="5" t="n">
        <v>920.8</v>
      </c>
      <c r="J651" s="5" t="n">
        <v>358.3</v>
      </c>
      <c r="K651" s="3" t="inlineStr">
        <is>
          <t>조율가능한 말발굽 위치 좋은 토지 매매, 코너각지</t>
        </is>
      </c>
      <c r="L651" s="6">
        <f>HYPERLINK("https://fin.land.naver.com/articles/2650427728",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337</v>
      </c>
      <c r="H652" s="4" t="n">
        <v>102</v>
      </c>
      <c r="I652" s="5" t="n">
        <v>911.8</v>
      </c>
      <c r="J652" s="5" t="n">
        <v>358.3</v>
      </c>
      <c r="K652" s="3" t="inlineStr">
        <is>
          <t>102.1p, 코너자리, 말발굽 좋은위치, 조율가능</t>
        </is>
      </c>
      <c r="L652" s="6">
        <f>HYPERLINK("https://fin.land.naver.com/articles/2648898954",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도담동 말발굽택지 중 급매</t>
        </is>
      </c>
      <c r="L656" s="6">
        <f>HYPERLINK("https://fin.land.naver.com/articles/2649021645",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도담동 택지. 초등학교,충남대병원 가까운거리 위치</t>
        </is>
      </c>
      <c r="L658" s="6">
        <f>HYPERLINK("https://fin.land.naver.com/articles/2650945757",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OK세종 사무소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99.9p, 유.초등학교 인근, 사거리 코너자리</t>
        </is>
      </c>
      <c r="L659" s="6">
        <f>HYPERLINK("https://fin.land.naver.com/articles/2648839579",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위치좋은 코너자리 토지</t>
        </is>
      </c>
      <c r="L667" s="6">
        <f>HYPERLINK("https://fin.land.naver.com/articles/2649012828",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아파트 단지 옆, 삼거리 코너</t>
        </is>
      </c>
      <c r="L668" s="6">
        <f>HYPERLINK("https://fin.land.naver.com/articles/2652839523",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삼거리 코너 입지, 도담동 단독주택 매매</t>
        </is>
      </c>
      <c r="L672" s="6">
        <f>HYPERLINK("https://fin.land.naver.com/articles/2648260035",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입지 좋은 도담동 근린생활용지 토지 매매, 대로변</t>
        </is>
      </c>
      <c r="L675" s="6">
        <f>HYPERLINK("https://fin.land.naver.com/articles/2649607976",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최적의 위치,정남향으로 단독주택수있는 예쁜 토지</t>
        </is>
      </c>
      <c r="L679" s="6">
        <f>HYPERLINK("https://fin.land.naver.com/articles/2652106915",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대한</t>
        </is>
      </c>
      <c r="P679" s="4" t="n">
        <v>2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입지 좋은 도담동 단독주택 토지매매</t>
        </is>
      </c>
      <c r="L680" s="6">
        <f>HYPERLINK("https://fin.land.naver.com/articles/2650427773",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315</v>
      </c>
      <c r="H689" s="4" t="n">
        <v>95</v>
      </c>
      <c r="I689" s="5" t="n">
        <v>947.4</v>
      </c>
      <c r="J689" s="5" t="n">
        <v>391.1</v>
      </c>
      <c r="K689" s="3" t="inlineStr">
        <is>
          <t>도담동 위치 좋은 단독주택, 홈플러스 인근</t>
        </is>
      </c>
      <c r="L689" s="6">
        <f>HYPERLINK("https://fin.land.naver.com/articles/2650892389",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반곡동 토지매매, 대형평형</t>
        </is>
      </c>
      <c r="L698" s="6">
        <f>HYPERLINK("https://fin.land.naver.com/articles/2649001111",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급매 KDI옆 반곡동D2 넓은평수 144.71p</t>
        </is>
      </c>
      <c r="L699" s="6">
        <f>HYPERLINK("https://fin.land.naver.com/articles/2649626883",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급매 코너각지 132p 추가조율가능</t>
        </is>
      </c>
      <c r="L701" s="6">
        <f>HYPERLINK("https://fin.land.naver.com/articles/2649805637",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삼거리 코너, 위치 좋은 반곡동 토지매매</t>
        </is>
      </c>
      <c r="L702" s="6">
        <f>HYPERLINK("https://fin.land.naver.com/articles/2648999169",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2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초등학교 인접, 반곡동 토지매매, 지대 높음</t>
        </is>
      </c>
      <c r="L709" s="6">
        <f>HYPERLINK("https://fin.land.naver.com/articles/2648994826",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산접한곳 숲유치원 초등학교 인근</t>
        </is>
      </c>
      <c r="L713" s="6">
        <f>HYPERLINK("https://fin.land.naver.com/articles/2649626129",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유치원. 초등학교 인근, 조용한 입지 토지</t>
        </is>
      </c>
      <c r="L714" s="6">
        <f>HYPERLINK("https://fin.land.naver.com/articles/2649002989",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시유지접한 코너각지 조용한위치 조율가능</t>
        </is>
      </c>
      <c r="L715" s="6">
        <f>HYPERLINK("https://fin.land.naver.com/articles/2651085953",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위치좋은 지대높은 토지, 97.2p, 시유지 40p 사용가능</t>
        </is>
      </c>
      <c r="L716" s="6">
        <f>HYPERLINK("https://fin.land.naver.com/articles/2651189098",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I 신한 I  국회 집무실 인근  BRT 상권 학교 모두 품은 귀한 택지</t>
        </is>
      </c>
      <c r="L722" s="6">
        <f>HYPERLINK("https://fin.land.naver.com/articles/2650547909",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세종신한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넓은평수,넓은지하주차장가능,고급 단독주택지,조율가</t>
        </is>
      </c>
      <c r="L723" s="6">
        <f>HYPERLINK("https://fin.land.naver.com/articles/2650422992",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세종시티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25000</v>
      </c>
      <c r="G749" s="4" t="n">
        <v>1263</v>
      </c>
      <c r="H749" s="4" t="n">
        <v>382</v>
      </c>
      <c r="I749" s="5" t="n">
        <v>65.40000000000001</v>
      </c>
      <c r="J749" s="5" t="n">
        <v>5.2</v>
      </c>
      <c r="K749" s="3" t="inlineStr">
        <is>
          <t>즉시 신축 가능 매매 급매물 상.하수도 전기 기반공사 완료돼있고 건축허가</t>
        </is>
      </c>
      <c r="L749" s="6">
        <f>HYPERLINK("https://fin.land.naver.com/articles/2648082259",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60000</v>
      </c>
      <c r="G750" s="4" t="n">
        <v>995</v>
      </c>
      <c r="H750" s="4" t="n">
        <v>301</v>
      </c>
      <c r="I750" s="5" t="n">
        <v>199.3</v>
      </c>
      <c r="J750" s="5" t="n">
        <v>5.2</v>
      </c>
      <c r="K750" s="3" t="inlineStr">
        <is>
          <t>건축허가 되어 있고 수도 오수 시설도 완비됨 전원주택지로 적합</t>
        </is>
      </c>
      <c r="L750" s="6">
        <f>HYPERLINK("https://fin.land.naver.com/articles/2648927634",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도램마을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160000</v>
      </c>
      <c r="G755" s="4" t="n">
        <v>1058</v>
      </c>
      <c r="H755" s="4" t="n">
        <v>320</v>
      </c>
      <c r="I755" s="5" t="n">
        <v>500</v>
      </c>
      <c r="J755" s="5" t="n">
        <v>53.4</v>
      </c>
      <c r="K755" s="3" t="inlineStr">
        <is>
          <t>현재 전으로 사용중 두필지 전원주택분양 좋음, 사업용사용가능창고,사옥공장</t>
        </is>
      </c>
      <c r="L755" s="6">
        <f>HYPERLINK("https://fin.land.naver.com/articles/2651044105",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원내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112000</v>
      </c>
      <c r="G756" s="4" t="n">
        <v>1058</v>
      </c>
      <c r="H756" s="4" t="n">
        <v>320</v>
      </c>
      <c r="I756" s="5" t="n">
        <v>350</v>
      </c>
      <c r="J756" s="5" t="n">
        <v>53.4</v>
      </c>
      <c r="K756" s="3" t="inlineStr">
        <is>
          <t>금강 조망 가능한 도로접 계획관리 전원형 토지</t>
        </is>
      </c>
      <c r="L756" s="6">
        <f>HYPERLINK("https://fin.land.naver.com/articles/2648834433",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세종소담황금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71200</v>
      </c>
      <c r="G773" s="4" t="n">
        <v>3920</v>
      </c>
      <c r="H773" s="4" t="n">
        <v>1186</v>
      </c>
      <c r="I773" s="5" t="n">
        <v>60</v>
      </c>
      <c r="J773" s="5" t="n">
        <v>25.8</v>
      </c>
      <c r="K773" s="3" t="inlineStr">
        <is>
          <t>부강 매포역에서 차량 3분 마을 인접, 전원주택, 세컨하우스 수요많음</t>
        </is>
      </c>
      <c r="L773" s="6">
        <f>HYPERLINK("https://fin.land.naver.com/articles/2649098611",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114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주택허가축사경작지 일괄, 축산승계귀농농장 추천</t>
        </is>
      </c>
      <c r="L834" s="6">
        <f>HYPERLINK("https://fin.land.naver.com/articles/2649836388",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세종소담황금</t>
        </is>
      </c>
      <c r="P834" s="4" t="n">
        <v>1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세종시 부강면 주택, 축사·부속시설, 전 사통팔달 교통,계획관리알짜 급매</t>
        </is>
      </c>
      <c r="L835" s="6">
        <f>HYPERLINK("https://fin.land.naver.com/articles/2650006026",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</t>
        </is>
      </c>
      <c r="P835" s="4" t="n">
        <v>2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147600</v>
      </c>
      <c r="G836" s="4" t="n">
        <v>5421</v>
      </c>
      <c r="H836" s="4" t="n">
        <v>1640</v>
      </c>
      <c r="I836" s="5" t="n">
        <v>90</v>
      </c>
      <c r="J836" s="5" t="n">
        <v>33.6</v>
      </c>
      <c r="K836" s="3" t="inlineStr">
        <is>
          <t>투자유망 세종관내 목장, 주택등 매매</t>
        </is>
      </c>
      <c r="L836" s="6">
        <f>HYPERLINK("https://fin.land.naver.com/articles/2648634114",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대하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 대지 전 매매</t>
        </is>
      </c>
      <c r="L841" s="6">
        <f>HYPERLINK("https://fin.land.naver.com/articles/2652837621",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진성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52200</v>
      </c>
      <c r="G849" s="4" t="n">
        <v>1725</v>
      </c>
      <c r="H849" s="4" t="n">
        <v>522</v>
      </c>
      <c r="I849" s="5" t="n">
        <v>100</v>
      </c>
      <c r="J849" s="5" t="n">
        <v>24.8</v>
      </c>
      <c r="K849" s="3" t="inlineStr">
        <is>
          <t>자연취락지구 포함 전원주택 귀촌형 부지 검토</t>
        </is>
      </c>
      <c r="L849" s="6">
        <f>HYPERLINK("https://fin.land.naver.com/articles/2648843558",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세종소담황금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52000</v>
      </c>
      <c r="G850" s="4" t="n">
        <v>1725</v>
      </c>
      <c r="H850" s="4" t="n">
        <v>522</v>
      </c>
      <c r="I850" s="5" t="n">
        <v>99.59999999999999</v>
      </c>
      <c r="J850" s="5" t="n">
        <v>24.8</v>
      </c>
      <c r="K850" s="3" t="inlineStr">
        <is>
          <t>급매,도로접한 계획관리지역,다용도 사용목적 가능,투자용 추천</t>
        </is>
      </c>
      <c r="L850" s="6">
        <f>HYPERLINK("https://fin.land.naver.com/articles/2649493659",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90000</v>
      </c>
      <c r="G851" s="4" t="n">
        <v>2998</v>
      </c>
      <c r="H851" s="4" t="n">
        <v>907</v>
      </c>
      <c r="I851" s="5" t="n">
        <v>99.2</v>
      </c>
      <c r="J851" s="5" t="n">
        <v>24.8</v>
      </c>
      <c r="K851" s="3" t="inlineStr">
        <is>
          <t>세종시 부강면 5생활권 10분거리 각 3필지(149, 235, 522)</t>
        </is>
      </c>
      <c r="L851" s="6">
        <f>HYPERLINK("https://fin.land.naver.com/articles/2649158860",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오송k랜드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계획관리지역의 과수원으로 전기 및 인터넷, 상수도 배수시설이 완비된 토지</t>
        </is>
      </c>
      <c r="L852" s="6">
        <f>HYPERLINK("https://fin.land.naver.com/articles/2649861654",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스마일세종</t>
        </is>
      </c>
      <c r="P852" s="4" t="n">
        <v>2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행산리 황금필지, 세종5생활권의 최대의 수익지 , 건축바로가능</t>
        </is>
      </c>
      <c r="L855" s="6">
        <f>HYPERLINK("https://fin.land.naver.com/articles/2652566007",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이담</t>
        </is>
      </c>
      <c r="P855" s="4" t="n">
        <v>3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HYPERLINK("https://fin.land.naver.com/articles/2649114004",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전용100.5p, 국제고인근, 아름동 단독주택지</t>
        </is>
      </c>
      <c r="L867" s="6">
        <f>HYPERLINK("https://fin.land.naver.com/articles/2652837740",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세종무지개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총 100.5p, 위치좋은 아름동 단독주택지 토지</t>
        </is>
      </c>
      <c r="L868" s="6">
        <f>HYPERLINK("https://fin.land.naver.com/articles/2649022307",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명진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충대병원 인근 가격 좋은 토지, 조율도 가능</t>
        </is>
      </c>
      <c r="L876" s="6">
        <f>HYPERLINK("https://fin.land.naver.com/articles/2650429475",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급매 추가조율가능 입지좋은 충대병원인근</t>
        </is>
      </c>
      <c r="L877" s="6">
        <f>HYPERLINK("https://fin.land.naver.com/articles/2651133638",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세종스타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공원인근, 조용한 단독주택 토지</t>
        </is>
      </c>
      <c r="L879" s="6">
        <f>HYPERLINK("https://fin.land.naver.com/articles/2652115592",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산조망 조용한위치 18만평 근린공원접함 지대높음</t>
        </is>
      </c>
      <c r="L880" s="6">
        <f>HYPERLINK("https://fin.land.naver.com/articles/2652917974",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충대병원, 약국추천자리, 근생토지, 대로변 노출 좋은 자리</t>
        </is>
      </c>
      <c r="L884" s="6">
        <f>HYPERLINK("https://fin.land.naver.com/articles/2651770352",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145000</v>
      </c>
      <c r="G886" s="4" t="n">
        <v>317</v>
      </c>
      <c r="H886" s="4" t="n">
        <v>96</v>
      </c>
      <c r="I886" s="5" t="n">
        <v>1510.4</v>
      </c>
      <c r="J886" s="5" t="n">
        <v>724</v>
      </c>
      <c r="K886" s="3" t="inlineStr">
        <is>
          <t>근린생활시설 용지로서 대단위 아파트 전면에 위치하여 최고의 상권</t>
        </is>
      </c>
      <c r="L886" s="6">
        <f>HYPERLINK("https://fin.land.naver.com/articles/2651956271",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대우마을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150000</v>
      </c>
      <c r="G887" s="4" t="n">
        <v>317</v>
      </c>
      <c r="H887" s="4" t="n">
        <v>96</v>
      </c>
      <c r="I887" s="5" t="n">
        <v>1562.5</v>
      </c>
      <c r="J887" s="5" t="n">
        <v>724</v>
      </c>
      <c r="K887" s="3" t="inlineStr">
        <is>
          <t>아름동 대로변 근생용지, 96.1p</t>
        </is>
      </c>
      <c r="L887" s="6">
        <f>HYPERLINK("https://fin.land.naver.com/articles/2652839304",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아름동 학교 가까운 주택지</t>
        </is>
      </c>
      <c r="L898" s="6">
        <f>HYPERLINK("https://fin.land.naver.com/articles/2653003576",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총 110.7p, 아파트 단지 옆, 아름초 인근, 위치좋고 가격좋은 토지</t>
        </is>
      </c>
      <c r="L899" s="6">
        <f>HYPERLINK("https://fin.land.naver.com/articles/2652842649",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세종무지개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급매 추가조율가능 귀한큰평형 아름초도보3분 학원가도보5분 충대병원10분</t>
        </is>
      </c>
      <c r="L900" s="6">
        <f>HYPERLINK("https://fin.land.naver.com/articles/2649375287",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세종스타</t>
        </is>
      </c>
      <c r="P900" s="4" t="n">
        <v>2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103.7p, 삼거리 코너자리, 왼쪽 토지 활용도 높은 좋은 위치</t>
        </is>
      </c>
      <c r="L904" s="6">
        <f>HYPERLINK("https://fin.land.naver.com/articles/2648904182",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조율가능 학원가최인접 땅모양 건축하기 좋음</t>
        </is>
      </c>
      <c r="L905" s="6">
        <f>HYPERLINK("https://fin.land.naver.com/articles/2652682812",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세종스타</t>
        </is>
      </c>
      <c r="P905" s="4" t="n">
        <v>4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363</v>
      </c>
      <c r="H906" s="4" t="n">
        <v>110</v>
      </c>
      <c r="I906" s="5" t="n">
        <v>545.5</v>
      </c>
      <c r="J906" s="5" t="n">
        <v>338.2</v>
      </c>
      <c r="K906" s="3" t="inlineStr">
        <is>
          <t>아름동 단독주택 토지매매, 위치 좋은 자리</t>
        </is>
      </c>
      <c r="L906" s="6">
        <f>HYPERLINK("https://fin.land.naver.com/articles/2649577908",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66000</v>
      </c>
      <c r="G907" s="4" t="n">
        <v>365</v>
      </c>
      <c r="H907" s="4" t="n">
        <v>110</v>
      </c>
      <c r="I907" s="5" t="n">
        <v>600</v>
      </c>
      <c r="J907" s="5" t="n">
        <v>338.2</v>
      </c>
      <c r="K907" s="3" t="inlineStr">
        <is>
          <t>(급매) 단독주택 건축을 고려하시면 추천합니다.</t>
        </is>
      </c>
      <c r="L907" s="6">
        <f>HYPERLINK("https://fin.land.naver.com/articles/2650054888",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리치빌아주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 아름동학원가, 상권이용편리로얄택지, 금액조율가능, 추천매매</t>
        </is>
      </c>
      <c r="L910" s="6">
        <f>HYPERLINK("https://fin.land.naver.com/articles/2650559948",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한방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급매, 학교, 편의시설, 정부청사 가까워 생활편리, 보행도로접 코너각지</t>
        </is>
      </c>
      <c r="L911" s="6">
        <f>HYPERLINK("https://fin.land.naver.com/articles/2649697166",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온뜰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아름동 주택지 저렴한 가격 급매, 코너각지, 위치좋음</t>
        </is>
      </c>
      <c r="L912" s="6">
        <f>HYPERLINK("https://fin.land.naver.com/articles/2653003304",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OK세종 사무소</t>
        </is>
      </c>
      <c r="P912" s="4" t="n">
        <v>3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급매, 총 91p, 삼거리코너, 아파트 단지 밑</t>
        </is>
      </c>
      <c r="L914" s="6">
        <f>HYPERLINK("https://fin.land.naver.com/articles/2652838634",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92.1p, 초급매, 가격조율가능, 코너최고자리</t>
        </is>
      </c>
      <c r="L918" s="6">
        <f>HYPERLINK("https://fin.land.naver.com/articles/2649024607",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151.5p, 데이터센터, 방송관련 사옥 추천, 조율가능, 입지좋은 토지</t>
        </is>
      </c>
      <c r="L924" s="6">
        <f>HYPERLINK("https://fin.land.naver.com/articles/2649023062",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,아름동 최상 택지,충남대병원 인접 생활권 편리,어린이공원접</t>
        </is>
      </c>
      <c r="L931" s="6">
        <f>HYPERLINK("https://fin.land.naver.com/articles/2650851626",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뒤로 넓은 공원낀위치 우측 연결녹지 넓어 쾌적한곳</t>
        </is>
      </c>
      <c r="L932" s="6">
        <f>HYPERLINK("https://fin.land.naver.com/articles/2652418910",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329</v>
      </c>
      <c r="H951" s="4" t="n">
        <v>100</v>
      </c>
      <c r="I951" s="5" t="n">
        <v>360</v>
      </c>
      <c r="J951" s="5" t="n">
        <v>106.7</v>
      </c>
      <c r="K951" s="3" t="inlineStr">
        <is>
          <t>nan</t>
        </is>
      </c>
      <c r="L951" s="6">
        <f>HYPERLINK("https://fin.land.naver.com/articles/2649512630",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세종지평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330</v>
      </c>
      <c r="H952" s="4" t="n">
        <v>100</v>
      </c>
      <c r="I952" s="5" t="n">
        <v>360</v>
      </c>
      <c r="J952" s="5" t="n">
        <v>106.7</v>
      </c>
      <c r="K952" s="3" t="inlineStr">
        <is>
          <t>세종 내판리 토지 매매.지목 대지구단위계획구역</t>
        </is>
      </c>
      <c r="L952" s="6">
        <f>HYPERLINK("https://fin.land.naver.com/articles/2648747196",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세종몽땅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220000</v>
      </c>
      <c r="G959" s="4" t="n">
        <v>5683</v>
      </c>
      <c r="H959" s="4" t="n">
        <v>1719</v>
      </c>
      <c r="I959" s="5" t="n">
        <v>128</v>
      </c>
      <c r="J959" s="5" t="n">
        <v>41.8</v>
      </c>
      <c r="K959" s="3" t="inlineStr">
        <is>
          <t>급매 시세보다 저렴한 토지 추천매물입니다</t>
        </is>
      </c>
      <c r="L959" s="6">
        <f>HYPERLINK("https://fin.land.naver.com/articles/2649005969",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세종푸르지오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계획관리지역 건축부지 시세이하가격</t>
        </is>
      </c>
      <c r="L960" s="6">
        <f>HYPERLINK("https://fin.land.naver.com/articles/2650899167",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(주)경진컨설팅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280000</v>
      </c>
      <c r="G971" s="4" t="n">
        <v>1428</v>
      </c>
      <c r="H971" s="4" t="n">
        <v>432</v>
      </c>
      <c r="I971" s="5" t="n">
        <v>648.1</v>
      </c>
      <c r="J971" s="5" t="n">
        <v>83.3</v>
      </c>
      <c r="K971" s="3" t="inlineStr">
        <is>
          <t>세종5생활권 2차도로 접도 계획관리 토지 매매</t>
        </is>
      </c>
      <c r="L971" s="6">
        <f>HYPERLINK("https://fin.land.naver.com/articles/2649688971",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행운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145000</v>
      </c>
      <c r="G972" s="4" t="n">
        <v>2635</v>
      </c>
      <c r="H972" s="4" t="n">
        <v>797</v>
      </c>
      <c r="I972" s="5" t="n">
        <v>181.9</v>
      </c>
      <c r="J972" s="5" t="n">
        <v>83.3</v>
      </c>
      <c r="K972" s="3" t="inlineStr">
        <is>
          <t>급매,계획관리구역,성장관리계획구역</t>
        </is>
      </c>
      <c r="L972" s="6">
        <f>HYPERLINK("https://fin.land.naver.com/articles/2652592516",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바로 건축할수 있는 나대지,3미터 포장도로 진입가능</t>
        </is>
      </c>
      <c r="L979" s="6">
        <f>HYPERLINK("https://fin.land.naver.com/articles/2648645998",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보람최고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165000</v>
      </c>
      <c r="G988" s="4" t="n">
        <v>991</v>
      </c>
      <c r="H988" s="4" t="n">
        <v>300</v>
      </c>
      <c r="I988" s="5" t="n">
        <v>550</v>
      </c>
      <c r="J988" s="5" t="n">
        <v>25.1</v>
      </c>
      <c r="K988" s="3" t="inlineStr">
        <is>
          <t>2차선 도로접한 금강이 보이는 지대 높은 토지</t>
        </is>
      </c>
      <c r="L988" s="6">
        <f>HYPERLINK("https://fin.land.naver.com/articles/2652333436",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담뜰</t>
        </is>
      </c>
      <c r="P988" s="4" t="n">
        <v>4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100000</v>
      </c>
      <c r="G989" s="4" t="n">
        <v>645</v>
      </c>
      <c r="H989" s="4" t="n">
        <v>195</v>
      </c>
      <c r="I989" s="5" t="n">
        <v>512.8</v>
      </c>
      <c r="J989" s="5" t="n">
        <v>25.1</v>
      </c>
      <c r="K989" s="3" t="inlineStr">
        <is>
          <t>일부 매매,전체 매매 가능,도로변에 위치</t>
        </is>
      </c>
      <c r="L989" s="6">
        <f>HYPERLINK("https://fin.land.naver.com/articles/2649947423",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nan</t>
        </is>
      </c>
      <c r="L1008" s="6">
        <f>HYPERLINK("https://fin.land.naver.com/articles/2651581324",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부강역 생활권 평탄 농지, 자경 및 주말농장 검토 적합</t>
        </is>
      </c>
      <c r="L1009" s="6">
        <f>HYPERLINK("https://fin.land.naver.com/articles/2650905086",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가격저렴한 대토 및 장기투자</t>
        </is>
      </c>
      <c r="L1018" s="6">
        <f>HYPERLINK("https://fin.land.naver.com/articles/2650179155",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연동스카이</t>
        </is>
      </c>
      <c r="P1018" s="4" t="n">
        <v>2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주변 시세대비 아주저렴</t>
        </is>
      </c>
      <c r="L1019" s="6">
        <f>HYPERLINK("https://fin.land.naver.com/articles/2648462411",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세종땅전문</t>
        </is>
      </c>
      <c r="P1019" s="4" t="n">
        <v>1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가격절충</t>
        </is>
      </c>
      <c r="L1027" s="6">
        <f>HYPERLINK("https://fin.land.naver.com/articles/2651729422",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세종땅전문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세종시 토지로 적은 금액으로 투자하기 좋은 곳</t>
        </is>
      </c>
      <c r="L1028" s="6">
        <f>HYPERLINK("https://fin.land.naver.com/articles/2651419402",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오송이가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24000</v>
      </c>
      <c r="G1081" s="4" t="n">
        <v>2010</v>
      </c>
      <c r="H1081" s="4" t="n">
        <v>608</v>
      </c>
      <c r="I1081" s="5" t="n">
        <v>39.5</v>
      </c>
      <c r="J1081" s="5" t="n">
        <v>22</v>
      </c>
      <c r="K1081" s="3" t="inlineStr">
        <is>
          <t>대토용 및 주말농장</t>
        </is>
      </c>
      <c r="L1081" s="6">
        <f>HYPERLINK("https://fin.land.naver.com/articles/2652095031",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지호주식회사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21000</v>
      </c>
      <c r="G1082" s="4" t="n">
        <v>2010</v>
      </c>
      <c r="H1082" s="4" t="n">
        <v>608</v>
      </c>
      <c r="I1082" s="5" t="n">
        <v>34.5</v>
      </c>
      <c r="J1082" s="5" t="n">
        <v>22</v>
      </c>
      <c r="K1082" s="3" t="inlineStr">
        <is>
          <t>투자용, 주말 농장용으로 추천 합니다</t>
        </is>
      </c>
      <c r="L1082" s="6">
        <f>HYPERLINK("https://fin.land.naver.com/articles/2650856617",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급매,도로접한 계획관리지역,알토란 토지,가격조정가능</t>
        </is>
      </c>
      <c r="L1087" s="6">
        <f>HYPERLINK("https://fin.land.naver.com/articles/2651676153",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고운맘</t>
        </is>
      </c>
      <c r="P1087" s="4" t="n">
        <v>1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스마트국가산업단지와 북세종IC 인근 계획관리지역 토지로 지가상승 예상.</t>
        </is>
      </c>
      <c r="L1088" s="6">
        <f>HYPERLINK("https://fin.land.naver.com/articles/2650938722",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세종대장</t>
        </is>
      </c>
      <c r="P1088" s="4" t="n">
        <v>2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기룡리 도로 접한 대지,일부답 세종스마트국가산업단지 개발 등 투자 호재</t>
        </is>
      </c>
      <c r="L1110" s="6">
        <f>HYPERLINK("https://fin.land.naver.com/articles/2651109883",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믿음</t>
        </is>
      </c>
      <c r="P1110" s="4" t="n">
        <v>3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도로접 국가산단 인근으로 투자와 실사용을 동시에 만족</t>
        </is>
      </c>
      <c r="L1111" s="6">
        <f>HYPERLINK("https://fin.land.naver.com/articles/2652765583",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가치잇는</t>
        </is>
      </c>
      <c r="P1111" s="4" t="n">
        <v>8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급매매 계획관리 도로접 건축가능 세종 연서 기룡리</t>
        </is>
      </c>
      <c r="L1112" s="6">
        <f>HYPERLINK("https://fin.land.naver.com/articles/2649923225",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명장</t>
        </is>
      </c>
      <c r="P1112" s="4" t="n">
        <v>1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483</v>
      </c>
      <c r="H1113" s="4" t="n">
        <v>146</v>
      </c>
      <c r="I1113" s="5" t="n">
        <v>133.6</v>
      </c>
      <c r="J1113" s="5" t="n">
        <v>66.7</v>
      </c>
      <c r="K1113" s="3" t="inlineStr">
        <is>
          <t>급매물 마을앞 코너각지 도로접한 대지와 전매매</t>
        </is>
      </c>
      <c r="L1113" s="6">
        <f>HYPERLINK("https://fin.land.naver.com/articles/2650172378",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제이파크</t>
        </is>
      </c>
      <c r="P1113" s="4" t="n">
        <v>3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전망좋은 전원택지및 다용도,투자적지</t>
        </is>
      </c>
      <c r="L1114" s="6">
        <f>HYPERLINK("https://fin.land.naver.com/articles/2649946421",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행복가득한</t>
        </is>
      </c>
      <c r="P1114" s="4" t="n">
        <v>1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nan</t>
        </is>
      </c>
      <c r="L1115" s="6">
        <f>HYPERLINK("https://fin.land.naver.com/articles/2652331421",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세종금밭</t>
        </is>
      </c>
      <c r="P1115" s="4" t="n">
        <v>4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482</v>
      </c>
      <c r="H1116" s="4" t="n">
        <v>146</v>
      </c>
      <c r="I1116" s="5" t="n">
        <v>133.6</v>
      </c>
      <c r="J1116" s="5" t="n">
        <v>66.7</v>
      </c>
      <c r="K1116" s="3" t="inlineStr">
        <is>
          <t>연서면 기룡리 토지 계획관리지역 전원주택등</t>
        </is>
      </c>
      <c r="L1116" s="6">
        <f>HYPERLINK("https://fin.land.naver.com/articles/2652196219",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반석원무소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도로접한 과수원 매매</t>
        </is>
      </c>
      <c r="L1150" s="6">
        <f>HYPERLINK("https://fin.land.naver.com/articles/2653195485",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도로변 성장관리구역 과수원</t>
        </is>
      </c>
      <c r="L1151" s="6">
        <f>HYPERLINK("https://fin.land.naver.com/articles/2650613233",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200000</v>
      </c>
      <c r="G1153" s="4" t="n">
        <v>5090</v>
      </c>
      <c r="H1153" s="4" t="n">
        <v>1540</v>
      </c>
      <c r="I1153" s="5" t="n">
        <v>129.9</v>
      </c>
      <c r="J1153" s="5" t="n">
        <v>27.3</v>
      </c>
      <c r="K1153" s="3" t="inlineStr">
        <is>
          <t>2차선도로접, 개발호재가 강한지역 투자가치최고</t>
        </is>
      </c>
      <c r="L1153" s="6">
        <f>HYPERLINK("https://fin.land.naver.com/articles/2651043984",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원내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80400</v>
      </c>
      <c r="G1155" s="4" t="n">
        <v>2045</v>
      </c>
      <c r="H1155" s="4" t="n">
        <v>619</v>
      </c>
      <c r="I1155" s="5" t="n">
        <v>129.9</v>
      </c>
      <c r="J1155" s="5" t="n">
        <v>27.3</v>
      </c>
      <c r="K1155" s="3" t="inlineStr">
        <is>
          <t>본 토지는 2차선 도로에 접하여 연서면의 광활한 평지에 개발가능성이 높음</t>
        </is>
      </c>
      <c r="L1155" s="6">
        <f>HYPERLINK("https://fin.land.naver.com/articles/2652983578",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온누리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19000</v>
      </c>
      <c r="G1162" s="4" t="n">
        <v>730</v>
      </c>
      <c r="H1162" s="4" t="n">
        <v>221</v>
      </c>
      <c r="I1162" s="5" t="n">
        <v>86</v>
      </c>
      <c r="J1162" s="5" t="n">
        <v>39.5</v>
      </c>
      <c r="K1162" s="3" t="inlineStr">
        <is>
          <t>분할매도,실수요와 투자를 동시에.미래가치 충분</t>
        </is>
      </c>
      <c r="L1162" s="6">
        <f>HYPERLINK("https://fin.land.naver.com/articles/2650336389",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가치잇는</t>
        </is>
      </c>
      <c r="P1162" s="4" t="n">
        <v>2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10000</v>
      </c>
      <c r="G1163" s="4" t="n">
        <v>330</v>
      </c>
      <c r="H1163" s="4" t="n">
        <v>100</v>
      </c>
      <c r="I1163" s="5" t="n">
        <v>100</v>
      </c>
      <c r="J1163" s="5" t="n">
        <v>39.5</v>
      </c>
      <c r="K1163" s="3" t="inlineStr">
        <is>
          <t>nan</t>
        </is>
      </c>
      <c r="L1163" s="6">
        <f>HYPERLINK("https://fin.land.naver.com/articles/2651153583",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29700</v>
      </c>
      <c r="G1186" s="4" t="n">
        <v>678</v>
      </c>
      <c r="H1186" s="4" t="n">
        <v>205</v>
      </c>
      <c r="I1186" s="5" t="n">
        <v>144.9</v>
      </c>
      <c r="J1186" s="5" t="n">
        <v>66.59999999999999</v>
      </c>
      <c r="K1186" s="3" t="inlineStr">
        <is>
          <t>고복저수지인근 전원주택 단지 교통편리</t>
        </is>
      </c>
      <c r="L1186" s="6">
        <f>HYPERLINK("https://fin.land.naver.com/articles/2648855823",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30000</v>
      </c>
      <c r="G1187" s="4" t="n">
        <v>720</v>
      </c>
      <c r="H1187" s="4" t="n">
        <v>218</v>
      </c>
      <c r="I1187" s="5" t="n">
        <v>137.6</v>
      </c>
      <c r="J1187" s="5" t="n">
        <v>66.59999999999999</v>
      </c>
      <c r="K1187" s="3" t="inlineStr">
        <is>
          <t>고복저수지근처 지목대지 건축 허가 가능.</t>
        </is>
      </c>
      <c r="L1187" s="6">
        <f>HYPERLINK("https://fin.land.naver.com/articles/2650858228",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582</v>
      </c>
      <c r="H1188" s="4" t="n">
        <v>176</v>
      </c>
      <c r="I1188" s="5" t="n">
        <v>325.3</v>
      </c>
      <c r="J1188" s="5" t="n">
        <v>66.59999999999999</v>
      </c>
      <c r="K1188" s="3" t="inlineStr">
        <is>
          <t>개발 완료된 전원주택지. 즉시 건축 가능. 대지 582  도로 175</t>
        </is>
      </c>
      <c r="L1188" s="6">
        <f>HYPERLINK("https://fin.land.naver.com/articles/2651427202",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세종소담114</t>
        </is>
      </c>
      <c r="P1188" s="4" t="n">
        <v>2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757</v>
      </c>
      <c r="H1189" s="4" t="n">
        <v>229</v>
      </c>
      <c r="I1189" s="5" t="n">
        <v>250</v>
      </c>
      <c r="J1189" s="5" t="n">
        <v>66.59999999999999</v>
      </c>
      <c r="K1189" s="3" t="inlineStr">
        <is>
          <t>대지 즉시 건축가능 전원주택부지</t>
        </is>
      </c>
      <c r="L1189" s="6">
        <f>HYPERLINK("https://fin.land.naver.com/articles/2651395854",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대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농지 매물 연서면 신대리 2,512㎡ 답 매매</t>
        </is>
      </c>
      <c r="L1198" s="6">
        <f>HYPERLINK("https://fin.land.naver.com/articles/2651605840",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nan</t>
        </is>
      </c>
      <c r="L1199" s="6">
        <f>HYPERLINK("https://fin.land.naver.com/articles/2649736710",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447</v>
      </c>
      <c r="H1209" s="4" t="n">
        <v>135</v>
      </c>
      <c r="I1209" s="5" t="n">
        <v>118.5</v>
      </c>
      <c r="J1209" s="5" t="n">
        <v>31.2</v>
      </c>
      <c r="K1209" s="3" t="inlineStr">
        <is>
          <t>고복저수지인근,4m도로접, 모양좋고 평탄한 농지, 주말농장,체류형쉼터,</t>
        </is>
      </c>
      <c r="L1209" s="6">
        <f>HYPERLINK("https://fin.land.naver.com/articles/2651745421",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세종복댕이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413</v>
      </c>
      <c r="H1210" s="4" t="n">
        <v>125</v>
      </c>
      <c r="I1210" s="5" t="n">
        <v>128</v>
      </c>
      <c r="J1210" s="5" t="n">
        <v>31.2</v>
      </c>
      <c r="K1210" s="3" t="inlineStr">
        <is>
          <t>체류형쉼터강추,도로접,국유지사용가,도로지분33제곱별도면적포함가</t>
        </is>
      </c>
      <c r="L1210" s="6">
        <f>HYPERLINK("https://fin.land.naver.com/articles/2648103313",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힐스테이트행복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96300</v>
      </c>
      <c r="G1217" s="4" t="n">
        <v>3183</v>
      </c>
      <c r="H1217" s="4" t="n">
        <v>963</v>
      </c>
      <c r="I1217" s="5" t="n">
        <v>100</v>
      </c>
      <c r="J1217" s="5" t="n">
        <v>35.8</v>
      </c>
      <c r="K1217" s="3" t="inlineStr">
        <is>
          <t>고복저수지, 연기휴게소예정지 인근 생산관리토지</t>
        </is>
      </c>
      <c r="L1217" s="6">
        <f>HYPERLINK("https://fin.land.naver.com/articles/2652041512",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110000</v>
      </c>
      <c r="G1218" s="4" t="n">
        <v>3183</v>
      </c>
      <c r="H1218" s="4" t="n">
        <v>963</v>
      </c>
      <c r="I1218" s="5" t="n">
        <v>114.2</v>
      </c>
      <c r="J1218" s="5" t="n">
        <v>35.8</v>
      </c>
      <c r="K1218" s="3" t="inlineStr">
        <is>
          <t>도로접,땅모양좋습니다,성장관리계획구역,조정가</t>
        </is>
      </c>
      <c r="L1218" s="6">
        <f>HYPERLINK("https://fin.land.naver.com/articles/2650425351",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힐스테이트행복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36500</v>
      </c>
      <c r="G1225" s="4" t="n">
        <v>1334</v>
      </c>
      <c r="H1225" s="4" t="n">
        <v>404</v>
      </c>
      <c r="I1225" s="5" t="n">
        <v>90.3</v>
      </c>
      <c r="J1225" s="5" t="n">
        <v>29.4</v>
      </c>
      <c r="K1225" s="3" t="inlineStr">
        <is>
          <t>연서면 쌍류리 2차선변 토지 매매</t>
        </is>
      </c>
      <c r="L1225" s="6">
        <f>HYPERLINK("https://fin.land.naver.com/articles/2649563551",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70200</v>
      </c>
      <c r="G1227" s="4" t="n">
        <v>2340</v>
      </c>
      <c r="H1227" s="4" t="n">
        <v>708</v>
      </c>
      <c r="I1227" s="5" t="n">
        <v>99.2</v>
      </c>
      <c r="J1227" s="5" t="n">
        <v>29.4</v>
      </c>
      <c r="K1227" s="3" t="inlineStr">
        <is>
          <t>연서면 쌍류리 2차선변 과수원 매매</t>
        </is>
      </c>
      <c r="L1227" s="6">
        <f>HYPERLINK("https://fin.land.naver.com/articles/2650946339",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45000</v>
      </c>
      <c r="G1239" s="4" t="n">
        <v>2463</v>
      </c>
      <c r="H1239" s="4" t="n">
        <v>745</v>
      </c>
      <c r="I1239" s="5" t="n">
        <v>60.4</v>
      </c>
      <c r="J1239" s="5" t="n">
        <v>28.9</v>
      </c>
      <c r="K1239" s="3" t="inlineStr">
        <is>
          <t>쌍류리 저렴한 토지매매</t>
        </is>
      </c>
      <c r="L1239" s="6">
        <f>HYPERLINK("https://fin.land.naver.com/articles/2653075157",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세종땅사랑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49500</v>
      </c>
      <c r="G1240" s="4" t="n">
        <v>2463</v>
      </c>
      <c r="H1240" s="4" t="n">
        <v>745</v>
      </c>
      <c r="I1240" s="5" t="n">
        <v>66.40000000000001</v>
      </c>
      <c r="J1240" s="5" t="n">
        <v>28.9</v>
      </c>
      <c r="K1240" s="3" t="inlineStr">
        <is>
          <t>도로접한 저렴한 토지매매</t>
        </is>
      </c>
      <c r="L1240" s="6">
        <f>HYPERLINK("https://fin.land.naver.com/articles/2651247524",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세종토박이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17000</v>
      </c>
      <c r="G1242" s="4" t="n">
        <v>522</v>
      </c>
      <c r="H1242" s="4" t="n">
        <v>158</v>
      </c>
      <c r="I1242" s="5" t="n">
        <v>107.6</v>
      </c>
      <c r="J1242" s="5" t="n">
        <v>32.8</v>
      </c>
      <c r="K1242" s="3" t="inlineStr">
        <is>
          <t>쌍류리 2차선길게 접한 코너각지 위치좋고 저렴한 토지</t>
        </is>
      </c>
      <c r="L1242" s="6">
        <f>HYPERLINK("https://fin.land.naver.com/articles/2651241272",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세종땅사랑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16300</v>
      </c>
      <c r="G1243" s="4" t="n">
        <v>522</v>
      </c>
      <c r="H1243" s="4" t="n">
        <v>158</v>
      </c>
      <c r="I1243" s="5" t="n">
        <v>103.2</v>
      </c>
      <c r="J1243" s="5" t="n">
        <v>32.8</v>
      </c>
      <c r="K1243" s="3" t="inlineStr">
        <is>
          <t>2차선 도로변의 접근성 좋은 급매 토지</t>
        </is>
      </c>
      <c r="L1243" s="6">
        <f>HYPERLINK("https://fin.land.naver.com/articles/2648746836",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용궁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26560</v>
      </c>
      <c r="G1245" s="4" t="n">
        <v>477</v>
      </c>
      <c r="H1245" s="4" t="n">
        <v>144</v>
      </c>
      <c r="I1245" s="5" t="n">
        <v>184.4</v>
      </c>
      <c r="J1245" s="5" t="n">
        <v>30.2</v>
      </c>
      <c r="K1245" s="3" t="inlineStr">
        <is>
          <t>nan</t>
        </is>
      </c>
      <c r="L1245" s="6">
        <f>HYPERLINK("https://fin.land.naver.com/articles/2650436505",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세종소담114</t>
        </is>
      </c>
      <c r="P1245" s="4" t="n">
        <v>1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대</t>
        </is>
      </c>
      <c r="E1246" s="3" t="inlineStr">
        <is>
          <t>매매</t>
        </is>
      </c>
      <c r="F1246" s="4" t="n">
        <v>26000</v>
      </c>
      <c r="G1246" s="4" t="n">
        <v>548</v>
      </c>
      <c r="H1246" s="4" t="n">
        <v>166</v>
      </c>
      <c r="I1246" s="5" t="n">
        <v>156.6</v>
      </c>
      <c r="J1246" s="5" t="n">
        <v>30.2</v>
      </c>
      <c r="K1246" s="3" t="inlineStr">
        <is>
          <t>가격조절가능,근생부지로 허가난상태,도로지분포함,토목공사완료,</t>
        </is>
      </c>
      <c r="L1246" s="6">
        <f>HYPERLINK("https://fin.land.naver.com/articles/2651994335",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담뜰</t>
        </is>
      </c>
      <c r="P1246" s="4" t="n">
        <v>2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양면6미터도로접,북세종IC예정지앞,현재 복숭아 농사중,성토완료,</t>
        </is>
      </c>
      <c r="L1266" s="6">
        <f>HYPERLINK("https://fin.land.naver.com/articles/2651993946",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담뜰</t>
        </is>
      </c>
      <c r="P1266" s="4" t="n">
        <v>8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2차선접,대토강추,투자가치최고</t>
        </is>
      </c>
      <c r="L1267" s="6">
        <f>HYPERLINK("https://fin.land.naver.com/articles/2648102972",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힐스테이트행복</t>
        </is>
      </c>
      <c r="P1267" s="4" t="n">
        <v>1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330000</v>
      </c>
      <c r="G1309" s="4" t="n">
        <v>3712</v>
      </c>
      <c r="H1309" s="4" t="n">
        <v>1123</v>
      </c>
      <c r="I1309" s="5" t="n">
        <v>293.9</v>
      </c>
      <c r="J1309" s="5" t="n">
        <v>96.59999999999999</v>
      </c>
      <c r="K1309" s="3" t="inlineStr">
        <is>
          <t>세종 조치원 공공주택지구 인근 투자용 토지 매매</t>
        </is>
      </c>
      <c r="L1309" s="6">
        <f>HYPERLINK("https://fin.land.naver.com/articles/2649466633",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(주)해뜰터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200000</v>
      </c>
      <c r="G1310" s="4" t="n">
        <v>1653</v>
      </c>
      <c r="H1310" s="4" t="n">
        <v>500</v>
      </c>
      <c r="I1310" s="5" t="n">
        <v>400</v>
      </c>
      <c r="J1310" s="5" t="n">
        <v>96.59999999999999</v>
      </c>
      <c r="K1310" s="3" t="inlineStr">
        <is>
          <t>nan</t>
        </is>
      </c>
      <c r="L1310" s="6">
        <f>HYPERLINK("https://fin.land.naver.com/articles/2649692747",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온뜰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조치원역인근, 주말농장으로 좋아요</t>
        </is>
      </c>
      <c r="L1316" s="6">
        <f>HYPERLINK("https://fin.land.naver.com/articles/2653051509",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세종강남</t>
        </is>
      </c>
      <c r="P1316" s="4" t="n">
        <v>3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개방감 좋고 저렴하게 나온 토지</t>
        </is>
      </c>
      <c r="L1317" s="6">
        <f>HYPERLINK("https://fin.land.naver.com/articles/2651956754",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용궁</t>
        </is>
      </c>
      <c r="P1317" s="4" t="n">
        <v>2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고복저수지5분거리 국산인근수혜지</t>
        </is>
      </c>
      <c r="L1343" s="6">
        <f>HYPERLINK("https://fin.land.naver.com/articles/2652904321",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오송원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l청년l 세종시 투자가치 있는 토지 입니다.</t>
        </is>
      </c>
      <c r="L1344" s="6">
        <f>HYPERLINK("https://fin.land.naver.com/articles/2652676790",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청년사사무소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포장도로 접한 세종 북부권 전원주택 검토형 토지</t>
        </is>
      </c>
      <c r="L1345" s="6">
        <f>HYPERLINK("https://fin.land.naver.com/articles/2649753980",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풍수지리 최고위치 국가산단 배후지 급매물</t>
        </is>
      </c>
      <c r="L1346" s="6">
        <f>HYPERLINK("https://fin.land.naver.com/articles/2650378739",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THE행복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차량진입완경사, 고복저수지 6분국가산단 15분권</t>
        </is>
      </c>
      <c r="L1347" s="6">
        <f>HYPERLINK("https://fin.land.naver.com/articles/2650328099",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전</t>
        </is>
      </c>
      <c r="E1360" s="3" t="inlineStr">
        <is>
          <t>매매</t>
        </is>
      </c>
      <c r="F1360" s="4" t="n">
        <v>12700</v>
      </c>
      <c r="G1360" s="4" t="n">
        <v>1402</v>
      </c>
      <c r="H1360" s="4" t="n">
        <v>424</v>
      </c>
      <c r="I1360" s="5" t="n">
        <v>30</v>
      </c>
      <c r="J1360" s="5" t="n">
        <v>10.8</v>
      </c>
      <c r="K1360" s="3" t="inlineStr">
        <is>
          <t>절충가능하고 대토용으로 추천드림니다</t>
        </is>
      </c>
      <c r="L1360" s="6">
        <f>HYPERLINK("https://fin.land.naver.com/articles/2649224599",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스마일세종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6750</v>
      </c>
      <c r="G1362" s="4" t="n">
        <v>1402</v>
      </c>
      <c r="H1362" s="4" t="n">
        <v>424</v>
      </c>
      <c r="I1362" s="5" t="n">
        <v>15.9</v>
      </c>
      <c r="J1362" s="5" t="n">
        <v>10.8</v>
      </c>
      <c r="K1362" s="3" t="inlineStr">
        <is>
          <t>구거 접해 있지만 맹지입니다.</t>
        </is>
      </c>
      <c r="L1362" s="6">
        <f>HYPERLINK("https://fin.land.naver.com/articles/2652005290",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세종땅사랑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85000</v>
      </c>
      <c r="G1376" s="4" t="n">
        <v>573</v>
      </c>
      <c r="H1376" s="4" t="n">
        <v>173</v>
      </c>
      <c r="I1376" s="5" t="n">
        <v>491.3</v>
      </c>
      <c r="J1376" s="5" t="n">
        <v>161.2</v>
      </c>
      <c r="K1376" s="3" t="inlineStr">
        <is>
          <t>오송역에서 가까운 궁평리에 위치한 토지임</t>
        </is>
      </c>
      <c r="L1376" s="6">
        <f>HYPERLINK("https://fin.land.naver.com/articles/2652419897",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산성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573</v>
      </c>
      <c r="H1377" s="4" t="n">
        <v>173</v>
      </c>
      <c r="I1377" s="5" t="n">
        <v>462.4</v>
      </c>
      <c r="J1377" s="5" t="n">
        <v>161.2</v>
      </c>
      <c r="K1377" s="3" t="inlineStr">
        <is>
          <t>173땅 오송역세권 미래투자가치우수한 토지</t>
        </is>
      </c>
      <c r="L1377" s="6">
        <f>HYPERLINK("https://fin.land.naver.com/articles/2648360295",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하림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답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매물 특징</t>
        </is>
      </c>
      <c r="L1444" s="6">
        <f>HYPERLINK("https://fin.land.naver.com/articles/2653143304",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오송궁평마을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창고용지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nan</t>
        </is>
      </c>
      <c r="L1445" s="6">
        <f>HYPERLINK("https://fin.land.naver.com/articles/2650862822",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프로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창고용지</t>
        </is>
      </c>
      <c r="E1454" s="3" t="inlineStr">
        <is>
          <t>매매</t>
        </is>
      </c>
      <c r="F1454" s="4" t="n">
        <v>120000</v>
      </c>
      <c r="G1454" s="4" t="n">
        <v>2423</v>
      </c>
      <c r="H1454" s="4" t="n">
        <v>733</v>
      </c>
      <c r="I1454" s="5" t="n">
        <v>163.7</v>
      </c>
      <c r="J1454" s="5" t="n">
        <v>49.6</v>
      </c>
      <c r="K1454" s="3" t="inlineStr">
        <is>
          <t>오송3산단예정지인근 2차선변 농업용창고,부분거래가능</t>
        </is>
      </c>
      <c r="L1454" s="6">
        <f>HYPERLINK("https://fin.land.naver.com/articles/2650475978",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답</t>
        </is>
      </c>
      <c r="E1455" s="3" t="inlineStr">
        <is>
          <t>매매</t>
        </is>
      </c>
      <c r="F1455" s="4" t="n">
        <v>110000</v>
      </c>
      <c r="G1455" s="4" t="n">
        <v>2423</v>
      </c>
      <c r="H1455" s="4" t="n">
        <v>733</v>
      </c>
      <c r="I1455" s="5" t="n">
        <v>150.1</v>
      </c>
      <c r="J1455" s="5" t="n">
        <v>49.6</v>
      </c>
      <c r="K1455" s="3" t="inlineStr">
        <is>
          <t>2차선도로접한3필지일괄매매,창고는 현재 임대중,그리고 복숭아밭으로이용중</t>
        </is>
      </c>
      <c r="L1455" s="6">
        <f>HYPERLINK("https://fin.land.naver.com/articles/2652138120",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담뜰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오송2산단 지원시설용지 삼면각지 토지 건폐율70 용적률400 6층이하</t>
        </is>
      </c>
      <c r="L1498" s="6">
        <f>HYPERLINK("https://fin.land.naver.com/articles/2652468960",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365</t>
        </is>
      </c>
      <c r="P1498" s="4" t="n">
        <v>2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4차선 메인 코너토지 대단지아파트들을 끼고있음</t>
        </is>
      </c>
      <c r="L1499" s="6">
        <f>HYPERLINK("https://fin.land.naver.com/articles/2652380240",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조은</t>
        </is>
      </c>
      <c r="P1499" s="4" t="n">
        <v>1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산업단지 시작 코너 자리, 아파트 세대 배후.</t>
        </is>
      </c>
      <c r="L1500" s="6">
        <f>HYPERLINK("https://fin.land.naver.com/articles/2652526004",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대한민국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125000</v>
      </c>
      <c r="G1504" s="4" t="n">
        <v>590</v>
      </c>
      <c r="H1504" s="4" t="n">
        <v>178</v>
      </c>
      <c r="I1504" s="5" t="n">
        <v>702.2</v>
      </c>
      <c r="J1504" s="5" t="n">
        <v>256.4</v>
      </c>
      <c r="K1504" s="3" t="inlineStr">
        <is>
          <t>지원시설용지 매매</t>
        </is>
      </c>
      <c r="L1504" s="6">
        <f>HYPERLINK("https://fin.land.naver.com/articles/2652685303",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대한민국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105000</v>
      </c>
      <c r="G1507" s="4" t="n">
        <v>590</v>
      </c>
      <c r="H1507" s="4" t="n">
        <v>178</v>
      </c>
      <c r="I1507" s="5" t="n">
        <v>589.9</v>
      </c>
      <c r="J1507" s="5" t="n">
        <v>256.4</v>
      </c>
      <c r="K1507" s="3" t="inlineStr">
        <is>
          <t>nan</t>
        </is>
      </c>
      <c r="L1507" s="6">
        <f>HYPERLINK("https://fin.land.naver.com/articles/2651733349",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동행사무소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1530</v>
      </c>
      <c r="H1523" s="4" t="n">
        <v>463</v>
      </c>
      <c r="I1523" s="5" t="n">
        <v>604.8</v>
      </c>
      <c r="J1523" s="5" t="n">
        <v>201.1</v>
      </c>
      <c r="K1523" s="3" t="inlineStr">
        <is>
          <t>조치원 일반공업지역 차량진입 우수 산업형 부지</t>
        </is>
      </c>
      <c r="L1523" s="6">
        <f>HYPERLINK("https://fin.land.naver.com/articles/2648846717",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세종소담황금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1531</v>
      </c>
      <c r="H1524" s="4" t="n">
        <v>463</v>
      </c>
      <c r="I1524" s="5" t="n">
        <v>604.8</v>
      </c>
      <c r="J1524" s="5" t="n">
        <v>201.1</v>
      </c>
      <c r="K1524" s="3" t="inlineStr">
        <is>
          <t>세종산단과 오송산단을 잇는 대로 접, 광고 시인성 뛰어남, 적극조율</t>
        </is>
      </c>
      <c r="L1524" s="6">
        <f>HYPERLINK("https://fin.land.naver.com/articles/2649267602",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새롬시티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158400</v>
      </c>
      <c r="G1525" s="4" t="n">
        <v>1007</v>
      </c>
      <c r="H1525" s="4" t="n">
        <v>305</v>
      </c>
      <c r="I1525" s="5" t="n">
        <v>519.3</v>
      </c>
      <c r="J1525" s="5" t="n">
        <v>49.5</v>
      </c>
      <c r="K1525" s="3" t="inlineStr">
        <is>
          <t>조율가,대도로인접,소방포장도로 접,노출효과 좋음,근린상가,소형공장등 추천</t>
        </is>
      </c>
      <c r="L1525" s="6">
        <f>HYPERLINK("https://fin.land.naver.com/articles/2650121496",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세종지원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121800</v>
      </c>
      <c r="G1526" s="4" t="n">
        <v>1007</v>
      </c>
      <c r="H1526" s="4" t="n">
        <v>305</v>
      </c>
      <c r="I1526" s="5" t="n">
        <v>399.3</v>
      </c>
      <c r="J1526" s="5" t="n">
        <v>49.5</v>
      </c>
      <c r="K1526" s="3" t="inlineStr">
        <is>
          <t>대로변 광고효과 소로1류1012m접함 일반공업지역 공장 근생적합</t>
        </is>
      </c>
      <c r="L1526" s="6">
        <f>HYPERLINK("https://fin.land.naver.com/articles/2651927674",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세종이룸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450000</v>
      </c>
      <c r="G1542" s="4" t="n">
        <v>828</v>
      </c>
      <c r="H1542" s="4" t="n">
        <v>250</v>
      </c>
      <c r="I1542" s="5" t="n">
        <v>1800</v>
      </c>
      <c r="J1542" s="5" t="n">
        <v>274.4</v>
      </c>
      <c r="K1542" s="3" t="inlineStr">
        <is>
          <t>조치원 서북부지구 아파트 앞 중심상권 토지</t>
        </is>
      </c>
      <c r="L1542" s="6">
        <f>HYPERLINK("https://fin.land.naver.com/articles/2650856619",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375000</v>
      </c>
      <c r="G1543" s="4" t="n">
        <v>828</v>
      </c>
      <c r="H1543" s="4" t="n">
        <v>250</v>
      </c>
      <c r="I1543" s="5" t="n">
        <v>1500</v>
      </c>
      <c r="J1543" s="5" t="n">
        <v>274.4</v>
      </c>
      <c r="K1543" s="3" t="inlineStr">
        <is>
          <t>준주거 대지</t>
        </is>
      </c>
      <c r="L1543" s="6">
        <f>HYPERLINK("https://fin.land.naver.com/articles/2649750743",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세종몽땅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조치원 버스터미널 바로 옆 일반상업지역 위치 최고 대지 매매</t>
        </is>
      </c>
      <c r="L1545" s="6">
        <f>HYPERLINK("https://fin.land.naver.com/articles/2650923519",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나침반</t>
        </is>
      </c>
      <c r="P1545" s="4" t="n">
        <v>2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상리 일반상업지역 매매 대지 입니다</t>
        </is>
      </c>
      <c r="L1547" s="6">
        <f>HYPERLINK("https://fin.land.naver.com/articles/2653068453",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상희</t>
        </is>
      </c>
      <c r="P1547" s="4" t="n">
        <v>1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85000</v>
      </c>
      <c r="G1551" s="4" t="n">
        <v>620</v>
      </c>
      <c r="H1551" s="4" t="n">
        <v>188</v>
      </c>
      <c r="I1551" s="5" t="n">
        <v>452.1</v>
      </c>
      <c r="J1551" s="5" t="n">
        <v>178.5</v>
      </c>
      <c r="K1551" s="3" t="inlineStr">
        <is>
          <t>서창리 2종일반주거,2차선접 코너 나대지 토지 급매</t>
        </is>
      </c>
      <c r="L1551" s="6">
        <f>HYPERLINK("https://fin.land.naver.com/articles/2649393495",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광장</t>
        </is>
      </c>
      <c r="P1551" s="4" t="n">
        <v>2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nan</t>
        </is>
      </c>
      <c r="L1552" s="6">
        <f>HYPERLINK("https://fin.land.naver.com/articles/2649067843",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번암주공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84960</v>
      </c>
      <c r="G1554" s="4" t="n">
        <v>620</v>
      </c>
      <c r="H1554" s="4" t="n">
        <v>188</v>
      </c>
      <c r="I1554" s="5" t="n">
        <v>451.9</v>
      </c>
      <c r="J1554" s="5" t="n">
        <v>178.5</v>
      </c>
      <c r="K1554" s="3" t="inlineStr">
        <is>
          <t>세종시 조치원읍 서창리 토지 급매 고려대,세종여고옆 제2종주거620㎡급매</t>
        </is>
      </c>
      <c r="L1554" s="6">
        <f>HYPERLINK("https://fin.land.naver.com/articles/2650379617",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세종</t>
        </is>
      </c>
      <c r="P1554" s="4" t="n">
        <v>3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근생부지로 좋은 고려대학교 인근 3거리 코너 각지에 있는 준주거지역 대지</t>
        </is>
      </c>
      <c r="L1557" s="6">
        <f>HYPERLINK("https://fin.land.naver.com/articles/2652409745",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스마일세종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준주거지역 추천매물 고대 정문근처</t>
        </is>
      </c>
      <c r="L1558" s="6">
        <f>HYPERLINK("https://fin.land.naver.com/articles/2648069706",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김준희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180000</v>
      </c>
      <c r="G1568" s="4" t="n">
        <v>2921</v>
      </c>
      <c r="H1568" s="4" t="n">
        <v>884</v>
      </c>
      <c r="I1568" s="5" t="n">
        <v>203.6</v>
      </c>
      <c r="J1568" s="5" t="n">
        <v>59.7</v>
      </c>
      <c r="K1568" s="3" t="inlineStr">
        <is>
          <t>3필지 일괄매매</t>
        </is>
      </c>
      <c r="L1568" s="6">
        <f>HYPERLINK("https://fin.land.naver.com/articles/2652420151",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오송좋은날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 생활권 평탄 대형부지 소형창고 차량보관시설 검토</t>
        </is>
      </c>
      <c r="L1569" s="6">
        <f>HYPERLINK("https://fin.land.naver.com/articles/2650423353",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세종소담황금</t>
        </is>
      </c>
      <c r="P1569" s="4" t="n">
        <v>1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조치원읍서창리 대규모부지 및 도로포함 3필지 일괄매매, 미래가치투자최적지</t>
        </is>
      </c>
      <c r="L1570" s="6">
        <f>HYPERLINK("https://fin.land.naver.com/articles/2650921528",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이화</t>
        </is>
      </c>
      <c r="P1570" s="4" t="n">
        <v>3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150000</v>
      </c>
      <c r="G1571" s="4" t="n">
        <v>2921</v>
      </c>
      <c r="H1571" s="4" t="n">
        <v>884</v>
      </c>
      <c r="I1571" s="5" t="n">
        <v>169.7</v>
      </c>
      <c r="J1571" s="5" t="n">
        <v>59.7</v>
      </c>
      <c r="K1571" s="3" t="inlineStr">
        <is>
          <t>토지급매 조치원역 인근 대규모 부지 정비소, 세차장, 요양원 추천</t>
        </is>
      </c>
      <c r="L1571" s="6">
        <f>HYPERLINK("https://fin.land.naver.com/articles/2652108627",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다모아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932</v>
      </c>
      <c r="H1584" s="4" t="n">
        <v>282</v>
      </c>
      <c r="I1584" s="5" t="n">
        <v>425.5</v>
      </c>
      <c r="J1584" s="5" t="n">
        <v>72.2</v>
      </c>
      <c r="K1584" s="3" t="inlineStr">
        <is>
          <t>3면 포장도로 접함 이편한세상 984세대 인접 공영주차장이용가능</t>
        </is>
      </c>
      <c r="L1584" s="6">
        <f>HYPERLINK("https://fin.land.naver.com/articles/2649618845",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그래그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1256</v>
      </c>
      <c r="H1585" s="4" t="n">
        <v>380</v>
      </c>
      <c r="I1585" s="5" t="n">
        <v>315.8</v>
      </c>
      <c r="J1585" s="5" t="n">
        <v>72.2</v>
      </c>
      <c r="K1585" s="3" t="inlineStr">
        <is>
          <t>신안리 이편한세상 아파트 초인접, 3면 포장도로 접한 음식점,커피숍</t>
        </is>
      </c>
      <c r="L1585" s="6">
        <f>HYPERLINK("https://fin.land.naver.com/articles/2650955165",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세종나라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추천. 조치원 신흥사거리 대지</t>
        </is>
      </c>
      <c r="L1593" s="6">
        <f>HYPERLINK("https://fin.land.naver.com/articles/2649193837",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투자가치가 높은 세종시 조치원읍 신흥리 토지</t>
        </is>
      </c>
      <c r="L1594" s="6">
        <f>HYPERLINK("https://fin.land.naver.com/articles/2648407574",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비전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도도리파크, 문화예술회관 맞은편 토지</t>
        </is>
      </c>
      <c r="L1615" s="6">
        <f>HYPERLINK("https://fin.land.naver.com/articles/2648317472",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KB세종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제1종일반주거지역, 코너토지,조치원하이마트,예술회관,조치원복컴등 인근위치</t>
        </is>
      </c>
      <c r="L1616" s="6">
        <f>HYPERLINK("https://fin.land.naver.com/articles/2650636285",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세종일조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남향토지,도로지분포함,조치원 시장 도보5분거리 위치,</t>
        </is>
      </c>
      <c r="L1626" s="6">
        <f>HYPERLINK("https://fin.land.naver.com/articles/2652137848",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담뜰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8미터도로연접, 다가구부지 추천매매</t>
        </is>
      </c>
      <c r="L1627" s="6">
        <f>HYPERLINK("https://fin.land.naver.com/articles/2653056560",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Home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 토지매매, 사거리 코너 입지</t>
        </is>
      </c>
      <c r="L1631" s="6">
        <f>HYPERLINK("https://fin.land.naver.com/articles/2648137252",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명진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단독주택, 사거리 코너 입지</t>
        </is>
      </c>
      <c r="L1633" s="6">
        <f>HYPERLINK("https://fin.land.naver.com/articles/2652843192",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최고위치 코너각지 공원뷰 삼성천뷰</t>
        </is>
      </c>
      <c r="L1634" s="6">
        <f>HYPERLINK("https://fin.land.naver.com/articles/2650366745",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코너각지 위치한 토지매매, 공원과 삼성천 뷰 가능</t>
        </is>
      </c>
      <c r="L1635" s="6">
        <f>HYPERLINK("https://fin.land.naver.com/articles/2649592856",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세종무지개</t>
        </is>
      </c>
      <c r="P1635" s="4" t="n">
        <v>1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277</v>
      </c>
      <c r="H1646" s="4" t="n">
        <v>84</v>
      </c>
      <c r="I1646" s="5" t="n">
        <v>494</v>
      </c>
      <c r="J1646" s="5" t="n">
        <v>314.9</v>
      </c>
      <c r="K1646" s="3" t="inlineStr">
        <is>
          <t>급매, 84.1p, 삼거리 코너, 상가와 공원 인근</t>
        </is>
      </c>
      <c r="L1646" s="6">
        <f>HYPERLINK("https://fin.land.naver.com/articles/2648349468",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명진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275</v>
      </c>
      <c r="H1647" s="4" t="n">
        <v>83</v>
      </c>
      <c r="I1647" s="5" t="n">
        <v>500</v>
      </c>
      <c r="J1647" s="5" t="n">
        <v>314.9</v>
      </c>
      <c r="K1647" s="3" t="inlineStr">
        <is>
          <t>급매, 총 84.1p, 삼거리 코너 토지</t>
        </is>
      </c>
      <c r="L1647" s="6">
        <f>HYPERLINK("https://fin.land.naver.com/articles/2652841509",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단독주택 토지, 학군인접</t>
        </is>
      </c>
      <c r="L1650" s="6">
        <f>HYPERLINK("https://fin.land.naver.com/articles/2652841375",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세종무지개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62000</v>
      </c>
      <c r="G1651" s="4" t="n">
        <v>394</v>
      </c>
      <c r="H1651" s="4" t="n">
        <v>119</v>
      </c>
      <c r="I1651" s="5" t="n">
        <v>521</v>
      </c>
      <c r="J1651" s="5" t="n">
        <v>314.9</v>
      </c>
      <c r="K1651" s="3" t="inlineStr">
        <is>
          <t>총 119.7p, 대형면적 단독주택토지, 한솔초.중.고 인접</t>
        </is>
      </c>
      <c r="L1651" s="6">
        <f>HYPERLINK("https://fin.land.naver.com/articles/2648349379",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59500</v>
      </c>
      <c r="G1652" s="4" t="n">
        <v>395</v>
      </c>
      <c r="H1652" s="4" t="n">
        <v>119</v>
      </c>
      <c r="I1652" s="5" t="n">
        <v>500</v>
      </c>
      <c r="J1652" s="5" t="n">
        <v>314.9</v>
      </c>
      <c r="K1652" s="3" t="inlineStr">
        <is>
          <t>넓은평형 평단가 저렴한택지 추가조율가능</t>
        </is>
      </c>
      <c r="L1652" s="6">
        <f>HYPERLINK("https://fin.land.naver.com/articles/2652410227",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95.4p, 삼거리코너 맞은편, 새뜸1단지 앞 단독주택 토지</t>
        </is>
      </c>
      <c r="L1662" s="6">
        <f>HYPERLINK("https://fin.land.naver.com/articles/2649004548",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조건 파격조율가능 도심속전원 시내 시외 진출입편리 이곳은 엘도라도입니다</t>
        </is>
      </c>
      <c r="L1663" s="6">
        <f>HYPERLINK("https://fin.land.naver.com/articles/2648082909",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세종시삼성래미안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삼거리 코너입지, 한솔동 단독주택지</t>
        </is>
      </c>
      <c r="L1664" s="6">
        <f>HYPERLINK("https://fin.land.naver.com/articles/2650427968",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세종무지개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한솔동 단독주택 토지매매</t>
        </is>
      </c>
      <c r="L1666" s="6">
        <f>HYPERLINK("https://fin.land.naver.com/articles/2650427036",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세종무지개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총 94p, 한솔동 단독주택지 토지</t>
        </is>
      </c>
      <c r="L1667" s="6">
        <f>HYPERLINK("https://fin.land.naver.com/articles/2648901069",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명진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넓은 평형 토지매매, 한솔동</t>
        </is>
      </c>
      <c r="L1669" s="6">
        <f>HYPERLINK("https://fin.land.naver.com/articles/2650427381",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총 123.4p, 새뜸1단지 맞은편</t>
        </is>
      </c>
      <c r="L1670" s="6">
        <f>HYPERLINK("https://fin.land.naver.com/articles/2648127460",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101p.단독택지.1분거리.학원.마트.초중고.5분.단독주택.전원주택.추천</t>
        </is>
      </c>
      <c r="L1673" s="6">
        <f>HYPERLINK("https://fin.land.naver.com/articles/2649858793",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원</t>
        </is>
      </c>
      <c r="P1673" s="4" t="n">
        <v>1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급매 한솔동단독택지매매 가격조정가능</t>
        </is>
      </c>
      <c r="L1674" s="6">
        <f>HYPERLINK("https://fin.land.naver.com/articles/2651877033",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고운동리치세종</t>
        </is>
      </c>
      <c r="P1674" s="4" t="n">
        <v>2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인기지역 D2 땅모양좋음 조율가능</t>
        </is>
      </c>
      <c r="L1677" s="6">
        <f>HYPERLINK("https://fin.land.naver.com/articles/2650653609",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세종스타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네모 반듯한 예쁜 토지 매매, 입지 굿</t>
        </is>
      </c>
      <c r="L1678" s="6">
        <f>HYPERLINK("https://fin.land.naver.com/articles/2650893847",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세종무지개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총 99.8p, 조율가능, 네모반듯한 남향 예쁜 토지</t>
        </is>
      </c>
      <c r="L1679" s="6">
        <f>HYPERLINK("https://fin.land.naver.com/articles/2651947606",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명진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급매, 한솔동 단독주택지 가격 좋은 토지</t>
        </is>
      </c>
      <c r="L1681" s="6">
        <f>HYPERLINK("https://fin.land.naver.com/articles/2651773518",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 한솔동d2 최저가 조율가능</t>
        </is>
      </c>
      <c r="L1682" s="6">
        <f>HYPERLINK("https://fin.land.naver.com/articles/2652208025",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세종스타</t>
        </is>
      </c>
      <c r="P1682" s="4" t="n">
        <v>2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352</v>
      </c>
      <c r="H1683" s="4" t="n">
        <v>106</v>
      </c>
      <c r="I1683" s="5" t="n">
        <v>754.7</v>
      </c>
      <c r="J1683" s="5" t="n">
        <v>403</v>
      </c>
      <c r="K1683" s="3" t="inlineStr">
        <is>
          <t>공원 인근, 조용한고 편리한 단독주택지 토지매매</t>
        </is>
      </c>
      <c r="L1683" s="6">
        <f>HYPERLINK("https://fin.land.naver.com/articles/2650427090",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353</v>
      </c>
      <c r="H1684" s="4" t="n">
        <v>107</v>
      </c>
      <c r="I1684" s="5" t="n">
        <v>747.7</v>
      </c>
      <c r="J1684" s="5" t="n">
        <v>403</v>
      </c>
      <c r="K1684" s="3" t="inlineStr">
        <is>
          <t>세종시 한솔동 도심속 전원주택부지 매매</t>
        </is>
      </c>
      <c r="L1684" s="6">
        <f>HYPERLINK("https://fin.land.naver.com/articles/2651763249",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전원</t>
        </is>
      </c>
      <c r="P1684" s="4" t="n">
        <v>2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2026-10-06T00:07:29Z</dcterms:created>
  <dcterms:modified xsi:type="dcterms:W3CDTF">2026-10-06T00:07:37Z</dcterms:modified>
</cp:coreProperties>
</file>