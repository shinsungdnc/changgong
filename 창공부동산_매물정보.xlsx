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4048</v>
      </c>
      <c r="H20" s="5" t="n">
        <v>129.9</v>
      </c>
      <c r="I20" s="5" t="n">
        <v>6.3</v>
      </c>
      <c r="J20" s="3" t="inlineStr">
        <is>
          <t>nan</t>
        </is>
      </c>
      <c r="K20" s="6">
        <f>HYPERLINK("https://fin.land.naver.com/articles/2644493804",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좋은선택</t>
        </is>
      </c>
      <c r="O20" s="4" t="n">
        <v>1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865</v>
      </c>
      <c r="H53" s="5" t="n">
        <v>161.8</v>
      </c>
      <c r="I53" s="5" t="n">
        <v>37.3</v>
      </c>
      <c r="J53" s="3" t="inlineStr">
        <is>
          <t>급매 2차선코너도로 접함 시세이하</t>
        </is>
      </c>
      <c r="K53" s="6">
        <f>HYPERLINK("https://fin.land.naver.com/articles/2646405947",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플러스태양</t>
        </is>
      </c>
      <c r="O53" s="4" t="n">
        <v>2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866</v>
      </c>
      <c r="H54" s="5" t="n">
        <v>219.4</v>
      </c>
      <c r="I54" s="5" t="n">
        <v>37.3</v>
      </c>
      <c r="J54" s="3" t="inlineStr">
        <is>
          <t>nan</t>
        </is>
      </c>
      <c r="K54" s="6">
        <f>HYPERLINK("https://fin.land.naver.com/articles/2648142281",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G세계로무소</t>
        </is>
      </c>
      <c r="O54" s="4" t="n">
        <v>1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1230</v>
      </c>
      <c r="H58" s="5" t="n">
        <v>109.8</v>
      </c>
      <c r="I58" s="5" t="n">
        <v>57.8</v>
      </c>
      <c r="J58" s="3" t="inlineStr">
        <is>
          <t>위치  태성삼거리 부근  전망좋음</t>
        </is>
      </c>
      <c r="K58" s="6">
        <f>HYPERLINK("https://fin.land.naver.com/articles/2643706222",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1251</v>
      </c>
      <c r="H59" s="5" t="n">
        <v>119.9</v>
      </c>
      <c r="I59" s="5" t="n">
        <v>57.8</v>
      </c>
      <c r="J59" s="3" t="inlineStr">
        <is>
          <t>사진有.제조업소허가 득. 토목공사완료.분할매매가능.</t>
        </is>
      </c>
      <c r="K59" s="6">
        <f>HYPERLINK("https://fin.land.naver.com/articles/2648349271",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오너스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미호천 제방공사 후 지가상승 예상</t>
        </is>
      </c>
      <c r="K100" s="6">
        <f>HYPERLINK("https://fin.land.naver.com/articles/2643682448",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조은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오송근교 오송역ktx역, 국가오송3단지 차량 5분거리 미호강부근</t>
        </is>
      </c>
      <c r="K101" s="6">
        <f>HYPERLINK("https://fin.land.naver.com/articles/2645932689",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-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238</v>
      </c>
      <c r="H121" s="5" t="n">
        <v>95</v>
      </c>
      <c r="I121" s="5" t="n">
        <v>41.7</v>
      </c>
      <c r="J121" s="3" t="inlineStr">
        <is>
          <t>오송 강내 산업배후 계획관리 대지 승용차 진입 가능</t>
        </is>
      </c>
      <c r="K121" s="6">
        <f>HYPERLINK("https://fin.land.naver.com/articles/2642729441",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세종소담황금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238</v>
      </c>
      <c r="H123" s="5" t="n">
        <v>92.40000000000001</v>
      </c>
      <c r="I123" s="5" t="n">
        <v>41.7</v>
      </c>
      <c r="J123" s="3" t="inlineStr">
        <is>
          <t>정남향 도로접한  계획관리.성장관리지역 알토란 토지,다용도 사용가능</t>
        </is>
      </c>
      <c r="K123" s="6">
        <f>HYPERLINK("https://fin.land.naver.com/articles/2646114275",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고운맘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631</v>
      </c>
      <c r="H161" s="5" t="n">
        <v>158.5</v>
      </c>
      <c r="I161" s="5" t="n">
        <v>40.1</v>
      </c>
      <c r="J161" s="3" t="inlineStr">
        <is>
          <t>강내산업단지 맞은편 최고 요지, 공장, 물류센터, 근린생활시설 추천</t>
        </is>
      </c>
      <c r="K161" s="6">
        <f>HYPERLINK("https://fin.land.naver.com/articles/2644001019",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청주모충사모1/2LH트릴로채명성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631</v>
      </c>
      <c r="H162" s="5" t="n">
        <v>179.7</v>
      </c>
      <c r="I162" s="5" t="n">
        <v>40.1</v>
      </c>
      <c r="J162" s="3" t="inlineStr">
        <is>
          <t>강내산업단지 맞은편 최고 요지,공장,물류센터,근린시설 강추</t>
        </is>
      </c>
      <c r="K162" s="6">
        <f>HYPERLINK("https://fin.land.naver.com/articles/2645890475",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청주모충주공사모1·2재개발명성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상가인근 토지</t>
        </is>
      </c>
      <c r="K196" s="6">
        <f>HYPERLINK("https://fin.land.naver.com/articles/2642684187",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세종무지개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총 96.9p, 길가 코너자리, 정남향</t>
        </is>
      </c>
      <c r="K197" s="6">
        <f>HYPERLINK("https://fin.land.naver.com/articles/2648182149",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명진</t>
        </is>
      </c>
      <c r="O197" s="4" t="n">
        <v>1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위치좋은코너자리 학군 상권이용편리</t>
        </is>
      </c>
      <c r="K198" s="6">
        <f>HYPERLINK("https://fin.land.naver.com/articles/2645688824",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세종시토지</t>
        </is>
      </c>
      <c r="O198" s="4" t="n">
        <v>3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nan</t>
        </is>
      </c>
      <c r="K200" s="6">
        <f>HYPERLINK("https://fin.land.naver.com/articles/2642857897",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디아트성심</t>
        </is>
      </c>
      <c r="O200" s="4" t="n">
        <v>1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103</v>
      </c>
      <c r="H208" s="5" t="n">
        <v>501</v>
      </c>
      <c r="I208" s="5" t="n">
        <v>330.5</v>
      </c>
      <c r="J208" s="3" t="inlineStr">
        <is>
          <t>nan</t>
        </is>
      </c>
      <c r="K208" s="6">
        <f>HYPERLINK("https://fin.land.naver.com/articles/2642859021",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디아트성심</t>
        </is>
      </c>
      <c r="O208" s="4" t="n">
        <v>2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103</v>
      </c>
      <c r="H209" s="5" t="n">
        <v>500</v>
      </c>
      <c r="I209" s="5" t="n">
        <v>330.5</v>
      </c>
      <c r="J209" s="3" t="inlineStr">
        <is>
          <t>nan</t>
        </is>
      </c>
      <c r="K209" s="6">
        <f>HYPERLINK("https://fin.land.naver.com/articles/2645685694",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세종시토지</t>
        </is>
      </c>
      <c r="O209" s="4" t="n">
        <v>1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입지좋은단독택지학군상권이용편리공원바로옆위치</t>
        </is>
      </c>
      <c r="K210" s="6">
        <f>HYPERLINK("https://fin.land.naver.com/articles/2645684375",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세종시토지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공원과 주차장 옆으로 입지 좋은 고운동 단독주택지</t>
        </is>
      </c>
      <c r="K211" s="6">
        <f>HYPERLINK("https://fin.land.naver.com/articles/2645253248",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세종무지개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고운동 입지 좋은 단독주택 매매, 공원 근처</t>
        </is>
      </c>
      <c r="K212" s="6">
        <f>HYPERLINK("https://fin.land.naver.com/articles/2645677232",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명진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사거리 코너 각지 위치, 입지 좋은 토지매매</t>
        </is>
      </c>
      <c r="K213" s="6">
        <f>HYPERLINK("https://fin.land.naver.com/articles/2645384320",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고운동 사거리 코너 각지 위치한 토지매매</t>
        </is>
      </c>
      <c r="K214" s="6">
        <f>HYPERLINK("https://fin.land.naver.com/articles/2645493520",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명진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급매위치좋은코너자리고운동학교 상권 이용편리</t>
        </is>
      </c>
      <c r="K215" s="6">
        <f>HYPERLINK("https://fin.land.naver.com/articles/2645686722",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세종시토지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학교 인근 입지 좋은 토지, 사거리 코너</t>
        </is>
      </c>
      <c r="K218" s="6">
        <f>HYPERLINK("https://fin.land.naver.com/articles/2645622582",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명진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사거리 코너, 입지 좋은 토지, 3면 각지, 전원주택지 토지매매</t>
        </is>
      </c>
      <c r="K219" s="6">
        <f>HYPERLINK("https://fin.land.naver.com/articles/2645252887",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세종무지개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109.6p, 유.초등학교인근, 고등학교 인근</t>
        </is>
      </c>
      <c r="K223" s="6">
        <f>HYPERLINK("https://fin.land.naver.com/articles/2642684096",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세종무지개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전용 109.6P, 두루고등학교앞, 단독주택지</t>
        </is>
      </c>
      <c r="K225" s="6">
        <f>HYPERLINK("https://fin.land.naver.com/articles/2642867878",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명진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104</v>
      </c>
      <c r="H226" s="5" t="n">
        <v>576.9</v>
      </c>
      <c r="I226" s="5" t="n">
        <v>304.8</v>
      </c>
      <c r="J226" s="3" t="inlineStr">
        <is>
          <t>nan</t>
        </is>
      </c>
      <c r="K226" s="6">
        <f>HYPERLINK("https://fin.land.naver.com/articles/2642861741",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디아트성심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고운동 단독주택지 매매, 두루고 인근, 위치 추천</t>
        </is>
      </c>
      <c r="K228" s="6">
        <f>HYPERLINK("https://fin.land.naver.com/articles/2645492772",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명진</t>
        </is>
      </c>
      <c r="O228" s="4" t="n">
        <v>1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삼거리 코너, 토지매매, 실개천 인근</t>
        </is>
      </c>
      <c r="K240" s="6">
        <f>HYPERLINK("https://fin.land.naver.com/articles/2645493319",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명진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코너각지, 실개천 주변으로 입지 좋은 토지매매</t>
        </is>
      </c>
      <c r="K241" s="6">
        <f>HYPERLINK("https://fin.land.naver.com/articles/2645342528",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세종무지개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총 106.3p, 공원바로 옆, 도로인접 위치 좋은 전원주택지</t>
        </is>
      </c>
      <c r="K245" s="6">
        <f>HYPERLINK("https://fin.land.naver.com/articles/2642872883",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명진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106.3p, 실개천 앞, 공원인근</t>
        </is>
      </c>
      <c r="K246" s="6">
        <f>HYPERLINK("https://fin.land.naver.com/articles/2644185931",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세종무지개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위치좋고 저렴한 단독주택 용지 추천드립니다</t>
        </is>
      </c>
      <c r="K249" s="6">
        <f>HYPERLINK("https://fin.land.naver.com/articles/2644677580",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골드클래스</t>
        </is>
      </c>
      <c r="O249" s="4" t="n">
        <v>2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고운동 생활인프라 좋은 위치 토지매매</t>
        </is>
      </c>
      <c r="K252" s="6">
        <f>HYPERLINK("https://fin.land.naver.com/articles/2645495836",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명진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위치 좋은 단독주택지, 공원인근</t>
        </is>
      </c>
      <c r="K253" s="6">
        <f>HYPERLINK("https://fin.land.naver.com/articles/2646692190",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세종무지개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삼거리 코너 위치 토지매매</t>
        </is>
      </c>
      <c r="K255" s="6">
        <f>HYPERLINK("https://fin.land.naver.com/articles/2647421174",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명진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실개천 가깝고 코너각지 위치 좋은 단독주택지, 조정가능</t>
        </is>
      </c>
      <c r="K256" s="6">
        <f>HYPERLINK("https://fin.land.naver.com/articles/2643579906",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온뜰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106.8p, 실개천 근처, 위치 좋은 토지, 공원 인근</t>
        </is>
      </c>
      <c r="K258" s="6">
        <f>HYPERLINK("https://fin.land.naver.com/articles/2644482432",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세종무지개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급매 추가조율가능 남향 코너각지</t>
        </is>
      </c>
      <c r="K260" s="6">
        <f>HYPERLINK("https://fin.land.naver.com/articles/2644917611",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세종스타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nan</t>
        </is>
      </c>
      <c r="K262" s="6">
        <f>HYPERLINK("https://fin.land.naver.com/articles/2642862601",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디아트성심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105.7p, 편의시설 가까운 입지 좋은 토지</t>
        </is>
      </c>
      <c r="K265" s="6">
        <f>HYPERLINK("https://fin.land.naver.com/articles/2644189435",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세종무지개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주택에 정원 설계가 용이한 토지 모양, 편의시설 가까워 생활편리</t>
        </is>
      </c>
      <c r="K266" s="6">
        <f>HYPERLINK("https://fin.land.naver.com/articles/2643579139",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온뜰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HYPERLINK("https://fin.land.naver.com/articles/2642864232",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디아트성심</t>
        </is>
      </c>
      <c r="O277" s="4" t="n">
        <v>1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nan</t>
        </is>
      </c>
      <c r="K278" s="6">
        <f>HYPERLINK("https://fin.land.naver.com/articles/2642868325",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명진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HYPERLINK("https://fin.land.naver.com/articles/2647149019",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세종스타</t>
        </is>
      </c>
      <c r="O279" s="4" t="n">
        <v>3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총 119.9p, 상가인근토지, 삼거리 위치</t>
        </is>
      </c>
      <c r="K280" s="6">
        <f>HYPERLINK("https://fin.land.naver.com/articles/2646696906",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세종무지개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급매,복합커뮤니티센터,중심상권,학군도보가능 생활권 편리</t>
        </is>
      </c>
      <c r="K281" s="6">
        <f>HYPERLINK("https://fin.land.naver.com/articles/2644708794",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고운맘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108.1p, 급매, 고운동 위치좋은 토지매매</t>
        </is>
      </c>
      <c r="K284" s="6">
        <f>HYPERLINK("https://fin.land.naver.com/articles/2645492644",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명진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급매, 위치좋은 토지매매, 108.1p</t>
        </is>
      </c>
      <c r="K285" s="6">
        <f>HYPERLINK("https://fin.land.naver.com/articles/2646692779",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세종무지개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105.5p, 공원 옆 전망 좋은 단독주택 토지 매매</t>
        </is>
      </c>
      <c r="K292" s="6">
        <f>HYPERLINK("https://fin.land.naver.com/articles/2648127338",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명진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총 105.5p, 공원 앞, 위치좋은 토지</t>
        </is>
      </c>
      <c r="K293" s="6">
        <f>HYPERLINK("https://fin.land.naver.com/articles/2646693588",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세종무지개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106</v>
      </c>
      <c r="H298" s="5" t="n">
        <v>566</v>
      </c>
      <c r="I298" s="5" t="n">
        <v>297.1</v>
      </c>
      <c r="J298" s="3" t="inlineStr">
        <is>
          <t>학교, 먹자골목 가까운 코너각지 단독주택부지</t>
        </is>
      </c>
      <c r="K298" s="6">
        <f>HYPERLINK("https://fin.land.naver.com/articles/2643610943",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온뜰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106</v>
      </c>
      <c r="H299" s="5" t="n">
        <v>650</v>
      </c>
      <c r="I299" s="5" t="n">
        <v>297.1</v>
      </c>
      <c r="J299" s="3" t="inlineStr">
        <is>
          <t>106.1p, 아파트 맞은편, 상가 인접</t>
        </is>
      </c>
      <c r="K299" s="6">
        <f>HYPERLINK("https://fin.land.naver.com/articles/2642889449",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명진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급매 고운동 주택 시범단지</t>
        </is>
      </c>
      <c r="K301" s="6">
        <f>HYPERLINK("https://fin.land.naver.com/articles/2643876275",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명동</t>
        </is>
      </c>
      <c r="O301" s="4" t="n">
        <v>2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저렴하게 나온 매물 , 예쁜집 지을수 있는 토지 . 쌀때 사서 집지으세요</t>
        </is>
      </c>
      <c r="K302" s="6">
        <f>HYPERLINK("https://fin.land.naver.com/articles/2647139766",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세종특별시</t>
        </is>
      </c>
      <c r="O302" s="4" t="n">
        <v>1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101</v>
      </c>
      <c r="H309" s="5" t="n">
        <v>495</v>
      </c>
      <c r="I309" s="5" t="n">
        <v>308.7</v>
      </c>
      <c r="J309" s="3" t="inlineStr">
        <is>
          <t>급매,막힘없는 코너각지,주민센터 및 항아리중심상권</t>
        </is>
      </c>
      <c r="K309" s="6">
        <f>HYPERLINK("https://fin.land.naver.com/articles/2644714013",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고운맘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 코너각지 상권 학교 가까움 추가조율가능</t>
        </is>
      </c>
      <c r="K310" s="6">
        <f>HYPERLINK("https://fin.land.naver.com/articles/2645634927",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세종스타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52000</v>
      </c>
      <c r="G311" s="4" t="n">
        <v>101</v>
      </c>
      <c r="H311" s="5" t="n">
        <v>514.9</v>
      </c>
      <c r="I311" s="5" t="n">
        <v>308.7</v>
      </c>
      <c r="J311" s="3" t="inlineStr">
        <is>
          <t>코너각지에 보행자도로 접하고 남향으로 반듯한 단독주택부지, 가격조정 가능</t>
        </is>
      </c>
      <c r="K311" s="6">
        <f>HYPERLINK("https://fin.land.naver.com/articles/2643557280",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온뜰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104</v>
      </c>
      <c r="H318" s="5" t="n">
        <v>980</v>
      </c>
      <c r="I318" s="5" t="n">
        <v>297.2</v>
      </c>
      <c r="J318" s="3" t="inlineStr">
        <is>
          <t>고운동 1종 전용주거지역 단독주택지 매매,정남향,뻥뷰</t>
        </is>
      </c>
      <c r="K318" s="6">
        <f>HYPERLINK("https://fin.land.naver.com/articles/2644745174",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천재원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91000</v>
      </c>
      <c r="G320" s="4" t="n">
        <v>104</v>
      </c>
      <c r="H320" s="5" t="n">
        <v>875</v>
      </c>
      <c r="I320" s="5" t="n">
        <v>297.2</v>
      </c>
      <c r="J320" s="3" t="inlineStr">
        <is>
          <t>도로 접한 남향 주택 건축하기좋은 면적과 모양</t>
        </is>
      </c>
      <c r="K320" s="6">
        <f>HYPERLINK("https://fin.land.naver.com/articles/2644527861",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학하랜드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186</v>
      </c>
      <c r="H325" s="5" t="n">
        <v>2600</v>
      </c>
      <c r="I325" s="5" t="n">
        <v>1021.2</v>
      </c>
      <c r="J325" s="3" t="inlineStr">
        <is>
          <t>세종 행복도시 상업지역 내 귀한 토지</t>
        </is>
      </c>
      <c r="K325" s="6">
        <f>HYPERLINK("https://fin.land.naver.com/articles/2644435616",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수자인시티</t>
        </is>
      </c>
      <c r="O325" s="4" t="n">
        <v>2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186</v>
      </c>
      <c r="H326" s="5" t="n">
        <v>2900</v>
      </c>
      <c r="I326" s="5" t="n">
        <v>1021.2</v>
      </c>
      <c r="J326" s="3" t="inlineStr">
        <is>
          <t>세종시 고운동 상업지역 토지 매매</t>
        </is>
      </c>
      <c r="K326" s="6">
        <f>HYPERLINK("https://fin.land.naver.com/articles/2643424136",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행복가득한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고운동 일반상업지 시립도서 다이소본점 옆 건축, 투자용 나대지 매매</t>
        </is>
      </c>
      <c r="K327" s="6">
        <f>HYPERLINK("https://fin.land.naver.com/articles/2647454080",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나침반</t>
        </is>
      </c>
      <c r="O327" s="4" t="n">
        <v>4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186</v>
      </c>
      <c r="H328" s="5" t="n">
        <v>2903.2</v>
      </c>
      <c r="I328" s="5" t="n">
        <v>1021.2</v>
      </c>
      <c r="J328" s="3" t="inlineStr">
        <is>
          <t>귀한 상업지 토지, 병원,근생, 주요도로 접근성유리 ,향후 상권활성화</t>
        </is>
      </c>
      <c r="K328" s="6">
        <f>HYPERLINK("https://fin.land.naver.com/articles/2646054776",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세종특별시</t>
        </is>
      </c>
      <c r="O328" s="4" t="n">
        <v>1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전용 120.9p, 파크힐즈 단독주택 토지 매매</t>
        </is>
      </c>
      <c r="K332" s="6">
        <f>HYPERLINK("https://fin.land.naver.com/articles/2644494734",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세종무지개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총 120.9p, 파크힐즈 단독주택 토지, 네모반듯</t>
        </is>
      </c>
      <c r="K333" s="6">
        <f>HYPERLINK("https://fin.land.naver.com/articles/2648152800",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명진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생명나무,리안비체힐즈 타운하우스 부지</t>
        </is>
      </c>
      <c r="K341" s="6">
        <f>HYPERLINK("https://fin.land.naver.com/articles/2644319204",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생명나무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118.8p, 비안비채힐즈 블록형 타운하우스 단독주택 토지매매</t>
        </is>
      </c>
      <c r="K342" s="6">
        <f>HYPERLINK("https://fin.land.naver.com/articles/2644217186",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세종무지개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총 118.8p, 리안비체힐즈 단독주택 토지매매</t>
        </is>
      </c>
      <c r="K343" s="6">
        <f>HYPERLINK("https://fin.land.naver.com/articles/2642875815",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명진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세종시 블록형 리안비채힐즈 단독택지</t>
        </is>
      </c>
      <c r="K344" s="6">
        <f>HYPERLINK("https://fin.land.naver.com/articles/2645276002",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부엉이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108</v>
      </c>
      <c r="H350" s="5" t="n">
        <v>648.1</v>
      </c>
      <c r="I350" s="5" t="n">
        <v>357.7</v>
      </c>
      <c r="J350" s="3" t="inlineStr">
        <is>
          <t>108.3p, 노블테라스 토지매매, 분양가 이하</t>
        </is>
      </c>
      <c r="K350" s="6">
        <f>HYPERLINK("https://fin.land.naver.com/articles/2644480765",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세종무지개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108</v>
      </c>
      <c r="H352" s="5" t="n">
        <v>555.6</v>
      </c>
      <c r="I352" s="5" t="n">
        <v>357.7</v>
      </c>
      <c r="J352" s="3" t="inlineStr">
        <is>
          <t>108.3p, 노블테라스, 단독주택 토지매매</t>
        </is>
      </c>
      <c r="K352" s="6">
        <f>HYPERLINK("https://fin.land.naver.com/articles/2644480955",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세종무지개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급매,고운동 최상의 고급택지 타운하우스,저렴한 단독주택지</t>
        </is>
      </c>
      <c r="K355" s="6">
        <f>HYPERLINK("https://fin.land.naver.com/articles/2646658111",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고운맘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고운동한옥마을 근생용지 도로변인접 노출이 잘되는 입지</t>
        </is>
      </c>
      <c r="K361" s="6">
        <f>HYPERLINK("https://fin.land.naver.com/articles/2646125291",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고운동리치세종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한옥마을  귀한 근생 용지 .   커피숍 ,식당 등추천, 주변 아파트밀집</t>
        </is>
      </c>
      <c r="K362" s="6">
        <f>HYPERLINK("https://fin.land.naver.com/articles/2644461299",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세종특별시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96.1p, 한옥마을 근생토지, 위치 좋고 노출 좋은 토지</t>
        </is>
      </c>
      <c r="K363" s="6">
        <f>HYPERLINK("https://fin.land.naver.com/articles/2644186844",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세종무지개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급매 남서향 타운하우스  A타입 단독주택지</t>
        </is>
      </c>
      <c r="K374" s="6">
        <f>HYPERLINK("https://fin.land.naver.com/articles/2647319640",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SD</t>
        </is>
      </c>
      <c r="O374" s="4" t="n">
        <v>1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고운동 코지빌 택지</t>
        </is>
      </c>
      <c r="K375" s="6">
        <f>HYPERLINK("https://fin.land.naver.com/articles/2644547904",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강아지풀</t>
        </is>
      </c>
      <c r="O375" s="4" t="n">
        <v>2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88</v>
      </c>
      <c r="H380" s="5" t="n">
        <v>500</v>
      </c>
      <c r="I380" s="5" t="n">
        <v>319.6</v>
      </c>
      <c r="J380" s="3" t="inlineStr">
        <is>
          <t>코지빌 토지매매, 공원 옆, 앞쪽 입지 좋은 토지</t>
        </is>
      </c>
      <c r="K380" s="6">
        <f>HYPERLINK("https://fin.land.naver.com/articles/2645385552",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세종무지개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nan</t>
        </is>
      </c>
      <c r="K381" s="6">
        <f>HYPERLINK("https://fin.land.naver.com/articles/2644701452",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고운동리치세종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87</v>
      </c>
      <c r="H382" s="5" t="n">
        <v>505.7</v>
      </c>
      <c r="I382" s="5" t="n">
        <v>319.6</v>
      </c>
      <c r="J382" s="3" t="inlineStr">
        <is>
          <t>급매, 코지빌 단독주택지 토지매매</t>
        </is>
      </c>
      <c r="K382" s="6">
        <f>HYPERLINK("https://fin.land.naver.com/articles/2645493715",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명진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104</v>
      </c>
      <c r="H388" s="5" t="n">
        <v>548.1</v>
      </c>
      <c r="I388" s="5" t="n">
        <v>315.1</v>
      </c>
      <c r="J388" s="3" t="inlineStr">
        <is>
          <t>고운동아파트옆으로 생활하기 편리 학군상권가까움</t>
        </is>
      </c>
      <c r="K388" s="6">
        <f>HYPERLINK("https://fin.land.naver.com/articles/2645690159",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세종시토지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아파트 단지 바로 옆, 생활 인프라 좋은 토지매매</t>
        </is>
      </c>
      <c r="K389" s="6">
        <f>HYPERLINK("https://fin.land.naver.com/articles/2647421682",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명진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고운동 인프라 활용편한 단독주택지, 입지 좋은 토지</t>
        </is>
      </c>
      <c r="K390" s="6">
        <f>HYPERLINK("https://fin.land.naver.com/articles/2647427194",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세종무지개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104</v>
      </c>
      <c r="H391" s="5" t="n">
        <v>500</v>
      </c>
      <c r="I391" s="5" t="n">
        <v>315.1</v>
      </c>
      <c r="J391" s="3" t="inlineStr">
        <is>
          <t>급매,넓은평수,복합커뮤니티센터,항아리중심상권 생활권 편리</t>
        </is>
      </c>
      <c r="K391" s="6">
        <f>HYPERLINK("https://fin.land.naver.com/articles/2644946431",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고운맘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106.85p, 고운동 공원인근</t>
        </is>
      </c>
      <c r="K393" s="6">
        <f>HYPERLINK("https://fin.land.naver.com/articles/2642822639",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세종무지개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106.8p, 아파트단지 바로 옆, 고운동 단독주택</t>
        </is>
      </c>
      <c r="K394" s="6">
        <f>HYPERLINK("https://fin.land.naver.com/articles/2642883852",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명진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111.2p, 최대 조율가능한 대형평형 토지매매</t>
        </is>
      </c>
      <c r="K403" s="6">
        <f>HYPERLINK("https://fin.land.naver.com/articles/2647426014",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세종무지개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고운동 단독주택지, 최대 조율가능, 입지 좋은 넓은 평형</t>
        </is>
      </c>
      <c r="K406" s="6">
        <f>HYPERLINK("https://fin.land.naver.com/articles/2647421229",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명진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195</v>
      </c>
      <c r="H420" s="5" t="n">
        <v>348.7</v>
      </c>
      <c r="I420" s="5" t="n">
        <v>278</v>
      </c>
      <c r="J420" s="3" t="inlineStr">
        <is>
          <t>급매매 큰땅입니다</t>
        </is>
      </c>
      <c r="K420" s="6">
        <f>HYPERLINK("https://fin.land.naver.com/articles/2648362434",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킹세종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조용한 단독주택지, 정남향</t>
        </is>
      </c>
      <c r="K421" s="6">
        <f>HYPERLINK("https://fin.land.naver.com/articles/2646690725",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세종무지개</t>
        </is>
      </c>
      <c r="O421" s="4" t="n">
        <v>1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급매 정남향 넓은 시유지접함 조율가능</t>
        </is>
      </c>
      <c r="K422" s="6">
        <f>HYPERLINK("https://fin.land.naver.com/articles/2645721062",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세종스타</t>
        </is>
      </c>
      <c r="O422" s="4" t="n">
        <v>2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다정동 저렴한 단독주택지 매매</t>
        </is>
      </c>
      <c r="K426" s="6">
        <f>HYPERLINK("https://fin.land.naver.com/articles/2646694984",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세종무지개</t>
        </is>
      </c>
      <c r="O426" s="4" t="n">
        <v>1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저렴한급매매 다정동단독주택지</t>
        </is>
      </c>
      <c r="K428" s="6">
        <f>HYPERLINK("https://fin.land.naver.com/articles/2647775804",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새롬스마트</t>
        </is>
      </c>
      <c r="O428" s="4" t="n">
        <v>2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조용한 단독주택지,급매</t>
        </is>
      </c>
      <c r="K430" s="6">
        <f>HYPERLINK("https://fin.land.naver.com/articles/2642703875",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세종금주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조율가능 편의시설옆 건축하기 좋은 모양</t>
        </is>
      </c>
      <c r="K431" s="6">
        <f>HYPERLINK("https://fin.land.naver.com/articles/2644917555",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세종스타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111</v>
      </c>
      <c r="H433" s="5" t="n">
        <v>603.6</v>
      </c>
      <c r="I433" s="5" t="n">
        <v>341.2</v>
      </c>
      <c r="J433" s="3" t="inlineStr">
        <is>
          <t>111.8p, 삼거리 코너, 정남향, 다정동 단독주택 토지매매</t>
        </is>
      </c>
      <c r="K433" s="6">
        <f>HYPERLINK("https://fin.land.naver.com/articles/2648138253",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명진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112</v>
      </c>
      <c r="H434" s="5" t="n">
        <v>598.2</v>
      </c>
      <c r="I434" s="5" t="n">
        <v>341.2</v>
      </c>
      <c r="J434" s="3" t="inlineStr">
        <is>
          <t>다정동 단독주택토지, 코너입지, 111.8p</t>
        </is>
      </c>
      <c r="K434" s="6">
        <f>HYPERLINK("https://fin.land.naver.com/articles/2646692103",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세종무지개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111</v>
      </c>
      <c r="H435" s="5" t="n">
        <v>747.7</v>
      </c>
      <c r="I435" s="5" t="n">
        <v>326</v>
      </c>
      <c r="J435" s="3" t="inlineStr">
        <is>
          <t>다정동 조용한 위치 단독주택 매매, 코너위치</t>
        </is>
      </c>
      <c r="K435" s="6">
        <f>HYPERLINK("https://fin.land.naver.com/articles/2644479943",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세종무지개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111</v>
      </c>
      <c r="H436" s="5" t="n">
        <v>753.4</v>
      </c>
      <c r="I436" s="5" t="n">
        <v>326</v>
      </c>
      <c r="J436" s="3" t="inlineStr">
        <is>
          <t>코너자리 위치 좋음, 넓은토지</t>
        </is>
      </c>
      <c r="K436" s="6">
        <f>HYPERLINK("https://fin.land.naver.com/articles/2648152245",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명진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90</v>
      </c>
      <c r="H440" s="5" t="n">
        <v>611.1</v>
      </c>
      <c r="I440" s="5" t="n">
        <v>304.6</v>
      </c>
      <c r="J440" s="3" t="inlineStr">
        <is>
          <t>단독주택 부지  착한 매매가로 추천드립니다.</t>
        </is>
      </c>
      <c r="K440" s="6">
        <f>HYPERLINK("https://fin.land.naver.com/articles/2648168344",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세종가온채</t>
        </is>
      </c>
      <c r="O440" s="4" t="n">
        <v>2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새솔유치원인근, 가운데 토지</t>
        </is>
      </c>
      <c r="K453" s="6">
        <f>HYPERLINK("https://fin.land.naver.com/articles/2642870078",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명진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유치원 인근 다정동 토지매매</t>
        </is>
      </c>
      <c r="K454" s="6">
        <f>HYPERLINK("https://fin.land.naver.com/articles/2642896059",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세종무지개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58000</v>
      </c>
      <c r="G456" s="4" t="n">
        <v>95</v>
      </c>
      <c r="H456" s="5" t="n">
        <v>610.5</v>
      </c>
      <c r="I456" s="5" t="n">
        <v>318.9</v>
      </c>
      <c r="J456" s="3" t="inlineStr">
        <is>
          <t>nan</t>
        </is>
      </c>
      <c r="K456" s="6">
        <f>HYPERLINK("https://fin.land.naver.com/articles/2647198512",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디아트성심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코너자리로입지최고  가격조정가능</t>
        </is>
      </c>
      <c r="K463" s="6">
        <f>HYPERLINK("https://fin.land.naver.com/articles/2648500416",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고운동리치세종</t>
        </is>
      </c>
      <c r="O463" s="4" t="n">
        <v>4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다정동 코너 위치한 근생 토지매매, 조율가능, 입지 최고</t>
        </is>
      </c>
      <c r="K464" s="6">
        <f>HYPERLINK("https://fin.land.naver.com/articles/2644187138",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세종무지개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총 194.2p, 코너자리, 다정동 위치좋은 근생토지</t>
        </is>
      </c>
      <c r="K465" s="6">
        <f>HYPERLINK("https://fin.land.naver.com/articles/2646747500",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명진</t>
        </is>
      </c>
      <c r="O465" s="4" t="n">
        <v>1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근생용지,코너각지땅으로 대단지 아파트초인근임</t>
        </is>
      </c>
      <c r="K467" s="6">
        <f>HYPERLINK("https://fin.land.naver.com/articles/2643615665",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세종대명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코너 입지한 근린생활용지 토지 매매, 위치 좋음</t>
        </is>
      </c>
      <c r="K468" s="6">
        <f>HYPERLINK("https://fin.land.naver.com/articles/2644482916",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세종무지개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100p, 도담동 말발굽토지, 왼쪽 사거리 코너자리</t>
        </is>
      </c>
      <c r="K470" s="6">
        <f>HYPERLINK("https://fin.land.naver.com/articles/2647429203",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세종무지개</t>
        </is>
      </c>
      <c r="O470" s="4" t="n">
        <v>1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말발굽 정남향 귀한 토지, 조율가능</t>
        </is>
      </c>
      <c r="K473" s="6">
        <f>HYPERLINK("https://fin.land.naver.com/articles/2645666141",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명진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99.1p, 도담동 말발굽 토지, 공원 보행로 접해 있음</t>
        </is>
      </c>
      <c r="K474" s="6">
        <f>HYPERLINK("https://fin.land.naver.com/articles/2647428982",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세종무지개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급매진행 조율최대가능  도담동 말발급주택지 원수산아래 넓은 녹지공간</t>
        </is>
      </c>
      <c r="K476" s="6">
        <f>HYPERLINK("https://fin.land.naver.com/articles/2647649226",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홍기표</t>
        </is>
      </c>
      <c r="O476" s="4" t="n">
        <v>3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총 92.1p, 말발굽 최고입지, 넓은 공원 인근</t>
        </is>
      </c>
      <c r="K477" s="6">
        <f>HYPERLINK("https://fin.land.naver.com/articles/2647421924",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명진</t>
        </is>
      </c>
      <c r="O477" s="4" t="n">
        <v>1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도담동 말발굽토지 매매, 공원 인근, 선호도 높은 토지</t>
        </is>
      </c>
      <c r="K478" s="6">
        <f>HYPERLINK("https://fin.land.naver.com/articles/2644185791",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세종무지개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102.1p, 코너자리, 말발굽 좋은위치, 조율가능</t>
        </is>
      </c>
      <c r="K479" s="6">
        <f>HYPERLINK("https://fin.land.naver.com/articles/2642873289",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명진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조율가능 반원호내 좋은위치</t>
        </is>
      </c>
      <c r="K480" s="6">
        <f>HYPERLINK("https://fin.land.naver.com/articles/2646901119",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세종스타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0강추,초급매, 추천매물,도담동 말발굽지,공원가깝고  학교유지원인접</t>
        </is>
      </c>
      <c r="K482" s="6">
        <f>HYPERLINK("https://fin.land.naver.com/articles/2648012598",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세종산울랜드마크</t>
        </is>
      </c>
      <c r="O482" s="4" t="n">
        <v>2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96.9p, 유.초등학교 인근, 삼거리 입지 좋은 토지</t>
        </is>
      </c>
      <c r="K483" s="6">
        <f>HYPERLINK("https://fin.land.naver.com/articles/2642878590",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세종무지개</t>
        </is>
      </c>
      <c r="O483" s="4" t="n">
        <v>1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양지초 양지유치원 정문 건너편 최선호 위치 주변시세보다 저렴 추천매물</t>
        </is>
      </c>
      <c r="K484" s="6">
        <f>HYPERLINK("https://fin.land.naver.com/articles/2644917658",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세종스타</t>
        </is>
      </c>
      <c r="O484" s="4" t="n">
        <v>2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99.9p, 도담동 말발굽택지 중 급매</t>
        </is>
      </c>
      <c r="K485" s="6">
        <f>HYPERLINK("https://fin.land.naver.com/articles/2642876207",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명진</t>
        </is>
      </c>
      <c r="O485" s="4" t="n">
        <v>1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급매, 도담동 위치좋은 주택지, 충대병원 , BRT정류장 인접, 가격조율</t>
        </is>
      </c>
      <c r="K497" s="6">
        <f>HYPERLINK("https://fin.land.naver.com/articles/2647176392",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OK세종</t>
        </is>
      </c>
      <c r="O497" s="4" t="n">
        <v>3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아파트 단지 옆, 삼거리 코너</t>
        </is>
      </c>
      <c r="K498" s="6">
        <f>HYPERLINK("https://fin.land.naver.com/articles/2646696077",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세종무지개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삼거리 코너 입지, 도담동 단독주택 매매</t>
        </is>
      </c>
      <c r="K502" s="6">
        <f>HYPERLINK("https://fin.land.naver.com/articles/2648260035",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명진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도담동 입지 좋은 단독주택지 토지매매</t>
        </is>
      </c>
      <c r="K503" s="6">
        <f>HYPERLINK("https://fin.land.naver.com/articles/2648297361",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세종무지개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2단지 단독주택지 앞 상가용 토지.가격 최대조율,연락 주세요.</t>
        </is>
      </c>
      <c r="K504" s="6">
        <f>HYPERLINK("https://fin.land.naver.com/articles/2646521378",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다정현대</t>
        </is>
      </c>
      <c r="O504" s="4" t="n">
        <v>2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도담동근생용지 주변입지좋아요. 가격조정가능</t>
        </is>
      </c>
      <c r="K505" s="6">
        <f>HYPERLINK("https://fin.land.naver.com/articles/2644107996",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고운동리치세종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입지 좋은 도담동 근린생활용지 토지 매매, 대로변</t>
        </is>
      </c>
      <c r="K506" s="6">
        <f>HYPERLINK("https://fin.land.naver.com/articles/2644184324",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세종무지개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입지우수한 근생 용지 부지, 매매의사 확실,가격조율가능</t>
        </is>
      </c>
      <c r="K507" s="6">
        <f>HYPERLINK("https://fin.land.naver.com/articles/2647797836",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짱</t>
        </is>
      </c>
      <c r="O507" s="4" t="n">
        <v>1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전원주택지로 최고의 입지와 3면이 좋은 택지입니다.</t>
        </is>
      </c>
      <c r="K510" s="6">
        <f>HYPERLINK("https://fin.land.naver.com/articles/2647269438",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사계절</t>
        </is>
      </c>
      <c r="O510" s="4" t="n">
        <v>3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89.5p, 사거리 코너 입지, 위치 굿, 단지 바로 앞</t>
        </is>
      </c>
      <c r="K511" s="6">
        <f>HYPERLINK("https://fin.land.naver.com/articles/2648188284",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명진</t>
        </is>
      </c>
      <c r="O511" s="4" t="n">
        <v>1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입지 좋은 도담동 단독주택 토지매매</t>
        </is>
      </c>
      <c r="K512" s="6">
        <f>HYPERLINK("https://fin.land.naver.com/articles/2644187455",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세종무지개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코너 유치원 홈플러스 늘봄초인근 조율가능</t>
        </is>
      </c>
      <c r="K515" s="6">
        <f>HYPERLINK("https://fin.land.naver.com/articles/2643775344",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세종스타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도담동 생활권 입지 좋은 단독주택지 매매</t>
        </is>
      </c>
      <c r="K517" s="6">
        <f>HYPERLINK("https://fin.land.naver.com/articles/2647429882",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세종무지개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총 103.7p, 정남향, 충대병원 홈플러스 인근</t>
        </is>
      </c>
      <c r="K518" s="6">
        <f>HYPERLINK("https://fin.land.naver.com/articles/2647422061",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명진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103.7p, 단지 맞은편, 유치원 인근</t>
        </is>
      </c>
      <c r="K519" s="6">
        <f>HYPERLINK("https://fin.land.naver.com/articles/2642859928",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세종무지개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96.6P, 도담동 아파트단지 인근 단독주택지</t>
        </is>
      </c>
      <c r="K521" s="6">
        <f>HYPERLINK("https://fin.land.naver.com/articles/2642873699",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명진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정남향, 단지 맞은편, 가운데 입지</t>
        </is>
      </c>
      <c r="K522" s="6">
        <f>HYPERLINK("https://fin.land.naver.com/articles/2642683909",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세종무지개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70000</v>
      </c>
      <c r="G525" s="4" t="n">
        <v>95</v>
      </c>
      <c r="H525" s="5" t="n">
        <v>736.8</v>
      </c>
      <c r="I525" s="5" t="n">
        <v>391.1</v>
      </c>
      <c r="J525" s="3" t="inlineStr">
        <is>
          <t>강추매물, 가격좋은 토지, 홈플인접</t>
        </is>
      </c>
      <c r="K525" s="6">
        <f>HYPERLINK("https://fin.land.naver.com/articles/2643975473",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사이다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95</v>
      </c>
      <c r="H526" s="5" t="n">
        <v>947.4</v>
      </c>
      <c r="I526" s="5" t="n">
        <v>391.1</v>
      </c>
      <c r="J526" s="3" t="inlineStr">
        <is>
          <t>95.7p, 도담동 홈플러스인근, 단독주택 토지매매</t>
        </is>
      </c>
      <c r="K526" s="6">
        <f>HYPERLINK("https://fin.land.naver.com/articles/2642911893",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명진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135</v>
      </c>
      <c r="H535" s="5" t="n">
        <v>592.6</v>
      </c>
      <c r="I535" s="5" t="n">
        <v>308</v>
      </c>
      <c r="J535" s="3" t="inlineStr">
        <is>
          <t>135p, 넓은 단독주택 토지매매, 공원앞, 입지 굿</t>
        </is>
      </c>
      <c r="K535" s="6">
        <f>HYPERLINK("https://fin.land.naver.com/articles/2647421791",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명진</t>
        </is>
      </c>
      <c r="O535" s="4" t="n">
        <v>1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135</v>
      </c>
      <c r="H537" s="5" t="n">
        <v>481.5</v>
      </c>
      <c r="I537" s="5" t="n">
        <v>308</v>
      </c>
      <c r="J537" s="3" t="inlineStr">
        <is>
          <t>가격조율가능,코너각지,최고자리</t>
        </is>
      </c>
      <c r="K537" s="6">
        <f>HYPERLINK("https://fin.land.naver.com/articles/2648355485",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늘푸른</t>
        </is>
      </c>
      <c r="O537" s="4" t="n">
        <v>2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명성공인, 전용186.64, 근생용지 추천 매물</t>
        </is>
      </c>
      <c r="K543" s="6">
        <f>HYPERLINK("https://fin.land.naver.com/articles/2646317246",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명성</t>
        </is>
      </c>
      <c r="O543" s="4" t="n">
        <v>1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nan</t>
        </is>
      </c>
      <c r="K544" s="6">
        <f>HYPERLINK("https://fin.land.naver.com/articles/2644433409",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국제</t>
        </is>
      </c>
      <c r="O544" s="4" t="n">
        <v>2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시유지접한 코너각지 조용한위치 조율가능</t>
        </is>
      </c>
      <c r="K549" s="6">
        <f>HYPERLINK("https://fin.land.naver.com/articles/2644917557",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세종스타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위치좋은 지대높은 토지, 97.2p, 시유지 40p 사용가능</t>
        </is>
      </c>
      <c r="K550" s="6">
        <f>HYPERLINK("https://fin.land.naver.com/articles/2645253146",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세종무지개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 산조망 조용한곳 땅모양 네모반듯</t>
        </is>
      </c>
      <c r="K552" s="6">
        <f>HYPERLINK("https://fin.land.naver.com/articles/2643971813",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세종스타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조율가능, 산조망 가능, 귀한 토지매매</t>
        </is>
      </c>
      <c r="K553" s="6">
        <f>HYPERLINK("https://fin.land.naver.com/articles/2643457154",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세종무지개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4200 남청주ic 5분 공장용지 물류센터 창고</t>
        </is>
      </c>
      <c r="K562" s="6">
        <f>HYPERLINK("https://fin.land.naver.com/articles/2645059549",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반포더드림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남청주 ic 5분, 2차선에서 진입가능한 공장부지</t>
        </is>
      </c>
      <c r="K563" s="6">
        <f>HYPERLINK("https://fin.land.naver.com/articles/2643685783",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토담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382</v>
      </c>
      <c r="H585" s="5" t="n">
        <v>65.40000000000001</v>
      </c>
      <c r="I585" s="5" t="n">
        <v>5.2</v>
      </c>
      <c r="J585" s="3" t="inlineStr">
        <is>
          <t>즉시 신축 가능 매매 급매물 상.하수도 전기 기반공사 완료돼있고 건축허가</t>
        </is>
      </c>
      <c r="K585" s="6">
        <f>HYPERLINK("https://fin.land.naver.com/articles/2648082259",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세종시삼성래미안</t>
        </is>
      </c>
      <c r="O585" s="4" t="n">
        <v>1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326</v>
      </c>
      <c r="H586" s="5" t="n">
        <v>76.7</v>
      </c>
      <c r="I586" s="5" t="n">
        <v>5.2</v>
      </c>
      <c r="J586" s="3" t="inlineStr">
        <is>
          <t>부강면 금호리 개발된 보전관리 임야, 급매, 건축허가 필요</t>
        </is>
      </c>
      <c r="K586" s="6">
        <f>HYPERLINK("https://fin.land.naver.com/articles/2647581115",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스카이</t>
        </is>
      </c>
      <c r="O586" s="4" t="n">
        <v>3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320</v>
      </c>
      <c r="H591" s="5" t="n">
        <v>500</v>
      </c>
      <c r="I591" s="5" t="n">
        <v>53.4</v>
      </c>
      <c r="J591" s="3" t="inlineStr">
        <is>
          <t>현재 전으로 사용중 두필지 전원주택분양 좋음, 사업용사용가능창고,사옥공장</t>
        </is>
      </c>
      <c r="K591" s="6">
        <f>HYPERLINK("https://fin.land.naver.com/articles/2644590995",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원내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160</v>
      </c>
      <c r="H592" s="5" t="n">
        <v>375</v>
      </c>
      <c r="I592" s="5" t="n">
        <v>53.4</v>
      </c>
      <c r="J592" s="3" t="inlineStr">
        <is>
          <t>부강면 계획관리 토지. 남청주IC 10분중반소요.옆 토지와 같이매매가능</t>
        </is>
      </c>
      <c r="K592" s="6">
        <f>HYPERLINK("https://fin.land.naver.com/articles/2647166173",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구암양지</t>
        </is>
      </c>
      <c r="O592" s="4" t="n">
        <v>2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320</v>
      </c>
      <c r="H593" s="5" t="n">
        <v>350</v>
      </c>
      <c r="I593" s="5" t="n">
        <v>53.4</v>
      </c>
      <c r="J593" s="3" t="inlineStr">
        <is>
          <t>금강 조망 가능한 도로접 계획관리 전원형 토지</t>
        </is>
      </c>
      <c r="K593" s="6">
        <f>HYPERLINK("https://fin.land.naver.com/articles/2642724364",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세종소담황금</t>
        </is>
      </c>
      <c r="O593" s="4" t="n">
        <v>1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남청주IC 자동차로 약17분거리10km</t>
        </is>
      </c>
      <c r="K604" s="6">
        <f>HYPERLINK("https://fin.land.naver.com/articles/2648088822",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지장고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1199</v>
      </c>
      <c r="H615" s="5" t="n">
        <v>60.1</v>
      </c>
      <c r="I615" s="5" t="n">
        <v>25.8</v>
      </c>
      <c r="J615" s="3" t="inlineStr">
        <is>
          <t>부강면 노호리 도로접한 토지매매.</t>
        </is>
      </c>
      <c r="K615" s="6">
        <f>HYPERLINK("https://fin.land.naver.com/articles/2647631268",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방서에이스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71930</v>
      </c>
      <c r="G617" s="4" t="n">
        <v>1199</v>
      </c>
      <c r="H617" s="5" t="n">
        <v>60</v>
      </c>
      <c r="I617" s="5" t="n">
        <v>25.8</v>
      </c>
      <c r="J617" s="3" t="inlineStr">
        <is>
          <t>매포역 인근 금강 변, 국도 인접 생산관리지역, 개발호재 많은 투자 물건</t>
        </is>
      </c>
      <c r="K617" s="6">
        <f>HYPERLINK("https://fin.land.naver.com/articles/2643890318",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오송3산단  사무소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1186</v>
      </c>
      <c r="H618" s="5" t="n">
        <v>60</v>
      </c>
      <c r="I618" s="5" t="n">
        <v>25.8</v>
      </c>
      <c r="J618" s="3" t="inlineStr">
        <is>
          <t>부강 매포역에서 차량 3분 마을 인접, 전원주택, 세컨하우스 수요많음</t>
        </is>
      </c>
      <c r="K618" s="6">
        <f>HYPERLINK("https://fin.land.naver.com/articles/2642992582",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114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292</v>
      </c>
      <c r="H631" s="5" t="n">
        <v>109.6</v>
      </c>
      <c r="I631" s="5" t="n">
        <v>36.1</v>
      </c>
      <c r="J631" s="3" t="inlineStr">
        <is>
          <t>부강면 문곡리 2차선 도로옆 토지, 세레니티cc 진입로, 건축가능</t>
        </is>
      </c>
      <c r="K631" s="6">
        <f>HYPERLINK("https://fin.land.naver.com/articles/2647851904",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스카이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549</v>
      </c>
      <c r="H643" s="5" t="n">
        <v>85.59999999999999</v>
      </c>
      <c r="I643" s="5" t="n">
        <v>25.9</v>
      </c>
      <c r="J643" s="3" t="inlineStr">
        <is>
          <t>세종시 부강면 문곡리  토지 매매</t>
        </is>
      </c>
      <c r="K643" s="6">
        <f>HYPERLINK("https://fin.land.naver.com/articles/2647497030",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주식회사넥서스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전</t>
        </is>
      </c>
      <c r="E647" s="3" t="inlineStr">
        <is>
          <t>매매</t>
        </is>
      </c>
      <c r="F647" s="4" t="n">
        <v>136000</v>
      </c>
      <c r="G647" s="4" t="n">
        <v>1061</v>
      </c>
      <c r="H647" s="5" t="n">
        <v>128.2</v>
      </c>
      <c r="I647" s="5" t="n">
        <v>22.5</v>
      </c>
      <c r="J647" s="3" t="inlineStr">
        <is>
          <t>남청주IC 5분,  공장부지 용도</t>
        </is>
      </c>
      <c r="K647" s="6">
        <f>HYPERLINK("https://fin.land.naver.com/articles/2645438731",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미더스</t>
        </is>
      </c>
      <c r="O647" s="4" t="n">
        <v>2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부강면 나대지 매매, 부강역, 부강면사무소 인근, 근생 및 단독주택 건축</t>
        </is>
      </c>
      <c r="K661" s="6">
        <f>HYPERLINK("https://fin.land.naver.com/articles/2645576373",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스카이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1152</v>
      </c>
      <c r="H667" s="5" t="n">
        <v>300.3</v>
      </c>
      <c r="I667" s="5" t="n">
        <v>40.9</v>
      </c>
      <c r="J667" s="3" t="inlineStr">
        <is>
          <t>입지 좋은 접근성 최상의 토지, 대로 2류 착공 예정, 가격 상승 기대</t>
        </is>
      </c>
      <c r="K667" s="6">
        <f>HYPERLINK("https://fin.land.naver.com/articles/2644671934",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행복한무소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계획관리지역으로 전과 대로 이뤄진 2필지 급매</t>
        </is>
      </c>
      <c r="K686" s="6">
        <f>HYPERLINK("https://fin.land.naver.com/articles/2645640836",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세종대장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대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 대지 전 매매</t>
        </is>
      </c>
      <c r="K687" s="6">
        <f>HYPERLINK("https://fin.land.naver.com/articles/2646598391",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진성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390000</v>
      </c>
      <c r="G690" s="4" t="n">
        <v>2427</v>
      </c>
      <c r="H690" s="5" t="n">
        <v>160.7</v>
      </c>
      <c r="I690" s="5" t="n">
        <v>41.2</v>
      </c>
      <c r="J690" s="3" t="inlineStr">
        <is>
          <t>공장 및 창고용지로 추천합니다</t>
        </is>
      </c>
      <c r="K690" s="6">
        <f>HYPERLINK("https://fin.land.naver.com/articles/2643477856",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526000</v>
      </c>
      <c r="G691" s="4" t="n">
        <v>3555</v>
      </c>
      <c r="H691" s="5" t="n">
        <v>148</v>
      </c>
      <c r="I691" s="5" t="n">
        <v>41.2</v>
      </c>
      <c r="J691" s="3" t="inlineStr">
        <is>
          <t>세종시 부근에서 공장부지로 최상</t>
        </is>
      </c>
      <c r="K691" s="6">
        <f>HYPERLINK("https://fin.land.naver.com/articles/2646866931",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계획관리지역의 과수원으로 농촌 체류형 쉼터나 공방 및 전원주택지로 좋은</t>
        </is>
      </c>
      <c r="K699" s="6">
        <f>HYPERLINK("https://fin.land.naver.com/articles/2645376576",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스마일세종</t>
        </is>
      </c>
      <c r="O699" s="4" t="n">
        <v>2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385</v>
      </c>
      <c r="H700" s="5" t="n">
        <v>100</v>
      </c>
      <c r="I700" s="5" t="n">
        <v>24.8</v>
      </c>
      <c r="J700" s="3" t="inlineStr">
        <is>
          <t>감나무 블루베리 등이 식재되어 5생활권 5분거리 과수원</t>
        </is>
      </c>
      <c r="K700" s="6">
        <f>HYPERLINK("https://fin.land.naver.com/articles/2646808438",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지성</t>
        </is>
      </c>
      <c r="O700" s="4" t="n">
        <v>1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236</v>
      </c>
      <c r="H701" s="5" t="n">
        <v>100</v>
      </c>
      <c r="I701" s="5" t="n">
        <v>24.8</v>
      </c>
      <c r="J701" s="3" t="inlineStr">
        <is>
          <t>급매,도로접한 계획관리지역,다용도 사용목적 가능,투자용 추천</t>
        </is>
      </c>
      <c r="K701" s="6">
        <f>HYPERLINK("https://fin.land.naver.com/articles/2643007979",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고운맘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매매가 할인2,200만원 대토농지</t>
        </is>
      </c>
      <c r="K705" s="6">
        <f>HYPERLINK("https://fin.land.naver.com/articles/2644414062",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로데오상가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대토농지로 추천</t>
        </is>
      </c>
      <c r="K706" s="6">
        <f>HYPERLINK("https://fin.land.naver.com/articles/2646383096",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담뜰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129000</v>
      </c>
      <c r="G708" s="4" t="n">
        <v>2356</v>
      </c>
      <c r="H708" s="5" t="n">
        <v>54.8</v>
      </c>
      <c r="I708" s="5" t="n">
        <v>18.3</v>
      </c>
      <c r="J708" s="3" t="inlineStr">
        <is>
          <t>부강면 행산리 2차선 도로에 접한 투자용 토지 급매물입니다</t>
        </is>
      </c>
      <c r="K708" s="6">
        <f>HYPERLINK("https://fin.land.naver.com/articles/2646113557",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스마일세종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2356</v>
      </c>
      <c r="H709" s="5" t="n">
        <v>59.8</v>
      </c>
      <c r="I709" s="5" t="n">
        <v>18.3</v>
      </c>
      <c r="J709" s="3" t="inlineStr">
        <is>
          <t>2차선 도로 인접 토지 매매</t>
        </is>
      </c>
      <c r="K709" s="6">
        <f>HYPERLINK("https://fin.land.naver.com/articles/2647502475",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주식회사넥서스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농업인주택 및 경작용 토지매매</t>
        </is>
      </c>
      <c r="K711" s="6">
        <f>HYPERLINK("https://fin.land.naver.com/articles/2646698782",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광장</t>
        </is>
      </c>
      <c r="O711" s="4" t="n">
        <v>1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2차선변 위치,마을인접,토지바로앞에 버스정류장 있어요</t>
        </is>
      </c>
      <c r="K712" s="6">
        <f>HYPERLINK("https://fin.land.naver.com/articles/2646799670",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가치잇는</t>
        </is>
      </c>
      <c r="O712" s="4" t="n">
        <v>5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총 108.9p, 사거리코너 위치좋은 입지</t>
        </is>
      </c>
      <c r="K721" s="6">
        <f>HYPERLINK("https://fin.land.naver.com/articles/2647422006",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명진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108.9p, 사거리 코너자리, 아름동 최고입지</t>
        </is>
      </c>
      <c r="K722" s="6">
        <f>HYPERLINK("https://fin.land.naver.com/articles/2642687414",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세종무지개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급매 추가조율가능 입지좋은 충대병원인근</t>
        </is>
      </c>
      <c r="K727" s="6">
        <f>HYPERLINK("https://fin.land.naver.com/articles/2648040028",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세종스타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97.6p, 충대병원 인근 토지 급매, 조율도가능</t>
        </is>
      </c>
      <c r="K728" s="6">
        <f>HYPERLINK("https://fin.land.naver.com/articles/2647420786",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명진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조용한 단독주택지, 공원 인근, 높은 지대</t>
        </is>
      </c>
      <c r="K731" s="6">
        <f>HYPERLINK("https://fin.land.naver.com/articles/2645653281",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명진</t>
        </is>
      </c>
      <c r="O731" s="4" t="n">
        <v>1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야산을 품은 아름동 단독주택지</t>
        </is>
      </c>
      <c r="K732" s="6">
        <f>HYPERLINK("https://fin.land.naver.com/articles/2647620395",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킹세종</t>
        </is>
      </c>
      <c r="O732" s="4" t="n">
        <v>2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충대병원, 약국추천자리, 근생토지, 대로변 노출 좋은 자리</t>
        </is>
      </c>
      <c r="K733" s="6">
        <f>HYPERLINK("https://fin.land.naver.com/articles/2645549673",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세종무지개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대로변 코너 노출 좋은 입지좋은 근생 토지 매매</t>
        </is>
      </c>
      <c r="K734" s="6">
        <f>HYPERLINK("https://fin.land.naver.com/articles/2645544961",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명진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96</v>
      </c>
      <c r="H738" s="5" t="n">
        <v>1562.5</v>
      </c>
      <c r="I738" s="5" t="n">
        <v>724</v>
      </c>
      <c r="J738" s="3" t="inlineStr">
        <is>
          <t>96.1p, 근생용지, 도로변 위치 굿, 건축허가완료</t>
        </is>
      </c>
      <c r="K738" s="6">
        <f>HYPERLINK("https://fin.land.naver.com/articles/2647421008",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명진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사거리 코너입지 최고, 조율도 가능</t>
        </is>
      </c>
      <c r="K740" s="6">
        <f>HYPERLINK("https://fin.land.naver.com/articles/2642823541",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세종무지개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총 109.3p, 사거리코너자리, 충대병원 인접 토지</t>
        </is>
      </c>
      <c r="K741" s="6">
        <f>HYPERLINK("https://fin.land.naver.com/articles/2648139112",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명진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급매 아름동학원가, 상권이용편리로얄택지, 금액조율가능, 추천매매</t>
        </is>
      </c>
      <c r="K748" s="6">
        <f>HYPERLINK("https://fin.land.naver.com/articles/2644302320",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한방</t>
        </is>
      </c>
      <c r="O748" s="4" t="n">
        <v>1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정남향 가운데 필지</t>
        </is>
      </c>
      <c r="K749" s="6">
        <f>HYPERLINK("https://fin.land.naver.com/articles/2648353843",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킹세종</t>
        </is>
      </c>
      <c r="O749" s="4" t="n">
        <v>3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총 103.7p, 아름동 삼거리 코너, 아파트 단지 근처</t>
        </is>
      </c>
      <c r="K752" s="6">
        <f>HYPERLINK("https://fin.land.naver.com/articles/2646696239",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세종무지개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103.7p, 삼거리 코너자리, 왼쪽 토지 활용도 높은 좋은 위치</t>
        </is>
      </c>
      <c r="K753" s="6">
        <f>HYPERLINK("https://fin.land.naver.com/articles/2642884113",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명진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총 91p, 삼거리코너, 아파트 단지 밑</t>
        </is>
      </c>
      <c r="K756" s="6">
        <f>HYPERLINK("https://fin.land.naver.com/articles/2646695404",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세종무지개</t>
        </is>
      </c>
      <c r="O756" s="4" t="n">
        <v>1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급매, 학교, 편의시설, 정부청사 가까워 생활편리, 보행도로접 코너각지</t>
        </is>
      </c>
      <c r="K757" s="6">
        <f>HYPERLINK("https://fin.land.naver.com/articles/2643579561",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온뜰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초중고 학군 좋고 근린공원 낀 인기 주택단지</t>
        </is>
      </c>
      <c r="K758" s="6">
        <f>HYPERLINK("https://fin.land.naver.com/articles/2646537172",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현대탑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홈플러스 도보5분거리,햇볕잘드는 양지바른땅,2면 도로인접</t>
        </is>
      </c>
      <c r="K759" s="6">
        <f>HYPERLINK("https://fin.land.naver.com/articles/2647948528",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보람최고</t>
        </is>
      </c>
      <c r="O759" s="4" t="n">
        <v>13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11단지 아파트 앞 단독주택지 토지.</t>
        </is>
      </c>
      <c r="K760" s="6">
        <f>HYPERLINK("https://fin.land.naver.com/articles/2646521764",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다정현대</t>
        </is>
      </c>
      <c r="O760" s="4" t="n">
        <v>2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 아름동학원가, 상권이용편리로얄택지, 금액조율가능, 추천매매</t>
        </is>
      </c>
      <c r="K761" s="6">
        <f>HYPERLINK("https://fin.land.naver.com/articles/2644133032",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한방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아름동 영무예다음아파트 앞에 위치,하루종일 햇볕 받을수 있는 곳,주택지</t>
        </is>
      </c>
      <c r="K762" s="6">
        <f>HYPERLINK("https://fin.land.naver.com/articles/2648233324",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어반통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D8중 최저가.네고 가능.초,중,고 가깝고,마트.교통까지 편리</t>
        </is>
      </c>
      <c r="K763" s="6">
        <f>HYPERLINK("https://fin.land.naver.com/articles/2644953939",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수자인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총 91p, 삼거리 코너, 단지 인접, 급매</t>
        </is>
      </c>
      <c r="K764" s="6">
        <f>HYPERLINK("https://fin.land.naver.com/articles/2648138484",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명진</t>
        </is>
      </c>
      <c r="O764" s="4" t="n">
        <v>1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92.1p, 초급매, 가격조율가능, 코너최고자리</t>
        </is>
      </c>
      <c r="K766" s="6">
        <f>HYPERLINK("https://fin.land.naver.com/articles/2642704822",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명진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92</v>
      </c>
      <c r="H767" s="5" t="n">
        <v>706.5</v>
      </c>
      <c r="I767" s="5" t="n">
        <v>352.4</v>
      </c>
      <c r="J767" s="3" t="inlineStr">
        <is>
          <t>추가조율 가능. 급매. 코너각지</t>
        </is>
      </c>
      <c r="K767" s="6">
        <f>HYPERLINK("https://fin.land.naver.com/articles/2644009563",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세종삼촌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아름동 최상의 택지,학군,상권,충남대병원 생활권 편리,밀마루전망대  인근</t>
        </is>
      </c>
      <c r="K768" s="6">
        <f>HYPERLINK("https://fin.land.naver.com/articles/2647931377",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고운맘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도심속 전원생활, 학교, 상권불편없는전원주택지</t>
        </is>
      </c>
      <c r="K770" s="6">
        <f>HYPERLINK("https://fin.land.naver.com/articles/2643872217",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명동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92.1p, 단지 바로 옆, 아름동 단독주택지</t>
        </is>
      </c>
      <c r="K771" s="6">
        <f>HYPERLINK("https://fin.land.naver.com/articles/2642865089",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명진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단독주택지.대지</t>
        </is>
      </c>
      <c r="K772" s="6">
        <f>HYPERLINK("https://fin.land.naver.com/articles/2644815011",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세종몽땅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접근성 좋은 아름동 택지</t>
        </is>
      </c>
      <c r="K773" s="6">
        <f>HYPERLINK("https://fin.land.naver.com/articles/2646824248",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강아지풀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데이터센터, 방송국 사옥부지, 조율가능, 정보통신업 추천</t>
        </is>
      </c>
      <c r="K776" s="6">
        <f>HYPERLINK("https://fin.land.naver.com/articles/2647424416",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세종무지개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방송통신용지 데이터센터 또는 방송관련 사옥으로 최적 가격조율가능</t>
        </is>
      </c>
      <c r="K777" s="6">
        <f>HYPERLINK("https://fin.land.naver.com/articles/2647087826",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뉴엘리트탑</t>
        </is>
      </c>
      <c r="O777" s="4" t="n">
        <v>2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151.5p, 데이터센터, 방송관련 사옥 추천, 조율가능, 입지좋은 토지</t>
        </is>
      </c>
      <c r="K778" s="6">
        <f>HYPERLINK("https://fin.land.naver.com/articles/2642886573",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명진</t>
        </is>
      </c>
      <c r="O778" s="4" t="n">
        <v>1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국제고 인근, 충대병원 가까운 아름동 단독주택 토지매매</t>
        </is>
      </c>
      <c r="K779" s="6">
        <f>HYPERLINK("https://fin.land.naver.com/articles/2646695052",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아름동 국제고 인근, 입지좋은 단독주택 토지매매</t>
        </is>
      </c>
      <c r="K780" s="6">
        <f>HYPERLINK("https://fin.land.naver.com/articles/2648188007",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명진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,아름동 최상 택지,충남대병원 인접 생활권 편리,어린이공원접</t>
        </is>
      </c>
      <c r="K784" s="6">
        <f>HYPERLINK("https://fin.land.naver.com/articles/2644749470",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고운맘</t>
        </is>
      </c>
      <c r="O784" s="4" t="n">
        <v>1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뒤로 넓은 공원낀위치 우측 연결녹지 넓어 쾌적한곳</t>
        </is>
      </c>
      <c r="K785" s="6">
        <f>HYPERLINK("https://fin.land.naver.com/articles/2645487478",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세종스타</t>
        </is>
      </c>
      <c r="O785" s="4" t="n">
        <v>2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90.6p, 아름동 국제고 인근 위치 좋은 토지 매매</t>
        </is>
      </c>
      <c r="K789" s="6">
        <f>HYPERLINK("https://fin.land.naver.com/articles/2645495174",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명진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언덕형 지대높음 채광 개방감 좋음 조율가능</t>
        </is>
      </c>
      <c r="K796" s="6">
        <f>HYPERLINK("https://fin.land.naver.com/articles/2644909025",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세종스타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급매,전원주택지로 충대병원 인접, 교통 및 학군 편리한 생활권</t>
        </is>
      </c>
      <c r="K797" s="6">
        <f>HYPERLINK("https://fin.land.naver.com/articles/2644766386",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고운맘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국제고인근.코너각지. 충대병원인접. 위치,교통 편리한 지역.조정가능</t>
        </is>
      </c>
      <c r="K799" s="6">
        <f>HYPERLINK("https://fin.land.naver.com/articles/2646141675",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새롬삼둥이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국제고, 영재고, 충대병원인근, IC인접 107.2p</t>
        </is>
      </c>
      <c r="K801" s="6">
        <f>HYPERLINK("https://fin.land.naver.com/articles/2646690781",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세종무지개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총 107.2p, 국제고, 충남대병원인근</t>
        </is>
      </c>
      <c r="K802" s="6">
        <f>HYPERLINK("https://fin.land.naver.com/articles/2648127229",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명진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계획관리지역 건축부지 시세이하가격</t>
        </is>
      </c>
      <c r="K815" s="6">
        <f>HYPERLINK("https://fin.land.naver.com/articles/2644684717",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(주)경진컨설팅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급매 시세보다 저렴한 토지 추천매물입니다</t>
        </is>
      </c>
      <c r="K817" s="6">
        <f>HYPERLINK("https://fin.land.naver.com/articles/2643081566",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세종푸르지오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100000</v>
      </c>
      <c r="G850" s="4" t="n">
        <v>195</v>
      </c>
      <c r="H850" s="5" t="n">
        <v>512.8</v>
      </c>
      <c r="I850" s="5" t="n">
        <v>25.1</v>
      </c>
      <c r="J850" s="3" t="inlineStr">
        <is>
          <t>일부 매매,전체 매매 가능,도로변에 위치</t>
        </is>
      </c>
      <c r="K850" s="6">
        <f>HYPERLINK("https://fin.land.naver.com/articles/2643982129",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다산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1119</v>
      </c>
      <c r="H852" s="5" t="n">
        <v>446.8</v>
      </c>
      <c r="I852" s="5" t="n">
        <v>25.1</v>
      </c>
      <c r="J852" s="3" t="inlineStr">
        <is>
          <t>nan</t>
        </is>
      </c>
      <c r="K852" s="6">
        <f>HYPERLINK("https://fin.land.naver.com/articles/2646190272",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세종몽땅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과수원</t>
        </is>
      </c>
      <c r="E853" s="3" t="inlineStr">
        <is>
          <t>매매</t>
        </is>
      </c>
      <c r="F853" s="4" t="n">
        <v>90000</v>
      </c>
      <c r="G853" s="4" t="n">
        <v>200</v>
      </c>
      <c r="H853" s="5" t="n">
        <v>450</v>
      </c>
      <c r="I853" s="5" t="n">
        <v>25.1</v>
      </c>
      <c r="J853" s="3" t="inlineStr">
        <is>
          <t>nan</t>
        </is>
      </c>
      <c r="K853" s="6">
        <f>HYPERLINK("https://fin.land.naver.com/articles/2644022711",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세종</t>
        </is>
      </c>
      <c r="O853" s="4" t="n">
        <v>1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71900</v>
      </c>
      <c r="G865" s="4" t="n">
        <v>218</v>
      </c>
      <c r="H865" s="5" t="n">
        <v>329.8</v>
      </c>
      <c r="I865" s="5" t="n">
        <v>52.8</v>
      </c>
      <c r="J865" s="3" t="inlineStr">
        <is>
          <t>nan</t>
        </is>
      </c>
      <c r="K865" s="6">
        <f>HYPERLINK("https://fin.land.naver.com/articles/2647746185",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다산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82460</v>
      </c>
      <c r="G866" s="4" t="n">
        <v>218</v>
      </c>
      <c r="H866" s="5" t="n">
        <v>378.3</v>
      </c>
      <c r="I866" s="5" t="n">
        <v>52.8</v>
      </c>
      <c r="J866" s="3" t="inlineStr">
        <is>
          <t>명성공인, 명학리 계획관리지역 추천 매물</t>
        </is>
      </c>
      <c r="K866" s="6">
        <f>HYPERLINK("https://fin.land.naver.com/articles/2648045385",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명성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nan</t>
        </is>
      </c>
      <c r="K874" s="6">
        <f>HYPERLINK("https://fin.land.naver.com/articles/2644847717",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세종몽땅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급매 소액으로 농지구매하실분 대토하실분 추천</t>
        </is>
      </c>
      <c r="K886" s="6">
        <f>HYPERLINK("https://fin.land.naver.com/articles/2648078073",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OK수</t>
        </is>
      </c>
      <c r="O886" s="4" t="n">
        <v>2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주변 시세대비 아주저렴</t>
        </is>
      </c>
      <c r="K887" s="6">
        <f>HYPERLINK("https://fin.land.naver.com/articles/2648462411",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세종땅전문</t>
        </is>
      </c>
      <c r="O887" s="4" t="n">
        <v>1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가격절충</t>
        </is>
      </c>
      <c r="K897" s="6">
        <f>HYPERLINK("https://fin.land.naver.com/articles/2645908294",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세종땅전문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세종시 토지로 적은 금액으로 투자하기 좋은 곳</t>
        </is>
      </c>
      <c r="K898" s="6">
        <f>HYPERLINK("https://fin.land.naver.com/articles/2644762013",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오송이가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432</v>
      </c>
      <c r="H920" s="5" t="n">
        <v>231.5</v>
      </c>
      <c r="I920" s="5" t="n">
        <v>103.4</v>
      </c>
      <c r="J920" s="3" t="inlineStr">
        <is>
          <t>1. 2차선도로 접한 직사각형토지 급매토지 2. 오송역 남청주IC 1</t>
        </is>
      </c>
      <c r="K920" s="6">
        <f>HYPERLINK("https://fin.land.naver.com/articles/2646950261",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연동스카이</t>
        </is>
      </c>
      <c r="O920" s="4" t="n">
        <v>1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432</v>
      </c>
      <c r="H921" s="5" t="n">
        <v>243.1</v>
      </c>
      <c r="I921" s="5" t="n">
        <v>103.4</v>
      </c>
      <c r="J921" s="3" t="inlineStr">
        <is>
          <t>2차선 도로접한,대,평지로 땅모양 좋아요,5생활권 및 명학 산업단지 근접</t>
        </is>
      </c>
      <c r="K921" s="6">
        <f>HYPERLINK("https://fin.land.naver.com/articles/2647057768",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해밀탑</t>
        </is>
      </c>
      <c r="O921" s="4" t="n">
        <v>3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608</v>
      </c>
      <c r="H956" s="5" t="n">
        <v>34.5</v>
      </c>
      <c r="I956" s="5" t="n">
        <v>22</v>
      </c>
      <c r="J956" s="3" t="inlineStr">
        <is>
          <t>투자용, 주말 농장용으로 추천 합니다</t>
        </is>
      </c>
      <c r="K956" s="6">
        <f>HYPERLINK("https://fin.land.naver.com/articles/2644444568",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세종대박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608</v>
      </c>
      <c r="H957" s="5" t="n">
        <v>39.5</v>
      </c>
      <c r="I957" s="5" t="n">
        <v>22</v>
      </c>
      <c r="J957" s="3" t="inlineStr">
        <is>
          <t>대토용 및 주말농장</t>
        </is>
      </c>
      <c r="K957" s="6">
        <f>HYPERLINK("https://fin.land.naver.com/articles/2645775432",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지호주식회사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급매,도로접한 계획관리지역,알토란 토지,가격조정가능</t>
        </is>
      </c>
      <c r="K964" s="6">
        <f>HYPERLINK("https://fin.land.naver.com/articles/2645370986",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고운맘</t>
        </is>
      </c>
      <c r="O964" s="4" t="n">
        <v>1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스마트국가산업단지와 북세종IC 인근 계획관리지역 토지로 지가상승 예상.</t>
        </is>
      </c>
      <c r="K965" s="6">
        <f>HYPERLINK("https://fin.land.naver.com/articles/2644820086",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세종대장</t>
        </is>
      </c>
      <c r="O965" s="4" t="n">
        <v>2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311</v>
      </c>
      <c r="H987" s="5" t="n">
        <v>257.2</v>
      </c>
      <c r="I987" s="5" t="n">
        <v>46.6</v>
      </c>
      <c r="J987" s="3" t="inlineStr">
        <is>
          <t>연서면 기룡리 개발된 계획관리 토지, 국가산단 인근, 양어장, 건축 추천</t>
        </is>
      </c>
      <c r="K987" s="6">
        <f>HYPERLINK("https://fin.land.naver.com/articles/2645609549",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스카이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152</v>
      </c>
      <c r="H988" s="5" t="n">
        <v>256.6</v>
      </c>
      <c r="I988" s="5" t="n">
        <v>46.6</v>
      </c>
      <c r="J988" s="3" t="inlineStr">
        <is>
          <t>계획관리지역 양어장</t>
        </is>
      </c>
      <c r="K988" s="6">
        <f>HYPERLINK("https://fin.land.naver.com/articles/2645416710",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그래그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급매매 계획관리 도로접 건축가능 세종 연서 기룡리</t>
        </is>
      </c>
      <c r="K994" s="6">
        <f>HYPERLINK("https://fin.land.naver.com/articles/2645168277",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명장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세종 연서면 기룡리 계획관리지역 자연취락지구 나대지 건축 투자용</t>
        </is>
      </c>
      <c r="K996" s="6">
        <f>HYPERLINK("https://fin.land.naver.com/articles/2645588263",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나침반</t>
        </is>
      </c>
      <c r="O996" s="4" t="n">
        <v>4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22000</v>
      </c>
      <c r="G997" s="4" t="n">
        <v>146</v>
      </c>
      <c r="H997" s="5" t="n">
        <v>150.7</v>
      </c>
      <c r="I997" s="5" t="n">
        <v>66.7</v>
      </c>
      <c r="J997" s="3" t="inlineStr">
        <is>
          <t>급매 세종시 연서면 기룡리 토지매매 대지,전</t>
        </is>
      </c>
      <c r="K997" s="6">
        <f>HYPERLINK("https://fin.land.naver.com/articles/2647930675",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더나은</t>
        </is>
      </c>
      <c r="O997" s="4" t="n">
        <v>4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연서면 기룡리 토지 계획관리지역 전원주택등</t>
        </is>
      </c>
      <c r="K998" s="6">
        <f>HYPERLINK("https://fin.land.naver.com/articles/2645841572",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반석원무소</t>
        </is>
      </c>
      <c r="O998" s="4" t="n">
        <v>1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146</v>
      </c>
      <c r="H999" s="5" t="n">
        <v>171.2</v>
      </c>
      <c r="I999" s="5" t="n">
        <v>66.7</v>
      </c>
      <c r="J999" s="3" t="inlineStr">
        <is>
          <t>nan</t>
        </is>
      </c>
      <c r="K999" s="6">
        <f>HYPERLINK("https://fin.land.naver.com/articles/2647144520",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문은진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146</v>
      </c>
      <c r="H1000" s="5" t="n">
        <v>133.6</v>
      </c>
      <c r="I1000" s="5" t="n">
        <v>66.7</v>
      </c>
      <c r="J1000" s="3" t="inlineStr">
        <is>
          <t>계획관리지역의 대지와 답으로 도로보다 지대가 높아 집을 지으면 조망이 굿</t>
        </is>
      </c>
      <c r="K1000" s="6">
        <f>HYPERLINK("https://fin.land.naver.com/articles/2647452908",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스마일세종</t>
        </is>
      </c>
      <c r="O1000" s="4" t="n">
        <v>11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도로접한 과수원 매매</t>
        </is>
      </c>
      <c r="K1041" s="6">
        <f>HYPERLINK("https://fin.land.naver.com/articles/2647111799",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도로변 성장관리구역 과수원</t>
        </is>
      </c>
      <c r="K1042" s="6">
        <f>HYPERLINK("https://fin.land.naver.com/articles/2644279426",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1540</v>
      </c>
      <c r="H1045" s="5" t="n">
        <v>129.9</v>
      </c>
      <c r="I1045" s="5" t="n">
        <v>27.3</v>
      </c>
      <c r="J1045" s="3" t="inlineStr">
        <is>
          <t>2차선도로접, 개발호재가 강한지역 투자가치최고</t>
        </is>
      </c>
      <c r="K1045" s="6">
        <f>HYPERLINK("https://fin.land.naver.com/articles/2644591685",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원내</t>
        </is>
      </c>
      <c r="O1045" s="4" t="n">
        <v>2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80400</v>
      </c>
      <c r="G1047" s="4" t="n">
        <v>619</v>
      </c>
      <c r="H1047" s="5" t="n">
        <v>129.9</v>
      </c>
      <c r="I1047" s="5" t="n">
        <v>27.3</v>
      </c>
      <c r="J1047" s="3" t="inlineStr">
        <is>
          <t>2차선 도로접 북세종IC인근</t>
        </is>
      </c>
      <c r="K1047" s="6">
        <f>HYPERLINK("https://fin.land.naver.com/articles/2644196684",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가치잇는</t>
        </is>
      </c>
      <c r="O1047" s="4" t="n">
        <v>4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619</v>
      </c>
      <c r="H1048" s="5" t="n">
        <v>150.2</v>
      </c>
      <c r="I1048" s="5" t="n">
        <v>27.3</v>
      </c>
      <c r="J1048" s="3" t="inlineStr">
        <is>
          <t>2차선 도로변 토지 매매</t>
        </is>
      </c>
      <c r="K1048" s="6">
        <f>HYPERLINK("https://fin.land.naver.com/articles/2647481662",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주식회사넥서스</t>
        </is>
      </c>
      <c r="O1048" s="4" t="n">
        <v>1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119000</v>
      </c>
      <c r="G1049" s="4" t="n">
        <v>921</v>
      </c>
      <c r="H1049" s="5" t="n">
        <v>129.2</v>
      </c>
      <c r="I1049" s="5" t="n">
        <v>27.3</v>
      </c>
      <c r="J1049" s="3" t="inlineStr">
        <is>
          <t>연서면 성제리 2차선 도로에 접한 투자용 답, 2필지 합해서 매매도 가능</t>
        </is>
      </c>
      <c r="K1049" s="6">
        <f>HYPERLINK("https://fin.land.naver.com/articles/2645658728",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스마일세종</t>
        </is>
      </c>
      <c r="O1049" s="4" t="n">
        <v>3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국가산단인근  성장관리계획구역</t>
        </is>
      </c>
      <c r="K1063" s="6">
        <f>HYPERLINK("https://fin.land.naver.com/articles/2648491546",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THE행복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코너 도시지역 자연녹지 밭 도심과 가까운 위치</t>
        </is>
      </c>
      <c r="K1064" s="6">
        <f>HYPERLINK("https://fin.land.naver.com/articles/2648498507",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지성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126</v>
      </c>
      <c r="H1069" s="5" t="n">
        <v>888.9</v>
      </c>
      <c r="I1069" s="5" t="n">
        <v>172</v>
      </c>
      <c r="J1069" s="3" t="inlineStr">
        <is>
          <t>현재132.16제곱음식점운영.인접2필지병행매매가합1204제곱.코너각지</t>
        </is>
      </c>
      <c r="K1069" s="6">
        <f>HYPERLINK("https://fin.land.naver.com/articles/2643627054",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돈방석</t>
        </is>
      </c>
      <c r="O1069" s="4" t="n">
        <v>2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3필지 건물 포함 매매, 총 384.8p</t>
        </is>
      </c>
      <c r="K1070" s="6">
        <f>HYPERLINK("https://fin.land.naver.com/articles/2643326929",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세종무지개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364</v>
      </c>
      <c r="H1071" s="5" t="n">
        <v>307.7</v>
      </c>
      <c r="I1071" s="5" t="n">
        <v>172</v>
      </c>
      <c r="J1071" s="3" t="inlineStr">
        <is>
          <t>상가건물있음,  성제네거리코너10m도로접합 계획관리지역 3필지일괄매매</t>
        </is>
      </c>
      <c r="K1071" s="6">
        <f>HYPERLINK("https://fin.land.naver.com/articles/2648410546",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길음(02-983-0110)</t>
        </is>
      </c>
      <c r="O1071" s="4" t="n">
        <v>1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164</v>
      </c>
      <c r="H1090" s="5" t="n">
        <v>158.5</v>
      </c>
      <c r="I1090" s="5" t="n">
        <v>66.59999999999999</v>
      </c>
      <c r="J1090" s="3" t="inlineStr">
        <is>
          <t>급매추천. 개발 완료된 전원주택지. 전용 542  도로 120</t>
        </is>
      </c>
      <c r="K1090" s="6">
        <f>HYPERLINK("https://fin.land.naver.com/articles/2645968263",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세종소담114</t>
        </is>
      </c>
      <c r="O1090" s="4" t="n">
        <v>2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164</v>
      </c>
      <c r="H1091" s="5" t="n">
        <v>146.3</v>
      </c>
      <c r="I1091" s="5" t="n">
        <v>66.59999999999999</v>
      </c>
      <c r="J1091" s="3" t="inlineStr">
        <is>
          <t>급매 고복저수지근처 로얄빌리지 전원주택지매매</t>
        </is>
      </c>
      <c r="K1091" s="6">
        <f>HYPERLINK("https://fin.land.naver.com/articles/2644999408",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명진</t>
        </is>
      </c>
      <c r="O1091" s="4" t="n">
        <v>1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963</v>
      </c>
      <c r="H1120" s="5" t="n">
        <v>114.2</v>
      </c>
      <c r="I1120" s="5" t="n">
        <v>35.8</v>
      </c>
      <c r="J1120" s="3" t="inlineStr">
        <is>
          <t>도로접,땅모양좋습니다,성장관리계획구역,조정가</t>
        </is>
      </c>
      <c r="K1120" s="6">
        <f>HYPERLINK("https://fin.land.naver.com/articles/2644050854",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힐스테이트행복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963</v>
      </c>
      <c r="H1121" s="5" t="n">
        <v>100</v>
      </c>
      <c r="I1121" s="5" t="n">
        <v>35.8</v>
      </c>
      <c r="J1121" s="3" t="inlineStr">
        <is>
          <t>고복저수지, 연기휴게소예정지 인근 생산관리토지</t>
        </is>
      </c>
      <c r="K1121" s="6">
        <f>HYPERLINK("https://fin.land.naver.com/articles/2645606587",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연서면 쌍류리 2차선변 토지 매매</t>
        </is>
      </c>
      <c r="K1130" s="6">
        <f>HYPERLINK("https://fin.land.naver.com/articles/2643647255",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길운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70200</v>
      </c>
      <c r="G1131" s="4" t="n">
        <v>708</v>
      </c>
      <c r="H1131" s="5" t="n">
        <v>99.2</v>
      </c>
      <c r="I1131" s="5" t="n">
        <v>29.4</v>
      </c>
      <c r="J1131" s="3" t="inlineStr">
        <is>
          <t>연서면 쌍류리 2차선변 과수원 매매</t>
        </is>
      </c>
      <c r="K1131" s="6">
        <f>HYPERLINK("https://fin.land.naver.com/articles/2644208940",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404</v>
      </c>
      <c r="H1132" s="5" t="n">
        <v>90.3</v>
      </c>
      <c r="I1132" s="5" t="n">
        <v>29.4</v>
      </c>
      <c r="J1132" s="3" t="inlineStr">
        <is>
          <t>하천, 도로접, 포도농원</t>
        </is>
      </c>
      <c r="K1132" s="6">
        <f>HYPERLINK("https://fin.land.naver.com/articles/2642980035",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삼보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166</v>
      </c>
      <c r="H1150" s="5" t="n">
        <v>156.6</v>
      </c>
      <c r="I1150" s="5" t="n">
        <v>30.2</v>
      </c>
      <c r="J1150" s="3" t="inlineStr">
        <is>
          <t>가격조절가능,근생부지로 허가난상태,도로지분포함,토목공사완료,</t>
        </is>
      </c>
      <c r="K1150" s="6">
        <f>HYPERLINK("https://fin.land.naver.com/articles/2646091389",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담뜰</t>
        </is>
      </c>
      <c r="O1150" s="4" t="n">
        <v>2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144</v>
      </c>
      <c r="H1151" s="5" t="n">
        <v>184.4</v>
      </c>
      <c r="I1151" s="5" t="n">
        <v>30.2</v>
      </c>
      <c r="J1151" s="3" t="inlineStr">
        <is>
          <t>nan</t>
        </is>
      </c>
      <c r="K1151" s="6">
        <f>HYPERLINK("https://fin.land.naver.com/articles/2644183391",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세종소담114</t>
        </is>
      </c>
      <c r="O1151" s="4" t="n">
        <v>1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양면6미터도로접,북세종IC예정지앞,현재 복숭아 농사중,성토완료,</t>
        </is>
      </c>
      <c r="K1169" s="6">
        <f>HYPERLINK("https://fin.land.naver.com/articles/2646383174",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담뜰</t>
        </is>
      </c>
      <c r="O1169" s="4" t="n">
        <v>8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nan</t>
        </is>
      </c>
      <c r="K1171" s="6">
        <f>HYPERLINK("https://fin.land.naver.com/articles/2644414723",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로데오상가</t>
        </is>
      </c>
      <c r="O1171" s="4" t="n">
        <v>2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2381</v>
      </c>
      <c r="H1191" s="5" t="n">
        <v>105</v>
      </c>
      <c r="I1191" s="5" t="n">
        <v>40.5</v>
      </c>
      <c r="J1191" s="3" t="inlineStr">
        <is>
          <t>nan</t>
        </is>
      </c>
      <c r="K1191" s="6">
        <f>HYPERLINK("https://fin.land.naver.com/articles/2645463701",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강아지풀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2381</v>
      </c>
      <c r="H1192" s="5" t="n">
        <v>100</v>
      </c>
      <c r="I1192" s="5" t="n">
        <v>40.5</v>
      </c>
      <c r="J1192" s="3" t="inlineStr">
        <is>
          <t>국가산업단지 인근의 가장 저렴한 과수원</t>
        </is>
      </c>
      <c r="K1192" s="6">
        <f>HYPERLINK("https://fin.land.naver.com/articles/2644527068",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용궁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세종 국가산단 인근, 투자 가치 확실한 연서면 청라리 알짜 토지 급매</t>
        </is>
      </c>
      <c r="K1257" s="6">
        <f>HYPERLINK("https://fin.land.naver.com/articles/2648200890",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대지</t>
        </is>
      </c>
      <c r="O1257" s="4" t="n">
        <v>9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l청년l 세종시 투자가치 있는 토지 입니다.</t>
        </is>
      </c>
      <c r="K1259" s="6">
        <f>HYPERLINK("https://fin.land.naver.com/articles/2646721360",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청년사사무소</t>
        </is>
      </c>
      <c r="O1259" s="4" t="n">
        <v>1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12700</v>
      </c>
      <c r="G1270" s="4" t="n">
        <v>424</v>
      </c>
      <c r="H1270" s="5" t="n">
        <v>30</v>
      </c>
      <c r="I1270" s="5" t="n">
        <v>10.8</v>
      </c>
      <c r="J1270" s="3" t="inlineStr">
        <is>
          <t>절충가능하고 대토용으로 추천드림니다</t>
        </is>
      </c>
      <c r="K1270" s="6">
        <f>HYPERLINK("https://fin.land.naver.com/articles/2643369358",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스마일세종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7000</v>
      </c>
      <c r="G1271" s="4" t="n">
        <v>424</v>
      </c>
      <c r="H1271" s="5" t="n">
        <v>16.5</v>
      </c>
      <c r="I1271" s="5" t="n">
        <v>10.8</v>
      </c>
      <c r="J1271" s="3" t="inlineStr">
        <is>
          <t>급매.과수원추천.보전관리.성장관리계획구역.영농여건불리농지. 대토추천.</t>
        </is>
      </c>
      <c r="K1271" s="6">
        <f>HYPERLINK("https://fin.land.naver.com/articles/2646070061",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휴튼9단지세교신도시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HYPERLINK("https://fin.land.naver.com/articles/2648088525",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HYPERLINK("https://fin.land.naver.com/articles/2648087819",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173</v>
      </c>
      <c r="H1294" s="5" t="n">
        <v>462.4</v>
      </c>
      <c r="I1294" s="5" t="n">
        <v>161.2</v>
      </c>
      <c r="J1294" s="3" t="inlineStr">
        <is>
          <t>173땅 오송역세권 미래투자가치우수한 토지</t>
        </is>
      </c>
      <c r="K1294" s="6">
        <f>HYPERLINK("https://fin.land.naver.com/articles/2648360295",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하림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85000</v>
      </c>
      <c r="G1295" s="4" t="n">
        <v>173</v>
      </c>
      <c r="H1295" s="5" t="n">
        <v>491.3</v>
      </c>
      <c r="I1295" s="5" t="n">
        <v>161.2</v>
      </c>
      <c r="J1295" s="3" t="inlineStr">
        <is>
          <t>오송역에서 가까운 궁평리에 위치한 토지임</t>
        </is>
      </c>
      <c r="K1295" s="6">
        <f>HYPERLINK("https://fin.land.naver.com/articles/2644694447",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산성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솔미초 인근 다가구용 토지 매매</t>
        </is>
      </c>
      <c r="K1336" s="6">
        <f>HYPERLINK("https://fin.land.naver.com/articles/2643952372",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광장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nan</t>
        </is>
      </c>
      <c r="K1337" s="6">
        <f>HYPERLINK("https://fin.land.naver.com/articles/2645321083",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365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201</v>
      </c>
      <c r="H1357" s="5" t="n">
        <v>201</v>
      </c>
      <c r="I1357" s="5" t="n">
        <v>70.2</v>
      </c>
      <c r="J1357" s="3" t="inlineStr">
        <is>
          <t>전원주택단지조성된곳 바로인근 화장품단지개발호재</t>
        </is>
      </c>
      <c r="K1357" s="6">
        <f>HYPERLINK("https://fin.land.naver.com/articles/2647609720",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자이원</t>
        </is>
      </c>
      <c r="O1357" s="4" t="n">
        <v>2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대</t>
        </is>
      </c>
      <c r="E1358" s="3" t="inlineStr">
        <is>
          <t>매매</t>
        </is>
      </c>
      <c r="F1358" s="4" t="n">
        <v>40000</v>
      </c>
      <c r="G1358" s="4" t="n">
        <v>201</v>
      </c>
      <c r="H1358" s="5" t="n">
        <v>199</v>
      </c>
      <c r="I1358" s="5" t="n">
        <v>70.2</v>
      </c>
      <c r="J1358" s="3" t="inlineStr">
        <is>
          <t>오송화장품산업단지 개발지역 상업지역 인근에 위치하는 전원주택 부지</t>
        </is>
      </c>
      <c r="K1358" s="6">
        <f>HYPERLINK("https://fin.land.naver.com/articles/2644380710",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오송랜드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27000</v>
      </c>
      <c r="G1359" s="4" t="n">
        <v>173</v>
      </c>
      <c r="H1359" s="5" t="n">
        <v>156.1</v>
      </c>
      <c r="I1359" s="5" t="n">
        <v>70.2</v>
      </c>
      <c r="J1359" s="3" t="inlineStr">
        <is>
          <t>전원주택 부지, 도심과 가까운 주택부지</t>
        </is>
      </c>
      <c r="K1359" s="6">
        <f>HYPERLINK("https://fin.land.naver.com/articles/2645970707",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오송2단지창조</t>
        </is>
      </c>
      <c r="O1359" s="4" t="n">
        <v>1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2차선 지방도로에 접한 오송1산업단지와 인접한 계획관리 농지</t>
        </is>
      </c>
      <c r="K1360" s="6">
        <f>HYPERLINK("https://fin.land.naver.com/articles/2645397076",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순이네 보리밥 진입로 좌측 직사각형의 용도다양한 토지매매</t>
        </is>
      </c>
      <c r="K1361" s="6">
        <f>HYPERLINK("https://fin.land.naver.com/articles/2644567691",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오송k랜드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매물 특징</t>
        </is>
      </c>
      <c r="K1382" s="6">
        <f>HYPERLINK("https://fin.land.naver.com/articles/2647144879",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오송궁평마을</t>
        </is>
      </c>
      <c r="O1382" s="4" t="n">
        <v>1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오송제3산업단지 도로변 토지</t>
        </is>
      </c>
      <c r="K1383" s="6">
        <f>HYPERLINK("https://fin.land.naver.com/articles/2646007784",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세종대박</t>
        </is>
      </c>
      <c r="O1383" s="4" t="n">
        <v>2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708</v>
      </c>
      <c r="H1393" s="5" t="n">
        <v>56.5</v>
      </c>
      <c r="I1393" s="5" t="n">
        <v>29.5</v>
      </c>
      <c r="J1393" s="3" t="inlineStr">
        <is>
          <t>오송 3산단 인근, 투자용</t>
        </is>
      </c>
      <c r="K1393" s="6">
        <f>HYPERLINK("https://fin.land.naver.com/articles/2646724001",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오송타운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43000</v>
      </c>
      <c r="G1394" s="4" t="n">
        <v>708</v>
      </c>
      <c r="H1394" s="5" t="n">
        <v>60.7</v>
      </c>
      <c r="I1394" s="5" t="n">
        <v>29.5</v>
      </c>
      <c r="J1394" s="3" t="inlineStr">
        <is>
          <t>오송3산업단지 공용수용지 인근가격대비 최적의 대토 투자용 토지임</t>
        </is>
      </c>
      <c r="K1394" s="6">
        <f>HYPERLINK("https://fin.land.naver.com/articles/2645221824",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오송k랜드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733</v>
      </c>
      <c r="H1396" s="5" t="n">
        <v>150.1</v>
      </c>
      <c r="I1396" s="5" t="n">
        <v>49.6</v>
      </c>
      <c r="J1396" s="3" t="inlineStr">
        <is>
          <t>2차선도로접한3필지일괄매매,창고는 현재 임대중,그리고 복숭아밭으로이용중</t>
        </is>
      </c>
      <c r="K1396" s="6">
        <f>HYPERLINK("https://fin.land.naver.com/articles/2644520233",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담뜰</t>
        </is>
      </c>
      <c r="O1396" s="4" t="n">
        <v>1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733</v>
      </c>
      <c r="H1397" s="5" t="n">
        <v>163.7</v>
      </c>
      <c r="I1397" s="5" t="n">
        <v>49.6</v>
      </c>
      <c r="J1397" s="3" t="inlineStr">
        <is>
          <t>오송제3산업단지 인근 2차선도로에 접한 창고 및 과수원 급매합니다</t>
        </is>
      </c>
      <c r="K1397" s="6">
        <f>HYPERLINK("https://fin.land.naver.com/articles/2647948625",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스마일세종</t>
        </is>
      </c>
      <c r="O1397" s="4" t="n">
        <v>3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119</v>
      </c>
      <c r="H1441" s="5" t="n">
        <v>172.3</v>
      </c>
      <c r="I1441" s="5" t="n">
        <v>62.7</v>
      </c>
      <c r="J1441" s="3" t="inlineStr">
        <is>
          <t>nan</t>
        </is>
      </c>
      <c r="K1441" s="6">
        <f>HYPERLINK("https://fin.land.naver.com/articles/2644376615",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오송랜드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84</v>
      </c>
      <c r="H1442" s="5" t="n">
        <v>166.7</v>
      </c>
      <c r="I1442" s="5" t="n">
        <v>62.7</v>
      </c>
      <c r="J1442" s="3" t="inlineStr">
        <is>
          <t>강추 매물 계획관리지역, 땅 소액투자, 미래가치성 좋음</t>
        </is>
      </c>
      <c r="K1442" s="6">
        <f>HYPERLINK("https://fin.land.naver.com/articles/2644033715",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현담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150000</v>
      </c>
      <c r="G1452" s="4" t="n">
        <v>166</v>
      </c>
      <c r="H1452" s="5" t="n">
        <v>903.6</v>
      </c>
      <c r="I1452" s="5" t="n">
        <v>347.1</v>
      </c>
      <c r="J1452" s="3" t="inlineStr">
        <is>
          <t>오송 정중리 상가 신축 가능한 투자용지</t>
        </is>
      </c>
      <c r="K1452" s="6">
        <f>HYPERLINK("https://fin.land.naver.com/articles/2647850811",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성진</t>
        </is>
      </c>
      <c r="O1452" s="4" t="n">
        <v>1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140000</v>
      </c>
      <c r="G1453" s="4" t="n">
        <v>166</v>
      </c>
      <c r="H1453" s="5" t="n">
        <v>843.4</v>
      </c>
      <c r="I1453" s="5" t="n">
        <v>347.1</v>
      </c>
      <c r="J1453" s="3" t="inlineStr">
        <is>
          <t>급매, 오송 국민체육센터 인근 토지 매매</t>
        </is>
      </c>
      <c r="K1453" s="6">
        <f>HYPERLINK("https://fin.land.naver.com/articles/2648308447",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광장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166000</v>
      </c>
      <c r="G1454" s="4" t="n">
        <v>166</v>
      </c>
      <c r="H1454" s="5" t="n">
        <v>1000</v>
      </c>
      <c r="I1454" s="5" t="n">
        <v>347.1</v>
      </c>
      <c r="J1454" s="3" t="inlineStr">
        <is>
          <t>오송 2산단 지원시설용지  아파트 인접한 대로변 토지 근생 건물등 가능</t>
        </is>
      </c>
      <c r="K1454" s="6">
        <f>HYPERLINK("https://fin.land.naver.com/articles/2646670136",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더원</t>
        </is>
      </c>
      <c r="O1454" s="4" t="n">
        <v>3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178</v>
      </c>
      <c r="H1461" s="5" t="n">
        <v>589.9</v>
      </c>
      <c r="I1461" s="5" t="n">
        <v>256.4</v>
      </c>
      <c r="J1461" s="3" t="inlineStr">
        <is>
          <t>지원시설용지급매,식당등 임대활성화,대단위아파트단지</t>
        </is>
      </c>
      <c r="K1461" s="6">
        <f>HYPERLINK("https://fin.land.naver.com/articles/2644432760",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오송올래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지원시설용지 매매</t>
        </is>
      </c>
      <c r="K1462" s="6">
        <f>HYPERLINK("https://fin.land.naver.com/articles/2646658303",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대한민국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nan</t>
        </is>
      </c>
      <c r="K1463" s="6">
        <f>HYPERLINK("https://fin.land.naver.com/articles/2646195570",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동행사무소</t>
        </is>
      </c>
      <c r="O1463" s="4" t="n">
        <v>1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143000</v>
      </c>
      <c r="G1464" s="4" t="n">
        <v>178</v>
      </c>
      <c r="H1464" s="5" t="n">
        <v>803.4</v>
      </c>
      <c r="I1464" s="5" t="n">
        <v>256.4</v>
      </c>
      <c r="J1464" s="3" t="inlineStr">
        <is>
          <t>신도시 대단지아파트인접  지원시설용지</t>
        </is>
      </c>
      <c r="K1464" s="6">
        <f>HYPERLINK("https://fin.land.naver.com/articles/2644380529",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오송원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오송파라곤아파트 인근 토지</t>
        </is>
      </c>
      <c r="K1465" s="6">
        <f>HYPERLINK("https://fin.land.naver.com/articles/2647758220",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홍길동</t>
        </is>
      </c>
      <c r="O1465" s="4" t="n">
        <v>6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일반상업지역 대지 매매</t>
        </is>
      </c>
      <c r="K1517" s="6">
        <f>HYPERLINK("https://fin.land.naver.com/articles/2644569861",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김준희</t>
        </is>
      </c>
      <c r="O1517" s="4" t="n">
        <v>1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조치원 버스터미널 바로 옆 일반상업지역 위치 최고 대지 매매</t>
        </is>
      </c>
      <c r="K1519" s="6">
        <f>HYPERLINK("https://fin.land.naver.com/articles/2644749159",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나침반</t>
        </is>
      </c>
      <c r="O1519" s="4" t="n">
        <v>3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조치원 생활권 평탄 대형부지 소형창고 차량보관시설 검토</t>
        </is>
      </c>
      <c r="K1536" s="6">
        <f>HYPERLINK("https://fin.land.naver.com/articles/2644124377",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세종소담황금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토지급매 조치원역 인근 대규모 부지 정비소, 세차장, 요양원 추천</t>
        </is>
      </c>
      <c r="K1537" s="6">
        <f>HYPERLINK("https://fin.land.naver.com/articles/2646235676",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다모아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883</v>
      </c>
      <c r="H1538" s="5" t="n">
        <v>169.9</v>
      </c>
      <c r="I1538" s="5" t="n">
        <v>59.7</v>
      </c>
      <c r="J1538" s="3" t="inlineStr">
        <is>
          <t>nan</t>
        </is>
      </c>
      <c r="K1538" s="6">
        <f>HYPERLINK("https://fin.land.naver.com/articles/2644060761",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현대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884</v>
      </c>
      <c r="H1539" s="5" t="n">
        <v>169.7</v>
      </c>
      <c r="I1539" s="5" t="n">
        <v>59.7</v>
      </c>
      <c r="J1539" s="3" t="inlineStr">
        <is>
          <t>nan</t>
        </is>
      </c>
      <c r="K1539" s="6">
        <f>HYPERLINK("https://fin.land.naver.com/articles/2643665744",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세종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884</v>
      </c>
      <c r="H1541" s="5" t="n">
        <v>203.6</v>
      </c>
      <c r="I1541" s="5" t="n">
        <v>59.7</v>
      </c>
      <c r="J1541" s="3" t="inlineStr">
        <is>
          <t>3필지 일괄매매</t>
        </is>
      </c>
      <c r="K1541" s="6">
        <f>HYPERLINK("https://fin.land.naver.com/articles/2646586067",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오송좋은날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282</v>
      </c>
      <c r="H1558" s="5" t="n">
        <v>425.5</v>
      </c>
      <c r="I1558" s="5" t="n">
        <v>72.2</v>
      </c>
      <c r="J1558" s="3" t="inlineStr">
        <is>
          <t>3면 포장도로 접함 이편한세상 984세대 인접 공영주차장이용가능</t>
        </is>
      </c>
      <c r="K1558" s="6">
        <f>HYPERLINK("https://fin.land.naver.com/articles/2643132425",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그래그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자연녹지 토지, 3면도로 접, 아파트개발지 옆, 근생시설 등</t>
        </is>
      </c>
      <c r="K1559" s="6">
        <f>HYPERLINK("https://fin.land.naver.com/articles/2645820022",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스카이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380</v>
      </c>
      <c r="H1560" s="5" t="n">
        <v>315.8</v>
      </c>
      <c r="I1560" s="5" t="n">
        <v>72.2</v>
      </c>
      <c r="J1560" s="3" t="inlineStr">
        <is>
          <t>신안리 이편한세상 아파트 초인접, 3면 포장도로 접한 음식점,커피숍</t>
        </is>
      </c>
      <c r="K1560" s="6">
        <f>HYPERLINK("https://fin.land.naver.com/articles/2645198043",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세종나라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남향토지,도로지분포함,조치원 시장 도보5분거리 위치,</t>
        </is>
      </c>
      <c r="K1598" s="6">
        <f>HYPERLINK("https://fin.land.naver.com/articles/2644124290",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담뜰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8미터도로연접, 다가구부지 추천매매</t>
        </is>
      </c>
      <c r="K1599" s="6">
        <f>HYPERLINK("https://fin.land.naver.com/articles/2646874049",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Home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97</v>
      </c>
      <c r="H1601" s="5" t="n">
        <v>463.9</v>
      </c>
      <c r="I1601" s="5" t="n">
        <v>267.1</v>
      </c>
      <c r="J1601" s="3" t="inlineStr">
        <is>
          <t>급매, 집현동 단독주택지 매매, 삼성천 인근, 남향</t>
        </is>
      </c>
      <c r="K1601" s="6">
        <f>HYPERLINK("https://fin.land.naver.com/articles/2643451883",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97</v>
      </c>
      <c r="H1602" s="5" t="n">
        <v>433</v>
      </c>
      <c r="I1602" s="5" t="n">
        <v>267.1</v>
      </c>
      <c r="J1602" s="3" t="inlineStr">
        <is>
          <t>nan</t>
        </is>
      </c>
      <c r="K1602" s="6">
        <f>HYPERLINK("https://fin.land.naver.com/articles/2647860306",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열린자이</t>
        </is>
      </c>
      <c r="O1602" s="4" t="n">
        <v>3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집현동 위치 좋은 단독주택, 사거리 코너 입지</t>
        </is>
      </c>
      <c r="K1605" s="6">
        <f>HYPERLINK("https://fin.land.naver.com/articles/2646691295",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삼성천인근 남북트인위치 남쪽 보행로접함</t>
        </is>
      </c>
      <c r="K1606" s="6">
        <f>HYPERLINK("https://fin.land.naver.com/articles/2647126098",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세종스타</t>
        </is>
      </c>
      <c r="O1606" s="4" t="n">
        <v>3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 토지매매, 사거리 코너 입지</t>
        </is>
      </c>
      <c r="K1607" s="6">
        <f>HYPERLINK("https://fin.land.naver.com/articles/2648137252",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명진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최고위치 코너각지 공원뷰 삼성천뷰</t>
        </is>
      </c>
      <c r="K1608" s="6">
        <f>HYPERLINK("https://fin.land.naver.com/articles/2643970254",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세종스타</t>
        </is>
      </c>
      <c r="O1608" s="4" t="n">
        <v>2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코너각지 위치한 토지매매, 공원과 삼성천 뷰 가능</t>
        </is>
      </c>
      <c r="K1609" s="6">
        <f>HYPERLINK("https://fin.land.naver.com/articles/2643458869",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집현동 단독주택지 토지매매</t>
        </is>
      </c>
      <c r="K1616" s="6">
        <f>HYPERLINK("https://fin.land.naver.com/articles/2644181693",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세종무지개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명성공인, 전용93, 집현동 택지 추천 매물</t>
        </is>
      </c>
      <c r="K1617" s="6">
        <f>HYPERLINK("https://fin.land.naver.com/articles/2648044957",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명성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탁트인 공원조망 위치최상 왼쪽시유지접 지대높음</t>
        </is>
      </c>
      <c r="K1622" s="6">
        <f>HYPERLINK("https://fin.land.naver.com/articles/2643970449",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세종스타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집현동 넓은 단독주택지 토지매매</t>
        </is>
      </c>
      <c r="K1623" s="6">
        <f>HYPERLINK("https://fin.land.naver.com/articles/2643451459",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시유지 접한 넓은 토지, 조율도 가능, 추천</t>
        </is>
      </c>
      <c r="K1624" s="6">
        <f>HYPERLINK("https://fin.land.naver.com/articles/2643491762",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세종무지개</t>
        </is>
      </c>
      <c r="O1624" s="4" t="n">
        <v>1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위치좋은 집현동토지매매 평수넓어요</t>
        </is>
      </c>
      <c r="K1625" s="6">
        <f>HYPERLINK("https://fin.land.naver.com/articles/2646730771",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고운동리치세종</t>
        </is>
      </c>
      <c r="O1625" s="4" t="n">
        <v>2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84</v>
      </c>
      <c r="H1626" s="5" t="n">
        <v>494</v>
      </c>
      <c r="I1626" s="5" t="n">
        <v>314.9</v>
      </c>
      <c r="J1626" s="3" t="inlineStr">
        <is>
          <t>급매, 84.1p, 삼거리 코너, 상가와 공원 인근</t>
        </is>
      </c>
      <c r="K1626" s="6">
        <f>HYPERLINK("https://fin.land.naver.com/articles/2648349468",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명진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83</v>
      </c>
      <c r="H1627" s="5" t="n">
        <v>500</v>
      </c>
      <c r="I1627" s="5" t="n">
        <v>314.9</v>
      </c>
      <c r="J1627" s="3" t="inlineStr">
        <is>
          <t>급매, 총 84.1p, 삼거리 코너 토지</t>
        </is>
      </c>
      <c r="K1627" s="6">
        <f>HYPERLINK("https://fin.land.naver.com/articles/2646696153",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단독주택 토지, 학군인접</t>
        </is>
      </c>
      <c r="K1629" s="6">
        <f>HYPERLINK("https://fin.land.naver.com/articles/2646690148",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세종무지개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총 119.7p, 대형면적 단독주택토지, 한솔초.중.고 인접</t>
        </is>
      </c>
      <c r="K1631" s="6">
        <f>HYPERLINK("https://fin.land.naver.com/articles/2648349379",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명진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막힘없는 택지,아침뜰근린공원,학군 및 상권 생활권 편리한 위치,가격조정가</t>
        </is>
      </c>
      <c r="K1638" s="6">
        <f>HYPERLINK("https://fin.land.naver.com/articles/2644745241",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고운맘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총 91.2p, 한솔동 전원주택지, 위치좋은 토지</t>
        </is>
      </c>
      <c r="K1640" s="6">
        <f>HYPERLINK("https://fin.land.naver.com/articles/2642864646",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명진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nan</t>
        </is>
      </c>
      <c r="K1642" s="6">
        <f>HYPERLINK("https://fin.land.naver.com/articles/2642865872",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디아트성심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한솔동, 단독주택지 토지매매</t>
        </is>
      </c>
      <c r="K1643" s="6">
        <f>HYPERLINK("https://fin.land.naver.com/articles/2643625614",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명진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조건 파격조율가능 도심속전원 시내 시외 진출입편리 이곳은 엘도라도입니다</t>
        </is>
      </c>
      <c r="K1644" s="6">
        <f>HYPERLINK("https://fin.land.naver.com/articles/2648082909",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세종시삼성래미안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삼거리 코너입지, 한솔동 단독주택지</t>
        </is>
      </c>
      <c r="K1645" s="6">
        <f>HYPERLINK("https://fin.land.naver.com/articles/2644183076",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세종무지개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급매 한솔동단독택지매매 가격조정가능</t>
        </is>
      </c>
      <c r="K1658" s="6">
        <f>HYPERLINK("https://fin.land.naver.com/articles/2646115759",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고운동리치세종</t>
        </is>
      </c>
      <c r="O1658" s="4" t="n">
        <v>2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101p.단독택지.1분거리.학원.마트.초중고.5분.단독주택.전원주택.추천</t>
        </is>
      </c>
      <c r="K1659" s="6">
        <f>HYPERLINK("https://fin.land.naver.com/articles/2644828138",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원</t>
        </is>
      </c>
      <c r="O1659" s="4" t="n">
        <v>1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총 99.8p, 조율가능, 네모반듯한 남향 예쁜 토지</t>
        </is>
      </c>
      <c r="K1662" s="6">
        <f>HYPERLINK("https://fin.land.naver.com/articles/2645542409",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명진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네모 반듯한 예쁜 토지 매매, 입지 굿</t>
        </is>
      </c>
      <c r="K1664" s="6">
        <f>HYPERLINK("https://fin.land.naver.com/articles/2644483128",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세종무지개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주변 편익 시설과 교통 좋은 위치</t>
        </is>
      </c>
      <c r="K1666" s="6">
        <f>HYPERLINK("https://fin.land.naver.com/articles/2645522248",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소나무</t>
        </is>
      </c>
      <c r="O1666" s="4" t="n">
        <v>1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한솔동d2 최저가 조율가능</t>
        </is>
      </c>
      <c r="K1668" s="6">
        <f>HYPERLINK("https://fin.land.naver.com/articles/2647144711",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세종스타</t>
        </is>
      </c>
      <c r="O1668" s="4" t="n">
        <v>2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107</v>
      </c>
      <c r="H1670" s="5" t="n">
        <v>747.7</v>
      </c>
      <c r="I1670" s="5" t="n">
        <v>403</v>
      </c>
      <c r="J1670" s="3" t="inlineStr">
        <is>
          <t>총 107.1p, 한솔동 단독주택지</t>
        </is>
      </c>
      <c r="K1670" s="6">
        <f>HYPERLINK("https://fin.land.naver.com/articles/2647421737",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명진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세종시 한솔동 도심속 전원주택부지 매매</t>
        </is>
      </c>
      <c r="K1671" s="6">
        <f>HYPERLINK("https://fin.land.naver.com/articles/2646189999",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전원</t>
        </is>
      </c>
      <c r="O1671" s="4" t="n">
        <v>2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nan</t>
        </is>
      </c>
      <c r="K1672" s="6">
        <f>HYPERLINK("https://fin.land.naver.com/articles/2642864840",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디아트성심</t>
        </is>
      </c>
      <c r="O1672" s="4" t="n">
        <v>1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106</v>
      </c>
      <c r="H1673" s="5" t="n">
        <v>754.7</v>
      </c>
      <c r="I1673" s="5" t="n">
        <v>403</v>
      </c>
      <c r="J1673" s="3" t="inlineStr">
        <is>
          <t>공원 인근, 조용한고 편리한 단독주택지 토지매매</t>
        </is>
      </c>
      <c r="K1673" s="6">
        <f>HYPERLINK("https://fin.land.naver.com/articles/2644070631",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세종무지개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생활 인프라가 완비된 2생활권 내 희소성 높은 알짜 토지.</t>
        </is>
      </c>
      <c r="K1678" s="6">
        <f>HYPERLINK("https://fin.land.naver.com/articles/2648288398",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이룸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나리꽃어린이공원  인접,학군 한솔초.중.고, 이마트 인근,가격조정가능</t>
        </is>
      </c>
      <c r="K1679" s="6">
        <f>HYPERLINK("https://fin.land.naver.com/articles/2647522138",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고운맘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해밀동 가격 좋은 단독주택 매매, 공원인근</t>
        </is>
      </c>
      <c r="K1692" s="6">
        <f>HYPERLINK("https://fin.land.naver.com/articles/2647424555",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세종무지개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남향 원수산조망 뒷쪽 보행로접</t>
        </is>
      </c>
      <c r="K1693" s="6">
        <f>HYPERLINK("https://fin.land.naver.com/articles/2648046733",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세종스타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3" t="inlineStr">
        <is>
          <t>태광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3" t="inlineStr">
        <is>
          <t>위더스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3" t="inlineStr">
        <is>
          <t>골든타임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296</v>
      </c>
      <c r="K12" s="5" t="n">
        <v>0.7</v>
      </c>
      <c r="L12" s="3" t="inlineStr">
        <is>
          <t>2</t>
        </is>
      </c>
      <c r="M12" s="3" t="inlineStr">
        <is>
          <t>-</t>
        </is>
      </c>
      <c r="N12" s="3" t="inlineStr"/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3" t="inlineStr">
        <is>
          <t>제이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3" t="inlineStr">
        <is>
          <t>(주)미르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148</v>
      </c>
      <c r="K16" s="5" t="n">
        <v>1.4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3" t="inlineStr">
        <is>
          <t>더오름</t>
        </is>
      </c>
      <c r="S16" s="4" t="n">
        <v>2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1776</v>
      </c>
      <c r="I17" s="5" t="n">
        <v>337.8</v>
      </c>
      <c r="J17" s="4" t="n">
        <v>821</v>
      </c>
      <c r="K17" s="5" t="n">
        <v>730.8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3" t="inlineStr">
        <is>
          <t>더원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3" t="inlineStr">
        <is>
          <t>(주)미르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1630</v>
      </c>
      <c r="I29" s="5" t="n">
        <v>0.2</v>
      </c>
      <c r="J29" s="4" t="n">
        <v>170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3" t="inlineStr">
        <is>
          <t>더원</t>
        </is>
      </c>
      <c r="S29" s="4" t="n">
        <v>2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1630</v>
      </c>
      <c r="I30" s="5" t="n">
        <v>0.2</v>
      </c>
      <c r="J30" s="4" t="n">
        <v>170</v>
      </c>
      <c r="K30" s="5" t="n">
        <v>2.1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3" t="inlineStr">
        <is>
          <t>태광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3" t="inlineStr">
        <is>
          <t>(주)미르</t>
        </is>
      </c>
      <c r="S35" s="4" t="n">
        <v>2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14545</v>
      </c>
      <c r="I42" s="5" t="n">
        <v>137.5</v>
      </c>
      <c r="J42" s="4" t="n">
        <v>5985</v>
      </c>
      <c r="K42" s="5" t="n">
        <v>334.2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3" t="inlineStr">
        <is>
          <t>(주)미르</t>
        </is>
      </c>
      <c r="S42" s="4" t="n">
        <v>2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14546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3" t="inlineStr">
        <is>
          <t>세종로또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1783</v>
      </c>
      <c r="K45" s="5" t="n">
        <v>1121.7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14545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3" t="inlineStr">
        <is>
          <t>더원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14546</v>
      </c>
      <c r="I47" s="5" t="n">
        <v>151.2</v>
      </c>
      <c r="J47" s="4" t="n">
        <v>5985</v>
      </c>
      <c r="K47" s="5" t="n">
        <v>367.6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3" t="inlineStr">
        <is>
          <t>금화랜드</t>
        </is>
      </c>
      <c r="S47" s="4" t="n">
        <v>1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14546</v>
      </c>
      <c r="I48" s="5" t="n">
        <v>137.5</v>
      </c>
      <c r="J48" s="4" t="n">
        <v>5985</v>
      </c>
      <c r="K48" s="5" t="n">
        <v>334.2</v>
      </c>
      <c r="L48" s="3" t="inlineStr">
        <is>
          <t>1</t>
        </is>
      </c>
      <c r="M48" s="3" t="inlineStr">
        <is>
          <t>B2</t>
        </is>
      </c>
      <c r="N48" s="3" t="inlineStr"/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3" t="inlineStr">
        <is>
          <t>벤처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3" t="inlineStr">
        <is>
          <t>토담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3" t="inlineStr">
        <is>
          <t>대지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2530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3" t="inlineStr">
        <is>
          <t>(주)미르</t>
        </is>
      </c>
      <c r="S55" s="4" t="n">
        <v>2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3" t="inlineStr">
        <is>
          <t>태광</t>
        </is>
      </c>
      <c r="S56" s="4" t="n">
        <v>1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3" t="inlineStr">
        <is>
          <t>플러스자이합동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2536</v>
      </c>
      <c r="I58" s="5" t="n">
        <v>232.6</v>
      </c>
      <c r="J58" s="4" t="n">
        <v>1008</v>
      </c>
      <c r="K58" s="5" t="n">
        <v>585.3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3" t="inlineStr">
        <is>
          <t>태성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3" t="inlineStr">
        <is>
          <t>복댕이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455</v>
      </c>
      <c r="K67" s="5" t="n">
        <v>2637.4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3" t="inlineStr">
        <is>
          <t>청담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481</v>
      </c>
      <c r="I68" s="5" t="n">
        <v>3118.5</v>
      </c>
      <c r="J68" s="4" t="n">
        <v>284</v>
      </c>
      <c r="K68" s="5" t="n">
        <v>5281.7</v>
      </c>
      <c r="L68" s="3" t="inlineStr">
        <is>
          <t>3</t>
        </is>
      </c>
      <c r="M68" s="3" t="inlineStr">
        <is>
          <t>-</t>
        </is>
      </c>
      <c r="N68" s="3" t="inlineStr"/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3" t="inlineStr">
        <is>
          <t>고덕태양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364</v>
      </c>
      <c r="K69" s="5" t="n">
        <v>3296.7</v>
      </c>
      <c r="L69" s="3" t="inlineStr">
        <is>
          <t>4</t>
        </is>
      </c>
      <c r="M69" s="3" t="inlineStr">
        <is>
          <t>-</t>
        </is>
      </c>
      <c r="N69" s="3" t="inlineStr"/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3" t="inlineStr">
        <is>
          <t>더원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3" t="inlineStr">
        <is>
          <t>더오름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3" t="inlineStr">
        <is>
          <t>청주1등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3" t="inlineStr">
        <is>
          <t>테크노비타사사무소</t>
        </is>
      </c>
      <c r="S75" s="4" t="n">
        <v>1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3" t="inlineStr">
        <is>
          <t>수풀림</t>
        </is>
      </c>
      <c r="S76" s="4" t="n">
        <v>3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180</v>
      </c>
      <c r="K77" s="5" t="n">
        <v>1555.6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3" t="inlineStr">
        <is>
          <t>오송k랜드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5000</v>
      </c>
      <c r="G79" s="4" t="n">
        <v>500</v>
      </c>
      <c r="H79" s="4" t="n">
        <v>889</v>
      </c>
      <c r="I79" s="5" t="n">
        <v>0.6</v>
      </c>
      <c r="J79" s="4" t="n">
        <v>181</v>
      </c>
      <c r="K79" s="5" t="n">
        <v>2.8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3" t="inlineStr">
        <is>
          <t>더원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3" t="inlineStr">
        <is>
          <t>더원</t>
        </is>
      </c>
      <c r="S82" s="4" t="n">
        <v>1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3736</v>
      </c>
      <c r="I84" s="5" t="n">
        <v>160.6</v>
      </c>
      <c r="J84" s="4" t="n">
        <v>1406</v>
      </c>
      <c r="K84" s="5" t="n">
        <v>426.7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3" t="inlineStr">
        <is>
          <t>세종로또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3</t>
        </is>
      </c>
      <c r="M85" s="3" t="inlineStr">
        <is>
          <t>-</t>
        </is>
      </c>
      <c r="N85" s="3" t="inlineStr"/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3" t="inlineStr">
        <is>
          <t>금화랜드</t>
        </is>
      </c>
      <c r="S85" s="4" t="n">
        <v>2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3</t>
        </is>
      </c>
      <c r="M86" s="3" t="inlineStr">
        <is>
          <t>-</t>
        </is>
      </c>
      <c r="N86" s="3" t="inlineStr"/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3" t="inlineStr">
        <is>
          <t>금화랜드</t>
        </is>
      </c>
      <c r="S86" s="4" t="n">
        <v>3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0</v>
      </c>
      <c r="H87" s="4" t="n">
        <v>3736</v>
      </c>
      <c r="I87" s="5" t="n">
        <v>0</v>
      </c>
      <c r="J87" s="4" t="n">
        <v>1406</v>
      </c>
      <c r="K87" s="5" t="n">
        <v>0</v>
      </c>
      <c r="L87" s="3" t="inlineStr">
        <is>
          <t>2</t>
        </is>
      </c>
      <c r="M87" s="3" t="inlineStr">
        <is>
          <t>B2</t>
        </is>
      </c>
      <c r="N87" s="3" t="inlineStr"/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3" t="inlineStr">
        <is>
          <t>세종로또</t>
        </is>
      </c>
      <c r="S87" s="4" t="n">
        <v>1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0</v>
      </c>
      <c r="H89" s="4" t="n">
        <v>1150</v>
      </c>
      <c r="I89" s="5" t="n">
        <v>0</v>
      </c>
      <c r="J89" s="4" t="n">
        <v>1150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3" t="inlineStr">
        <is>
          <t>태광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3" t="inlineStr">
        <is>
          <t>더원</t>
        </is>
      </c>
      <c r="S90" s="4" t="n">
        <v>2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2783</v>
      </c>
      <c r="I91" s="5" t="n">
        <v>0</v>
      </c>
      <c r="J91" s="4" t="n">
        <v>671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63252</v>
      </c>
      <c r="I92" s="5" t="n">
        <v>0</v>
      </c>
      <c r="J92" s="4" t="n">
        <v>2944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2898</v>
      </c>
      <c r="I93" s="5" t="n">
        <v>0</v>
      </c>
      <c r="J93" s="4" t="n">
        <v>1580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3" t="inlineStr">
        <is>
          <t>태광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9763</v>
      </c>
      <c r="I94" s="5" t="n">
        <v>0</v>
      </c>
      <c r="J94" s="4" t="n">
        <v>1580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3" t="inlineStr">
        <is>
          <t>더원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24000</v>
      </c>
      <c r="G95" s="4" t="n">
        <v>0</v>
      </c>
      <c r="H95" s="4" t="n">
        <v>3000</v>
      </c>
      <c r="I95" s="5" t="n">
        <v>0</v>
      </c>
      <c r="J95" s="4" t="n">
        <v>1139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3" t="inlineStr">
        <is>
          <t>더원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73500</v>
      </c>
      <c r="G96" s="4" t="n">
        <v>0</v>
      </c>
      <c r="H96" s="4" t="n">
        <v>63252</v>
      </c>
      <c r="I96" s="5" t="n">
        <v>0</v>
      </c>
      <c r="J96" s="4" t="n">
        <v>2944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3" t="inlineStr">
        <is>
          <t>(주)미르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B1</t>
        </is>
      </c>
      <c r="N97" s="3" t="inlineStr"/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3" t="inlineStr">
        <is>
          <t>제이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253</v>
      </c>
      <c r="I98" s="5" t="n">
        <v>336</v>
      </c>
      <c r="J98" s="4" t="n">
        <v>99</v>
      </c>
      <c r="K98" s="5" t="n">
        <v>858.6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3" t="inlineStr">
        <is>
          <t>창고의여왕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87000</v>
      </c>
      <c r="G100" s="4" t="n">
        <v>0</v>
      </c>
      <c r="H100" s="4" t="n">
        <v>254</v>
      </c>
      <c r="I100" s="5" t="n">
        <v>342.5</v>
      </c>
      <c r="J100" s="4" t="n">
        <v>99</v>
      </c>
      <c r="K100" s="5" t="n">
        <v>878.8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3" t="inlineStr">
        <is>
          <t>청주합동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253</v>
      </c>
      <c r="I101" s="5" t="n">
        <v>1</v>
      </c>
      <c r="J101" s="4" t="n">
        <v>99</v>
      </c>
      <c r="K101" s="5" t="n">
        <v>2.5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3" t="inlineStr">
        <is>
          <t>청주합동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254</v>
      </c>
      <c r="I102" s="5" t="n">
        <v>334.6</v>
      </c>
      <c r="J102" s="4" t="n">
        <v>99</v>
      </c>
      <c r="K102" s="5" t="n">
        <v>858.6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3" t="inlineStr">
        <is>
          <t>더원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3" t="inlineStr">
        <is>
          <t>창고의여왕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3" t="inlineStr">
        <is>
          <t>태광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3" t="inlineStr">
        <is>
          <t>더원</t>
        </is>
      </c>
      <c r="S107" s="4" t="n">
        <v>1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3" t="inlineStr">
        <is>
          <t>태광</t>
        </is>
      </c>
      <c r="S108" s="4" t="n">
        <v>2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3" t="inlineStr">
        <is>
          <t>태성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1059</v>
      </c>
      <c r="I111" s="5" t="n">
        <v>0.8</v>
      </c>
      <c r="J111" s="4" t="n">
        <v>421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3" t="inlineStr">
        <is>
          <t>태광</t>
        </is>
      </c>
      <c r="S111" s="4" t="n">
        <v>1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1059</v>
      </c>
      <c r="I112" s="5" t="n">
        <v>0.4</v>
      </c>
      <c r="J112" s="4" t="n">
        <v>218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3" t="inlineStr">
        <is>
          <t>태성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1059</v>
      </c>
      <c r="I113" s="5" t="n">
        <v>0.4</v>
      </c>
      <c r="J113" s="4" t="n">
        <v>203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3" t="inlineStr">
        <is>
          <t>나는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1059</v>
      </c>
      <c r="I114" s="5" t="n">
        <v>0.4</v>
      </c>
      <c r="J114" s="4" t="n">
        <v>218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3" t="inlineStr">
        <is>
          <t>더원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1059</v>
      </c>
      <c r="I115" s="5" t="n">
        <v>0.8</v>
      </c>
      <c r="J115" s="4" t="n">
        <v>421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3" t="inlineStr">
        <is>
          <t>태성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1059</v>
      </c>
      <c r="I117" s="5" t="n">
        <v>0.8</v>
      </c>
      <c r="J117" s="4" t="n">
        <v>421</v>
      </c>
      <c r="K117" s="5" t="n">
        <v>2.1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3" t="inlineStr">
        <is>
          <t>청담</t>
        </is>
      </c>
      <c r="S117" s="4" t="n">
        <v>4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434</v>
      </c>
      <c r="I118" s="5" t="n">
        <v>0.5</v>
      </c>
      <c r="J118" s="4" t="n">
        <v>91</v>
      </c>
      <c r="K118" s="5" t="n">
        <v>2.5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2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434</v>
      </c>
      <c r="I119" s="5" t="n">
        <v>0.3</v>
      </c>
      <c r="J119" s="4" t="n">
        <v>58</v>
      </c>
      <c r="K119" s="5" t="n">
        <v>2.2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1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3" t="inlineStr">
        <is>
          <t>더원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630</v>
      </c>
      <c r="K121" s="5" t="n">
        <v>555.6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3" t="inlineStr">
        <is>
          <t>금호사랑</t>
        </is>
      </c>
      <c r="S121" s="4" t="n">
        <v>1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811</v>
      </c>
      <c r="K122" s="5" t="n">
        <v>431.6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3" t="inlineStr">
        <is>
          <t>(주)미르</t>
        </is>
      </c>
      <c r="S122" s="4" t="n">
        <v>2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3" t="inlineStr">
        <is>
          <t>(주)미르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3" t="inlineStr">
        <is>
          <t>더원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1516</v>
      </c>
      <c r="I130" s="5" t="n">
        <v>0.5</v>
      </c>
      <c r="J130" s="4" t="n">
        <v>464</v>
      </c>
      <c r="K130" s="5" t="n">
        <v>1.7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1516</v>
      </c>
      <c r="I131" s="5" t="n">
        <v>184.7</v>
      </c>
      <c r="J131" s="4" t="n">
        <v>464</v>
      </c>
      <c r="K131" s="5" t="n">
        <v>603.4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3" t="inlineStr">
        <is>
          <t>대박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3" t="inlineStr">
        <is>
          <t>e플러스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3" t="inlineStr">
        <is>
          <t>더원</t>
        </is>
      </c>
      <c r="S138" s="4" t="n">
        <v>3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3" t="inlineStr">
        <is>
          <t>창고의여왕</t>
        </is>
      </c>
      <c r="S139" s="4" t="n">
        <v>2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3" t="inlineStr">
        <is>
          <t>더행복</t>
        </is>
      </c>
      <c r="S143" s="4" t="n">
        <v>1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3" t="inlineStr">
        <is>
          <t>KS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3" t="inlineStr">
        <is>
          <t>제이</t>
        </is>
      </c>
      <c r="S145" s="4" t="n">
        <v>5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756</v>
      </c>
      <c r="I147" s="5" t="n">
        <v>264.6</v>
      </c>
      <c r="J147" s="4" t="n">
        <v>228</v>
      </c>
      <c r="K147" s="5" t="n">
        <v>877.2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3" t="inlineStr">
        <is>
          <t>드림옥션사무소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756</v>
      </c>
      <c r="I150" s="5" t="n">
        <v>277.8</v>
      </c>
      <c r="J150" s="4" t="n">
        <v>228</v>
      </c>
      <c r="K150" s="5" t="n">
        <v>921.1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3" t="inlineStr">
        <is>
          <t>더원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2602</v>
      </c>
      <c r="I151" s="5" t="n">
        <v>219.1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/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3" t="inlineStr">
        <is>
          <t>SK랜드</t>
        </is>
      </c>
      <c r="S151" s="4" t="n">
        <v>3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2900</v>
      </c>
      <c r="I152" s="5" t="n">
        <v>196.6</v>
      </c>
      <c r="J152" s="4" t="n">
        <v>542</v>
      </c>
      <c r="K152" s="5" t="n">
        <v>1051.7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3" t="inlineStr">
        <is>
          <t>미더스</t>
        </is>
      </c>
      <c r="S152" s="4" t="n">
        <v>2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2894</v>
      </c>
      <c r="I153" s="5" t="n">
        <v>0</v>
      </c>
      <c r="J153" s="4" t="n">
        <v>542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3" t="inlineStr">
        <is>
          <t>(주)미르</t>
        </is>
      </c>
      <c r="S153" s="4" t="n">
        <v>1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2602</v>
      </c>
      <c r="I154" s="5" t="n">
        <v>0</v>
      </c>
      <c r="J154" s="4" t="n">
        <v>542</v>
      </c>
      <c r="K154" s="5" t="n">
        <v>0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3" t="inlineStr">
        <is>
          <t>불당대원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2602</v>
      </c>
      <c r="I155" s="5" t="n">
        <v>0</v>
      </c>
      <c r="J155" s="4" t="n">
        <v>542</v>
      </c>
      <c r="K155" s="5" t="n">
        <v>0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3" t="inlineStr">
        <is>
          <t>금화랜드</t>
        </is>
      </c>
      <c r="S155" s="4" t="n">
        <v>1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426</v>
      </c>
      <c r="K158" s="5" t="n">
        <v>1760.6</v>
      </c>
      <c r="L158" s="3" t="inlineStr">
        <is>
          <t>2</t>
        </is>
      </c>
      <c r="M158" s="3" t="inlineStr">
        <is>
          <t>-</t>
        </is>
      </c>
      <c r="N158" s="3" t="inlineStr"/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3" t="inlineStr">
        <is>
          <t>다온</t>
        </is>
      </c>
      <c r="S158" s="4" t="n">
        <v>1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697</v>
      </c>
      <c r="K159" s="5" t="n">
        <v>1076</v>
      </c>
      <c r="L159" s="3" t="inlineStr">
        <is>
          <t>1</t>
        </is>
      </c>
      <c r="M159" s="3" t="inlineStr">
        <is>
          <t>B1</t>
        </is>
      </c>
      <c r="N159" s="3" t="inlineStr"/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3" t="inlineStr">
        <is>
          <t>라이프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3" t="inlineStr">
        <is>
          <t>(주)미르</t>
        </is>
      </c>
      <c r="S160" s="4" t="n">
        <v>3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3" t="inlineStr">
        <is>
          <t>(주)미르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3" t="inlineStr">
        <is>
          <t>더원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59</v>
      </c>
      <c r="I167" s="5" t="n">
        <v>2.4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B1</t>
        </is>
      </c>
      <c r="N167" s="3" t="inlineStr"/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3" t="inlineStr">
        <is>
          <t>세종잘하는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756</v>
      </c>
      <c r="I168" s="5" t="n">
        <v>0.2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3" t="inlineStr">
        <is>
          <t>창고의여왕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3" t="inlineStr">
        <is>
          <t>세종행복한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100</v>
      </c>
      <c r="I170" s="5" t="n">
        <v>1.4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3" t="inlineStr">
        <is>
          <t>태광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869</v>
      </c>
      <c r="I175" s="5" t="n">
        <v>276.2</v>
      </c>
      <c r="J175" s="4" t="n">
        <v>416</v>
      </c>
      <c r="K175" s="5" t="n">
        <v>576.9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3" t="inlineStr">
        <is>
          <t>대전토지로무소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401</v>
      </c>
      <c r="I176" s="5" t="n">
        <v>0.6</v>
      </c>
      <c r="J176" s="4" t="n">
        <v>281</v>
      </c>
      <c r="K176" s="5" t="n">
        <v>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3" t="inlineStr">
        <is>
          <t>어반나래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516</v>
      </c>
      <c r="I177" s="5" t="n">
        <v>251.9</v>
      </c>
      <c r="J177" s="4" t="n">
        <v>281</v>
      </c>
      <c r="K177" s="5" t="n">
        <v>462.6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6477</v>
      </c>
      <c r="I182" s="5" t="n">
        <v>0.1</v>
      </c>
      <c r="J182" s="4" t="n">
        <v>230</v>
      </c>
      <c r="K182" s="5" t="n">
        <v>3.7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3" t="inlineStr">
        <is>
          <t>태광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0</v>
      </c>
      <c r="H183" s="4" t="n">
        <v>6477</v>
      </c>
      <c r="I183" s="5" t="n">
        <v>0</v>
      </c>
      <c r="J183" s="4" t="n">
        <v>290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3" t="inlineStr">
        <is>
          <t>더원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2556</v>
      </c>
      <c r="I190" s="5" t="n">
        <v>0.4</v>
      </c>
      <c r="J190" s="4" t="n">
        <v>1282</v>
      </c>
      <c r="K190" s="5" t="n">
        <v>0.7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3" t="inlineStr">
        <is>
          <t>대박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2955</v>
      </c>
      <c r="I191" s="5" t="n">
        <v>0</v>
      </c>
      <c r="J191" s="4" t="n">
        <v>1310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3" t="inlineStr">
        <is>
          <t>금화랜드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3" t="inlineStr">
        <is>
          <t>(주)미르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3" t="inlineStr">
        <is>
          <t>더원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2122</v>
      </c>
      <c r="I202" s="5" t="n">
        <v>0.2</v>
      </c>
      <c r="J202" s="4" t="n">
        <v>1245</v>
      </c>
      <c r="K202" s="5" t="n">
        <v>0.3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3" t="inlineStr">
        <is>
          <t>주식회사 대기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396</v>
      </c>
      <c r="H203" s="4" t="n">
        <v>2122</v>
      </c>
      <c r="I203" s="5" t="n">
        <v>0.2</v>
      </c>
      <c r="J203" s="4" t="n">
        <v>180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/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3" t="inlineStr">
        <is>
          <t>e플러스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2122</v>
      </c>
      <c r="I204" s="5" t="n">
        <v>0.1</v>
      </c>
      <c r="J204" s="4" t="n">
        <v>1245</v>
      </c>
      <c r="K204" s="5" t="n">
        <v>0.2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</v>
      </c>
      <c r="I205" s="5" t="n">
        <v>219.5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3" t="inlineStr">
        <is>
          <t>금화랜드</t>
        </is>
      </c>
      <c r="S205" s="4" t="n">
        <v>2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30532</v>
      </c>
      <c r="I206" s="5" t="n">
        <v>21.9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3" t="inlineStr">
        <is>
          <t>복댕이</t>
        </is>
      </c>
      <c r="S206" s="4" t="n">
        <v>1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3" t="inlineStr">
        <is>
          <t>지제역</t>
        </is>
      </c>
      <c r="S209" s="4" t="n">
        <v>1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3" t="inlineStr">
        <is>
          <t>자이원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2</t>
        </is>
      </c>
      <c r="M211" s="3" t="inlineStr">
        <is>
          <t>B1</t>
        </is>
      </c>
      <c r="N211" s="3" t="inlineStr"/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3" t="inlineStr">
        <is>
          <t>명진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3" t="inlineStr">
        <is>
          <t>미더스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B1</t>
        </is>
      </c>
      <c r="N213" s="3" t="inlineStr"/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3" t="inlineStr">
        <is>
          <t>(주)미르</t>
        </is>
      </c>
      <c r="S213" s="4" t="n">
        <v>3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3" t="inlineStr">
        <is>
          <t>더원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562</v>
      </c>
      <c r="I215" s="5" t="n">
        <v>551.6</v>
      </c>
      <c r="J215" s="4" t="n">
        <v>379</v>
      </c>
      <c r="K215" s="5" t="n">
        <v>817.9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3" t="inlineStr">
        <is>
          <t>비타민무소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562</v>
      </c>
      <c r="I219" s="5" t="n">
        <v>462.6</v>
      </c>
      <c r="J219" s="4" t="n">
        <v>379</v>
      </c>
      <c r="K219" s="5" t="n">
        <v>686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3" t="inlineStr">
        <is>
          <t>번영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3" t="inlineStr">
        <is>
          <t>청담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3" t="inlineStr">
        <is>
          <t>뉴스카이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3" t="inlineStr">
        <is>
          <t>북세종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3" t="inlineStr">
        <is>
          <t>더오름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3" t="inlineStr">
        <is>
          <t>지성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281</v>
      </c>
      <c r="I229" s="5" t="n">
        <v>0.5</v>
      </c>
      <c r="J229" s="4" t="n">
        <v>147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3" t="inlineStr">
        <is>
          <t>엄지척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282</v>
      </c>
      <c r="I230" s="5" t="n">
        <v>0.5</v>
      </c>
      <c r="J230" s="4" t="n">
        <v>148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3" t="inlineStr">
        <is>
          <t>도안우미린사랑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975</v>
      </c>
      <c r="I231" s="5" t="n">
        <v>0.5</v>
      </c>
      <c r="J231" s="4" t="n">
        <v>180</v>
      </c>
      <c r="K231" s="5" t="n">
        <v>2.8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3" t="inlineStr">
        <is>
          <t>청담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981</v>
      </c>
      <c r="I232" s="5" t="n">
        <v>0.2</v>
      </c>
      <c r="J232" s="4" t="n">
        <v>16</v>
      </c>
      <c r="K232" s="5" t="n">
        <v>11.2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3" t="inlineStr">
        <is>
          <t>THE행복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3" t="inlineStr">
        <is>
          <t>위더스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547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3" t="inlineStr">
        <is>
          <t>청주1등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1176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3" t="inlineStr">
        <is>
          <t>청담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526</v>
      </c>
      <c r="I244" s="5" t="n">
        <v>0.6</v>
      </c>
      <c r="J244" s="4" t="n">
        <v>133</v>
      </c>
      <c r="K244" s="5" t="n">
        <v>2.3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3" t="inlineStr">
        <is>
          <t>프로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2</t>
        </is>
      </c>
      <c r="M245" s="3" t="inlineStr">
        <is>
          <t>-</t>
        </is>
      </c>
      <c r="N245" s="3" t="inlineStr"/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3" t="inlineStr">
        <is>
          <t>청주1등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526</v>
      </c>
      <c r="I246" s="5" t="n">
        <v>0.5</v>
      </c>
      <c r="J246" s="4" t="n">
        <v>133</v>
      </c>
      <c r="K246" s="5" t="n">
        <v>1.9</v>
      </c>
      <c r="L246" s="3" t="inlineStr">
        <is>
          <t>1</t>
        </is>
      </c>
      <c r="M246" s="3" t="inlineStr">
        <is>
          <t>B1</t>
        </is>
      </c>
      <c r="N246" s="3" t="inlineStr"/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3" t="inlineStr">
        <is>
          <t>에이스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656</v>
      </c>
      <c r="I252" s="5" t="n">
        <v>533.5</v>
      </c>
      <c r="J252" s="4" t="n">
        <v>302</v>
      </c>
      <c r="K252" s="5" t="n">
        <v>1158.9</v>
      </c>
      <c r="L252" s="3" t="inlineStr">
        <is>
          <t>2</t>
        </is>
      </c>
      <c r="M252" s="3" t="inlineStr">
        <is>
          <t>B1</t>
        </is>
      </c>
      <c r="N252" s="3" t="inlineStr"/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3" t="inlineStr">
        <is>
          <t>우리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/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3" t="inlineStr">
        <is>
          <t>자이원</t>
        </is>
      </c>
      <c r="S253" s="4" t="n">
        <v>2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656</v>
      </c>
      <c r="I254" s="5" t="n">
        <v>533.5</v>
      </c>
      <c r="J254" s="4" t="n">
        <v>302</v>
      </c>
      <c r="K254" s="5" t="n">
        <v>1158.9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3" t="inlineStr">
        <is>
          <t>더원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B1</t>
        </is>
      </c>
      <c r="N255" s="3" t="inlineStr"/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3" t="inlineStr">
        <is>
          <t>우리</t>
        </is>
      </c>
      <c r="S255" s="4" t="n">
        <v>1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656</v>
      </c>
      <c r="I257" s="5" t="n">
        <v>533.5</v>
      </c>
      <c r="J257" s="4" t="n">
        <v>179</v>
      </c>
      <c r="K257" s="5" t="n">
        <v>1955.3</v>
      </c>
      <c r="L257" s="3" t="inlineStr">
        <is>
          <t>1</t>
        </is>
      </c>
      <c r="M257" s="3" t="inlineStr">
        <is>
          <t>-</t>
        </is>
      </c>
      <c r="N257" s="3" t="inlineStr"/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3" t="inlineStr">
        <is>
          <t>오송2단지창조</t>
        </is>
      </c>
      <c r="S257" s="4" t="n">
        <v>3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656</v>
      </c>
      <c r="I258" s="5" t="n">
        <v>0</v>
      </c>
      <c r="J258" s="4" t="n">
        <v>302</v>
      </c>
      <c r="K258" s="5" t="n">
        <v>0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656</v>
      </c>
      <c r="I259" s="5" t="n">
        <v>0</v>
      </c>
      <c r="J259" s="4" t="n">
        <v>302</v>
      </c>
      <c r="K259" s="5" t="n">
        <v>0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3" t="inlineStr">
        <is>
          <t>(주)미르</t>
        </is>
      </c>
      <c r="S259" s="4" t="n">
        <v>2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3266</v>
      </c>
      <c r="I260" s="5" t="n">
        <v>0</v>
      </c>
      <c r="J260" s="4" t="n">
        <v>700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3" t="inlineStr">
        <is>
          <t>(주)미르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3266</v>
      </c>
      <c r="I261" s="5" t="n">
        <v>1530.9</v>
      </c>
      <c r="J261" s="4" t="n">
        <v>4465</v>
      </c>
      <c r="K261" s="5" t="n">
        <v>1119.8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3" t="inlineStr">
        <is>
          <t>월드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3" t="inlineStr">
        <is>
          <t>월드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3" t="inlineStr">
        <is>
          <t>(주)미르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0</v>
      </c>
      <c r="H264" s="4" t="n">
        <v>3266</v>
      </c>
      <c r="I264" s="5" t="n">
        <v>0</v>
      </c>
      <c r="J264" s="4" t="n">
        <v>1094</v>
      </c>
      <c r="K264" s="5" t="n">
        <v>0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3266</v>
      </c>
      <c r="I265" s="5" t="n">
        <v>0</v>
      </c>
      <c r="J265" s="4" t="n">
        <v>4557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3" t="inlineStr">
        <is>
          <t>금화랜드</t>
        </is>
      </c>
      <c r="S265" s="4" t="n">
        <v>2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3" t="inlineStr">
        <is>
          <t>더원</t>
        </is>
      </c>
      <c r="S266" s="4" t="n">
        <v>1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3266</v>
      </c>
      <c r="I268" s="5" t="n">
        <v>0</v>
      </c>
      <c r="J268" s="4" t="n">
        <v>4557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3" t="inlineStr">
        <is>
          <t>금화랜드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3266</v>
      </c>
      <c r="I269" s="5" t="n">
        <v>0</v>
      </c>
      <c r="J269" s="4" t="n">
        <v>4557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3" t="inlineStr">
        <is>
          <t>더원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2995</v>
      </c>
      <c r="K270" s="5" t="n">
        <v>384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3" t="inlineStr">
        <is>
          <t>일오팔팔(주)</t>
        </is>
      </c>
      <c r="S270" s="4" t="n">
        <v>3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45000</v>
      </c>
      <c r="G271" s="4" t="n">
        <v>0</v>
      </c>
      <c r="H271" s="4" t="n">
        <v>1512</v>
      </c>
      <c r="I271" s="5" t="n">
        <v>0</v>
      </c>
      <c r="J271" s="4" t="n">
        <v>2963</v>
      </c>
      <c r="K271" s="5" t="n">
        <v>0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3" t="inlineStr">
        <is>
          <t>(주)미르</t>
        </is>
      </c>
      <c r="S271" s="4" t="n">
        <v>1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1512</v>
      </c>
      <c r="I272" s="5" t="n">
        <v>760.6</v>
      </c>
      <c r="J272" s="4" t="n">
        <v>2963</v>
      </c>
      <c r="K272" s="5" t="n">
        <v>388.1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3" t="inlineStr">
        <is>
          <t>더원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가격조율 가능, 이사협의, 태양광 설치, 시스템에어컨 9대</t>
        </is>
      </c>
      <c r="P6" s="6">
        <f>HYPERLINK("https://fin.land.naver.com/articles/2645034372", "매물Link")</f>
        <v/>
      </c>
      <c r="Q6" s="6">
        <f>HYPERLINK("https://map.naver.com/p/search/고운동 1116", "지도Link")</f>
        <v/>
      </c>
      <c r="R6" s="3" t="inlineStr">
        <is>
          <t>이즈 세종백화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3" t="inlineStr">
        <is>
          <t>세종무지개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131400</v>
      </c>
      <c r="G27" s="4" t="n">
        <v>0</v>
      </c>
      <c r="H27" s="4" t="n">
        <v>112</v>
      </c>
      <c r="I27" s="5" t="n">
        <v>1173.2</v>
      </c>
      <c r="J27" s="4" t="n">
        <v>68</v>
      </c>
      <c r="K27" s="5" t="n">
        <v>1932.4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98</v>
      </c>
      <c r="I29" s="5" t="n">
        <v>1632.7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3" t="inlineStr">
        <is>
          <t>세종무지개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107</v>
      </c>
      <c r="I31" s="5" t="n">
        <v>1192.5</v>
      </c>
      <c r="J31" s="4" t="n">
        <v>68</v>
      </c>
      <c r="K31" s="5" t="n">
        <v>1876.5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2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A타입 타운하우스매매, 입지 굿, 학교 인접, 협의입주</t>
        </is>
      </c>
      <c r="P33" s="6">
        <f>HYPERLINK("https://fin.land.naver.com/articles/2642868226",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140000</v>
      </c>
      <c r="G34" s="4" t="n">
        <v>0</v>
      </c>
      <c r="H34" s="4" t="n">
        <v>90</v>
      </c>
      <c r="I34" s="5" t="n">
        <v>1555.6</v>
      </c>
      <c r="J34" s="4" t="n">
        <v>77</v>
      </c>
      <c r="K34" s="5" t="n">
        <v>1818.2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C타입 타운하우스, 급매, 입지 굿, 학교 인접, 협의입주</t>
        </is>
      </c>
      <c r="P34" s="6">
        <f>HYPERLINK("https://fin.land.naver.com/articles/2642888969", "매물Link")</f>
        <v/>
      </c>
      <c r="Q34" s="6">
        <f>HYPERLINK("https://map.naver.com/p/search/고운동 2085", "지도Link")</f>
        <v/>
      </c>
      <c r="R34" s="3" t="inlineStr">
        <is>
          <t>명진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3" t="inlineStr">
        <is>
          <t>고운힐스테이트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102</v>
      </c>
      <c r="I38" s="5" t="n">
        <v>1568.6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 최고 거주 및 투자추천, 선임대 맞춰짐, 실입주도 협의가능,</t>
        </is>
      </c>
      <c r="P38" s="6">
        <f>HYPERLINK("https://fin.land.naver.com/articles/2648367997", "매물Link")</f>
        <v/>
      </c>
      <c r="Q38" s="6">
        <f>HYPERLINK("https://map.naver.com/p/search/고운동 2085", "지도Link")</f>
        <v/>
      </c>
      <c r="R38" s="3" t="inlineStr">
        <is>
          <t>백프로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158000</v>
      </c>
      <c r="G39" s="4" t="n">
        <v>0</v>
      </c>
      <c r="H39" s="4" t="n">
        <v>126</v>
      </c>
      <c r="I39" s="5" t="n">
        <v>1254</v>
      </c>
      <c r="J39" s="4" t="n">
        <v>77</v>
      </c>
      <c r="K39" s="5" t="n">
        <v>2051.9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입지좋은 타운하우스매매, C타입, 온빛초, 정남향</t>
        </is>
      </c>
      <c r="P40" s="6">
        <f>HYPERLINK("https://fin.land.naver.com/articles/2642687568", "매물Link")</f>
        <v/>
      </c>
      <c r="Q40" s="6">
        <f>HYPERLINK("https://map.naver.com/p/search/고운동 2085", "지도Link")</f>
        <v/>
      </c>
      <c r="R40" s="3" t="inlineStr">
        <is>
          <t>세종무지개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희소성 높은 한옥 매매, 학군과 입지 좋은 위치</t>
        </is>
      </c>
      <c r="P44" s="6">
        <f>HYPERLINK("https://fin.land.naver.com/articles/2644481775", "매물Link")</f>
        <v/>
      </c>
      <c r="Q44" s="6">
        <f>HYPERLINK("https://map.naver.com/p/search/고운동 2176", "지도Link")</f>
        <v/>
      </c>
      <c r="R44" s="3" t="inlineStr">
        <is>
          <t>세종무지개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조율 가능 . 한 옥 단층 ,관리 잘된 집. 마당이 이뻐요</t>
        </is>
      </c>
      <c r="P46" s="6">
        <f>HYPERLINK("https://fin.land.naver.com/articles/2643819960", "매물Link")</f>
        <v/>
      </c>
      <c r="Q46" s="6">
        <f>HYPERLINK("https://map.naver.com/p/search/고운동 2176", "지도Link")</f>
        <v/>
      </c>
      <c r="R46" s="3" t="inlineStr">
        <is>
          <t>세종삼촌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102000</v>
      </c>
      <c r="G56" s="4" t="n">
        <v>0</v>
      </c>
      <c r="H56" s="4" t="n">
        <v>90</v>
      </c>
      <c r="I56" s="5" t="n">
        <v>1133.3</v>
      </c>
      <c r="J56" s="4" t="n">
        <v>52</v>
      </c>
      <c r="K56" s="5" t="n">
        <v>1961.5</v>
      </c>
      <c r="L56" s="3" t="inlineStr">
        <is>
          <t>2</t>
        </is>
      </c>
      <c r="M56" s="3" t="inlineStr">
        <is>
          <t>0</t>
        </is>
      </c>
      <c r="N56" s="3" t="inlineStr">
        <is>
          <t>남향</t>
        </is>
      </c>
      <c r="O56" s="3" t="inlineStr">
        <is>
          <t>마이너스 급매 추천매물. 전세끼고매매</t>
        </is>
      </c>
      <c r="P56" s="6">
        <f>HYPERLINK("https://fin.land.naver.com/articles/2646028720", "매물Link")</f>
        <v/>
      </c>
      <c r="Q56" s="6">
        <f>HYPERLINK("https://map.naver.com/p/search/고운동 896", "지도Link")</f>
        <v/>
      </c>
      <c r="R56" s="3" t="inlineStr">
        <is>
          <t>세종올리브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HYPERLINK("https://fin.land.naver.com/articles/2642683663",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129734</v>
      </c>
      <c r="G58" s="4" t="n">
        <v>0</v>
      </c>
      <c r="H58" s="4" t="n">
        <v>99</v>
      </c>
      <c r="I58" s="5" t="n">
        <v>1310.4</v>
      </c>
      <c r="J58" s="4" t="n">
        <v>59</v>
      </c>
      <c r="K58" s="5" t="n">
        <v>2198.9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3" t="inlineStr">
        <is>
          <t>세종무지개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협의입주</t>
        </is>
      </c>
      <c r="P60" s="6">
        <f>HYPERLINK("https://fin.land.naver.com/articles/2643454503",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고운동 리치먼드힐2 타운하우스, 매매추천</t>
        </is>
      </c>
      <c r="P62" s="6">
        <f>HYPERLINK("https://fin.land.naver.com/articles/2643624574", "매물Link")</f>
        <v/>
      </c>
      <c r="Q62" s="6">
        <f>HYPERLINK("https://map.naver.com/p/search/고운동 896", "지도Link")</f>
        <v/>
      </c>
      <c r="R62" s="3" t="inlineStr">
        <is>
          <t>명진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3" t="inlineStr">
        <is>
          <t>명진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도담동 마당넓은 단독주택, 초등학교 인근</t>
        </is>
      </c>
      <c r="P69" s="6">
        <f>HYPERLINK("https://fin.land.naver.com/articles/2643990720", "매물Link")</f>
        <v/>
      </c>
      <c r="Q69" s="6">
        <f>HYPERLINK("https://map.naver.com/p/search/도담동 518", "지도Link")</f>
        <v/>
      </c>
      <c r="R69" s="3" t="inlineStr">
        <is>
          <t>OK세종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3" t="inlineStr">
        <is>
          <t>마마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남서향</t>
        </is>
      </c>
      <c r="O75" s="3" t="inlineStr">
        <is>
          <t>명성공인, 방4, 화4, 풀에어컨, 다락까지 있는 위치 좋은 추천 매물</t>
        </is>
      </c>
      <c r="P75" s="6">
        <f>HYPERLINK("https://fin.land.naver.com/articles/2644037373", "매물Link")</f>
        <v/>
      </c>
      <c r="Q75" s="6">
        <f>HYPERLINK("https://map.naver.com/p/search/도담동 698", "지도Link")</f>
        <v/>
      </c>
      <c r="R75" s="3" t="inlineStr">
        <is>
          <t>명성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3" t="inlineStr">
        <is>
          <t>최무연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자재 하나 하나 고급진  단독 매매</t>
        </is>
      </c>
      <c r="P78" s="6">
        <f>HYPERLINK("https://fin.land.naver.com/articles/2644279347", "매물Link")</f>
        <v/>
      </c>
      <c r="Q78" s="6">
        <f>HYPERLINK("https://map.naver.com/p/search/도담동 698", "지도Link")</f>
        <v/>
      </c>
      <c r="R78" s="3" t="inlineStr">
        <is>
          <t>THE행복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전용60.3p, 방4개, 화장실4개, 입지 좋은 단독주택</t>
        </is>
      </c>
      <c r="P79" s="6">
        <f>HYPERLINK("https://fin.land.naver.com/articles/2642823889", "매물Link")</f>
        <v/>
      </c>
      <c r="Q79" s="6">
        <f>HYPERLINK("https://map.naver.com/p/search/도담동 698", "지도Link")</f>
        <v/>
      </c>
      <c r="R79" s="3" t="inlineStr">
        <is>
          <t>세종무지개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다가구</t>
        </is>
      </c>
      <c r="E92" s="3" t="inlineStr">
        <is>
          <t>전세</t>
        </is>
      </c>
      <c r="F92" s="4" t="n">
        <v>5000</v>
      </c>
      <c r="G92" s="4" t="n">
        <v>0</v>
      </c>
      <c r="H92" s="4" t="n">
        <v>14</v>
      </c>
      <c r="I92" s="5" t="n">
        <v>357.1</v>
      </c>
      <c r="J92" s="4" t="n">
        <v>11</v>
      </c>
      <c r="K92" s="5" t="n">
        <v>454.5</v>
      </c>
      <c r="L92" s="3" t="inlineStr">
        <is>
          <t>3</t>
        </is>
      </c>
      <c r="M92" s="3" t="inlineStr">
        <is>
          <t>3</t>
        </is>
      </c>
      <c r="N92" s="3" t="inlineStr">
        <is>
          <t>동향</t>
        </is>
      </c>
      <c r="O92" s="3" t="inlineStr">
        <is>
          <t>주차용이, 편의시설 초근접 1.5룸</t>
        </is>
      </c>
      <c r="P92" s="6">
        <f>HYPERLINK("https://fin.land.naver.com/articles/2645479915",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14</v>
      </c>
      <c r="I93" s="5" t="n">
        <v>3.2</v>
      </c>
      <c r="J93" s="4" t="n">
        <v>9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50</v>
      </c>
      <c r="H94" s="4" t="n">
        <v>14</v>
      </c>
      <c r="I94" s="5" t="n">
        <v>3.6</v>
      </c>
      <c r="J94" s="4" t="n">
        <v>10</v>
      </c>
      <c r="K94" s="5" t="n">
        <v>5</v>
      </c>
      <c r="L94" s="3" t="inlineStr">
        <is>
          <t>2</t>
        </is>
      </c>
      <c r="M94" s="3" t="inlineStr">
        <is>
          <t>3</t>
        </is>
      </c>
      <c r="N94" s="3" t="inlineStr">
        <is>
          <t>서향</t>
        </is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입주협의 벽나로 태양광설치 남향 관리상태최상 가격조정가능</t>
        </is>
      </c>
      <c r="P101" s="6">
        <f>HYPERLINK("https://fin.land.naver.com/articles/2644599383", "매물Link")</f>
        <v/>
      </c>
      <c r="Q101" s="6">
        <f>HYPERLINK("https://map.naver.com/p/search/아름동 1148", "지도Link")</f>
        <v/>
      </c>
      <c r="R101" s="3" t="inlineStr">
        <is>
          <t>고운동리치세종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 있는 예쁜집, 정남향, 조율가능, 태양광</t>
        </is>
      </c>
      <c r="P102" s="6">
        <f>HYPERLINK("https://fin.land.naver.com/articles/2646690879", "매물Link")</f>
        <v/>
      </c>
      <c r="Q102" s="6">
        <f>HYPERLINK("https://map.naver.com/p/search/아름동 1148", "지도Link")</f>
        <v/>
      </c>
      <c r="R102" s="3" t="inlineStr">
        <is>
          <t>세종무지개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3" t="inlineStr">
        <is>
          <t>주황푸르지오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107</v>
      </c>
      <c r="I104" s="5" t="n">
        <v>1308.4</v>
      </c>
      <c r="J104" s="4" t="n">
        <v>48</v>
      </c>
      <c r="K104" s="5" t="n">
        <v>2916.7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3" t="inlineStr">
        <is>
          <t>세석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철근콘크리트 튼튼  시스템에어컨 5대 단독 매매</t>
        </is>
      </c>
      <c r="P105" s="6">
        <f>HYPERLINK("https://fin.land.naver.com/articles/2644280535", "매물Link")</f>
        <v/>
      </c>
      <c r="Q105" s="6">
        <f>HYPERLINK("https://map.naver.com/p/search/아름동 1241", "지도Link")</f>
        <v/>
      </c>
      <c r="R105" s="3" t="inlineStr">
        <is>
          <t>THE행복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107</v>
      </c>
      <c r="I106" s="5" t="n">
        <v>1308.4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전용 48.6p, 1.2층 단독주택, 시스템에어컨풀, 협의입주</t>
        </is>
      </c>
      <c r="P106" s="6">
        <f>HYPERLINK("https://fin.land.naver.com/articles/2642864395", "매물Link")</f>
        <v/>
      </c>
      <c r="Q106" s="6">
        <f>HYPERLINK("https://map.naver.com/p/search/아름동 1241", "지도Link")</f>
        <v/>
      </c>
      <c r="R106" s="3" t="inlineStr">
        <is>
          <t>명진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107</v>
      </c>
      <c r="I107" s="5" t="n">
        <v>1355.1</v>
      </c>
      <c r="J107" s="4" t="n">
        <v>48</v>
      </c>
      <c r="K107" s="5" t="n">
        <v>3020.8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3" t="inlineStr">
        <is>
          <t>인서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올리모델링 방3개 욕실3개 시스템에어컨5대 조율가능</t>
        </is>
      </c>
      <c r="P112" s="6">
        <f>HYPERLINK("https://fin.land.naver.com/articles/2642930401", "매물Link")</f>
        <v/>
      </c>
      <c r="Q112" s="6">
        <f>HYPERLINK("https://map.naver.com/p/search/아름동 856", "지도Link")</f>
        <v/>
      </c>
      <c r="R112" s="3" t="inlineStr">
        <is>
          <t>세종스타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남동향</t>
        </is>
      </c>
      <c r="O113" s="3" t="inlineStr">
        <is>
          <t>아름동 입지좋은 단독주택 매매, 올리모델링</t>
        </is>
      </c>
      <c r="P113" s="6">
        <f>HYPERLINK("https://fin.land.naver.com/articles/2642825534", "매물Link")</f>
        <v/>
      </c>
      <c r="Q113" s="6">
        <f>HYPERLINK("https://map.naver.com/p/search/아름동 856", "지도Link")</f>
        <v/>
      </c>
      <c r="R113" s="3" t="inlineStr">
        <is>
          <t>세종무지개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전세</t>
        </is>
      </c>
      <c r="F114" s="4" t="n">
        <v>58000</v>
      </c>
      <c r="G114" s="4" t="n">
        <v>0</v>
      </c>
      <c r="H114" s="4" t="n">
        <v>44</v>
      </c>
      <c r="I114" s="5" t="n">
        <v>1318.2</v>
      </c>
      <c r="J114" s="4" t="n">
        <v>44</v>
      </c>
      <c r="K114" s="5" t="n">
        <v>1318.2</v>
      </c>
      <c r="L114" s="3" t="inlineStr">
        <is>
          <t>1</t>
        </is>
      </c>
      <c r="M114" s="3" t="inlineStr">
        <is>
          <t>2</t>
        </is>
      </c>
      <c r="N114" s="3" t="inlineStr">
        <is>
          <t>남향</t>
        </is>
      </c>
      <c r="O114" s="3" t="inlineStr">
        <is>
          <t>방3개, 화장실3개, 입주협의,누다락</t>
        </is>
      </c>
      <c r="P114" s="6">
        <f>HYPERLINK("https://fin.land.naver.com/articles/2646748033", "매물Link")</f>
        <v/>
      </c>
      <c r="Q114" s="6">
        <f>HYPERLINK("https://map.naver.com/p/search/아름동 862", "지도Link")</f>
        <v/>
      </c>
      <c r="R114" s="3" t="inlineStr">
        <is>
          <t>명진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95</v>
      </c>
      <c r="I116" s="5" t="n">
        <v>1126.3</v>
      </c>
      <c r="J116" s="4" t="n">
        <v>44</v>
      </c>
      <c r="K116" s="5" t="n">
        <v>2431.8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시스템에어컨풀, 도배 조명 깨끗, 마당, 리모델링, 전세 승계 매매</t>
        </is>
      </c>
      <c r="P117" s="6">
        <f>HYPERLINK("https://fin.land.naver.com/articles/2646733126", "매물Link")</f>
        <v/>
      </c>
      <c r="Q117" s="6">
        <f>HYPERLINK("https://map.naver.com/p/search/아름동 862", "지도Link")</f>
        <v/>
      </c>
      <c r="R117" s="3" t="inlineStr">
        <is>
          <t>광장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전세</t>
        </is>
      </c>
      <c r="F118" s="4" t="n">
        <v>58000</v>
      </c>
      <c r="G118" s="4" t="n">
        <v>0</v>
      </c>
      <c r="H118" s="4" t="n">
        <v>44</v>
      </c>
      <c r="I118" s="5" t="n">
        <v>1318.2</v>
      </c>
      <c r="J118" s="4" t="n">
        <v>44</v>
      </c>
      <c r="K118" s="5" t="n">
        <v>1318.2</v>
      </c>
      <c r="L118" s="3" t="inlineStr">
        <is>
          <t>1</t>
        </is>
      </c>
      <c r="M118" s="3" t="inlineStr">
        <is>
          <t>2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HYPERLINK("https://fin.land.naver.com/articles/2647427789",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HYPERLINK("https://fin.land.naver.com/articles/2643046671",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3" t="inlineStr">
        <is>
          <t>세종스타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고급 단독주택 매매, 태양광 설치, 1층에 방2개</t>
        </is>
      </c>
      <c r="P124" s="6">
        <f>HYPERLINK("https://fin.land.naver.com/articles/2646691449", "매물Link")</f>
        <v/>
      </c>
      <c r="Q124" s="6">
        <f>HYPERLINK("https://map.naver.com/p/search/아름동 959", "지도Link")</f>
        <v/>
      </c>
      <c r="R124" s="3" t="inlineStr">
        <is>
          <t>세종무지개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남서향</t>
        </is>
      </c>
      <c r="O133" s="3" t="inlineStr">
        <is>
          <t>다가구 매매 .위치.방 컨디션 매우좋은 건물</t>
        </is>
      </c>
      <c r="P133" s="6">
        <f>HYPERLINK("https://fin.land.naver.com/articles/2646956117", "매물Link")</f>
        <v/>
      </c>
      <c r="Q133" s="6">
        <f>HYPERLINK("https://map.naver.com/p/search/연서면 봉암리 112-30", "지도Link")</f>
        <v/>
      </c>
      <c r="R133" s="3" t="inlineStr">
        <is>
          <t>연서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남향</t>
        </is>
      </c>
      <c r="O134" s="3" t="inlineStr">
        <is>
          <t>스마트산업단지 예정 인근 다가구 통매매,중심상권 위치로 투자수익 기대</t>
        </is>
      </c>
      <c r="P134" s="6">
        <f>HYPERLINK("https://fin.land.naver.com/articles/2644670568", "매물Link")</f>
        <v/>
      </c>
      <c r="Q134" s="6">
        <f>HYPERLINK("https://map.naver.com/p/search/연서면 봉암리 112-30", "지도Link")</f>
        <v/>
      </c>
      <c r="R134" s="3" t="inlineStr">
        <is>
          <t>연기더조은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세종시 인접  19실  수익형 다가구매매</t>
        </is>
      </c>
      <c r="P146" s="6">
        <f>HYPERLINK("https://fin.land.naver.com/articles/2646955761", "매물Link")</f>
        <v/>
      </c>
      <c r="Q146" s="6">
        <f>HYPERLINK("https://map.naver.com/p/search/연서면 봉암리 54-89", "지도Link")</f>
        <v/>
      </c>
      <c r="R146" s="3" t="inlineStr">
        <is>
          <t>연서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nan</t>
        </is>
      </c>
      <c r="P147" s="6">
        <f>HYPERLINK("https://fin.land.naver.com/articles/2645645528", "매물Link")</f>
        <v/>
      </c>
      <c r="Q147" s="6">
        <f>HYPERLINK("https://map.naver.com/p/search/연서면 봉암리 54-89", "지도Link")</f>
        <v/>
      </c>
      <c r="R147" s="3" t="inlineStr">
        <is>
          <t>엄지척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HYPERLINK("https://fin.land.naver.com/articles/2647001229",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남서향</t>
        </is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HYPERLINK("https://fin.land.naver.com/articles/2646744402",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HYPERLINK("https://fin.land.naver.com/articles/2645609323",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HYPERLINK("https://fin.land.naver.com/articles/2647050039",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남서향</t>
        </is>
      </c>
      <c r="O154" s="3" t="inlineStr">
        <is>
          <t>nan</t>
        </is>
      </c>
      <c r="P154" s="6">
        <f>HYPERLINK("https://fin.land.naver.com/articles/2645609304",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단기임대</t>
        </is>
      </c>
      <c r="F157" s="4" t="n">
        <v>200</v>
      </c>
      <c r="G157" s="4" t="n">
        <v>35</v>
      </c>
      <c r="H157" s="4" t="n">
        <v>42</v>
      </c>
      <c r="I157" s="5" t="n">
        <v>4.8</v>
      </c>
      <c r="J157" s="4" t="n">
        <v>8</v>
      </c>
      <c r="K157" s="5" t="n">
        <v>25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HYPERLINK("https://fin.land.naver.com/articles/2648350683",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월세</t>
        </is>
      </c>
      <c r="F158" s="4" t="n">
        <v>200</v>
      </c>
      <c r="G158" s="4" t="n">
        <v>35</v>
      </c>
      <c r="H158" s="4" t="n">
        <v>42</v>
      </c>
      <c r="I158" s="5" t="n">
        <v>0.8</v>
      </c>
      <c r="J158" s="4" t="n">
        <v>8</v>
      </c>
      <c r="K158" s="5" t="n">
        <v>4.4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HYPERLINK("https://fin.land.naver.com/articles/2648350302",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172</v>
      </c>
      <c r="K161" s="5" t="n">
        <v>1104.7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신축다가구건물, 엘리베이터 1층 카페,23층 원룸,투룸,1.5룸으로구성</t>
        </is>
      </c>
      <c r="P161" s="6">
        <f>HYPERLINK("https://fin.land.naver.com/articles/2644295374", "매물Link")</f>
        <v/>
      </c>
      <c r="Q161" s="6">
        <f>HYPERLINK("https://map.naver.com/p/search/연서면 봉암리 73-8", "지도Link")</f>
        <v/>
      </c>
      <c r="R161" s="3" t="inlineStr">
        <is>
          <t>담뜰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17000</v>
      </c>
      <c r="G167" s="4" t="n">
        <v>0</v>
      </c>
      <c r="H167" s="4" t="n">
        <v>25</v>
      </c>
      <c r="I167" s="5" t="n">
        <v>680</v>
      </c>
      <c r="J167" s="4" t="n">
        <v>25</v>
      </c>
      <c r="K167" s="5" t="n">
        <v>680</v>
      </c>
      <c r="L167" s="3" t="inlineStr">
        <is>
          <t>3</t>
        </is>
      </c>
      <c r="M167" s="3" t="inlineStr">
        <is>
          <t>3</t>
        </is>
      </c>
      <c r="N167" s="3" t="inlineStr">
        <is>
          <t>동향</t>
        </is>
      </c>
      <c r="O167" s="3" t="inlineStr">
        <is>
          <t>nan</t>
        </is>
      </c>
      <c r="P167" s="6">
        <f>HYPERLINK("https://fin.land.naver.com/articles/2643581978", "매물Link")</f>
        <v/>
      </c>
      <c r="Q167" s="6">
        <f>HYPERLINK("https://map.naver.com/p/search/연서면 월하리 1008-5", "지도Link")</f>
        <v/>
      </c>
      <c r="R167" s="3" t="inlineStr">
        <is>
          <t>뉴스카이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매매</t>
        </is>
      </c>
      <c r="F168" s="4" t="n">
        <v>30000</v>
      </c>
      <c r="G168" s="4" t="n">
        <v>0</v>
      </c>
      <c r="H168" s="4" t="n">
        <v>44</v>
      </c>
      <c r="I168" s="5" t="n">
        <v>681.8</v>
      </c>
      <c r="J168" s="4" t="n">
        <v>25</v>
      </c>
      <c r="K168" s="5" t="n">
        <v>1200</v>
      </c>
      <c r="L168" s="3" t="inlineStr">
        <is>
          <t>2</t>
        </is>
      </c>
      <c r="M168" s="3" t="inlineStr">
        <is>
          <t>0</t>
        </is>
      </c>
      <c r="N168" s="3" t="inlineStr">
        <is>
          <t>동향</t>
        </is>
      </c>
      <c r="O168" s="3" t="inlineStr">
        <is>
          <t>빠른입주, 전망 좋은 주택</t>
        </is>
      </c>
      <c r="P168" s="6">
        <f>HYPERLINK("https://fin.land.naver.com/articles/2645171950", "매물Link")</f>
        <v/>
      </c>
      <c r="Q168" s="6">
        <f>HYPERLINK("https://map.naver.com/p/search/연서면 월하리 1008-5", "지도Link")</f>
        <v/>
      </c>
      <c r="R168" s="3" t="inlineStr">
        <is>
          <t>정인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150000</v>
      </c>
      <c r="G170" s="4" t="n">
        <v>0</v>
      </c>
      <c r="H170" s="4" t="n">
        <v>120</v>
      </c>
      <c r="I170" s="5" t="n">
        <v>1250</v>
      </c>
      <c r="J170" s="4" t="n">
        <v>186</v>
      </c>
      <c r="K170" s="5" t="n">
        <v>806.5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상가주택, 2가구, 상가임대1, 가격조정가능, 주차가능</t>
        </is>
      </c>
      <c r="P170" s="6">
        <f>HYPERLINK("https://fin.land.naver.com/articles/2644864006", "매물Link")</f>
        <v/>
      </c>
      <c r="Q170" s="6">
        <f>HYPERLINK("https://map.naver.com/p/search/조치원읍 교리 11-6", "지도Link")</f>
        <v/>
      </c>
      <c r="R170" s="3" t="inlineStr">
        <is>
          <t>엄마와딸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140000</v>
      </c>
      <c r="G171" s="4" t="n">
        <v>0</v>
      </c>
      <c r="H171" s="4" t="n">
        <v>120</v>
      </c>
      <c r="I171" s="5" t="n">
        <v>1166.7</v>
      </c>
      <c r="J171" s="4" t="n">
        <v>186</v>
      </c>
      <c r="K171" s="5" t="n">
        <v>752.7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nan</t>
        </is>
      </c>
      <c r="P171" s="6">
        <f>HYPERLINK("https://fin.land.naver.com/articles/2644717952", "매물Link")</f>
        <v/>
      </c>
      <c r="Q171" s="6">
        <f>HYPERLINK("https://map.naver.com/p/search/조치원읍 교리 11-6", "지도Link")</f>
        <v/>
      </c>
      <c r="R171" s="3" t="inlineStr">
        <is>
          <t>효자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전세</t>
        </is>
      </c>
      <c r="F178" s="4" t="n">
        <v>4000</v>
      </c>
      <c r="G178" s="4" t="n">
        <v>0</v>
      </c>
      <c r="H178" s="4" t="n">
        <v>8</v>
      </c>
      <c r="I178" s="5" t="n">
        <v>500</v>
      </c>
      <c r="J178" s="4" t="n">
        <v>6</v>
      </c>
      <c r="K178" s="5" t="n">
        <v>666.7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주방분리형.보증보험가능.시장1분. 역3분.깔끔한방</t>
        </is>
      </c>
      <c r="P178" s="6">
        <f>HYPERLINK("https://fin.land.naver.com/articles/2647870045",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주방분리형.시장1분. 역3분.깔끔한방</t>
        </is>
      </c>
      <c r="P179" s="6">
        <f>HYPERLINK("https://fin.land.naver.com/articles/2648041959",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31</v>
      </c>
      <c r="H181" s="4" t="n">
        <v>7</v>
      </c>
      <c r="I181" s="5" t="n">
        <v>4.4</v>
      </c>
      <c r="J181" s="4" t="n">
        <v>7</v>
      </c>
      <c r="K181" s="5" t="n">
        <v>4.4</v>
      </c>
      <c r="L181" s="3" t="inlineStr">
        <is>
          <t>3</t>
        </is>
      </c>
      <c r="M181" s="3" t="inlineStr">
        <is>
          <t>3</t>
        </is>
      </c>
      <c r="N181" s="3" t="inlineStr">
        <is>
          <t>남향</t>
        </is>
      </c>
      <c r="O181" s="3" t="inlineStr">
        <is>
          <t>남리 원룸 넓은방 전통시장 편의시설 도보이용가능합니다</t>
        </is>
      </c>
      <c r="P181" s="6">
        <f>HYPERLINK("https://fin.land.naver.com/articles/2645236588", "매물Link")</f>
        <v/>
      </c>
      <c r="Q181" s="6">
        <f>HYPERLINK("https://map.naver.com/p/search/조치원읍 남리 371-1", "지도Link")</f>
        <v/>
      </c>
      <c r="R181" s="3" t="inlineStr">
        <is>
          <t>OK수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30</v>
      </c>
      <c r="H182" s="4" t="n">
        <v>0</v>
      </c>
      <c r="I182" s="5" t="n">
        <v>0</v>
      </c>
      <c r="J182" s="4" t="n">
        <v>6</v>
      </c>
      <c r="K182" s="5" t="n">
        <v>5</v>
      </c>
      <c r="L182" s="3" t="inlineStr">
        <is>
          <t>4</t>
        </is>
      </c>
      <c r="M182" s="3" t="inlineStr">
        <is>
          <t>4</t>
        </is>
      </c>
      <c r="N182" s="3" t="inlineStr">
        <is>
          <t>북향</t>
        </is>
      </c>
      <c r="O182" s="3" t="inlineStr">
        <is>
          <t>조용하게 살기좋은 주차 및 엘베있는 원룸</t>
        </is>
      </c>
      <c r="P182" s="6">
        <f>HYPERLINK("https://fin.land.naver.com/articles/2647381250", "매물Link")</f>
        <v/>
      </c>
      <c r="Q182" s="6">
        <f>HYPERLINK("https://map.naver.com/p/search/조치원읍 남리 371-1", "지도Link")</f>
        <v/>
      </c>
      <c r="R182" s="3" t="inlineStr">
        <is>
          <t>무지개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일반원룸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12</v>
      </c>
      <c r="I185" s="5" t="n">
        <v>333.3</v>
      </c>
      <c r="J185" s="4" t="n">
        <v>8</v>
      </c>
      <c r="K185" s="5" t="n">
        <v>500</v>
      </c>
      <c r="L185" s="3" t="inlineStr">
        <is>
          <t>4</t>
        </is>
      </c>
      <c r="M185" s="3" t="inlineStr">
        <is>
          <t>4</t>
        </is>
      </c>
      <c r="N185" s="3" t="inlineStr">
        <is>
          <t>남향</t>
        </is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다가구</t>
        </is>
      </c>
      <c r="E186" s="3" t="inlineStr">
        <is>
          <t>전세</t>
        </is>
      </c>
      <c r="F186" s="4" t="n">
        <v>3800</v>
      </c>
      <c r="G186" s="4" t="n">
        <v>0</v>
      </c>
      <c r="H186" s="4" t="n">
        <v>12</v>
      </c>
      <c r="I186" s="5" t="n">
        <v>316.7</v>
      </c>
      <c r="J186" s="4" t="n">
        <v>8</v>
      </c>
      <c r="K186" s="5" t="n">
        <v>475</v>
      </c>
      <c r="L186" s="3" t="inlineStr">
        <is>
          <t>4</t>
        </is>
      </c>
      <c r="M186" s="3" t="inlineStr">
        <is>
          <t>4</t>
        </is>
      </c>
      <c r="N186" s="3" t="inlineStr">
        <is>
          <t>남서향</t>
        </is>
      </c>
      <c r="O186" s="3" t="inlineStr">
        <is>
          <t>조치원역도보거리.융자없음.깔끔한전세.즉시입주</t>
        </is>
      </c>
      <c r="P186" s="6">
        <f>HYPERLINK("https://fin.land.naver.com/articles/2645524964", "매물Link")</f>
        <v/>
      </c>
      <c r="Q186" s="6">
        <f>HYPERLINK("https://map.naver.com/p/search/조치원읍 남리 62-6", "지도Link")</f>
        <v/>
      </c>
      <c r="R186" s="3" t="inlineStr">
        <is>
          <t>척척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6</v>
      </c>
      <c r="I188" s="5" t="n">
        <v>666.7</v>
      </c>
      <c r="J188" s="4" t="n">
        <v>6</v>
      </c>
      <c r="K188" s="5" t="n">
        <v>666.7</v>
      </c>
      <c r="L188" s="3" t="inlineStr">
        <is>
          <t>4</t>
        </is>
      </c>
      <c r="M188" s="3" t="inlineStr">
        <is>
          <t>4</t>
        </is>
      </c>
      <c r="N188" s="3" t="inlineStr">
        <is>
          <t>남동향</t>
        </is>
      </c>
      <c r="O188" s="3" t="inlineStr">
        <is>
          <t>LH가능.HUG.서울보증보험가능 .가성비갑.시장1분 역5분.</t>
        </is>
      </c>
      <c r="P188" s="6">
        <f>HYPERLINK("https://fin.land.naver.com/articles/2647397073", "매물Link")</f>
        <v/>
      </c>
      <c r="Q188" s="6">
        <f>HYPERLINK("https://map.naver.com/p/search/조치원읍 남리 62-6", "지도Link")</f>
        <v/>
      </c>
      <c r="R188" s="3" t="inlineStr">
        <is>
          <t>마이룸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일반원룸</t>
        </is>
      </c>
      <c r="E194" s="3" t="inlineStr">
        <is>
          <t>월세</t>
        </is>
      </c>
      <c r="F194" s="4" t="n">
        <v>200</v>
      </c>
      <c r="G194" s="4" t="n">
        <v>30</v>
      </c>
      <c r="H194" s="4" t="n">
        <v>7</v>
      </c>
      <c r="I194" s="5" t="n">
        <v>4.3</v>
      </c>
      <c r="J194" s="4" t="n">
        <v>6</v>
      </c>
      <c r="K194" s="5" t="n">
        <v>5</v>
      </c>
      <c r="L194" s="3" t="inlineStr">
        <is>
          <t>2</t>
        </is>
      </c>
      <c r="M194" s="3" t="inlineStr">
        <is>
          <t>4</t>
        </is>
      </c>
      <c r="N194" s="3" t="inlineStr">
        <is>
          <t>남향</t>
        </is>
      </c>
      <c r="O194" s="3" t="inlineStr">
        <is>
          <t>번암리준신축원룸,단.기.가.능, 풀옵션, 즉시 입주, 홈플러스.공원 .</t>
        </is>
      </c>
      <c r="P194" s="6">
        <f>HYPERLINK("https://fin.land.naver.com/articles/2643631998", "매물Link")</f>
        <v/>
      </c>
      <c r="Q194" s="6">
        <f>HYPERLINK("https://map.naver.com/p/search/조치원읍 번암리 66-36", "지도Link")</f>
        <v/>
      </c>
      <c r="R194" s="3" t="inlineStr">
        <is>
          <t>하늘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다가구</t>
        </is>
      </c>
      <c r="E195" s="3" t="inlineStr">
        <is>
          <t>매매</t>
        </is>
      </c>
      <c r="F195" s="4" t="n">
        <v>170000</v>
      </c>
      <c r="G195" s="4" t="n">
        <v>0</v>
      </c>
      <c r="H195" s="4" t="n">
        <v>123</v>
      </c>
      <c r="I195" s="5" t="n">
        <v>1382.1</v>
      </c>
      <c r="J195" s="4" t="n">
        <v>145</v>
      </c>
      <c r="K195" s="5" t="n">
        <v>1172.4</v>
      </c>
      <c r="L195" s="3" t="inlineStr">
        <is>
          <t>4</t>
        </is>
      </c>
      <c r="M195" s="3" t="inlineStr">
        <is>
          <t>0</t>
        </is>
      </c>
      <c r="N195" s="3" t="inlineStr">
        <is>
          <t>남서향</t>
        </is>
      </c>
      <c r="O195" s="3" t="inlineStr">
        <is>
          <t>입지와 수익률 좋은 다가구주택</t>
        </is>
      </c>
      <c r="P195" s="6">
        <f>HYPERLINK("https://fin.land.naver.com/articles/2643566267", "매물Link")</f>
        <v/>
      </c>
      <c r="Q195" s="6">
        <f>HYPERLINK("https://map.naver.com/p/search/조치원읍 번암리 66-36", "지도Link")</f>
        <v/>
      </c>
      <c r="R195" s="3" t="inlineStr">
        <is>
          <t>양달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36</v>
      </c>
      <c r="H200" s="4" t="n">
        <v>9</v>
      </c>
      <c r="I200" s="5" t="n">
        <v>4</v>
      </c>
      <c r="J200" s="4" t="n">
        <v>6</v>
      </c>
      <c r="K200" s="5" t="n">
        <v>6</v>
      </c>
      <c r="L200" s="3" t="inlineStr">
        <is>
          <t>0</t>
        </is>
      </c>
      <c r="M200" s="3" t="inlineStr">
        <is>
          <t>10</t>
        </is>
      </c>
      <c r="N200" s="3" t="inlineStr">
        <is>
          <t>동향</t>
        </is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3" t="inlineStr">
        <is>
          <t>척척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도시형생활주택</t>
        </is>
      </c>
      <c r="E201" s="3" t="inlineStr">
        <is>
          <t>전세</t>
        </is>
      </c>
      <c r="F201" s="4" t="n">
        <v>4200</v>
      </c>
      <c r="G201" s="4" t="n">
        <v>0</v>
      </c>
      <c r="H201" s="4" t="n">
        <v>8</v>
      </c>
      <c r="I201" s="5" t="n">
        <v>525</v>
      </c>
      <c r="J201" s="4" t="n">
        <v>5</v>
      </c>
      <c r="K201" s="5" t="n">
        <v>840</v>
      </c>
      <c r="L201" s="3" t="inlineStr">
        <is>
          <t>4</t>
        </is>
      </c>
      <c r="M201" s="3" t="inlineStr">
        <is>
          <t>10</t>
        </is>
      </c>
      <c r="N201" s="3" t="inlineStr">
        <is>
          <t>남향</t>
        </is>
      </c>
      <c r="O201" s="3" t="inlineStr">
        <is>
          <t>풀옵션 깔끔한 도시형생활주택 무융자조건</t>
        </is>
      </c>
      <c r="P201" s="6">
        <f>HYPERLINK("https://fin.land.naver.com/articles/2645162863", "매물Link")</f>
        <v/>
      </c>
      <c r="Q201" s="6">
        <f>HYPERLINK("https://map.naver.com/p/search/조치원읍 상리 79-3", "지도Link")</f>
        <v/>
      </c>
      <c r="R201" s="3" t="inlineStr">
        <is>
          <t>용죽부자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도시형생활주택</t>
        </is>
      </c>
      <c r="E202" s="3" t="inlineStr">
        <is>
          <t>월세</t>
        </is>
      </c>
      <c r="F202" s="4" t="n">
        <v>4500</v>
      </c>
      <c r="G202" s="4" t="n">
        <v>12</v>
      </c>
      <c r="H202" s="4" t="n">
        <v>0</v>
      </c>
      <c r="I202" s="5" t="n">
        <v>0</v>
      </c>
      <c r="J202" s="4" t="n">
        <v>5</v>
      </c>
      <c r="K202" s="5" t="n">
        <v>2.4</v>
      </c>
      <c r="L202" s="3" t="inlineStr">
        <is>
          <t>0</t>
        </is>
      </c>
      <c r="M202" s="3" t="inlineStr">
        <is>
          <t>10</t>
        </is>
      </c>
      <c r="N202" s="3" t="inlineStr">
        <is>
          <t>남향</t>
        </is>
      </c>
      <c r="O202" s="3" t="inlineStr">
        <is>
          <t>L 즉시입주가능  O엘베 O정남향 O역10분내</t>
        </is>
      </c>
      <c r="P202" s="6">
        <f>HYPERLINK("https://fin.land.naver.com/articles/2648531034", "매물Link")</f>
        <v/>
      </c>
      <c r="Q202" s="6">
        <f>HYPERLINK("https://map.naver.com/p/search/조치원읍 상리 79-3", "지도Link")</f>
        <v/>
      </c>
      <c r="R202" s="3" t="inlineStr">
        <is>
          <t>바다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4800</v>
      </c>
      <c r="G203" s="4" t="n">
        <v>0</v>
      </c>
      <c r="H203" s="4" t="n">
        <v>8</v>
      </c>
      <c r="I203" s="5" t="n">
        <v>600</v>
      </c>
      <c r="J203" s="4" t="n">
        <v>5</v>
      </c>
      <c r="K203" s="5" t="n">
        <v>960</v>
      </c>
      <c r="L203" s="3" t="inlineStr">
        <is>
          <t>4</t>
        </is>
      </c>
      <c r="M203" s="3" t="inlineStr">
        <is>
          <t>10</t>
        </is>
      </c>
      <c r="N203" s="3" t="inlineStr">
        <is>
          <t>서향</t>
        </is>
      </c>
      <c r="O203" s="3" t="inlineStr">
        <is>
          <t>깨끗한원룸.넓은방.협의입주가능.보안철저.주차시설완비</t>
        </is>
      </c>
      <c r="P203" s="6">
        <f>HYPERLINK("https://fin.land.naver.com/articles/2644836713", "매물Link")</f>
        <v/>
      </c>
      <c r="Q203" s="6">
        <f>HYPERLINK("https://map.naver.com/p/search/조치원읍 상리 79-3", "지도Link")</f>
        <v/>
      </c>
      <c r="R203" s="3" t="inlineStr">
        <is>
          <t>척척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7</v>
      </c>
      <c r="I210" s="5" t="n">
        <v>571.4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3" t="inlineStr">
        <is>
          <t>김준희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2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조치원읍 신안리 신축 프리미엄 빌라 급매, 쓰리룸 엘리베이터 주차여유</t>
        </is>
      </c>
      <c r="P217" s="6">
        <f>HYPERLINK("https://fin.land.naver.com/articles/2647624029", "매물Link")</f>
        <v/>
      </c>
      <c r="Q217" s="6">
        <f>HYPERLINK("https://map.naver.com/p/search/조치원읍 신안리 179-17", "지도Link")</f>
        <v/>
      </c>
      <c r="R217" s="3" t="inlineStr">
        <is>
          <t>빅토리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즉시입주,공실,엘리베이터,올리모델링</t>
        </is>
      </c>
      <c r="P218" s="6">
        <f>HYPERLINK("https://fin.land.naver.com/articles/2646767835", "매물Link")</f>
        <v/>
      </c>
      <c r="Q218" s="6">
        <f>HYPERLINK("https://map.naver.com/p/search/조치원읍 신안리 179-17", "지도Link")</f>
        <v/>
      </c>
      <c r="R218" s="3" t="inlineStr">
        <is>
          <t>세종갑부</t>
        </is>
      </c>
      <c r="S218" s="4" t="n">
        <v>6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3" t="inlineStr">
        <is>
          <t>오송휴먼캐슬</t>
        </is>
      </c>
      <c r="S220" s="4" t="n">
        <v>2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홍대 신축, 올리모델링,엘베,급매</t>
        </is>
      </c>
      <c r="P221" s="6">
        <f>HYPERLINK("https://fin.land.naver.com/articles/2646910242", "매물Link")</f>
        <v/>
      </c>
      <c r="Q221" s="6">
        <f>HYPERLINK("https://map.naver.com/p/search/조치원읍 신안리 179-17", "지도Link")</f>
        <v/>
      </c>
      <c r="R221" s="3" t="inlineStr">
        <is>
          <t>다옴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남동향</t>
        </is>
      </c>
      <c r="O222" s="3" t="inlineStr">
        <is>
          <t>신안리 홍익대학교 연수원앞, 숲이 우거진 아름다운 집임.</t>
        </is>
      </c>
      <c r="P222" s="6">
        <f>HYPERLINK("https://fin.land.naver.com/articles/2643163775", "매물Link")</f>
        <v/>
      </c>
      <c r="Q222" s="6">
        <f>HYPERLINK("https://map.naver.com/p/search/조치원읍 신안리 179-17", "지도Link")</f>
        <v/>
      </c>
      <c r="R222" s="3" t="inlineStr">
        <is>
          <t>꿈드림</t>
        </is>
      </c>
      <c r="S222" s="4" t="n">
        <v>2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1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전원형 주거지신축빌라, 올리모델링, 급매 1억6500만원, 역세권예정</t>
        </is>
      </c>
      <c r="P223" s="6">
        <f>HYPERLINK("https://fin.land.naver.com/articles/2644847919", "매물Link")</f>
        <v/>
      </c>
      <c r="Q223" s="6">
        <f>HYPERLINK("https://map.naver.com/p/search/조치원읍 신안리 179-17", "지도Link")</f>
        <v/>
      </c>
      <c r="R223" s="3" t="inlineStr">
        <is>
          <t>대한</t>
        </is>
      </c>
      <c r="S223" s="4" t="n">
        <v>1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신축,즉시입주가능, 홍대근접,엘리베이터 있음 주차장 여유, 조용한 환경</t>
        </is>
      </c>
      <c r="P224" s="6">
        <f>HYPERLINK("https://fin.land.naver.com/articles/2645450946", "매물Link")</f>
        <v/>
      </c>
      <c r="Q224" s="6">
        <f>HYPERLINK("https://map.naver.com/p/search/조치원읍 신안리 179-17", "지도Link")</f>
        <v/>
      </c>
      <c r="R224" s="3" t="inlineStr">
        <is>
          <t>담뜰</t>
        </is>
      </c>
      <c r="S224" s="4" t="n">
        <v>1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72500</v>
      </c>
      <c r="G231" s="4" t="n">
        <v>0</v>
      </c>
      <c r="H231" s="4" t="n">
        <v>47</v>
      </c>
      <c r="I231" s="5" t="n">
        <v>1542.6</v>
      </c>
      <c r="J231" s="4" t="n">
        <v>80</v>
      </c>
      <c r="K231" s="5" t="n">
        <v>906.2</v>
      </c>
      <c r="L231" s="3" t="inlineStr">
        <is>
          <t>3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고객만족1위, 홍익대부근세종캠, 고려대근방세종캠, 조치원역 부근</t>
        </is>
      </c>
      <c r="P231" s="6">
        <f>HYPERLINK("https://fin.land.naver.com/articles/2645913527", "매물Link")</f>
        <v/>
      </c>
      <c r="Q231" s="6">
        <f>HYPERLINK("https://map.naver.com/p/search/조치원읍 신안리 353-19", "지도Link")</f>
        <v/>
      </c>
      <c r="R231" s="3" t="inlineStr">
        <is>
          <t>생생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62000</v>
      </c>
      <c r="G232" s="4" t="n">
        <v>0</v>
      </c>
      <c r="H232" s="4" t="n">
        <v>48</v>
      </c>
      <c r="I232" s="5" t="n">
        <v>1291.7</v>
      </c>
      <c r="J232" s="4" t="n">
        <v>80</v>
      </c>
      <c r="K232" s="5" t="n">
        <v>775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nan</t>
        </is>
      </c>
      <c r="P232" s="6">
        <f>HYPERLINK("https://fin.land.naver.com/articles/2644120409", "매물Link")</f>
        <v/>
      </c>
      <c r="Q232" s="6">
        <f>HYPERLINK("https://map.naver.com/p/search/조치원읍 신안리 353-19", "지도Link")</f>
        <v/>
      </c>
      <c r="R232" s="3" t="inlineStr">
        <is>
          <t>바다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 원룸 다가구매매.수익률잘나옴.</t>
        </is>
      </c>
      <c r="P238" s="6">
        <f>HYPERLINK("https://fin.land.naver.com/articles/2644111033", "매물Link")</f>
        <v/>
      </c>
      <c r="Q238" s="6">
        <f>HYPERLINK("https://map.naver.com/p/search/조치원읍 신안리 385-12", "지도Link")</f>
        <v/>
      </c>
      <c r="R238" s="3" t="inlineStr">
        <is>
          <t>바다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남서향</t>
        </is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3" t="inlineStr">
        <is>
          <t>척척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서향</t>
        </is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3" t="inlineStr">
        <is>
          <t>유정희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홍익대학교 도보 2분거리, 임대놓기 좋은 위치, 공실없음</t>
        </is>
      </c>
      <c r="P252" s="6">
        <f>HYPERLINK("https://fin.land.naver.com/articles/2643121299", "매물Link")</f>
        <v/>
      </c>
      <c r="Q252" s="6">
        <f>HYPERLINK("https://map.naver.com/p/search/조치원읍 신안리 445-9", "지도Link")</f>
        <v/>
      </c>
      <c r="R252" s="3" t="inlineStr">
        <is>
          <t>세종공감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다가구</t>
        </is>
      </c>
      <c r="E260" s="3" t="inlineStr">
        <is>
          <t>매매</t>
        </is>
      </c>
      <c r="F260" s="4" t="n">
        <v>130000</v>
      </c>
      <c r="G260" s="4" t="n">
        <v>0</v>
      </c>
      <c r="H260" s="4" t="n">
        <v>152</v>
      </c>
      <c r="I260" s="5" t="n">
        <v>855.3</v>
      </c>
      <c r="J260" s="4" t="n">
        <v>210</v>
      </c>
      <c r="K260" s="5" t="n">
        <v>619</v>
      </c>
      <c r="L260" s="3" t="inlineStr">
        <is>
          <t>4</t>
        </is>
      </c>
      <c r="M260" s="3" t="inlineStr">
        <is>
          <t>0</t>
        </is>
      </c>
      <c r="N260" s="3" t="inlineStr">
        <is>
          <t>남서향</t>
        </is>
      </c>
      <c r="O260" s="3" t="inlineStr">
        <is>
          <t>nan</t>
        </is>
      </c>
      <c r="P260" s="6">
        <f>HYPERLINK("https://fin.land.naver.com/articles/2645781590", "매물Link")</f>
        <v/>
      </c>
      <c r="Q260" s="6">
        <f>HYPERLINK("https://map.naver.com/p/search/조치원읍 죽림리 338-2", "지도Link")</f>
        <v/>
      </c>
      <c r="R260" s="3" t="inlineStr">
        <is>
          <t>척척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매매</t>
        </is>
      </c>
      <c r="F261" s="4" t="n">
        <v>160000</v>
      </c>
      <c r="G261" s="4" t="n">
        <v>0</v>
      </c>
      <c r="H261" s="4" t="n">
        <v>152</v>
      </c>
      <c r="I261" s="5" t="n">
        <v>1052.6</v>
      </c>
      <c r="J261" s="4" t="n">
        <v>210</v>
      </c>
      <c r="K261" s="5" t="n">
        <v>761.9</v>
      </c>
      <c r="L261" s="3" t="inlineStr">
        <is>
          <t>4</t>
        </is>
      </c>
      <c r="M261" s="3" t="inlineStr">
        <is>
          <t>0</t>
        </is>
      </c>
      <c r="N261" s="3" t="inlineStr">
        <is>
          <t>동향</t>
        </is>
      </c>
      <c r="O261" s="3" t="inlineStr">
        <is>
          <t>o몽땅o수익률9프로</t>
        </is>
      </c>
      <c r="P261" s="6">
        <f>HYPERLINK("https://fin.land.naver.com/articles/2644377680", "매물Link")</f>
        <v/>
      </c>
      <c r="Q261" s="6">
        <f>HYPERLINK("https://map.naver.com/p/search/조치원읍 죽림리 338-2", "지도Link")</f>
        <v/>
      </c>
      <c r="R261" s="3" t="inlineStr">
        <is>
          <t>세종몽땅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93000</v>
      </c>
      <c r="G285" s="4" t="n">
        <v>0</v>
      </c>
      <c r="H285" s="4" t="n">
        <v>69</v>
      </c>
      <c r="I285" s="5" t="n">
        <v>1347.8</v>
      </c>
      <c r="J285" s="4" t="n">
        <v>112</v>
      </c>
      <c r="K285" s="5" t="n">
        <v>830.4</v>
      </c>
      <c r="L285" s="3" t="inlineStr">
        <is>
          <t>4</t>
        </is>
      </c>
      <c r="M285" s="3" t="inlineStr">
        <is>
          <t>0</t>
        </is>
      </c>
      <c r="N285" s="3" t="inlineStr">
        <is>
          <t>동향</t>
        </is>
      </c>
      <c r="O285" s="3" t="inlineStr">
        <is>
          <t>관리잘됨. 공실 걱정 없는 곳. 역5분</t>
        </is>
      </c>
      <c r="P285" s="6">
        <f>HYPERLINK("https://fin.land.naver.com/articles/2644120482", "매물Link")</f>
        <v/>
      </c>
      <c r="Q285" s="6">
        <f>HYPERLINK("https://map.naver.com/p/search/조치원읍 침산리 277-15", "지도Link")</f>
        <v/>
      </c>
      <c r="R285" s="3" t="inlineStr">
        <is>
          <t>바다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31</v>
      </c>
      <c r="H286" s="4" t="n">
        <v>8</v>
      </c>
      <c r="I286" s="5" t="n">
        <v>3.9</v>
      </c>
      <c r="J286" s="4" t="n">
        <v>8</v>
      </c>
      <c r="K286" s="5" t="n">
        <v>3.9</v>
      </c>
      <c r="L286" s="3" t="inlineStr">
        <is>
          <t>2</t>
        </is>
      </c>
      <c r="M286" s="3" t="inlineStr">
        <is>
          <t>4</t>
        </is>
      </c>
      <c r="N286" s="3" t="inlineStr">
        <is>
          <t>북향</t>
        </is>
      </c>
      <c r="O286" s="3" t="inlineStr">
        <is>
          <t>분리형원룸.즉시입주가능.</t>
        </is>
      </c>
      <c r="P286" s="6">
        <f>HYPERLINK("https://fin.land.naver.com/articles/2646875981", "매물Link")</f>
        <v/>
      </c>
      <c r="Q286" s="6">
        <f>HYPERLINK("https://map.naver.com/p/search/조치원읍 침산리 277-15", "지도Link")</f>
        <v/>
      </c>
      <c r="R286" s="3" t="inlineStr">
        <is>
          <t>이음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매매</t>
        </is>
      </c>
      <c r="F291" s="4" t="n">
        <v>98000</v>
      </c>
      <c r="G291" s="4" t="n">
        <v>0</v>
      </c>
      <c r="H291" s="4" t="n">
        <v>93</v>
      </c>
      <c r="I291" s="5" t="n">
        <v>1053.8</v>
      </c>
      <c r="J291" s="4" t="n">
        <v>152</v>
      </c>
      <c r="K291" s="5" t="n">
        <v>644.7</v>
      </c>
      <c r="L291" s="3" t="inlineStr">
        <is>
          <t>4</t>
        </is>
      </c>
      <c r="M291" s="3" t="inlineStr">
        <is>
          <t>0</t>
        </is>
      </c>
      <c r="N291" s="3" t="inlineStr">
        <is>
          <t>남서향</t>
        </is>
      </c>
      <c r="O291" s="3" t="inlineStr">
        <is>
          <t>nan</t>
        </is>
      </c>
      <c r="P291" s="6">
        <f>HYPERLINK("https://fin.land.naver.com/articles/2645775884", "매물Link")</f>
        <v/>
      </c>
      <c r="Q291" s="6">
        <f>HYPERLINK("https://map.naver.com/p/search/조치원읍 침산리 280-5", "지도Link")</f>
        <v/>
      </c>
      <c r="R291" s="3" t="inlineStr">
        <is>
          <t>척척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전세</t>
        </is>
      </c>
      <c r="F292" s="4" t="n">
        <v>9000</v>
      </c>
      <c r="G292" s="4" t="n">
        <v>0</v>
      </c>
      <c r="H292" s="4" t="n">
        <v>24</v>
      </c>
      <c r="I292" s="5" t="n">
        <v>375</v>
      </c>
      <c r="J292" s="4" t="n">
        <v>24</v>
      </c>
      <c r="K292" s="5" t="n">
        <v>375</v>
      </c>
      <c r="L292" s="3" t="inlineStr">
        <is>
          <t>4</t>
        </is>
      </c>
      <c r="M292" s="3" t="inlineStr">
        <is>
          <t>4</t>
        </is>
      </c>
      <c r="N292" s="3" t="inlineStr">
        <is>
          <t>남향</t>
        </is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3" t="inlineStr">
        <is>
          <t>세종베스트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전세</t>
        </is>
      </c>
      <c r="F294" s="4" t="n">
        <v>3500</v>
      </c>
      <c r="G294" s="4" t="n">
        <v>0</v>
      </c>
      <c r="H294" s="4" t="n">
        <v>0</v>
      </c>
      <c r="I294" s="5" t="n">
        <v>0</v>
      </c>
      <c r="J294" s="4" t="n">
        <v>8</v>
      </c>
      <c r="K294" s="5" t="n">
        <v>437.5</v>
      </c>
      <c r="L294" s="3" t="inlineStr">
        <is>
          <t>2</t>
        </is>
      </c>
      <c r="M294" s="3" t="inlineStr">
        <is>
          <t>4</t>
        </is>
      </c>
      <c r="N294" s="3" t="inlineStr">
        <is>
          <t>동향</t>
        </is>
      </c>
      <c r="O294" s="3" t="inlineStr">
        <is>
          <t>넓고 깔끔한  풀옵션 완비방  주방분리  짐만 가져오세요  바로입주</t>
        </is>
      </c>
      <c r="P294" s="6">
        <f>HYPERLINK("https://fin.land.naver.com/articles/2648568156", "매물Link")</f>
        <v/>
      </c>
      <c r="Q294" s="6">
        <f>HYPERLINK("https://map.naver.com/p/search/조치원읍 침산리 283-16", "지도Link")</f>
        <v/>
      </c>
      <c r="R294" s="3" t="inlineStr">
        <is>
          <t>연서으뜸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4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3" t="inlineStr">
        <is>
          <t>척척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전용49.8p, 방3개 화장실2개, 사유지땅 사용가능</t>
        </is>
      </c>
      <c r="P296" s="6">
        <f>HYPERLINK("https://fin.land.naver.com/articles/2642686160", "매물Link")</f>
        <v/>
      </c>
      <c r="Q296" s="6">
        <f>HYPERLINK("https://map.naver.com/p/search/한솔동 1118", "지도Link")</f>
        <v/>
      </c>
      <c r="R296" s="3" t="inlineStr">
        <is>
          <t>세종무지개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급매 주인거주할려고 초현대식 정성들여  대지넓어요 몸만들어가면 돼요</t>
        </is>
      </c>
      <c r="P297" s="6">
        <f>HYPERLINK("https://fin.land.naver.com/articles/2648616143", "매물Link")</f>
        <v/>
      </c>
      <c r="Q297" s="6">
        <f>HYPERLINK("https://map.naver.com/p/search/한솔동 1118", "지도Link")</f>
        <v/>
      </c>
      <c r="R297" s="3" t="inlineStr">
        <is>
          <t>세종시삼성래미안</t>
        </is>
      </c>
      <c r="S297" s="4" t="n">
        <v>3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HYPERLINK("https://fin.land.naver.com/articles/2642889859",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3" t="inlineStr">
        <is>
          <t>세종믿음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착한매우급매 마당넓은공원 내집처럼사용 옆시유지땅 무상사용 꼭 해 달래요</t>
        </is>
      </c>
      <c r="P300" s="6">
        <f>HYPERLINK("https://fin.land.naver.com/articles/2646097576", "매물Link")</f>
        <v/>
      </c>
      <c r="Q300" s="6">
        <f>HYPERLINK("https://map.naver.com/p/search/한솔동 1118", "지도Link")</f>
        <v/>
      </c>
      <c r="R300" s="3" t="inlineStr">
        <is>
          <t>세종골드삼성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남동향</t>
        </is>
      </c>
      <c r="O301" s="3" t="inlineStr">
        <is>
          <t>nan</t>
        </is>
      </c>
      <c r="P301" s="6">
        <f>HYPERLINK("https://fin.land.naver.com/articles/2643821176", "매물Link")</f>
        <v/>
      </c>
      <c r="Q301" s="6">
        <f>HYPERLINK("https://map.naver.com/p/search/한솔동 1118", "지도Link")</f>
        <v/>
      </c>
      <c r="R301" s="3" t="inlineStr">
        <is>
          <t>세종삼촌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입지 좋고 공간활용도가 높은 한솔동 단독주택 매매</t>
        </is>
      </c>
      <c r="P303" s="6">
        <f>HYPERLINK("https://fin.land.naver.com/articles/2644395820", "매물Link")</f>
        <v/>
      </c>
      <c r="Q303" s="6">
        <f>HYPERLINK("https://map.naver.com/p/search/한솔동 899", "지도Link")</f>
        <v/>
      </c>
      <c r="R303" s="3" t="inlineStr">
        <is>
          <t>명진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공원옆 코너각지 남향 가격조절가 태양열 전기차충전기 정원에카페사용공간있음</t>
        </is>
      </c>
      <c r="P304" s="6">
        <f>HYPERLINK("https://fin.land.naver.com/articles/2642906236", "매물Link")</f>
        <v/>
      </c>
      <c r="Q304" s="6">
        <f>HYPERLINK("https://map.naver.com/p/search/한솔동 899", "지도Link")</f>
        <v/>
      </c>
      <c r="R304" s="3" t="inlineStr">
        <is>
          <t>세종시해냄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태양광, 풀에어컨, 주차2대, 한솔동 입지 좋은 주택 매매</t>
        </is>
      </c>
      <c r="P305" s="6">
        <f>HYPERLINK("https://fin.land.naver.com/articles/2644084278", "매물Link")</f>
        <v/>
      </c>
      <c r="Q305" s="6">
        <f>HYPERLINK("https://map.naver.com/p/search/한솔동 899", "지도Link")</f>
        <v/>
      </c>
      <c r="R305" s="3" t="inlineStr">
        <is>
          <t>세종무지개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튼튼하게 지어서 실거주로 거주하기 좋은집</t>
        </is>
      </c>
      <c r="P306" s="6">
        <f>HYPERLINK("https://fin.land.naver.com/articles/2646538585", "매물Link")</f>
        <v/>
      </c>
      <c r="Q306" s="6">
        <f>HYPERLINK("https://map.naver.com/p/search/한솔동 899", "지도Link")</f>
        <v/>
      </c>
      <c r="R306" s="3" t="inlineStr">
        <is>
          <t>현대탑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2026-09-09T03:58:59Z</dcterms:created>
  <dcterms:modified xsi:type="dcterms:W3CDTF">2026-09-09T03:59:04Z</dcterms:modified>
</cp:coreProperties>
</file>