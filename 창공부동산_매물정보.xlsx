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'공장창고매물'!$A$1:$AD$264</definedName>
    <definedName name="_xlnm._FilterDatabase" localSheetId="1" hidden="1">'주택매물'!$A$1:$AA$268</definedName>
    <definedName name="_xlnm._FilterDatabase" localSheetId="2" hidden="1">'토지매물'!$A$1:$V$1494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HYPERLINK("https://fin.land.naver.com/articles/2649125304",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HYPERLINK("https://fin.land.naver.com/articles/2648128237",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하이테크밸리 인근에 위치, 대로 개통 예정으로 대형차 진출입 용이</t>
        </is>
      </c>
      <c r="Q11" s="6">
        <f>HYPERLINK("https://fin.land.naver.com/articles/2650626599",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(주)미르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9497</v>
      </c>
      <c r="I13" s="4" t="n">
        <v>2873</v>
      </c>
      <c r="J13" s="5" t="n">
        <v>208.8</v>
      </c>
      <c r="K13" s="4" t="n">
        <v>4026</v>
      </c>
      <c r="L13" s="4" t="n">
        <v>1218</v>
      </c>
      <c r="M13" s="5" t="n">
        <v>492.6</v>
      </c>
      <c r="N13" s="3" t="inlineStr">
        <is>
          <t>1</t>
        </is>
      </c>
      <c r="O13" s="3" t="inlineStr">
        <is>
          <t>B3</t>
        </is>
      </c>
      <c r="P13" s="3" t="inlineStr">
        <is>
          <t>투자가치 높은 청주하이테크밸리인근의 사무동있는 공장</t>
        </is>
      </c>
      <c r="Q13" s="6">
        <f>HYPERLINK("https://fin.land.naver.com/articles/2647580390",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오송파라곤리치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HYPERLINK("https://fin.land.naver.com/articles/2650916208",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HYPERLINK("https://fin.land.naver.com/articles/2650915582",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5870</v>
      </c>
      <c r="I17" s="4" t="n">
        <v>1776</v>
      </c>
      <c r="J17" s="5" t="n">
        <v>337.8</v>
      </c>
      <c r="K17" s="4" t="n">
        <v>2714</v>
      </c>
      <c r="L17" s="4" t="n">
        <v>821</v>
      </c>
      <c r="M17" s="5" t="n">
        <v>730.8</v>
      </c>
      <c r="N17" s="3" t="inlineStr">
        <is>
          <t>3</t>
        </is>
      </c>
      <c r="O17" s="3" t="inlineStr">
        <is>
          <t>-</t>
        </is>
      </c>
      <c r="P17" s="3" t="inlineStr">
        <is>
          <t>청주 하이테크밸리에 위치한 저렴한 공장 매물, 4차선도로 인접</t>
        </is>
      </c>
      <c r="Q17" s="6">
        <f>HYPERLINK("https://fin.land.naver.com/articles/2649111226",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1.4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대형평수,저렴하게 나온 공장 매물 월세,바닥 에폭시 새로 예정</t>
        </is>
      </c>
      <c r="Q18" s="6">
        <f>HYPERLINK("https://fin.land.naver.com/articles/2649113039",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5000</v>
      </c>
      <c r="G19" s="4" t="n">
        <v>400</v>
      </c>
      <c r="H19" s="4" t="n">
        <v>5870</v>
      </c>
      <c r="I19" s="4" t="n">
        <v>1776</v>
      </c>
      <c r="J19" s="5" t="n">
        <v>0.2</v>
      </c>
      <c r="K19" s="4" t="n">
        <v>2714</v>
      </c>
      <c r="L19" s="4" t="n">
        <v>821</v>
      </c>
      <c r="M19" s="5" t="n">
        <v>0.5</v>
      </c>
      <c r="N19" s="3" t="inlineStr">
        <is>
          <t>3</t>
        </is>
      </c>
      <c r="O19" s="3" t="inlineStr">
        <is>
          <t>-</t>
        </is>
      </c>
      <c r="P19" s="3" t="inlineStr">
        <is>
          <t>대형평수, 저렴월세 공장, 주차장 넓음, 산업단지 부근에 위치</t>
        </is>
      </c>
      <c r="Q19" s="6">
        <f>HYPERLINK("https://fin.land.naver.com/articles/2649113304",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1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2차선도로변 접근성좋은 위치의 공장 즉시입주가능</t>
        </is>
      </c>
      <c r="Q28" s="6">
        <f>HYPERLINK("https://fin.land.naver.com/articles/2646668822",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더원</t>
        </is>
      </c>
      <c r="U28" s="4" t="n">
        <v>2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416000</v>
      </c>
      <c r="G29" s="4" t="n">
        <v>0</v>
      </c>
      <c r="H29" s="4" t="n">
        <v>5466</v>
      </c>
      <c r="I29" s="4" t="n">
        <v>1653</v>
      </c>
      <c r="J29" s="5" t="n">
        <v>251.7</v>
      </c>
      <c r="K29" s="4" t="n">
        <v>2176</v>
      </c>
      <c r="L29" s="4" t="n">
        <v>658</v>
      </c>
      <c r="M29" s="5" t="n">
        <v>632.2</v>
      </c>
      <c r="N29" s="3" t="inlineStr">
        <is>
          <t>1</t>
        </is>
      </c>
      <c r="O29" s="3" t="inlineStr">
        <is>
          <t>-</t>
        </is>
      </c>
      <c r="P29" s="3" t="inlineStr">
        <is>
          <t>2차선에 접한 공장매매입니다</t>
        </is>
      </c>
      <c r="Q29" s="6">
        <f>HYPERLINK("https://fin.land.naver.com/articles/2649394377",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7000</v>
      </c>
      <c r="G33" s="4" t="n">
        <v>550</v>
      </c>
      <c r="H33" s="4" t="n">
        <v>2238</v>
      </c>
      <c r="I33" s="4" t="n">
        <v>677</v>
      </c>
      <c r="J33" s="5" t="n">
        <v>0.8</v>
      </c>
      <c r="K33" s="4" t="n">
        <v>604</v>
      </c>
      <c r="L33" s="4" t="n">
        <v>183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nan</t>
        </is>
      </c>
      <c r="Q33" s="6">
        <f>HYPERLINK("https://fin.land.naver.com/articles/2651365317",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4000</v>
      </c>
      <c r="G35" s="4" t="n">
        <v>360</v>
      </c>
      <c r="H35" s="4" t="n">
        <v>1808</v>
      </c>
      <c r="I35" s="4" t="n">
        <v>547</v>
      </c>
      <c r="J35" s="5" t="n">
        <v>0.7</v>
      </c>
      <c r="K35" s="4" t="n">
        <v>396</v>
      </c>
      <c r="L35" s="4" t="n">
        <v>120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청주 공장 임대 오송,세종,옥산 인근 제조업 가능</t>
        </is>
      </c>
      <c r="Q35" s="6">
        <f>HYPERLINK("https://fin.land.naver.com/articles/2651622751",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부속건축물 제1동</t>
        </is>
      </c>
      <c r="Y35" s="7" t="inlineStr">
        <is>
          <t>2층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8.4m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45085</v>
      </c>
      <c r="I37" s="4" t="n">
        <v>13638</v>
      </c>
      <c r="J37" s="5" t="n">
        <v>146.6</v>
      </c>
      <c r="K37" s="4" t="n">
        <v>1656</v>
      </c>
      <c r="L37" s="4" t="n">
        <v>501</v>
      </c>
      <c r="M37" s="5" t="n">
        <v>3992</v>
      </c>
      <c r="N37" s="3" t="inlineStr">
        <is>
          <t>3</t>
        </is>
      </c>
      <c r="O37" s="3" t="inlineStr">
        <is>
          <t>B3</t>
        </is>
      </c>
      <c r="P37" s="3" t="inlineStr">
        <is>
          <t>nan</t>
        </is>
      </c>
      <c r="Q37" s="6">
        <f>HYPERLINK("https://fin.land.naver.com/articles/2648501365",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주식회사정우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48084</v>
      </c>
      <c r="I39" s="4" t="n">
        <v>14545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남청주ic에서 가까워 대형차 진출입이 용이한 대형 공장및 물류센터추천</t>
        </is>
      </c>
      <c r="Q39" s="6">
        <f>HYPERLINK("https://fin.land.naver.com/articles/2649086024",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(주)미르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HYPERLINK("https://fin.land.naver.com/articles/2648838968",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HYPERLINK("https://fin.land.naver.com/articles/2650667943",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4</t>
        </is>
      </c>
      <c r="O57" s="3" t="inlineStr">
        <is>
          <t>-</t>
        </is>
      </c>
      <c r="P57" s="3" t="inlineStr">
        <is>
          <t>오송역ktx 청주ic 약10분거리 4차선대로변 위치좋은 공장</t>
        </is>
      </c>
      <c r="Q57" s="6">
        <f>HYPERLINK("https://fin.land.naver.com/articles/2650873405",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해당토지외 6필지 포함.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3</t>
        </is>
      </c>
      <c r="O59" s="3" t="inlineStr">
        <is>
          <t>-</t>
        </is>
      </c>
      <c r="P59" s="3" t="inlineStr">
        <is>
          <t>신청주 코퍼레이션,넓은 대지,영업권 및 특허권 포함</t>
        </is>
      </c>
      <c r="Q59" s="6">
        <f>HYPERLINK("https://fin.land.naver.com/articles/2651640768",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주식회사 골든제이파트너스</t>
        </is>
      </c>
      <c r="U59" s="4" t="n">
        <v>2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대로변 준신축 공장 호이스트 3ton</t>
        </is>
      </c>
      <c r="Q63" s="6">
        <f>HYPERLINK("https://fin.land.naver.com/articles/2648107311",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수풀림</t>
        </is>
      </c>
      <c r="U63" s="4" t="n">
        <v>2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5000</v>
      </c>
      <c r="G64" s="4" t="n">
        <v>500</v>
      </c>
      <c r="H64" s="4" t="n">
        <v>2940</v>
      </c>
      <c r="I64" s="4" t="n">
        <v>889</v>
      </c>
      <c r="J64" s="5" t="n">
        <v>0.6</v>
      </c>
      <c r="K64" s="4" t="n">
        <v>597</v>
      </c>
      <c r="L64" s="4" t="n">
        <v>181</v>
      </c>
      <c r="M64" s="5" t="n">
        <v>2.8</v>
      </c>
      <c r="N64" s="3" t="inlineStr">
        <is>
          <t>1</t>
        </is>
      </c>
      <c r="O64" s="3" t="inlineStr">
        <is>
          <t>-</t>
        </is>
      </c>
      <c r="P64" s="3" t="inlineStr">
        <is>
          <t>2차선접 호이스트 3톤 설치 야드 넓은 단독 공장 ,창고 임대</t>
        </is>
      </c>
      <c r="Q64" s="6">
        <f>HYPERLINK("https://fin.land.naver.com/articles/2649038611",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청주,세종으로 접근성 좋은,호이스트3톤,마당넓은 야적하기 좋은 공장</t>
        </is>
      </c>
      <c r="Q65" s="6">
        <f>HYPERLINK("https://fin.land.naver.com/articles/2650346158",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(주)미르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위치. 입출입 편하고 대지 넓음</t>
        </is>
      </c>
      <c r="Q66" s="6">
        <f>HYPERLINK("https://fin.land.naver.com/articles/2648710367",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청주1등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600000</v>
      </c>
      <c r="G69" s="4" t="n">
        <v>0</v>
      </c>
      <c r="H69" s="4" t="n">
        <v>12350</v>
      </c>
      <c r="I69" s="4" t="n">
        <v>3736</v>
      </c>
      <c r="J69" s="5" t="n">
        <v>160.6</v>
      </c>
      <c r="K69" s="4" t="n">
        <v>4649</v>
      </c>
      <c r="L69" s="4" t="n">
        <v>1406</v>
      </c>
      <c r="M69" s="5" t="n">
        <v>426.7</v>
      </c>
      <c r="N69" s="3" t="inlineStr">
        <is>
          <t>1</t>
        </is>
      </c>
      <c r="O69" s="3" t="inlineStr">
        <is>
          <t>-</t>
        </is>
      </c>
      <c r="P69" s="3" t="inlineStr">
        <is>
          <t>대형차진입가능. 청주ic 강내산업단지인근 오송산업단지인근</t>
        </is>
      </c>
      <c r="Q69" s="6">
        <f>HYPERLINK("https://fin.land.naver.com/articles/2646907783",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세종로또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12638</v>
      </c>
      <c r="I72" s="4" t="n">
        <v>3823</v>
      </c>
      <c r="J72" s="5" t="n">
        <v>156.9</v>
      </c>
      <c r="K72" s="4" t="n">
        <v>4844</v>
      </c>
      <c r="L72" s="4" t="n">
        <v>1465</v>
      </c>
      <c r="M72" s="5" t="n">
        <v>409.6</v>
      </c>
      <c r="N72" s="3" t="inlineStr">
        <is>
          <t>1</t>
        </is>
      </c>
      <c r="O72" s="3" t="inlineStr">
        <is>
          <t>-</t>
        </is>
      </c>
      <c r="P72" s="3" t="inlineStr">
        <is>
          <t>청주ic및 강내ic 예정지역인근으로 대형차 진출입용이 민원소지없음</t>
        </is>
      </c>
      <c r="Q72" s="6">
        <f>HYPERLINK("https://fin.land.naver.com/articles/2646668651",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 일반산업단지 인근에 위치, 2차선 대로변으로 접근성 좋음</t>
        </is>
      </c>
      <c r="Q73" s="6">
        <f>HYPERLINK("https://fin.land.naver.com/articles/2650344940",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2</t>
        </is>
      </c>
      <c r="O74" s="3" t="inlineStr">
        <is>
          <t>B2</t>
        </is>
      </c>
      <c r="P74" s="3" t="inlineStr">
        <is>
          <t>현재공실, 대형차진입가능. 청주ic 강내산업단지인근 오송산업단지인근</t>
        </is>
      </c>
      <c r="Q74" s="6">
        <f>HYPERLINK("https://fin.land.naver.com/articles/2648521994",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15000</v>
      </c>
      <c r="G75" s="4" t="n">
        <v>1500</v>
      </c>
      <c r="H75" s="4" t="n">
        <v>9917</v>
      </c>
      <c r="I75" s="4" t="n">
        <v>3000</v>
      </c>
      <c r="J75" s="5" t="n">
        <v>0.5</v>
      </c>
      <c r="K75" s="4" t="n">
        <v>1980</v>
      </c>
      <c r="L75" s="4" t="n">
        <v>599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2차선대로 강내하이테크밸리 산업단지접근성좋으며 단독사용가능한 넓은마당</t>
        </is>
      </c>
      <c r="Q75" s="6">
        <f>HYPERLINK("https://fin.land.naver.com/articles/2648089900",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2</v>
      </c>
      <c r="V75" s="5" t="n">
        <v>62.4</v>
      </c>
      <c r="W75" s="4" t="n">
        <v>209096</v>
      </c>
      <c r="X75" s="3" t="inlineStr">
        <is>
          <t>주6동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7.15m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18000</v>
      </c>
      <c r="G76" s="4" t="n">
        <v>1750</v>
      </c>
      <c r="H76" s="4" t="n">
        <v>9200</v>
      </c>
      <c r="I76" s="4" t="n">
        <v>2783</v>
      </c>
      <c r="J76" s="5" t="n">
        <v>0.6</v>
      </c>
      <c r="K76" s="4" t="n">
        <v>2217</v>
      </c>
      <c r="L76" s="4" t="n">
        <v>671</v>
      </c>
      <c r="M76" s="5" t="n">
        <v>2.6</v>
      </c>
      <c r="N76" s="3" t="inlineStr">
        <is>
          <t>1</t>
        </is>
      </c>
      <c r="O76" s="3" t="inlineStr">
        <is>
          <t>-</t>
        </is>
      </c>
      <c r="P76" s="3" t="inlineStr">
        <is>
          <t>2차선진입대형차 진출입용이 사무실 갖추어진 공장 넓은 마당사용</t>
        </is>
      </c>
      <c r="Q76" s="6">
        <f>HYPERLINK("https://fin.land.naver.com/articles/2646668810",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HYPERLINK("https://fin.land.naver.com/articles/2646667860",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39000</v>
      </c>
      <c r="G78" s="4" t="n">
        <v>3900</v>
      </c>
      <c r="H78" s="4" t="n">
        <v>32274</v>
      </c>
      <c r="I78" s="4" t="n">
        <v>9763</v>
      </c>
      <c r="J78" s="5" t="n">
        <v>0.4</v>
      </c>
      <c r="K78" s="4" t="n">
        <v>5223</v>
      </c>
      <c r="L78" s="4" t="n">
        <v>1580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대형창고 공장임대 즉시입주가 추가면적가능</t>
        </is>
      </c>
      <c r="Q78" s="6">
        <f>HYPERLINK("https://fin.land.naver.com/articles/2650873431",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HYPERLINK("https://fin.land.naver.com/articles/2646668003",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HYPERLINK("https://fin.land.naver.com/articles/2646419513",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3801</v>
      </c>
      <c r="I81" s="4" t="n">
        <v>1150</v>
      </c>
      <c r="J81" s="5" t="n">
        <v>2.1</v>
      </c>
      <c r="K81" s="4" t="n">
        <v>3801</v>
      </c>
      <c r="L81" s="4" t="n">
        <v>1150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일반창고구조와 튼튼한 가설건축물로 이루어진 저렴한 대형창고임대</t>
        </is>
      </c>
      <c r="Q81" s="6">
        <f>HYPERLINK("https://fin.land.naver.com/articles/2646424896",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73500</v>
      </c>
      <c r="G82" s="4" t="n">
        <v>7350</v>
      </c>
      <c r="H82" s="4" t="n">
        <v>209096</v>
      </c>
      <c r="I82" s="4" t="n">
        <v>63252</v>
      </c>
      <c r="J82" s="5" t="n">
        <v>0.1</v>
      </c>
      <c r="K82" s="4" t="n">
        <v>9733</v>
      </c>
      <c r="L82" s="4" t="n">
        <v>2944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부분임대가능 ,청주IC 인근으로 관리와 교통이 편리한 물류창고 임대</t>
        </is>
      </c>
      <c r="Q82" s="6">
        <f>HYPERLINK("https://fin.land.naver.com/articles/2651298342",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(주)미르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HYPERLINK("https://fin.land.naver.com/articles/2649681628",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87000</v>
      </c>
      <c r="G85" s="4" t="n">
        <v>0</v>
      </c>
      <c r="H85" s="4" t="n">
        <v>840</v>
      </c>
      <c r="I85" s="4" t="n">
        <v>254</v>
      </c>
      <c r="J85" s="5" t="n">
        <v>342.5</v>
      </c>
      <c r="K85" s="4" t="n">
        <v>327</v>
      </c>
      <c r="L85" s="4" t="n">
        <v>99</v>
      </c>
      <c r="M85" s="5" t="n">
        <v>878.8</v>
      </c>
      <c r="N85" s="3" t="inlineStr">
        <is>
          <t>1</t>
        </is>
      </c>
      <c r="O85" s="3" t="inlineStr">
        <is>
          <t>-</t>
        </is>
      </c>
      <c r="P85" s="3" t="inlineStr">
        <is>
          <t>2차선접</t>
        </is>
      </c>
      <c r="Q85" s="6">
        <f>HYPERLINK("https://fin.land.naver.com/articles/2646606220",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840</v>
      </c>
      <c r="I87" s="4" t="n">
        <v>254</v>
      </c>
      <c r="J87" s="5" t="n">
        <v>334.6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2종근생제조업이나 물류창고로 사용가능   처마고8m이상</t>
        </is>
      </c>
      <c r="Q87" s="6">
        <f>HYPERLINK("https://fin.land.naver.com/articles/2646669303",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3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청주ic 13분 마당 넓은 단독 공장 임대 호이스트 3톤 전력160kw</t>
        </is>
      </c>
      <c r="Q90" s="6">
        <f>HYPERLINK("https://fin.land.naver.com/articles/2647589523",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사진有,오송세종청주를 잇는 최적의 입지와 접근성을 모두 갖춘 위치</t>
        </is>
      </c>
      <c r="Q92" s="6">
        <f>HYPERLINK("https://fin.land.naver.com/articles/2646343035",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대형차 진출입 매우 편리 임대료 좋은 깔끔한 대형창고공장 임대</t>
        </is>
      </c>
      <c r="Q93" s="6">
        <f>HYPERLINK("https://fin.land.naver.com/articles/2651036703",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10000</v>
      </c>
      <c r="G94" s="4" t="n">
        <v>970</v>
      </c>
      <c r="H94" s="4" t="n">
        <v>3500</v>
      </c>
      <c r="I94" s="4" t="n">
        <v>1059</v>
      </c>
      <c r="J94" s="5" t="n">
        <v>0.9</v>
      </c>
      <c r="K94" s="4" t="n">
        <v>1392</v>
      </c>
      <c r="L94" s="4" t="n">
        <v>421</v>
      </c>
      <c r="M94" s="5" t="n">
        <v>2.3</v>
      </c>
      <c r="N94" s="3" t="inlineStr">
        <is>
          <t>1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HYPERLINK("https://fin.land.naver.com/articles/2649942545",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달인무소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900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2.1</v>
      </c>
      <c r="N95" s="3" t="inlineStr">
        <is>
          <t>1</t>
        </is>
      </c>
      <c r="O95" s="3" t="inlineStr">
        <is>
          <t>-</t>
        </is>
      </c>
      <c r="P95" s="3" t="inlineStr">
        <is>
          <t>청주IC10분, 넓은 마당, 층고 9m, 공장 및 물류창고로 단독 사용</t>
        </is>
      </c>
      <c r="Q95" s="6">
        <f>HYPERLINK("https://fin.land.naver.com/articles/2648234580",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청담</t>
        </is>
      </c>
      <c r="U95" s="4" t="n">
        <v>3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임대료 너무 좋은 대형평수 넓은 마당확보</t>
        </is>
      </c>
      <c r="Q96" s="6">
        <f>HYPERLINK("https://fin.land.naver.com/articles/2646803335",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HYPERLINK("https://fin.land.naver.com/articles/2651594564",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4500</v>
      </c>
      <c r="G98" s="4" t="n">
        <v>440</v>
      </c>
      <c r="H98" s="4" t="n">
        <v>3500</v>
      </c>
      <c r="I98" s="4" t="n">
        <v>1059</v>
      </c>
      <c r="J98" s="5" t="n">
        <v>0.4</v>
      </c>
      <c r="K98" s="4" t="n">
        <v>720</v>
      </c>
      <c r="L98" s="4" t="n">
        <v>218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오송세종청주를 잇는 최적의 산업 입지와 접근성을 모두 갖춘 위치</t>
        </is>
      </c>
      <c r="Q98" s="6">
        <f>HYPERLINK("https://fin.land.naver.com/articles/2647701633",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태성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1434</v>
      </c>
      <c r="I99" s="4" t="n">
        <v>434</v>
      </c>
      <c r="J99" s="5" t="n">
        <v>0.5</v>
      </c>
      <c r="K99" s="4" t="n">
        <v>300</v>
      </c>
      <c r="L99" s="4" t="n">
        <v>91</v>
      </c>
      <c r="M99" s="5" t="n">
        <v>2.5</v>
      </c>
      <c r="N99" s="3" t="inlineStr">
        <is>
          <t>1</t>
        </is>
      </c>
      <c r="O99" s="3" t="inlineStr">
        <is>
          <t>-</t>
        </is>
      </c>
      <c r="P99" s="3" t="inlineStr">
        <is>
          <t>2차선 도로변에 접하고 있어 진출입 용이, 오송 및 세종 부근</t>
        </is>
      </c>
      <c r="Q99" s="6">
        <f>HYPERLINK("https://fin.land.naver.com/articles/2646727890",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2</v>
      </c>
      <c r="V99" s="5" t="n">
        <v>61.1</v>
      </c>
      <c r="W99" s="4" t="n">
        <v>1434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1</t>
        </is>
      </c>
      <c r="O101" s="3" t="inlineStr">
        <is>
          <t>-</t>
        </is>
      </c>
      <c r="P101" s="3" t="inlineStr">
        <is>
          <t>강내 하이테크밸리산업단지 인근 신축급공장매매 층고높음</t>
        </is>
      </c>
      <c r="Q101" s="6">
        <f>HYPERLINK("https://fin.land.naver.com/articles/2646668037",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2082</v>
      </c>
      <c r="L102" s="4" t="n">
        <v>630</v>
      </c>
      <c r="M102" s="5" t="n">
        <v>555.6</v>
      </c>
      <c r="N102" s="3" t="inlineStr">
        <is>
          <t>2</t>
        </is>
      </c>
      <c r="O102" s="3" t="inlineStr">
        <is>
          <t>-</t>
        </is>
      </c>
      <c r="P102" s="3" t="inlineStr">
        <is>
          <t>태성리 공장 매매 3개동 매매</t>
        </is>
      </c>
      <c r="Q102" s="6">
        <f>HYPERLINK("https://fin.land.naver.com/articles/2651352884",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금호사랑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2682</v>
      </c>
      <c r="L103" s="4" t="n">
        <v>811</v>
      </c>
      <c r="M103" s="5" t="n">
        <v>431.6</v>
      </c>
      <c r="N103" s="3" t="inlineStr">
        <is>
          <t>2</t>
        </is>
      </c>
      <c r="O103" s="3" t="inlineStr">
        <is>
          <t>-</t>
        </is>
      </c>
      <c r="P103" s="3" t="inlineStr">
        <is>
          <t>청주하이테크밸리산업단지 바로 옆 층고높은 신축공장,대형차 진출입 용이</t>
        </is>
      </c>
      <c r="Q103" s="6">
        <f>HYPERLINK("https://fin.land.naver.com/articles/2647035364",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(주)미르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청주IC인근이며 관리 잘 된 신축급 공장 , 2차선 도로접함</t>
        </is>
      </c>
      <c r="Q105" s="6">
        <f>HYPERLINK("https://fin.land.naver.com/articles/2651582772",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(주)미르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 2차선도로변 공장 사무실있음 현임대중</t>
        </is>
      </c>
      <c r="Q106" s="6">
        <f>HYPERLINK("https://fin.land.naver.com/articles/2650954653",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더원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창고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HYPERLINK("https://fin.land.naver.com/articles/2650549059",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오송k랜드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총8동으로 전체임대중 입니다</t>
        </is>
      </c>
      <c r="Q108" s="6">
        <f>HYPERLINK("https://fin.land.naver.com/articles/2649923305",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8000</v>
      </c>
      <c r="G113" s="4" t="n">
        <v>800</v>
      </c>
      <c r="H113" s="4" t="n">
        <v>5013</v>
      </c>
      <c r="I113" s="4" t="n">
        <v>1516</v>
      </c>
      <c r="J113" s="5" t="n">
        <v>0.5</v>
      </c>
      <c r="K113" s="4" t="n">
        <v>1535</v>
      </c>
      <c r="L113" s="4" t="n">
        <v>464</v>
      </c>
      <c r="M113" s="5" t="n">
        <v>1.7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HYPERLINK("https://fin.land.naver.com/articles/2649991282",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접근성 편리한 부강면 공장창고임대, 대형차 출입용이</t>
        </is>
      </c>
      <c r="Q115" s="6">
        <f>HYPERLINK("https://fin.land.naver.com/articles/2650629262",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신탄진다온</t>
        </is>
      </c>
      <c r="U115" s="4" t="n">
        <v>1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493</v>
      </c>
      <c r="L116" s="4" t="n">
        <v>149</v>
      </c>
      <c r="M116" s="5" t="n">
        <v>3</v>
      </c>
      <c r="N116" s="3" t="inlineStr">
        <is>
          <t>2</t>
        </is>
      </c>
      <c r="O116" s="3" t="inlineStr">
        <is>
          <t>-</t>
        </is>
      </c>
      <c r="P116" s="3" t="inlineStr">
        <is>
          <t>nan</t>
        </is>
      </c>
      <c r="Q116" s="6">
        <f>HYPERLINK("https://fin.land.naver.com/articles/2648397794",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e플러스</t>
        </is>
      </c>
      <c r="U116" s="4" t="n">
        <v>1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접근성좋은 소형공장, 2차선변위치</t>
        </is>
      </c>
      <c r="Q117" s="6">
        <f>HYPERLINK("https://fin.land.naver.com/articles/2649707505",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창고의여왕</t>
        </is>
      </c>
      <c r="U117" s="4" t="n">
        <v>2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교통편리한 부강교차로 옆 저렴한 공장창고 임대</t>
        </is>
      </c>
      <c r="Q118" s="6">
        <f>HYPERLINK("https://fin.land.naver.com/articles/2646987700",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세종행복한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남청주ic 9분 세종 부강일반산업단지 옆 단독 소형 공장임대</t>
        </is>
      </c>
      <c r="Q120" s="6">
        <f>HYPERLINK("https://fin.land.naver.com/articles/2650873411",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더원</t>
        </is>
      </c>
      <c r="U120" s="4" t="n">
        <v>3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층고가 높아 3단 적재도 충분한 창고</t>
        </is>
      </c>
      <c r="Q121" s="6">
        <f>HYPERLINK("https://fin.land.naver.com/articles/2646672444",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창고의여왕</t>
        </is>
      </c>
      <c r="U121" s="4" t="n">
        <v>2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200000</v>
      </c>
      <c r="G129" s="4" t="n">
        <v>0</v>
      </c>
      <c r="H129" s="4" t="n">
        <v>2498</v>
      </c>
      <c r="I129" s="4" t="n">
        <v>756</v>
      </c>
      <c r="J129" s="5" t="n">
        <v>264.6</v>
      </c>
      <c r="K129" s="4" t="n">
        <v>755</v>
      </c>
      <c r="L129" s="4" t="n">
        <v>228</v>
      </c>
      <c r="M129" s="5" t="n">
        <v>877.2</v>
      </c>
      <c r="N129" s="3" t="inlineStr">
        <is>
          <t>2</t>
        </is>
      </c>
      <c r="O129" s="3" t="inlineStr">
        <is>
          <t>-</t>
        </is>
      </c>
      <c r="P129" s="3" t="inlineStr">
        <is>
          <t>부강일반산업단지 인근 리모델링완료된 단독 공장 매매</t>
        </is>
      </c>
      <c r="Q129" s="6">
        <f>HYPERLINK("https://fin.land.naver.com/articles/2646311764",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드림옥션사무소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부강산업단지인근 도로옆 단독공장 2년전 리모델링완비</t>
        </is>
      </c>
      <c r="Q130" s="6">
        <f>HYPERLINK("https://fin.land.naver.com/articles/2650938924",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더원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2년전 리모델링완비, 전시판매장추천,1000여평 국유지임대가능</t>
        </is>
      </c>
      <c r="Q132" s="6">
        <f>HYPERLINK("https://fin.land.naver.com/articles/2650894474",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소소사무소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HYPERLINK("https://fin.land.naver.com/articles/2651075109",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15000</v>
      </c>
      <c r="G134" s="4" t="n">
        <v>1500</v>
      </c>
      <c r="H134" s="4" t="n">
        <v>8600</v>
      </c>
      <c r="I134" s="4" t="n">
        <v>2602</v>
      </c>
      <c r="J134" s="5" t="n">
        <v>0.6</v>
      </c>
      <c r="K134" s="4" t="n">
        <v>1793</v>
      </c>
      <c r="L134" s="4" t="n">
        <v>542</v>
      </c>
      <c r="M134" s="5" t="n">
        <v>2.8</v>
      </c>
      <c r="N134" s="3" t="inlineStr">
        <is>
          <t>2</t>
        </is>
      </c>
      <c r="O134" s="3" t="inlineStr">
        <is>
          <t>-</t>
        </is>
      </c>
      <c r="P134" s="3" t="inlineStr">
        <is>
          <t>민원소지 없는 야드 넓은 공장임대</t>
        </is>
      </c>
      <c r="Q134" s="6">
        <f>HYPERLINK("https://fin.land.naver.com/articles/2651586128",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금화랜드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8600</v>
      </c>
      <c r="I135" s="4" t="n">
        <v>2602</v>
      </c>
      <c r="J135" s="5" t="n">
        <v>0.6</v>
      </c>
      <c r="K135" s="4" t="n">
        <v>1793</v>
      </c>
      <c r="L135" s="4" t="n">
        <v>542</v>
      </c>
      <c r="M135" s="5" t="n">
        <v>2.8</v>
      </c>
      <c r="N135" s="3" t="inlineStr">
        <is>
          <t>2</t>
        </is>
      </c>
      <c r="O135" s="3" t="inlineStr">
        <is>
          <t>-</t>
        </is>
      </c>
      <c r="P135" s="3" t="inlineStr">
        <is>
          <t>계획관리지역 넓은 야드 층고 높은 공장임대 보1억5천 월1500 매매가능</t>
        </is>
      </c>
      <c r="Q135" s="6">
        <f>HYPERLINK("https://fin.land.naver.com/articles/2648078347",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불당대원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제조업,재활용업 다용도 공장 가능,민원 없고 대형차량 진출입이 편리</t>
        </is>
      </c>
      <c r="Q136" s="6">
        <f>HYPERLINK("https://fin.land.naver.com/articles/2650503889",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금화랜드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570000</v>
      </c>
      <c r="G137" s="4" t="n">
        <v>0</v>
      </c>
      <c r="H137" s="4" t="n">
        <v>9585</v>
      </c>
      <c r="I137" s="4" t="n">
        <v>2899</v>
      </c>
      <c r="J137" s="5" t="n">
        <v>196.6</v>
      </c>
      <c r="K137" s="4" t="n">
        <v>1793</v>
      </c>
      <c r="L137" s="4" t="n">
        <v>542</v>
      </c>
      <c r="M137" s="5" t="n">
        <v>1051.7</v>
      </c>
      <c r="N137" s="3" t="inlineStr">
        <is>
          <t>2</t>
        </is>
      </c>
      <c r="O137" s="3" t="inlineStr">
        <is>
          <t>-</t>
        </is>
      </c>
      <c r="P137" s="3" t="inlineStr">
        <is>
          <t>사진有 공장 매매</t>
        </is>
      </c>
      <c r="Q137" s="6">
        <f>HYPERLINK("https://fin.land.naver.com/articles/2649597220",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월드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5000</v>
      </c>
      <c r="G138" s="4" t="n">
        <v>500</v>
      </c>
      <c r="H138" s="4" t="n">
        <v>9585</v>
      </c>
      <c r="I138" s="4" t="n">
        <v>2899</v>
      </c>
      <c r="J138" s="5" t="n">
        <v>0.2</v>
      </c>
      <c r="K138" s="4" t="n">
        <v>716</v>
      </c>
      <c r="L138" s="4" t="n">
        <v>217</v>
      </c>
      <c r="M138" s="5" t="n">
        <v>2.3</v>
      </c>
      <c r="N138" s="3" t="inlineStr">
        <is>
          <t>1</t>
        </is>
      </c>
      <c r="O138" s="3" t="inlineStr">
        <is>
          <t>-</t>
        </is>
      </c>
      <c r="P138" s="3" t="inlineStr">
        <is>
          <t>남청주ic, 신탄진ic 접근성 우수 호이스트 설치된 공장</t>
        </is>
      </c>
      <c r="Q138" s="6">
        <f>HYPERLINK("https://fin.land.naver.com/articles/2650205472",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9585</v>
      </c>
      <c r="I139" s="4" t="n">
        <v>2899</v>
      </c>
      <c r="J139" s="5" t="n">
        <v>196.6</v>
      </c>
      <c r="K139" s="4" t="n">
        <v>1793</v>
      </c>
      <c r="L139" s="4" t="n">
        <v>542</v>
      </c>
      <c r="M139" s="5" t="n">
        <v>1051.7</v>
      </c>
      <c r="N139" s="3" t="inlineStr">
        <is>
          <t>2</t>
        </is>
      </c>
      <c r="O139" s="3" t="inlineStr">
        <is>
          <t>-</t>
        </is>
      </c>
      <c r="P139" s="3" t="inlineStr">
        <is>
          <t>남청주ic, 신탄진ic 접근성 우수 호이스트설치 전력700kw</t>
        </is>
      </c>
      <c r="Q139" s="6">
        <f>HYPERLINK("https://fin.land.naver.com/articles/2650204516",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9566</v>
      </c>
      <c r="I140" s="4" t="n">
        <v>2894</v>
      </c>
      <c r="J140" s="5" t="n">
        <v>0.5</v>
      </c>
      <c r="K140" s="4" t="n">
        <v>1793</v>
      </c>
      <c r="L140" s="4" t="n">
        <v>542</v>
      </c>
      <c r="M140" s="5" t="n">
        <v>2.8</v>
      </c>
      <c r="N140" s="3" t="inlineStr">
        <is>
          <t>1</t>
        </is>
      </c>
      <c r="O140" s="3" t="inlineStr">
        <is>
          <t>-</t>
        </is>
      </c>
      <c r="P140" s="3" t="inlineStr">
        <is>
          <t>신탄진IC남청주IC와 중간위치, 대형차 진출입이 편리한곳,호이스트있음</t>
        </is>
      </c>
      <c r="Q140" s="6">
        <f>HYPERLINK("https://fin.land.naver.com/articles/2649085983",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(주)미르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570000</v>
      </c>
      <c r="G141" s="4" t="n">
        <v>0</v>
      </c>
      <c r="H141" s="4" t="n">
        <v>9566</v>
      </c>
      <c r="I141" s="4" t="n">
        <v>2894</v>
      </c>
      <c r="J141" s="5" t="n">
        <v>197</v>
      </c>
      <c r="K141" s="4" t="n">
        <v>1793</v>
      </c>
      <c r="L141" s="4" t="n">
        <v>542</v>
      </c>
      <c r="M141" s="5" t="n">
        <v>1051.7</v>
      </c>
      <c r="N141" s="3" t="inlineStr">
        <is>
          <t>1</t>
        </is>
      </c>
      <c r="O141" s="3" t="inlineStr">
        <is>
          <t>-</t>
        </is>
      </c>
      <c r="P141" s="3" t="inlineStr">
        <is>
          <t>신탄진IC남청주IC와 중간위치, 대형차 진출입이 편리한곳,호이스트있음</t>
        </is>
      </c>
      <c r="Q141" s="6">
        <f>HYPERLINK("https://fin.land.naver.com/articles/2650625680",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(주)미르</t>
        </is>
      </c>
      <c r="U141" s="4" t="n">
        <v>2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2303</v>
      </c>
      <c r="L145" s="4" t="n">
        <v>697</v>
      </c>
      <c r="M145" s="5" t="n">
        <v>1076</v>
      </c>
      <c r="N145" s="3" t="inlineStr">
        <is>
          <t>1</t>
        </is>
      </c>
      <c r="O145" s="3" t="inlineStr">
        <is>
          <t>B1</t>
        </is>
      </c>
      <c r="P145" s="3" t="inlineStr">
        <is>
          <t>남청주IC 인근 창고, 대형차 진출입 용이</t>
        </is>
      </c>
      <c r="Q145" s="6">
        <f>HYPERLINK("https://fin.land.naver.com/articles/2649744370",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라이프</t>
        </is>
      </c>
      <c r="U145" s="4" t="n">
        <v>1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5679</v>
      </c>
      <c r="I146" s="4" t="n">
        <v>1718</v>
      </c>
      <c r="J146" s="5" t="n">
        <v>436.6</v>
      </c>
      <c r="K146" s="4" t="n">
        <v>2303</v>
      </c>
      <c r="L146" s="4" t="n">
        <v>697</v>
      </c>
      <c r="M146" s="5" t="n">
        <v>1076</v>
      </c>
      <c r="N146" s="3" t="inlineStr">
        <is>
          <t>2</t>
        </is>
      </c>
      <c r="O146" s="3" t="inlineStr">
        <is>
          <t>-</t>
        </is>
      </c>
      <c r="P146" s="3" t="inlineStr">
        <is>
          <t>o사진o 경부고속3km 처마10m 입지좋은 물류창고 매매</t>
        </is>
      </c>
      <c r="Q146" s="6">
        <f>HYPERLINK("https://fin.land.naver.com/articles/2649776333",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서정</t>
        </is>
      </c>
      <c r="U146" s="4" t="n">
        <v>3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1408</v>
      </c>
      <c r="L147" s="4" t="n">
        <v>426</v>
      </c>
      <c r="M147" s="5" t="n">
        <v>1760.6</v>
      </c>
      <c r="N147" s="3" t="inlineStr">
        <is>
          <t>2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HYPERLINK("https://fin.land.naver.com/articles/2647508713",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다온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540000</v>
      </c>
      <c r="G149" s="4" t="n">
        <v>0</v>
      </c>
      <c r="H149" s="4" t="n">
        <v>5644</v>
      </c>
      <c r="I149" s="4" t="n">
        <v>1707</v>
      </c>
      <c r="J149" s="5" t="n">
        <v>316.3</v>
      </c>
      <c r="K149" s="4" t="n">
        <v>756</v>
      </c>
      <c r="L149" s="4" t="n">
        <v>229</v>
      </c>
      <c r="M149" s="5" t="n">
        <v>2358.1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남청주IC와 가깝고 대형차 진출입이 용이한 곳, 층고 11.5m</t>
        </is>
      </c>
      <c r="Q149" s="6">
        <f>HYPERLINK("https://fin.land.naver.com/articles/2649085169",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400000</v>
      </c>
      <c r="G150" s="4" t="n">
        <v>0</v>
      </c>
      <c r="H150" s="4" t="n">
        <v>5337</v>
      </c>
      <c r="I150" s="4" t="n">
        <v>1614</v>
      </c>
      <c r="J150" s="5" t="n">
        <v>247.8</v>
      </c>
      <c r="K150" s="4" t="n">
        <v>756</v>
      </c>
      <c r="L150" s="4" t="n">
        <v>229</v>
      </c>
      <c r="M150" s="5" t="n">
        <v>1746.7</v>
      </c>
      <c r="N150" s="3" t="inlineStr">
        <is>
          <t>1</t>
        </is>
      </c>
      <c r="O150" s="3" t="inlineStr">
        <is>
          <t>-</t>
        </is>
      </c>
      <c r="P150" s="3" t="inlineStr">
        <is>
          <t>접근성이 좋은 세종시에 위치한 제조공장 매매</t>
        </is>
      </c>
      <c r="Q150" s="6">
        <f>HYPERLINK("https://fin.land.naver.com/articles/2649150131",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한화타운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남청주IC인근, 층고 높고 마당이 넓어 활용도 좋은 대형 물류창고</t>
        </is>
      </c>
      <c r="Q152" s="6">
        <f>HYPERLINK("https://fin.land.naver.com/articles/2650178094",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(주)미르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사진有 물류창고 매매</t>
        </is>
      </c>
      <c r="Q153" s="6">
        <f>HYPERLINK("https://fin.land.naver.com/articles/2649599413",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월드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진출입편리한 남청주인근 소형창고</t>
        </is>
      </c>
      <c r="Q155" s="6">
        <f>HYPERLINK("https://fin.land.naver.com/articles/2649562576",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창고의여왕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195</v>
      </c>
      <c r="I156" s="4" t="n">
        <v>59</v>
      </c>
      <c r="J156" s="5" t="n">
        <v>2.4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B1</t>
        </is>
      </c>
      <c r="P156" s="3" t="inlineStr">
        <is>
          <t>10월중순 입주협의, 2개동까지 임대 가능, 연청로 근접</t>
        </is>
      </c>
      <c r="Q156" s="6">
        <f>HYPERLINK("https://fin.land.naver.com/articles/2649933957",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세종잘하는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330</v>
      </c>
      <c r="I157" s="4" t="n">
        <v>100</v>
      </c>
      <c r="J157" s="5" t="n">
        <v>1.4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소형 창고 임대 대로변에 접하여 진출입 매우 용이 근생건물</t>
        </is>
      </c>
      <c r="Q157" s="6">
        <f>HYPERLINK("https://fin.land.naver.com/articles/2649200158",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태광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2499</v>
      </c>
      <c r="I158" s="4" t="n">
        <v>756</v>
      </c>
      <c r="J158" s="5" t="n">
        <v>0.2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사진0, 제조업 가능하고 대형차량 진입 자유로운 창고임대</t>
        </is>
      </c>
      <c r="Q158" s="6">
        <f>HYPERLINK("https://fin.land.naver.com/articles/2649726439",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비전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2499</v>
      </c>
      <c r="I159" s="4" t="n">
        <v>756</v>
      </c>
      <c r="J159" s="5" t="n">
        <v>0.2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교통편리한 부강면 저렴한 소형창고 임대</t>
        </is>
      </c>
      <c r="Q159" s="6">
        <f>HYPERLINK("https://fin.land.naver.com/articles/2647101871",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세종행복한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130000</v>
      </c>
      <c r="G163" s="4" t="n">
        <v>0</v>
      </c>
      <c r="H163" s="4" t="n">
        <v>1705</v>
      </c>
      <c r="I163" s="4" t="n">
        <v>516</v>
      </c>
      <c r="J163" s="5" t="n">
        <v>251.9</v>
      </c>
      <c r="K163" s="4" t="n">
        <v>929</v>
      </c>
      <c r="L163" s="4" t="n">
        <v>281</v>
      </c>
      <c r="M163" s="5" t="n">
        <v>462.6</v>
      </c>
      <c r="N163" s="3" t="inlineStr">
        <is>
          <t>2</t>
        </is>
      </c>
      <c r="O163" s="3" t="inlineStr">
        <is>
          <t>-</t>
        </is>
      </c>
      <c r="P163" s="3" t="inlineStr">
        <is>
          <t>민원 없는  남 청주 IC인근 대형차 진 출입 편리한 공장, 창고</t>
        </is>
      </c>
      <c r="Q163" s="6">
        <f>HYPERLINK("https://fin.land.naver.com/articles/2646118668",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대전토지로무소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남청주IC와가까워 대형차진출입이 용이,계획관리지역,6m 도로에접함</t>
        </is>
      </c>
      <c r="Q164" s="6">
        <f>HYPERLINK("https://fin.land.naver.com/articles/2651152338",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240000</v>
      </c>
      <c r="G165" s="4" t="n">
        <v>0</v>
      </c>
      <c r="H165" s="4" t="n">
        <v>2874</v>
      </c>
      <c r="I165" s="4" t="n">
        <v>869</v>
      </c>
      <c r="J165" s="5" t="n">
        <v>276.2</v>
      </c>
      <c r="K165" s="4" t="n">
        <v>1375</v>
      </c>
      <c r="L165" s="4" t="n">
        <v>416</v>
      </c>
      <c r="M165" s="5" t="n">
        <v>576.9</v>
      </c>
      <c r="N165" s="3" t="inlineStr">
        <is>
          <t>1</t>
        </is>
      </c>
      <c r="O165" s="3" t="inlineStr">
        <is>
          <t>-</t>
        </is>
      </c>
      <c r="P165" s="3" t="inlineStr">
        <is>
          <t>민원없는 지역 공장 매매 건물2개동으로 분할매매 가능 남청주 IC 인접</t>
        </is>
      </c>
      <c r="Q165" s="6">
        <f>HYPERLINK("https://fin.land.naver.com/articles/2646378295",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2000</v>
      </c>
      <c r="G166" s="4" t="n">
        <v>245</v>
      </c>
      <c r="H166" s="4" t="n">
        <v>1326</v>
      </c>
      <c r="I166" s="4" t="n">
        <v>401</v>
      </c>
      <c r="J166" s="5" t="n">
        <v>0.6</v>
      </c>
      <c r="K166" s="4" t="n">
        <v>929</v>
      </c>
      <c r="L166" s="4" t="n">
        <v>281</v>
      </c>
      <c r="M166" s="5" t="n">
        <v>0.9</v>
      </c>
      <c r="N166" s="3" t="inlineStr">
        <is>
          <t>2</t>
        </is>
      </c>
      <c r="O166" s="3" t="inlineStr">
        <is>
          <t>-</t>
        </is>
      </c>
      <c r="P166" s="3" t="inlineStr">
        <is>
          <t>1층 창고, 2층 제조업소 각 임대 가능</t>
        </is>
      </c>
      <c r="Q166" s="6">
        <f>HYPERLINK("https://fin.land.naver.com/articles/2648014664",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어반나래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953-7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1000</v>
      </c>
      <c r="G167" s="4" t="n">
        <v>100</v>
      </c>
      <c r="H167" s="4" t="n">
        <v>425</v>
      </c>
      <c r="I167" s="4" t="n">
        <v>129</v>
      </c>
      <c r="J167" s="5" t="n">
        <v>0.8</v>
      </c>
      <c r="K167" s="4" t="n">
        <v>168</v>
      </c>
      <c r="L167" s="4" t="n">
        <v>51</v>
      </c>
      <c r="M167" s="5" t="n">
        <v>2</v>
      </c>
      <c r="N167" s="3" t="inlineStr">
        <is>
          <t>1</t>
        </is>
      </c>
      <c r="O167" s="3" t="inlineStr">
        <is>
          <t>B1</t>
        </is>
      </c>
      <c r="P167" s="3" t="inlineStr">
        <is>
          <t>남청주 ic부근의 2차선변접한 교통좋고 위치좋은 창고</t>
        </is>
      </c>
      <c r="Q167" s="6">
        <f>HYPERLINK("https://fin.land.naver.com/articles/2651029325", "매물Link")</f>
        <v/>
      </c>
      <c r="R167" s="6">
        <f>HYPERLINK("https://map.naver.com/p/search/부강면 문곡리 953-7", "지도Link")</f>
        <v/>
      </c>
      <c r="S167" s="6">
        <f>HYPERLINK("http://www.eum.go.kr/web/ar/lu/luLandDet.jsp?pnu=3611033025109530007&amp;isNoScr=script&amp;mode=search", "토지이음")</f>
        <v/>
      </c>
      <c r="T167" s="3" t="inlineStr">
        <is>
          <t>연동스카이</t>
        </is>
      </c>
      <c r="U167" s="4" t="n">
        <v>1</v>
      </c>
      <c r="V167" s="5" t="n">
        <v>137.6</v>
      </c>
      <c r="W167" s="4" t="n">
        <v>425</v>
      </c>
      <c r="X167" s="3" t="inlineStr">
        <is>
          <t>미표기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7.99m</t>
        </is>
      </c>
      <c r="AC167" s="3" t="inlineStr">
        <is>
          <t>1999-12</t>
        </is>
      </c>
      <c r="AD167" s="3" t="inlineStr">
        <is>
          <t>소로한면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산수리 105-1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5000</v>
      </c>
      <c r="G170" s="4" t="n">
        <v>500</v>
      </c>
      <c r="H170" s="4" t="n">
        <v>5826</v>
      </c>
      <c r="I170" s="4" t="n">
        <v>1762</v>
      </c>
      <c r="J170" s="5" t="n">
        <v>0.3</v>
      </c>
      <c r="K170" s="4" t="n">
        <v>793</v>
      </c>
      <c r="L170" s="4" t="n">
        <v>240</v>
      </c>
      <c r="M170" s="5" t="n">
        <v>2.1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접근성 좋은 위치 마당넓어 대형차 진출입 가능</t>
        </is>
      </c>
      <c r="Q170" s="6">
        <f>HYPERLINK("https://fin.land.naver.com/articles/2649683295", "매물Link")</f>
        <v/>
      </c>
      <c r="R170" s="6">
        <f>HYPERLINK("https://map.naver.com/p/search/부강면 산수리 105-1", "지도Link")</f>
        <v/>
      </c>
      <c r="S170" s="6">
        <f>HYPERLINK("http://www.eum.go.kr/web/ar/lu/luLandDet.jsp?pnu=3611033023101050001&amp;isNoScr=script&amp;mode=search",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77.90000000000001</v>
      </c>
      <c r="W170" s="4" t="n">
        <v>2209</v>
      </c>
      <c r="X170" s="3" t="inlineStr">
        <is>
          <t>6동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창고시설</t>
        </is>
      </c>
      <c r="AB170" s="3" t="inlineStr">
        <is>
          <t>8.3m</t>
        </is>
      </c>
      <c r="AC170" s="3" t="inlineStr">
        <is>
          <t>2007-10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10000</v>
      </c>
      <c r="G171" s="4" t="n">
        <v>1000</v>
      </c>
      <c r="H171" s="4" t="n">
        <v>21410</v>
      </c>
      <c r="I171" s="4" t="n">
        <v>6477</v>
      </c>
      <c r="J171" s="5" t="n">
        <v>0.2</v>
      </c>
      <c r="K171" s="4" t="n">
        <v>959</v>
      </c>
      <c r="L171" s="4" t="n">
        <v>290</v>
      </c>
      <c r="M171" s="5" t="n">
        <v>3.4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냉동창고 전실 냉장작업장 사무실 부속창고있음</t>
        </is>
      </c>
      <c r="Q171" s="6">
        <f>HYPERLINK("https://fin.land.naver.com/articles/2646668462",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4000</v>
      </c>
      <c r="G172" s="4" t="n">
        <v>440</v>
      </c>
      <c r="H172" s="4" t="n">
        <v>21410</v>
      </c>
      <c r="I172" s="4" t="n">
        <v>6477</v>
      </c>
      <c r="J172" s="5" t="n">
        <v>0.1</v>
      </c>
      <c r="K172" s="4" t="n">
        <v>733</v>
      </c>
      <c r="L172" s="4" t="n">
        <v>222</v>
      </c>
      <c r="M172" s="5" t="n">
        <v>2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남청주IC인근 임대료 저렴한 넓은 창고임대 진출입 용이 전력높음</t>
        </is>
      </c>
      <c r="Q172" s="6">
        <f>HYPERLINK("https://fin.land.naver.com/articles/2649682702",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6404</v>
      </c>
      <c r="I175" s="4" t="n">
        <v>1937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민원 발생 소지 없음, 2차선 도로에 접함, 호이스트 5톤 2대, 계근대</t>
        </is>
      </c>
      <c r="Q175" s="6">
        <f>HYPERLINK("https://fin.land.naver.com/articles/2649581867",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제이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6446</v>
      </c>
      <c r="I176" s="4" t="n">
        <v>1950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 청주 접근성 우수 2차선도로변 호이스트 3기 완비된 공장 임대</t>
        </is>
      </c>
      <c r="Q176" s="6">
        <f>HYPERLINK("https://fin.land.naver.com/articles/2649493657",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청담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좋고 청주세종간도로인근 2차선도로변</t>
        </is>
      </c>
      <c r="Q177" s="6">
        <f>HYPERLINK("https://fin.land.naver.com/articles/2646670161",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59.9</v>
      </c>
      <c r="W177" s="4" t="n">
        <v>2741</v>
      </c>
      <c r="X177" s="3" t="inlineStr">
        <is>
          <t>주1동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제1종근생</t>
        </is>
      </c>
      <c r="AB177" s="3" t="inlineStr">
        <is>
          <t>8.1m</t>
        </is>
      </c>
      <c r="AC177" s="3" t="inlineStr">
        <is>
          <t>2022-07</t>
        </is>
      </c>
      <c r="AD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승압걱정 필요없는 5톤크레인 설치된 공장</t>
        </is>
      </c>
      <c r="Q178" s="6">
        <f>HYPERLINK("https://fin.land.naver.com/articles/2650483631",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HYPERLINK("http://www.eum.go.kr/web/ar/lu/luLandDet.jsp?pnu=3611033022103350001&amp;isNoScr=script&amp;mode=search", "토지이음")</f>
        <v/>
      </c>
      <c r="T178" s="3" t="inlineStr">
        <is>
          <t>창고의여왕</t>
        </is>
      </c>
      <c r="U178" s="4" t="n">
        <v>1</v>
      </c>
      <c r="V178" s="5" t="n">
        <v>55.8</v>
      </c>
      <c r="W178" s="4" t="n">
        <v>20331</v>
      </c>
      <c r="X178" s="3" t="inlineStr">
        <is>
          <t>4동</t>
        </is>
      </c>
      <c r="Y178" s="7" t="inlineStr">
        <is>
          <t>1층</t>
        </is>
      </c>
      <c r="Z178" s="3" t="inlineStr">
        <is>
          <t>일반철골구조</t>
        </is>
      </c>
      <c r="AA178" s="3" t="inlineStr">
        <is>
          <t>공장</t>
        </is>
      </c>
      <c r="AB178" s="3" t="inlineStr">
        <is>
          <t>10.6m</t>
        </is>
      </c>
      <c r="AC178" s="3" t="inlineStr">
        <is>
          <t>2004-05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436</v>
      </c>
      <c r="L179" s="4" t="n">
        <v>132</v>
      </c>
      <c r="M179" s="5" t="n">
        <v>909.1</v>
      </c>
      <c r="N179" s="3" t="inlineStr">
        <is>
          <t>2</t>
        </is>
      </c>
      <c r="O179" s="3" t="inlineStr">
        <is>
          <t>-</t>
        </is>
      </c>
      <c r="P179" s="3" t="inlineStr">
        <is>
          <t>성업중인공장.진입도로확장예정.매도후재임대가능.남청주IC인근.중부물류터미널</t>
        </is>
      </c>
      <c r="Q179" s="6">
        <f>HYPERLINK("https://fin.land.naver.com/articles/2650318649",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돈방석</t>
        </is>
      </c>
      <c r="U179" s="4" t="n">
        <v>2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360</v>
      </c>
      <c r="L180" s="4" t="n">
        <v>109</v>
      </c>
      <c r="M180" s="5" t="n">
        <v>1100.9</v>
      </c>
      <c r="N180" s="3" t="inlineStr">
        <is>
          <t>1</t>
        </is>
      </c>
      <c r="O180" s="3" t="inlineStr">
        <is>
          <t>-</t>
        </is>
      </c>
      <c r="P180" s="3" t="inlineStr">
        <is>
          <t>2종른린생활시설로 현재 식품공장</t>
        </is>
      </c>
      <c r="Q180" s="6">
        <f>HYPERLINK("https://fin.land.naver.com/articles/2650479799",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창고의여왕</t>
        </is>
      </c>
      <c r="U180" s="4" t="n">
        <v>1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30000</v>
      </c>
      <c r="G181" s="4" t="n">
        <v>3000</v>
      </c>
      <c r="H181" s="4" t="n">
        <v>9768</v>
      </c>
      <c r="I181" s="4" t="n">
        <v>2955</v>
      </c>
      <c r="J181" s="5" t="n">
        <v>1</v>
      </c>
      <c r="K181" s="4" t="n">
        <v>4329</v>
      </c>
      <c r="L181" s="4" t="n">
        <v>1310</v>
      </c>
      <c r="M181" s="5" t="n">
        <v>2.3</v>
      </c>
      <c r="N181" s="3" t="inlineStr">
        <is>
          <t>2</t>
        </is>
      </c>
      <c r="O181" s="3" t="inlineStr">
        <is>
          <t>-</t>
        </is>
      </c>
      <c r="P181" s="3" t="inlineStr">
        <is>
          <t>천평 임대,층고5m 깔끔한 공장,현재 공실로 즉시입주 가능</t>
        </is>
      </c>
      <c r="Q181" s="6">
        <f>HYPERLINK("https://fin.land.naver.com/articles/2650689887",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1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매매</t>
        </is>
      </c>
      <c r="F182" s="4" t="n">
        <v>1050000</v>
      </c>
      <c r="G182" s="4" t="n">
        <v>0</v>
      </c>
      <c r="H182" s="4" t="n">
        <v>9768</v>
      </c>
      <c r="I182" s="4" t="n">
        <v>2955</v>
      </c>
      <c r="J182" s="5" t="n">
        <v>355.3</v>
      </c>
      <c r="K182" s="4" t="n">
        <v>4329</v>
      </c>
      <c r="L182" s="4" t="n">
        <v>1310</v>
      </c>
      <c r="M182" s="5" t="n">
        <v>801.5</v>
      </c>
      <c r="N182" s="3" t="inlineStr">
        <is>
          <t>2</t>
        </is>
      </c>
      <c r="O182" s="3" t="inlineStr">
        <is>
          <t>-</t>
        </is>
      </c>
      <c r="P182" s="3" t="inlineStr">
        <is>
          <t>남청주IC 10분,세종시청 20분거리,빠른 입주 가능</t>
        </is>
      </c>
      <c r="Q182" s="6">
        <f>HYPERLINK("https://fin.land.naver.com/articles/2649056345",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2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602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400000</v>
      </c>
      <c r="G183" s="4" t="n">
        <v>0</v>
      </c>
      <c r="H183" s="4" t="n">
        <v>3004</v>
      </c>
      <c r="I183" s="4" t="n">
        <v>909</v>
      </c>
      <c r="J183" s="5" t="n">
        <v>440</v>
      </c>
      <c r="K183" s="4" t="n">
        <v>1328</v>
      </c>
      <c r="L183" s="4" t="n">
        <v>402</v>
      </c>
      <c r="M183" s="5" t="n">
        <v>995</v>
      </c>
      <c r="N183" s="3" t="inlineStr">
        <is>
          <t>2</t>
        </is>
      </c>
      <c r="O183" s="3" t="inlineStr">
        <is>
          <t>-</t>
        </is>
      </c>
      <c r="P183" s="3" t="inlineStr">
        <is>
          <t>연동면 내판리 공장 매매, 5생활권 및 명학산단 인근 위치, 국유지 사용</t>
        </is>
      </c>
      <c r="Q183" s="6">
        <f>HYPERLINK("https://fin.land.naver.com/articles/2649816046", "매물Link")</f>
        <v/>
      </c>
      <c r="R183" s="6">
        <f>HYPERLINK("https://map.naver.com/p/search/연동면 내판리 602", "지도Link")</f>
        <v/>
      </c>
      <c r="S183" s="6">
        <f>HYPERLINK("http://www.eum.go.kr/web/ar/lu/luLandDet.jsp?pnu=3611032021106020000&amp;isNoScr=script&amp;mode=search", "토지이음")</f>
        <v/>
      </c>
      <c r="T183" s="3" t="inlineStr">
        <is>
          <t>스카이</t>
        </is>
      </c>
      <c r="U183" s="4" t="n">
        <v>2</v>
      </c>
      <c r="V183" s="5" t="n">
        <v>65.40000000000001</v>
      </c>
      <c r="W183" s="4" t="n">
        <v>3004</v>
      </c>
      <c r="X183" s="3" t="inlineStr">
        <is>
          <t>주건축물제1동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8.2m</t>
        </is>
      </c>
      <c r="AC183" s="3" t="inlineStr">
        <is>
          <t>2002-12</t>
        </is>
      </c>
      <c r="AD183" s="3" t="inlineStr">
        <is>
          <t>세로한면(가)</t>
        </is>
      </c>
    </row>
    <row r="184">
      <c r="A184" s="3" t="inlineStr">
        <is>
          <t>연동면 내판리 711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640000</v>
      </c>
      <c r="G184" s="4" t="n">
        <v>0</v>
      </c>
      <c r="H184" s="4" t="n">
        <v>4511</v>
      </c>
      <c r="I184" s="4" t="n">
        <v>1365</v>
      </c>
      <c r="J184" s="5" t="n">
        <v>468.9</v>
      </c>
      <c r="K184" s="4" t="n">
        <v>987</v>
      </c>
      <c r="L184" s="4" t="n">
        <v>299</v>
      </c>
      <c r="M184" s="5" t="n">
        <v>2140.5</v>
      </c>
      <c r="N184" s="3" t="inlineStr">
        <is>
          <t>2</t>
        </is>
      </c>
      <c r="O184" s="3" t="inlineStr">
        <is>
          <t>-</t>
        </is>
      </c>
      <c r="P184" s="3" t="inlineStr">
        <is>
          <t>명학산업단지 귀한 공장 급매</t>
        </is>
      </c>
      <c r="Q184" s="6">
        <f>HYPERLINK("https://fin.land.naver.com/articles/2646246944", "매물Link")</f>
        <v/>
      </c>
      <c r="R184" s="6">
        <f>HYPERLINK("https://map.naver.com/p/search/연동면 내판리 711", "지도Link")</f>
        <v/>
      </c>
      <c r="S184" s="6">
        <f>HYPERLINK("http://www.eum.go.kr/web/ar/lu/luLandDet.jsp?pnu=3611032021107110000&amp;isNoScr=script&amp;mode=search", "토지이음")</f>
        <v/>
      </c>
      <c r="T184" s="3" t="inlineStr">
        <is>
          <t>청담</t>
        </is>
      </c>
      <c r="U184" s="4" t="n">
        <v>1</v>
      </c>
      <c r="V184" s="5" t="n">
        <v>106.6</v>
      </c>
      <c r="W184" s="4" t="n">
        <v>4511.2</v>
      </c>
      <c r="X184" s="3" t="inlineStr">
        <is>
          <t>주1동</t>
        </is>
      </c>
      <c r="Y184" s="7" t="inlineStr">
        <is>
          <t>2층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9.5m</t>
        </is>
      </c>
      <c r="AC184" s="3" t="inlineStr">
        <is>
          <t>2017-12</t>
        </is>
      </c>
      <c r="AD184" s="3" t="inlineStr">
        <is>
          <t>중로한면</t>
        </is>
      </c>
    </row>
    <row r="185">
      <c r="A185" s="3" t="inlineStr">
        <is>
          <t>연동면 명학리 621-2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3000</v>
      </c>
      <c r="G185" s="4" t="n">
        <v>150</v>
      </c>
      <c r="H185" s="4" t="n">
        <v>2192</v>
      </c>
      <c r="I185" s="4" t="n">
        <v>663</v>
      </c>
      <c r="J185" s="5" t="n">
        <v>0.2</v>
      </c>
      <c r="K185" s="4" t="n">
        <v>187</v>
      </c>
      <c r="L185" s="4" t="n">
        <v>57</v>
      </c>
      <c r="M185" s="5" t="n">
        <v>2.6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HYPERLINK("https://fin.land.naver.com/articles/2649624084", "매물Link")</f>
        <v/>
      </c>
      <c r="R185" s="6">
        <f>HYPERLINK("https://map.naver.com/p/search/연동면 명학리 621-2", "지도Link")</f>
        <v/>
      </c>
      <c r="S185" s="6">
        <f>HYPERLINK("http://www.eum.go.kr/web/ar/lu/luLandDet.jsp?pnu=3611032023106210002&amp;isNoScr=script&amp;mode=search", "토지이음")</f>
        <v/>
      </c>
      <c r="T185" s="3" t="inlineStr">
        <is>
          <t>효자</t>
        </is>
      </c>
      <c r="U185" s="4" t="n">
        <v>1</v>
      </c>
      <c r="V185" s="5" t="n">
        <v>76.40000000000001</v>
      </c>
      <c r="W185" s="4" t="n">
        <v>1868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제1종근생</t>
        </is>
      </c>
      <c r="AB185" s="3" t="inlineStr">
        <is>
          <t>5.15m</t>
        </is>
      </c>
      <c r="AC185" s="3" t="inlineStr">
        <is>
          <t>2020-12</t>
        </is>
      </c>
      <c r="AD185" s="3" t="inlineStr">
        <is>
          <t>세로한면(가)</t>
        </is>
      </c>
    </row>
    <row r="186">
      <c r="A186" s="3" t="inlineStr">
        <is>
          <t>연동면 명학리 964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3500000</v>
      </c>
      <c r="G186" s="4" t="n">
        <v>0</v>
      </c>
      <c r="H186" s="4" t="n">
        <v>21393</v>
      </c>
      <c r="I186" s="4" t="n">
        <v>6471</v>
      </c>
      <c r="J186" s="5" t="n">
        <v>540.9</v>
      </c>
      <c r="K186" s="4" t="n">
        <v>11128</v>
      </c>
      <c r="L186" s="4" t="n">
        <v>3366</v>
      </c>
      <c r="M186" s="5" t="n">
        <v>1039.8</v>
      </c>
      <c r="N186" s="3" t="inlineStr">
        <is>
          <t>3</t>
        </is>
      </c>
      <c r="O186" s="3" t="inlineStr">
        <is>
          <t>-</t>
        </is>
      </c>
      <c r="P186" s="3" t="inlineStr">
        <is>
          <t>사진有 공장 매매</t>
        </is>
      </c>
      <c r="Q186" s="6">
        <f>HYPERLINK("https://fin.land.naver.com/articles/2649599958", "매물Link")</f>
        <v/>
      </c>
      <c r="R186" s="6">
        <f>HYPERLINK("https://map.naver.com/p/search/연동면 명학리 964", "지도Link")</f>
        <v/>
      </c>
      <c r="S186" s="6">
        <f>HYPERLINK("http://www.eum.go.kr/web/ar/lu/luLandDet.jsp?pnu=3611032023109640000&amp;isNoScr=script&amp;mode=search", "토지이음")</f>
        <v/>
      </c>
      <c r="T186" s="3" t="inlineStr">
        <is>
          <t>월드</t>
        </is>
      </c>
      <c r="U186" s="4" t="n">
        <v>1</v>
      </c>
      <c r="V186" s="5" t="n">
        <v>113.9</v>
      </c>
      <c r="W186" s="4" t="n">
        <v>21393.3</v>
      </c>
      <c r="X186" s="3" t="inlineStr">
        <is>
          <t>미표기</t>
        </is>
      </c>
      <c r="Y186" s="7" t="inlineStr">
        <is>
          <t>3층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14.2m</t>
        </is>
      </c>
      <c r="AC186" s="3" t="inlineStr">
        <is>
          <t>2017-06</t>
        </is>
      </c>
      <c r="AD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세종시 일반공업지역의 호이스트 및 층고 높은 대형공장</t>
        </is>
      </c>
      <c r="Q187" s="6">
        <f>HYPERLINK("https://fin.land.naver.com/articles/2648890752",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(주)미르</t>
        </is>
      </c>
      <c r="U187" s="4" t="n">
        <v>2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송용리 254-1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3000</v>
      </c>
      <c r="G188" s="4" t="n">
        <v>200</v>
      </c>
      <c r="H188" s="4" t="n">
        <v>164</v>
      </c>
      <c r="I188" s="4" t="n">
        <v>50</v>
      </c>
      <c r="J188" s="5" t="n">
        <v>4</v>
      </c>
      <c r="K188" s="4" t="n">
        <v>330</v>
      </c>
      <c r="L188" s="4" t="n">
        <v>100</v>
      </c>
      <c r="M188" s="5" t="n">
        <v>2</v>
      </c>
      <c r="N188" s="3" t="inlineStr">
        <is>
          <t>1</t>
        </is>
      </c>
      <c r="O188" s="3" t="inlineStr">
        <is>
          <t>-</t>
        </is>
      </c>
      <c r="P188" s="3" t="inlineStr">
        <is>
          <t>카폐 및 창고사무실추천</t>
        </is>
      </c>
      <c r="Q188" s="6">
        <f>HYPERLINK("https://fin.land.naver.com/articles/2651027858", "매물Link")</f>
        <v/>
      </c>
      <c r="R188" s="6">
        <f>HYPERLINK("https://map.naver.com/p/search/연동면 송용리 254-1", "지도Link")</f>
        <v/>
      </c>
      <c r="S188" s="6">
        <f>HYPERLINK("http://www.eum.go.kr/web/ar/lu/luLandDet.jsp?pnu=3611032027102540001&amp;isNoScr=script&amp;mode=search", "토지이음")</f>
        <v/>
      </c>
      <c r="T188" s="3" t="inlineStr">
        <is>
          <t>연동스카이</t>
        </is>
      </c>
      <c r="U188" s="4" t="n">
        <v>1</v>
      </c>
      <c r="V188" s="5" t="n">
        <v>57.3</v>
      </c>
      <c r="W188" s="4" t="n">
        <v>1649</v>
      </c>
      <c r="X188" s="3" t="inlineStr">
        <is>
          <t>미표기</t>
        </is>
      </c>
      <c r="Y188" s="7" t="inlineStr">
        <is>
          <t>1층</t>
        </is>
      </c>
      <c r="Z188" s="3" t="inlineStr">
        <is>
          <t>철근콘크리트구조</t>
        </is>
      </c>
      <c r="AA188" s="3" t="inlineStr">
        <is>
          <t>창고시설</t>
        </is>
      </c>
      <c r="AB188" s="3" t="inlineStr">
        <is>
          <t>-</t>
        </is>
      </c>
      <c r="AC188" s="3" t="inlineStr">
        <is>
          <t>1976-04</t>
        </is>
      </c>
      <c r="AD188" s="3" t="inlineStr">
        <is>
          <t>세로한면(가)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세종시의 대형공장 및 창고,물류센터 추천, 남청주IC에서 7km 위치</t>
        </is>
      </c>
      <c r="Q189" s="6">
        <f>HYPERLINK("https://fin.land.naver.com/articles/2648903808",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금화랜드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대형 공장 창고 매매</t>
        </is>
      </c>
      <c r="Q190" s="6">
        <f>HYPERLINK("https://fin.land.naver.com/articles/2649706179",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THE행복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HYPERLINK("https://fin.land.naver.com/articles/2651087083",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세종스타</t>
        </is>
      </c>
      <c r="U191" s="4" t="n">
        <v>2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HYPERLINK("https://fin.land.naver.com/articles/2650955285",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HYPERLINK("https://fin.land.naver.com/articles/2649601039",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3500</v>
      </c>
      <c r="G196" s="4" t="n">
        <v>240</v>
      </c>
      <c r="H196" s="4" t="n">
        <v>7015</v>
      </c>
      <c r="I196" s="4" t="n">
        <v>2122</v>
      </c>
      <c r="J196" s="5" t="n">
        <v>0.1</v>
      </c>
      <c r="K196" s="4" t="n">
        <v>4117</v>
      </c>
      <c r="L196" s="4" t="n">
        <v>1245</v>
      </c>
      <c r="M196" s="5" t="n">
        <v>0.2</v>
      </c>
      <c r="N196" s="3" t="inlineStr">
        <is>
          <t>2</t>
        </is>
      </c>
      <c r="O196" s="3" t="inlineStr">
        <is>
          <t>-</t>
        </is>
      </c>
      <c r="P196" s="3" t="inlineStr">
        <is>
          <t>공장 및 창고 가능, 즉시 입주 가능, 대형차 진출입 가능</t>
        </is>
      </c>
      <c r="Q196" s="6">
        <f>HYPERLINK("https://fin.land.naver.com/articles/2647692237",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대기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</v>
      </c>
      <c r="I197" s="4" t="n">
        <v>3053</v>
      </c>
      <c r="J197" s="5" t="n">
        <v>219.5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HYPERLINK("https://fin.land.naver.com/articles/2649601593",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676-12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7600</v>
      </c>
      <c r="G199" s="4" t="n">
        <v>760</v>
      </c>
      <c r="H199" s="4" t="n">
        <v>5241</v>
      </c>
      <c r="I199" s="4" t="n">
        <v>1585</v>
      </c>
      <c r="J199" s="5" t="n">
        <v>0.5</v>
      </c>
      <c r="K199" s="4" t="n">
        <v>1096</v>
      </c>
      <c r="L199" s="4" t="n">
        <v>332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세종명학산업단지 초근접 2차선 도로변 공장, 물류창고 임대</t>
        </is>
      </c>
      <c r="Q199" s="6">
        <f>HYPERLINK("https://fin.land.naver.com/articles/2649815821", "매물Link")</f>
        <v/>
      </c>
      <c r="R199" s="6">
        <f>HYPERLINK("https://map.naver.com/p/search/연동면 응암리 676-12", "지도Link")</f>
        <v/>
      </c>
      <c r="S199" s="6">
        <f>HYPERLINK("http://www.eum.go.kr/web/ar/lu/luLandDet.jsp?pnu=3611032024106760012&amp;isNoScr=script&amp;mode=search", "토지이음")</f>
        <v/>
      </c>
      <c r="T199" s="3" t="inlineStr">
        <is>
          <t>청담</t>
        </is>
      </c>
      <c r="U199" s="4" t="n">
        <v>1</v>
      </c>
      <c r="V199" s="5" t="n">
        <v>63.9</v>
      </c>
      <c r="W199" s="4" t="n">
        <v>5241</v>
      </c>
      <c r="X199" s="3" t="inlineStr">
        <is>
          <t>2동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10.25m</t>
        </is>
      </c>
      <c r="AC199" s="3" t="inlineStr">
        <is>
          <t>2015-03</t>
        </is>
      </c>
      <c r="AD199" s="3" t="inlineStr">
        <is>
          <t>소로한면</t>
        </is>
      </c>
    </row>
    <row r="200">
      <c r="A200" s="3" t="inlineStr">
        <is>
          <t>연서면 국촌리 169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330</v>
      </c>
      <c r="H200" s="4" t="n">
        <v>3389</v>
      </c>
      <c r="I200" s="4" t="n">
        <v>1025</v>
      </c>
      <c r="J200" s="5" t="n">
        <v>0.3</v>
      </c>
      <c r="K200" s="4" t="n">
        <v>492</v>
      </c>
      <c r="L200" s="4" t="n">
        <v>149</v>
      </c>
      <c r="M200" s="5" t="n">
        <v>2.2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HYPERLINK("https://fin.land.naver.com/articles/2646425990", "매물Link")</f>
        <v/>
      </c>
      <c r="R200" s="6">
        <f>HYPERLINK("https://map.naver.com/p/search/연서면 국촌리 169", "지도Link")</f>
        <v/>
      </c>
      <c r="S200" s="6">
        <f>HYPERLINK("http://www.eum.go.kr/web/ar/lu/luLandDet.jsp?pnu=3611036030101690000&amp;isNoScr=script&amp;mode=search", "토지이음")</f>
        <v/>
      </c>
      <c r="T200" s="3" t="inlineStr">
        <is>
          <t>지성</t>
        </is>
      </c>
      <c r="U200" s="4" t="n">
        <v>1</v>
      </c>
      <c r="V200" s="5" t="n">
        <v>97</v>
      </c>
      <c r="W200" s="4" t="n">
        <v>3389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10.15m</t>
        </is>
      </c>
      <c r="AC200" s="3" t="inlineStr">
        <is>
          <t>2015-03</t>
        </is>
      </c>
      <c r="AD200" s="3" t="inlineStr">
        <is>
          <t>소로각지</t>
        </is>
      </c>
    </row>
    <row r="201">
      <c r="A201" s="3" t="inlineStr">
        <is>
          <t>연서면 국촌리 7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1057000</v>
      </c>
      <c r="G201" s="4" t="n">
        <v>0</v>
      </c>
      <c r="H201" s="4" t="n">
        <v>6989</v>
      </c>
      <c r="I201" s="4" t="n">
        <v>2114</v>
      </c>
      <c r="J201" s="5" t="n">
        <v>500</v>
      </c>
      <c r="K201" s="4" t="n">
        <v>1217</v>
      </c>
      <c r="L201" s="4" t="n">
        <v>368</v>
      </c>
      <c r="M201" s="5" t="n">
        <v>2872.3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HYPERLINK("https://fin.land.naver.com/articles/2648077609", "매물Link")</f>
        <v/>
      </c>
      <c r="R201" s="6">
        <f>HYPERLINK("https://map.naver.com/p/search/연서면 국촌리 7", "지도Link")</f>
        <v/>
      </c>
      <c r="S201" s="6">
        <f>HYPERLINK("http://www.eum.go.kr/web/ar/lu/luLandDet.jsp?pnu=3611036030100070000&amp;isNoScr=script&amp;mode=search", "토지이음")</f>
        <v/>
      </c>
      <c r="T201" s="3" t="inlineStr">
        <is>
          <t>푸른들</t>
        </is>
      </c>
      <c r="U201" s="4" t="n">
        <v>1</v>
      </c>
      <c r="V201" s="5" t="n">
        <v>102.1</v>
      </c>
      <c r="W201" s="4" t="n">
        <v>4723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8.7m</t>
        </is>
      </c>
      <c r="AC201" s="3" t="inlineStr">
        <is>
          <t>2002-07</t>
        </is>
      </c>
      <c r="AD201" s="3" t="inlineStr">
        <is>
          <t>소로한면</t>
        </is>
      </c>
    </row>
    <row r="202">
      <c r="A202" s="3" t="inlineStr">
        <is>
          <t>연서면 봉암리 620-133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월세</t>
        </is>
      </c>
      <c r="F202" s="4" t="n">
        <v>5000</v>
      </c>
      <c r="G202" s="4" t="n">
        <v>400</v>
      </c>
      <c r="H202" s="4" t="n">
        <v>2764</v>
      </c>
      <c r="I202" s="4" t="n">
        <v>836</v>
      </c>
      <c r="J202" s="5" t="n">
        <v>0.5</v>
      </c>
      <c r="K202" s="4" t="n">
        <v>655</v>
      </c>
      <c r="L202" s="4" t="n">
        <v>198</v>
      </c>
      <c r="M202" s="5" t="n">
        <v>2</v>
      </c>
      <c r="N202" s="3" t="inlineStr">
        <is>
          <t>1</t>
        </is>
      </c>
      <c r="O202" s="3" t="inlineStr">
        <is>
          <t>-</t>
        </is>
      </c>
      <c r="P202" s="3" t="inlineStr">
        <is>
          <t>월세조정가.6차선대로변접.화물차진입및회전가.대원네스트빌바로옆.SK주유소접</t>
        </is>
      </c>
      <c r="Q202" s="6">
        <f>HYPERLINK("https://fin.land.naver.com/articles/2649818490", "매물Link")</f>
        <v/>
      </c>
      <c r="R202" s="6">
        <f>HYPERLINK("https://map.naver.com/p/search/연서면 봉암리 620-133", "지도Link")</f>
        <v/>
      </c>
      <c r="S202" s="6">
        <f>HYPERLINK("http://www.eum.go.kr/web/ar/lu/luLandDet.jsp?pnu=3611036033106200133&amp;isNoScr=script&amp;mode=search", "토지이음")</f>
        <v/>
      </c>
      <c r="T202" s="3" t="inlineStr">
        <is>
          <t>돈방석</t>
        </is>
      </c>
      <c r="U202" s="4" t="n">
        <v>1</v>
      </c>
      <c r="V202" s="5" t="n">
        <v>171.6</v>
      </c>
      <c r="W202" s="4" t="n">
        <v>2764</v>
      </c>
      <c r="X202" s="3" t="inlineStr">
        <is>
          <t>미표기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제2종근생</t>
        </is>
      </c>
      <c r="AB202" s="3" t="inlineStr">
        <is>
          <t>6.0m</t>
        </is>
      </c>
      <c r="AC202" s="3" t="inlineStr">
        <is>
          <t>2007-04</t>
        </is>
      </c>
      <c r="AD202" s="3" t="inlineStr">
        <is>
          <t>세로한면(가)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사진有 공장 매매</t>
        </is>
      </c>
      <c r="Q203" s="6">
        <f>HYPERLINK("https://fin.land.naver.com/articles/2649602344",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월드</t>
        </is>
      </c>
      <c r="U203" s="4" t="n">
        <v>2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세종산업단지의  호이스트 증축 가능한 대형공장,청주IC,서세종IC인근</t>
        </is>
      </c>
      <c r="Q204" s="6">
        <f>HYPERLINK("https://fin.land.naver.com/articles/2647861792",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(주)미르</t>
        </is>
      </c>
      <c r="U204" s="4" t="n">
        <v>3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B1</t>
        </is>
      </c>
      <c r="P205" s="3" t="inlineStr">
        <is>
          <t>조치원 일반산업단지 대형공장매매, 최근 리모델링으로 시설 굿</t>
        </is>
      </c>
      <c r="Q205" s="6">
        <f>HYPERLINK("https://fin.land.naver.com/articles/2648903978",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명진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-</t>
        </is>
      </c>
      <c r="P207" s="3" t="inlineStr">
        <is>
          <t>조치원 일반산업단지내 위치 대형공장 23년 리모데링 완비 상세설명참조</t>
        </is>
      </c>
      <c r="Q207" s="6">
        <f>HYPERLINK("https://fin.land.naver.com/articles/2647124215",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자이원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1</t>
        </is>
      </c>
      <c r="O208" s="3" t="inlineStr">
        <is>
          <t>-</t>
        </is>
      </c>
      <c r="P208" s="3" t="inlineStr">
        <is>
          <t>세종조치원일반산업단지 대형공장매매 최근리모델링완비로 컨디션좋음</t>
        </is>
      </c>
      <c r="Q208" s="6">
        <f>HYPERLINK("https://fin.land.naver.com/articles/2650956049",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더원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세종 조치원산업단지 대형 공장 매매</t>
        </is>
      </c>
      <c r="Q209" s="6">
        <f>HYPERLINK("https://fin.land.naver.com/articles/2651016586",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뉴대전</t>
        </is>
      </c>
      <c r="U209" s="4" t="n">
        <v>1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260000</v>
      </c>
      <c r="G210" s="4" t="n">
        <v>0</v>
      </c>
      <c r="H210" s="4" t="n">
        <v>1857</v>
      </c>
      <c r="I210" s="4" t="n">
        <v>562</v>
      </c>
      <c r="J210" s="5" t="n">
        <v>462.6</v>
      </c>
      <c r="K210" s="4" t="n">
        <v>1254</v>
      </c>
      <c r="L210" s="4" t="n">
        <v>379</v>
      </c>
      <c r="M210" s="5" t="n">
        <v>686</v>
      </c>
      <c r="N210" s="3" t="inlineStr">
        <is>
          <t>2</t>
        </is>
      </c>
      <c r="O210" s="3" t="inlineStr">
        <is>
          <t>-</t>
        </is>
      </c>
      <c r="P210" s="3" t="inlineStr">
        <is>
          <t>전망 좋고 투자가치 높은 월하천 전망의 귀한 공장 창고 판매매장</t>
        </is>
      </c>
      <c r="Q210" s="6">
        <f>HYPERLINK("https://fin.land.naver.com/articles/2648905718",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번영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1616</v>
      </c>
      <c r="I211" s="4" t="n">
        <v>489</v>
      </c>
      <c r="J211" s="5" t="n">
        <v>531.7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매매</t>
        </is>
      </c>
      <c r="Q211" s="6">
        <f>HYPERLINK("https://fin.land.naver.com/articles/2647433840",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마니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5000</v>
      </c>
      <c r="G212" s="4" t="n">
        <v>500</v>
      </c>
      <c r="H212" s="4" t="n">
        <v>1616</v>
      </c>
      <c r="I212" s="4" t="n">
        <v>489</v>
      </c>
      <c r="J212" s="5" t="n">
        <v>1</v>
      </c>
      <c r="K212" s="4" t="n">
        <v>1254</v>
      </c>
      <c r="L212" s="4" t="n">
        <v>379</v>
      </c>
      <c r="M212" s="5" t="n">
        <v>1.3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 임대 입니다</t>
        </is>
      </c>
      <c r="Q212" s="6">
        <f>HYPERLINK("https://fin.land.naver.com/articles/2647433809",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1857</v>
      </c>
      <c r="I213" s="4" t="n">
        <v>562</v>
      </c>
      <c r="J213" s="5" t="n">
        <v>0.9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전망 좋고 투자가치 높은 월하천 전망의 귀한 공장 창고 판매매장</t>
        </is>
      </c>
      <c r="Q213" s="6">
        <f>HYPERLINK("https://fin.land.naver.com/articles/2646178088",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번영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1000</v>
      </c>
      <c r="G214" s="4" t="n">
        <v>180</v>
      </c>
      <c r="H214" s="4" t="n">
        <v>919</v>
      </c>
      <c r="I214" s="4" t="n">
        <v>278</v>
      </c>
      <c r="J214" s="5" t="n">
        <v>0.6</v>
      </c>
      <c r="K214" s="4" t="n">
        <v>240</v>
      </c>
      <c r="L214" s="4" t="n">
        <v>73</v>
      </c>
      <c r="M214" s="5" t="n">
        <v>2.5</v>
      </c>
      <c r="N214" s="3" t="inlineStr">
        <is>
          <t>2</t>
        </is>
      </c>
      <c r="O214" s="3" t="inlineStr">
        <is>
          <t>-</t>
        </is>
      </c>
      <c r="P214" s="3" t="inlineStr">
        <is>
          <t>조치원과 고복저수지와 연서면 국가산업단지를 연결하는 성제사거리에 입지</t>
        </is>
      </c>
      <c r="Q214" s="6">
        <f>HYPERLINK("https://fin.land.naver.com/articles/2651406061",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세종베스트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1857</v>
      </c>
      <c r="I215" s="4" t="n">
        <v>562</v>
      </c>
      <c r="J215" s="5" t="n">
        <v>551.6</v>
      </c>
      <c r="K215" s="4" t="n">
        <v>1254</v>
      </c>
      <c r="L215" s="4" t="n">
        <v>379</v>
      </c>
      <c r="M215" s="5" t="n">
        <v>817.9</v>
      </c>
      <c r="N215" s="3" t="inlineStr">
        <is>
          <t>2</t>
        </is>
      </c>
      <c r="O215" s="3" t="inlineStr">
        <is>
          <t>-</t>
        </is>
      </c>
      <c r="P215" s="3" t="inlineStr">
        <is>
          <t>월하천 뷰의 전망이 좋고 투자가치 탁월한 공장,창고 매매</t>
        </is>
      </c>
      <c r="Q215" s="6">
        <f>HYPERLINK("https://fin.land.naver.com/articles/2650985014",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비타민무소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HYPERLINK("https://fin.land.naver.com/articles/2650858536",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HYPERLINK("http://www.eum.go.kr/web/ar/lu/luLandDet.jsp?pnu=3611036026103320003&amp;isNoScr=script&amp;mode=search",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제1종근생</t>
        </is>
      </c>
      <c r="AB216" s="3" t="inlineStr">
        <is>
          <t>4.7m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350000</v>
      </c>
      <c r="G218" s="4" t="n">
        <v>0</v>
      </c>
      <c r="H218" s="4" t="n">
        <v>3250</v>
      </c>
      <c r="I218" s="4" t="n">
        <v>983</v>
      </c>
      <c r="J218" s="5" t="n">
        <v>356.1</v>
      </c>
      <c r="K218" s="4" t="n">
        <v>1552</v>
      </c>
      <c r="L218" s="4" t="n">
        <v>469</v>
      </c>
      <c r="M218" s="5" t="n">
        <v>746.3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매매</t>
        </is>
      </c>
      <c r="Q218" s="6">
        <f>HYPERLINK("https://fin.land.naver.com/articles/2649602994",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호이스트, 사무동, 기숙사 있는 대형공장 아주 아주 저렴한 임대</t>
        </is>
      </c>
      <c r="Q219" s="6">
        <f>HYPERLINK("https://fin.land.naver.com/articles/2651531957",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더오름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932</v>
      </c>
      <c r="I220" s="4" t="n">
        <v>282</v>
      </c>
      <c r="J220" s="5" t="n">
        <v>0.5</v>
      </c>
      <c r="K220" s="4" t="n">
        <v>488</v>
      </c>
      <c r="L220" s="4" t="n">
        <v>148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창고월세,차량 진출입편리,창고내 지게차작업용이,층,주차편리,조율가</t>
        </is>
      </c>
      <c r="Q220" s="6">
        <f>HYPERLINK("https://fin.land.naver.com/articles/2646500948",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HYPERLINK("http://www.eum.go.kr/web/ar/lu/luLandDet.jsp?pnu=3611036031108520005&amp;isNoScr=script&amp;mode=search", "토지이음")</f>
        <v/>
      </c>
      <c r="T220" s="3" t="inlineStr">
        <is>
          <t>도안우미린사랑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미표기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제1종근생</t>
        </is>
      </c>
      <c r="AB220" s="3" t="inlineStr">
        <is>
          <t>6.15m</t>
        </is>
      </c>
      <c r="AC220" s="3" t="inlineStr">
        <is>
          <t>1997-05</t>
        </is>
      </c>
      <c r="AD220" s="3" t="inlineStr">
        <is>
          <t>세로한면(가)</t>
        </is>
      </c>
    </row>
    <row r="221">
      <c r="A221" s="3" t="inlineStr">
        <is>
          <t>연서면 월하리 902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4000</v>
      </c>
      <c r="G221" s="4" t="n">
        <v>180</v>
      </c>
      <c r="H221" s="4" t="n">
        <v>3244</v>
      </c>
      <c r="I221" s="4" t="n">
        <v>981</v>
      </c>
      <c r="J221" s="5" t="n">
        <v>0.2</v>
      </c>
      <c r="K221" s="4" t="n">
        <v>53</v>
      </c>
      <c r="L221" s="4" t="n">
        <v>16</v>
      </c>
      <c r="M221" s="5" t="n">
        <v>11.2</v>
      </c>
      <c r="N221" s="3" t="inlineStr">
        <is>
          <t>1</t>
        </is>
      </c>
      <c r="O221" s="3" t="inlineStr">
        <is>
          <t>-</t>
        </is>
      </c>
      <c r="P221" s="3" t="inlineStr">
        <is>
          <t>즉시입주 신축 2종근생  활용도 높은 건물임대</t>
        </is>
      </c>
      <c r="Q221" s="6">
        <f>HYPERLINK("https://fin.land.naver.com/articles/2647898557", "매물Link")</f>
        <v/>
      </c>
      <c r="R221" s="6">
        <f>HYPERLINK("https://map.naver.com/p/search/연서면 월하리 902", "지도Link")</f>
        <v/>
      </c>
      <c r="S221" s="6">
        <f>HYPERLINK("http://www.eum.go.kr/web/ar/lu/luLandDet.jsp?pnu=3611036021109020000&amp;isNoScr=script&amp;mode=search", "토지이음")</f>
        <v/>
      </c>
      <c r="T221" s="3" t="inlineStr">
        <is>
          <t>THE행복</t>
        </is>
      </c>
      <c r="U221" s="4" t="n">
        <v>1</v>
      </c>
      <c r="V221" s="5" t="n">
        <v>156.1</v>
      </c>
      <c r="W221" s="4" t="n">
        <v>3244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단독주택</t>
        </is>
      </c>
      <c r="AB221" s="3" t="inlineStr">
        <is>
          <t>4.57m</t>
        </is>
      </c>
      <c r="AC221" s="3" t="inlineStr">
        <is>
          <t>2022-04</t>
        </is>
      </c>
      <c r="AD221" s="3" t="inlineStr">
        <is>
          <t>소로한면</t>
        </is>
      </c>
    </row>
    <row r="222">
      <c r="A222" s="3" t="inlineStr">
        <is>
          <t>연서면 월하리 902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12000</v>
      </c>
      <c r="G222" s="4" t="n">
        <v>500</v>
      </c>
      <c r="H222" s="4" t="n">
        <v>3224</v>
      </c>
      <c r="I222" s="4" t="n">
        <v>975</v>
      </c>
      <c r="J222" s="5" t="n">
        <v>0.5</v>
      </c>
      <c r="K222" s="4" t="n">
        <v>594</v>
      </c>
      <c r="L222" s="4" t="n">
        <v>180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세종신도심, 조치원, 오송 접근성 좋은 2차선도로변 준신축 창고임대</t>
        </is>
      </c>
      <c r="Q222" s="6">
        <f>HYPERLINK("https://fin.land.naver.com/articles/2646264277", "매물Link")</f>
        <v/>
      </c>
      <c r="R222" s="6">
        <f>HYPERLINK("https://map.naver.com/p/search/연서면 월하리 902", "지도Link")</f>
        <v/>
      </c>
      <c r="S222" s="6">
        <f>HYPERLINK("http://www.eum.go.kr/web/ar/lu/luLandDet.jsp?pnu=3611036021109020000&amp;isNoScr=script&amp;mode=search", "토지이음")</f>
        <v/>
      </c>
      <c r="T222" s="3" t="inlineStr">
        <is>
          <t>청담</t>
        </is>
      </c>
      <c r="U222" s="4" t="n">
        <v>1</v>
      </c>
      <c r="V222" s="5" t="n">
        <v>156.1</v>
      </c>
      <c r="W222" s="4" t="n">
        <v>3244</v>
      </c>
      <c r="X222" s="3" t="inlineStr">
        <is>
          <t>주건축물제2동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제2종근생</t>
        </is>
      </c>
      <c r="AB222" s="3" t="inlineStr">
        <is>
          <t>7.0m</t>
        </is>
      </c>
      <c r="AC222" s="3" t="inlineStr">
        <is>
          <t>2022-04</t>
        </is>
      </c>
      <c r="AD222" s="3" t="inlineStr">
        <is>
          <t>소로한면</t>
        </is>
      </c>
    </row>
    <row r="223">
      <c r="A223" s="3" t="inlineStr">
        <is>
          <t>연서면 월하리 973-2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80000</v>
      </c>
      <c r="G223" s="4" t="n">
        <v>0</v>
      </c>
      <c r="H223" s="4" t="n">
        <v>644</v>
      </c>
      <c r="I223" s="4" t="n">
        <v>195</v>
      </c>
      <c r="J223" s="5" t="n">
        <v>410.3</v>
      </c>
      <c r="K223" s="4" t="n">
        <v>212</v>
      </c>
      <c r="L223" s="4" t="n">
        <v>64</v>
      </c>
      <c r="M223" s="5" t="n">
        <v>1250</v>
      </c>
      <c r="N223" s="3" t="inlineStr">
        <is>
          <t>2</t>
        </is>
      </c>
      <c r="O223" s="3" t="inlineStr">
        <is>
          <t>-</t>
        </is>
      </c>
      <c r="P223" s="3" t="inlineStr">
        <is>
          <t>공공택지 예정지역내 공장매매</t>
        </is>
      </c>
      <c r="Q223" s="6">
        <f>HYPERLINK("https://fin.land.naver.com/articles/2648746844", "매물Link")</f>
        <v/>
      </c>
      <c r="R223" s="6">
        <f>HYPERLINK("https://map.naver.com/p/search/연서면 월하리 973-2", "지도Link")</f>
        <v/>
      </c>
      <c r="S223" s="6">
        <f>HYPERLINK("http://www.eum.go.kr/web/ar/lu/luLandDet.jsp?pnu=3611036021109730002&amp;isNoScr=script&amp;mode=search", "토지이음")</f>
        <v/>
      </c>
      <c r="T223" s="3" t="inlineStr">
        <is>
          <t>KB세종</t>
        </is>
      </c>
      <c r="U223" s="4" t="n">
        <v>1</v>
      </c>
      <c r="V223" s="5" t="n">
        <v>158.3</v>
      </c>
      <c r="W223" s="4" t="n">
        <v>644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제2종근생</t>
        </is>
      </c>
      <c r="AB223" s="3" t="inlineStr">
        <is>
          <t>8.94m</t>
        </is>
      </c>
      <c r="AC223" s="3" t="inlineStr">
        <is>
          <t>2003-05</t>
        </is>
      </c>
      <c r="AD223" s="3" t="inlineStr">
        <is>
          <t>세로한면(가)</t>
        </is>
      </c>
    </row>
    <row r="224">
      <c r="A224" s="3" t="inlineStr">
        <is>
          <t>오송읍 공북리 271-4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1000</v>
      </c>
      <c r="G224" s="4" t="n">
        <v>150</v>
      </c>
      <c r="H224" s="4" t="n">
        <v>660</v>
      </c>
      <c r="I224" s="4" t="n">
        <v>200</v>
      </c>
      <c r="J224" s="5" t="n">
        <v>0.8</v>
      </c>
      <c r="K224" s="4" t="n">
        <v>330</v>
      </c>
      <c r="L224" s="4" t="n">
        <v>100</v>
      </c>
      <c r="M224" s="5" t="n">
        <v>1.5</v>
      </c>
      <c r="N224" s="3" t="inlineStr">
        <is>
          <t>1</t>
        </is>
      </c>
      <c r="O224" s="3" t="inlineStr">
        <is>
          <t>-</t>
        </is>
      </c>
      <c r="P224" s="3" t="inlineStr">
        <is>
          <t>저렴한 금액으로 대형 창고를 사용할수 있는 기회를 잡으세요</t>
        </is>
      </c>
      <c r="Q224" s="6">
        <f>HYPERLINK("https://fin.land.naver.com/articles/2651108355", "매물Link")</f>
        <v/>
      </c>
      <c r="R224" s="6">
        <f>HYPERLINK("https://map.naver.com/p/search/오송읍 공북리 271-4", "지도Link")</f>
        <v/>
      </c>
      <c r="S224" s="6">
        <f>HYPERLINK("http://www.eum.go.kr/web/ar/lu/luLandDet.jsp?pnu=4311325023102710004&amp;isNoScr=script&amp;mode=search", "토지이음")</f>
        <v/>
      </c>
      <c r="T224" s="3" t="inlineStr">
        <is>
          <t>오송2단지창조</t>
        </is>
      </c>
      <c r="U224" s="4" t="n">
        <v>1</v>
      </c>
      <c r="V224" s="5" t="n">
        <v>77</v>
      </c>
      <c r="W224" s="4" t="n">
        <v>660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창고시설</t>
        </is>
      </c>
      <c r="AB224" s="3" t="inlineStr">
        <is>
          <t>-</t>
        </is>
      </c>
      <c r="AC224" s="3" t="inlineStr">
        <is>
          <t>1979</t>
        </is>
      </c>
      <c r="AD224" s="3" t="inlineStr">
        <is>
          <t>세로한면(가)</t>
        </is>
      </c>
    </row>
    <row r="225">
      <c r="A225" s="3" t="inlineStr">
        <is>
          <t>오송읍 쌍청리 108-11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140000</v>
      </c>
      <c r="G225" s="4" t="n">
        <v>0</v>
      </c>
      <c r="H225" s="4" t="n">
        <v>2382</v>
      </c>
      <c r="I225" s="4" t="n">
        <v>721</v>
      </c>
      <c r="J225" s="5" t="n">
        <v>194.2</v>
      </c>
      <c r="K225" s="4" t="n">
        <v>696</v>
      </c>
      <c r="L225" s="4" t="n">
        <v>211</v>
      </c>
      <c r="M225" s="5" t="n">
        <v>663.5</v>
      </c>
      <c r="N225" s="3" t="inlineStr">
        <is>
          <t>1</t>
        </is>
      </c>
      <c r="O225" s="3" t="inlineStr">
        <is>
          <t>B1</t>
        </is>
      </c>
      <c r="P225" s="3" t="inlineStr">
        <is>
          <t>진입로6미터도로.주택,빌라,연립주택적합,투자적지</t>
        </is>
      </c>
      <c r="Q225" s="6">
        <f>HYPERLINK("https://fin.land.naver.com/articles/2649051237", "매물Link")</f>
        <v/>
      </c>
      <c r="R225" s="6">
        <f>HYPERLINK("https://map.naver.com/p/search/오송읍 쌍청리 108-11", "지도Link")</f>
        <v/>
      </c>
      <c r="S225" s="6">
        <f>HYPERLINK("http://www.eum.go.kr/web/ar/lu/luLandDet.jsp?pnu=4311325024101080011&amp;isNoScr=script&amp;mode=search", "토지이음")</f>
        <v/>
      </c>
      <c r="T225" s="3" t="inlineStr">
        <is>
          <t>이박사</t>
        </is>
      </c>
      <c r="U225" s="4" t="n">
        <v>1</v>
      </c>
      <c r="V225" s="5" t="n">
        <v>70.09999999999999</v>
      </c>
      <c r="W225" s="4" t="n">
        <v>68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오송읍 연제리 610-1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199000</v>
      </c>
      <c r="G226" s="4" t="n">
        <v>0</v>
      </c>
      <c r="H226" s="4" t="n">
        <v>2307</v>
      </c>
      <c r="I226" s="4" t="n">
        <v>698</v>
      </c>
      <c r="J226" s="5" t="n">
        <v>285.1</v>
      </c>
      <c r="K226" s="4" t="n">
        <v>410</v>
      </c>
      <c r="L226" s="4" t="n">
        <v>124</v>
      </c>
      <c r="M226" s="5" t="n">
        <v>1604.8</v>
      </c>
      <c r="N226" s="3" t="inlineStr">
        <is>
          <t>1</t>
        </is>
      </c>
      <c r="O226" s="3" t="inlineStr">
        <is>
          <t>-</t>
        </is>
      </c>
      <c r="P226" s="3" t="inlineStr">
        <is>
          <t>오송제1생명과학단지내 저렴한 공장 급매</t>
        </is>
      </c>
      <c r="Q226" s="6">
        <f>HYPERLINK("https://fin.land.naver.com/articles/2648395242", "매물Link")</f>
        <v/>
      </c>
      <c r="R226" s="6">
        <f>HYPERLINK("https://map.naver.com/p/search/오송읍 연제리 610-1", "지도Link")</f>
        <v/>
      </c>
      <c r="S226" s="6">
        <f>HYPERLINK("http://www.eum.go.kr/web/ar/lu/luLandDet.jsp?pnu=4311325026106100001&amp;isNoScr=script&amp;mode=search", "토지이음")</f>
        <v/>
      </c>
      <c r="T226" s="3" t="inlineStr">
        <is>
          <t>청담</t>
        </is>
      </c>
      <c r="U226" s="4" t="n">
        <v>2</v>
      </c>
      <c r="V226" s="5" t="n">
        <v>70.3</v>
      </c>
      <c r="W226" s="4" t="n">
        <v>2307.9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10.15m</t>
        </is>
      </c>
      <c r="AC226" s="3" t="inlineStr">
        <is>
          <t>2013-10</t>
        </is>
      </c>
      <c r="AD226" s="3" t="inlineStr">
        <is>
          <t>중로한면</t>
        </is>
      </c>
    </row>
    <row r="227">
      <c r="A227" s="3" t="inlineStr">
        <is>
          <t>오송읍 연제리 610-1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200000</v>
      </c>
      <c r="G227" s="4" t="n">
        <v>0</v>
      </c>
      <c r="H227" s="4" t="n">
        <v>2307</v>
      </c>
      <c r="I227" s="4" t="n">
        <v>698</v>
      </c>
      <c r="J227" s="5" t="n">
        <v>286.5</v>
      </c>
      <c r="K227" s="4" t="n">
        <v>410</v>
      </c>
      <c r="L227" s="4" t="n">
        <v>124</v>
      </c>
      <c r="M227" s="5" t="n">
        <v>1612.9</v>
      </c>
      <c r="N227" s="3" t="inlineStr">
        <is>
          <t>1</t>
        </is>
      </c>
      <c r="O227" s="3" t="inlineStr">
        <is>
          <t>-</t>
        </is>
      </c>
      <c r="P227" s="3" t="inlineStr">
        <is>
          <t>오송역인근 산업단지의 층고 10m. 증축 가능한 야드 넓은 공장매매</t>
        </is>
      </c>
      <c r="Q227" s="6">
        <f>HYPERLINK("https://fin.land.naver.com/articles/2647859718", "매물Link")</f>
        <v/>
      </c>
      <c r="R227" s="6">
        <f>HYPERLINK("https://map.naver.com/p/search/오송읍 연제리 610-1", "지도Link")</f>
        <v/>
      </c>
      <c r="S227" s="6">
        <f>HYPERLINK("http://www.eum.go.kr/web/ar/lu/luLandDet.jsp?pnu=4311325026106100001&amp;isNoScr=script&amp;mode=search", "토지이음")</f>
        <v/>
      </c>
      <c r="T227" s="3" t="inlineStr">
        <is>
          <t>(주)미르</t>
        </is>
      </c>
      <c r="U227" s="4" t="n">
        <v>1</v>
      </c>
      <c r="V227" s="5" t="n">
        <v>70.3</v>
      </c>
      <c r="W227" s="4" t="n">
        <v>2307.9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10.15m</t>
        </is>
      </c>
      <c r="AC227" s="3" t="inlineStr">
        <is>
          <t>2013-10</t>
        </is>
      </c>
      <c r="AD227" s="3" t="inlineStr">
        <is>
          <t>중로한면</t>
        </is>
      </c>
    </row>
    <row r="228">
      <c r="A228" s="3" t="inlineStr">
        <is>
          <t>오송읍 연제리 610-2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550000</v>
      </c>
      <c r="G228" s="4" t="n">
        <v>0</v>
      </c>
      <c r="H228" s="4" t="n">
        <v>6481</v>
      </c>
      <c r="I228" s="4" t="n">
        <v>1961</v>
      </c>
      <c r="J228" s="5" t="n">
        <v>280.5</v>
      </c>
      <c r="K228" s="4" t="n">
        <v>996</v>
      </c>
      <c r="L228" s="4" t="n">
        <v>301</v>
      </c>
      <c r="M228" s="5" t="n">
        <v>1827.2</v>
      </c>
      <c r="N228" s="3" t="inlineStr">
        <is>
          <t>1</t>
        </is>
      </c>
      <c r="O228" s="3" t="inlineStr">
        <is>
          <t>-</t>
        </is>
      </c>
      <c r="P228" s="3" t="inlineStr">
        <is>
          <t>옥산IC인근, 화학코드, 화장품, 바이오, 첨단업종 가능, 야드 넓음</t>
        </is>
      </c>
      <c r="Q228" s="6">
        <f>HYPERLINK("https://fin.land.naver.com/articles/2649948345", "매물Link")</f>
        <v/>
      </c>
      <c r="R228" s="6">
        <f>HYPERLINK("https://map.naver.com/p/search/오송읍 연제리 610-2", "지도Link")</f>
        <v/>
      </c>
      <c r="S228" s="6">
        <f>HYPERLINK("http://www.eum.go.kr/web/ar/lu/luLandDet.jsp?pnu=4311325026106100002&amp;isNoScr=script&amp;mode=search",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70.40000000000001</v>
      </c>
      <c r="W228" s="4" t="n">
        <v>2165.9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10.15m</t>
        </is>
      </c>
      <c r="AC228" s="3" t="inlineStr">
        <is>
          <t>2016-11</t>
        </is>
      </c>
      <c r="AD228" s="3" t="inlineStr">
        <is>
          <t>중로각지</t>
        </is>
      </c>
    </row>
    <row r="229">
      <c r="A229" s="3" t="inlineStr">
        <is>
          <t>오송읍 오송리 115-11</t>
        </is>
      </c>
      <c r="B229" s="3" t="inlineStr">
        <is>
          <t>농림지역</t>
        </is>
      </c>
      <c r="C229" s="3" t="inlineStr">
        <is>
          <t>창고용지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80</v>
      </c>
      <c r="H229" s="4" t="n">
        <v>780</v>
      </c>
      <c r="I229" s="4" t="n">
        <v>236</v>
      </c>
      <c r="J229" s="5" t="n">
        <v>0.3</v>
      </c>
      <c r="K229" s="4" t="n">
        <v>171</v>
      </c>
      <c r="L229" s="4" t="n">
        <v>52</v>
      </c>
      <c r="M229" s="5" t="n">
        <v>1.5</v>
      </c>
      <c r="N229" s="3" t="inlineStr">
        <is>
          <t>1</t>
        </is>
      </c>
      <c r="O229" s="3" t="inlineStr">
        <is>
          <t>B1</t>
        </is>
      </c>
      <c r="P229" s="3" t="inlineStr">
        <is>
          <t>171㎡창고 오송역세권 주차 교통편리</t>
        </is>
      </c>
      <c r="Q229" s="6">
        <f>HYPERLINK("https://fin.land.naver.com/articles/2647027276", "매물Link")</f>
        <v/>
      </c>
      <c r="R229" s="6">
        <f>HYPERLINK("https://map.naver.com/p/search/오송읍 오송리 115-11", "지도Link")</f>
        <v/>
      </c>
      <c r="S229" s="6">
        <f>HYPERLINK("http://www.eum.go.kr/web/ar/lu/luLandDet.jsp?pnu=4311325028101150011&amp;isNoScr=script&amp;mode=search", "토지이음")</f>
        <v/>
      </c>
      <c r="T229" s="3" t="inlineStr">
        <is>
          <t>하림</t>
        </is>
      </c>
      <c r="U229" s="4" t="n">
        <v>1</v>
      </c>
      <c r="V229" s="5" t="n">
        <v>82.2</v>
      </c>
      <c r="W229" s="4" t="n">
        <v>780</v>
      </c>
      <c r="X229" s="3" t="inlineStr">
        <is>
          <t>주건축물제2동</t>
        </is>
      </c>
      <c r="Y229" s="7" t="inlineStr">
        <is>
          <t>1층</t>
        </is>
      </c>
      <c r="Z229" s="3" t="inlineStr">
        <is>
          <t>경량철골구조</t>
        </is>
      </c>
      <c r="AA229" s="3" t="inlineStr">
        <is>
          <t>창고시설</t>
        </is>
      </c>
      <c r="AB229" s="3" t="inlineStr">
        <is>
          <t>3.6m</t>
        </is>
      </c>
      <c r="AC229" s="3" t="inlineStr">
        <is>
          <t>2011-12</t>
        </is>
      </c>
      <c r="AD229" s="3" t="inlineStr">
        <is>
          <t>세로한면(가)</t>
        </is>
      </c>
    </row>
    <row r="230">
      <c r="A230" s="3" t="inlineStr">
        <is>
          <t>오송읍 오송리 242-18</t>
        </is>
      </c>
      <c r="B230" s="3" t="inlineStr">
        <is>
          <t>계획관리지역</t>
        </is>
      </c>
      <c r="C230" s="3" t="inlineStr">
        <is>
          <t>창고용지</t>
        </is>
      </c>
      <c r="D230" s="3" t="inlineStr">
        <is>
          <t>창고</t>
        </is>
      </c>
      <c r="E230" s="3" t="inlineStr">
        <is>
          <t>월세</t>
        </is>
      </c>
      <c r="F230" s="4" t="n">
        <v>10000</v>
      </c>
      <c r="G230" s="4" t="n">
        <v>1500</v>
      </c>
      <c r="H230" s="4" t="n">
        <v>1807</v>
      </c>
      <c r="I230" s="4" t="n">
        <v>547</v>
      </c>
      <c r="J230" s="5" t="n">
        <v>2.7</v>
      </c>
      <c r="K230" s="4" t="n">
        <v>825</v>
      </c>
      <c r="L230" s="4" t="n">
        <v>250</v>
      </c>
      <c r="M230" s="5" t="n">
        <v>6</v>
      </c>
      <c r="N230" s="3" t="inlineStr">
        <is>
          <t>2</t>
        </is>
      </c>
      <c r="O230" s="3" t="inlineStr">
        <is>
          <t>-</t>
        </is>
      </c>
      <c r="P230" s="3" t="inlineStr">
        <is>
          <t>대지 1180. 기존 택배자리. 물류 창고 적합</t>
        </is>
      </c>
      <c r="Q230" s="6">
        <f>HYPERLINK("https://fin.land.naver.com/articles/2648710674", "매물Link")</f>
        <v/>
      </c>
      <c r="R230" s="6">
        <f>HYPERLINK("https://map.naver.com/p/search/오송읍 오송리 242-18", "지도Link")</f>
        <v/>
      </c>
      <c r="S230" s="6">
        <f>HYPERLINK("http://www.eum.go.kr/web/ar/lu/luLandDet.jsp?pnu=4311325028102420018&amp;isNoScr=script&amp;mode=search", "토지이음")</f>
        <v/>
      </c>
      <c r="T230" s="3" t="inlineStr">
        <is>
          <t>청주1등</t>
        </is>
      </c>
      <c r="U230" s="4" t="n">
        <v>1</v>
      </c>
      <c r="V230" s="5" t="n">
        <v>129.4</v>
      </c>
      <c r="W230" s="4" t="n">
        <v>1807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창고시설</t>
        </is>
      </c>
      <c r="AB230" s="3" t="inlineStr">
        <is>
          <t>9.2m</t>
        </is>
      </c>
      <c r="AC230" s="3" t="inlineStr">
        <is>
          <t>2013-08</t>
        </is>
      </c>
      <c r="AD230" s="3" t="inlineStr">
        <is>
          <t>세로한면(가)</t>
        </is>
      </c>
    </row>
    <row r="231">
      <c r="A231" s="3" t="inlineStr">
        <is>
          <t>오송읍 오송리 242-18</t>
        </is>
      </c>
      <c r="B231" s="3" t="inlineStr">
        <is>
          <t>계획관리지역</t>
        </is>
      </c>
      <c r="C231" s="3" t="inlineStr">
        <is>
          <t>창고용지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10000</v>
      </c>
      <c r="G231" s="4" t="n">
        <v>1500</v>
      </c>
      <c r="H231" s="4" t="n">
        <v>1807</v>
      </c>
      <c r="I231" s="4" t="n">
        <v>547</v>
      </c>
      <c r="J231" s="5" t="n">
        <v>2.7</v>
      </c>
      <c r="K231" s="4" t="n">
        <v>825</v>
      </c>
      <c r="L231" s="4" t="n">
        <v>250</v>
      </c>
      <c r="M231" s="5" t="n">
        <v>6</v>
      </c>
      <c r="N231" s="3" t="inlineStr">
        <is>
          <t>2</t>
        </is>
      </c>
      <c r="O231" s="3" t="inlineStr">
        <is>
          <t>-</t>
        </is>
      </c>
      <c r="P231" s="3" t="inlineStr">
        <is>
          <t>건물1층206형 2층 44형 대지1180형 택배하던자리</t>
        </is>
      </c>
      <c r="Q231" s="6">
        <f>HYPERLINK("https://fin.land.naver.com/articles/2649343320", "매물Link")</f>
        <v/>
      </c>
      <c r="R231" s="6">
        <f>HYPERLINK("https://map.naver.com/p/search/오송읍 오송리 242-18", "지도Link")</f>
        <v/>
      </c>
      <c r="S231" s="6">
        <f>HYPERLINK("http://www.eum.go.kr/web/ar/lu/luLandDet.jsp?pnu=4311325028102420018&amp;isNoScr=script&amp;mode=search", "토지이음")</f>
        <v/>
      </c>
      <c r="T231" s="3" t="inlineStr">
        <is>
          <t>위더스</t>
        </is>
      </c>
      <c r="U231" s="4" t="n">
        <v>1</v>
      </c>
      <c r="V231" s="5" t="n">
        <v>129.4</v>
      </c>
      <c r="W231" s="4" t="n">
        <v>1807</v>
      </c>
      <c r="X231" s="3" t="inlineStr">
        <is>
          <t>미표기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창고시설</t>
        </is>
      </c>
      <c r="AB231" s="3" t="inlineStr">
        <is>
          <t>9.2m</t>
        </is>
      </c>
      <c r="AC231" s="3" t="inlineStr">
        <is>
          <t>2013-08</t>
        </is>
      </c>
      <c r="AD231" s="3" t="inlineStr">
        <is>
          <t>세로한면(가)</t>
        </is>
      </c>
    </row>
    <row r="232">
      <c r="A232" s="3" t="inlineStr">
        <is>
          <t>오송읍 오송리 246-45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300</v>
      </c>
      <c r="H232" s="4" t="n">
        <v>1739</v>
      </c>
      <c r="I232" s="4" t="n">
        <v>526</v>
      </c>
      <c r="J232" s="5" t="n">
        <v>0.6</v>
      </c>
      <c r="K232" s="4" t="n">
        <v>440</v>
      </c>
      <c r="L232" s="4" t="n">
        <v>133</v>
      </c>
      <c r="M232" s="5" t="n">
        <v>2.3</v>
      </c>
      <c r="N232" s="3" t="inlineStr">
        <is>
          <t>2</t>
        </is>
      </c>
      <c r="O232" s="3" t="inlineStr">
        <is>
          <t>-</t>
        </is>
      </c>
      <c r="P232" s="3" t="inlineStr">
        <is>
          <t>오송 교차로 인근 공장.</t>
        </is>
      </c>
      <c r="Q232" s="6">
        <f>HYPERLINK("https://fin.land.naver.com/articles/2648710493", "매물Link")</f>
        <v/>
      </c>
      <c r="R232" s="6">
        <f>HYPERLINK("https://map.naver.com/p/search/오송읍 오송리 246-45", "지도Link")</f>
        <v/>
      </c>
      <c r="S232" s="6">
        <f>HYPERLINK("http://www.eum.go.kr/web/ar/lu/luLandDet.jsp?pnu=4311325028102460045&amp;isNoScr=script&amp;mode=search", "토지이음")</f>
        <v/>
      </c>
      <c r="T232" s="3" t="inlineStr">
        <is>
          <t>청주1등</t>
        </is>
      </c>
      <c r="U232" s="4" t="n">
        <v>1</v>
      </c>
      <c r="V232" s="5" t="n">
        <v>152.1</v>
      </c>
      <c r="W232" s="4" t="n">
        <v>1739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벽돌구조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1980</t>
        </is>
      </c>
      <c r="AD232" s="3" t="inlineStr">
        <is>
          <t>세로한면(가)</t>
        </is>
      </c>
    </row>
    <row r="233">
      <c r="A233" s="3" t="inlineStr">
        <is>
          <t>오송읍 오송리 246-45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250</v>
      </c>
      <c r="H233" s="4" t="n">
        <v>1739</v>
      </c>
      <c r="I233" s="4" t="n">
        <v>526</v>
      </c>
      <c r="J233" s="5" t="n">
        <v>0.5</v>
      </c>
      <c r="K233" s="4" t="n">
        <v>440</v>
      </c>
      <c r="L233" s="4" t="n">
        <v>133</v>
      </c>
      <c r="M233" s="5" t="n">
        <v>1.9</v>
      </c>
      <c r="N233" s="3" t="inlineStr">
        <is>
          <t>1</t>
        </is>
      </c>
      <c r="O233" s="3" t="inlineStr">
        <is>
          <t>B1</t>
        </is>
      </c>
      <c r="P233" s="3" t="inlineStr">
        <is>
          <t>공장, 창고 l 교통 편리 l 6개동 일괄 임대</t>
        </is>
      </c>
      <c r="Q233" s="6">
        <f>HYPERLINK("https://fin.land.naver.com/articles/2650437203", "매물Link")</f>
        <v/>
      </c>
      <c r="R233" s="6">
        <f>HYPERLINK("https://map.naver.com/p/search/오송읍 오송리 246-45", "지도Link")</f>
        <v/>
      </c>
      <c r="S233" s="6">
        <f>HYPERLINK("http://www.eum.go.kr/web/ar/lu/luLandDet.jsp?pnu=4311325028102460045&amp;isNoScr=script&amp;mode=search", "토지이음")</f>
        <v/>
      </c>
      <c r="T233" s="3" t="inlineStr">
        <is>
          <t>에이스</t>
        </is>
      </c>
      <c r="U233" s="4" t="n">
        <v>1</v>
      </c>
      <c r="V233" s="5" t="n">
        <v>152.1</v>
      </c>
      <c r="W233" s="4" t="n">
        <v>1739</v>
      </c>
      <c r="X233" s="3" t="inlineStr">
        <is>
          <t>미표기</t>
        </is>
      </c>
      <c r="Y233" s="7" t="inlineStr">
        <is>
          <t>2층</t>
        </is>
      </c>
      <c r="Z233" s="3" t="inlineStr">
        <is>
          <t>벽돌구조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1980</t>
        </is>
      </c>
      <c r="AD233" s="3" t="inlineStr">
        <is>
          <t>세로한면(가)</t>
        </is>
      </c>
    </row>
    <row r="234">
      <c r="A234" s="3" t="inlineStr">
        <is>
          <t>오송읍 오송리 246-71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100</v>
      </c>
      <c r="H234" s="4" t="n">
        <v>565</v>
      </c>
      <c r="I234" s="4" t="n">
        <v>171</v>
      </c>
      <c r="J234" s="5" t="n">
        <v>0.6</v>
      </c>
      <c r="K234" s="4" t="n">
        <v>227</v>
      </c>
      <c r="L234" s="4" t="n">
        <v>69</v>
      </c>
      <c r="M234" s="5" t="n">
        <v>1.4</v>
      </c>
      <c r="N234" s="3" t="inlineStr">
        <is>
          <t>1</t>
        </is>
      </c>
      <c r="O234" s="3" t="inlineStr">
        <is>
          <t>-</t>
        </is>
      </c>
      <c r="P234" s="3" t="inlineStr">
        <is>
          <t>창고와 별도 사무실이 있음</t>
        </is>
      </c>
      <c r="Q234" s="6">
        <f>HYPERLINK("https://fin.land.naver.com/articles/2649702312", "매물Link")</f>
        <v/>
      </c>
      <c r="R234" s="6">
        <f>HYPERLINK("https://map.naver.com/p/search/오송읍 오송리 246-71", "지도Link")</f>
        <v/>
      </c>
      <c r="S234" s="6">
        <f>HYPERLINK("http://www.eum.go.kr/web/ar/lu/luLandDet.jsp?pnu=4311325028102460071&amp;isNoScr=script&amp;mode=search", "토지이음")</f>
        <v/>
      </c>
      <c r="T234" s="3" t="inlineStr">
        <is>
          <t>금송</t>
        </is>
      </c>
      <c r="U234" s="4" t="n">
        <v>1</v>
      </c>
      <c r="V234" s="5" t="n">
        <v>152.1</v>
      </c>
      <c r="W234" s="4" t="n">
        <v>320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세로한면(불)</t>
        </is>
      </c>
    </row>
    <row r="235">
      <c r="A235" s="3" t="inlineStr">
        <is>
          <t>오송읍 오송리 63-8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155000</v>
      </c>
      <c r="G235" s="4" t="n">
        <v>0</v>
      </c>
      <c r="H235" s="4" t="n">
        <v>1100</v>
      </c>
      <c r="I235" s="4" t="n">
        <v>333</v>
      </c>
      <c r="J235" s="5" t="n">
        <v>465.5</v>
      </c>
      <c r="K235" s="4" t="n">
        <v>464</v>
      </c>
      <c r="L235" s="4" t="n">
        <v>140</v>
      </c>
      <c r="M235" s="5" t="n">
        <v>1107.1</v>
      </c>
      <c r="N235" s="3" t="inlineStr">
        <is>
          <t>1</t>
        </is>
      </c>
      <c r="O235" s="3" t="inlineStr">
        <is>
          <t>-</t>
        </is>
      </c>
      <c r="P235" s="3" t="inlineStr">
        <is>
          <t>오송 역세권 위치좋은 창고시설</t>
        </is>
      </c>
      <c r="Q235" s="6">
        <f>HYPERLINK("https://fin.land.naver.com/articles/2648538814", "매물Link")</f>
        <v/>
      </c>
      <c r="R235" s="6">
        <f>HYPERLINK("https://map.naver.com/p/search/오송읍 오송리 63-8", "지도Link")</f>
        <v/>
      </c>
      <c r="S235" s="6">
        <f>HYPERLINK("http://www.eum.go.kr/web/ar/lu/luLandDet.jsp?pnu=4311325028100630008&amp;isNoScr=script&amp;mode=search", "토지이음")</f>
        <v/>
      </c>
      <c r="T235" s="3" t="inlineStr">
        <is>
          <t>동남조은집</t>
        </is>
      </c>
      <c r="U235" s="4" t="n">
        <v>1</v>
      </c>
      <c r="V235" s="5" t="n">
        <v>283.4</v>
      </c>
      <c r="W235" s="4" t="n">
        <v>1041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7.15m</t>
        </is>
      </c>
      <c r="AC235" s="3" t="inlineStr">
        <is>
          <t>2006-09</t>
        </is>
      </c>
      <c r="AD235" s="3" t="inlineStr">
        <is>
          <t>중로각지</t>
        </is>
      </c>
    </row>
    <row r="236">
      <c r="A236" s="3" t="inlineStr">
        <is>
          <t>오송읍 정중리 636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400000</v>
      </c>
      <c r="G236" s="4" t="n">
        <v>0</v>
      </c>
      <c r="H236" s="4" t="n">
        <v>2000</v>
      </c>
      <c r="I236" s="4" t="n">
        <v>605</v>
      </c>
      <c r="J236" s="5" t="n">
        <v>661.2</v>
      </c>
      <c r="K236" s="4" t="n">
        <v>501</v>
      </c>
      <c r="L236" s="4" t="n">
        <v>152</v>
      </c>
      <c r="M236" s="5" t="n">
        <v>2631.6</v>
      </c>
      <c r="N236" s="3" t="inlineStr">
        <is>
          <t>1</t>
        </is>
      </c>
      <c r="O236" s="3" t="inlineStr">
        <is>
          <t>-</t>
        </is>
      </c>
      <c r="P236" s="3" t="inlineStr">
        <is>
          <t>비금속광물,금속,기계,장비,자동차,운송장비 제조업 등 첨단관련 입주가능</t>
        </is>
      </c>
      <c r="Q236" s="6">
        <f>HYPERLINK("https://fin.land.naver.com/articles/2651580202", "매물Link")</f>
        <v/>
      </c>
      <c r="R236" s="6">
        <f>HYPERLINK("https://map.naver.com/p/search/오송읍 정중리 636", "지도Link")</f>
        <v/>
      </c>
      <c r="S236" s="6">
        <f>HYPERLINK("http://www.eum.go.kr/web/ar/lu/luLandDet.jsp?pnu=4311325032106360000&amp;isNoScr=script&amp;mode=search",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66.90000000000001</v>
      </c>
      <c r="W236" s="4" t="n">
        <v>2000.1</v>
      </c>
      <c r="X236" s="3" t="inlineStr">
        <is>
          <t>주2동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9.1m</t>
        </is>
      </c>
      <c r="AC236" s="3" t="inlineStr">
        <is>
          <t>2021-10</t>
        </is>
      </c>
      <c r="AD236" s="3" t="inlineStr">
        <is>
          <t>중로한면</t>
        </is>
      </c>
    </row>
    <row r="237">
      <c r="A237" s="3" t="inlineStr">
        <is>
          <t>오송읍 정중리 651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16494</v>
      </c>
      <c r="I237" s="4" t="n">
        <v>4989</v>
      </c>
      <c r="J237" s="5" t="n">
        <v>0.1</v>
      </c>
      <c r="K237" s="4" t="n">
        <v>337</v>
      </c>
      <c r="L237" s="4" t="n">
        <v>102</v>
      </c>
      <c r="M237" s="5" t="n">
        <v>2.9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오송바이오폴리스지구,식품관련업종,사무실,공장 다 가능</t>
        </is>
      </c>
      <c r="Q237" s="6">
        <f>HYPERLINK("https://fin.land.naver.com/articles/2647583393", "매물Link")</f>
        <v/>
      </c>
      <c r="R237" s="6">
        <f>HYPERLINK("https://map.naver.com/p/search/오송읍 정중리 651", "지도Link")</f>
        <v/>
      </c>
      <c r="S237" s="6">
        <f>HYPERLINK("http://www.eum.go.kr/web/ar/lu/luLandDet.jsp?pnu=4311325032106510000&amp;isNoScr=script&amp;mode=search", "토지이음")</f>
        <v/>
      </c>
      <c r="T237" s="3" t="inlineStr">
        <is>
          <t>오송올래</t>
        </is>
      </c>
      <c r="U237" s="4" t="n">
        <v>1</v>
      </c>
      <c r="V237" s="5" t="n">
        <v>68.40000000000001</v>
      </c>
      <c r="W237" s="4" t="n">
        <v>16494.5</v>
      </c>
      <c r="X237" s="3" t="inlineStr">
        <is>
          <t>미표기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3.79m</t>
        </is>
      </c>
      <c r="AC237" s="3" t="inlineStr">
        <is>
          <t>2020-06</t>
        </is>
      </c>
      <c r="AD237" s="3" t="inlineStr">
        <is>
          <t>광대로한면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18000</v>
      </c>
      <c r="G238" s="4" t="n">
        <v>1000</v>
      </c>
      <c r="H238" s="4" t="n">
        <v>2169</v>
      </c>
      <c r="I238" s="4" t="n">
        <v>656</v>
      </c>
      <c r="J238" s="5" t="n">
        <v>1.5</v>
      </c>
      <c r="K238" s="4" t="n">
        <v>999</v>
      </c>
      <c r="L238" s="4" t="n">
        <v>302</v>
      </c>
      <c r="M238" s="5" t="n">
        <v>3.3</v>
      </c>
      <c r="N238" s="3" t="inlineStr">
        <is>
          <t>2</t>
        </is>
      </c>
      <c r="O238" s="3" t="inlineStr">
        <is>
          <t>B1</t>
        </is>
      </c>
      <c r="P238" s="3" t="inlineStr">
        <is>
          <t>오송 2산업단지 대로면 접한 공장으로 의료기기 관련업종 즉시 입주 가능</t>
        </is>
      </c>
      <c r="Q238" s="6">
        <f>HYPERLINK("https://fin.land.naver.com/articles/2650797461",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우리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350000</v>
      </c>
      <c r="G239" s="4" t="n">
        <v>0</v>
      </c>
      <c r="H239" s="4" t="n">
        <v>2169</v>
      </c>
      <c r="I239" s="4" t="n">
        <v>656</v>
      </c>
      <c r="J239" s="5" t="n">
        <v>533.5</v>
      </c>
      <c r="K239" s="4" t="n">
        <v>999</v>
      </c>
      <c r="L239" s="4" t="n">
        <v>302</v>
      </c>
      <c r="M239" s="5" t="n">
        <v>1158.9</v>
      </c>
      <c r="N239" s="3" t="inlineStr">
        <is>
          <t>2</t>
        </is>
      </c>
      <c r="O239" s="3" t="inlineStr">
        <is>
          <t>-</t>
        </is>
      </c>
      <c r="P239" s="3" t="inlineStr">
        <is>
          <t>산업단지 코너에 위치한 관리 잘 된 준신축급 공장</t>
        </is>
      </c>
      <c r="Q239" s="6">
        <f>HYPERLINK("https://fin.land.naver.com/articles/2649253999",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(주)미르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B1</t>
        </is>
      </c>
      <c r="P240" s="3" t="inlineStr">
        <is>
          <t>오송 2산업단지 대로면 접한 공장으로 의료기기 관련업종 즉시 입주 가능</t>
        </is>
      </c>
      <c r="Q240" s="6">
        <f>HYPERLINK("https://fin.land.naver.com/articles/2650796460",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우리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350000</v>
      </c>
      <c r="G241" s="4" t="n">
        <v>0</v>
      </c>
      <c r="H241" s="4" t="n">
        <v>2169</v>
      </c>
      <c r="I241" s="4" t="n">
        <v>656</v>
      </c>
      <c r="J241" s="5" t="n">
        <v>533.5</v>
      </c>
      <c r="K241" s="4" t="n">
        <v>999</v>
      </c>
      <c r="L241" s="4" t="n">
        <v>302</v>
      </c>
      <c r="M241" s="5" t="n">
        <v>1158.9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의료기기업종가능 사옥형 공장으로 추천</t>
        </is>
      </c>
      <c r="Q241" s="6">
        <f>HYPERLINK("https://fin.land.naver.com/articles/2649666291",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420000</v>
      </c>
      <c r="G242" s="4" t="n">
        <v>0</v>
      </c>
      <c r="H242" s="4" t="n">
        <v>2169</v>
      </c>
      <c r="I242" s="4" t="n">
        <v>656</v>
      </c>
      <c r="J242" s="5" t="n">
        <v>640.2</v>
      </c>
      <c r="K242" s="4" t="n">
        <v>999</v>
      </c>
      <c r="L242" s="4" t="n">
        <v>302</v>
      </c>
      <c r="M242" s="5" t="n">
        <v>1390.7</v>
      </c>
      <c r="N242" s="3" t="inlineStr">
        <is>
          <t>2</t>
        </is>
      </c>
      <c r="O242" s="3" t="inlineStr">
        <is>
          <t>-</t>
        </is>
      </c>
      <c r="P242" s="3" t="inlineStr">
        <is>
          <t>오송2산단 산업단지 코너 대로접한 신축급 공장</t>
        </is>
      </c>
      <c r="Q242" s="6">
        <f>HYPERLINK("https://fin.land.naver.com/articles/2649742642",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자이원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18000</v>
      </c>
      <c r="G243" s="4" t="n">
        <v>1000</v>
      </c>
      <c r="H243" s="4" t="n">
        <v>2169</v>
      </c>
      <c r="I243" s="4" t="n">
        <v>656</v>
      </c>
      <c r="J243" s="5" t="n">
        <v>1.5</v>
      </c>
      <c r="K243" s="4" t="n">
        <v>999</v>
      </c>
      <c r="L243" s="4" t="n">
        <v>302</v>
      </c>
      <c r="M243" s="5" t="n">
        <v>3.3</v>
      </c>
      <c r="N243" s="3" t="inlineStr">
        <is>
          <t>2</t>
        </is>
      </c>
      <c r="O243" s="3" t="inlineStr">
        <is>
          <t>-</t>
        </is>
      </c>
      <c r="P243" s="3" t="inlineStr">
        <is>
          <t>산업단지 코너에 위치한 관리 잘 된 준신축급 공장</t>
        </is>
      </c>
      <c r="Q243" s="6">
        <f>HYPERLINK("https://fin.land.naver.com/articles/2650586118",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HYPERLINK("http://www.eum.go.kr/web/ar/lu/luLandDet.jsp?pnu=4311325032106780000&amp;isNoScr=script&amp;mode=search", "토지이음")</f>
        <v/>
      </c>
      <c r="T243" s="3" t="inlineStr">
        <is>
          <t>(주)미르</t>
        </is>
      </c>
      <c r="U243" s="4" t="n">
        <v>1</v>
      </c>
      <c r="V243" s="5" t="n">
        <v>67.40000000000001</v>
      </c>
      <c r="W243" s="4" t="n">
        <v>2169.9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6.9m</t>
        </is>
      </c>
      <c r="AC243" s="3" t="inlineStr">
        <is>
          <t>2019-12</t>
        </is>
      </c>
      <c r="AD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1000</v>
      </c>
      <c r="H244" s="4" t="n">
        <v>2169</v>
      </c>
      <c r="I244" s="4" t="n">
        <v>656</v>
      </c>
      <c r="J244" s="5" t="n">
        <v>1.5</v>
      </c>
      <c r="K244" s="4" t="n">
        <v>592</v>
      </c>
      <c r="L244" s="4" t="n">
        <v>179</v>
      </c>
      <c r="M244" s="5" t="n">
        <v>5.6</v>
      </c>
      <c r="N244" s="3" t="inlineStr">
        <is>
          <t>1</t>
        </is>
      </c>
      <c r="O244" s="3" t="inlineStr">
        <is>
          <t>-</t>
        </is>
      </c>
      <c r="P244" s="3" t="inlineStr">
        <is>
          <t>시설이 완벽하게 갖춰져 있는 건물,공장 월세 임대 가능한 매물입니다</t>
        </is>
      </c>
      <c r="Q244" s="6">
        <f>HYPERLINK("https://fin.land.naver.com/articles/2651110067",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오송2단지창조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18000</v>
      </c>
      <c r="G245" s="4" t="n">
        <v>1000</v>
      </c>
      <c r="H245" s="4" t="n">
        <v>2169</v>
      </c>
      <c r="I245" s="4" t="n">
        <v>656</v>
      </c>
      <c r="J245" s="5" t="n">
        <v>1.5</v>
      </c>
      <c r="K245" s="4" t="n">
        <v>999</v>
      </c>
      <c r="L245" s="4" t="n">
        <v>302</v>
      </c>
      <c r="M245" s="5" t="n">
        <v>3.3</v>
      </c>
      <c r="N245" s="3" t="inlineStr">
        <is>
          <t>2</t>
        </is>
      </c>
      <c r="O245" s="3" t="inlineStr">
        <is>
          <t>-</t>
        </is>
      </c>
      <c r="P245" s="3" t="inlineStr">
        <is>
          <t>오송바이오폴리스 산업단지 사옥형 공장 임대 입주협의</t>
        </is>
      </c>
      <c r="Q245" s="6">
        <f>HYPERLINK("https://fin.land.naver.com/articles/2650873410",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더원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35000</v>
      </c>
      <c r="G246" s="4" t="n">
        <v>3500</v>
      </c>
      <c r="H246" s="4" t="n">
        <v>10798</v>
      </c>
      <c r="I246" s="4" t="n">
        <v>3266</v>
      </c>
      <c r="J246" s="5" t="n">
        <v>1.1</v>
      </c>
      <c r="K246" s="4" t="n">
        <v>3616</v>
      </c>
      <c r="L246" s="4" t="n">
        <v>1094</v>
      </c>
      <c r="M246" s="5" t="n">
        <v>3.2</v>
      </c>
      <c r="N246" s="3" t="inlineStr">
        <is>
          <t>5</t>
        </is>
      </c>
      <c r="O246" s="3" t="inlineStr">
        <is>
          <t>-</t>
        </is>
      </c>
      <c r="P246" s="3" t="inlineStr">
        <is>
          <t>3층,4층 공장, 창고 임대.전층공조시설완비,바닥 콘크리트마감, 신축</t>
        </is>
      </c>
      <c r="Q246" s="6">
        <f>HYPERLINK("https://fin.land.naver.com/articles/2648733525",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(주)미르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부속건축물제1동</t>
        </is>
      </c>
      <c r="Y246" s="7" t="inlineStr">
        <is>
          <t>1층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8.0m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15064</v>
      </c>
      <c r="L247" s="4" t="n">
        <v>4557</v>
      </c>
      <c r="M247" s="5" t="n">
        <v>0.8</v>
      </c>
      <c r="N247" s="3" t="inlineStr">
        <is>
          <t>5</t>
        </is>
      </c>
      <c r="O247" s="3" t="inlineStr">
        <is>
          <t>-</t>
        </is>
      </c>
      <c r="P247" s="3" t="inlineStr">
        <is>
          <t>크린룸,폐수처리,위험물저장소,전층공조시설,화물엘베 각층3개,신축급 공장</t>
        </is>
      </c>
      <c r="Q247" s="6">
        <f>HYPERLINK("https://fin.land.naver.com/articles/2650398819",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금화랜드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주건축물제1동</t>
        </is>
      </c>
      <c r="Y247" s="7" t="inlineStr">
        <is>
          <t>5층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26.9m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100000</v>
      </c>
      <c r="G248" s="4" t="n">
        <v>10000</v>
      </c>
      <c r="H248" s="4" t="n">
        <v>10798</v>
      </c>
      <c r="I248" s="4" t="n">
        <v>3266</v>
      </c>
      <c r="J248" s="5" t="n">
        <v>3.1</v>
      </c>
      <c r="K248" s="4" t="n">
        <v>15064</v>
      </c>
      <c r="L248" s="4" t="n">
        <v>4557</v>
      </c>
      <c r="M248" s="5" t="n">
        <v>2.2</v>
      </c>
      <c r="N248" s="3" t="inlineStr">
        <is>
          <t>5</t>
        </is>
      </c>
      <c r="O248" s="3" t="inlineStr">
        <is>
          <t>-</t>
        </is>
      </c>
      <c r="P248" s="3" t="inlineStr">
        <is>
          <t>오송산업단지 공장  오송역 ,청주ic 10분이내  분할 임대가능</t>
        </is>
      </c>
      <c r="Q248" s="6">
        <f>HYPERLINK("https://fin.land.naver.com/articles/2649039082",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더원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전층공조시설완비,바닥 유크리트마감, 신축공장,건기식,제약,화장품 추천</t>
        </is>
      </c>
      <c r="Q249" s="6">
        <f>HYPERLINK("https://fin.land.naver.com/articles/2650525742",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3616</v>
      </c>
      <c r="L250" s="4" t="n">
        <v>1094</v>
      </c>
      <c r="M250" s="5" t="n">
        <v>3.2</v>
      </c>
      <c r="N250" s="3" t="inlineStr">
        <is>
          <t>5</t>
        </is>
      </c>
      <c r="O250" s="3" t="inlineStr">
        <is>
          <t>-</t>
        </is>
      </c>
      <c r="P250" s="3" t="inlineStr">
        <is>
          <t>오송산업단지 공장  오송역 ,청주ic 10분이내  분할 임대가능</t>
        </is>
      </c>
      <c r="Q250" s="6">
        <f>HYPERLINK("https://fin.land.naver.com/articles/2649016336",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더원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부속건축물제1동</t>
        </is>
      </c>
      <c r="Y250" s="7" t="inlineStr">
        <is>
          <t>1층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8.0m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100000</v>
      </c>
      <c r="G251" s="4" t="n">
        <v>10000</v>
      </c>
      <c r="H251" s="4" t="n">
        <v>10798</v>
      </c>
      <c r="I251" s="4" t="n">
        <v>3266</v>
      </c>
      <c r="J251" s="5" t="n">
        <v>3.1</v>
      </c>
      <c r="K251" s="4" t="n">
        <v>1476</v>
      </c>
      <c r="L251" s="4" t="n">
        <v>446</v>
      </c>
      <c r="M251" s="5" t="n">
        <v>22.4</v>
      </c>
      <c r="N251" s="3" t="inlineStr">
        <is>
          <t>5</t>
        </is>
      </c>
      <c r="O251" s="3" t="inlineStr">
        <is>
          <t>-</t>
        </is>
      </c>
      <c r="P251" s="3" t="inlineStr">
        <is>
          <t>전층공조시설완비,바닥 크리트마감, 신축공장,건기식,제약,화장품 추천</t>
        </is>
      </c>
      <c r="Q251" s="6">
        <f>HYPERLINK("https://fin.land.naver.com/articles/2650624911",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2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100000</v>
      </c>
      <c r="G252" s="4" t="n">
        <v>10000</v>
      </c>
      <c r="H252" s="4" t="n">
        <v>10798</v>
      </c>
      <c r="I252" s="4" t="n">
        <v>3266</v>
      </c>
      <c r="J252" s="5" t="n">
        <v>3.1</v>
      </c>
      <c r="K252" s="4" t="n">
        <v>14761</v>
      </c>
      <c r="L252" s="4" t="n">
        <v>4465</v>
      </c>
      <c r="M252" s="5" t="n">
        <v>2.2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HYPERLINK("https://fin.land.naver.com/articles/2648235904",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30000</v>
      </c>
      <c r="G253" s="4" t="n">
        <v>3000</v>
      </c>
      <c r="H253" s="4" t="n">
        <v>10798</v>
      </c>
      <c r="I253" s="4" t="n">
        <v>3266</v>
      </c>
      <c r="J253" s="5" t="n">
        <v>0.9</v>
      </c>
      <c r="K253" s="4" t="n">
        <v>2314</v>
      </c>
      <c r="L253" s="4" t="n">
        <v>700</v>
      </c>
      <c r="M253" s="5" t="n">
        <v>4.3</v>
      </c>
      <c r="N253" s="3" t="inlineStr">
        <is>
          <t>5</t>
        </is>
      </c>
      <c r="O253" s="3" t="inlineStr">
        <is>
          <t>-</t>
        </is>
      </c>
      <c r="P253" s="3" t="inlineStr">
        <is>
          <t>항온항습시설, GMP인증 시설. 신축, 1층 2층 부문임대가능</t>
        </is>
      </c>
      <c r="Q253" s="6">
        <f>HYPERLINK("https://fin.land.naver.com/articles/2648219901",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1</v>
      </c>
      <c r="V253" s="5" t="n">
        <v>74.40000000000001</v>
      </c>
      <c r="W253" s="4" t="n">
        <v>10798.4</v>
      </c>
      <c r="X253" s="3" t="inlineStr">
        <is>
          <t>부속건축물제1동</t>
        </is>
      </c>
      <c r="Y253" s="7" t="inlineStr">
        <is>
          <t>1층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8.0m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5000000</v>
      </c>
      <c r="G254" s="4" t="n">
        <v>0</v>
      </c>
      <c r="H254" s="4" t="n">
        <v>10798</v>
      </c>
      <c r="I254" s="4" t="n">
        <v>3266</v>
      </c>
      <c r="J254" s="5" t="n">
        <v>1530.9</v>
      </c>
      <c r="K254" s="4" t="n">
        <v>14761</v>
      </c>
      <c r="L254" s="4" t="n">
        <v>4465</v>
      </c>
      <c r="M254" s="5" t="n">
        <v>1119.8</v>
      </c>
      <c r="N254" s="3" t="inlineStr">
        <is>
          <t>5</t>
        </is>
      </c>
      <c r="O254" s="3" t="inlineStr">
        <is>
          <t>-</t>
        </is>
      </c>
      <c r="P254" s="3" t="inlineStr">
        <is>
          <t>킹 사진0 규모의 경제 가시성 탁월 여기만 보임 압도적 존재감 절대적</t>
        </is>
      </c>
      <c r="Q254" s="6">
        <f>HYPERLINK("https://fin.land.naver.com/articles/2651362845",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킹</t>
        </is>
      </c>
      <c r="U254" s="4" t="n">
        <v>2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5000000</v>
      </c>
      <c r="G255" s="4" t="n">
        <v>0</v>
      </c>
      <c r="H255" s="4" t="n">
        <v>10798</v>
      </c>
      <c r="I255" s="4" t="n">
        <v>3266</v>
      </c>
      <c r="J255" s="5" t="n">
        <v>1530.9</v>
      </c>
      <c r="K255" s="4" t="n">
        <v>14761</v>
      </c>
      <c r="L255" s="4" t="n">
        <v>4465</v>
      </c>
      <c r="M255" s="5" t="n">
        <v>1119.8</v>
      </c>
      <c r="N255" s="3" t="inlineStr">
        <is>
          <t>5</t>
        </is>
      </c>
      <c r="O255" s="3" t="inlineStr">
        <is>
          <t>-</t>
        </is>
      </c>
      <c r="P255" s="3" t="inlineStr">
        <is>
          <t>청주ic 오송ktx 10분이내 오송산업단지공장 화학업종 가능</t>
        </is>
      </c>
      <c r="Q255" s="6">
        <f>HYPERLINK("https://fin.land.naver.com/articles/2649015627",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30000</v>
      </c>
      <c r="G256" s="4" t="n">
        <v>2800</v>
      </c>
      <c r="H256" s="4" t="n">
        <v>4999</v>
      </c>
      <c r="I256" s="4" t="n">
        <v>1512</v>
      </c>
      <c r="J256" s="5" t="n">
        <v>1.9</v>
      </c>
      <c r="K256" s="4" t="n">
        <v>9796</v>
      </c>
      <c r="L256" s="4" t="n">
        <v>2963</v>
      </c>
      <c r="M256" s="5" t="n">
        <v>0.9</v>
      </c>
      <c r="N256" s="3" t="inlineStr">
        <is>
          <t>3</t>
        </is>
      </c>
      <c r="O256" s="3" t="inlineStr">
        <is>
          <t>-</t>
        </is>
      </c>
      <c r="P256" s="3" t="inlineStr">
        <is>
          <t>신축급,전기,화학,화장품,의약품 등 입주가능,각층별 과 전체 임대가능</t>
        </is>
      </c>
      <c r="Q256" s="6">
        <f>HYPERLINK("https://fin.land.naver.com/articles/2650190812",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금화랜드</t>
        </is>
      </c>
      <c r="U256" s="4" t="n">
        <v>1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오송읍 정중리 797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1150000</v>
      </c>
      <c r="G257" s="4" t="n">
        <v>0</v>
      </c>
      <c r="H257" s="4" t="n">
        <v>4999</v>
      </c>
      <c r="I257" s="4" t="n">
        <v>1512</v>
      </c>
      <c r="J257" s="5" t="n">
        <v>760.6</v>
      </c>
      <c r="K257" s="4" t="n">
        <v>9796</v>
      </c>
      <c r="L257" s="4" t="n">
        <v>2963</v>
      </c>
      <c r="M257" s="5" t="n">
        <v>388.1</v>
      </c>
      <c r="N257" s="3" t="inlineStr">
        <is>
          <t>3</t>
        </is>
      </c>
      <c r="O257" s="3" t="inlineStr">
        <is>
          <t>-</t>
        </is>
      </c>
      <c r="P257" s="3" t="inlineStr">
        <is>
          <t>오송2산업단지 4차선도로변 접한 위치의 신축급공장</t>
        </is>
      </c>
      <c r="Q257" s="6">
        <f>HYPERLINK("https://fin.land.naver.com/articles/2649326357", "매물Link")</f>
        <v/>
      </c>
      <c r="R257" s="6">
        <f>HYPERLINK("https://map.naver.com/p/search/오송읍 정중리 797", "지도Link")</f>
        <v/>
      </c>
      <c r="S257" s="6">
        <f>HYPERLINK("http://www.eum.go.kr/web/ar/lu/luLandDet.jsp?pnu=4311325032107970000&amp;isNoScr=script&amp;mode=search",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72.90000000000001</v>
      </c>
      <c r="W257" s="4" t="n">
        <v>4999.8</v>
      </c>
      <c r="X257" s="3" t="inlineStr">
        <is>
          <t>주1</t>
        </is>
      </c>
      <c r="Y257" s="7" t="inlineStr">
        <is>
          <t>3층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16.68m</t>
        </is>
      </c>
      <c r="AC257" s="3" t="inlineStr">
        <is>
          <t>2019-10</t>
        </is>
      </c>
      <c r="AD257" s="3" t="inlineStr">
        <is>
          <t>광대로한면</t>
        </is>
      </c>
    </row>
    <row r="258">
      <c r="A258" s="3" t="inlineStr">
        <is>
          <t>오송읍 정중리 797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1150000</v>
      </c>
      <c r="G258" s="4" t="n">
        <v>0</v>
      </c>
      <c r="H258" s="4" t="n">
        <v>4999</v>
      </c>
      <c r="I258" s="4" t="n">
        <v>1512</v>
      </c>
      <c r="J258" s="5" t="n">
        <v>760.6</v>
      </c>
      <c r="K258" s="4" t="n">
        <v>9796</v>
      </c>
      <c r="L258" s="4" t="n">
        <v>2963</v>
      </c>
      <c r="M258" s="5" t="n">
        <v>388.1</v>
      </c>
      <c r="N258" s="3" t="inlineStr">
        <is>
          <t>3</t>
        </is>
      </c>
      <c r="O258" s="3" t="inlineStr">
        <is>
          <t>-</t>
        </is>
      </c>
      <c r="P258" s="3" t="inlineStr">
        <is>
          <t>오송 제2생명과학 일반산업단지의 공장,2019년 신축공장,오송역 인근</t>
        </is>
      </c>
      <c r="Q258" s="6">
        <f>HYPERLINK("https://fin.land.naver.com/articles/2651586800", "매물Link")</f>
        <v/>
      </c>
      <c r="R258" s="6">
        <f>HYPERLINK("https://map.naver.com/p/search/오송읍 정중리 797", "지도Link")</f>
        <v/>
      </c>
      <c r="S258" s="6">
        <f>HYPERLINK("http://www.eum.go.kr/web/ar/lu/luLandDet.jsp?pnu=4311325032107970000&amp;isNoScr=script&amp;mode=search", "토지이음")</f>
        <v/>
      </c>
      <c r="T258" s="3" t="inlineStr">
        <is>
          <t>(주)미르</t>
        </is>
      </c>
      <c r="U258" s="4" t="n">
        <v>3</v>
      </c>
      <c r="V258" s="5" t="n">
        <v>72.90000000000001</v>
      </c>
      <c r="W258" s="4" t="n">
        <v>4999.8</v>
      </c>
      <c r="X258" s="3" t="inlineStr">
        <is>
          <t>주1</t>
        </is>
      </c>
      <c r="Y258" s="7" t="inlineStr">
        <is>
          <t>3층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16.68m</t>
        </is>
      </c>
      <c r="AC258" s="3" t="inlineStr">
        <is>
          <t>2019-10</t>
        </is>
      </c>
      <c r="AD258" s="3" t="inlineStr">
        <is>
          <t>광대로한면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45000</v>
      </c>
      <c r="G259" s="4" t="n">
        <v>4500</v>
      </c>
      <c r="H259" s="4" t="n">
        <v>4999</v>
      </c>
      <c r="I259" s="4" t="n">
        <v>1512</v>
      </c>
      <c r="J259" s="5" t="n">
        <v>3</v>
      </c>
      <c r="K259" s="4" t="n">
        <v>9796</v>
      </c>
      <c r="L259" s="4" t="n">
        <v>2963</v>
      </c>
      <c r="M259" s="5" t="n">
        <v>1.5</v>
      </c>
      <c r="N259" s="3" t="inlineStr">
        <is>
          <t>3</t>
        </is>
      </c>
      <c r="O259" s="3" t="inlineStr">
        <is>
          <t>-</t>
        </is>
      </c>
      <c r="P259" s="3" t="inlineStr">
        <is>
          <t>오송산단에 위치한 도로접한 공장, 사무실 및 공장 임대</t>
        </is>
      </c>
      <c r="Q259" s="6">
        <f>HYPERLINK("https://fin.land.naver.com/articles/2647858439",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HYPERLINK("http://www.eum.go.kr/web/ar/lu/luLandDet.jsp?pnu=4311325032107970000&amp;isNoScr=script&amp;mode=search", "토지이음")</f>
        <v/>
      </c>
      <c r="T259" s="3" t="inlineStr">
        <is>
          <t>(주)미르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주1</t>
        </is>
      </c>
      <c r="Y259" s="7" t="inlineStr">
        <is>
          <t>3층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16.68m</t>
        </is>
      </c>
      <c r="AC259" s="3" t="inlineStr">
        <is>
          <t>2019-10</t>
        </is>
      </c>
      <c r="AD259" s="3" t="inlineStr">
        <is>
          <t>광대로한면</t>
        </is>
      </c>
    </row>
    <row r="260">
      <c r="A260" s="3" t="inlineStr">
        <is>
          <t>조치원읍 번암리 53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2500000</v>
      </c>
      <c r="G260" s="4" t="n">
        <v>0</v>
      </c>
      <c r="H260" s="4" t="n">
        <v>9721</v>
      </c>
      <c r="I260" s="4" t="n">
        <v>2941</v>
      </c>
      <c r="J260" s="5" t="n">
        <v>850.1</v>
      </c>
      <c r="K260" s="4" t="n">
        <v>13496</v>
      </c>
      <c r="L260" s="4" t="n">
        <v>4083</v>
      </c>
      <c r="M260" s="5" t="n">
        <v>612.3</v>
      </c>
      <c r="N260" s="3" t="inlineStr">
        <is>
          <t>3</t>
        </is>
      </c>
      <c r="O260" s="3" t="inlineStr">
        <is>
          <t>B2</t>
        </is>
      </c>
      <c r="P260" s="3" t="inlineStr">
        <is>
          <t>데이터센터 물류창고 가능</t>
        </is>
      </c>
      <c r="Q260" s="6">
        <f>HYPERLINK("https://fin.land.naver.com/articles/2648311397", "매물Link")</f>
        <v/>
      </c>
      <c r="R260" s="6">
        <f>HYPERLINK("https://map.naver.com/p/search/조치원읍 번암리 53", "지도Link")</f>
        <v/>
      </c>
      <c r="S260" s="6">
        <f>HYPERLINK("http://www.eum.go.kr/web/ar/lu/luLandDet.jsp?pnu=3611025031100530000&amp;isNoScr=script&amp;mode=search",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298</v>
      </c>
      <c r="W260" s="4" t="n">
        <v>9721</v>
      </c>
      <c r="X260" s="3" t="inlineStr">
        <is>
          <t>미표기</t>
        </is>
      </c>
      <c r="Y260" s="7" t="inlineStr">
        <is>
          <t>3층</t>
        </is>
      </c>
      <c r="Z260" s="3" t="inlineStr">
        <is>
          <t>철근콘크리트구조</t>
        </is>
      </c>
      <c r="AA260" s="3" t="inlineStr">
        <is>
          <t>판매시설</t>
        </is>
      </c>
      <c r="AB260" s="3" t="inlineStr">
        <is>
          <t>22.31m</t>
        </is>
      </c>
      <c r="AC260" s="3" t="inlineStr">
        <is>
          <t>2008-04</t>
        </is>
      </c>
      <c r="AD260" s="3" t="inlineStr">
        <is>
          <t>광대로한면</t>
        </is>
      </c>
    </row>
    <row r="261">
      <c r="A261" s="3" t="inlineStr">
        <is>
          <t>조치원읍 서창리 202-5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매매</t>
        </is>
      </c>
      <c r="F261" s="4" t="n">
        <v>140000</v>
      </c>
      <c r="G261" s="4" t="n">
        <v>0</v>
      </c>
      <c r="H261" s="4" t="n">
        <v>666</v>
      </c>
      <c r="I261" s="4" t="n">
        <v>201</v>
      </c>
      <c r="J261" s="5" t="n">
        <v>696.5</v>
      </c>
      <c r="K261" s="4" t="n">
        <v>397</v>
      </c>
      <c r="L261" s="4" t="n">
        <v>120</v>
      </c>
      <c r="M261" s="5" t="n">
        <v>1166.7</v>
      </c>
      <c r="N261" s="3" t="inlineStr">
        <is>
          <t>2</t>
        </is>
      </c>
      <c r="O261" s="3" t="inlineStr">
        <is>
          <t>-</t>
        </is>
      </c>
      <c r="P261" s="3" t="inlineStr">
        <is>
          <t>단독사용  2종근생  하수 직관  근생 창고 매매</t>
        </is>
      </c>
      <c r="Q261" s="6">
        <f>HYPERLINK("https://fin.land.naver.com/articles/2646109707", "매물Link")</f>
        <v/>
      </c>
      <c r="R261" s="6">
        <f>HYPERLINK("https://map.naver.com/p/search/조치원읍 서창리 202-5", "지도Link")</f>
        <v/>
      </c>
      <c r="S261" s="6">
        <f>HYPERLINK("http://www.eum.go.kr/web/ar/lu/luLandDet.jsp?pnu=3611025034102020005&amp;isNoScr=script&amp;mode=search", "토지이음")</f>
        <v/>
      </c>
      <c r="T261" s="3" t="inlineStr">
        <is>
          <t>THE행복</t>
        </is>
      </c>
      <c r="U261" s="4" t="n">
        <v>1</v>
      </c>
      <c r="V261" s="5" t="n">
        <v>344.8</v>
      </c>
      <c r="W261" s="4" t="n">
        <v>666</v>
      </c>
      <c r="X261" s="3" t="inlineStr">
        <is>
          <t>주건축물제1동</t>
        </is>
      </c>
      <c r="Y261" s="7" t="inlineStr">
        <is>
          <t>2층</t>
        </is>
      </c>
      <c r="Z261" s="3" t="inlineStr">
        <is>
          <t>일반철골구조</t>
        </is>
      </c>
      <c r="AA261" s="3" t="inlineStr">
        <is>
          <t>제2종근생</t>
        </is>
      </c>
      <c r="AB261" s="3" t="inlineStr">
        <is>
          <t>6.35m</t>
        </is>
      </c>
      <c r="AC261" s="3" t="inlineStr">
        <is>
          <t>2015-11</t>
        </is>
      </c>
      <c r="AD261" s="3" t="inlineStr">
        <is>
          <t>중로한면</t>
        </is>
      </c>
    </row>
    <row r="262">
      <c r="A262" s="3" t="inlineStr">
        <is>
          <t>조치원읍 서창리 202-5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매매</t>
        </is>
      </c>
      <c r="F262" s="4" t="n">
        <v>140000</v>
      </c>
      <c r="G262" s="4" t="n">
        <v>0</v>
      </c>
      <c r="H262" s="4" t="n">
        <v>673</v>
      </c>
      <c r="I262" s="4" t="n">
        <v>204</v>
      </c>
      <c r="J262" s="5" t="n">
        <v>686.3</v>
      </c>
      <c r="K262" s="4" t="n">
        <v>397</v>
      </c>
      <c r="L262" s="4" t="n">
        <v>120</v>
      </c>
      <c r="M262" s="5" t="n">
        <v>1166.7</v>
      </c>
      <c r="N262" s="3" t="inlineStr">
        <is>
          <t>2</t>
        </is>
      </c>
      <c r="O262" s="3" t="inlineStr">
        <is>
          <t>-</t>
        </is>
      </c>
      <c r="P262" s="3" t="inlineStr">
        <is>
          <t>조치원 시내 4차선 도로변 사무실 완비된 컨디션 좋은 창고 매매</t>
        </is>
      </c>
      <c r="Q262" s="6">
        <f>HYPERLINK("https://fin.land.naver.com/articles/2646262582", "매물Link")</f>
        <v/>
      </c>
      <c r="R262" s="6">
        <f>HYPERLINK("https://map.naver.com/p/search/조치원읍 서창리 202-5", "지도Link")</f>
        <v/>
      </c>
      <c r="S262" s="6">
        <f>HYPERLINK("http://www.eum.go.kr/web/ar/lu/luLandDet.jsp?pnu=3611025034102020005&amp;isNoScr=script&amp;mode=search", "토지이음")</f>
        <v/>
      </c>
      <c r="T262" s="3" t="inlineStr">
        <is>
          <t>청담</t>
        </is>
      </c>
      <c r="U262" s="4" t="n">
        <v>1</v>
      </c>
      <c r="V262" s="5" t="n">
        <v>344.8</v>
      </c>
      <c r="W262" s="4" t="n">
        <v>666</v>
      </c>
      <c r="X262" s="3" t="inlineStr">
        <is>
          <t>주건축물제1동</t>
        </is>
      </c>
      <c r="Y262" s="7" t="inlineStr">
        <is>
          <t>2층</t>
        </is>
      </c>
      <c r="Z262" s="3" t="inlineStr">
        <is>
          <t>일반철골구조</t>
        </is>
      </c>
      <c r="AA262" s="3" t="inlineStr">
        <is>
          <t>제2종근생</t>
        </is>
      </c>
      <c r="AB262" s="3" t="inlineStr">
        <is>
          <t>6.35m</t>
        </is>
      </c>
      <c r="AC262" s="3" t="inlineStr">
        <is>
          <t>2015-11</t>
        </is>
      </c>
      <c r="AD262" s="3" t="inlineStr">
        <is>
          <t>중로한면</t>
        </is>
      </c>
    </row>
    <row r="263">
      <c r="A263" s="3" t="inlineStr">
        <is>
          <t>집현동 1106</t>
        </is>
      </c>
      <c r="B263" s="3" t="inlineStr">
        <is>
          <t>준주거지역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20000</v>
      </c>
      <c r="G263" s="4" t="n">
        <v>1500</v>
      </c>
      <c r="H263" s="4" t="n">
        <v>1915</v>
      </c>
      <c r="I263" s="4" t="n">
        <v>579</v>
      </c>
      <c r="J263" s="5" t="n">
        <v>2.6</v>
      </c>
      <c r="K263" s="4" t="n">
        <v>2130</v>
      </c>
      <c r="L263" s="4" t="n">
        <v>644</v>
      </c>
      <c r="M263" s="5" t="n">
        <v>2.3</v>
      </c>
      <c r="N263" s="3" t="inlineStr">
        <is>
          <t>4</t>
        </is>
      </c>
      <c r="O263" s="3" t="inlineStr">
        <is>
          <t>-</t>
        </is>
      </c>
      <c r="P263" s="3" t="inlineStr">
        <is>
          <t>건물통임대, 공장임대 각 층별 임대가능</t>
        </is>
      </c>
      <c r="Q263" s="6">
        <f>HYPERLINK("https://fin.land.naver.com/articles/2650822447", "매물Link")</f>
        <v/>
      </c>
      <c r="R263" s="6">
        <f>HYPERLINK("https://map.naver.com/p/search/집현동 1106", "지도Link")</f>
        <v/>
      </c>
      <c r="S263" s="6">
        <f>HYPERLINK("http://www.eum.go.kr/web/ar/lu/luLandDet.jsp?pnu=3611011800111060000&amp;isNoScr=script&amp;mode=search", "토지이음")</f>
        <v/>
      </c>
      <c r="T263" s="3" t="inlineStr">
        <is>
          <t>국제</t>
        </is>
      </c>
      <c r="U263" s="4" t="n">
        <v>1</v>
      </c>
      <c r="V263" s="5" t="n">
        <v>232.5</v>
      </c>
      <c r="W263" s="4" t="n">
        <v>1916.1</v>
      </c>
      <c r="X263" s="3" t="inlineStr">
        <is>
          <t>주 1동</t>
        </is>
      </c>
      <c r="Y263" s="7" t="inlineStr">
        <is>
          <t>4층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17.7m</t>
        </is>
      </c>
      <c r="AC263" s="3" t="inlineStr">
        <is>
          <t>2024-12</t>
        </is>
      </c>
      <c r="AD263" s="3" t="inlineStr">
        <is>
          <t>중로각지</t>
        </is>
      </c>
    </row>
    <row r="264">
      <c r="A264" s="3" t="inlineStr">
        <is>
          <t>집현동 1132</t>
        </is>
      </c>
      <c r="B264" s="3" t="inlineStr">
        <is>
          <t>준주거지역</t>
        </is>
      </c>
      <c r="C264" s="3" t="inlineStr">
        <is>
          <t>대</t>
        </is>
      </c>
      <c r="D264" s="3" t="inlineStr">
        <is>
          <t>기타</t>
        </is>
      </c>
      <c r="E264" s="3" t="inlineStr">
        <is>
          <t>매매</t>
        </is>
      </c>
      <c r="F264" s="4" t="n">
        <v>2070000</v>
      </c>
      <c r="G264" s="4" t="n">
        <v>0</v>
      </c>
      <c r="H264" s="4" t="n">
        <v>2543</v>
      </c>
      <c r="I264" s="4" t="n">
        <v>769</v>
      </c>
      <c r="J264" s="5" t="n">
        <v>2691.8</v>
      </c>
      <c r="K264" s="4" t="n">
        <v>6273</v>
      </c>
      <c r="L264" s="4" t="n">
        <v>1898</v>
      </c>
      <c r="M264" s="5" t="n">
        <v>1090.6</v>
      </c>
      <c r="N264" s="3" t="inlineStr">
        <is>
          <t>7</t>
        </is>
      </c>
      <c r="O264" s="3" t="inlineStr">
        <is>
          <t>B2</t>
        </is>
      </c>
      <c r="P264" s="3" t="inlineStr">
        <is>
          <t>세종 신축 사옥 매매</t>
        </is>
      </c>
      <c r="Q264" s="6">
        <f>HYPERLINK("https://fin.land.naver.com/articles/2650482875", "매물Link")</f>
        <v/>
      </c>
      <c r="R264" s="6">
        <f>HYPERLINK("https://map.naver.com/p/search/집현동 1132", "지도Link")</f>
        <v/>
      </c>
      <c r="S264" s="6">
        <f>HYPERLINK("http://www.eum.go.kr/web/ar/lu/luLandDet.jsp?pnu=3611011800111320000&amp;isNoScr=script&amp;mode=search", "토지이음")</f>
        <v/>
      </c>
      <c r="T264" s="3" t="inlineStr">
        <is>
          <t>공장전문주식회사</t>
        </is>
      </c>
      <c r="U264" s="4" t="n">
        <v>1</v>
      </c>
      <c r="V264" s="5" t="n">
        <v>225.2</v>
      </c>
      <c r="W264" s="4" t="n">
        <v>2542.1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중로각지</t>
        </is>
      </c>
    </row>
  </sheetData>
  <autoFilter ref="A1:AD2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6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HYPERLINK("https://fin.land.naver.com/articles/2651088371",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HYPERLINK("https://fin.land.naver.com/articles/2651088133",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실개천옆 선호위치 초중고 모두 도보가능</t>
        </is>
      </c>
      <c r="P15" s="6">
        <f>HYPERLINK("https://fin.land.naver.com/articles/2651109817",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입주협의가능, 정남향, 학교인근, 방4개</t>
        </is>
      </c>
      <c r="P16" s="6">
        <f>HYPERLINK("https://fin.land.naver.com/articles/2646695575",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세종무지개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조망좋고 위치좋은 정남향 단독주택 방4개 실용적인구조 철콘주택</t>
        </is>
      </c>
      <c r="P17" s="6">
        <f>HYPERLINK("https://fin.land.naver.com/articles/2649950020",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세종스타</t>
        </is>
      </c>
      <c r="T17" s="4" t="n">
        <v>3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404</v>
      </c>
      <c r="J23" s="4" t="n">
        <v>122</v>
      </c>
      <c r="K23" s="5" t="n">
        <v>1311.5</v>
      </c>
      <c r="L23" s="4" t="n">
        <v>253</v>
      </c>
      <c r="M23" s="4" t="n">
        <v>77</v>
      </c>
      <c r="N23" s="5" t="n">
        <v>2077.9</v>
      </c>
      <c r="O23" s="3" t="inlineStr">
        <is>
          <t>인기C타입 마당넓음 탁트인조망 넓은3층면적</t>
        </is>
      </c>
      <c r="P23" s="6">
        <f>HYPERLINK("https://fin.land.naver.com/articles/2651086449",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세종스타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초품아, 거주 만족도 높은  관리최상  매물, 협의입주</t>
        </is>
      </c>
      <c r="P24" s="6">
        <f>HYPERLINK("https://fin.land.naver.com/articles/2648366468",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백프로</t>
        </is>
      </c>
      <c r="T24" s="4" t="n">
        <v>2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140000</v>
      </c>
      <c r="H25" s="4" t="n">
        <v>0</v>
      </c>
      <c r="I25" s="4" t="n">
        <v>297</v>
      </c>
      <c r="J25" s="4" t="n">
        <v>90</v>
      </c>
      <c r="K25" s="5" t="n">
        <v>1555.6</v>
      </c>
      <c r="L25" s="4" t="n">
        <v>253</v>
      </c>
      <c r="M25" s="4" t="n">
        <v>77</v>
      </c>
      <c r="N25" s="5" t="n">
        <v>1818.2</v>
      </c>
      <c r="O25" s="3" t="inlineStr">
        <is>
          <t>입지좋은 타운하우스매매, C타입, 온빛초, 정남향</t>
        </is>
      </c>
      <c r="P25" s="6">
        <f>HYPERLINK("https://fin.land.naver.com/articles/2648836117",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세종무지개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C타입 타운하우스, 급매, 입지 굿, 학교 인접, 협의입주</t>
        </is>
      </c>
      <c r="P26" s="6">
        <f>HYPERLINK("https://fin.land.naver.com/articles/2648909199",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협의입주, 시스템에어컨풀, 풀옵션, 조용한동으로 뷰좋은집</t>
        </is>
      </c>
      <c r="P27" s="6">
        <f>HYPERLINK("https://fin.land.naver.com/articles/2649373448",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리브</t>
        </is>
      </c>
      <c r="T27" s="4" t="n">
        <v>2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급매,C타입,주인거주로집상태좋음.</t>
        </is>
      </c>
      <c r="P29" s="6">
        <f>HYPERLINK("https://fin.land.naver.com/articles/2647138426",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세종황소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유럽마을 C타입  관리상태좋음  학교 근린생활시설가까운 입지 최고 단지</t>
        </is>
      </c>
      <c r="P30" s="6">
        <f>HYPERLINK("https://fin.land.naver.com/articles/2646787107",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고운힐스테이트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127600</v>
      </c>
      <c r="H31" s="4" t="n">
        <v>0</v>
      </c>
      <c r="I31" s="4" t="n">
        <v>353</v>
      </c>
      <c r="J31" s="4" t="n">
        <v>107</v>
      </c>
      <c r="K31" s="5" t="n">
        <v>1192.5</v>
      </c>
      <c r="L31" s="4" t="n">
        <v>224</v>
      </c>
      <c r="M31" s="4" t="n">
        <v>68</v>
      </c>
      <c r="N31" s="5" t="n">
        <v>1876.5</v>
      </c>
      <c r="O31" s="3" t="inlineStr">
        <is>
          <t>아르티엠 더블랙 선임대 완료 급매</t>
        </is>
      </c>
      <c r="P31" s="6">
        <f>HYPERLINK("https://fin.land.naver.com/articles/2650887284",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160000</v>
      </c>
      <c r="H32" s="4" t="n">
        <v>0</v>
      </c>
      <c r="I32" s="4" t="n">
        <v>336</v>
      </c>
      <c r="J32" s="4" t="n">
        <v>102</v>
      </c>
      <c r="K32" s="5" t="n">
        <v>1568.6</v>
      </c>
      <c r="L32" s="4" t="n">
        <v>253</v>
      </c>
      <c r="M32" s="4" t="n">
        <v>77</v>
      </c>
      <c r="N32" s="5" t="n">
        <v>2077.9</v>
      </c>
      <c r="O32" s="3" t="inlineStr">
        <is>
          <t>입지 최고 거주 및 투자추천, 선임대 맞춰짐, 실입주도 협의가능,</t>
        </is>
      </c>
      <c r="P32" s="6">
        <f>HYPERLINK("https://fin.land.naver.com/articles/2648367997",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백프로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404</v>
      </c>
      <c r="J33" s="4" t="n">
        <v>122</v>
      </c>
      <c r="K33" s="5" t="n">
        <v>1311.5</v>
      </c>
      <c r="L33" s="4" t="n">
        <v>253</v>
      </c>
      <c r="M33" s="4" t="n">
        <v>77</v>
      </c>
      <c r="N33" s="5" t="n">
        <v>2077.9</v>
      </c>
      <c r="O33" s="3" t="inlineStr">
        <is>
          <t>프라이빗 코너 호수의 완벽한 유럽풍 라이프</t>
        </is>
      </c>
      <c r="P33" s="6">
        <f>HYPERLINK("https://fin.land.naver.com/articles/2648068359",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335</v>
      </c>
      <c r="J34" s="4" t="n">
        <v>101</v>
      </c>
      <c r="K34" s="5" t="n">
        <v>1584.2</v>
      </c>
      <c r="L34" s="4" t="n">
        <v>253</v>
      </c>
      <c r="M34" s="4" t="n">
        <v>77</v>
      </c>
      <c r="N34" s="5" t="n">
        <v>2077.9</v>
      </c>
      <c r="O34" s="3" t="inlineStr">
        <is>
          <t>프라이빗한 정원,  인네리어</t>
        </is>
      </c>
      <c r="P34" s="6">
        <f>HYPERLINK("https://fin.land.naver.com/articles/2649457044",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세종삼촌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A타입 타운하우스매매, 입지 굿, 학교 인접, 협의입주</t>
        </is>
      </c>
      <c r="P35" s="6">
        <f>HYPERLINK("https://fin.land.naver.com/articles/2648903592",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더이상 저렴할 수 없다. 튼튼하게 내부 실용적있게 만들었어요.</t>
        </is>
      </c>
      <c r="P39" s="6">
        <f>HYPERLINK("https://fin.land.naver.com/articles/2649776440",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세종시에서 앞으로 찾기 힘든 분양 금액 , 내부구조 굿, 잔금일 협의가능</t>
        </is>
      </c>
      <c r="P40" s="6">
        <f>HYPERLINK("https://fin.land.naver.com/articles/2649776832",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급매 포스힐내 가장 예쁜정원 전세도가능</t>
        </is>
      </c>
      <c r="P41" s="6">
        <f>HYPERLINK("https://fin.land.naver.com/articles/2647125791",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세종스타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포스힐타운하우스 단독주택매매 가격조정가능</t>
        </is>
      </c>
      <c r="P42" s="6">
        <f>HYPERLINK("https://fin.land.naver.com/articles/2650510542",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고운동리치세종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포스힐 단독주택, 에어컨풀, 인테리어완료, 주인거주</t>
        </is>
      </c>
      <c r="P45" s="6">
        <f>HYPERLINK("https://fin.land.naver.com/articles/2648345384",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명진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풀에어컨, 단독주택, 인테리어 완료된 주인거주로 관리잘된집</t>
        </is>
      </c>
      <c r="P46" s="6">
        <f>HYPERLINK("https://fin.land.naver.com/articles/2646693964",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129734</v>
      </c>
      <c r="H47" s="4" t="n">
        <v>0</v>
      </c>
      <c r="I47" s="4" t="n">
        <v>328</v>
      </c>
      <c r="J47" s="4" t="n">
        <v>99</v>
      </c>
      <c r="K47" s="5" t="n">
        <v>1310.4</v>
      </c>
      <c r="L47" s="4" t="n">
        <v>196</v>
      </c>
      <c r="M47" s="4" t="n">
        <v>59</v>
      </c>
      <c r="N47" s="5" t="n">
        <v>2198.9</v>
      </c>
      <c r="O47" s="3" t="inlineStr">
        <is>
          <t>즉시입주 가능,  인기많은 D타입,  총86p</t>
        </is>
      </c>
      <c r="P47" s="6">
        <f>HYPERLINK("https://fin.land.naver.com/articles/2651190293",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120000</v>
      </c>
      <c r="H48" s="4" t="n">
        <v>0</v>
      </c>
      <c r="I48" s="4" t="n">
        <v>286</v>
      </c>
      <c r="J48" s="4" t="n">
        <v>87</v>
      </c>
      <c r="K48" s="5" t="n">
        <v>1379.3</v>
      </c>
      <c r="L48" s="4" t="n">
        <v>196</v>
      </c>
      <c r="M48" s="4" t="n">
        <v>59</v>
      </c>
      <c r="N48" s="5" t="n">
        <v>2033.9</v>
      </c>
      <c r="O48" s="3" t="inlineStr">
        <is>
          <t>nan</t>
        </is>
      </c>
      <c r="P48" s="6">
        <f>HYPERLINK("https://fin.land.naver.com/articles/2650653657",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102000</v>
      </c>
      <c r="H49" s="4" t="n">
        <v>0</v>
      </c>
      <c r="I49" s="4" t="n">
        <v>299</v>
      </c>
      <c r="J49" s="4" t="n">
        <v>90</v>
      </c>
      <c r="K49" s="5" t="n">
        <v>1133.3</v>
      </c>
      <c r="L49" s="4" t="n">
        <v>171</v>
      </c>
      <c r="M49" s="4" t="n">
        <v>52</v>
      </c>
      <c r="N49" s="5" t="n">
        <v>1961.5</v>
      </c>
      <c r="O49" s="3" t="inlineStr">
        <is>
          <t>마이너스 급매 추천매물. 전세끼고매매</t>
        </is>
      </c>
      <c r="P49" s="6">
        <f>HYPERLINK("https://fin.land.naver.com/articles/2649777229",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전원주택</t>
        </is>
      </c>
      <c r="F50" s="3" t="inlineStr">
        <is>
          <t>매매</t>
        </is>
      </c>
      <c r="G50" s="4" t="n">
        <v>165000</v>
      </c>
      <c r="H50" s="4" t="n">
        <v>0</v>
      </c>
      <c r="I50" s="4" t="n">
        <v>378</v>
      </c>
      <c r="J50" s="4" t="n">
        <v>114</v>
      </c>
      <c r="K50" s="5" t="n">
        <v>1447.4</v>
      </c>
      <c r="L50" s="4" t="n">
        <v>220</v>
      </c>
      <c r="M50" s="4" t="n">
        <v>67</v>
      </c>
      <c r="N50" s="5" t="n">
        <v>2462.7</v>
      </c>
      <c r="O50" s="3" t="inlineStr">
        <is>
          <t>인기있는 D타입 67p 급히매매</t>
        </is>
      </c>
      <c r="P50" s="6">
        <f>HYPERLINK("https://fin.land.naver.com/articles/2647201423",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서초만땅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1</t>
        </is>
      </c>
      <c r="E51" s="3" t="inlineStr">
        <is>
          <t>단독</t>
        </is>
      </c>
      <c r="F51" s="3" t="inlineStr">
        <is>
          <t>월세</t>
        </is>
      </c>
      <c r="G51" s="4" t="n">
        <v>5000</v>
      </c>
      <c r="H51" s="4" t="n">
        <v>300</v>
      </c>
      <c r="I51" s="4" t="n">
        <v>196</v>
      </c>
      <c r="J51" s="4" t="n">
        <v>59</v>
      </c>
      <c r="K51" s="5" t="n">
        <v>5.1</v>
      </c>
      <c r="L51" s="4" t="n">
        <v>196</v>
      </c>
      <c r="M51" s="4" t="n">
        <v>59</v>
      </c>
      <c r="N51" s="5" t="n">
        <v>5.1</v>
      </c>
      <c r="O51" s="3" t="inlineStr">
        <is>
          <t>귀한 타운하우스 월세, 방3개, 화장실3개, 협의입주가능</t>
        </is>
      </c>
      <c r="P51" s="6">
        <f>HYPERLINK("https://fin.land.naver.com/articles/2649871083",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명진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110000</v>
      </c>
      <c r="H52" s="4" t="n">
        <v>0</v>
      </c>
      <c r="I52" s="4" t="n">
        <v>299</v>
      </c>
      <c r="J52" s="4" t="n">
        <v>90</v>
      </c>
      <c r="K52" s="5" t="n">
        <v>1222.2</v>
      </c>
      <c r="L52" s="4" t="n">
        <v>171</v>
      </c>
      <c r="M52" s="4" t="n">
        <v>52</v>
      </c>
      <c r="N52" s="5" t="n">
        <v>2115.4</v>
      </c>
      <c r="O52" s="3" t="inlineStr">
        <is>
          <t>급매 신축 첫입주 전세6.5억 월세1억275만 둘다가능</t>
        </is>
      </c>
      <c r="P52" s="6">
        <f>HYPERLINK("https://fin.land.naver.com/articles/2647125959",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협의입주</t>
        </is>
      </c>
      <c r="P54" s="6">
        <f>HYPERLINK("https://fin.land.naver.com/articles/2649591373",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129734</v>
      </c>
      <c r="H55" s="4" t="n">
        <v>0</v>
      </c>
      <c r="I55" s="4" t="n">
        <v>328</v>
      </c>
      <c r="J55" s="4" t="n">
        <v>99</v>
      </c>
      <c r="K55" s="5" t="n">
        <v>1310.4</v>
      </c>
      <c r="L55" s="4" t="n">
        <v>196</v>
      </c>
      <c r="M55" s="4" t="n">
        <v>59</v>
      </c>
      <c r="N55" s="5" t="n">
        <v>2198.9</v>
      </c>
      <c r="O55" s="3" t="inlineStr">
        <is>
          <t>고운동 타운하우스 매매, 조율가능, 풀옵션, 다락서비스면적</t>
        </is>
      </c>
      <c r="P55" s="6">
        <f>HYPERLINK("https://fin.land.naver.com/articles/2649079152",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356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조율가능 판교급 하이엔드 럭셔리주택 프라이빗한설계 자재최상 창호최상급</t>
        </is>
      </c>
      <c r="P56" s="6">
        <f>HYPERLINK("https://fin.land.naver.com/articles/2646885078",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357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팬트하우스 형 주택 최고급</t>
        </is>
      </c>
      <c r="P57" s="6">
        <f>HYPERLINK("https://fin.land.naver.com/articles/2646427454",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세종삼촌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도담동 마당넓은 단독주택, 초등학교 인근</t>
        </is>
      </c>
      <c r="P60" s="6">
        <f>HYPERLINK("https://fin.land.naver.com/articles/2650963994",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OK세종</t>
        </is>
      </c>
      <c r="T60" s="4" t="n">
        <v>2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협의입주,말발굽자리,남향,마당넓은 예쁜집입니다.</t>
        </is>
      </c>
      <c r="P61" s="6">
        <f>HYPERLINK("https://fin.land.naver.com/articles/2648245007",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마마</t>
        </is>
      </c>
      <c r="T61" s="4" t="n">
        <v>1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조율가능, 2세대 가능한 독립구조, 전세8억, 지하有</t>
        </is>
      </c>
      <c r="P63" s="6">
        <f>HYPERLINK("https://fin.land.naver.com/articles/2651191939",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명진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도담동 예쁜 주택, 2세대 방해받지 않는  독립된 구조로 사용가능,3개층</t>
        </is>
      </c>
      <c r="P64" s="6">
        <f>HYPERLINK("https://fin.land.naver.com/articles/2651130715",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OK세종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225000</v>
      </c>
      <c r="H65" s="4" t="n">
        <v>0</v>
      </c>
      <c r="I65" s="4" t="n">
        <v>324</v>
      </c>
      <c r="J65" s="4" t="n">
        <v>98</v>
      </c>
      <c r="K65" s="5" t="n">
        <v>2295.9</v>
      </c>
      <c r="L65" s="4" t="n">
        <v>199</v>
      </c>
      <c r="M65" s="4" t="n">
        <v>60</v>
      </c>
      <c r="N65" s="5" t="n">
        <v>3750</v>
      </c>
      <c r="O65" s="3" t="inlineStr">
        <is>
          <t>전용60.3p, 방4개, 화장실4개, 입지 좋은 단독주택</t>
        </is>
      </c>
      <c r="P65" s="6">
        <f>HYPERLINK("https://fin.land.naver.com/articles/2648833272",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세종무지개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230000</v>
      </c>
      <c r="H66" s="4" t="n">
        <v>0</v>
      </c>
      <c r="I66" s="4" t="n">
        <v>324</v>
      </c>
      <c r="J66" s="4" t="n">
        <v>98</v>
      </c>
      <c r="K66" s="5" t="n">
        <v>2346.9</v>
      </c>
      <c r="L66" s="4" t="n">
        <v>199</v>
      </c>
      <c r="M66" s="4" t="n">
        <v>60</v>
      </c>
      <c r="N66" s="5" t="n">
        <v>3833.3</v>
      </c>
      <c r="O66" s="3" t="inlineStr">
        <is>
          <t>초품아. 도담동 학군지 단독주택, brt,</t>
        </is>
      </c>
      <c r="P66" s="6">
        <f>HYPERLINK("https://fin.land.naver.com/articles/2647898031",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최무연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도담동 최고입지 귀한 단독주택 넓은평수 목조주택</t>
        </is>
      </c>
      <c r="P67" s="6">
        <f>HYPERLINK("https://fin.land.naver.com/articles/2648380127",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자재 하나 하나 고급진  단독 매매</t>
        </is>
      </c>
      <c r="P68" s="6">
        <f>HYPERLINK("https://fin.land.naver.com/articles/2650613196",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THE행복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명성공인, 방4, 화4, 풀에어컨, 다락까지 있는 위치 좋은 추천 매물</t>
        </is>
      </c>
      <c r="P69" s="6">
        <f>HYPERLINK("https://fin.land.naver.com/articles/2650066777",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명성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750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85000</v>
      </c>
      <c r="H70" s="4" t="n">
        <v>0</v>
      </c>
      <c r="I70" s="4" t="n">
        <v>302</v>
      </c>
      <c r="J70" s="4" t="n">
        <v>91</v>
      </c>
      <c r="K70" s="5" t="n">
        <v>934.1</v>
      </c>
      <c r="L70" s="4" t="n">
        <v>52</v>
      </c>
      <c r="M70" s="4" t="n">
        <v>16</v>
      </c>
      <c r="N70" s="5" t="n">
        <v>5312.5</v>
      </c>
      <c r="O70" s="3" t="inlineStr">
        <is>
          <t>도담동 입지 좋은 단독주택</t>
        </is>
      </c>
      <c r="P70" s="6">
        <f>HYPERLINK("https://fin.land.naver.com/articles/2647787307", "매물Link")</f>
        <v/>
      </c>
      <c r="Q70" s="6">
        <f>HYPERLINK("https://map.naver.com/p/search/도담동 750", "지도Link")</f>
        <v/>
      </c>
      <c r="R70" s="6">
        <f>HYPERLINK("http://www.eum.go.kr/web/ar/lu/luLandDet.jsp?pnu=3611011400107500000&amp;isNoScr=script&amp;mode=search", "토지이음")</f>
        <v/>
      </c>
      <c r="S70" s="3" t="inlineStr">
        <is>
          <t>어반나래</t>
        </is>
      </c>
      <c r="T70" s="4" t="n">
        <v>1</v>
      </c>
      <c r="U70" s="5" t="n">
        <v>382.1</v>
      </c>
      <c r="V70" s="4" t="n">
        <v>302.8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소로한면</t>
        </is>
      </c>
    </row>
    <row r="71">
      <c r="A71" s="3" t="inlineStr">
        <is>
          <t>도담동 897-44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400</v>
      </c>
      <c r="J71" s="4" t="n">
        <v>121</v>
      </c>
      <c r="K71" s="5" t="n">
        <v>1900.8</v>
      </c>
      <c r="L71" s="4" t="n">
        <v>245</v>
      </c>
      <c r="M71" s="4" t="n">
        <v>74</v>
      </c>
      <c r="N71" s="5" t="n">
        <v>3108.1</v>
      </c>
      <c r="O71" s="3" t="inlineStr">
        <is>
          <t>선호도 높은 명품 전원주택 트로아힐스, 전망트인집, 적극조율해볼께요</t>
        </is>
      </c>
      <c r="P71" s="6">
        <f>HYPERLINK("https://fin.land.naver.com/articles/2651641747", "매물Link")</f>
        <v/>
      </c>
      <c r="Q71" s="6">
        <f>HYPERLINK("https://map.naver.com/p/search/도담동 897-44", "지도Link")</f>
        <v/>
      </c>
      <c r="R71" s="6">
        <f>HYPERLINK("http://www.eum.go.kr/web/ar/lu/luLandDet.jsp?pnu=3611011400108970044&amp;isNoScr=script&amp;mode=search", "토지이음")</f>
        <v/>
      </c>
      <c r="S71" s="3" t="inlineStr">
        <is>
          <t>다인</t>
        </is>
      </c>
      <c r="T71" s="4" t="n">
        <v>1</v>
      </c>
      <c r="U71" s="5" t="n">
        <v>385.1</v>
      </c>
      <c r="V71" s="4" t="n">
        <v>400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중로한면</t>
        </is>
      </c>
    </row>
    <row r="72">
      <c r="A72" s="3" t="inlineStr">
        <is>
          <t>부강면 금호리 234-5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939</v>
      </c>
      <c r="J72" s="4" t="n">
        <v>284</v>
      </c>
      <c r="K72" s="5" t="n">
        <v>422.5</v>
      </c>
      <c r="L72" s="4" t="n">
        <v>108</v>
      </c>
      <c r="M72" s="4" t="n">
        <v>33</v>
      </c>
      <c r="N72" s="5" t="n">
        <v>3636.4</v>
      </c>
      <c r="O72" s="3" t="inlineStr">
        <is>
          <t>카페운영 넓은정원카페와 넓은 주차장 세종시4생활권 진출입용이</t>
        </is>
      </c>
      <c r="P72" s="6">
        <f>HYPERLINK("https://fin.land.naver.com/articles/2650542038", "매물Link")</f>
        <v/>
      </c>
      <c r="Q72" s="6">
        <f>HYPERLINK("https://map.naver.com/p/search/부강면 금호리 234-5", "지도Link")</f>
        <v/>
      </c>
      <c r="R72" s="6">
        <f>HYPERLINK("http://www.eum.go.kr/web/ar/lu/luLandDet.jsp?pnu=3611033028102340005&amp;isNoScr=script&amp;mode=search", "토지이음")</f>
        <v/>
      </c>
      <c r="S72" s="3" t="inlineStr">
        <is>
          <t>한얼</t>
        </is>
      </c>
      <c r="T72" s="4" t="n">
        <v>1</v>
      </c>
      <c r="U72" s="5" t="n">
        <v>89.90000000000001</v>
      </c>
      <c r="V72" s="4" t="n">
        <v>939</v>
      </c>
      <c r="W72" s="3" t="inlineStr">
        <is>
          <t>지정되지않음</t>
        </is>
      </c>
      <c r="X72" s="3" t="inlineStr">
        <is>
          <t>주거기타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 전원주택, 금호교 개통으로 4생활권에서 5분거리</t>
        </is>
      </c>
      <c r="P73" s="6">
        <f>HYPERLINK("https://fin.land.naver.com/articles/2649458393",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세종삼촌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613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679</v>
      </c>
      <c r="J75" s="4" t="n">
        <v>205</v>
      </c>
      <c r="K75" s="5" t="n">
        <v>268.3</v>
      </c>
      <c r="L75" s="4" t="n">
        <v>92</v>
      </c>
      <c r="M75" s="4" t="n">
        <v>28</v>
      </c>
      <c r="N75" s="5" t="n">
        <v>1964.3</v>
      </c>
      <c r="O75" s="3" t="inlineStr">
        <is>
          <t>행복도시4생활권 인접, 부강산업단지에 근접한 주택으로 상태 좋음</t>
        </is>
      </c>
      <c r="P75" s="6">
        <f>HYPERLINK("https://fin.land.naver.com/articles/2651169911", "매물Link")</f>
        <v/>
      </c>
      <c r="Q75" s="6">
        <f>HYPERLINK("https://map.naver.com/p/search/부강면 금호리 613", "지도Link")</f>
        <v/>
      </c>
      <c r="R75" s="6">
        <f>HYPERLINK("http://www.eum.go.kr/web/ar/lu/luLandDet.jsp?pnu=3611033028106130000&amp;isNoScr=script&amp;mode=search", "토지이음")</f>
        <v/>
      </c>
      <c r="S75" s="3" t="inlineStr">
        <is>
          <t>드림</t>
        </is>
      </c>
      <c r="T75" s="4" t="n">
        <v>1</v>
      </c>
      <c r="U75" s="5" t="n">
        <v>88</v>
      </c>
      <c r="V75" s="4" t="n">
        <v>679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부강면 금호리 712-16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35000</v>
      </c>
      <c r="H76" s="4" t="n">
        <v>0</v>
      </c>
      <c r="I76" s="4" t="n">
        <v>379</v>
      </c>
      <c r="J76" s="4" t="n">
        <v>115</v>
      </c>
      <c r="K76" s="5" t="n">
        <v>304.3</v>
      </c>
      <c r="L76" s="4" t="n">
        <v>71</v>
      </c>
      <c r="M76" s="4" t="n">
        <v>21</v>
      </c>
      <c r="N76" s="5" t="n">
        <v>1666.7</v>
      </c>
      <c r="O76" s="3" t="inlineStr">
        <is>
          <t>흙벽돌구조 1층 주택매매, 창고별도있음</t>
        </is>
      </c>
      <c r="P76" s="6">
        <f>HYPERLINK("https://fin.land.naver.com/articles/2650428762", "매물Link")</f>
        <v/>
      </c>
      <c r="Q76" s="6">
        <f>HYPERLINK("https://map.naver.com/p/search/부강면 금호리 712-16", "지도Link")</f>
        <v/>
      </c>
      <c r="R76" s="6">
        <f>HYPERLINK("http://www.eum.go.kr/web/ar/lu/luLandDet.jsp?pnu=3611033028107120016&amp;isNoScr=script&amp;mode=search",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94.5</v>
      </c>
      <c r="V76" s="4" t="n">
        <v>379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노호리 307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60000</v>
      </c>
      <c r="H77" s="4" t="n">
        <v>0</v>
      </c>
      <c r="I77" s="4" t="n">
        <v>340</v>
      </c>
      <c r="J77" s="4" t="n">
        <v>103</v>
      </c>
      <c r="K77" s="5" t="n">
        <v>582.5</v>
      </c>
      <c r="L77" s="4" t="n">
        <v>90</v>
      </c>
      <c r="M77" s="4" t="n">
        <v>27</v>
      </c>
      <c r="N77" s="5" t="n">
        <v>2222.2</v>
      </c>
      <c r="O77" s="3" t="inlineStr">
        <is>
          <t>nan</t>
        </is>
      </c>
      <c r="P77" s="6">
        <f>HYPERLINK("https://fin.land.naver.com/articles/2646118338", "매물Link")</f>
        <v/>
      </c>
      <c r="Q77" s="6">
        <f>HYPERLINK("https://map.naver.com/p/search/부강면 노호리 307", "지도Link")</f>
        <v/>
      </c>
      <c r="R77" s="6">
        <f>HYPERLINK("http://www.eum.go.kr/web/ar/lu/luLandDet.jsp?pnu=3611033027103070000&amp;isNoScr=script&amp;mode=search", "토지이음")</f>
        <v/>
      </c>
      <c r="S77" s="3" t="inlineStr">
        <is>
          <t>좋은</t>
        </is>
      </c>
      <c r="T77" s="4" t="n">
        <v>1</v>
      </c>
      <c r="U77" s="5" t="n">
        <v>40.6</v>
      </c>
      <c r="V77" s="4" t="n">
        <v>340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완경사</t>
        </is>
      </c>
      <c r="Z77" s="3" t="inlineStr">
        <is>
          <t>자루형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73000</v>
      </c>
      <c r="H78" s="4" t="n">
        <v>0</v>
      </c>
      <c r="I78" s="4" t="n">
        <v>1785</v>
      </c>
      <c r="J78" s="4" t="n">
        <v>540</v>
      </c>
      <c r="K78" s="5" t="n">
        <v>135.2</v>
      </c>
      <c r="L78" s="4" t="n">
        <v>531</v>
      </c>
      <c r="M78" s="4" t="n">
        <v>161</v>
      </c>
      <c r="N78" s="5" t="n">
        <v>453.4</v>
      </c>
      <c r="O78" s="3" t="inlineStr">
        <is>
          <t>계획관리지역 전원주택이며, 세종4생활권과 현도산업단지 인접 수요 증가</t>
        </is>
      </c>
      <c r="P78" s="6">
        <f>HYPERLINK("https://fin.land.naver.com/articles/2649193160",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수성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65000</v>
      </c>
      <c r="H79" s="4" t="n">
        <v>0</v>
      </c>
      <c r="I79" s="4" t="n">
        <v>1785</v>
      </c>
      <c r="J79" s="4" t="n">
        <v>540</v>
      </c>
      <c r="K79" s="5" t="n">
        <v>120.4</v>
      </c>
      <c r="L79" s="4" t="n">
        <v>147</v>
      </c>
      <c r="M79" s="4" t="n">
        <v>44</v>
      </c>
      <c r="N79" s="5" t="n">
        <v>1477.3</v>
      </c>
      <c r="O79" s="3" t="inlineStr">
        <is>
          <t>nan</t>
        </is>
      </c>
      <c r="P79" s="6">
        <f>HYPERLINK("https://fin.land.naver.com/articles/2650322763",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세종신한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HYPERLINK("https://fin.land.naver.com/articles/2649885848",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성성타운(041-553-3911)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300</v>
      </c>
      <c r="H82" s="4" t="n">
        <v>50</v>
      </c>
      <c r="I82" s="4" t="n">
        <v>45</v>
      </c>
      <c r="J82" s="4" t="n">
        <v>14</v>
      </c>
      <c r="K82" s="5" t="n">
        <v>3.6</v>
      </c>
      <c r="L82" s="4" t="n">
        <v>33</v>
      </c>
      <c r="M82" s="4" t="n">
        <v>10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HYPERLINK("https://fin.land.naver.com/articles/2647216211",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500</v>
      </c>
      <c r="H83" s="4" t="n">
        <v>45</v>
      </c>
      <c r="I83" s="4" t="n">
        <v>45</v>
      </c>
      <c r="J83" s="4" t="n">
        <v>14</v>
      </c>
      <c r="K83" s="5" t="n">
        <v>3.2</v>
      </c>
      <c r="L83" s="4" t="n">
        <v>30</v>
      </c>
      <c r="M83" s="4" t="n">
        <v>9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HYPERLINK("https://fin.land.naver.com/articles/2647229439",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벽난로,태양광, 어린이 를 위한 공간, 가격절충</t>
        </is>
      </c>
      <c r="P86" s="6">
        <f>HYPERLINK("https://fin.land.naver.com/articles/2646426563",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세종삼촌</t>
        </is>
      </c>
      <c r="T86" s="4" t="n">
        <v>1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조율가능 국제고인근 정남향 아이들의 놀이터같은 특색주택</t>
        </is>
      </c>
      <c r="P87" s="6">
        <f>HYPERLINK("https://fin.land.naver.com/articles/2648716323",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세종스타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 태양광, 정남향으로 가격조율가능한 단독주택</t>
        </is>
      </c>
      <c r="P89" s="6">
        <f>HYPERLINK("https://fin.land.naver.com/articles/2648905063",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명진</t>
        </is>
      </c>
      <c r="T89" s="4" t="n">
        <v>2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140000</v>
      </c>
      <c r="H90" s="4" t="n">
        <v>0</v>
      </c>
      <c r="I90" s="4" t="n">
        <v>353</v>
      </c>
      <c r="J90" s="4" t="n">
        <v>107</v>
      </c>
      <c r="K90" s="5" t="n">
        <v>1308.4</v>
      </c>
      <c r="L90" s="4" t="n">
        <v>160</v>
      </c>
      <c r="M90" s="4" t="n">
        <v>48</v>
      </c>
      <c r="N90" s="5" t="n">
        <v>2916.7</v>
      </c>
      <c r="O90" s="3" t="inlineStr">
        <is>
          <t>주택 에어컨5개 마당있고 편안한 주택매물입니다.</t>
        </is>
      </c>
      <c r="P90" s="6">
        <f>HYPERLINK("https://fin.land.naver.com/articles/2648169316",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세석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353</v>
      </c>
      <c r="J91" s="4" t="n">
        <v>107</v>
      </c>
      <c r="K91" s="5" t="n">
        <v>1308.4</v>
      </c>
      <c r="L91" s="4" t="n">
        <v>160</v>
      </c>
      <c r="M91" s="4" t="n">
        <v>48</v>
      </c>
      <c r="N91" s="5" t="n">
        <v>2916.7</v>
      </c>
      <c r="O91" s="3" t="inlineStr">
        <is>
          <t>전용 48.6p, 1.2층 단독주택, 시스템에어컨풀, 협의입주</t>
        </is>
      </c>
      <c r="P91" s="6">
        <f>HYPERLINK("https://fin.land.naver.com/articles/2648906147",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명진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353</v>
      </c>
      <c r="J92" s="4" t="n">
        <v>107</v>
      </c>
      <c r="K92" s="5" t="n">
        <v>1308.4</v>
      </c>
      <c r="L92" s="4" t="n">
        <v>160</v>
      </c>
      <c r="M92" s="4" t="n">
        <v>48</v>
      </c>
      <c r="N92" s="5" t="n">
        <v>2916.7</v>
      </c>
      <c r="O92" s="3" t="inlineStr">
        <is>
          <t>시스템에어컨풀, 주인거주, 협의입주, 1.2층 단독주택</t>
        </is>
      </c>
      <c r="P92" s="6">
        <f>HYPERLINK("https://fin.land.naver.com/articles/2646689830",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세종무지개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145000</v>
      </c>
      <c r="H93" s="4" t="n">
        <v>0</v>
      </c>
      <c r="I93" s="4" t="n">
        <v>353</v>
      </c>
      <c r="J93" s="4" t="n">
        <v>107</v>
      </c>
      <c r="K93" s="5" t="n">
        <v>1355.1</v>
      </c>
      <c r="L93" s="4" t="n">
        <v>160</v>
      </c>
      <c r="M93" s="4" t="n">
        <v>48</v>
      </c>
      <c r="N93" s="5" t="n">
        <v>3020.8</v>
      </c>
      <c r="O93" s="3" t="inlineStr">
        <is>
          <t>정원있는 조용한 전원주택 매매</t>
        </is>
      </c>
      <c r="P93" s="6">
        <f>HYPERLINK("https://fin.land.naver.com/articles/2650453397",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인서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160</v>
      </c>
      <c r="J94" s="4" t="n">
        <v>48</v>
      </c>
      <c r="K94" s="5" t="n">
        <v>2916.7</v>
      </c>
      <c r="L94" s="4" t="n">
        <v>160</v>
      </c>
      <c r="M94" s="4" t="n">
        <v>48</v>
      </c>
      <c r="N94" s="5" t="n">
        <v>2916.7</v>
      </c>
      <c r="O94" s="3" t="inlineStr">
        <is>
          <t>2층주택, 현재 주인거주로 잘 관리된 집</t>
        </is>
      </c>
      <c r="P94" s="6">
        <f>HYPERLINK("https://fin.land.naver.com/articles/2646823725",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강아지풀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전원주택</t>
        </is>
      </c>
      <c r="F95" s="3" t="inlineStr">
        <is>
          <t>매매</t>
        </is>
      </c>
      <c r="G95" s="4" t="n">
        <v>145000</v>
      </c>
      <c r="H95" s="4" t="n">
        <v>0</v>
      </c>
      <c r="I95" s="4" t="n">
        <v>353</v>
      </c>
      <c r="J95" s="4" t="n">
        <v>107</v>
      </c>
      <c r="K95" s="5" t="n">
        <v>1355.1</v>
      </c>
      <c r="L95" s="4" t="n">
        <v>160</v>
      </c>
      <c r="M95" s="4" t="n">
        <v>48</v>
      </c>
      <c r="N95" s="5" t="n">
        <v>3020.8</v>
      </c>
      <c r="O95" s="3" t="inlineStr">
        <is>
          <t>철근콘크리트 튼튼  시스템에어컨 5대 단독 매매</t>
        </is>
      </c>
      <c r="P95" s="6">
        <f>HYPERLINK("https://fin.land.naver.com/articles/2650613200",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THE행복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아름동 입지좋은 단독주택 매매, 올리모델링</t>
        </is>
      </c>
      <c r="P97" s="6">
        <f>HYPERLINK("https://fin.land.naver.com/articles/2648835163",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최근 리모델링한 단독주택 매매, 방3개, 욕실2개</t>
        </is>
      </c>
      <c r="P98" s="6">
        <f>HYPERLINK("https://fin.land.naver.com/articles/2649020493",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올 리모델링. 풀에어컨, 코너 입지</t>
        </is>
      </c>
      <c r="P99" s="6">
        <f>HYPERLINK("https://fin.land.naver.com/articles/2649459333",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세종삼촌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올리모델링 방3개 욕실3개 시스템에어컨5대 조율가능</t>
        </is>
      </c>
      <c r="P100" s="6">
        <f>HYPERLINK("https://fin.land.naver.com/articles/2648979509",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세종스타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107000</v>
      </c>
      <c r="H101" s="4" t="n">
        <v>0</v>
      </c>
      <c r="I101" s="4" t="n">
        <v>314</v>
      </c>
      <c r="J101" s="4" t="n">
        <v>95</v>
      </c>
      <c r="K101" s="5" t="n">
        <v>1126.3</v>
      </c>
      <c r="L101" s="4" t="n">
        <v>147</v>
      </c>
      <c r="M101" s="4" t="n">
        <v>44</v>
      </c>
      <c r="N101" s="5" t="n">
        <v>2431.8</v>
      </c>
      <c r="O101" s="3" t="inlineStr">
        <is>
          <t>풀에어컨, 조명, 도배 등 리모델링 완료, 내부 굿</t>
        </is>
      </c>
      <c r="P101" s="6">
        <f>HYPERLINK("https://fin.land.naver.com/articles/2646696811",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급매 전세끼고 매매 리모델링됨 마당넓음</t>
        </is>
      </c>
      <c r="P102" s="6">
        <f>HYPERLINK("https://fin.land.naver.com/articles/2651116835",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전세</t>
        </is>
      </c>
      <c r="G103" s="4" t="n">
        <v>58000</v>
      </c>
      <c r="H103" s="4" t="n">
        <v>0</v>
      </c>
      <c r="I103" s="4" t="n">
        <v>314</v>
      </c>
      <c r="J103" s="4" t="n">
        <v>95</v>
      </c>
      <c r="K103" s="5" t="n">
        <v>610.5</v>
      </c>
      <c r="L103" s="4" t="n">
        <v>147</v>
      </c>
      <c r="M103" s="4" t="n">
        <v>44</v>
      </c>
      <c r="N103" s="5" t="n">
        <v>1318.2</v>
      </c>
      <c r="O103" s="3" t="inlineStr">
        <is>
          <t>귀한 단독주택 전세 집상태 깨끗함 협의입주</t>
        </is>
      </c>
      <c r="P103" s="6">
        <f>HYPERLINK("https://fin.land.naver.com/articles/2646456098",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국제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입주협의 위치좋은 단독주택 관리상태굿 가격조정가능</t>
        </is>
      </c>
      <c r="P104" s="6">
        <f>HYPERLINK("https://fin.land.naver.com/articles/2650696710",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고운동리치세종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전원주택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잘 지어지고 관리가 잘된 집</t>
        </is>
      </c>
      <c r="P105" s="6">
        <f>HYPERLINK("https://fin.land.naver.com/articles/2649006146",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세종푸르지오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959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357</v>
      </c>
      <c r="J106" s="4" t="n">
        <v>108</v>
      </c>
      <c r="K106" s="5" t="n">
        <v>1481.5</v>
      </c>
      <c r="L106" s="4" t="n">
        <v>248</v>
      </c>
      <c r="M106" s="4" t="n">
        <v>75</v>
      </c>
      <c r="N106" s="5" t="n">
        <v>2133.3</v>
      </c>
      <c r="O106" s="3" t="inlineStr">
        <is>
          <t>조율가능 유럽풍스타일 1층 방2개 거실넓은 철콘주택</t>
        </is>
      </c>
      <c r="P106" s="6">
        <f>HYPERLINK("https://fin.land.naver.com/articles/2651088324", "매물Link")</f>
        <v/>
      </c>
      <c r="Q106" s="6">
        <f>HYPERLINK("https://map.naver.com/p/search/아름동 959", "지도Link")</f>
        <v/>
      </c>
      <c r="R106" s="6">
        <f>HYPERLINK("http://www.eum.go.kr/web/ar/lu/luLandDet.jsp?pnu=3611011300109590000&amp;isNoScr=script&amp;mode=search",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327.2</v>
      </c>
      <c r="V106" s="4" t="n">
        <v>357.9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사다리형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고급 단독주택 매매, 태양광 설치, 1층에 방2개</t>
        </is>
      </c>
      <c r="P107" s="6">
        <f>HYPERLINK("https://fin.land.naver.com/articles/2646691449",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연동면 내판리 425-4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65000</v>
      </c>
      <c r="H108" s="4" t="n">
        <v>0</v>
      </c>
      <c r="I108" s="4" t="n">
        <v>579</v>
      </c>
      <c r="J108" s="4" t="n">
        <v>175</v>
      </c>
      <c r="K108" s="5" t="n">
        <v>371.4</v>
      </c>
      <c r="L108" s="4" t="n">
        <v>93</v>
      </c>
      <c r="M108" s="4" t="n">
        <v>28</v>
      </c>
      <c r="N108" s="5" t="n">
        <v>2321.4</v>
      </c>
      <c r="O108" s="3" t="inlineStr">
        <is>
          <t>조용하고 살기좋은 전원주택 매매</t>
        </is>
      </c>
      <c r="P108" s="6">
        <f>HYPERLINK("https://fin.land.naver.com/articles/2649113394", "매물Link")</f>
        <v/>
      </c>
      <c r="Q108" s="6">
        <f>HYPERLINK("https://map.naver.com/p/search/연동면 내판리 425-4", "지도Link")</f>
        <v/>
      </c>
      <c r="R108" s="6">
        <f>HYPERLINK("http://www.eum.go.kr/web/ar/lu/luLandDet.jsp?pnu=3611032021104250004&amp;isNoScr=script&amp;mode=search", "토지이음")</f>
        <v/>
      </c>
      <c r="S108" s="3" t="inlineStr">
        <is>
          <t>으뜸</t>
        </is>
      </c>
      <c r="T108" s="4" t="n">
        <v>1</v>
      </c>
      <c r="U108" s="5" t="n">
        <v>73.2</v>
      </c>
      <c r="V108" s="4" t="n">
        <v>499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완경사</t>
        </is>
      </c>
      <c r="Z108" s="3" t="inlineStr">
        <is>
          <t>부정형</t>
        </is>
      </c>
      <c r="AA108" s="3" t="inlineStr">
        <is>
          <t>세로한면(가)</t>
        </is>
      </c>
    </row>
    <row r="109">
      <c r="A109" s="3" t="inlineStr">
        <is>
          <t>연동면 노송리 28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180000</v>
      </c>
      <c r="H109" s="4" t="n">
        <v>0</v>
      </c>
      <c r="I109" s="4" t="n">
        <v>1756</v>
      </c>
      <c r="J109" s="4" t="n">
        <v>531</v>
      </c>
      <c r="K109" s="5" t="n">
        <v>339</v>
      </c>
      <c r="L109" s="4" t="n">
        <v>191</v>
      </c>
      <c r="M109" s="4" t="n">
        <v>58</v>
      </c>
      <c r="N109" s="5" t="n">
        <v>3103.4</v>
      </c>
      <c r="O109" s="3" t="inlineStr">
        <is>
          <t>남향의 2층 전원주택</t>
        </is>
      </c>
      <c r="P109" s="6">
        <f>HYPERLINK("https://fin.land.naver.com/articles/2646049802", "매물Link")</f>
        <v/>
      </c>
      <c r="Q109" s="6">
        <f>HYPERLINK("https://map.naver.com/p/search/연동면 노송리 28", "지도Link")</f>
        <v/>
      </c>
      <c r="R109" s="6">
        <f>HYPERLINK("http://www.eum.go.kr/web/ar/lu/luLandDet.jsp?pnu=3611032025100280000&amp;isNoScr=script&amp;mode=search", "토지이음")</f>
        <v/>
      </c>
      <c r="S109" s="3" t="inlineStr">
        <is>
          <t>보람최고</t>
        </is>
      </c>
      <c r="T109" s="4" t="n">
        <v>1</v>
      </c>
      <c r="U109" s="5" t="n">
        <v>68.90000000000001</v>
      </c>
      <c r="V109" s="4" t="n">
        <v>1001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세로각지(가)</t>
        </is>
      </c>
    </row>
    <row r="110">
      <c r="A110" s="3" t="inlineStr">
        <is>
          <t>연동면 명학리 217-1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18500</v>
      </c>
      <c r="H110" s="4" t="n">
        <v>0</v>
      </c>
      <c r="I110" s="4" t="n">
        <v>176</v>
      </c>
      <c r="J110" s="4" t="n">
        <v>53</v>
      </c>
      <c r="K110" s="5" t="n">
        <v>349.1</v>
      </c>
      <c r="L110" s="4" t="n">
        <v>52</v>
      </c>
      <c r="M110" s="4" t="n">
        <v>16</v>
      </c>
      <c r="N110" s="5" t="n">
        <v>1156.2</v>
      </c>
      <c r="O110" s="3" t="inlineStr">
        <is>
          <t>소액 투자 추천, 세컨하우스, 주말별장, 실거주도 좋아요.</t>
        </is>
      </c>
      <c r="P110" s="6">
        <f>HYPERLINK("https://fin.land.naver.com/articles/2648902549", "매물Link")</f>
        <v/>
      </c>
      <c r="Q110" s="6">
        <f>HYPERLINK("https://map.naver.com/p/search/연동면 명학리 217-1", "지도Link")</f>
        <v/>
      </c>
      <c r="R110" s="6">
        <f>HYPERLINK("http://www.eum.go.kr/web/ar/lu/luLandDet.jsp?pnu=3611032023102170001&amp;isNoScr=script&amp;mode=search", "토지이음")</f>
        <v/>
      </c>
      <c r="S110" s="3" t="inlineStr">
        <is>
          <t>수자인시티</t>
        </is>
      </c>
      <c r="T110" s="4" t="n">
        <v>1</v>
      </c>
      <c r="U110" s="5" t="n">
        <v>98.7</v>
      </c>
      <c r="V110" s="4" t="n">
        <v>176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연동면 응암리 121-4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매매</t>
        </is>
      </c>
      <c r="G111" s="4" t="n">
        <v>48000</v>
      </c>
      <c r="H111" s="4" t="n">
        <v>0</v>
      </c>
      <c r="I111" s="4" t="n">
        <v>1025</v>
      </c>
      <c r="J111" s="4" t="n">
        <v>310</v>
      </c>
      <c r="K111" s="5" t="n">
        <v>154.8</v>
      </c>
      <c r="L111" s="4" t="n">
        <v>103</v>
      </c>
      <c r="M111" s="4" t="n">
        <v>31</v>
      </c>
      <c r="N111" s="5" t="n">
        <v>1548.4</v>
      </c>
      <c r="O111" s="3" t="inlineStr">
        <is>
          <t>nan</t>
        </is>
      </c>
      <c r="P111" s="6">
        <f>HYPERLINK("https://fin.land.naver.com/articles/2648221451", "매물Link")</f>
        <v/>
      </c>
      <c r="Q111" s="6">
        <f>HYPERLINK("https://map.naver.com/p/search/연동면 응암리 121-4", "지도Link")</f>
        <v/>
      </c>
      <c r="R111" s="6">
        <f>HYPERLINK("http://www.eum.go.kr/web/ar/lu/luLandDet.jsp?pnu=3611032024101210004&amp;isNoScr=script&amp;mode=search", "토지이음")</f>
        <v/>
      </c>
      <c r="S111" s="3" t="inlineStr">
        <is>
          <t>세종지원</t>
        </is>
      </c>
      <c r="T111" s="4" t="n">
        <v>1</v>
      </c>
      <c r="U111" s="5" t="n">
        <v>67.5</v>
      </c>
      <c r="V111" s="4" t="n">
        <v>1025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완경사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응암리 199-4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27000</v>
      </c>
      <c r="H112" s="4" t="n">
        <v>0</v>
      </c>
      <c r="I112" s="4" t="n">
        <v>464</v>
      </c>
      <c r="J112" s="4" t="n">
        <v>140</v>
      </c>
      <c r="K112" s="5" t="n">
        <v>192.9</v>
      </c>
      <c r="L112" s="4" t="n">
        <v>89</v>
      </c>
      <c r="M112" s="4" t="n">
        <v>27</v>
      </c>
      <c r="N112" s="5" t="n">
        <v>1000</v>
      </c>
      <c r="O112" s="3" t="inlineStr">
        <is>
          <t>0초이스0 전세 안고 투자도 가능</t>
        </is>
      </c>
      <c r="P112" s="6">
        <f>HYPERLINK("https://fin.land.naver.com/articles/2649446382", "매물Link")</f>
        <v/>
      </c>
      <c r="Q112" s="6">
        <f>HYPERLINK("https://map.naver.com/p/search/연동면 응암리 199-4", "지도Link")</f>
        <v/>
      </c>
      <c r="R112" s="6">
        <f>HYPERLINK("http://www.eum.go.kr/web/ar/lu/luLandDet.jsp?pnu=3611032024101990004&amp;isNoScr=script&amp;mode=search", "토지이음")</f>
        <v/>
      </c>
      <c r="S112" s="3" t="inlineStr">
        <is>
          <t>세종초이스</t>
        </is>
      </c>
      <c r="T112" s="4" t="n">
        <v>1</v>
      </c>
      <c r="U112" s="5" t="n">
        <v>59.8</v>
      </c>
      <c r="V112" s="4" t="n">
        <v>464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세로각지(가)</t>
        </is>
      </c>
    </row>
    <row r="113">
      <c r="A113" s="3" t="inlineStr">
        <is>
          <t>연서면 고복리 415-34</t>
        </is>
      </c>
      <c r="B113" s="3" t="inlineStr">
        <is>
          <t>보전관리지역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54200</v>
      </c>
      <c r="H113" s="4" t="n">
        <v>0</v>
      </c>
      <c r="I113" s="4" t="n">
        <v>725</v>
      </c>
      <c r="J113" s="4" t="n">
        <v>219</v>
      </c>
      <c r="K113" s="5" t="n">
        <v>247.5</v>
      </c>
      <c r="L113" s="4" t="n">
        <v>72</v>
      </c>
      <c r="M113" s="4" t="n">
        <v>22</v>
      </c>
      <c r="N113" s="5" t="n">
        <v>2463.6</v>
      </c>
      <c r="O113" s="3" t="inlineStr">
        <is>
          <t>고복저수지 초근접 한 매물이며,별장으로 활용해도 좋아요</t>
        </is>
      </c>
      <c r="P113" s="6">
        <f>HYPERLINK("https://fin.land.naver.com/articles/2647765328", "매물Link")</f>
        <v/>
      </c>
      <c r="Q113" s="6">
        <f>HYPERLINK("https://map.naver.com/p/search/연서면 고복리 415-34", "지도Link")</f>
        <v/>
      </c>
      <c r="R113" s="6">
        <f>HYPERLINK("http://www.eum.go.kr/web/ar/lu/luLandDet.jsp?pnu=3611036024104150034&amp;isNoScr=script&amp;mode=search", "토지이음")</f>
        <v/>
      </c>
      <c r="S113" s="3" t="inlineStr">
        <is>
          <t>지호주식회사</t>
        </is>
      </c>
      <c r="T113" s="4" t="n">
        <v>1</v>
      </c>
      <c r="U113" s="5" t="n">
        <v>122.9</v>
      </c>
      <c r="V113" s="4" t="n">
        <v>725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사다리형</t>
        </is>
      </c>
      <c r="AA113" s="3" t="inlineStr">
        <is>
          <t>세로한면(가)</t>
        </is>
      </c>
    </row>
    <row r="114">
      <c r="A114" s="3" t="inlineStr">
        <is>
          <t>연서면 고복리 460-2</t>
        </is>
      </c>
      <c r="B114" s="3" t="inlineStr">
        <is>
          <t>자연환경보전지역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상가주택</t>
        </is>
      </c>
      <c r="F114" s="3" t="inlineStr">
        <is>
          <t>매매</t>
        </is>
      </c>
      <c r="G114" s="4" t="n">
        <v>195000</v>
      </c>
      <c r="H114" s="4" t="n">
        <v>0</v>
      </c>
      <c r="I114" s="4" t="n">
        <v>729</v>
      </c>
      <c r="J114" s="4" t="n">
        <v>221</v>
      </c>
      <c r="K114" s="5" t="n">
        <v>882.4</v>
      </c>
      <c r="L114" s="4" t="n">
        <v>378</v>
      </c>
      <c r="M114" s="4" t="n">
        <v>114</v>
      </c>
      <c r="N114" s="5" t="n">
        <v>1710.5</v>
      </c>
      <c r="O114" s="3" t="inlineStr">
        <is>
          <t>고복저수지가 보이는 곳에 2층 상가주택</t>
        </is>
      </c>
      <c r="P114" s="6">
        <f>HYPERLINK("https://fin.land.naver.com/articles/2651253733", "매물Link")</f>
        <v/>
      </c>
      <c r="Q114" s="6">
        <f>HYPERLINK("https://map.naver.com/p/search/연서면 고복리 460-2", "지도Link")</f>
        <v/>
      </c>
      <c r="R114" s="6">
        <f>HYPERLINK("http://www.eum.go.kr/web/ar/lu/luLandDet.jsp?pnu=3611036024104600002&amp;isNoScr=script&amp;mode=search", "토지이음")</f>
        <v/>
      </c>
      <c r="S114" s="3" t="inlineStr">
        <is>
          <t>세종토박이</t>
        </is>
      </c>
      <c r="T114" s="4" t="n">
        <v>1</v>
      </c>
      <c r="U114" s="5" t="n">
        <v>92.3</v>
      </c>
      <c r="V114" s="4" t="n">
        <v>729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연서면 기룡리 657-4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7000</v>
      </c>
      <c r="H115" s="4" t="n">
        <v>0</v>
      </c>
      <c r="I115" s="4" t="n">
        <v>304</v>
      </c>
      <c r="J115" s="4" t="n">
        <v>92</v>
      </c>
      <c r="K115" s="5" t="n">
        <v>76.09999999999999</v>
      </c>
      <c r="L115" s="4" t="n">
        <v>54</v>
      </c>
      <c r="M115" s="4" t="n">
        <v>16</v>
      </c>
      <c r="N115" s="5" t="n">
        <v>437.5</v>
      </c>
      <c r="O115" s="3" t="inlineStr">
        <is>
          <t>매매가 이하 저렴한 농가주택입니다</t>
        </is>
      </c>
      <c r="P115" s="6">
        <f>HYPERLINK("https://fin.land.naver.com/articles/2650597094", "매물Link")</f>
        <v/>
      </c>
      <c r="Q115" s="6">
        <f>HYPERLINK("https://map.naver.com/p/search/연서면 기룡리 657-4", "지도Link")</f>
        <v/>
      </c>
      <c r="R115" s="6">
        <f>HYPERLINK("http://www.eum.go.kr/web/ar/lu/luLandDet.jsp?pnu=3611036028106570004&amp;isNoScr=script&amp;mode=search", "토지이음")</f>
        <v/>
      </c>
      <c r="S115" s="3" t="inlineStr">
        <is>
          <t>캠퍼스</t>
        </is>
      </c>
      <c r="T115" s="4" t="n">
        <v>1</v>
      </c>
      <c r="U115" s="5" t="n">
        <v>66.7</v>
      </c>
      <c r="V115" s="4" t="n">
        <v>304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연서면 봉암리 112-30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4</t>
        </is>
      </c>
      <c r="E116" s="3" t="inlineStr">
        <is>
          <t>다가구</t>
        </is>
      </c>
      <c r="F116" s="3" t="inlineStr">
        <is>
          <t>매매</t>
        </is>
      </c>
      <c r="G116" s="4" t="n">
        <v>107000</v>
      </c>
      <c r="H116" s="4" t="n">
        <v>0</v>
      </c>
      <c r="I116" s="4" t="n">
        <v>420</v>
      </c>
      <c r="J116" s="4" t="n">
        <v>127</v>
      </c>
      <c r="K116" s="5" t="n">
        <v>842.5</v>
      </c>
      <c r="L116" s="4" t="n">
        <v>450</v>
      </c>
      <c r="M116" s="4" t="n">
        <v>136</v>
      </c>
      <c r="N116" s="5" t="n">
        <v>786.8</v>
      </c>
      <c r="O116" s="3" t="inlineStr">
        <is>
          <t>다가구 매매 .위치.방 컨디션 매우좋은 건물</t>
        </is>
      </c>
      <c r="P116" s="6">
        <f>HYPERLINK("https://fin.land.naver.com/articles/2646956117", "매물Link")</f>
        <v/>
      </c>
      <c r="Q116" s="6">
        <f>HYPERLINK("https://map.naver.com/p/search/연서면 봉암리 112-30", "지도Link")</f>
        <v/>
      </c>
      <c r="R116" s="6">
        <f>HYPERLINK("http://www.eum.go.kr/web/ar/lu/luLandDet.jsp?pnu=3611036033101120030&amp;isNoScr=script&amp;mode=search", "토지이음")</f>
        <v/>
      </c>
      <c r="S116" s="3" t="inlineStr">
        <is>
          <t>연서</t>
        </is>
      </c>
      <c r="T116" s="4" t="n">
        <v>1</v>
      </c>
      <c r="U116" s="5" t="n">
        <v>194.8</v>
      </c>
      <c r="V116" s="4" t="n">
        <v>421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세로한면(가)</t>
        </is>
      </c>
    </row>
    <row r="117">
      <c r="A117" s="3" t="inlineStr">
        <is>
          <t>연서면 봉암리 112-30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421</v>
      </c>
      <c r="J117" s="4" t="n">
        <v>127</v>
      </c>
      <c r="K117" s="5" t="n">
        <v>842.5</v>
      </c>
      <c r="L117" s="4" t="n">
        <v>450</v>
      </c>
      <c r="M117" s="4" t="n">
        <v>136</v>
      </c>
      <c r="N117" s="5" t="n">
        <v>786.8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HYPERLINK("https://fin.land.naver.com/articles/2651024368", "매물Link")</f>
        <v/>
      </c>
      <c r="Q117" s="6">
        <f>HYPERLINK("https://map.naver.com/p/search/연서면 봉암리 112-30", "지도Link")</f>
        <v/>
      </c>
      <c r="R117" s="6">
        <f>HYPERLINK("http://www.eum.go.kr/web/ar/lu/luLandDet.jsp?pnu=3611036033101120030&amp;isNoScr=script&amp;mode=search",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194.8</v>
      </c>
      <c r="V117" s="4" t="n">
        <v>421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세로한면(가)</t>
        </is>
      </c>
    </row>
    <row r="118">
      <c r="A118" s="3" t="inlineStr">
        <is>
          <t>연서면 봉암리 112-31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다가구</t>
        </is>
      </c>
      <c r="F118" s="3" t="inlineStr">
        <is>
          <t>월세</t>
        </is>
      </c>
      <c r="G118" s="4" t="n">
        <v>500</v>
      </c>
      <c r="H118" s="4" t="n">
        <v>79</v>
      </c>
      <c r="I118" s="4" t="n">
        <v>0</v>
      </c>
      <c r="J118" s="4" t="n">
        <v>0</v>
      </c>
      <c r="K118" s="5" t="n">
        <v>0</v>
      </c>
      <c r="L118" s="4" t="n">
        <v>79</v>
      </c>
      <c r="M118" s="4" t="n">
        <v>24</v>
      </c>
      <c r="N118" s="5" t="n">
        <v>3.3</v>
      </c>
      <c r="O118" s="3" t="inlineStr">
        <is>
          <t>쓰리룸. 방3, 화장실 2, 베란다 2, 거실</t>
        </is>
      </c>
      <c r="P118" s="6">
        <f>HYPERLINK("https://fin.land.naver.com/articles/2647387374", "매물Link")</f>
        <v/>
      </c>
      <c r="Q118" s="6">
        <f>HYPERLINK("https://map.naver.com/p/search/연서면 봉암리 112-31", "지도Link")</f>
        <v/>
      </c>
      <c r="R118" s="6">
        <f>HYPERLINK("http://www.eum.go.kr/web/ar/lu/luLandDet.jsp?pnu=3611036033101120031&amp;isNoScr=script&amp;mode=search", "토지이음")</f>
        <v/>
      </c>
      <c r="S118" s="3" t="inlineStr">
        <is>
          <t>지성</t>
        </is>
      </c>
      <c r="T118" s="4" t="n">
        <v>1</v>
      </c>
      <c r="U118" s="5" t="n">
        <v>319.6</v>
      </c>
      <c r="V118" s="4" t="n">
        <v>358</v>
      </c>
      <c r="W118" s="3" t="inlineStr">
        <is>
          <t>지정되지않음</t>
        </is>
      </c>
      <c r="X118" s="3" t="inlineStr">
        <is>
          <t>주상기타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소로한면</t>
        </is>
      </c>
    </row>
    <row r="119">
      <c r="A119" s="3" t="inlineStr">
        <is>
          <t>연서면 봉암리 112-40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일반원룸</t>
        </is>
      </c>
      <c r="F119" s="3" t="inlineStr">
        <is>
          <t>월세</t>
        </is>
      </c>
      <c r="G119" s="4" t="n">
        <v>200</v>
      </c>
      <c r="H119" s="4" t="n">
        <v>35</v>
      </c>
      <c r="I119" s="4" t="n">
        <v>0</v>
      </c>
      <c r="J119" s="4" t="n">
        <v>0</v>
      </c>
      <c r="K119" s="5" t="n">
        <v>0</v>
      </c>
      <c r="L119" s="4" t="n">
        <v>30</v>
      </c>
      <c r="M119" s="4" t="n">
        <v>9</v>
      </c>
      <c r="N119" s="5" t="n">
        <v>3.9</v>
      </c>
      <c r="O119" s="3" t="inlineStr">
        <is>
          <t>가성비좋은 풀옵션 완비방   깔끔한 주방분리 짐만 챙겨오세요  해밀동5분</t>
        </is>
      </c>
      <c r="P119" s="6">
        <f>HYPERLINK("https://fin.land.naver.com/articles/2649064055", "매물Link")</f>
        <v/>
      </c>
      <c r="Q119" s="6">
        <f>HYPERLINK("https://map.naver.com/p/search/연서면 봉암리 112-40", "지도Link")</f>
        <v/>
      </c>
      <c r="R119" s="6">
        <f>HYPERLINK("http://www.eum.go.kr/web/ar/lu/luLandDet.jsp?pnu=3611036033101120040&amp;isNoScr=script&amp;mode=search", "토지이음")</f>
        <v/>
      </c>
      <c r="S119" s="3" t="inlineStr">
        <is>
          <t>연서으뜸</t>
        </is>
      </c>
      <c r="T119" s="4" t="n">
        <v>1</v>
      </c>
      <c r="U119" s="5" t="n">
        <v>194.8</v>
      </c>
      <c r="V119" s="4" t="n">
        <v>412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세로한면(가)</t>
        </is>
      </c>
    </row>
    <row r="120">
      <c r="A120" s="3" t="inlineStr">
        <is>
          <t>연서면 봉암리 215-4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다가구</t>
        </is>
      </c>
      <c r="F120" s="3" t="inlineStr">
        <is>
          <t>월세</t>
        </is>
      </c>
      <c r="G120" s="4" t="n">
        <v>500</v>
      </c>
      <c r="H120" s="4" t="n">
        <v>50</v>
      </c>
      <c r="I120" s="4" t="n">
        <v>0</v>
      </c>
      <c r="J120" s="4" t="n">
        <v>0</v>
      </c>
      <c r="K120" s="5" t="n">
        <v>0</v>
      </c>
      <c r="L120" s="4" t="n">
        <v>45</v>
      </c>
      <c r="M120" s="4" t="n">
        <v>14</v>
      </c>
      <c r="N120" s="5" t="n">
        <v>3.6</v>
      </c>
      <c r="O120" s="3" t="inlineStr">
        <is>
          <t>깨끗한 투룸</t>
        </is>
      </c>
      <c r="P120" s="6">
        <f>HYPERLINK("https://fin.land.naver.com/articles/2648813395", "매물Link")</f>
        <v/>
      </c>
      <c r="Q120" s="6">
        <f>HYPERLINK("https://map.naver.com/p/search/연서면 봉암리 215-4", "지도Link")</f>
        <v/>
      </c>
      <c r="R120" s="6">
        <f>HYPERLINK("http://www.eum.go.kr/web/ar/lu/luLandDet.jsp?pnu=3611036033102150004&amp;isNoScr=script&amp;mode=search", "토지이음")</f>
        <v/>
      </c>
      <c r="S120" s="3" t="inlineStr">
        <is>
          <t>세종대박</t>
        </is>
      </c>
      <c r="T120" s="4" t="n">
        <v>1</v>
      </c>
      <c r="U120" s="5" t="n">
        <v>321.4</v>
      </c>
      <c r="V120" s="4" t="n">
        <v>269</v>
      </c>
      <c r="W120" s="3" t="inlineStr">
        <is>
          <t>지정되지않음</t>
        </is>
      </c>
      <c r="X120" s="3" t="inlineStr">
        <is>
          <t>주상용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연서면 봉암리 215-4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상가주택</t>
        </is>
      </c>
      <c r="F121" s="3" t="inlineStr">
        <is>
          <t>매매</t>
        </is>
      </c>
      <c r="G121" s="4" t="n">
        <v>100000</v>
      </c>
      <c r="H121" s="4" t="n">
        <v>0</v>
      </c>
      <c r="I121" s="4" t="n">
        <v>269</v>
      </c>
      <c r="J121" s="4" t="n">
        <v>81</v>
      </c>
      <c r="K121" s="5" t="n">
        <v>1234.6</v>
      </c>
      <c r="L121" s="4" t="n">
        <v>327</v>
      </c>
      <c r="M121" s="4" t="n">
        <v>99</v>
      </c>
      <c r="N121" s="5" t="n">
        <v>1010.1</v>
      </c>
      <c r="O121" s="3" t="inlineStr">
        <is>
          <t>상가주택 매매</t>
        </is>
      </c>
      <c r="P121" s="6">
        <f>HYPERLINK("https://fin.land.naver.com/articles/2648813394", "매물Link")</f>
        <v/>
      </c>
      <c r="Q121" s="6">
        <f>HYPERLINK("https://map.naver.com/p/search/연서면 봉암리 215-4", "지도Link")</f>
        <v/>
      </c>
      <c r="R121" s="6">
        <f>HYPERLINK("http://www.eum.go.kr/web/ar/lu/luLandDet.jsp?pnu=3611036033102150004&amp;isNoScr=script&amp;mode=search", "토지이음")</f>
        <v/>
      </c>
      <c r="S121" s="3" t="inlineStr">
        <is>
          <t>세종대박</t>
        </is>
      </c>
      <c r="T121" s="4" t="n">
        <v>1</v>
      </c>
      <c r="U121" s="5" t="n">
        <v>321.4</v>
      </c>
      <c r="V121" s="4" t="n">
        <v>269</v>
      </c>
      <c r="W121" s="3" t="inlineStr">
        <is>
          <t>지정되지않음</t>
        </is>
      </c>
      <c r="X121" s="3" t="inlineStr">
        <is>
          <t>주상용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연서면 봉암리 217-16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단독</t>
        </is>
      </c>
      <c r="F122" s="3" t="inlineStr">
        <is>
          <t>매매</t>
        </is>
      </c>
      <c r="G122" s="4" t="n">
        <v>85000</v>
      </c>
      <c r="H122" s="4" t="n">
        <v>0</v>
      </c>
      <c r="I122" s="4" t="n">
        <v>372</v>
      </c>
      <c r="J122" s="4" t="n">
        <v>113</v>
      </c>
      <c r="K122" s="5" t="n">
        <v>752.2</v>
      </c>
      <c r="L122" s="4" t="n">
        <v>483</v>
      </c>
      <c r="M122" s="4" t="n">
        <v>146</v>
      </c>
      <c r="N122" s="5" t="n">
        <v>582.2</v>
      </c>
      <c r="O122" s="3" t="inlineStr">
        <is>
          <t>스마트산업단지 예정 인근 다가구 통매매,중심상권 위치로 투자수익 기대</t>
        </is>
      </c>
      <c r="P122" s="6">
        <f>HYPERLINK("https://fin.land.naver.com/articles/2651025375", "매물Link")</f>
        <v/>
      </c>
      <c r="Q122" s="6">
        <f>HYPERLINK("https://map.naver.com/p/search/연서면 봉암리 217-16", "지도Link")</f>
        <v/>
      </c>
      <c r="R122" s="6">
        <f>HYPERLINK("http://www.eum.go.kr/web/ar/lu/luLandDet.jsp?pnu=3611036033102170016&amp;isNoScr=script&amp;mode=search", "토지이음")</f>
        <v/>
      </c>
      <c r="S122" s="3" t="inlineStr">
        <is>
          <t>연기더조은</t>
        </is>
      </c>
      <c r="T122" s="4" t="n">
        <v>1</v>
      </c>
      <c r="U122" s="5" t="n">
        <v>172.4</v>
      </c>
      <c r="V122" s="4" t="n">
        <v>372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세로한면(가)</t>
        </is>
      </c>
    </row>
    <row r="123">
      <c r="A123" s="3" t="inlineStr">
        <is>
          <t>연서면 봉암리 234-36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일반원룸</t>
        </is>
      </c>
      <c r="F123" s="3" t="inlineStr">
        <is>
          <t>월세</t>
        </is>
      </c>
      <c r="G123" s="4" t="n">
        <v>300</v>
      </c>
      <c r="H123" s="4" t="n">
        <v>34</v>
      </c>
      <c r="I123" s="4" t="n">
        <v>179</v>
      </c>
      <c r="J123" s="4" t="n">
        <v>54</v>
      </c>
      <c r="K123" s="5" t="n">
        <v>0.6</v>
      </c>
      <c r="L123" s="4" t="n">
        <v>33</v>
      </c>
      <c r="M123" s="4" t="n">
        <v>10</v>
      </c>
      <c r="N123" s="5" t="n">
        <v>3.4</v>
      </c>
      <c r="O123" s="3" t="inlineStr">
        <is>
          <t>인기매물  깔끔한 풀옵션방  정류장 1분  나성동 10분  산울동  5분</t>
        </is>
      </c>
      <c r="P123" s="6">
        <f>HYPERLINK("https://fin.land.naver.com/articles/2650936198", "매물Link")</f>
        <v/>
      </c>
      <c r="Q123" s="6">
        <f>HYPERLINK("https://map.naver.com/p/search/연서면 봉암리 234-36", "지도Link")</f>
        <v/>
      </c>
      <c r="R123" s="6">
        <f>HYPERLINK("http://www.eum.go.kr/web/ar/lu/luLandDet.jsp?pnu=3611036033102340036&amp;isNoScr=script&amp;mode=search", "토지이음")</f>
        <v/>
      </c>
      <c r="S123" s="3" t="inlineStr">
        <is>
          <t>연서으뜸</t>
        </is>
      </c>
      <c r="T123" s="4" t="n">
        <v>1</v>
      </c>
      <c r="U123" s="5" t="n">
        <v>172.4</v>
      </c>
      <c r="V123" s="4" t="n">
        <v>363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54-45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단독</t>
        </is>
      </c>
      <c r="F124" s="3" t="inlineStr">
        <is>
          <t>매매</t>
        </is>
      </c>
      <c r="G124" s="4" t="n">
        <v>18500</v>
      </c>
      <c r="H124" s="4" t="n">
        <v>0</v>
      </c>
      <c r="I124" s="4" t="n">
        <v>175</v>
      </c>
      <c r="J124" s="4" t="n">
        <v>53</v>
      </c>
      <c r="K124" s="5" t="n">
        <v>349.1</v>
      </c>
      <c r="L124" s="4" t="n">
        <v>67</v>
      </c>
      <c r="M124" s="4" t="n">
        <v>20</v>
      </c>
      <c r="N124" s="5" t="n">
        <v>925</v>
      </c>
      <c r="O124" s="3" t="inlineStr">
        <is>
          <t>nan</t>
        </is>
      </c>
      <c r="P124" s="6">
        <f>HYPERLINK("https://fin.land.naver.com/articles/2647590651", "매물Link")</f>
        <v/>
      </c>
      <c r="Q124" s="6">
        <f>HYPERLINK("https://map.naver.com/p/search/연서면 봉암리 54-45", "지도Link")</f>
        <v/>
      </c>
      <c r="R124" s="6">
        <f>HYPERLINK("http://www.eum.go.kr/web/ar/lu/luLandDet.jsp?pnu=3611036033100540045&amp;isNoScr=script&amp;mode=search", "토지이음")</f>
        <v/>
      </c>
      <c r="S124" s="3" t="inlineStr">
        <is>
          <t>KB세종</t>
        </is>
      </c>
      <c r="T124" s="4" t="n">
        <v>1</v>
      </c>
      <c r="U124" s="5" t="n">
        <v>116.1</v>
      </c>
      <c r="V124" s="4" t="n">
        <v>175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세로한면(불)</t>
        </is>
      </c>
    </row>
    <row r="125">
      <c r="A125" s="3" t="inlineStr">
        <is>
          <t>연서면 봉암리 54-76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30</v>
      </c>
      <c r="I125" s="4" t="n">
        <v>0</v>
      </c>
      <c r="J125" s="4" t="n">
        <v>0</v>
      </c>
      <c r="K125" s="5" t="n">
        <v>0</v>
      </c>
      <c r="L125" s="4" t="n">
        <v>23</v>
      </c>
      <c r="M125" s="4" t="n">
        <v>7</v>
      </c>
      <c r="N125" s="5" t="n">
        <v>4.3</v>
      </c>
      <c r="O125" s="3" t="inlineStr">
        <is>
          <t>인기좋은  풀옵션완비방   깔끔한 주방분리   바로입주  주차편함</t>
        </is>
      </c>
      <c r="P125" s="6">
        <f>HYPERLINK("https://fin.land.naver.com/articles/2648544810", "매물Link")</f>
        <v/>
      </c>
      <c r="Q125" s="6">
        <f>HYPERLINK("https://map.naver.com/p/search/연서면 봉암리 54-76", "지도Link")</f>
        <v/>
      </c>
      <c r="R125" s="6">
        <f>HYPERLINK("http://www.eum.go.kr/web/ar/lu/luLandDet.jsp?pnu=3611036033100540076&amp;isNoScr=script&amp;mode=search",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281.7</v>
      </c>
      <c r="V125" s="4" t="n">
        <v>321</v>
      </c>
      <c r="W125" s="3" t="inlineStr">
        <is>
          <t>지정되지않음</t>
        </is>
      </c>
      <c r="X125" s="3" t="inlineStr">
        <is>
          <t>주상기타</t>
        </is>
      </c>
      <c r="Y125" s="3" t="inlineStr">
        <is>
          <t>평지</t>
        </is>
      </c>
      <c r="Z125" s="3" t="inlineStr">
        <is>
          <t>가로장방</t>
        </is>
      </c>
      <c r="AA125" s="3" t="inlineStr">
        <is>
          <t>소로한면</t>
        </is>
      </c>
    </row>
    <row r="126">
      <c r="A126" s="3" t="inlineStr">
        <is>
          <t>연서면 봉암리 54-89</t>
        </is>
      </c>
      <c r="B126" s="3" t="inlineStr">
        <is>
          <t>계획관리지역</t>
        </is>
      </c>
      <c r="C126" s="3" t="inlineStr">
        <is>
          <t>임야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매매</t>
        </is>
      </c>
      <c r="G126" s="4" t="n">
        <v>100000</v>
      </c>
      <c r="H126" s="4" t="n">
        <v>0</v>
      </c>
      <c r="I126" s="4" t="n">
        <v>359</v>
      </c>
      <c r="J126" s="4" t="n">
        <v>109</v>
      </c>
      <c r="K126" s="5" t="n">
        <v>917.4</v>
      </c>
      <c r="L126" s="4" t="n">
        <v>490</v>
      </c>
      <c r="M126" s="4" t="n">
        <v>148</v>
      </c>
      <c r="N126" s="5" t="n">
        <v>675.7</v>
      </c>
      <c r="O126" s="3" t="inlineStr">
        <is>
          <t>세종시 인접  19실  수익형 다가구매매</t>
        </is>
      </c>
      <c r="P126" s="6">
        <f>HYPERLINK("https://fin.land.naver.com/articles/2646955761", "매물Link")</f>
        <v/>
      </c>
      <c r="Q126" s="6">
        <f>HYPERLINK("https://map.naver.com/p/search/연서면 봉암리 54-89", "지도Link")</f>
        <v/>
      </c>
      <c r="R126" s="6">
        <f>HYPERLINK("http://www.eum.go.kr/web/ar/lu/luLandDet.jsp?pnu=3611036033100540089&amp;isNoScr=script&amp;mode=search", "토지이음")</f>
        <v/>
      </c>
      <c r="S126" s="3" t="inlineStr">
        <is>
          <t>연서</t>
        </is>
      </c>
      <c r="T126" s="4" t="n">
        <v>1</v>
      </c>
      <c r="U126" s="5" t="n">
        <v>196.8</v>
      </c>
      <c r="V126" s="4" t="n">
        <v>360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세로한면(가)</t>
        </is>
      </c>
    </row>
    <row r="127">
      <c r="A127" s="3" t="inlineStr">
        <is>
          <t>연서면 봉암리 58-3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일반원룸</t>
        </is>
      </c>
      <c r="F127" s="3" t="inlineStr">
        <is>
          <t>단기임대</t>
        </is>
      </c>
      <c r="G127" s="4" t="n">
        <v>300</v>
      </c>
      <c r="H127" s="4" t="n">
        <v>45</v>
      </c>
      <c r="I127" s="4" t="n">
        <v>139</v>
      </c>
      <c r="J127" s="4" t="n">
        <v>42</v>
      </c>
      <c r="K127" s="5" t="n">
        <v>7.1</v>
      </c>
      <c r="L127" s="4" t="n">
        <v>39</v>
      </c>
      <c r="M127" s="4" t="n">
        <v>12</v>
      </c>
      <c r="N127" s="5" t="n">
        <v>25</v>
      </c>
      <c r="O127" s="3" t="inlineStr">
        <is>
          <t>nan</t>
        </is>
      </c>
      <c r="P127" s="6">
        <f>HYPERLINK("https://fin.land.naver.com/articles/2646349438", "매물Link")</f>
        <v/>
      </c>
      <c r="Q127" s="6">
        <f>HYPERLINK("https://map.naver.com/p/search/연서면 봉암리 58-3", "지도Link")</f>
        <v/>
      </c>
      <c r="R127" s="6">
        <f>HYPERLINK("http://www.eum.go.kr/web/ar/lu/luLandDet.jsp?pnu=3611036033100580003&amp;isNoScr=script&amp;mode=search", "토지이음")</f>
        <v/>
      </c>
      <c r="S127" s="3" t="inlineStr">
        <is>
          <t>동서남북</t>
        </is>
      </c>
      <c r="T127" s="4" t="n">
        <v>1</v>
      </c>
      <c r="U127" s="5" t="n">
        <v>196.8</v>
      </c>
      <c r="V127" s="4" t="n">
        <v>434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58-4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100000</v>
      </c>
      <c r="H128" s="4" t="n">
        <v>0</v>
      </c>
      <c r="I128" s="4" t="n">
        <v>435</v>
      </c>
      <c r="J128" s="4" t="n">
        <v>132</v>
      </c>
      <c r="K128" s="5" t="n">
        <v>757.6</v>
      </c>
      <c r="L128" s="4" t="n">
        <v>434</v>
      </c>
      <c r="M128" s="4" t="n">
        <v>131</v>
      </c>
      <c r="N128" s="5" t="n">
        <v>763.4</v>
      </c>
      <c r="O128" s="3" t="inlineStr">
        <is>
          <t>nan</t>
        </is>
      </c>
      <c r="P128" s="6">
        <f>HYPERLINK("https://fin.land.naver.com/articles/2651371076", "매물Link")</f>
        <v/>
      </c>
      <c r="Q128" s="6">
        <f>HYPERLINK("https://map.naver.com/p/search/연서면 봉암리 58-4", "지도Link")</f>
        <v/>
      </c>
      <c r="R128" s="6">
        <f>HYPERLINK("http://www.eum.go.kr/web/ar/lu/luLandDet.jsp?pnu=3611036033100580004&amp;isNoScr=script&amp;mode=search",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435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58-5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105000</v>
      </c>
      <c r="H129" s="4" t="n">
        <v>0</v>
      </c>
      <c r="I129" s="4" t="n">
        <v>436</v>
      </c>
      <c r="J129" s="4" t="n">
        <v>132</v>
      </c>
      <c r="K129" s="5" t="n">
        <v>795.5</v>
      </c>
      <c r="L129" s="4" t="n">
        <v>434</v>
      </c>
      <c r="M129" s="4" t="n">
        <v>131</v>
      </c>
      <c r="N129" s="5" t="n">
        <v>801.5</v>
      </c>
      <c r="O129" s="3" t="inlineStr">
        <is>
          <t>일반원룸보다 큰방  18개,주차편리,도시가스 월세와 관리비 포함 284만</t>
        </is>
      </c>
      <c r="P129" s="6">
        <f>HYPERLINK("https://fin.land.naver.com/articles/2649699772", "매물Link")</f>
        <v/>
      </c>
      <c r="Q129" s="6">
        <f>HYPERLINK("https://map.naver.com/p/search/연서면 봉암리 58-5", "지도Link")</f>
        <v/>
      </c>
      <c r="R129" s="6">
        <f>HYPERLINK("http://www.eum.go.kr/web/ar/lu/luLandDet.jsp?pnu=3611036033100580005&amp;isNoScr=script&amp;mode=search", "토지이음")</f>
        <v/>
      </c>
      <c r="S129" s="3" t="inlineStr">
        <is>
          <t>동서남북</t>
        </is>
      </c>
      <c r="T129" s="4" t="n">
        <v>1</v>
      </c>
      <c r="U129" s="5" t="n">
        <v>196.8</v>
      </c>
      <c r="V129" s="4" t="n">
        <v>436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620-25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전원주택</t>
        </is>
      </c>
      <c r="F130" s="3" t="inlineStr">
        <is>
          <t>월세</t>
        </is>
      </c>
      <c r="G130" s="4" t="n">
        <v>1000</v>
      </c>
      <c r="H130" s="4" t="n">
        <v>40</v>
      </c>
      <c r="I130" s="4" t="n">
        <v>397</v>
      </c>
      <c r="J130" s="4" t="n">
        <v>120</v>
      </c>
      <c r="K130" s="5" t="n">
        <v>0.3</v>
      </c>
      <c r="L130" s="4" t="n">
        <v>75</v>
      </c>
      <c r="M130" s="4" t="n">
        <v>23</v>
      </c>
      <c r="N130" s="5" t="n">
        <v>1.7</v>
      </c>
      <c r="O130" s="3" t="inlineStr">
        <is>
          <t>1번국도변 봉암리 네스트아파트앞 조용하고 텃빝에 있음.</t>
        </is>
      </c>
      <c r="P130" s="6">
        <f>HYPERLINK("https://fin.land.naver.com/articles/2648729436", "매물Link")</f>
        <v/>
      </c>
      <c r="Q130" s="6">
        <f>HYPERLINK("https://map.naver.com/p/search/연서면 봉암리 620-25", "지도Link")</f>
        <v/>
      </c>
      <c r="R130" s="6">
        <f>HYPERLINK("http://www.eum.go.kr/web/ar/lu/luLandDet.jsp?pnu=3611036033106200025&amp;isNoScr=script&amp;mode=search", "토지이음")</f>
        <v/>
      </c>
      <c r="S130" s="3" t="inlineStr">
        <is>
          <t>꿈드림</t>
        </is>
      </c>
      <c r="T130" s="4" t="n">
        <v>1</v>
      </c>
      <c r="U130" s="5" t="n">
        <v>144.4</v>
      </c>
      <c r="V130" s="4" t="n">
        <v>397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677-2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400000</v>
      </c>
      <c r="H131" s="4" t="n">
        <v>0</v>
      </c>
      <c r="I131" s="4" t="n">
        <v>655</v>
      </c>
      <c r="J131" s="4" t="n">
        <v>198</v>
      </c>
      <c r="K131" s="5" t="n">
        <v>2020.2</v>
      </c>
      <c r="L131" s="4" t="n">
        <v>253</v>
      </c>
      <c r="M131" s="4" t="n">
        <v>77</v>
      </c>
      <c r="N131" s="5" t="n">
        <v>5194.8</v>
      </c>
      <c r="O131" s="3" t="inlineStr">
        <is>
          <t>nan</t>
        </is>
      </c>
      <c r="P131" s="6">
        <f>HYPERLINK("https://fin.land.naver.com/articles/2651088122", "매물Link")</f>
        <v/>
      </c>
      <c r="Q131" s="6">
        <f>HYPERLINK("https://map.naver.com/p/search/연서면 봉암리 677-2", "지도Link")</f>
        <v/>
      </c>
      <c r="R131" s="6">
        <f>HYPERLINK("http://www.eum.go.kr/web/ar/lu/luLandDet.jsp?pnu=3611036033106770002&amp;isNoScr=script&amp;mode=search", "토지이음")</f>
        <v/>
      </c>
      <c r="S131" s="3" t="inlineStr">
        <is>
          <t>오송파라곤리치</t>
        </is>
      </c>
      <c r="T131" s="4" t="n">
        <v>1</v>
      </c>
      <c r="U131" s="5" t="n">
        <v>116.6</v>
      </c>
      <c r="V131" s="4" t="n">
        <v>655</v>
      </c>
      <c r="W131" s="3" t="inlineStr">
        <is>
          <t>지정되지않음</t>
        </is>
      </c>
      <c r="X131" s="3" t="inlineStr">
        <is>
          <t>주거기타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73-8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190000</v>
      </c>
      <c r="H132" s="4" t="n">
        <v>0</v>
      </c>
      <c r="I132" s="4" t="n">
        <v>570</v>
      </c>
      <c r="J132" s="4" t="n">
        <v>172</v>
      </c>
      <c r="K132" s="5" t="n">
        <v>1104.7</v>
      </c>
      <c r="L132" s="4" t="n">
        <v>568</v>
      </c>
      <c r="M132" s="4" t="n">
        <v>172</v>
      </c>
      <c r="N132" s="5" t="n">
        <v>1104.7</v>
      </c>
      <c r="O132" s="3" t="inlineStr">
        <is>
          <t>신축다가구건물, 엘리베이터 1층 카페,23층 원룸,투룸,1.5룸으로구성</t>
        </is>
      </c>
      <c r="P132" s="6">
        <f>HYPERLINK("https://fin.land.naver.com/articles/2650625683", "매물Link")</f>
        <v/>
      </c>
      <c r="Q132" s="6">
        <f>HYPERLINK("https://map.naver.com/p/search/연서면 봉암리 73-8", "지도Link")</f>
        <v/>
      </c>
      <c r="R132" s="6">
        <f>HYPERLINK("http://www.eum.go.kr/web/ar/lu/luLandDet.jsp?pnu=3611036033100730008&amp;isNoScr=script&amp;mode=search", "토지이음")</f>
        <v/>
      </c>
      <c r="S132" s="3" t="inlineStr">
        <is>
          <t>담뜰</t>
        </is>
      </c>
      <c r="T132" s="4" t="n">
        <v>1</v>
      </c>
      <c r="U132" s="5" t="n">
        <v>199.3</v>
      </c>
      <c r="V132" s="4" t="n">
        <v>570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자루형</t>
        </is>
      </c>
      <c r="AA132" s="3" t="inlineStr">
        <is>
          <t>소로한면</t>
        </is>
      </c>
    </row>
    <row r="133">
      <c r="A133" s="3" t="inlineStr">
        <is>
          <t>연서면 봉암리 73-8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190000</v>
      </c>
      <c r="H133" s="4" t="n">
        <v>0</v>
      </c>
      <c r="I133" s="4" t="n">
        <v>570</v>
      </c>
      <c r="J133" s="4" t="n">
        <v>172</v>
      </c>
      <c r="K133" s="5" t="n">
        <v>1104.7</v>
      </c>
      <c r="L133" s="4" t="n">
        <v>594</v>
      </c>
      <c r="M133" s="4" t="n">
        <v>180</v>
      </c>
      <c r="N133" s="5" t="n">
        <v>1055.6</v>
      </c>
      <c r="O133" s="3" t="inlineStr">
        <is>
          <t>신축다가구  가격조정가능 엘리베이터 와촌국가산업단지 인근</t>
        </is>
      </c>
      <c r="P133" s="6">
        <f>HYPERLINK("https://fin.land.naver.com/articles/2651059296", "매물Link")</f>
        <v/>
      </c>
      <c r="Q133" s="6">
        <f>HYPERLINK("https://map.naver.com/p/search/연서면 봉암리 73-8", "지도Link")</f>
        <v/>
      </c>
      <c r="R133" s="6">
        <f>HYPERLINK("http://www.eum.go.kr/web/ar/lu/luLandDet.jsp?pnu=3611036033100730008&amp;isNoScr=script&amp;mode=search", "토지이음")</f>
        <v/>
      </c>
      <c r="S133" s="3" t="inlineStr">
        <is>
          <t>그래그</t>
        </is>
      </c>
      <c r="T133" s="4" t="n">
        <v>1</v>
      </c>
      <c r="U133" s="5" t="n">
        <v>199.3</v>
      </c>
      <c r="V133" s="4" t="n">
        <v>570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자루형</t>
        </is>
      </c>
      <c r="AA133" s="3" t="inlineStr">
        <is>
          <t>소로한면</t>
        </is>
      </c>
    </row>
    <row r="134">
      <c r="A134" s="3" t="inlineStr">
        <is>
          <t>연서면 부동리 80-2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43000</v>
      </c>
      <c r="H134" s="4" t="n">
        <v>0</v>
      </c>
      <c r="I134" s="4" t="n">
        <v>507</v>
      </c>
      <c r="J134" s="4" t="n">
        <v>153</v>
      </c>
      <c r="K134" s="5" t="n">
        <v>281</v>
      </c>
      <c r="L134" s="4" t="n">
        <v>92</v>
      </c>
      <c r="M134" s="4" t="n">
        <v>28</v>
      </c>
      <c r="N134" s="5" t="n">
        <v>1535.7</v>
      </c>
      <c r="O134" s="3" t="inlineStr">
        <is>
          <t>세종 스마트국가산업단지 인근 단독주택 도로지분포함 저렴하게 일괄매매.</t>
        </is>
      </c>
      <c r="P134" s="6">
        <f>HYPERLINK("https://fin.land.naver.com/articles/2646592114", "매물Link")</f>
        <v/>
      </c>
      <c r="Q134" s="6">
        <f>HYPERLINK("https://map.naver.com/p/search/연서면 부동리 80-2", "지도Link")</f>
        <v/>
      </c>
      <c r="R134" s="6">
        <f>HYPERLINK("http://www.eum.go.kr/web/ar/lu/luLandDet.jsp?pnu=3611036032100800002&amp;isNoScr=script&amp;mode=search", "토지이음")</f>
        <v/>
      </c>
      <c r="S134" s="3" t="inlineStr">
        <is>
          <t>세종대장</t>
        </is>
      </c>
      <c r="T134" s="4" t="n">
        <v>1</v>
      </c>
      <c r="U134" s="5" t="n">
        <v>86.40000000000001</v>
      </c>
      <c r="V134" s="4" t="n">
        <v>507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세로한면(불)</t>
        </is>
      </c>
    </row>
    <row r="135">
      <c r="A135" s="3" t="inlineStr">
        <is>
          <t>연서면 신대리 105-8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3</t>
        </is>
      </c>
      <c r="E135" s="3" t="inlineStr">
        <is>
          <t>전원주택</t>
        </is>
      </c>
      <c r="F135" s="3" t="inlineStr">
        <is>
          <t>매매</t>
        </is>
      </c>
      <c r="G135" s="4" t="n">
        <v>45000</v>
      </c>
      <c r="H135" s="4" t="n">
        <v>0</v>
      </c>
      <c r="I135" s="4" t="n">
        <v>327</v>
      </c>
      <c r="J135" s="4" t="n">
        <v>99</v>
      </c>
      <c r="K135" s="5" t="n">
        <v>454.5</v>
      </c>
      <c r="L135" s="4" t="n">
        <v>168</v>
      </c>
      <c r="M135" s="4" t="n">
        <v>51</v>
      </c>
      <c r="N135" s="5" t="n">
        <v>882.4</v>
      </c>
      <c r="O135" s="3" t="inlineStr">
        <is>
          <t>급매 조정가능 연서중인근 고속도로 나들목 가깝고 텃밭있음</t>
        </is>
      </c>
      <c r="P135" s="6">
        <f>HYPERLINK("https://fin.land.naver.com/articles/2651059772", "매물Link")</f>
        <v/>
      </c>
      <c r="Q135" s="6">
        <f>HYPERLINK("https://map.naver.com/p/search/연서면 신대리 105-8", "지도Link")</f>
        <v/>
      </c>
      <c r="R135" s="6">
        <f>HYPERLINK("http://www.eum.go.kr/web/ar/lu/luLandDet.jsp?pnu=3611036029101050008&amp;isNoScr=script&amp;mode=search", "토지이음")</f>
        <v/>
      </c>
      <c r="S135" s="3" t="inlineStr">
        <is>
          <t>그래그</t>
        </is>
      </c>
      <c r="T135" s="4" t="n">
        <v>2</v>
      </c>
      <c r="U135" s="5" t="n">
        <v>91.59999999999999</v>
      </c>
      <c r="V135" s="4" t="n">
        <v>327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신대리 105-8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44000</v>
      </c>
      <c r="H136" s="4" t="n">
        <v>0</v>
      </c>
      <c r="I136" s="4" t="n">
        <v>327</v>
      </c>
      <c r="J136" s="4" t="n">
        <v>99</v>
      </c>
      <c r="K136" s="5" t="n">
        <v>444.4</v>
      </c>
      <c r="L136" s="4" t="n">
        <v>168</v>
      </c>
      <c r="M136" s="4" t="n">
        <v>51</v>
      </c>
      <c r="N136" s="5" t="n">
        <v>862.7</v>
      </c>
      <c r="O136" s="3" t="inlineStr">
        <is>
          <t>깨끗한 2층전원주택,주택바로뒤가 연서중학교 위치,3층다락방은 서비스면적</t>
        </is>
      </c>
      <c r="P136" s="6">
        <f>HYPERLINK("https://fin.land.naver.com/articles/2651289585", "매물Link")</f>
        <v/>
      </c>
      <c r="Q136" s="6">
        <f>HYPERLINK("https://map.naver.com/p/search/연서면 신대리 105-8", "지도Link")</f>
        <v/>
      </c>
      <c r="R136" s="6">
        <f>HYPERLINK("http://www.eum.go.kr/web/ar/lu/luLandDet.jsp?pnu=3611036029101050008&amp;isNoScr=script&amp;mode=search", "토지이음")</f>
        <v/>
      </c>
      <c r="S136" s="3" t="inlineStr">
        <is>
          <t>담뜰</t>
        </is>
      </c>
      <c r="T136" s="4" t="n">
        <v>1</v>
      </c>
      <c r="U136" s="5" t="n">
        <v>91.59999999999999</v>
      </c>
      <c r="V136" s="4" t="n">
        <v>327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쌍전리 159-2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55000</v>
      </c>
      <c r="H137" s="4" t="n">
        <v>0</v>
      </c>
      <c r="I137" s="4" t="n">
        <v>624</v>
      </c>
      <c r="J137" s="4" t="n">
        <v>189</v>
      </c>
      <c r="K137" s="5" t="n">
        <v>291</v>
      </c>
      <c r="L137" s="4" t="n">
        <v>140</v>
      </c>
      <c r="M137" s="4" t="n">
        <v>42</v>
      </c>
      <c r="N137" s="5" t="n">
        <v>1309.5</v>
      </c>
      <c r="O137" s="3" t="inlineStr">
        <is>
          <t>급매. 쌍전리 뷰 좋고 관리 잘 된 2층 단독주택. 입주일 협의.</t>
        </is>
      </c>
      <c r="P137" s="6">
        <f>HYPERLINK("https://fin.land.naver.com/articles/2648074660", "매물Link")</f>
        <v/>
      </c>
      <c r="Q137" s="6">
        <f>HYPERLINK("https://map.naver.com/p/search/연서면 쌍전리 159-2", "지도Link")</f>
        <v/>
      </c>
      <c r="R137" s="6">
        <f>HYPERLINK("http://www.eum.go.kr/web/ar/lu/luLandDet.jsp?pnu=3611036022101590002&amp;isNoScr=script&amp;mode=search", "토지이음")</f>
        <v/>
      </c>
      <c r="S137" s="3" t="inlineStr">
        <is>
          <t>세종대장</t>
        </is>
      </c>
      <c r="T137" s="4" t="n">
        <v>1</v>
      </c>
      <c r="U137" s="5" t="n">
        <v>111.2</v>
      </c>
      <c r="V137" s="4" t="n">
        <v>635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월하리 1008-5</t>
        </is>
      </c>
      <c r="B138" s="3" t="inlineStr">
        <is>
          <t>제1종일반주거지역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전원주택</t>
        </is>
      </c>
      <c r="F138" s="3" t="inlineStr">
        <is>
          <t>매매</t>
        </is>
      </c>
      <c r="G138" s="4" t="n">
        <v>30000</v>
      </c>
      <c r="H138" s="4" t="n">
        <v>0</v>
      </c>
      <c r="I138" s="4" t="n">
        <v>144</v>
      </c>
      <c r="J138" s="4" t="n">
        <v>44</v>
      </c>
      <c r="K138" s="5" t="n">
        <v>681.8</v>
      </c>
      <c r="L138" s="4" t="n">
        <v>84</v>
      </c>
      <c r="M138" s="4" t="n">
        <v>25</v>
      </c>
      <c r="N138" s="5" t="n">
        <v>1200</v>
      </c>
      <c r="O138" s="3" t="inlineStr">
        <is>
          <t>빠른입주, 전망 좋은 주택</t>
        </is>
      </c>
      <c r="P138" s="6">
        <f>HYPERLINK("https://fin.land.naver.com/articles/2651233233", "매물Link")</f>
        <v/>
      </c>
      <c r="Q138" s="6">
        <f>HYPERLINK("https://map.naver.com/p/search/연서면 월하리 1008-5", "지도Link")</f>
        <v/>
      </c>
      <c r="R138" s="6">
        <f>HYPERLINK("http://www.eum.go.kr/web/ar/lu/luLandDet.jsp?pnu=3611036021110080005&amp;isNoScr=script&amp;mode=search", "토지이음")</f>
        <v/>
      </c>
      <c r="S138" s="3" t="inlineStr">
        <is>
          <t>정인</t>
        </is>
      </c>
      <c r="T138" s="4" t="n">
        <v>1</v>
      </c>
      <c r="U138" s="5" t="n">
        <v>184.8</v>
      </c>
      <c r="V138" s="4" t="n">
        <v>145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1008-5</t>
        </is>
      </c>
      <c r="B139" s="3" t="inlineStr">
        <is>
          <t>제1종일반주거지역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단독</t>
        </is>
      </c>
      <c r="F139" s="3" t="inlineStr">
        <is>
          <t>전세</t>
        </is>
      </c>
      <c r="G139" s="4" t="n">
        <v>17000</v>
      </c>
      <c r="H139" s="4" t="n">
        <v>0</v>
      </c>
      <c r="I139" s="4" t="n">
        <v>84</v>
      </c>
      <c r="J139" s="4" t="n">
        <v>25</v>
      </c>
      <c r="K139" s="5" t="n">
        <v>680</v>
      </c>
      <c r="L139" s="4" t="n">
        <v>84</v>
      </c>
      <c r="M139" s="4" t="n">
        <v>25</v>
      </c>
      <c r="N139" s="5" t="n">
        <v>680</v>
      </c>
      <c r="O139" s="3" t="inlineStr">
        <is>
          <t>nan</t>
        </is>
      </c>
      <c r="P139" s="6">
        <f>HYPERLINK("https://fin.land.naver.com/articles/2649752267", "매물Link")</f>
        <v/>
      </c>
      <c r="Q139" s="6">
        <f>HYPERLINK("https://map.naver.com/p/search/연서면 월하리 1008-5", "지도Link")</f>
        <v/>
      </c>
      <c r="R139" s="6">
        <f>HYPERLINK("http://www.eum.go.kr/web/ar/lu/luLandDet.jsp?pnu=3611036021110080005&amp;isNoScr=script&amp;mode=search", "토지이음")</f>
        <v/>
      </c>
      <c r="S139" s="3" t="inlineStr">
        <is>
          <t>뉴스카이</t>
        </is>
      </c>
      <c r="T139" s="4" t="n">
        <v>1</v>
      </c>
      <c r="U139" s="5" t="n">
        <v>184.8</v>
      </c>
      <c r="V139" s="4" t="n">
        <v>145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월하리 618-1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연립</t>
        </is>
      </c>
      <c r="F140" s="3" t="inlineStr">
        <is>
          <t>매매</t>
        </is>
      </c>
      <c r="G140" s="4" t="n">
        <v>8000</v>
      </c>
      <c r="H140" s="4" t="n">
        <v>0</v>
      </c>
      <c r="I140" s="4" t="n">
        <v>54</v>
      </c>
      <c r="J140" s="4" t="n">
        <v>16</v>
      </c>
      <c r="K140" s="5" t="n">
        <v>500</v>
      </c>
      <c r="L140" s="4" t="n">
        <v>54</v>
      </c>
      <c r="M140" s="4" t="n">
        <v>16</v>
      </c>
      <c r="N140" s="5" t="n">
        <v>500</v>
      </c>
      <c r="O140" s="3" t="inlineStr">
        <is>
          <t>욕실,주방,거실,샷시까지 올리모델링됨,세입자끼고매매,소액투자</t>
        </is>
      </c>
      <c r="P140" s="6">
        <f>HYPERLINK("https://fin.land.naver.com/articles/2650717018", "매물Link")</f>
        <v/>
      </c>
      <c r="Q140" s="6">
        <f>HYPERLINK("https://map.naver.com/p/search/연서면 월하리 618-1", "지도Link")</f>
        <v/>
      </c>
      <c r="R140" s="6">
        <f>HYPERLINK("http://www.eum.go.kr/web/ar/lu/luLandDet.jsp?pnu=3611036021106180001&amp;isNoScr=script&amp;mode=search", "토지이음")</f>
        <v/>
      </c>
      <c r="S140" s="3" t="inlineStr">
        <is>
          <t>신안무소</t>
        </is>
      </c>
      <c r="T140" s="4" t="n">
        <v>1</v>
      </c>
      <c r="U140" s="5" t="n">
        <v>151.2</v>
      </c>
      <c r="V140" s="4" t="n">
        <v>281</v>
      </c>
      <c r="W140" s="3" t="inlineStr">
        <is>
          <t>지정되지않음</t>
        </is>
      </c>
      <c r="X140" s="3" t="inlineStr">
        <is>
          <t>다세대</t>
        </is>
      </c>
      <c r="Y140" s="3" t="inlineStr">
        <is>
          <t>평지</t>
        </is>
      </c>
      <c r="Z140" s="3" t="inlineStr">
        <is>
          <t>부정형</t>
        </is>
      </c>
      <c r="AA140" s="3" t="inlineStr">
        <is>
          <t>세로한면(가)</t>
        </is>
      </c>
    </row>
    <row r="141">
      <c r="A141" s="3" t="inlineStr">
        <is>
          <t>조치원읍 교리 11-6</t>
        </is>
      </c>
      <c r="B141" s="3" t="inlineStr">
        <is>
          <t>제2종일반주거지역</t>
        </is>
      </c>
      <c r="C141" s="3" t="inlineStr">
        <is>
          <t>대</t>
        </is>
      </c>
      <c r="D141" s="3" t="inlineStr">
        <is>
          <t>4</t>
        </is>
      </c>
      <c r="E141" s="3" t="inlineStr">
        <is>
          <t>상가주택</t>
        </is>
      </c>
      <c r="F141" s="3" t="inlineStr">
        <is>
          <t>매매</t>
        </is>
      </c>
      <c r="G141" s="4" t="n">
        <v>150000</v>
      </c>
      <c r="H141" s="4" t="n">
        <v>0</v>
      </c>
      <c r="I141" s="4" t="n">
        <v>396</v>
      </c>
      <c r="J141" s="4" t="n">
        <v>120</v>
      </c>
      <c r="K141" s="5" t="n">
        <v>1250</v>
      </c>
      <c r="L141" s="4" t="n">
        <v>616</v>
      </c>
      <c r="M141" s="4" t="n">
        <v>186</v>
      </c>
      <c r="N141" s="5" t="n">
        <v>806.5</v>
      </c>
      <c r="O141" s="3" t="inlineStr">
        <is>
          <t>상가주택, 2가구, 상가임대1, 가격조정가능, 주차가능</t>
        </is>
      </c>
      <c r="P141" s="6">
        <f>HYPERLINK("https://fin.land.naver.com/articles/2650985563", "매물Link")</f>
        <v/>
      </c>
      <c r="Q141" s="6">
        <f>HYPERLINK("https://map.naver.com/p/search/조치원읍 교리 11-6", "지도Link")</f>
        <v/>
      </c>
      <c r="R141" s="6">
        <f>HYPERLINK("http://www.eum.go.kr/web/ar/lu/luLandDet.jsp?pnu=3611025024100110006&amp;isNoScr=script&amp;mode=search", "토지이음")</f>
        <v/>
      </c>
      <c r="S141" s="3" t="inlineStr">
        <is>
          <t>엄마와딸</t>
        </is>
      </c>
      <c r="T141" s="4" t="n">
        <v>1</v>
      </c>
      <c r="U141" s="5" t="n">
        <v>283.3</v>
      </c>
      <c r="V141" s="4" t="n">
        <v>396.4</v>
      </c>
      <c r="W141" s="3" t="inlineStr">
        <is>
          <t>지정되지않음</t>
        </is>
      </c>
      <c r="X141" s="3" t="inlineStr">
        <is>
          <t>주상용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중로각지</t>
        </is>
      </c>
    </row>
    <row r="142">
      <c r="A142" s="3" t="inlineStr">
        <is>
          <t>조치원읍 교리 16-5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40000</v>
      </c>
      <c r="H142" s="4" t="n">
        <v>0</v>
      </c>
      <c r="I142" s="4" t="n">
        <v>103</v>
      </c>
      <c r="J142" s="4" t="n">
        <v>31</v>
      </c>
      <c r="K142" s="5" t="n">
        <v>1290.3</v>
      </c>
      <c r="L142" s="4" t="n">
        <v>67</v>
      </c>
      <c r="M142" s="4" t="n">
        <v>20</v>
      </c>
      <c r="N142" s="5" t="n">
        <v>2000</v>
      </c>
      <c r="O142" s="3" t="inlineStr">
        <is>
          <t>기업은행 바로 뒷편,구옥2채 매매 입니다.</t>
        </is>
      </c>
      <c r="P142" s="6">
        <f>HYPERLINK("https://fin.land.naver.com/articles/2647876689", "매물Link")</f>
        <v/>
      </c>
      <c r="Q142" s="6">
        <f>HYPERLINK("https://map.naver.com/p/search/조치원읍 교리 16-5", "지도Link")</f>
        <v/>
      </c>
      <c r="R142" s="6">
        <f>HYPERLINK("http://www.eum.go.kr/web/ar/lu/luLandDet.jsp?pnu=3611025024100160005&amp;isNoScr=script&amp;mode=search", "토지이음")</f>
        <v/>
      </c>
      <c r="S142" s="3" t="inlineStr">
        <is>
          <t>이음 사무소</t>
        </is>
      </c>
      <c r="T142" s="4" t="n">
        <v>2</v>
      </c>
      <c r="U142" s="5" t="n">
        <v>206.5</v>
      </c>
      <c r="V142" s="4" t="n">
        <v>103.5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세로한면(가)</t>
        </is>
      </c>
    </row>
    <row r="143">
      <c r="A143" s="3" t="inlineStr">
        <is>
          <t>조치원읍 교리 18-1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일반원룸</t>
        </is>
      </c>
      <c r="F143" s="3" t="inlineStr">
        <is>
          <t>월세</t>
        </is>
      </c>
      <c r="G143" s="4" t="n">
        <v>100</v>
      </c>
      <c r="H143" s="4" t="n">
        <v>25</v>
      </c>
      <c r="I143" s="4" t="n">
        <v>20</v>
      </c>
      <c r="J143" s="4" t="n">
        <v>6</v>
      </c>
      <c r="K143" s="5" t="n">
        <v>4.2</v>
      </c>
      <c r="L143" s="4" t="n">
        <v>20</v>
      </c>
      <c r="M143" s="4" t="n">
        <v>6</v>
      </c>
      <c r="N143" s="5" t="n">
        <v>4.2</v>
      </c>
      <c r="O143" s="3" t="inlineStr">
        <is>
          <t>교리 원룸 저렴 세종등기소인근 풀옵션유</t>
        </is>
      </c>
      <c r="P143" s="6">
        <f>HYPERLINK("https://fin.land.naver.com/articles/2647587687", "매물Link")</f>
        <v/>
      </c>
      <c r="Q143" s="6">
        <f>HYPERLINK("https://map.naver.com/p/search/조치원읍 교리 18-1", "지도Link")</f>
        <v/>
      </c>
      <c r="R143" s="6">
        <f>HYPERLINK("http://www.eum.go.kr/web/ar/lu/luLandDet.jsp?pnu=3611025024100180001&amp;isNoScr=script&amp;mode=search", "토지이음")</f>
        <v/>
      </c>
      <c r="S143" s="3" t="inlineStr">
        <is>
          <t>OK수</t>
        </is>
      </c>
      <c r="T143" s="4" t="n">
        <v>1</v>
      </c>
      <c r="U143" s="5" t="n">
        <v>289.1</v>
      </c>
      <c r="V143" s="4" t="n">
        <v>232.4</v>
      </c>
      <c r="W143" s="3" t="inlineStr">
        <is>
          <t>지정되지않음</t>
        </is>
      </c>
      <c r="X143" s="3" t="inlineStr">
        <is>
          <t>주상기타</t>
        </is>
      </c>
      <c r="Y143" s="3" t="inlineStr">
        <is>
          <t>평지</t>
        </is>
      </c>
      <c r="Z143" s="3" t="inlineStr">
        <is>
          <t>가로장방</t>
        </is>
      </c>
      <c r="AA143" s="3" t="inlineStr">
        <is>
          <t>중로각지</t>
        </is>
      </c>
    </row>
    <row r="144">
      <c r="A144" s="3" t="inlineStr">
        <is>
          <t>조치원읍 남리 119-10</t>
        </is>
      </c>
      <c r="B144" s="3" t="inlineStr">
        <is>
          <t>제2종일반주거지역</t>
        </is>
      </c>
      <c r="C144" s="3" t="inlineStr">
        <is>
          <t>잡종지</t>
        </is>
      </c>
      <c r="D144" s="3" t="inlineStr">
        <is>
          <t>1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200</v>
      </c>
      <c r="H144" s="4" t="n">
        <v>25</v>
      </c>
      <c r="I144" s="4" t="n">
        <v>33</v>
      </c>
      <c r="J144" s="4" t="n">
        <v>10</v>
      </c>
      <c r="K144" s="5" t="n">
        <v>2.5</v>
      </c>
      <c r="L144" s="4" t="n">
        <v>5</v>
      </c>
      <c r="M144" s="4" t="n">
        <v>2</v>
      </c>
      <c r="N144" s="5" t="n">
        <v>12.5</v>
      </c>
      <c r="O144" s="3" t="inlineStr">
        <is>
          <t>조치원역도보거리 저렴한 원룸 즉시입주</t>
        </is>
      </c>
      <c r="P144" s="6">
        <f>HYPERLINK("https://fin.land.naver.com/articles/2650728690", "매물Link")</f>
        <v/>
      </c>
      <c r="Q144" s="6">
        <f>HYPERLINK("https://map.naver.com/p/search/조치원읍 남리 119-10", "지도Link")</f>
        <v/>
      </c>
      <c r="R144" s="6">
        <f>HYPERLINK("http://www.eum.go.kr/web/ar/lu/luLandDet.jsp?pnu=3611025027101190010&amp;isNoScr=script&amp;mode=search", "토지이음")</f>
        <v/>
      </c>
      <c r="S144" s="3" t="inlineStr">
        <is>
          <t>척척</t>
        </is>
      </c>
      <c r="T144" s="4" t="n">
        <v>1</v>
      </c>
      <c r="U144" s="5" t="n">
        <v>242.2</v>
      </c>
      <c r="V144" s="4" t="n">
        <v>280</v>
      </c>
      <c r="W144" s="3" t="inlineStr">
        <is>
          <t>지정되지않음</t>
        </is>
      </c>
      <c r="X144" s="3" t="inlineStr">
        <is>
          <t>상업기타</t>
        </is>
      </c>
      <c r="Y144" s="3" t="inlineStr">
        <is>
          <t>평지</t>
        </is>
      </c>
      <c r="Z144" s="3" t="inlineStr">
        <is>
          <t>자루형</t>
        </is>
      </c>
      <c r="AA144" s="3" t="inlineStr">
        <is>
          <t>세로한면(가)</t>
        </is>
      </c>
    </row>
    <row r="145">
      <c r="A145" s="3" t="inlineStr">
        <is>
          <t>조치원읍 남리 119-10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2</t>
        </is>
      </c>
      <c r="E145" s="3" t="inlineStr">
        <is>
          <t>다가구</t>
        </is>
      </c>
      <c r="F145" s="3" t="inlineStr">
        <is>
          <t>월세</t>
        </is>
      </c>
      <c r="G145" s="4" t="n">
        <v>200</v>
      </c>
      <c r="H145" s="4" t="n">
        <v>27</v>
      </c>
      <c r="I145" s="4" t="n">
        <v>33</v>
      </c>
      <c r="J145" s="4" t="n">
        <v>10</v>
      </c>
      <c r="K145" s="5" t="n">
        <v>2.7</v>
      </c>
      <c r="L145" s="4" t="n">
        <v>19</v>
      </c>
      <c r="M145" s="4" t="n">
        <v>6</v>
      </c>
      <c r="N145" s="5" t="n">
        <v>4.5</v>
      </c>
      <c r="O145" s="3" t="inlineStr">
        <is>
          <t>조치원역도보거리O막힘없는O깨끗한 원룸</t>
        </is>
      </c>
      <c r="P145" s="6">
        <f>HYPERLINK("https://fin.land.naver.com/articles/2651069139", "매물Link")</f>
        <v/>
      </c>
      <c r="Q145" s="6">
        <f>HYPERLINK("https://map.naver.com/p/search/조치원읍 남리 119-10", "지도Link")</f>
        <v/>
      </c>
      <c r="R145" s="6">
        <f>HYPERLINK("http://www.eum.go.kr/web/ar/lu/luLandDet.jsp?pnu=3611025027101190010&amp;isNoScr=script&amp;mode=search",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242.2</v>
      </c>
      <c r="V145" s="4" t="n">
        <v>280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조치원읍 남리 119-12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일반원룸</t>
        </is>
      </c>
      <c r="F146" s="3" t="inlineStr">
        <is>
          <t>월세</t>
        </is>
      </c>
      <c r="G146" s="4" t="n">
        <v>200</v>
      </c>
      <c r="H146" s="4" t="n">
        <v>30</v>
      </c>
      <c r="I146" s="4" t="n">
        <v>20</v>
      </c>
      <c r="J146" s="4" t="n">
        <v>6</v>
      </c>
      <c r="K146" s="5" t="n">
        <v>5</v>
      </c>
      <c r="L146" s="4" t="n">
        <v>20</v>
      </c>
      <c r="M146" s="4" t="n">
        <v>6</v>
      </c>
      <c r="N146" s="5" t="n">
        <v>5</v>
      </c>
      <c r="O146" s="3" t="inlineStr">
        <is>
          <t>원룸 남향  조치원역 도보가능합니다</t>
        </is>
      </c>
      <c r="P146" s="6">
        <f>HYPERLINK("https://fin.land.naver.com/articles/2647321662", "매물Link")</f>
        <v/>
      </c>
      <c r="Q146" s="6">
        <f>HYPERLINK("https://map.naver.com/p/search/조치원읍 남리 119-12", "지도Link")</f>
        <v/>
      </c>
      <c r="R146" s="6">
        <f>HYPERLINK("http://www.eum.go.kr/web/ar/lu/luLandDet.jsp?pnu=3611025027101190012&amp;isNoScr=script&amp;mode=search", "토지이음")</f>
        <v/>
      </c>
      <c r="S146" s="3" t="inlineStr">
        <is>
          <t>OK수</t>
        </is>
      </c>
      <c r="T146" s="4" t="n">
        <v>1</v>
      </c>
      <c r="U146" s="5" t="n">
        <v>282.8</v>
      </c>
      <c r="V146" s="4" t="n">
        <v>485</v>
      </c>
      <c r="W146" s="3" t="inlineStr">
        <is>
          <t>지정되지않음</t>
        </is>
      </c>
      <c r="X146" s="3" t="inlineStr">
        <is>
          <t>상업기타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소로한면</t>
        </is>
      </c>
    </row>
    <row r="147">
      <c r="A147" s="3" t="inlineStr">
        <is>
          <t>조치원읍 남리 119-6</t>
        </is>
      </c>
      <c r="B147" s="3" t="inlineStr">
        <is>
          <t>제2종일반주거지역</t>
        </is>
      </c>
      <c r="C147" s="3" t="inlineStr">
        <is>
          <t>잡종지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25</v>
      </c>
      <c r="I147" s="4" t="n">
        <v>0</v>
      </c>
      <c r="J147" s="4" t="n">
        <v>0</v>
      </c>
      <c r="K147" s="5" t="n">
        <v>0</v>
      </c>
      <c r="L147" s="4" t="n">
        <v>19</v>
      </c>
      <c r="M147" s="4" t="n">
        <v>6</v>
      </c>
      <c r="N147" s="5" t="n">
        <v>4.2</v>
      </c>
      <c r="O147" s="3" t="inlineStr">
        <is>
          <t>남리 버스정류장 가까운 위치</t>
        </is>
      </c>
      <c r="P147" s="6">
        <f>HYPERLINK("https://fin.land.naver.com/articles/2648317995", "매물Link")</f>
        <v/>
      </c>
      <c r="Q147" s="6">
        <f>HYPERLINK("https://map.naver.com/p/search/조치원읍 남리 119-6", "지도Link")</f>
        <v/>
      </c>
      <c r="R147" s="6">
        <f>HYPERLINK("http://www.eum.go.kr/web/ar/lu/luLandDet.jsp?pnu=3611025027101190006&amp;isNoScr=script&amp;mode=search",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285.5</v>
      </c>
      <c r="V147" s="4" t="n">
        <v>249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소로한면</t>
        </is>
      </c>
    </row>
    <row r="148">
      <c r="A148" s="3" t="inlineStr">
        <is>
          <t>조치원읍 남리 299-2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전세</t>
        </is>
      </c>
      <c r="G148" s="4" t="n">
        <v>4000</v>
      </c>
      <c r="H148" s="4" t="n">
        <v>0</v>
      </c>
      <c r="I148" s="4" t="n">
        <v>26</v>
      </c>
      <c r="J148" s="4" t="n">
        <v>8</v>
      </c>
      <c r="K148" s="5" t="n">
        <v>500</v>
      </c>
      <c r="L148" s="4" t="n">
        <v>19</v>
      </c>
      <c r="M148" s="4" t="n">
        <v>6</v>
      </c>
      <c r="N148" s="5" t="n">
        <v>666.7</v>
      </c>
      <c r="O148" s="3" t="inlineStr">
        <is>
          <t>LH 가능.주방분리형.보증보험가능.시장1분. 역3분.깔끔한방</t>
        </is>
      </c>
      <c r="P148" s="6">
        <f>HYPERLINK("https://fin.land.naver.com/articles/2647870045", "매물Link")</f>
        <v/>
      </c>
      <c r="Q148" s="6">
        <f>HYPERLINK("https://map.naver.com/p/search/조치원읍 남리 299-2", "지도Link")</f>
        <v/>
      </c>
      <c r="R148" s="6">
        <f>HYPERLINK("http://www.eum.go.kr/web/ar/lu/luLandDet.jsp?pnu=3611025027102990002&amp;isNoScr=script&amp;mode=search", "토지이음")</f>
        <v/>
      </c>
      <c r="S148" s="3" t="inlineStr">
        <is>
          <t>마이룸</t>
        </is>
      </c>
      <c r="T148" s="4" t="n">
        <v>1</v>
      </c>
      <c r="U148" s="5" t="n">
        <v>223.9</v>
      </c>
      <c r="V148" s="4" t="n">
        <v>407.8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소로각지</t>
        </is>
      </c>
    </row>
    <row r="149">
      <c r="A149" s="3" t="inlineStr">
        <is>
          <t>조치원읍 남리 368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0</t>
        </is>
      </c>
      <c r="E149" s="3" t="inlineStr">
        <is>
          <t>단독</t>
        </is>
      </c>
      <c r="F149" s="3" t="inlineStr">
        <is>
          <t>전세</t>
        </is>
      </c>
      <c r="G149" s="4" t="n">
        <v>4200</v>
      </c>
      <c r="H149" s="4" t="n">
        <v>0</v>
      </c>
      <c r="I149" s="4" t="n">
        <v>46</v>
      </c>
      <c r="J149" s="4" t="n">
        <v>14</v>
      </c>
      <c r="K149" s="5" t="n">
        <v>300</v>
      </c>
      <c r="L149" s="4" t="n">
        <v>33</v>
      </c>
      <c r="M149" s="4" t="n">
        <v>10</v>
      </c>
      <c r="N149" s="5" t="n">
        <v>420</v>
      </c>
      <c r="O149" s="3" t="inlineStr">
        <is>
          <t>nan</t>
        </is>
      </c>
      <c r="P149" s="6">
        <f>HYPERLINK("https://fin.land.naver.com/articles/2646917268", "매물Link")</f>
        <v/>
      </c>
      <c r="Q149" s="6">
        <f>HYPERLINK("https://map.naver.com/p/search/조치원읍 남리 368", "지도Link")</f>
        <v/>
      </c>
      <c r="R149" s="6">
        <f>HYPERLINK("http://www.eum.go.kr/web/ar/lu/luLandDet.jsp?pnu=3611025027103680000&amp;isNoScr=script&amp;mode=search",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280.4</v>
      </c>
      <c r="V149" s="4" t="n">
        <v>549.4</v>
      </c>
      <c r="W149" s="3" t="inlineStr">
        <is>
          <t>지정되지않음</t>
        </is>
      </c>
      <c r="X149" s="3" t="inlineStr">
        <is>
          <t>상업나지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중로한면</t>
        </is>
      </c>
    </row>
    <row r="150">
      <c r="A150" s="3" t="inlineStr">
        <is>
          <t>조치원읍 남리 371-1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4</t>
        </is>
      </c>
      <c r="E150" s="3" t="inlineStr">
        <is>
          <t>일반원룸</t>
        </is>
      </c>
      <c r="F150" s="3" t="inlineStr">
        <is>
          <t>월세</t>
        </is>
      </c>
      <c r="G150" s="4" t="n">
        <v>200</v>
      </c>
      <c r="H150" s="4" t="n">
        <v>30</v>
      </c>
      <c r="I150" s="4" t="n">
        <v>0</v>
      </c>
      <c r="J150" s="4" t="n">
        <v>0</v>
      </c>
      <c r="K150" s="5" t="n">
        <v>0</v>
      </c>
      <c r="L150" s="4" t="n">
        <v>20</v>
      </c>
      <c r="M150" s="4" t="n">
        <v>6</v>
      </c>
      <c r="N150" s="5" t="n">
        <v>5</v>
      </c>
      <c r="O150" s="3" t="inlineStr">
        <is>
          <t>조용하게 살기좋은 주차 및 엘베있는 원룸</t>
        </is>
      </c>
      <c r="P150" s="6">
        <f>HYPERLINK("https://fin.land.naver.com/articles/2647381250", "매물Link")</f>
        <v/>
      </c>
      <c r="Q150" s="6">
        <f>HYPERLINK("https://map.naver.com/p/search/조치원읍 남리 371-1", "지도Link")</f>
        <v/>
      </c>
      <c r="R150" s="6">
        <f>HYPERLINK("http://www.eum.go.kr/web/ar/lu/luLandDet.jsp?pnu=3611025027103710001&amp;isNoScr=script&amp;mode=search", "토지이음")</f>
        <v/>
      </c>
      <c r="S150" s="3" t="inlineStr">
        <is>
          <t>무지개</t>
        </is>
      </c>
      <c r="T150" s="4" t="n">
        <v>1</v>
      </c>
      <c r="U150" s="5" t="n">
        <v>232.4</v>
      </c>
      <c r="V150" s="4" t="n">
        <v>379</v>
      </c>
      <c r="W150" s="3" t="inlineStr">
        <is>
          <t>지정되지않음</t>
        </is>
      </c>
      <c r="X150" s="3" t="inlineStr">
        <is>
          <t>상업나지</t>
        </is>
      </c>
      <c r="Y150" s="3" t="inlineStr">
        <is>
          <t>평지</t>
        </is>
      </c>
      <c r="Z150" s="3" t="inlineStr">
        <is>
          <t>정방형</t>
        </is>
      </c>
      <c r="AA150" s="3" t="inlineStr">
        <is>
          <t>세로한면(가)</t>
        </is>
      </c>
    </row>
    <row r="151">
      <c r="A151" s="3" t="inlineStr">
        <is>
          <t>조치원읍 남리 473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다가구</t>
        </is>
      </c>
      <c r="F151" s="3" t="inlineStr">
        <is>
          <t>월세</t>
        </is>
      </c>
      <c r="G151" s="4" t="n">
        <v>200</v>
      </c>
      <c r="H151" s="4" t="n">
        <v>31</v>
      </c>
      <c r="I151" s="4" t="n">
        <v>26</v>
      </c>
      <c r="J151" s="4" t="n">
        <v>8</v>
      </c>
      <c r="K151" s="5" t="n">
        <v>3.9</v>
      </c>
      <c r="L151" s="4" t="n">
        <v>26</v>
      </c>
      <c r="M151" s="4" t="n">
        <v>8</v>
      </c>
      <c r="N151" s="5" t="n">
        <v>3.9</v>
      </c>
      <c r="O151" s="3" t="inlineStr">
        <is>
          <t>조치원 시내이며, 재래시장, 초등학교인근이며, 오송과 인접함</t>
        </is>
      </c>
      <c r="P151" s="6">
        <f>HYPERLINK("https://fin.land.naver.com/articles/2651504477", "매물Link")</f>
        <v/>
      </c>
      <c r="Q151" s="6">
        <f>HYPERLINK("https://map.naver.com/p/search/조치원읍 남리 473", "지도Link")</f>
        <v/>
      </c>
      <c r="R151" s="6">
        <f>HYPERLINK("http://www.eum.go.kr/web/ar/lu/luLandDet.jsp?pnu=3611025027104730000&amp;isNoScr=script&amp;mode=search", "토지이음")</f>
        <v/>
      </c>
      <c r="S151" s="3" t="inlineStr">
        <is>
          <t>세종베스트</t>
        </is>
      </c>
      <c r="T151" s="4" t="n">
        <v>1</v>
      </c>
      <c r="U151" s="5" t="n">
        <v>261.8</v>
      </c>
      <c r="V151" s="4" t="n">
        <v>446.7</v>
      </c>
      <c r="W151" s="3" t="inlineStr">
        <is>
          <t>지정되지않음</t>
        </is>
      </c>
      <c r="X151" s="3" t="inlineStr">
        <is>
          <t>상업용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중로한면</t>
        </is>
      </c>
    </row>
    <row r="152">
      <c r="A152" s="3" t="inlineStr">
        <is>
          <t>조치원읍 남리 62-19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다가구</t>
        </is>
      </c>
      <c r="F152" s="3" t="inlineStr">
        <is>
          <t>매매</t>
        </is>
      </c>
      <c r="G152" s="4" t="n">
        <v>29500</v>
      </c>
      <c r="H152" s="4" t="n">
        <v>0</v>
      </c>
      <c r="I152" s="4" t="n">
        <v>180</v>
      </c>
      <c r="J152" s="4" t="n">
        <v>54</v>
      </c>
      <c r="K152" s="5" t="n">
        <v>546.3</v>
      </c>
      <c r="L152" s="4" t="n">
        <v>163</v>
      </c>
      <c r="M152" s="4" t="n">
        <v>49</v>
      </c>
      <c r="N152" s="5" t="n">
        <v>602</v>
      </c>
      <c r="O152" s="3" t="inlineStr">
        <is>
          <t>조치원시내 관공서와 버스정류장 조치원역 도보로 가능한 조용한 주택,</t>
        </is>
      </c>
      <c r="P152" s="6">
        <f>HYPERLINK("https://fin.land.naver.com/articles/2651053326", "매물Link")</f>
        <v/>
      </c>
      <c r="Q152" s="6">
        <f>HYPERLINK("https://map.naver.com/p/search/조치원읍 남리 62-19", "지도Link")</f>
        <v/>
      </c>
      <c r="R152" s="6">
        <f>HYPERLINK("http://www.eum.go.kr/web/ar/lu/luLandDet.jsp?pnu=3611025027100620019&amp;isNoScr=script&amp;mode=search", "토지이음")</f>
        <v/>
      </c>
      <c r="S152" s="3" t="inlineStr">
        <is>
          <t>담뜰</t>
        </is>
      </c>
      <c r="T152" s="4" t="n">
        <v>1</v>
      </c>
      <c r="U152" s="5" t="n">
        <v>178.8</v>
      </c>
      <c r="V152" s="4" t="n">
        <v>180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가로장방</t>
        </is>
      </c>
      <c r="AA152" s="3" t="inlineStr">
        <is>
          <t>세로한면(불)</t>
        </is>
      </c>
    </row>
    <row r="153">
      <c r="A153" s="3" t="inlineStr">
        <is>
          <t>조치원읍 남리 62-6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일반원룸</t>
        </is>
      </c>
      <c r="F153" s="3" t="inlineStr">
        <is>
          <t>전세</t>
        </is>
      </c>
      <c r="G153" s="4" t="n">
        <v>4000</v>
      </c>
      <c r="H153" s="4" t="n">
        <v>0</v>
      </c>
      <c r="I153" s="4" t="n">
        <v>26</v>
      </c>
      <c r="J153" s="4" t="n">
        <v>8</v>
      </c>
      <c r="K153" s="5" t="n">
        <v>500</v>
      </c>
      <c r="L153" s="4" t="n">
        <v>19</v>
      </c>
      <c r="M153" s="4" t="n">
        <v>6</v>
      </c>
      <c r="N153" s="5" t="n">
        <v>666.7</v>
      </c>
      <c r="O153" s="3" t="inlineStr">
        <is>
          <t>조치원역도보5분 근저당없는 전세 풀옵션 큰방</t>
        </is>
      </c>
      <c r="P153" s="6">
        <f>HYPERLINK("https://fin.land.naver.com/articles/2649101403", "매물Link")</f>
        <v/>
      </c>
      <c r="Q153" s="6">
        <f>HYPERLINK("https://map.naver.com/p/search/조치원읍 남리 62-6", "지도Link")</f>
        <v/>
      </c>
      <c r="R153" s="6">
        <f>HYPERLINK("http://www.eum.go.kr/web/ar/lu/luLandDet.jsp?pnu=3611025027100620006&amp;isNoScr=script&amp;mode=search", "토지이음")</f>
        <v/>
      </c>
      <c r="S153" s="3" t="inlineStr">
        <is>
          <t>용죽부자</t>
        </is>
      </c>
      <c r="T153" s="4" t="n">
        <v>1</v>
      </c>
      <c r="U153" s="5" t="n">
        <v>396</v>
      </c>
      <c r="V153" s="4" t="n">
        <v>472</v>
      </c>
      <c r="W153" s="3" t="inlineStr">
        <is>
          <t>지정되지않음</t>
        </is>
      </c>
      <c r="X153" s="3" t="inlineStr">
        <is>
          <t>상업용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39</v>
      </c>
      <c r="J154" s="4" t="n">
        <v>12</v>
      </c>
      <c r="K154" s="5" t="n">
        <v>333.3</v>
      </c>
      <c r="L154" s="4" t="n">
        <v>26</v>
      </c>
      <c r="M154" s="4" t="n">
        <v>8</v>
      </c>
      <c r="N154" s="5" t="n">
        <v>500</v>
      </c>
      <c r="O154" s="3" t="inlineStr">
        <is>
          <t>nan</t>
        </is>
      </c>
      <c r="P154" s="6">
        <f>HYPERLINK("https://fin.land.naver.com/articles/2648311440",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척척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도시형생활주택</t>
        </is>
      </c>
      <c r="F155" s="3" t="inlineStr">
        <is>
          <t>전세</t>
        </is>
      </c>
      <c r="G155" s="4" t="n">
        <v>3900</v>
      </c>
      <c r="H155" s="4" t="n">
        <v>0</v>
      </c>
      <c r="I155" s="4" t="n">
        <v>26</v>
      </c>
      <c r="J155" s="4" t="n">
        <v>8</v>
      </c>
      <c r="K155" s="5" t="n">
        <v>487.5</v>
      </c>
      <c r="L155" s="4" t="n">
        <v>23</v>
      </c>
      <c r="M155" s="4" t="n">
        <v>7</v>
      </c>
      <c r="N155" s="5" t="n">
        <v>557.1</v>
      </c>
      <c r="O155" s="3" t="inlineStr">
        <is>
          <t>남리 원룸 전통시장 조치원역 도보가능합니다</t>
        </is>
      </c>
      <c r="P155" s="6">
        <f>HYPERLINK("https://fin.land.naver.com/articles/2649008339",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빌라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20</v>
      </c>
      <c r="J156" s="4" t="n">
        <v>6</v>
      </c>
      <c r="K156" s="5" t="n">
        <v>666.7</v>
      </c>
      <c r="L156" s="4" t="n">
        <v>19</v>
      </c>
      <c r="M156" s="4" t="n">
        <v>6</v>
      </c>
      <c r="N156" s="5" t="n">
        <v>666.7</v>
      </c>
      <c r="O156" s="3" t="inlineStr">
        <is>
          <t>LH가능.HUG.서울보증보험가능 .가성비갑.시장1분 역5분.</t>
        </is>
      </c>
      <c r="P156" s="6">
        <f>HYPERLINK("https://fin.land.naver.com/articles/2647397073",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명리 14-2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단독</t>
        </is>
      </c>
      <c r="F157" s="3" t="inlineStr">
        <is>
          <t>월세</t>
        </is>
      </c>
      <c r="G157" s="4" t="n">
        <v>1000</v>
      </c>
      <c r="H157" s="4" t="n">
        <v>55</v>
      </c>
      <c r="I157" s="4" t="n">
        <v>65</v>
      </c>
      <c r="J157" s="4" t="n">
        <v>20</v>
      </c>
      <c r="K157" s="5" t="n">
        <v>2.8</v>
      </c>
      <c r="L157" s="4" t="n">
        <v>65</v>
      </c>
      <c r="M157" s="4" t="n">
        <v>20</v>
      </c>
      <c r="N157" s="5" t="n">
        <v>2.8</v>
      </c>
      <c r="O157" s="3" t="inlineStr">
        <is>
          <t>시장 근처 깨끗한 2층 월세</t>
        </is>
      </c>
      <c r="P157" s="6">
        <f>HYPERLINK("https://fin.land.naver.com/articles/2648317283", "매물Link")</f>
        <v/>
      </c>
      <c r="Q157" s="6">
        <f>HYPERLINK("https://map.naver.com/p/search/조치원읍 명리 14-2", "지도Link")</f>
        <v/>
      </c>
      <c r="R157" s="6">
        <f>HYPERLINK("http://www.eum.go.kr/web/ar/lu/luLandDet.jsp?pnu=3611025026100140002&amp;isNoScr=script&amp;mode=search", "토지이음")</f>
        <v/>
      </c>
      <c r="S157" s="3" t="inlineStr">
        <is>
          <t>KB세종</t>
        </is>
      </c>
      <c r="T157" s="4" t="n">
        <v>1</v>
      </c>
      <c r="U157" s="5" t="n">
        <v>184.6</v>
      </c>
      <c r="V157" s="4" t="n">
        <v>145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가로장방</t>
        </is>
      </c>
      <c r="AA157" s="3" t="inlineStr">
        <is>
          <t>세로한면(가)</t>
        </is>
      </c>
    </row>
    <row r="158">
      <c r="A158" s="3" t="inlineStr">
        <is>
          <t>조치원읍 명리 51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매매</t>
        </is>
      </c>
      <c r="G158" s="4" t="n">
        <v>45000</v>
      </c>
      <c r="H158" s="4" t="n">
        <v>0</v>
      </c>
      <c r="I158" s="4" t="n">
        <v>325</v>
      </c>
      <c r="J158" s="4" t="n">
        <v>98</v>
      </c>
      <c r="K158" s="5" t="n">
        <v>459.2</v>
      </c>
      <c r="L158" s="4" t="n">
        <v>218</v>
      </c>
      <c r="M158" s="4" t="n">
        <v>66</v>
      </c>
      <c r="N158" s="5" t="n">
        <v>681.8</v>
      </c>
      <c r="O158" s="3" t="inlineStr">
        <is>
          <t>교통과 생활이 편리한 위치,초등학교 인근,대지 넓은 단독주택</t>
        </is>
      </c>
      <c r="P158" s="6">
        <f>HYPERLINK("https://fin.land.naver.com/articles/2646474045", "매물Link")</f>
        <v/>
      </c>
      <c r="Q158" s="6">
        <f>HYPERLINK("https://map.naver.com/p/search/조치원읍 명리 51", "지도Link")</f>
        <v/>
      </c>
      <c r="R158" s="6">
        <f>HYPERLINK("http://www.eum.go.kr/web/ar/lu/luLandDet.jsp?pnu=3611025026100510000&amp;isNoScr=script&amp;mode=search", "토지이음")</f>
        <v/>
      </c>
      <c r="S158" s="3" t="inlineStr">
        <is>
          <t>유정희</t>
        </is>
      </c>
      <c r="T158" s="4" t="n">
        <v>1</v>
      </c>
      <c r="U158" s="5" t="n">
        <v>223.3</v>
      </c>
      <c r="V158" s="4" t="n">
        <v>318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부정형</t>
        </is>
      </c>
      <c r="AA158" s="3" t="inlineStr">
        <is>
          <t>소로한면</t>
        </is>
      </c>
    </row>
    <row r="159">
      <c r="A159" s="3" t="inlineStr">
        <is>
          <t>조치원읍 명리 54-12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다가구</t>
        </is>
      </c>
      <c r="F159" s="3" t="inlineStr">
        <is>
          <t>월세</t>
        </is>
      </c>
      <c r="G159" s="4" t="n">
        <v>300</v>
      </c>
      <c r="H159" s="4" t="n">
        <v>31</v>
      </c>
      <c r="I159" s="4" t="n">
        <v>26</v>
      </c>
      <c r="J159" s="4" t="n">
        <v>8</v>
      </c>
      <c r="K159" s="5" t="n">
        <v>3.9</v>
      </c>
      <c r="L159" s="4" t="n">
        <v>26</v>
      </c>
      <c r="M159" s="4" t="n">
        <v>8</v>
      </c>
      <c r="N159" s="5" t="n">
        <v>3.9</v>
      </c>
      <c r="O159" s="3" t="inlineStr">
        <is>
          <t>끌끔하고 위치좋은 원룸 2층</t>
        </is>
      </c>
      <c r="P159" s="6">
        <f>HYPERLINK("https://fin.land.naver.com/articles/2648560985", "매물Link")</f>
        <v/>
      </c>
      <c r="Q159" s="6">
        <f>HYPERLINK("https://map.naver.com/p/search/조치원읍 명리 54-12", "지도Link")</f>
        <v/>
      </c>
      <c r="R159" s="6">
        <f>HYPERLINK("http://www.eum.go.kr/web/ar/lu/luLandDet.jsp?pnu=3611025026100540012&amp;isNoScr=script&amp;mode=search", "토지이음")</f>
        <v/>
      </c>
      <c r="S159" s="3" t="inlineStr">
        <is>
          <t>세종베스트</t>
        </is>
      </c>
      <c r="T159" s="4" t="n">
        <v>1</v>
      </c>
      <c r="U159" s="5" t="n">
        <v>230.3</v>
      </c>
      <c r="V159" s="4" t="n">
        <v>520</v>
      </c>
      <c r="W159" s="3" t="inlineStr">
        <is>
          <t>지정되지않음</t>
        </is>
      </c>
      <c r="X159" s="3" t="inlineStr">
        <is>
          <t>주거기타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소로한면</t>
        </is>
      </c>
    </row>
    <row r="160">
      <c r="A160" s="3" t="inlineStr">
        <is>
          <t>조치원읍 명리 79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상가주택</t>
        </is>
      </c>
      <c r="F160" s="3" t="inlineStr">
        <is>
          <t>매매</t>
        </is>
      </c>
      <c r="G160" s="4" t="n">
        <v>95000</v>
      </c>
      <c r="H160" s="4" t="n">
        <v>0</v>
      </c>
      <c r="I160" s="4" t="n">
        <v>261</v>
      </c>
      <c r="J160" s="4" t="n">
        <v>79</v>
      </c>
      <c r="K160" s="5" t="n">
        <v>1202.5</v>
      </c>
      <c r="L160" s="4" t="n">
        <v>492</v>
      </c>
      <c r="M160" s="4" t="n">
        <v>149</v>
      </c>
      <c r="N160" s="5" t="n">
        <v>637.6</v>
      </c>
      <c r="O160" s="3" t="inlineStr">
        <is>
          <t>명리 코너 상가주택 1,2층 상가 3층주택</t>
        </is>
      </c>
      <c r="P160" s="6">
        <f>HYPERLINK("https://fin.land.naver.com/articles/2649283511", "매물Link")</f>
        <v/>
      </c>
      <c r="Q160" s="6">
        <f>HYPERLINK("https://map.naver.com/p/search/조치원읍 명리 79", "지도Link")</f>
        <v/>
      </c>
      <c r="R160" s="6">
        <f>HYPERLINK("http://www.eum.go.kr/web/ar/lu/luLandDet.jsp?pnu=3611025026100790000&amp;isNoScr=script&amp;mode=search", "토지이음")</f>
        <v/>
      </c>
      <c r="S160" s="3" t="inlineStr">
        <is>
          <t>OK수</t>
        </is>
      </c>
      <c r="T160" s="4" t="n">
        <v>1</v>
      </c>
      <c r="U160" s="5" t="n">
        <v>358.3</v>
      </c>
      <c r="V160" s="4" t="n">
        <v>153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가로장방</t>
        </is>
      </c>
      <c r="AA160" s="3" t="inlineStr">
        <is>
          <t>중로각지</t>
        </is>
      </c>
    </row>
    <row r="161">
      <c r="A161" s="3" t="inlineStr">
        <is>
          <t>조치원읍 번암리 110-1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75000</v>
      </c>
      <c r="H161" s="4" t="n">
        <v>0</v>
      </c>
      <c r="I161" s="4" t="n">
        <v>328</v>
      </c>
      <c r="J161" s="4" t="n">
        <v>99</v>
      </c>
      <c r="K161" s="5" t="n">
        <v>757.6</v>
      </c>
      <c r="L161" s="4" t="n">
        <v>421</v>
      </c>
      <c r="M161" s="4" t="n">
        <v>127</v>
      </c>
      <c r="N161" s="5" t="n">
        <v>590.6</v>
      </c>
      <c r="O161" s="3" t="inlineStr">
        <is>
          <t>번암리 홈플러스 맞은편 6차선 접한 상가주택 저렴합니다</t>
        </is>
      </c>
      <c r="P161" s="6">
        <f>HYPERLINK("https://fin.land.naver.com/articles/2649796407", "매물Link")</f>
        <v/>
      </c>
      <c r="Q161" s="6">
        <f>HYPERLINK("https://map.naver.com/p/search/조치원읍 번암리 110-1", "지도Link")</f>
        <v/>
      </c>
      <c r="R161" s="6">
        <f>HYPERLINK("http://www.eum.go.kr/web/ar/lu/luLandDet.jsp?pnu=3611025031101100001&amp;isNoScr=script&amp;mode=search",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341.8</v>
      </c>
      <c r="V161" s="4" t="n">
        <v>349</v>
      </c>
      <c r="W161" s="3" t="inlineStr">
        <is>
          <t>지정되지않음</t>
        </is>
      </c>
      <c r="X161" s="3" t="inlineStr">
        <is>
          <t>주상용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광대로한면</t>
        </is>
      </c>
    </row>
    <row r="162">
      <c r="A162" s="3" t="inlineStr">
        <is>
          <t>조치원읍 봉산리 190-11</t>
        </is>
      </c>
      <c r="B162" s="3" t="inlineStr">
        <is>
          <t>자연녹지지역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빌라</t>
        </is>
      </c>
      <c r="F162" s="3" t="inlineStr">
        <is>
          <t>매매</t>
        </is>
      </c>
      <c r="G162" s="4" t="n">
        <v>4500</v>
      </c>
      <c r="H162" s="4" t="n">
        <v>0</v>
      </c>
      <c r="I162" s="4" t="n">
        <v>21</v>
      </c>
      <c r="J162" s="4" t="n">
        <v>6</v>
      </c>
      <c r="K162" s="5" t="n">
        <v>750</v>
      </c>
      <c r="L162" s="4" t="n">
        <v>20</v>
      </c>
      <c r="M162" s="4" t="n">
        <v>6</v>
      </c>
      <c r="N162" s="5" t="n">
        <v>750</v>
      </c>
      <c r="O162" s="3" t="inlineStr">
        <is>
          <t>고려대 세종캠퍼스 인근 복층형 원룸 개별 매매</t>
        </is>
      </c>
      <c r="P162" s="6">
        <f>HYPERLINK("https://fin.land.naver.com/articles/2648580362", "매물Link")</f>
        <v/>
      </c>
      <c r="Q162" s="6">
        <f>HYPERLINK("https://map.naver.com/p/search/조치원읍 봉산리 190-11", "지도Link")</f>
        <v/>
      </c>
      <c r="R162" s="6">
        <f>HYPERLINK("http://www.eum.go.kr/web/ar/lu/luLandDet.jsp?pnu=3611025033101900011&amp;isNoScr=script&amp;mode=search", "토지이음")</f>
        <v/>
      </c>
      <c r="S162" s="3" t="inlineStr">
        <is>
          <t>고래</t>
        </is>
      </c>
      <c r="T162" s="4" t="n">
        <v>1</v>
      </c>
      <c r="U162" s="5" t="n">
        <v>168.4</v>
      </c>
      <c r="V162" s="4" t="n">
        <v>565</v>
      </c>
      <c r="W162" s="3" t="inlineStr">
        <is>
          <t>지정되지않음</t>
        </is>
      </c>
      <c r="X162" s="3" t="inlineStr">
        <is>
          <t>다세대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상리 132-1</t>
        </is>
      </c>
      <c r="B163" s="3" t="inlineStr">
        <is>
          <t>준주거지역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상가주택</t>
        </is>
      </c>
      <c r="F163" s="3" t="inlineStr">
        <is>
          <t>매매</t>
        </is>
      </c>
      <c r="G163" s="4" t="n">
        <v>65000</v>
      </c>
      <c r="H163" s="4" t="n">
        <v>0</v>
      </c>
      <c r="I163" s="4" t="n">
        <v>116</v>
      </c>
      <c r="J163" s="4" t="n">
        <v>35</v>
      </c>
      <c r="K163" s="5" t="n">
        <v>1857.1</v>
      </c>
      <c r="L163" s="4" t="n">
        <v>184</v>
      </c>
      <c r="M163" s="4" t="n">
        <v>56</v>
      </c>
      <c r="N163" s="5" t="n">
        <v>1160.7</v>
      </c>
      <c r="O163" s="3" t="inlineStr">
        <is>
          <t>상리 세종문화원 맞은편 2차선 접한 전면 넓은 상가 광고효과 좋음</t>
        </is>
      </c>
      <c r="P163" s="6">
        <f>HYPERLINK("https://fin.land.naver.com/articles/2651593382", "매물Link")</f>
        <v/>
      </c>
      <c r="Q163" s="6">
        <f>HYPERLINK("https://map.naver.com/p/search/조치원읍 상리 132-1", "지도Link")</f>
        <v/>
      </c>
      <c r="R163" s="6">
        <f>HYPERLINK("http://www.eum.go.kr/web/ar/lu/luLandDet.jsp?pnu=3611025022101320001&amp;isNoScr=script&amp;mode=search",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640.7</v>
      </c>
      <c r="V163" s="4" t="n">
        <v>116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가로장방</t>
        </is>
      </c>
      <c r="AA163" s="3" t="inlineStr">
        <is>
          <t>중로한면</t>
        </is>
      </c>
    </row>
    <row r="164">
      <c r="A164" s="3" t="inlineStr">
        <is>
          <t>조치원읍 상리 79-3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0</t>
        </is>
      </c>
      <c r="E164" s="3" t="inlineStr">
        <is>
          <t>도시형생활주택</t>
        </is>
      </c>
      <c r="F164" s="3" t="inlineStr">
        <is>
          <t>월세</t>
        </is>
      </c>
      <c r="G164" s="4" t="n">
        <v>4500</v>
      </c>
      <c r="H164" s="4" t="n">
        <v>12</v>
      </c>
      <c r="I164" s="4" t="n">
        <v>0</v>
      </c>
      <c r="J164" s="4" t="n">
        <v>0</v>
      </c>
      <c r="K164" s="5" t="n">
        <v>0</v>
      </c>
      <c r="L164" s="4" t="n">
        <v>18</v>
      </c>
      <c r="M164" s="4" t="n">
        <v>5</v>
      </c>
      <c r="N164" s="5" t="n">
        <v>2.4</v>
      </c>
      <c r="O164" s="3" t="inlineStr">
        <is>
          <t>L 즉시입주가능  O엘베 O정남향 O역10분내</t>
        </is>
      </c>
      <c r="P164" s="6">
        <f>HYPERLINK("https://fin.land.naver.com/articles/2648531034", "매물Link")</f>
        <v/>
      </c>
      <c r="Q164" s="6">
        <f>HYPERLINK("https://map.naver.com/p/search/조치원읍 상리 79-3", "지도Link")</f>
        <v/>
      </c>
      <c r="R164" s="6">
        <f>HYPERLINK("http://www.eum.go.kr/web/ar/lu/luLandDet.jsp?pnu=3611025022100790003&amp;isNoScr=script&amp;mode=search", "토지이음")</f>
        <v/>
      </c>
      <c r="S164" s="3" t="inlineStr">
        <is>
          <t>바다</t>
        </is>
      </c>
      <c r="T164" s="4" t="n">
        <v>1</v>
      </c>
      <c r="U164" s="5" t="n">
        <v>318.4</v>
      </c>
      <c r="V164" s="4" t="n">
        <v>465</v>
      </c>
      <c r="W164" s="3" t="inlineStr">
        <is>
          <t>지정되지않음</t>
        </is>
      </c>
      <c r="X164" s="3" t="inlineStr">
        <is>
          <t>주상기타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7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4200</v>
      </c>
      <c r="H165" s="4" t="n">
        <v>0</v>
      </c>
      <c r="I165" s="4" t="n">
        <v>30</v>
      </c>
      <c r="J165" s="4" t="n">
        <v>9</v>
      </c>
      <c r="K165" s="5" t="n">
        <v>466.7</v>
      </c>
      <c r="L165" s="4" t="n">
        <v>20</v>
      </c>
      <c r="M165" s="4" t="n">
        <v>6</v>
      </c>
      <c r="N165" s="5" t="n">
        <v>700</v>
      </c>
      <c r="O165" s="3" t="inlineStr">
        <is>
          <t>깨끗한원룸.넓은방.협의입주가능.보안철저.주차시설완비</t>
        </is>
      </c>
      <c r="P165" s="6">
        <f>HYPERLINK("https://fin.land.naver.com/articles/2651544463",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5</t>
        </is>
      </c>
      <c r="E166" s="3" t="inlineStr">
        <is>
          <t>도시형생활주택</t>
        </is>
      </c>
      <c r="F166" s="3" t="inlineStr">
        <is>
          <t>전세</t>
        </is>
      </c>
      <c r="G166" s="4" t="n">
        <v>4200</v>
      </c>
      <c r="H166" s="4" t="n">
        <v>0</v>
      </c>
      <c r="I166" s="4" t="n">
        <v>26</v>
      </c>
      <c r="J166" s="4" t="n">
        <v>8</v>
      </c>
      <c r="K166" s="5" t="n">
        <v>525</v>
      </c>
      <c r="L166" s="4" t="n">
        <v>18</v>
      </c>
      <c r="M166" s="4" t="n">
        <v>5</v>
      </c>
      <c r="N166" s="5" t="n">
        <v>840</v>
      </c>
      <c r="O166" s="3" t="inlineStr">
        <is>
          <t>풀옵션 깔끔한 도시형생활주택 무융자조건</t>
        </is>
      </c>
      <c r="P166" s="6">
        <f>HYPERLINK("https://fin.land.naver.com/articles/2650834927",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용죽부자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상리 79-3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6</t>
        </is>
      </c>
      <c r="E167" s="3" t="inlineStr">
        <is>
          <t>도시형생활주택</t>
        </is>
      </c>
      <c r="F167" s="3" t="inlineStr">
        <is>
          <t>월세</t>
        </is>
      </c>
      <c r="G167" s="4" t="n">
        <v>300</v>
      </c>
      <c r="H167" s="4" t="n">
        <v>37</v>
      </c>
      <c r="I167" s="4" t="n">
        <v>26</v>
      </c>
      <c r="J167" s="4" t="n">
        <v>8</v>
      </c>
      <c r="K167" s="5" t="n">
        <v>4.6</v>
      </c>
      <c r="L167" s="4" t="n">
        <v>18</v>
      </c>
      <c r="M167" s="4" t="n">
        <v>5</v>
      </c>
      <c r="N167" s="5" t="n">
        <v>7.4</v>
      </c>
      <c r="O167" s="3" t="inlineStr">
        <is>
          <t>풀옵션 원룸 도시형생활주택 넓고 깔끔해요</t>
        </is>
      </c>
      <c r="P167" s="6">
        <f>HYPERLINK("https://fin.land.naver.com/articles/2650836138", "매물Link")</f>
        <v/>
      </c>
      <c r="Q167" s="6">
        <f>HYPERLINK("https://map.naver.com/p/search/조치원읍 상리 79-3", "지도Link")</f>
        <v/>
      </c>
      <c r="R167" s="6">
        <f>HYPERLINK("http://www.eum.go.kr/web/ar/lu/luLandDet.jsp?pnu=3611025022100790003&amp;isNoScr=script&amp;mode=search",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318.4</v>
      </c>
      <c r="V167" s="4" t="n">
        <v>465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300</v>
      </c>
      <c r="H168" s="4" t="n">
        <v>36</v>
      </c>
      <c r="I168" s="4" t="n">
        <v>30</v>
      </c>
      <c r="J168" s="4" t="n">
        <v>9</v>
      </c>
      <c r="K168" s="5" t="n">
        <v>4</v>
      </c>
      <c r="L168" s="4" t="n">
        <v>20</v>
      </c>
      <c r="M168" s="4" t="n">
        <v>6</v>
      </c>
      <c r="N168" s="5" t="n">
        <v>6</v>
      </c>
      <c r="O168" s="3" t="inlineStr">
        <is>
          <t>깨끗한원룸.실사진.보안철저.주차시설완비</t>
        </is>
      </c>
      <c r="P168" s="6">
        <f>HYPERLINK("https://fin.land.naver.com/articles/2651069563",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척척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서창리 203-10</t>
        </is>
      </c>
      <c r="B169" s="3" t="inlineStr">
        <is>
          <t>제1종일반주거지역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다가구</t>
        </is>
      </c>
      <c r="F169" s="3" t="inlineStr">
        <is>
          <t>매매</t>
        </is>
      </c>
      <c r="G169" s="4" t="n">
        <v>49000</v>
      </c>
      <c r="H169" s="4" t="n">
        <v>0</v>
      </c>
      <c r="I169" s="4" t="n">
        <v>654</v>
      </c>
      <c r="J169" s="4" t="n">
        <v>198</v>
      </c>
      <c r="K169" s="5" t="n">
        <v>247.5</v>
      </c>
      <c r="L169" s="4" t="n">
        <v>581</v>
      </c>
      <c r="M169" s="4" t="n">
        <v>176</v>
      </c>
      <c r="N169" s="5" t="n">
        <v>278.4</v>
      </c>
      <c r="O169" s="3" t="inlineStr">
        <is>
          <t>.급매. o수익률잘나옴 o관리잘되었어요</t>
        </is>
      </c>
      <c r="P169" s="6">
        <f>HYPERLINK("https://fin.land.naver.com/articles/2650552259", "매물Link")</f>
        <v/>
      </c>
      <c r="Q169" s="6">
        <f>HYPERLINK("https://map.naver.com/p/search/조치원읍 서창리 203-10", "지도Link")</f>
        <v/>
      </c>
      <c r="R169" s="6">
        <f>HYPERLINK("http://www.eum.go.kr/web/ar/lu/luLandDet.jsp?pnu=3611025034102030010&amp;isNoScr=script&amp;mode=search", "토지이음")</f>
        <v/>
      </c>
      <c r="S169" s="3" t="inlineStr">
        <is>
          <t>바다</t>
        </is>
      </c>
      <c r="T169" s="4" t="n">
        <v>1</v>
      </c>
      <c r="U169" s="5" t="n">
        <v>205.7</v>
      </c>
      <c r="V169" s="4" t="n">
        <v>415</v>
      </c>
      <c r="W169" s="3" t="inlineStr">
        <is>
          <t>자연녹지지역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서창리 290-1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100</v>
      </c>
      <c r="H170" s="4" t="n">
        <v>30</v>
      </c>
      <c r="I170" s="4" t="n">
        <v>23</v>
      </c>
      <c r="J170" s="4" t="n">
        <v>7</v>
      </c>
      <c r="K170" s="5" t="n">
        <v>4.3</v>
      </c>
      <c r="L170" s="4" t="n">
        <v>23</v>
      </c>
      <c r="M170" s="4" t="n">
        <v>7</v>
      </c>
      <c r="N170" s="5" t="n">
        <v>4.3</v>
      </c>
      <c r="O170" s="3" t="inlineStr">
        <is>
          <t>원룸 월세</t>
        </is>
      </c>
      <c r="P170" s="6">
        <f>HYPERLINK("https://fin.land.naver.com/articles/2647836240", "매물Link")</f>
        <v/>
      </c>
      <c r="Q170" s="6">
        <f>HYPERLINK("https://map.naver.com/p/search/조치원읍 서창리 290-1", "지도Link")</f>
        <v/>
      </c>
      <c r="R170" s="6">
        <f>HYPERLINK("http://www.eum.go.kr/web/ar/lu/luLandDet.jsp?pnu=3611025034102900001&amp;isNoScr=script&amp;mode=search", "토지이음")</f>
        <v/>
      </c>
      <c r="S170" s="3" t="inlineStr">
        <is>
          <t>김준희</t>
        </is>
      </c>
      <c r="T170" s="4" t="n">
        <v>1</v>
      </c>
      <c r="U170" s="5" t="n">
        <v>321.6</v>
      </c>
      <c r="V170" s="4" t="n">
        <v>388.7</v>
      </c>
      <c r="W170" s="3" t="inlineStr">
        <is>
          <t>지정되지않음</t>
        </is>
      </c>
      <c r="X170" s="3" t="inlineStr">
        <is>
          <t>주상기타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세로각지(가)</t>
        </is>
      </c>
    </row>
    <row r="171">
      <c r="A171" s="3" t="inlineStr">
        <is>
          <t>조치원읍 서창리 290-5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300</v>
      </c>
      <c r="H171" s="4" t="n">
        <v>29</v>
      </c>
      <c r="I171" s="4" t="n">
        <v>39</v>
      </c>
      <c r="J171" s="4" t="n">
        <v>12</v>
      </c>
      <c r="K171" s="5" t="n">
        <v>2.4</v>
      </c>
      <c r="L171" s="4" t="n">
        <v>26</v>
      </c>
      <c r="M171" s="4" t="n">
        <v>8</v>
      </c>
      <c r="N171" s="5" t="n">
        <v>3.6</v>
      </c>
      <c r="O171" s="3" t="inlineStr">
        <is>
          <t>서창리.모든게옵션.10월초 협의입주가능</t>
        </is>
      </c>
      <c r="P171" s="6">
        <f>HYPERLINK("https://fin.land.naver.com/articles/2649226212", "매물Link")</f>
        <v/>
      </c>
      <c r="Q171" s="6">
        <f>HYPERLINK("https://map.naver.com/p/search/조치원읍 서창리 290-5", "지도Link")</f>
        <v/>
      </c>
      <c r="R171" s="6">
        <f>HYPERLINK("http://www.eum.go.kr/web/ar/lu/luLandDet.jsp?pnu=3611025034102900005&amp;isNoScr=script&amp;mode=search",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319.2</v>
      </c>
      <c r="V171" s="4" t="n">
        <v>237.8</v>
      </c>
      <c r="W171" s="3" t="inlineStr">
        <is>
          <t>지정되지않음</t>
        </is>
      </c>
      <c r="X171" s="3" t="inlineStr">
        <is>
          <t>주상나지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세로한면(가)</t>
        </is>
      </c>
    </row>
    <row r="172">
      <c r="A172" s="3" t="inlineStr">
        <is>
          <t>조치원읍 서창리 292-2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전세</t>
        </is>
      </c>
      <c r="G172" s="4" t="n">
        <v>4000</v>
      </c>
      <c r="H172" s="4" t="n">
        <v>0</v>
      </c>
      <c r="I172" s="4" t="n">
        <v>23</v>
      </c>
      <c r="J172" s="4" t="n">
        <v>7</v>
      </c>
      <c r="K172" s="5" t="n">
        <v>571.4</v>
      </c>
      <c r="L172" s="4" t="n">
        <v>23</v>
      </c>
      <c r="M172" s="4" t="n">
        <v>7</v>
      </c>
      <c r="N172" s="5" t="n">
        <v>571.4</v>
      </c>
      <c r="O172" s="3" t="inlineStr">
        <is>
          <t>서창리 원룸 전세</t>
        </is>
      </c>
      <c r="P172" s="6">
        <f>HYPERLINK("https://fin.land.naver.com/articles/2646197839", "매물Link")</f>
        <v/>
      </c>
      <c r="Q172" s="6">
        <f>HYPERLINK("https://map.naver.com/p/search/조치원읍 서창리 292-2", "지도Link")</f>
        <v/>
      </c>
      <c r="R172" s="6">
        <f>HYPERLINK("http://www.eum.go.kr/web/ar/lu/luLandDet.jsp?pnu=3611025034102920002&amp;isNoScr=script&amp;mode=search", "토지이음")</f>
        <v/>
      </c>
      <c r="S172" s="3" t="inlineStr">
        <is>
          <t>김준희</t>
        </is>
      </c>
      <c r="T172" s="4" t="n">
        <v>1</v>
      </c>
      <c r="U172" s="5" t="n">
        <v>324.7</v>
      </c>
      <c r="V172" s="4" t="n">
        <v>301.2</v>
      </c>
      <c r="W172" s="3" t="inlineStr">
        <is>
          <t>지정되지않음</t>
        </is>
      </c>
      <c r="X172" s="3" t="inlineStr">
        <is>
          <t>주상용</t>
        </is>
      </c>
      <c r="Y172" s="3" t="inlineStr">
        <is>
          <t>평지</t>
        </is>
      </c>
      <c r="Z172" s="3" t="inlineStr">
        <is>
          <t>정방형</t>
        </is>
      </c>
      <c r="AA172" s="3" t="inlineStr">
        <is>
          <t>세로각지(가)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0</v>
      </c>
      <c r="J173" s="4" t="n">
        <v>0</v>
      </c>
      <c r="K173" s="5" t="n">
        <v>0</v>
      </c>
      <c r="L173" s="4" t="n">
        <v>23</v>
      </c>
      <c r="M173" s="4" t="n">
        <v>7</v>
      </c>
      <c r="N173" s="5" t="n">
        <v>571.4</v>
      </c>
      <c r="O173" s="3" t="inlineStr">
        <is>
          <t>세종,오송,청주 출퇴근하기 좋은 위치의 분리형원룸</t>
        </is>
      </c>
      <c r="P173" s="6">
        <f>HYPERLINK("https://fin.land.naver.com/articles/2647378387",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무지개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296-8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4</t>
        </is>
      </c>
      <c r="E174" s="3" t="inlineStr">
        <is>
          <t>다가구</t>
        </is>
      </c>
      <c r="F174" s="3" t="inlineStr">
        <is>
          <t>매매</t>
        </is>
      </c>
      <c r="G174" s="4" t="n">
        <v>70000</v>
      </c>
      <c r="H174" s="4" t="n">
        <v>0</v>
      </c>
      <c r="I174" s="4" t="n">
        <v>317</v>
      </c>
      <c r="J174" s="4" t="n">
        <v>96</v>
      </c>
      <c r="K174" s="5" t="n">
        <v>729.2</v>
      </c>
      <c r="L174" s="4" t="n">
        <v>481</v>
      </c>
      <c r="M174" s="4" t="n">
        <v>146</v>
      </c>
      <c r="N174" s="5" t="n">
        <v>479.5</v>
      </c>
      <c r="O174" s="3" t="inlineStr">
        <is>
          <t>다가구 매매 실투자금 약 5억</t>
        </is>
      </c>
      <c r="P174" s="6">
        <f>HYPERLINK("https://fin.land.naver.com/articles/2651340270", "매물Link")</f>
        <v/>
      </c>
      <c r="Q174" s="6">
        <f>HYPERLINK("https://map.naver.com/p/search/조치원읍 서창리 296-8", "지도Link")</f>
        <v/>
      </c>
      <c r="R174" s="6">
        <f>HYPERLINK("http://www.eum.go.kr/web/ar/lu/luLandDet.jsp?pnu=3611025034102960008&amp;isNoScr=script&amp;mode=search", "토지이음")</f>
        <v/>
      </c>
      <c r="S174" s="3" t="inlineStr">
        <is>
          <t>상희</t>
        </is>
      </c>
      <c r="T174" s="4" t="n">
        <v>1</v>
      </c>
      <c r="U174" s="5" t="n">
        <v>321.1</v>
      </c>
      <c r="V174" s="4" t="n">
        <v>317.7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조치원읍 서창리 66-35</t>
        </is>
      </c>
      <c r="B175" s="3" t="inlineStr">
        <is>
          <t>제1종일반주거지역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76000</v>
      </c>
      <c r="H175" s="4" t="n">
        <v>0</v>
      </c>
      <c r="I175" s="4" t="n">
        <v>189</v>
      </c>
      <c r="J175" s="4" t="n">
        <v>57</v>
      </c>
      <c r="K175" s="5" t="n">
        <v>1333.3</v>
      </c>
      <c r="L175" s="4" t="n">
        <v>259</v>
      </c>
      <c r="M175" s="4" t="n">
        <v>78</v>
      </c>
      <c r="N175" s="5" t="n">
        <v>974.4</v>
      </c>
      <c r="O175" s="3" t="inlineStr">
        <is>
          <t>대학가 2억7천 투자 수익률7.5</t>
        </is>
      </c>
      <c r="P175" s="6">
        <f>HYPERLINK("https://fin.land.naver.com/articles/2648572698", "매물Link")</f>
        <v/>
      </c>
      <c r="Q175" s="6">
        <f>HYPERLINK("https://map.naver.com/p/search/조치원읍 서창리 66-35", "지도Link")</f>
        <v/>
      </c>
      <c r="R175" s="6">
        <f>HYPERLINK("http://www.eum.go.kr/web/ar/lu/luLandDet.jsp?pnu=3611025034100660035&amp;isNoScr=script&amp;mode=search", "토지이음")</f>
        <v/>
      </c>
      <c r="S175" s="3" t="inlineStr">
        <is>
          <t>고래</t>
        </is>
      </c>
      <c r="T175" s="4" t="n">
        <v>1</v>
      </c>
      <c r="U175" s="5" t="n">
        <v>401.7</v>
      </c>
      <c r="V175" s="4" t="n">
        <v>189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가로장방</t>
        </is>
      </c>
      <c r="AA175" s="3" t="inlineStr">
        <is>
          <t>소로한면</t>
        </is>
      </c>
    </row>
    <row r="176">
      <c r="A176" s="3" t="inlineStr">
        <is>
          <t>조치원읍 신안리 146-2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48000</v>
      </c>
      <c r="H176" s="4" t="n">
        <v>0</v>
      </c>
      <c r="I176" s="4" t="n">
        <v>283</v>
      </c>
      <c r="J176" s="4" t="n">
        <v>86</v>
      </c>
      <c r="K176" s="5" t="n">
        <v>558.1</v>
      </c>
      <c r="L176" s="4" t="n">
        <v>95</v>
      </c>
      <c r="M176" s="4" t="n">
        <v>29</v>
      </c>
      <c r="N176" s="5" t="n">
        <v>1655.2</v>
      </c>
      <c r="O176" s="3" t="inlineStr">
        <is>
          <t>편의성과 안락함을 다 갖춘 단독주택</t>
        </is>
      </c>
      <c r="P176" s="6">
        <f>HYPERLINK("https://fin.land.naver.com/articles/2647877367", "매물Link")</f>
        <v/>
      </c>
      <c r="Q176" s="6">
        <f>HYPERLINK("https://map.naver.com/p/search/조치원읍 신안리 146-2", "지도Link")</f>
        <v/>
      </c>
      <c r="R176" s="6">
        <f>HYPERLINK("http://www.eum.go.kr/web/ar/lu/luLandDet.jsp?pnu=3611025032101460002&amp;isNoScr=script&amp;mode=search", "토지이음")</f>
        <v/>
      </c>
      <c r="S176" s="3" t="inlineStr">
        <is>
          <t>무지개</t>
        </is>
      </c>
      <c r="T176" s="4" t="n">
        <v>1</v>
      </c>
      <c r="U176" s="5" t="n">
        <v>188.1</v>
      </c>
      <c r="V176" s="4" t="n">
        <v>247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신안리 168-4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</v>
      </c>
      <c r="H177" s="4" t="n">
        <v>23</v>
      </c>
      <c r="I177" s="4" t="n">
        <v>20</v>
      </c>
      <c r="J177" s="4" t="n">
        <v>6</v>
      </c>
      <c r="K177" s="5" t="n">
        <v>3.8</v>
      </c>
      <c r="L177" s="4" t="n">
        <v>20</v>
      </c>
      <c r="M177" s="4" t="n">
        <v>6</v>
      </c>
      <c r="N177" s="5" t="n">
        <v>3.8</v>
      </c>
      <c r="O177" s="3" t="inlineStr">
        <is>
          <t>신안리 홍대국제연수원인근 저렴한원룸 즉시 입주가능합니다</t>
        </is>
      </c>
      <c r="P177" s="6">
        <f>HYPERLINK("https://fin.land.naver.com/articles/2649980274", "매물Link")</f>
        <v/>
      </c>
      <c r="Q177" s="6">
        <f>HYPERLINK("https://map.naver.com/p/search/조치원읍 신안리 168-4", "지도Link")</f>
        <v/>
      </c>
      <c r="R177" s="6">
        <f>HYPERLINK("http://www.eum.go.kr/web/ar/lu/luLandDet.jsp?pnu=3611025032101680004&amp;isNoScr=script&amp;mode=search", "토지이음")</f>
        <v/>
      </c>
      <c r="S177" s="3" t="inlineStr">
        <is>
          <t>OK수</t>
        </is>
      </c>
      <c r="T177" s="4" t="n">
        <v>1</v>
      </c>
      <c r="U177" s="5" t="n">
        <v>171.6</v>
      </c>
      <c r="V177" s="4" t="n">
        <v>217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168-5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다가구</t>
        </is>
      </c>
      <c r="F178" s="3" t="inlineStr">
        <is>
          <t>매매</t>
        </is>
      </c>
      <c r="G178" s="4" t="n">
        <v>50000</v>
      </c>
      <c r="H178" s="4" t="n">
        <v>0</v>
      </c>
      <c r="I178" s="4" t="n">
        <v>208</v>
      </c>
      <c r="J178" s="4" t="n">
        <v>63</v>
      </c>
      <c r="K178" s="5" t="n">
        <v>793.7</v>
      </c>
      <c r="L178" s="4" t="n">
        <v>207</v>
      </c>
      <c r="M178" s="4" t="n">
        <v>63</v>
      </c>
      <c r="N178" s="5" t="n">
        <v>793.7</v>
      </c>
      <c r="O178" s="3" t="inlineStr">
        <is>
          <t>홍익대 조치원캠퍼스 인근 임대료 수익, 11호실</t>
        </is>
      </c>
      <c r="P178" s="6">
        <f>HYPERLINK("https://fin.land.naver.com/articles/2648906557", "매물Link")</f>
        <v/>
      </c>
      <c r="Q178" s="6">
        <f>HYPERLINK("https://map.naver.com/p/search/조치원읍 신안리 168-5", "지도Link")</f>
        <v/>
      </c>
      <c r="R178" s="6">
        <f>HYPERLINK("http://www.eum.go.kr/web/ar/lu/luLandDet.jsp?pnu=3611025032101680005&amp;isNoScr=script&amp;mode=search", "토지이음")</f>
        <v/>
      </c>
      <c r="S178" s="3" t="inlineStr">
        <is>
          <t>웰스플랜</t>
        </is>
      </c>
      <c r="T178" s="4" t="n">
        <v>1</v>
      </c>
      <c r="U178" s="5" t="n">
        <v>171.6</v>
      </c>
      <c r="V178" s="4" t="n">
        <v>208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179-17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빌라</t>
        </is>
      </c>
      <c r="F179" s="3" t="inlineStr">
        <is>
          <t>매매</t>
        </is>
      </c>
      <c r="G179" s="4" t="n">
        <v>16500</v>
      </c>
      <c r="H179" s="4" t="n">
        <v>0</v>
      </c>
      <c r="I179" s="4" t="n">
        <v>93</v>
      </c>
      <c r="J179" s="4" t="n">
        <v>28</v>
      </c>
      <c r="K179" s="5" t="n">
        <v>589.3</v>
      </c>
      <c r="L179" s="4" t="n">
        <v>80</v>
      </c>
      <c r="M179" s="4" t="n">
        <v>24</v>
      </c>
      <c r="N179" s="5" t="n">
        <v>687.5</v>
      </c>
      <c r="O179" s="3" t="inlineStr">
        <is>
          <t>신안리 올리모델링 30p 빌라.복선전철 수혜 기대.즉시입주 가능</t>
        </is>
      </c>
      <c r="P179" s="6">
        <f>HYPERLINK("https://fin.land.naver.com/articles/2647419659", "매물Link")</f>
        <v/>
      </c>
      <c r="Q179" s="6">
        <f>HYPERLINK("https://map.naver.com/p/search/조치원읍 신안리 179-17", "지도Link")</f>
        <v/>
      </c>
      <c r="R179" s="6">
        <f>HYPERLINK("http://www.eum.go.kr/web/ar/lu/luLandDet.jsp?pnu=3611025032101790017&amp;isNoScr=script&amp;mode=search", "토지이음")</f>
        <v/>
      </c>
      <c r="S179" s="3" t="inlineStr">
        <is>
          <t>하늘</t>
        </is>
      </c>
      <c r="T179" s="4" t="n">
        <v>1</v>
      </c>
      <c r="U179" s="5" t="n">
        <v>171.6</v>
      </c>
      <c r="V179" s="4" t="n">
        <v>336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신안리 홍익대학교 연수원앞, 숲이 우거진 아름다운 집임.</t>
        </is>
      </c>
      <c r="P180" s="6">
        <f>HYPERLINK("https://fin.land.naver.com/articles/2649178224",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꿈드림</t>
        </is>
      </c>
      <c r="T180" s="4" t="n">
        <v>2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383</v>
      </c>
      <c r="J181" s="4" t="n">
        <v>116</v>
      </c>
      <c r="K181" s="5" t="n">
        <v>142.2</v>
      </c>
      <c r="L181" s="4" t="n">
        <v>374</v>
      </c>
      <c r="M181" s="4" t="n">
        <v>113</v>
      </c>
      <c r="N181" s="5" t="n">
        <v>146</v>
      </c>
      <c r="O181" s="3" t="inlineStr">
        <is>
          <t>자연과 어우러진 전원형 빌라주거지 세종시와 청주. 오송방면 이동이편리함</t>
        </is>
      </c>
      <c r="P181" s="6">
        <f>HYPERLINK("https://fin.land.naver.com/articles/2649408871",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재원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빌라</t>
        </is>
      </c>
      <c r="F182" s="3" t="inlineStr">
        <is>
          <t>매매</t>
        </is>
      </c>
      <c r="G182" s="4" t="n">
        <v>16500</v>
      </c>
      <c r="H182" s="4" t="n">
        <v>0</v>
      </c>
      <c r="I182" s="4" t="n">
        <v>93</v>
      </c>
      <c r="J182" s="4" t="n">
        <v>28</v>
      </c>
      <c r="K182" s="5" t="n">
        <v>589.3</v>
      </c>
      <c r="L182" s="4" t="n">
        <v>80</v>
      </c>
      <c r="M182" s="4" t="n">
        <v>24</v>
      </c>
      <c r="N182" s="5" t="n">
        <v>687.5</v>
      </c>
      <c r="O182" s="3" t="inlineStr">
        <is>
          <t>올리모델링, 4층단독세대, 방3욕실2, 승강기, 적극협의</t>
        </is>
      </c>
      <c r="P182" s="6">
        <f>HYPERLINK("https://fin.land.naver.com/articles/2647198591",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보배</t>
        </is>
      </c>
      <c r="T182" s="4" t="n">
        <v>2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93</v>
      </c>
      <c r="J183" s="4" t="n">
        <v>28</v>
      </c>
      <c r="K183" s="5" t="n">
        <v>589.3</v>
      </c>
      <c r="L183" s="4" t="n">
        <v>80</v>
      </c>
      <c r="M183" s="4" t="n">
        <v>24</v>
      </c>
      <c r="N183" s="5" t="n">
        <v>687.5</v>
      </c>
      <c r="O183" s="3" t="inlineStr">
        <is>
          <t>nan</t>
        </is>
      </c>
      <c r="P183" s="6">
        <f>HYPERLINK("https://fin.land.naver.com/articles/2650337382",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웰스플랜</t>
        </is>
      </c>
      <c r="T183" s="4" t="n">
        <v>2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홍대 신축, 올리모델링,엘베,급매</t>
        </is>
      </c>
      <c r="P184" s="6">
        <f>HYPERLINK("https://fin.land.naver.com/articles/2646910242",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다옴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홍익대바로인근 신축빌라 올리모델링 전원주택형 예쁜빌라 교통입지편리한곳</t>
        </is>
      </c>
      <c r="P185" s="6">
        <f>HYPERLINK("https://fin.land.naver.com/articles/2646835563",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오송휴먼캐슬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빌라</t>
        </is>
      </c>
      <c r="F186" s="3" t="inlineStr">
        <is>
          <t>매매</t>
        </is>
      </c>
      <c r="G186" s="4" t="n">
        <v>18500</v>
      </c>
      <c r="H186" s="4" t="n">
        <v>0</v>
      </c>
      <c r="I186" s="4" t="n">
        <v>94</v>
      </c>
      <c r="J186" s="4" t="n">
        <v>28</v>
      </c>
      <c r="K186" s="5" t="n">
        <v>660.7</v>
      </c>
      <c r="L186" s="4" t="n">
        <v>80</v>
      </c>
      <c r="M186" s="4" t="n">
        <v>24</v>
      </c>
      <c r="N186" s="5" t="n">
        <v>770.8</v>
      </c>
      <c r="O186" s="3" t="inlineStr">
        <is>
          <t>신축으로 급매입니다</t>
        </is>
      </c>
      <c r="P186" s="6">
        <f>HYPERLINK("https://fin.land.naver.com/articles/2650356585",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푸르지오</t>
        </is>
      </c>
      <c r="T186" s="4" t="n">
        <v>4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신축,즉시입주가능, 홍대근접,엘리베이터 있음 주차장 여유, 조용한 환경</t>
        </is>
      </c>
      <c r="P187" s="6">
        <f>HYPERLINK("https://fin.land.naver.com/articles/2651286294",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담뜰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조치원읍 신안리 신축 프리미엄 빌라 급매, 쓰리룸 엘리베이터 주차여유</t>
        </is>
      </c>
      <c r="P188" s="6">
        <f>HYPERLINK("https://fin.land.naver.com/articles/2647624029",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빅토리</t>
        </is>
      </c>
      <c r="T188" s="4" t="n">
        <v>1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179-2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전원주택</t>
        </is>
      </c>
      <c r="F189" s="3" t="inlineStr">
        <is>
          <t>매매</t>
        </is>
      </c>
      <c r="G189" s="4" t="n">
        <v>28000</v>
      </c>
      <c r="H189" s="4" t="n">
        <v>0</v>
      </c>
      <c r="I189" s="4" t="n">
        <v>360</v>
      </c>
      <c r="J189" s="4" t="n">
        <v>109</v>
      </c>
      <c r="K189" s="5" t="n">
        <v>256.9</v>
      </c>
      <c r="L189" s="4" t="n">
        <v>61</v>
      </c>
      <c r="M189" s="4" t="n">
        <v>18</v>
      </c>
      <c r="N189" s="5" t="n">
        <v>1555.6</v>
      </c>
      <c r="O189" s="3" t="inlineStr">
        <is>
          <t>세종시 홍익대 주변 농가주택 급매</t>
        </is>
      </c>
      <c r="P189" s="6">
        <f>HYPERLINK("https://fin.land.naver.com/articles/2646577453", "매물Link")</f>
        <v/>
      </c>
      <c r="Q189" s="6">
        <f>HYPERLINK("https://map.naver.com/p/search/조치원읍 신안리 179-2", "지도Link")</f>
        <v/>
      </c>
      <c r="R189" s="6">
        <f>HYPERLINK("http://www.eum.go.kr/web/ar/lu/luLandDet.jsp?pnu=3611025032101790002&amp;isNoScr=script&amp;mode=search", "토지이음")</f>
        <v/>
      </c>
      <c r="S189" s="3" t="inlineStr">
        <is>
          <t>강우림</t>
        </is>
      </c>
      <c r="T189" s="4" t="n">
        <v>1</v>
      </c>
      <c r="U189" s="5" t="n">
        <v>175</v>
      </c>
      <c r="V189" s="4" t="n">
        <v>360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정방형</t>
        </is>
      </c>
      <c r="AA189" s="3" t="inlineStr">
        <is>
          <t>세로한면(가)</t>
        </is>
      </c>
    </row>
    <row r="190">
      <c r="A190" s="3" t="inlineStr">
        <is>
          <t>조치원읍 신안리 197-3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다가구</t>
        </is>
      </c>
      <c r="F190" s="3" t="inlineStr">
        <is>
          <t>매매</t>
        </is>
      </c>
      <c r="G190" s="4" t="n">
        <v>70000</v>
      </c>
      <c r="H190" s="4" t="n">
        <v>0</v>
      </c>
      <c r="I190" s="4" t="n">
        <v>595</v>
      </c>
      <c r="J190" s="4" t="n">
        <v>180</v>
      </c>
      <c r="K190" s="5" t="n">
        <v>388.9</v>
      </c>
      <c r="L190" s="4" t="n">
        <v>346</v>
      </c>
      <c r="M190" s="4" t="n">
        <v>105</v>
      </c>
      <c r="N190" s="5" t="n">
        <v>666.7</v>
      </c>
      <c r="O190" s="3" t="inlineStr">
        <is>
          <t>서창역인근,주인세대전세끼고,수익형다가구매매,인근대학교,연수원</t>
        </is>
      </c>
      <c r="P190" s="6">
        <f>HYPERLINK("https://fin.land.naver.com/articles/2647021016", "매물Link")</f>
        <v/>
      </c>
      <c r="Q190" s="6">
        <f>HYPERLINK("https://map.naver.com/p/search/조치원읍 신안리 197-3", "지도Link")</f>
        <v/>
      </c>
      <c r="R190" s="6">
        <f>HYPERLINK("http://www.eum.go.kr/web/ar/lu/luLandDet.jsp?pnu=3611025032101970003&amp;isNoScr=script&amp;mode=search", "토지이음")</f>
        <v/>
      </c>
      <c r="S190" s="3" t="inlineStr">
        <is>
          <t>에이팩시티지정</t>
        </is>
      </c>
      <c r="T190" s="4" t="n">
        <v>1</v>
      </c>
      <c r="U190" s="5" t="n">
        <v>171.6</v>
      </c>
      <c r="V190" s="4" t="n">
        <v>595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329-3</t>
        </is>
      </c>
      <c r="B191" s="3" t="inlineStr">
        <is>
          <t>제1종일반주거지역</t>
        </is>
      </c>
      <c r="C191" s="3" t="inlineStr">
        <is>
          <t>대</t>
        </is>
      </c>
      <c r="D191" s="3" t="inlineStr">
        <is>
          <t>3</t>
        </is>
      </c>
      <c r="E191" s="3" t="inlineStr">
        <is>
          <t>단독</t>
        </is>
      </c>
      <c r="F191" s="3" t="inlineStr">
        <is>
          <t>매매</t>
        </is>
      </c>
      <c r="G191" s="4" t="n">
        <v>93000</v>
      </c>
      <c r="H191" s="4" t="n">
        <v>0</v>
      </c>
      <c r="I191" s="4" t="n">
        <v>241</v>
      </c>
      <c r="J191" s="4" t="n">
        <v>73</v>
      </c>
      <c r="K191" s="5" t="n">
        <v>1274</v>
      </c>
      <c r="L191" s="4" t="n">
        <v>299</v>
      </c>
      <c r="M191" s="4" t="n">
        <v>90</v>
      </c>
      <c r="N191" s="5" t="n">
        <v>1033.3</v>
      </c>
      <c r="O191" s="3" t="inlineStr">
        <is>
          <t>홍익대초인접 연세잘나오고 수익좋아요 공실없는 수익형다가구</t>
        </is>
      </c>
      <c r="P191" s="6">
        <f>HYPERLINK("https://fin.land.naver.com/articles/2646673124", "매물Link")</f>
        <v/>
      </c>
      <c r="Q191" s="6">
        <f>HYPERLINK("https://map.naver.com/p/search/조치원읍 신안리 329-3", "지도Link")</f>
        <v/>
      </c>
      <c r="R191" s="6">
        <f>HYPERLINK("http://www.eum.go.kr/web/ar/lu/luLandDet.jsp?pnu=3611025032103290003&amp;isNoScr=script&amp;mode=search", "토지이음")</f>
        <v/>
      </c>
      <c r="S191" s="3" t="inlineStr">
        <is>
          <t>세종새빛</t>
        </is>
      </c>
      <c r="T191" s="4" t="n">
        <v>1</v>
      </c>
      <c r="U191" s="5" t="n">
        <v>193.5</v>
      </c>
      <c r="V191" s="4" t="n">
        <v>241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완경사</t>
        </is>
      </c>
      <c r="Z191" s="3" t="inlineStr">
        <is>
          <t>부정형</t>
        </is>
      </c>
      <c r="AA191" s="3" t="inlineStr">
        <is>
          <t>세로한면(가)</t>
        </is>
      </c>
    </row>
    <row r="192">
      <c r="A192" s="3" t="inlineStr">
        <is>
          <t>조치원읍 신안리 341-1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단독</t>
        </is>
      </c>
      <c r="F192" s="3" t="inlineStr">
        <is>
          <t>매매</t>
        </is>
      </c>
      <c r="G192" s="4" t="n">
        <v>60000</v>
      </c>
      <c r="H192" s="4" t="n">
        <v>0</v>
      </c>
      <c r="I192" s="4" t="n">
        <v>271</v>
      </c>
      <c r="J192" s="4" t="n">
        <v>82</v>
      </c>
      <c r="K192" s="5" t="n">
        <v>731.7</v>
      </c>
      <c r="L192" s="4" t="n">
        <v>428</v>
      </c>
      <c r="M192" s="4" t="n">
        <v>129</v>
      </c>
      <c r="N192" s="5" t="n">
        <v>465.1</v>
      </c>
      <c r="O192" s="3" t="inlineStr">
        <is>
          <t>홍익대학생들의  입소문으로만 임대계약완료, 공실걱정 없음</t>
        </is>
      </c>
      <c r="P192" s="6">
        <f>HYPERLINK("https://fin.land.naver.com/articles/2647256496", "매물Link")</f>
        <v/>
      </c>
      <c r="Q192" s="6">
        <f>HYPERLINK("https://map.naver.com/p/search/조치원읍 신안리 341-1", "지도Link")</f>
        <v/>
      </c>
      <c r="R192" s="6">
        <f>HYPERLINK("http://www.eum.go.kr/web/ar/lu/luLandDet.jsp?pnu=3611025032103410001&amp;isNoScr=script&amp;mode=search", "토지이음")</f>
        <v/>
      </c>
      <c r="S192" s="3" t="inlineStr">
        <is>
          <t>세종공감</t>
        </is>
      </c>
      <c r="T192" s="4" t="n">
        <v>1</v>
      </c>
      <c r="U192" s="5" t="n">
        <v>227</v>
      </c>
      <c r="V192" s="4" t="n">
        <v>271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343-5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단독</t>
        </is>
      </c>
      <c r="F193" s="3" t="inlineStr">
        <is>
          <t>매매</t>
        </is>
      </c>
      <c r="G193" s="4" t="n">
        <v>230000</v>
      </c>
      <c r="H193" s="4" t="n">
        <v>0</v>
      </c>
      <c r="I193" s="4" t="n">
        <v>304</v>
      </c>
      <c r="J193" s="4" t="n">
        <v>92</v>
      </c>
      <c r="K193" s="5" t="n">
        <v>2500</v>
      </c>
      <c r="L193" s="4" t="n">
        <v>331</v>
      </c>
      <c r="M193" s="4" t="n">
        <v>100</v>
      </c>
      <c r="N193" s="5" t="n">
        <v>2300</v>
      </c>
      <c r="O193" s="3" t="inlineStr">
        <is>
          <t>고객만족1위, 앞상가 동시매매,세종시 홍익대, 고려대  인근, 투자 최상</t>
        </is>
      </c>
      <c r="P193" s="6">
        <f>HYPERLINK("https://fin.land.naver.com/articles/2646541554", "매물Link")</f>
        <v/>
      </c>
      <c r="Q193" s="6">
        <f>HYPERLINK("https://map.naver.com/p/search/조치원읍 신안리 343-5", "지도Link")</f>
        <v/>
      </c>
      <c r="R193" s="6">
        <f>HYPERLINK("http://www.eum.go.kr/web/ar/lu/luLandDet.jsp?pnu=3611025032103430005&amp;isNoScr=script&amp;mode=search", "토지이음")</f>
        <v/>
      </c>
      <c r="S193" s="3" t="inlineStr">
        <is>
          <t>생생</t>
        </is>
      </c>
      <c r="T193" s="4" t="n">
        <v>1</v>
      </c>
      <c r="U193" s="5" t="n">
        <v>299.6</v>
      </c>
      <c r="V193" s="4" t="n">
        <v>304</v>
      </c>
      <c r="W193" s="3" t="inlineStr">
        <is>
          <t>지정되지않음</t>
        </is>
      </c>
      <c r="X193" s="3" t="inlineStr">
        <is>
          <t>주상용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353-19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3</t>
        </is>
      </c>
      <c r="E194" s="3" t="inlineStr">
        <is>
          <t>다가구</t>
        </is>
      </c>
      <c r="F194" s="3" t="inlineStr">
        <is>
          <t>매매</t>
        </is>
      </c>
      <c r="G194" s="4" t="n">
        <v>62000</v>
      </c>
      <c r="H194" s="4" t="n">
        <v>0</v>
      </c>
      <c r="I194" s="4" t="n">
        <v>158</v>
      </c>
      <c r="J194" s="4" t="n">
        <v>48</v>
      </c>
      <c r="K194" s="5" t="n">
        <v>1291.7</v>
      </c>
      <c r="L194" s="4" t="n">
        <v>264</v>
      </c>
      <c r="M194" s="4" t="n">
        <v>80</v>
      </c>
      <c r="N194" s="5" t="n">
        <v>775</v>
      </c>
      <c r="O194" s="3" t="inlineStr">
        <is>
          <t>nan</t>
        </is>
      </c>
      <c r="P194" s="6">
        <f>HYPERLINK("https://fin.land.naver.com/articles/2650552332", "매물Link")</f>
        <v/>
      </c>
      <c r="Q194" s="6">
        <f>HYPERLINK("https://map.naver.com/p/search/조치원읍 신안리 353-19", "지도Link")</f>
        <v/>
      </c>
      <c r="R194" s="6">
        <f>HYPERLINK("http://www.eum.go.kr/web/ar/lu/luLandDet.jsp?pnu=3611025032103530019&amp;isNoScr=script&amp;mode=search", "토지이음")</f>
        <v/>
      </c>
      <c r="S194" s="3" t="inlineStr">
        <is>
          <t>바다</t>
        </is>
      </c>
      <c r="T194" s="4" t="n">
        <v>1</v>
      </c>
      <c r="U194" s="5" t="n">
        <v>210.3</v>
      </c>
      <c r="V194" s="4" t="n">
        <v>156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354-40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다가구</t>
        </is>
      </c>
      <c r="F195" s="3" t="inlineStr">
        <is>
          <t>매매</t>
        </is>
      </c>
      <c r="G195" s="4" t="n">
        <v>90000</v>
      </c>
      <c r="H195" s="4" t="n">
        <v>0</v>
      </c>
      <c r="I195" s="4" t="n">
        <v>347</v>
      </c>
      <c r="J195" s="4" t="n">
        <v>105</v>
      </c>
      <c r="K195" s="5" t="n">
        <v>857.1</v>
      </c>
      <c r="L195" s="4" t="n">
        <v>615</v>
      </c>
      <c r="M195" s="4" t="n">
        <v>186</v>
      </c>
      <c r="N195" s="5" t="n">
        <v>483.9</v>
      </c>
      <c r="O195" s="3" t="inlineStr">
        <is>
          <t>대학생들에게 인기 있고 관리가 잘된 원룸입니다.</t>
        </is>
      </c>
      <c r="P195" s="6">
        <f>HYPERLINK("https://fin.land.naver.com/articles/2647249221", "매물Link")</f>
        <v/>
      </c>
      <c r="Q195" s="6">
        <f>HYPERLINK("https://map.naver.com/p/search/조치원읍 신안리 354-40", "지도Link")</f>
        <v/>
      </c>
      <c r="R195" s="6">
        <f>HYPERLINK("http://www.eum.go.kr/web/ar/lu/luLandDet.jsp?pnu=3611025032103540040&amp;isNoScr=script&amp;mode=search", "토지이음")</f>
        <v/>
      </c>
      <c r="S195" s="3" t="inlineStr">
        <is>
          <t>세종공감</t>
        </is>
      </c>
      <c r="T195" s="4" t="n">
        <v>1</v>
      </c>
      <c r="U195" s="5" t="n">
        <v>204</v>
      </c>
      <c r="V195" s="4" t="n">
        <v>273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부정형</t>
        </is>
      </c>
      <c r="AA195" s="3" t="inlineStr">
        <is>
          <t>세로한면(가)</t>
        </is>
      </c>
    </row>
    <row r="196">
      <c r="A196" s="3" t="inlineStr">
        <is>
          <t>조치원읍 신안리 383-13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45000</v>
      </c>
      <c r="H196" s="4" t="n">
        <v>0</v>
      </c>
      <c r="I196" s="4" t="n">
        <v>188</v>
      </c>
      <c r="J196" s="4" t="n">
        <v>57</v>
      </c>
      <c r="K196" s="5" t="n">
        <v>789.5</v>
      </c>
      <c r="L196" s="4" t="n">
        <v>326</v>
      </c>
      <c r="M196" s="4" t="n">
        <v>99</v>
      </c>
      <c r="N196" s="5" t="n">
        <v>454.5</v>
      </c>
      <c r="O196" s="3" t="inlineStr">
        <is>
          <t>리모델링 원룸 매매</t>
        </is>
      </c>
      <c r="P196" s="6">
        <f>HYPERLINK("https://fin.land.naver.com/articles/2648567043", "매물Link")</f>
        <v/>
      </c>
      <c r="Q196" s="6">
        <f>HYPERLINK("https://map.naver.com/p/search/조치원읍 신안리 383-13", "지도Link")</f>
        <v/>
      </c>
      <c r="R196" s="6">
        <f>HYPERLINK("http://www.eum.go.kr/web/ar/lu/luLandDet.jsp?pnu=3611025032103830013&amp;isNoScr=script&amp;mode=search", "토지이음")</f>
        <v/>
      </c>
      <c r="S196" s="3" t="inlineStr">
        <is>
          <t>고래</t>
        </is>
      </c>
      <c r="T196" s="4" t="n">
        <v>1</v>
      </c>
      <c r="U196" s="5" t="n">
        <v>208.6</v>
      </c>
      <c r="V196" s="4" t="n">
        <v>188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세로각지(가)</t>
        </is>
      </c>
    </row>
    <row r="197">
      <c r="A197" s="3" t="inlineStr">
        <is>
          <t>조치원읍 신안리 383-8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45000</v>
      </c>
      <c r="H197" s="4" t="n">
        <v>0</v>
      </c>
      <c r="I197" s="4" t="n">
        <v>314</v>
      </c>
      <c r="J197" s="4" t="n">
        <v>95</v>
      </c>
      <c r="K197" s="5" t="n">
        <v>473.7</v>
      </c>
      <c r="L197" s="4" t="n">
        <v>224</v>
      </c>
      <c r="M197" s="4" t="n">
        <v>68</v>
      </c>
      <c r="N197" s="5" t="n">
        <v>661.8</v>
      </c>
      <c r="O197" s="3" t="inlineStr">
        <is>
          <t>남향, 고려대홍익대 인근 대지 넓은 2층 단독주택</t>
        </is>
      </c>
      <c r="P197" s="6">
        <f>HYPERLINK("https://fin.land.naver.com/articles/2647246878", "매물Link")</f>
        <v/>
      </c>
      <c r="Q197" s="6">
        <f>HYPERLINK("https://map.naver.com/p/search/조치원읍 신안리 383-8", "지도Link")</f>
        <v/>
      </c>
      <c r="R197" s="6">
        <f>HYPERLINK("http://www.eum.go.kr/web/ar/lu/luLandDet.jsp?pnu=3611025032103830008&amp;isNoScr=script&amp;mode=search",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200.1</v>
      </c>
      <c r="V197" s="4" t="n">
        <v>302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384-2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35000</v>
      </c>
      <c r="H198" s="4" t="n">
        <v>0</v>
      </c>
      <c r="I198" s="4" t="n">
        <v>230</v>
      </c>
      <c r="J198" s="4" t="n">
        <v>70</v>
      </c>
      <c r="K198" s="5" t="n">
        <v>500</v>
      </c>
      <c r="L198" s="4" t="n">
        <v>156</v>
      </c>
      <c r="M198" s="4" t="n">
        <v>47</v>
      </c>
      <c r="N198" s="5" t="n">
        <v>744.7</v>
      </c>
      <c r="O198" s="3" t="inlineStr">
        <is>
          <t>세종시 홍익대 고려대 홍익대정책연구원 인근</t>
        </is>
      </c>
      <c r="P198" s="6">
        <f>HYPERLINK("https://fin.land.naver.com/articles/2647867345", "매물Link")</f>
        <v/>
      </c>
      <c r="Q198" s="6">
        <f>HYPERLINK("https://map.naver.com/p/search/조치원읍 신안리 384-2", "지도Link")</f>
        <v/>
      </c>
      <c r="R198" s="6">
        <f>HYPERLINK("http://www.eum.go.kr/web/ar/lu/luLandDet.jsp?pnu=3611025032103840002&amp;isNoScr=script&amp;mode=search", "토지이음")</f>
        <v/>
      </c>
      <c r="S198" s="3" t="inlineStr">
        <is>
          <t>서울(단지내)</t>
        </is>
      </c>
      <c r="T198" s="4" t="n">
        <v>1</v>
      </c>
      <c r="U198" s="5" t="n">
        <v>206.8</v>
      </c>
      <c r="V198" s="4" t="n">
        <v>252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세로각지(가)</t>
        </is>
      </c>
    </row>
    <row r="199">
      <c r="A199" s="3" t="inlineStr">
        <is>
          <t>조치원읍 신안리 385-12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다가구</t>
        </is>
      </c>
      <c r="F199" s="3" t="inlineStr">
        <is>
          <t>매매</t>
        </is>
      </c>
      <c r="G199" s="4" t="n">
        <v>60000</v>
      </c>
      <c r="H199" s="4" t="n">
        <v>0</v>
      </c>
      <c r="I199" s="4" t="n">
        <v>322</v>
      </c>
      <c r="J199" s="4" t="n">
        <v>97</v>
      </c>
      <c r="K199" s="5" t="n">
        <v>618.6</v>
      </c>
      <c r="L199" s="4" t="n">
        <v>493</v>
      </c>
      <c r="M199" s="4" t="n">
        <v>149</v>
      </c>
      <c r="N199" s="5" t="n">
        <v>402.7</v>
      </c>
      <c r="O199" s="3" t="inlineStr">
        <is>
          <t>홍익대학교, 고려대학교 후문쪽 위치, 공실없음</t>
        </is>
      </c>
      <c r="P199" s="6">
        <f>HYPERLINK("https://fin.land.naver.com/articles/2647247647", "매물Link")</f>
        <v/>
      </c>
      <c r="Q199" s="6">
        <f>HYPERLINK("https://map.naver.com/p/search/조치원읍 신안리 385-12", "지도Link")</f>
        <v/>
      </c>
      <c r="R199" s="6">
        <f>HYPERLINK("http://www.eum.go.kr/web/ar/lu/luLandDet.jsp?pnu=3611025032103850012&amp;isNoScr=script&amp;mode=search",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192.9</v>
      </c>
      <c r="V199" s="4" t="n">
        <v>322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조치원읍 신안리 385-12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다가구</t>
        </is>
      </c>
      <c r="F200" s="3" t="inlineStr">
        <is>
          <t>매매</t>
        </is>
      </c>
      <c r="G200" s="4" t="n">
        <v>60000</v>
      </c>
      <c r="H200" s="4" t="n">
        <v>0</v>
      </c>
      <c r="I200" s="4" t="n">
        <v>322</v>
      </c>
      <c r="J200" s="4" t="n">
        <v>97</v>
      </c>
      <c r="K200" s="5" t="n">
        <v>618.6</v>
      </c>
      <c r="L200" s="4" t="n">
        <v>493</v>
      </c>
      <c r="M200" s="4" t="n">
        <v>149</v>
      </c>
      <c r="N200" s="5" t="n">
        <v>402.7</v>
      </c>
      <c r="O200" s="3" t="inlineStr">
        <is>
          <t>홍익대학교 원룸 다가구매매.수익률잘나옴.</t>
        </is>
      </c>
      <c r="P200" s="6">
        <f>HYPERLINK("https://fin.land.naver.com/articles/2650552276", "매물Link")</f>
        <v/>
      </c>
      <c r="Q200" s="6">
        <f>HYPERLINK("https://map.naver.com/p/search/조치원읍 신안리 385-12", "지도Link")</f>
        <v/>
      </c>
      <c r="R200" s="6">
        <f>HYPERLINK("http://www.eum.go.kr/web/ar/lu/luLandDet.jsp?pnu=3611025032103850012&amp;isNoScr=script&amp;mode=search", "토지이음")</f>
        <v/>
      </c>
      <c r="S200" s="3" t="inlineStr">
        <is>
          <t>바다</t>
        </is>
      </c>
      <c r="T200" s="4" t="n">
        <v>1</v>
      </c>
      <c r="U200" s="5" t="n">
        <v>192.9</v>
      </c>
      <c r="V200" s="4" t="n">
        <v>322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부정형</t>
        </is>
      </c>
      <c r="AA200" s="3" t="inlineStr">
        <is>
          <t>세로한면(가)</t>
        </is>
      </c>
    </row>
    <row r="201">
      <c r="A201" s="3" t="inlineStr">
        <is>
          <t>조치원읍 신안리 386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월세</t>
        </is>
      </c>
      <c r="G201" s="4" t="n">
        <v>100</v>
      </c>
      <c r="H201" s="4" t="n">
        <v>26</v>
      </c>
      <c r="I201" s="4" t="n">
        <v>26</v>
      </c>
      <c r="J201" s="4" t="n">
        <v>8</v>
      </c>
      <c r="K201" s="5" t="n">
        <v>3.2</v>
      </c>
      <c r="L201" s="4" t="n">
        <v>26</v>
      </c>
      <c r="M201" s="4" t="n">
        <v>8</v>
      </c>
      <c r="N201" s="5" t="n">
        <v>3.2</v>
      </c>
      <c r="O201" s="3" t="inlineStr">
        <is>
          <t>보증금과 월세가 저렴하고 넓은 방, 고려대, 홍익대 인근임</t>
        </is>
      </c>
      <c r="P201" s="6">
        <f>HYPERLINK("https://fin.land.naver.com/articles/2648513014", "매물Link")</f>
        <v/>
      </c>
      <c r="Q201" s="6">
        <f>HYPERLINK("https://map.naver.com/p/search/조치원읍 신안리 386", "지도Link")</f>
        <v/>
      </c>
      <c r="R201" s="6">
        <f>HYPERLINK("http://www.eum.go.kr/web/ar/lu/luLandDet.jsp?pnu=3611025032103860000&amp;isNoScr=script&amp;mode=search", "토지이음")</f>
        <v/>
      </c>
      <c r="S201" s="3" t="inlineStr">
        <is>
          <t>세종베스트</t>
        </is>
      </c>
      <c r="T201" s="4" t="n">
        <v>1</v>
      </c>
      <c r="U201" s="5" t="n">
        <v>192.9</v>
      </c>
      <c r="V201" s="4" t="n">
        <v>295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387-5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4</t>
        </is>
      </c>
      <c r="E202" s="3" t="inlineStr">
        <is>
          <t>다가구</t>
        </is>
      </c>
      <c r="F202" s="3" t="inlineStr">
        <is>
          <t>매매</t>
        </is>
      </c>
      <c r="G202" s="4" t="n">
        <v>110000</v>
      </c>
      <c r="H202" s="4" t="n">
        <v>0</v>
      </c>
      <c r="I202" s="4" t="n">
        <v>351</v>
      </c>
      <c r="J202" s="4" t="n">
        <v>106</v>
      </c>
      <c r="K202" s="5" t="n">
        <v>1037.7</v>
      </c>
      <c r="L202" s="4" t="n">
        <v>594</v>
      </c>
      <c r="M202" s="4" t="n">
        <v>180</v>
      </c>
      <c r="N202" s="5" t="n">
        <v>611.1</v>
      </c>
      <c r="O202" s="3" t="inlineStr">
        <is>
          <t>고대와 홍대사이의 인기있는 원룸으로 공실없음</t>
        </is>
      </c>
      <c r="P202" s="6">
        <f>HYPERLINK("https://fin.land.naver.com/articles/2647249766", "매물Link")</f>
        <v/>
      </c>
      <c r="Q202" s="6">
        <f>HYPERLINK("https://map.naver.com/p/search/조치원읍 신안리 387-5", "지도Link")</f>
        <v/>
      </c>
      <c r="R202" s="6">
        <f>HYPERLINK("http://www.eum.go.kr/web/ar/lu/luLandDet.jsp?pnu=3611025032103870005&amp;isNoScr=script&amp;mode=search", "토지이음")</f>
        <v/>
      </c>
      <c r="S202" s="3" t="inlineStr">
        <is>
          <t>세종공감</t>
        </is>
      </c>
      <c r="T202" s="4" t="n">
        <v>1</v>
      </c>
      <c r="U202" s="5" t="n">
        <v>182.9</v>
      </c>
      <c r="V202" s="4" t="n">
        <v>351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세로한면(불)</t>
        </is>
      </c>
    </row>
    <row r="203">
      <c r="A203" s="3" t="inlineStr">
        <is>
          <t>조치원읍 신안리 388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0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300</v>
      </c>
      <c r="H203" s="4" t="n">
        <v>29</v>
      </c>
      <c r="I203" s="4" t="n">
        <v>25</v>
      </c>
      <c r="J203" s="4" t="n">
        <v>8</v>
      </c>
      <c r="K203" s="5" t="n">
        <v>3.6</v>
      </c>
      <c r="L203" s="4" t="n">
        <v>25</v>
      </c>
      <c r="M203" s="4" t="n">
        <v>8</v>
      </c>
      <c r="N203" s="5" t="n">
        <v>3.6</v>
      </c>
      <c r="O203" s="3" t="inlineStr">
        <is>
          <t>공실 즉시입주 1층 주차장 있는 집</t>
        </is>
      </c>
      <c r="P203" s="6">
        <f>HYPERLINK("https://fin.land.naver.com/articles/2649956504", "매물Link")</f>
        <v/>
      </c>
      <c r="Q203" s="6">
        <f>HYPERLINK("https://map.naver.com/p/search/조치원읍 신안리 388", "지도Link")</f>
        <v/>
      </c>
      <c r="R203" s="6">
        <f>HYPERLINK("http://www.eum.go.kr/web/ar/lu/luLandDet.jsp?pnu=3611025032103880000&amp;isNoScr=script&amp;mode=search", "토지이음")</f>
        <v/>
      </c>
      <c r="S203" s="3" t="inlineStr">
        <is>
          <t>부자터</t>
        </is>
      </c>
      <c r="T203" s="4" t="n">
        <v>1</v>
      </c>
      <c r="U203" s="5" t="n">
        <v>198.8</v>
      </c>
      <c r="V203" s="4" t="n">
        <v>384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389-8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일반원룸</t>
        </is>
      </c>
      <c r="F204" s="3" t="inlineStr">
        <is>
          <t>전세</t>
        </is>
      </c>
      <c r="G204" s="4" t="n">
        <v>4500</v>
      </c>
      <c r="H204" s="4" t="n">
        <v>0</v>
      </c>
      <c r="I204" s="4" t="n">
        <v>25</v>
      </c>
      <c r="J204" s="4" t="n">
        <v>8</v>
      </c>
      <c r="K204" s="5" t="n">
        <v>562.5</v>
      </c>
      <c r="L204" s="4" t="n">
        <v>25</v>
      </c>
      <c r="M204" s="4" t="n">
        <v>8</v>
      </c>
      <c r="N204" s="5" t="n">
        <v>562.5</v>
      </c>
      <c r="O204" s="3" t="inlineStr">
        <is>
          <t>공과금 모두 포함하여 1달 15만원 추가비용없음</t>
        </is>
      </c>
      <c r="P204" s="6">
        <f>HYPERLINK("https://fin.land.naver.com/articles/2647185496", "매물Link")</f>
        <v/>
      </c>
      <c r="Q204" s="6">
        <f>HYPERLINK("https://map.naver.com/p/search/조치원읍 신안리 389-8", "지도Link")</f>
        <v/>
      </c>
      <c r="R204" s="6">
        <f>HYPERLINK("http://www.eum.go.kr/web/ar/lu/luLandDet.jsp?pnu=3611025032103890008&amp;isNoScr=script&amp;mode=search", "토지이음")</f>
        <v/>
      </c>
      <c r="S204" s="3" t="inlineStr">
        <is>
          <t>부자터</t>
        </is>
      </c>
      <c r="T204" s="4" t="n">
        <v>1</v>
      </c>
      <c r="U204" s="5" t="n">
        <v>363.6</v>
      </c>
      <c r="V204" s="4" t="n">
        <v>294</v>
      </c>
      <c r="W204" s="3" t="inlineStr">
        <is>
          <t>지정되지않음</t>
        </is>
      </c>
      <c r="X204" s="3" t="inlineStr">
        <is>
          <t>주상용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중로한면</t>
        </is>
      </c>
    </row>
    <row r="205">
      <c r="A205" s="3" t="inlineStr">
        <is>
          <t>조치원읍 신안리 389-8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0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100</v>
      </c>
      <c r="H205" s="4" t="n">
        <v>20</v>
      </c>
      <c r="I205" s="4" t="n">
        <v>15</v>
      </c>
      <c r="J205" s="4" t="n">
        <v>5</v>
      </c>
      <c r="K205" s="5" t="n">
        <v>4</v>
      </c>
      <c r="L205" s="4" t="n">
        <v>15</v>
      </c>
      <c r="M205" s="4" t="n">
        <v>5</v>
      </c>
      <c r="N205" s="5" t="n">
        <v>4</v>
      </c>
      <c r="O205" s="3" t="inlineStr">
        <is>
          <t>한달28만원에 공과금 모두 포함, 추가금 없음</t>
        </is>
      </c>
      <c r="P205" s="6">
        <f>HYPERLINK("https://fin.land.naver.com/articles/2648554234", "매물Link")</f>
        <v/>
      </c>
      <c r="Q205" s="6">
        <f>HYPERLINK("https://map.naver.com/p/search/조치원읍 신안리 389-8", "지도Link")</f>
        <v/>
      </c>
      <c r="R205" s="6">
        <f>HYPERLINK("http://www.eum.go.kr/web/ar/lu/luLandDet.jsp?pnu=3611025032103890008&amp;isNoScr=script&amp;mode=search", "토지이음")</f>
        <v/>
      </c>
      <c r="S205" s="3" t="inlineStr">
        <is>
          <t>부자터</t>
        </is>
      </c>
      <c r="T205" s="4" t="n">
        <v>1</v>
      </c>
      <c r="U205" s="5" t="n">
        <v>363.6</v>
      </c>
      <c r="V205" s="4" t="n">
        <v>294</v>
      </c>
      <c r="W205" s="3" t="inlineStr">
        <is>
          <t>지정되지않음</t>
        </is>
      </c>
      <c r="X205" s="3" t="inlineStr">
        <is>
          <t>주상용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중로한면</t>
        </is>
      </c>
    </row>
    <row r="206">
      <c r="A206" s="3" t="inlineStr">
        <is>
          <t>조치원읍 신안리 393-12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1</t>
        </is>
      </c>
      <c r="E206" s="3" t="inlineStr">
        <is>
          <t>일반원룸</t>
        </is>
      </c>
      <c r="F206" s="3" t="inlineStr">
        <is>
          <t>월세</t>
        </is>
      </c>
      <c r="G206" s="4" t="n">
        <v>30</v>
      </c>
      <c r="H206" s="4" t="n">
        <v>38</v>
      </c>
      <c r="I206" s="4" t="n">
        <v>0</v>
      </c>
      <c r="J206" s="4" t="n">
        <v>0</v>
      </c>
      <c r="K206" s="5" t="n">
        <v>0</v>
      </c>
      <c r="L206" s="4" t="n">
        <v>13</v>
      </c>
      <c r="M206" s="4" t="n">
        <v>4</v>
      </c>
      <c r="N206" s="5" t="n">
        <v>9.5</v>
      </c>
      <c r="O206" s="3" t="inlineStr">
        <is>
          <t>출퇴근용으로 거주하기 좋은 저렴한 원룸단기가능모든공과금포함</t>
        </is>
      </c>
      <c r="P206" s="6">
        <f>HYPERLINK("https://fin.land.naver.com/articles/2647381579", "매물Link")</f>
        <v/>
      </c>
      <c r="Q206" s="6">
        <f>HYPERLINK("https://map.naver.com/p/search/조치원읍 신안리 393-12", "지도Link")</f>
        <v/>
      </c>
      <c r="R206" s="6">
        <f>HYPERLINK("http://www.eum.go.kr/web/ar/lu/luLandDet.jsp?pnu=3611025032103930012&amp;isNoScr=script&amp;mode=search", "토지이음")</f>
        <v/>
      </c>
      <c r="S206" s="3" t="inlineStr">
        <is>
          <t>무지개</t>
        </is>
      </c>
      <c r="T206" s="4" t="n">
        <v>1</v>
      </c>
      <c r="U206" s="5" t="n">
        <v>202.2</v>
      </c>
      <c r="V206" s="4" t="n">
        <v>319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세로한면(가)</t>
        </is>
      </c>
    </row>
    <row r="207">
      <c r="A207" s="3" t="inlineStr">
        <is>
          <t>조치원읍 신안리 394-12</t>
        </is>
      </c>
      <c r="B207" s="3" t="inlineStr">
        <is>
          <t>제1종일반주거지역</t>
        </is>
      </c>
      <c r="C207" s="3" t="inlineStr">
        <is>
          <t>대</t>
        </is>
      </c>
      <c r="D207" s="3" t="inlineStr">
        <is>
          <t>0</t>
        </is>
      </c>
      <c r="E207" s="3" t="inlineStr">
        <is>
          <t>일반원룸</t>
        </is>
      </c>
      <c r="F207" s="3" t="inlineStr">
        <is>
          <t>월세</t>
        </is>
      </c>
      <c r="G207" s="4" t="n">
        <v>300</v>
      </c>
      <c r="H207" s="4" t="n">
        <v>30</v>
      </c>
      <c r="I207" s="4" t="n">
        <v>25</v>
      </c>
      <c r="J207" s="4" t="n">
        <v>8</v>
      </c>
      <c r="K207" s="5" t="n">
        <v>3.8</v>
      </c>
      <c r="L207" s="4" t="n">
        <v>25</v>
      </c>
      <c r="M207" s="4" t="n">
        <v>8</v>
      </c>
      <c r="N207" s="5" t="n">
        <v>3.8</v>
      </c>
      <c r="O207" s="3" t="inlineStr">
        <is>
          <t>음식점, 편의점, 버스정류장도 가까운 곳에 있는 집</t>
        </is>
      </c>
      <c r="P207" s="6">
        <f>HYPERLINK("https://fin.land.naver.com/articles/2649956802", "매물Link")</f>
        <v/>
      </c>
      <c r="Q207" s="6">
        <f>HYPERLINK("https://map.naver.com/p/search/조치원읍 신안리 394-12", "지도Link")</f>
        <v/>
      </c>
      <c r="R207" s="6">
        <f>HYPERLINK("http://www.eum.go.kr/web/ar/lu/luLandDet.jsp?pnu=3611025032103940012&amp;isNoScr=script&amp;mode=search",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302.3</v>
      </c>
      <c r="V207" s="4" t="n">
        <v>222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중로한면</t>
        </is>
      </c>
    </row>
    <row r="208">
      <c r="A208" s="3" t="inlineStr">
        <is>
          <t>조치원읍 신안리 394-35</t>
        </is>
      </c>
      <c r="B208" s="3" t="inlineStr">
        <is>
          <t>제1종일반주거지역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단독</t>
        </is>
      </c>
      <c r="F208" s="3" t="inlineStr">
        <is>
          <t>매매</t>
        </is>
      </c>
      <c r="G208" s="4" t="n">
        <v>90000</v>
      </c>
      <c r="H208" s="4" t="n">
        <v>0</v>
      </c>
      <c r="I208" s="4" t="n">
        <v>311</v>
      </c>
      <c r="J208" s="4" t="n">
        <v>94</v>
      </c>
      <c r="K208" s="5" t="n">
        <v>957.4</v>
      </c>
      <c r="L208" s="4" t="n">
        <v>328</v>
      </c>
      <c r="M208" s="4" t="n">
        <v>99</v>
      </c>
      <c r="N208" s="5" t="n">
        <v>909.1</v>
      </c>
      <c r="O208" s="3" t="inlineStr">
        <is>
          <t>수익률 10 년수익 5,145만원 원룸 통매매</t>
        </is>
      </c>
      <c r="P208" s="6">
        <f>HYPERLINK("https://fin.land.naver.com/articles/2648570400", "매물Link")</f>
        <v/>
      </c>
      <c r="Q208" s="6">
        <f>HYPERLINK("https://map.naver.com/p/search/조치원읍 신안리 394-35", "지도Link")</f>
        <v/>
      </c>
      <c r="R208" s="6">
        <f>HYPERLINK("http://www.eum.go.kr/web/ar/lu/luLandDet.jsp?pnu=3611025032103940035&amp;isNoScr=script&amp;mode=search", "토지이음")</f>
        <v/>
      </c>
      <c r="S208" s="3" t="inlineStr">
        <is>
          <t>고래</t>
        </is>
      </c>
      <c r="T208" s="4" t="n">
        <v>1</v>
      </c>
      <c r="U208" s="5" t="n">
        <v>235.1</v>
      </c>
      <c r="V208" s="4" t="n">
        <v>311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세로한면(불)</t>
        </is>
      </c>
    </row>
    <row r="209">
      <c r="A209" s="3" t="inlineStr">
        <is>
          <t>조치원읍 신안리 394-38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100000</v>
      </c>
      <c r="H209" s="4" t="n">
        <v>0</v>
      </c>
      <c r="I209" s="4" t="n">
        <v>289</v>
      </c>
      <c r="J209" s="4" t="n">
        <v>87</v>
      </c>
      <c r="K209" s="5" t="n">
        <v>1149.4</v>
      </c>
      <c r="L209" s="4" t="n">
        <v>329</v>
      </c>
      <c r="M209" s="4" t="n">
        <v>100</v>
      </c>
      <c r="N209" s="5" t="n">
        <v>1000</v>
      </c>
      <c r="O209" s="3" t="inlineStr">
        <is>
          <t>인근 홍익대 위치로 공실없이 연세로 운영되며 수익률10프로 이상</t>
        </is>
      </c>
      <c r="P209" s="6">
        <f>HYPERLINK("https://fin.land.naver.com/articles/2651069625", "매물Link")</f>
        <v/>
      </c>
      <c r="Q209" s="6">
        <f>HYPERLINK("https://map.naver.com/p/search/조치원읍 신안리 394-38", "지도Link")</f>
        <v/>
      </c>
      <c r="R209" s="6">
        <f>HYPERLINK("http://www.eum.go.kr/web/ar/lu/luLandDet.jsp?pnu=3611025032103940038&amp;isNoScr=script&amp;mode=search", "토지이음")</f>
        <v/>
      </c>
      <c r="S209" s="3" t="inlineStr">
        <is>
          <t>한림신화</t>
        </is>
      </c>
      <c r="T209" s="4" t="n">
        <v>2</v>
      </c>
      <c r="U209" s="5" t="n">
        <v>227.9</v>
      </c>
      <c r="V209" s="4" t="n">
        <v>289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자루형</t>
        </is>
      </c>
      <c r="AA209" s="3" t="inlineStr">
        <is>
          <t>세로한면(불)</t>
        </is>
      </c>
    </row>
    <row r="210">
      <c r="A210" s="3" t="inlineStr">
        <is>
          <t>조치원읍 신안리 394-38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일반원룸</t>
        </is>
      </c>
      <c r="F210" s="3" t="inlineStr">
        <is>
          <t>전세</t>
        </is>
      </c>
      <c r="G210" s="4" t="n">
        <v>5000</v>
      </c>
      <c r="H210" s="4" t="n">
        <v>0</v>
      </c>
      <c r="I210" s="4" t="n">
        <v>20</v>
      </c>
      <c r="J210" s="4" t="n">
        <v>6</v>
      </c>
      <c r="K210" s="5" t="n">
        <v>833.3</v>
      </c>
      <c r="L210" s="4" t="n">
        <v>20</v>
      </c>
      <c r="M210" s="4" t="n">
        <v>6</v>
      </c>
      <c r="N210" s="5" t="n">
        <v>833.3</v>
      </c>
      <c r="O210" s="3" t="inlineStr">
        <is>
          <t>귀한 원룸 전세매물</t>
        </is>
      </c>
      <c r="P210" s="6">
        <f>HYPERLINK("https://fin.land.naver.com/articles/2649956631", "매물Link")</f>
        <v/>
      </c>
      <c r="Q210" s="6">
        <f>HYPERLINK("https://map.naver.com/p/search/조치원읍 신안리 394-38", "지도Link")</f>
        <v/>
      </c>
      <c r="R210" s="6">
        <f>HYPERLINK("http://www.eum.go.kr/web/ar/lu/luLandDet.jsp?pnu=3611025032103940038&amp;isNoScr=script&amp;mode=search", "토지이음")</f>
        <v/>
      </c>
      <c r="S210" s="3" t="inlineStr">
        <is>
          <t>부자터</t>
        </is>
      </c>
      <c r="T210" s="4" t="n">
        <v>1</v>
      </c>
      <c r="U210" s="5" t="n">
        <v>227.9</v>
      </c>
      <c r="V210" s="4" t="n">
        <v>289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자루형</t>
        </is>
      </c>
      <c r="AA210" s="3" t="inlineStr">
        <is>
          <t>세로한면(불)</t>
        </is>
      </c>
    </row>
    <row r="211">
      <c r="A211" s="3" t="inlineStr">
        <is>
          <t>조치원읍 신안리 394-8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97000</v>
      </c>
      <c r="H211" s="4" t="n">
        <v>0</v>
      </c>
      <c r="I211" s="4" t="n">
        <v>251</v>
      </c>
      <c r="J211" s="4" t="n">
        <v>76</v>
      </c>
      <c r="K211" s="5" t="n">
        <v>1276.3</v>
      </c>
      <c r="L211" s="4" t="n">
        <v>329</v>
      </c>
      <c r="M211" s="4" t="n">
        <v>100</v>
      </c>
      <c r="N211" s="5" t="n">
        <v>970</v>
      </c>
      <c r="O211" s="3" t="inlineStr">
        <is>
          <t>수익율 최고 18세대, 연 9.5 프로 수익율,  관리상태 최상급</t>
        </is>
      </c>
      <c r="P211" s="6">
        <f>HYPERLINK("https://fin.land.naver.com/articles/2649567909", "매물Link")</f>
        <v/>
      </c>
      <c r="Q211" s="6">
        <f>HYPERLINK("https://map.naver.com/p/search/조치원읍 신안리 394-8", "지도Link")</f>
        <v/>
      </c>
      <c r="R211" s="6">
        <f>HYPERLINK("http://www.eum.go.kr/web/ar/lu/luLandDet.jsp?pnu=3611025032103940008&amp;isNoScr=script&amp;mode=search", "토지이음")</f>
        <v/>
      </c>
      <c r="S211" s="3" t="inlineStr">
        <is>
          <t>기흥역미래</t>
        </is>
      </c>
      <c r="T211" s="4" t="n">
        <v>1</v>
      </c>
      <c r="U211" s="5" t="n">
        <v>255.5</v>
      </c>
      <c r="V211" s="4" t="n">
        <v>251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394-8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200</v>
      </c>
      <c r="H212" s="4" t="n">
        <v>32</v>
      </c>
      <c r="I212" s="4" t="n">
        <v>0</v>
      </c>
      <c r="J212" s="4" t="n">
        <v>0</v>
      </c>
      <c r="K212" s="5" t="n">
        <v>0</v>
      </c>
      <c r="L212" s="4" t="n">
        <v>23</v>
      </c>
      <c r="M212" s="4" t="n">
        <v>7</v>
      </c>
      <c r="N212" s="5" t="n">
        <v>4.6</v>
      </c>
      <c r="O212" s="3" t="inlineStr">
        <is>
          <t>심플하고 예쁜방 풀옵션완비  바로입주 짐만 가져오세요  전동 전의면10분</t>
        </is>
      </c>
      <c r="P212" s="6">
        <f>HYPERLINK("https://fin.land.naver.com/articles/2649995608", "매물Link")</f>
        <v/>
      </c>
      <c r="Q212" s="6">
        <f>HYPERLINK("https://map.naver.com/p/search/조치원읍 신안리 394-8", "지도Link")</f>
        <v/>
      </c>
      <c r="R212" s="6">
        <f>HYPERLINK("http://www.eum.go.kr/web/ar/lu/luLandDet.jsp?pnu=3611025032103940008&amp;isNoScr=script&amp;mode=search", "토지이음")</f>
        <v/>
      </c>
      <c r="S212" s="3" t="inlineStr">
        <is>
          <t>연서으뜸</t>
        </is>
      </c>
      <c r="T212" s="4" t="n">
        <v>1</v>
      </c>
      <c r="U212" s="5" t="n">
        <v>255.5</v>
      </c>
      <c r="V212" s="4" t="n">
        <v>251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신안리 394-8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월세</t>
        </is>
      </c>
      <c r="G213" s="4" t="n">
        <v>200</v>
      </c>
      <c r="H213" s="4" t="n">
        <v>31</v>
      </c>
      <c r="I213" s="4" t="n">
        <v>26</v>
      </c>
      <c r="J213" s="4" t="n">
        <v>8</v>
      </c>
      <c r="K213" s="5" t="n">
        <v>3.9</v>
      </c>
      <c r="L213" s="4" t="n">
        <v>26</v>
      </c>
      <c r="M213" s="4" t="n">
        <v>8</v>
      </c>
      <c r="N213" s="5" t="n">
        <v>3.9</v>
      </c>
      <c r="O213" s="3" t="inlineStr">
        <is>
          <t>깨끗한 풀옵션  원룸이며, 고려대학교와 홍익대학교와 가까움</t>
        </is>
      </c>
      <c r="P213" s="6">
        <f>HYPERLINK("https://fin.land.naver.com/articles/2651498722", "매물Link")</f>
        <v/>
      </c>
      <c r="Q213" s="6">
        <f>HYPERLINK("https://map.naver.com/p/search/조치원읍 신안리 394-8", "지도Link")</f>
        <v/>
      </c>
      <c r="R213" s="6">
        <f>HYPERLINK("http://www.eum.go.kr/web/ar/lu/luLandDet.jsp?pnu=3611025032103940008&amp;isNoScr=script&amp;mode=search", "토지이음")</f>
        <v/>
      </c>
      <c r="S213" s="3" t="inlineStr">
        <is>
          <t>세종베스트</t>
        </is>
      </c>
      <c r="T213" s="4" t="n">
        <v>1</v>
      </c>
      <c r="U213" s="5" t="n">
        <v>255.5</v>
      </c>
      <c r="V213" s="4" t="n">
        <v>251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445-9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49000</v>
      </c>
      <c r="H214" s="4" t="n">
        <v>0</v>
      </c>
      <c r="I214" s="4" t="n">
        <v>268</v>
      </c>
      <c r="J214" s="4" t="n">
        <v>81</v>
      </c>
      <c r="K214" s="5" t="n">
        <v>604.9</v>
      </c>
      <c r="L214" s="4" t="n">
        <v>397</v>
      </c>
      <c r="M214" s="4" t="n">
        <v>120</v>
      </c>
      <c r="N214" s="5" t="n">
        <v>408.3</v>
      </c>
      <c r="O214" s="3" t="inlineStr">
        <is>
          <t>후문앞. 공실없는 원룸건물. 관리잘됨</t>
        </is>
      </c>
      <c r="P214" s="6">
        <f>HYPERLINK("https://fin.land.naver.com/articles/2650538930", "매물Link")</f>
        <v/>
      </c>
      <c r="Q214" s="6">
        <f>HYPERLINK("https://map.naver.com/p/search/조치원읍 신안리 445-9", "지도Link")</f>
        <v/>
      </c>
      <c r="R214" s="6">
        <f>HYPERLINK("http://www.eum.go.kr/web/ar/lu/luLandDet.jsp?pnu=3611025032104450009&amp;isNoScr=script&amp;mode=search", "토지이음")</f>
        <v/>
      </c>
      <c r="S214" s="3" t="inlineStr">
        <is>
          <t>바다</t>
        </is>
      </c>
      <c r="T214" s="4" t="n">
        <v>1</v>
      </c>
      <c r="U214" s="5" t="n">
        <v>217</v>
      </c>
      <c r="V214" s="4" t="n">
        <v>268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445-9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49000</v>
      </c>
      <c r="H215" s="4" t="n">
        <v>0</v>
      </c>
      <c r="I215" s="4" t="n">
        <v>268</v>
      </c>
      <c r="J215" s="4" t="n">
        <v>81</v>
      </c>
      <c r="K215" s="5" t="n">
        <v>604.9</v>
      </c>
      <c r="L215" s="4" t="n">
        <v>397</v>
      </c>
      <c r="M215" s="4" t="n">
        <v>120</v>
      </c>
      <c r="N215" s="5" t="n">
        <v>408.3</v>
      </c>
      <c r="O215" s="3" t="inlineStr">
        <is>
          <t>홍익대학교 도보 2분거리, 임대놓기 좋은 위치, 공실없음</t>
        </is>
      </c>
      <c r="P215" s="6">
        <f>HYPERLINK("https://fin.land.naver.com/articles/2650312958", "매물Link")</f>
        <v/>
      </c>
      <c r="Q215" s="6">
        <f>HYPERLINK("https://map.naver.com/p/search/조치원읍 신안리 445-9", "지도Link")</f>
        <v/>
      </c>
      <c r="R215" s="6">
        <f>HYPERLINK("http://www.eum.go.kr/web/ar/lu/luLandDet.jsp?pnu=3611025032104450009&amp;isNoScr=script&amp;mode=search",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217</v>
      </c>
      <c r="V215" s="4" t="n">
        <v>268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신흥리 17-2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빌라</t>
        </is>
      </c>
      <c r="F216" s="3" t="inlineStr">
        <is>
          <t>전세</t>
        </is>
      </c>
      <c r="G216" s="4" t="n">
        <v>3500</v>
      </c>
      <c r="H216" s="4" t="n">
        <v>0</v>
      </c>
      <c r="I216" s="4" t="n">
        <v>61</v>
      </c>
      <c r="J216" s="4" t="n">
        <v>18</v>
      </c>
      <c r="K216" s="5" t="n">
        <v>194.4</v>
      </c>
      <c r="L216" s="4" t="n">
        <v>55</v>
      </c>
      <c r="M216" s="4" t="n">
        <v>17</v>
      </c>
      <c r="N216" s="5" t="n">
        <v>205.9</v>
      </c>
      <c r="O216" s="3" t="inlineStr">
        <is>
          <t>일부리모델링 됨. 이사협의 가능. 도배.장판 새로.깨끗한 호실.</t>
        </is>
      </c>
      <c r="P216" s="6">
        <f>HYPERLINK("https://fin.land.naver.com/articles/2648775732", "매물Link")</f>
        <v/>
      </c>
      <c r="Q216" s="6">
        <f>HYPERLINK("https://map.naver.com/p/search/조치원읍 신흥리 17-2", "지도Link")</f>
        <v/>
      </c>
      <c r="R216" s="6">
        <f>HYPERLINK("http://www.eum.go.kr/web/ar/lu/luLandDet.jsp?pnu=3611025029100170002&amp;isNoScr=script&amp;mode=search", "토지이음")</f>
        <v/>
      </c>
      <c r="S216" s="3" t="inlineStr">
        <is>
          <t>굿모닝</t>
        </is>
      </c>
      <c r="T216" s="4" t="n">
        <v>1</v>
      </c>
      <c r="U216" s="5" t="n">
        <v>162.7</v>
      </c>
      <c r="V216" s="4" t="n">
        <v>451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완경사</t>
        </is>
      </c>
      <c r="Z216" s="3" t="inlineStr">
        <is>
          <t>가로장방</t>
        </is>
      </c>
      <c r="AA216" s="3" t="inlineStr">
        <is>
          <t>소로한면</t>
        </is>
      </c>
    </row>
    <row r="217">
      <c r="A217" s="3" t="inlineStr">
        <is>
          <t>조치원읍 신흥리 26-1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36000</v>
      </c>
      <c r="H217" s="4" t="n">
        <v>0</v>
      </c>
      <c r="I217" s="4" t="n">
        <v>284</v>
      </c>
      <c r="J217" s="4" t="n">
        <v>86</v>
      </c>
      <c r="K217" s="5" t="n">
        <v>418.6</v>
      </c>
      <c r="L217" s="4" t="n">
        <v>73</v>
      </c>
      <c r="M217" s="4" t="n">
        <v>22</v>
      </c>
      <c r="N217" s="5" t="n">
        <v>1636.4</v>
      </c>
      <c r="O217" s="3" t="inlineStr">
        <is>
          <t>신흥리 위치 좋은 곳 단독주택</t>
        </is>
      </c>
      <c r="P217" s="6">
        <f>HYPERLINK("https://fin.land.naver.com/articles/2647576467", "매물Link")</f>
        <v/>
      </c>
      <c r="Q217" s="6">
        <f>HYPERLINK("https://map.naver.com/p/search/조치원읍 신흥리 26-1", "지도Link")</f>
        <v/>
      </c>
      <c r="R217" s="6">
        <f>HYPERLINK("http://www.eum.go.kr/web/ar/lu/luLandDet.jsp?pnu=3611025029100260001&amp;isNoScr=script&amp;mode=search", "토지이음")</f>
        <v/>
      </c>
      <c r="S217" s="3" t="inlineStr">
        <is>
          <t>KB세종</t>
        </is>
      </c>
      <c r="T217" s="4" t="n">
        <v>1</v>
      </c>
      <c r="U217" s="5" t="n">
        <v>185.6</v>
      </c>
      <c r="V217" s="4" t="n">
        <v>284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소로각지</t>
        </is>
      </c>
    </row>
    <row r="218">
      <c r="A218" s="3" t="inlineStr">
        <is>
          <t>조치원읍 신흥리 63-10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110000</v>
      </c>
      <c r="H218" s="4" t="n">
        <v>0</v>
      </c>
      <c r="I218" s="4" t="n">
        <v>345</v>
      </c>
      <c r="J218" s="4" t="n">
        <v>104</v>
      </c>
      <c r="K218" s="5" t="n">
        <v>1057.7</v>
      </c>
      <c r="L218" s="4" t="n">
        <v>70</v>
      </c>
      <c r="M218" s="4" t="n">
        <v>21</v>
      </c>
      <c r="N218" s="5" t="n">
        <v>5238.1</v>
      </c>
      <c r="O218" s="3" t="inlineStr">
        <is>
          <t>토지 가치가 돋보이는 주택입니다</t>
        </is>
      </c>
      <c r="P218" s="6">
        <f>HYPERLINK("https://fin.land.naver.com/articles/2647355842", "매물Link")</f>
        <v/>
      </c>
      <c r="Q218" s="6">
        <f>HYPERLINK("https://map.naver.com/p/search/조치원읍 신흥리 63-10", "지도Link")</f>
        <v/>
      </c>
      <c r="R218" s="6">
        <f>HYPERLINK("http://www.eum.go.kr/web/ar/lu/luLandDet.jsp?pnu=3611025029100630010&amp;isNoScr=script&amp;mode=search", "토지이음")</f>
        <v/>
      </c>
      <c r="S218" s="3" t="inlineStr">
        <is>
          <t>캠퍼스</t>
        </is>
      </c>
      <c r="T218" s="4" t="n">
        <v>1</v>
      </c>
      <c r="U218" s="5" t="n">
        <v>257.8</v>
      </c>
      <c r="V218" s="4" t="n">
        <v>345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조치원읍 원리 15-9</t>
        </is>
      </c>
      <c r="B219" s="3" t="inlineStr">
        <is>
          <t>일반상업지역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26000</v>
      </c>
      <c r="H219" s="4" t="n">
        <v>0</v>
      </c>
      <c r="I219" s="4" t="n">
        <v>67</v>
      </c>
      <c r="J219" s="4" t="n">
        <v>20</v>
      </c>
      <c r="K219" s="5" t="n">
        <v>1300</v>
      </c>
      <c r="L219" s="4" t="n">
        <v>139</v>
      </c>
      <c r="M219" s="4" t="n">
        <v>42</v>
      </c>
      <c r="N219" s="5" t="n">
        <v>619</v>
      </c>
      <c r="O219" s="3" t="inlineStr">
        <is>
          <t>원리 서독안경원 골목 먹자골목내 자기상가하면서 거주하실분 추천</t>
        </is>
      </c>
      <c r="P219" s="6">
        <f>HYPERLINK("https://fin.land.naver.com/articles/2646830435", "매물Link")</f>
        <v/>
      </c>
      <c r="Q219" s="6">
        <f>HYPERLINK("https://map.naver.com/p/search/조치원읍 원리 15-9", "지도Link")</f>
        <v/>
      </c>
      <c r="R219" s="6">
        <f>HYPERLINK("http://www.eum.go.kr/web/ar/lu/luLandDet.jsp?pnu=3611025021100150009&amp;isNoScr=script&amp;mode=search", "토지이음")</f>
        <v/>
      </c>
      <c r="S219" s="3" t="inlineStr">
        <is>
          <t>OK수</t>
        </is>
      </c>
      <c r="T219" s="4" t="n">
        <v>1</v>
      </c>
      <c r="U219" s="5" t="n">
        <v>641.3</v>
      </c>
      <c r="V219" s="4" t="n">
        <v>67.8</v>
      </c>
      <c r="W219" s="3" t="inlineStr">
        <is>
          <t>지정되지않음</t>
        </is>
      </c>
      <c r="X219" s="3" t="inlineStr">
        <is>
          <t>상업용</t>
        </is>
      </c>
      <c r="Y219" s="3" t="inlineStr">
        <is>
          <t>평지</t>
        </is>
      </c>
      <c r="Z219" s="3" t="inlineStr">
        <is>
          <t>정방형</t>
        </is>
      </c>
      <c r="AA219" s="3" t="inlineStr">
        <is>
          <t>소로한면</t>
        </is>
      </c>
    </row>
    <row r="220">
      <c r="A220" s="3" t="inlineStr">
        <is>
          <t>조치원읍 원리 15-9</t>
        </is>
      </c>
      <c r="B220" s="3" t="inlineStr">
        <is>
          <t>일반상업지역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상가주택</t>
        </is>
      </c>
      <c r="F220" s="3" t="inlineStr">
        <is>
          <t>매매</t>
        </is>
      </c>
      <c r="G220" s="4" t="n">
        <v>26000</v>
      </c>
      <c r="H220" s="4" t="n">
        <v>0</v>
      </c>
      <c r="I220" s="4" t="n">
        <v>42</v>
      </c>
      <c r="J220" s="4" t="n">
        <v>13</v>
      </c>
      <c r="K220" s="5" t="n">
        <v>2000</v>
      </c>
      <c r="L220" s="4" t="n">
        <v>139</v>
      </c>
      <c r="M220" s="4" t="n">
        <v>42</v>
      </c>
      <c r="N220" s="5" t="n">
        <v>619</v>
      </c>
      <c r="O220" s="3" t="inlineStr">
        <is>
          <t>소형 상가주택매매,장사하시면서 거주하시기 좋아요.</t>
        </is>
      </c>
      <c r="P220" s="6">
        <f>HYPERLINK("https://fin.land.naver.com/articles/2647881780", "매물Link")</f>
        <v/>
      </c>
      <c r="Q220" s="6">
        <f>HYPERLINK("https://map.naver.com/p/search/조치원읍 원리 15-9", "지도Link")</f>
        <v/>
      </c>
      <c r="R220" s="6">
        <f>HYPERLINK("http://www.eum.go.kr/web/ar/lu/luLandDet.jsp?pnu=3611025021100150009&amp;isNoScr=script&amp;mode=search", "토지이음")</f>
        <v/>
      </c>
      <c r="S220" s="3" t="inlineStr">
        <is>
          <t>이음 사무소</t>
        </is>
      </c>
      <c r="T220" s="4" t="n">
        <v>1</v>
      </c>
      <c r="U220" s="5" t="n">
        <v>641.3</v>
      </c>
      <c r="V220" s="4" t="n">
        <v>67.8</v>
      </c>
      <c r="W220" s="3" t="inlineStr">
        <is>
          <t>지정되지않음</t>
        </is>
      </c>
      <c r="X220" s="3" t="inlineStr">
        <is>
          <t>상업용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소로한면</t>
        </is>
      </c>
    </row>
    <row r="221">
      <c r="A221" s="3" t="inlineStr">
        <is>
          <t>조치원읍 정리 112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0</t>
        </is>
      </c>
      <c r="E221" s="3" t="inlineStr">
        <is>
          <t>도시형생활주택</t>
        </is>
      </c>
      <c r="F221" s="3" t="inlineStr">
        <is>
          <t>월세</t>
        </is>
      </c>
      <c r="G221" s="4" t="n">
        <v>200</v>
      </c>
      <c r="H221" s="4" t="n">
        <v>32</v>
      </c>
      <c r="I221" s="4" t="n">
        <v>30</v>
      </c>
      <c r="J221" s="4" t="n">
        <v>9</v>
      </c>
      <c r="K221" s="5" t="n">
        <v>3.6</v>
      </c>
      <c r="L221" s="4" t="n">
        <v>11</v>
      </c>
      <c r="M221" s="4" t="n">
        <v>3</v>
      </c>
      <c r="N221" s="5" t="n">
        <v>10.7</v>
      </c>
      <c r="O221" s="3" t="inlineStr">
        <is>
          <t>정리 조치원역 2분  깨끗한 원룸입니다</t>
        </is>
      </c>
      <c r="P221" s="6">
        <f>HYPERLINK("https://fin.land.naver.com/articles/2649986088", "매물Link")</f>
        <v/>
      </c>
      <c r="Q221" s="6">
        <f>HYPERLINK("https://map.naver.com/p/search/조치원읍 정리 112", "지도Link")</f>
        <v/>
      </c>
      <c r="R221" s="6">
        <f>HYPERLINK("http://www.eum.go.kr/web/ar/lu/luLandDet.jsp?pnu=3611025025101120000&amp;isNoScr=script&amp;mode=search", "토지이음")</f>
        <v/>
      </c>
      <c r="S221" s="3" t="inlineStr">
        <is>
          <t>OK수</t>
        </is>
      </c>
      <c r="T221" s="4" t="n">
        <v>1</v>
      </c>
      <c r="U221" s="5" t="n">
        <v>184.1</v>
      </c>
      <c r="V221" s="4" t="n">
        <v>1013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소로각지</t>
        </is>
      </c>
    </row>
    <row r="222">
      <c r="A222" s="3" t="inlineStr">
        <is>
          <t>조치원읍 죽림리 206-2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다가구</t>
        </is>
      </c>
      <c r="F222" s="3" t="inlineStr">
        <is>
          <t>전세</t>
        </is>
      </c>
      <c r="G222" s="4" t="n">
        <v>3000</v>
      </c>
      <c r="H222" s="4" t="n">
        <v>0</v>
      </c>
      <c r="I222" s="4" t="n">
        <v>30</v>
      </c>
      <c r="J222" s="4" t="n">
        <v>9</v>
      </c>
      <c r="K222" s="5" t="n">
        <v>333.3</v>
      </c>
      <c r="L222" s="4" t="n">
        <v>22</v>
      </c>
      <c r="M222" s="4" t="n">
        <v>7</v>
      </c>
      <c r="N222" s="5" t="n">
        <v>428.6</v>
      </c>
      <c r="O222" s="3" t="inlineStr">
        <is>
          <t>공실이라 즉시입주 가능한 분리형 원룸</t>
        </is>
      </c>
      <c r="P222" s="6">
        <f>HYPERLINK("https://fin.land.naver.com/articles/2648997531", "매물Link")</f>
        <v/>
      </c>
      <c r="Q222" s="6">
        <f>HYPERLINK("https://map.naver.com/p/search/조치원읍 죽림리 206-2", "지도Link")</f>
        <v/>
      </c>
      <c r="R222" s="6">
        <f>HYPERLINK("http://www.eum.go.kr/web/ar/lu/luLandDet.jsp?pnu=3611025030102060002&amp;isNoScr=script&amp;mode=search", "토지이음")</f>
        <v/>
      </c>
      <c r="S222" s="3" t="inlineStr">
        <is>
          <t>KB세종</t>
        </is>
      </c>
      <c r="T222" s="4" t="n">
        <v>1</v>
      </c>
      <c r="U222" s="5" t="n">
        <v>208.5</v>
      </c>
      <c r="V222" s="4" t="n">
        <v>190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죽림리 333-3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상가주택</t>
        </is>
      </c>
      <c r="F223" s="3" t="inlineStr">
        <is>
          <t>매매</t>
        </is>
      </c>
      <c r="G223" s="4" t="n">
        <v>240000</v>
      </c>
      <c r="H223" s="4" t="n">
        <v>0</v>
      </c>
      <c r="I223" s="4" t="n">
        <v>1243</v>
      </c>
      <c r="J223" s="4" t="n">
        <v>376</v>
      </c>
      <c r="K223" s="5" t="n">
        <v>638.3</v>
      </c>
      <c r="L223" s="4" t="n">
        <v>740</v>
      </c>
      <c r="M223" s="4" t="n">
        <v>224</v>
      </c>
      <c r="N223" s="5" t="n">
        <v>1071.4</v>
      </c>
      <c r="O223" s="3" t="inlineStr">
        <is>
          <t>nan</t>
        </is>
      </c>
      <c r="P223" s="6">
        <f>HYPERLINK("https://fin.land.naver.com/articles/2648694246", "매물Link")</f>
        <v/>
      </c>
      <c r="Q223" s="6">
        <f>HYPERLINK("https://map.naver.com/p/search/조치원읍 죽림리 333-3", "지도Link")</f>
        <v/>
      </c>
      <c r="R223" s="6">
        <f>HYPERLINK("http://www.eum.go.kr/web/ar/lu/luLandDet.jsp?pnu=3611025030103330003&amp;isNoScr=script&amp;mode=search", "토지이음")</f>
        <v/>
      </c>
      <c r="S223" s="3" t="inlineStr">
        <is>
          <t>가온마을</t>
        </is>
      </c>
      <c r="T223" s="4" t="n">
        <v>1</v>
      </c>
      <c r="U223" s="5" t="n">
        <v>311.8</v>
      </c>
      <c r="V223" s="4" t="n">
        <v>945</v>
      </c>
      <c r="W223" s="3" t="inlineStr">
        <is>
          <t>지정되지않음</t>
        </is>
      </c>
      <c r="X223" s="3" t="inlineStr">
        <is>
          <t>주상용</t>
        </is>
      </c>
      <c r="Y223" s="3" t="inlineStr">
        <is>
          <t>평지</t>
        </is>
      </c>
      <c r="Z223" s="3" t="inlineStr">
        <is>
          <t>부정형</t>
        </is>
      </c>
      <c r="AA223" s="3" t="inlineStr">
        <is>
          <t>광대소각</t>
        </is>
      </c>
    </row>
    <row r="224">
      <c r="A224" s="3" t="inlineStr">
        <is>
          <t>조치원읍 침산리 130-20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6500</v>
      </c>
      <c r="H224" s="4" t="n">
        <v>0</v>
      </c>
      <c r="I224" s="4" t="n">
        <v>142</v>
      </c>
      <c r="J224" s="4" t="n">
        <v>43</v>
      </c>
      <c r="K224" s="5" t="n">
        <v>151.2</v>
      </c>
      <c r="L224" s="4" t="n">
        <v>43</v>
      </c>
      <c r="M224" s="4" t="n">
        <v>13</v>
      </c>
      <c r="N224" s="5" t="n">
        <v>500</v>
      </c>
      <c r="O224" s="3" t="inlineStr">
        <is>
          <t>nan</t>
        </is>
      </c>
      <c r="P224" s="6">
        <f>HYPERLINK("https://fin.land.naver.com/articles/2647881030", "매물Link")</f>
        <v/>
      </c>
      <c r="Q224" s="6">
        <f>HYPERLINK("https://map.naver.com/p/search/조치원읍 침산리 130-20", "지도Link")</f>
        <v/>
      </c>
      <c r="R224" s="6">
        <f>HYPERLINK("http://www.eum.go.kr/web/ar/lu/luLandDet.jsp?pnu=3611025028101300020&amp;isNoScr=script&amp;mode=search", "토지이음")</f>
        <v/>
      </c>
      <c r="S224" s="3" t="inlineStr">
        <is>
          <t>새둥지</t>
        </is>
      </c>
      <c r="T224" s="4" t="n">
        <v>1</v>
      </c>
      <c r="U224" s="5" t="n">
        <v>173</v>
      </c>
      <c r="V224" s="4" t="n">
        <v>142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세로한면(불)</t>
        </is>
      </c>
    </row>
    <row r="225">
      <c r="A225" s="3" t="inlineStr">
        <is>
          <t>조치원읍 침산리 132-2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4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200</v>
      </c>
      <c r="H225" s="4" t="n">
        <v>23</v>
      </c>
      <c r="I225" s="4" t="n">
        <v>33</v>
      </c>
      <c r="J225" s="4" t="n">
        <v>10</v>
      </c>
      <c r="K225" s="5" t="n">
        <v>2.3</v>
      </c>
      <c r="L225" s="4" t="n">
        <v>16</v>
      </c>
      <c r="M225" s="4" t="n">
        <v>5</v>
      </c>
      <c r="N225" s="5" t="n">
        <v>4.6</v>
      </c>
      <c r="O225" s="3" t="inlineStr">
        <is>
          <t>뉴리모델링O조치원역부근O모두새것O햇살가득</t>
        </is>
      </c>
      <c r="P225" s="6">
        <f>HYPERLINK("https://fin.land.naver.com/articles/2646886305", "매물Link")</f>
        <v/>
      </c>
      <c r="Q225" s="6">
        <f>HYPERLINK("https://map.naver.com/p/search/조치원읍 침산리 132-2", "지도Link")</f>
        <v/>
      </c>
      <c r="R225" s="6">
        <f>HYPERLINK("http://www.eum.go.kr/web/ar/lu/luLandDet.jsp?pnu=3611025028101320002&amp;isNoScr=script&amp;mode=search", "토지이음")</f>
        <v/>
      </c>
      <c r="S225" s="3" t="inlineStr">
        <is>
          <t>척척</t>
        </is>
      </c>
      <c r="T225" s="4" t="n">
        <v>1</v>
      </c>
      <c r="U225" s="5" t="n">
        <v>303.2</v>
      </c>
      <c r="V225" s="4" t="n">
        <v>209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중로각지</t>
        </is>
      </c>
    </row>
    <row r="226">
      <c r="A226" s="3" t="inlineStr">
        <is>
          <t>조치원읍 침산리 144-9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2</t>
        </is>
      </c>
      <c r="E226" s="3" t="inlineStr">
        <is>
          <t>상가주택</t>
        </is>
      </c>
      <c r="F226" s="3" t="inlineStr">
        <is>
          <t>매매</t>
        </is>
      </c>
      <c r="G226" s="4" t="n">
        <v>52000</v>
      </c>
      <c r="H226" s="4" t="n">
        <v>0</v>
      </c>
      <c r="I226" s="4" t="n">
        <v>129</v>
      </c>
      <c r="J226" s="4" t="n">
        <v>39</v>
      </c>
      <c r="K226" s="5" t="n">
        <v>1333.3</v>
      </c>
      <c r="L226" s="4" t="n">
        <v>144</v>
      </c>
      <c r="M226" s="4" t="n">
        <v>44</v>
      </c>
      <c r="N226" s="5" t="n">
        <v>1181.8</v>
      </c>
      <c r="O226" s="3" t="inlineStr">
        <is>
          <t>조치원역 서쪽 4차선 도로접함 1층 상가 2층 주택이용하실분 추천</t>
        </is>
      </c>
      <c r="P226" s="6">
        <f>HYPERLINK("https://fin.land.naver.com/articles/2646832247", "매물Link")</f>
        <v/>
      </c>
      <c r="Q226" s="6">
        <f>HYPERLINK("https://map.naver.com/p/search/조치원읍 침산리 144-9", "지도Link")</f>
        <v/>
      </c>
      <c r="R226" s="6">
        <f>HYPERLINK("http://www.eum.go.kr/web/ar/lu/luLandDet.jsp?pnu=3611025028101440009&amp;isNoScr=script&amp;mode=search",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404.6</v>
      </c>
      <c r="V226" s="4" t="n">
        <v>129</v>
      </c>
      <c r="W226" s="3" t="inlineStr">
        <is>
          <t>지정되지않음</t>
        </is>
      </c>
      <c r="X226" s="3" t="inlineStr">
        <is>
          <t>주상용</t>
        </is>
      </c>
      <c r="Y226" s="3" t="inlineStr">
        <is>
          <t>평지</t>
        </is>
      </c>
      <c r="Z226" s="3" t="inlineStr">
        <is>
          <t>부정형</t>
        </is>
      </c>
      <c r="AA226" s="3" t="inlineStr">
        <is>
          <t>중로한면</t>
        </is>
      </c>
    </row>
    <row r="227">
      <c r="A227" s="3" t="inlineStr">
        <is>
          <t>조치원읍 침산리 148-3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빌라</t>
        </is>
      </c>
      <c r="F227" s="3" t="inlineStr">
        <is>
          <t>매매</t>
        </is>
      </c>
      <c r="G227" s="4" t="n">
        <v>7000</v>
      </c>
      <c r="H227" s="4" t="n">
        <v>0</v>
      </c>
      <c r="I227" s="4" t="n">
        <v>76</v>
      </c>
      <c r="J227" s="4" t="n">
        <v>23</v>
      </c>
      <c r="K227" s="5" t="n">
        <v>304.3</v>
      </c>
      <c r="L227" s="4" t="n">
        <v>76</v>
      </c>
      <c r="M227" s="4" t="n">
        <v>23</v>
      </c>
      <c r="N227" s="5" t="n">
        <v>304.3</v>
      </c>
      <c r="O227" s="3" t="inlineStr">
        <is>
          <t>공실,역세권 빌라,막히지 않은 조망,방이 큰 빌라</t>
        </is>
      </c>
      <c r="P227" s="6">
        <f>HYPERLINK("https://fin.land.naver.com/articles/2647281789", "매물Link")</f>
        <v/>
      </c>
      <c r="Q227" s="6">
        <f>HYPERLINK("https://map.naver.com/p/search/조치원읍 침산리 148-3", "지도Link")</f>
        <v/>
      </c>
      <c r="R227" s="6">
        <f>HYPERLINK("http://www.eum.go.kr/web/ar/lu/luLandDet.jsp?pnu=3611025028101480003&amp;isNoScr=script&amp;mode=search", "토지이음")</f>
        <v/>
      </c>
      <c r="S227" s="3" t="inlineStr">
        <is>
          <t>이천하이닉스사무소</t>
        </is>
      </c>
      <c r="T227" s="4" t="n">
        <v>1</v>
      </c>
      <c r="U227" s="5" t="n">
        <v>210.4</v>
      </c>
      <c r="V227" s="4" t="n">
        <v>645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세로장방</t>
        </is>
      </c>
      <c r="AA227" s="3" t="inlineStr">
        <is>
          <t>소로각지</t>
        </is>
      </c>
    </row>
    <row r="228">
      <c r="A228" s="3" t="inlineStr">
        <is>
          <t>조치원읍 침산리 219-5</t>
        </is>
      </c>
      <c r="B228" s="3" t="inlineStr">
        <is>
          <t>제1종일반주거지역</t>
        </is>
      </c>
      <c r="C228" s="3" t="inlineStr">
        <is>
          <t>답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월세</t>
        </is>
      </c>
      <c r="G228" s="4" t="n">
        <v>500</v>
      </c>
      <c r="H228" s="4" t="n">
        <v>55</v>
      </c>
      <c r="I228" s="4" t="n">
        <v>0</v>
      </c>
      <c r="J228" s="4" t="n">
        <v>0</v>
      </c>
      <c r="K228" s="5" t="n">
        <v>0</v>
      </c>
      <c r="L228" s="4" t="n">
        <v>39</v>
      </c>
      <c r="M228" s="4" t="n">
        <v>12</v>
      </c>
      <c r="N228" s="5" t="n">
        <v>4.6</v>
      </c>
      <c r="O228" s="3" t="inlineStr">
        <is>
          <t>침산리 조용한 투룸</t>
        </is>
      </c>
      <c r="P228" s="6">
        <f>HYPERLINK("https://fin.land.naver.com/articles/2650116041", "매물Link")</f>
        <v/>
      </c>
      <c r="Q228" s="6">
        <f>HYPERLINK("https://map.naver.com/p/search/조치원읍 침산리 219-5", "지도Link")</f>
        <v/>
      </c>
      <c r="R228" s="6">
        <f>HYPERLINK("http://www.eum.go.kr/web/ar/lu/luLandDet.jsp?pnu=3611025028102190005&amp;isNoScr=script&amp;mode=search", "토지이음")</f>
        <v/>
      </c>
      <c r="S228" s="3" t="inlineStr">
        <is>
          <t>고래</t>
        </is>
      </c>
      <c r="T228" s="4" t="n">
        <v>1</v>
      </c>
      <c r="U228" s="5" t="n">
        <v>210.2</v>
      </c>
      <c r="V228" s="4" t="n">
        <v>380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자루형</t>
        </is>
      </c>
      <c r="AA228" s="3" t="inlineStr">
        <is>
          <t>세로한면(가)</t>
        </is>
      </c>
    </row>
    <row r="229">
      <c r="A229" s="3" t="inlineStr">
        <is>
          <t>조치원읍 침산리 219-5</t>
        </is>
      </c>
      <c r="B229" s="3" t="inlineStr">
        <is>
          <t>제1종일반주거지역</t>
        </is>
      </c>
      <c r="C229" s="3" t="inlineStr">
        <is>
          <t>답</t>
        </is>
      </c>
      <c r="D229" s="3" t="inlineStr">
        <is>
          <t>0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500</v>
      </c>
      <c r="H229" s="4" t="n">
        <v>65</v>
      </c>
      <c r="I229" s="4" t="n">
        <v>46</v>
      </c>
      <c r="J229" s="4" t="n">
        <v>14</v>
      </c>
      <c r="K229" s="5" t="n">
        <v>4.6</v>
      </c>
      <c r="L229" s="4" t="n">
        <v>39</v>
      </c>
      <c r="M229" s="4" t="n">
        <v>12</v>
      </c>
      <c r="N229" s="5" t="n">
        <v>5.4</v>
      </c>
      <c r="O229" s="3" t="inlineStr">
        <is>
          <t>귀한 투룸.도도리파크앞.즉시입주 가능.</t>
        </is>
      </c>
      <c r="P229" s="6">
        <f>HYPERLINK("https://fin.land.naver.com/articles/2650140429", "매물Link")</f>
        <v/>
      </c>
      <c r="Q229" s="6">
        <f>HYPERLINK("https://map.naver.com/p/search/조치원읍 침산리 219-5", "지도Link")</f>
        <v/>
      </c>
      <c r="R229" s="6">
        <f>HYPERLINK("http://www.eum.go.kr/web/ar/lu/luLandDet.jsp?pnu=3611025028102190005&amp;isNoScr=script&amp;mode=search", "토지이음")</f>
        <v/>
      </c>
      <c r="S229" s="3" t="inlineStr">
        <is>
          <t>척척</t>
        </is>
      </c>
      <c r="T229" s="4" t="n">
        <v>1</v>
      </c>
      <c r="U229" s="5" t="n">
        <v>210.2</v>
      </c>
      <c r="V229" s="4" t="n">
        <v>380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자루형</t>
        </is>
      </c>
      <c r="AA229" s="3" t="inlineStr">
        <is>
          <t>세로한면(가)</t>
        </is>
      </c>
    </row>
    <row r="230">
      <c r="A230" s="3" t="inlineStr">
        <is>
          <t>조치원읍 침산리 219-5</t>
        </is>
      </c>
      <c r="B230" s="3" t="inlineStr">
        <is>
          <t>제1종일반주거지역</t>
        </is>
      </c>
      <c r="C230" s="3" t="inlineStr">
        <is>
          <t>답</t>
        </is>
      </c>
      <c r="D230" s="3" t="inlineStr">
        <is>
          <t>3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500</v>
      </c>
      <c r="H230" s="4" t="n">
        <v>58</v>
      </c>
      <c r="I230" s="4" t="n">
        <v>36</v>
      </c>
      <c r="J230" s="4" t="n">
        <v>11</v>
      </c>
      <c r="K230" s="5" t="n">
        <v>5.3</v>
      </c>
      <c r="L230" s="4" t="n">
        <v>36</v>
      </c>
      <c r="M230" s="4" t="n">
        <v>11</v>
      </c>
      <c r="N230" s="5" t="n">
        <v>5.3</v>
      </c>
      <c r="O230" s="3" t="inlineStr">
        <is>
          <t>투룸 침산리 하이마트근처 편의시설 많음</t>
        </is>
      </c>
      <c r="P230" s="6">
        <f>HYPERLINK("https://fin.land.naver.com/articles/2650357638", "매물Link")</f>
        <v/>
      </c>
      <c r="Q230" s="6">
        <f>HYPERLINK("https://map.naver.com/p/search/조치원읍 침산리 219-5", "지도Link")</f>
        <v/>
      </c>
      <c r="R230" s="6">
        <f>HYPERLINK("http://www.eum.go.kr/web/ar/lu/luLandDet.jsp?pnu=3611025028102190005&amp;isNoScr=script&amp;mode=search", "토지이음")</f>
        <v/>
      </c>
      <c r="S230" s="3" t="inlineStr">
        <is>
          <t>OK수</t>
        </is>
      </c>
      <c r="T230" s="4" t="n">
        <v>1</v>
      </c>
      <c r="U230" s="5" t="n">
        <v>210.2</v>
      </c>
      <c r="V230" s="4" t="n">
        <v>380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자루형</t>
        </is>
      </c>
      <c r="AA230" s="3" t="inlineStr">
        <is>
          <t>세로한면(가)</t>
        </is>
      </c>
    </row>
    <row r="231">
      <c r="A231" s="3" t="inlineStr">
        <is>
          <t>조치원읍 침산리 251-6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4</t>
        </is>
      </c>
      <c r="E231" s="3" t="inlineStr">
        <is>
          <t>다가구</t>
        </is>
      </c>
      <c r="F231" s="3" t="inlineStr">
        <is>
          <t>월세</t>
        </is>
      </c>
      <c r="G231" s="4" t="n">
        <v>300</v>
      </c>
      <c r="H231" s="4" t="n">
        <v>50</v>
      </c>
      <c r="I231" s="4" t="n">
        <v>130</v>
      </c>
      <c r="J231" s="4" t="n">
        <v>39</v>
      </c>
      <c r="K231" s="5" t="n">
        <v>1.3</v>
      </c>
      <c r="L231" s="4" t="n">
        <v>30</v>
      </c>
      <c r="M231" s="4" t="n">
        <v>9</v>
      </c>
      <c r="N231" s="5" t="n">
        <v>5.6</v>
      </c>
      <c r="O231" s="3" t="inlineStr">
        <is>
          <t>투룸 방2 월세</t>
        </is>
      </c>
      <c r="P231" s="6">
        <f>HYPERLINK("https://fin.land.naver.com/articles/2647861513", "매물Link")</f>
        <v/>
      </c>
      <c r="Q231" s="6">
        <f>HYPERLINK("https://map.naver.com/p/search/조치원읍 침산리 251-6", "지도Link")</f>
        <v/>
      </c>
      <c r="R231" s="6">
        <f>HYPERLINK("http://www.eum.go.kr/web/ar/lu/luLandDet.jsp?pnu=3611025028102510006&amp;isNoScr=script&amp;mode=search", "토지이음")</f>
        <v/>
      </c>
      <c r="S231" s="3" t="inlineStr">
        <is>
          <t>김준희</t>
        </is>
      </c>
      <c r="T231" s="4" t="n">
        <v>1</v>
      </c>
      <c r="U231" s="5" t="n">
        <v>526</v>
      </c>
      <c r="V231" s="4" t="n">
        <v>277.7</v>
      </c>
      <c r="W231" s="3" t="inlineStr">
        <is>
          <t>지정되지않음</t>
        </is>
      </c>
      <c r="X231" s="3" t="inlineStr">
        <is>
          <t>주상용</t>
        </is>
      </c>
      <c r="Y231" s="3" t="inlineStr">
        <is>
          <t>평지</t>
        </is>
      </c>
      <c r="Z231" s="3" t="inlineStr">
        <is>
          <t>가로장방</t>
        </is>
      </c>
      <c r="AA231" s="3" t="inlineStr">
        <is>
          <t>중로한면</t>
        </is>
      </c>
    </row>
    <row r="232">
      <c r="A232" s="3" t="inlineStr">
        <is>
          <t>조치원읍 침산리 251-6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300</v>
      </c>
      <c r="H232" s="4" t="n">
        <v>55</v>
      </c>
      <c r="I232" s="4" t="n">
        <v>130</v>
      </c>
      <c r="J232" s="4" t="n">
        <v>39</v>
      </c>
      <c r="K232" s="5" t="n">
        <v>1.4</v>
      </c>
      <c r="L232" s="4" t="n">
        <v>39</v>
      </c>
      <c r="M232" s="4" t="n">
        <v>12</v>
      </c>
      <c r="N232" s="5" t="n">
        <v>4.6</v>
      </c>
      <c r="O232" s="3" t="inlineStr">
        <is>
          <t>nan</t>
        </is>
      </c>
      <c r="P232" s="6">
        <f>HYPERLINK("https://fin.land.naver.com/articles/2647831340", "매물Link")</f>
        <v/>
      </c>
      <c r="Q232" s="6">
        <f>HYPERLINK("https://map.naver.com/p/search/조치원읍 침산리 251-6", "지도Link")</f>
        <v/>
      </c>
      <c r="R232" s="6">
        <f>HYPERLINK("http://www.eum.go.kr/web/ar/lu/luLandDet.jsp?pnu=3611025028102510006&amp;isNoScr=script&amp;mode=search", "토지이음")</f>
        <v/>
      </c>
      <c r="S232" s="3" t="inlineStr">
        <is>
          <t>한뜰금빛</t>
        </is>
      </c>
      <c r="T232" s="4" t="n">
        <v>1</v>
      </c>
      <c r="U232" s="5" t="n">
        <v>526</v>
      </c>
      <c r="V232" s="4" t="n">
        <v>277.7</v>
      </c>
      <c r="W232" s="3" t="inlineStr">
        <is>
          <t>지정되지않음</t>
        </is>
      </c>
      <c r="X232" s="3" t="inlineStr">
        <is>
          <t>주상용</t>
        </is>
      </c>
      <c r="Y232" s="3" t="inlineStr">
        <is>
          <t>평지</t>
        </is>
      </c>
      <c r="Z232" s="3" t="inlineStr">
        <is>
          <t>가로장방</t>
        </is>
      </c>
      <c r="AA232" s="3" t="inlineStr">
        <is>
          <t>중로한면</t>
        </is>
      </c>
    </row>
    <row r="233">
      <c r="A233" s="3" t="inlineStr">
        <is>
          <t>조치원읍 침산리 251-6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4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300</v>
      </c>
      <c r="H233" s="4" t="n">
        <v>45</v>
      </c>
      <c r="I233" s="4" t="n">
        <v>0</v>
      </c>
      <c r="J233" s="4" t="n">
        <v>0</v>
      </c>
      <c r="K233" s="5" t="n">
        <v>0</v>
      </c>
      <c r="L233" s="4" t="n">
        <v>26</v>
      </c>
      <c r="M233" s="4" t="n">
        <v>8</v>
      </c>
      <c r="N233" s="5" t="n">
        <v>5.6</v>
      </c>
      <c r="O233" s="3" t="inlineStr">
        <is>
          <t>큰방2개 2룸</t>
        </is>
      </c>
      <c r="P233" s="6">
        <f>HYPERLINK("https://fin.land.naver.com/articles/2648309224", "매물Link")</f>
        <v/>
      </c>
      <c r="Q233" s="6">
        <f>HYPERLINK("https://map.naver.com/p/search/조치원읍 침산리 251-6", "지도Link")</f>
        <v/>
      </c>
      <c r="R233" s="6">
        <f>HYPERLINK("http://www.eum.go.kr/web/ar/lu/luLandDet.jsp?pnu=3611025028102510006&amp;isNoScr=script&amp;mode=search",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526</v>
      </c>
      <c r="V233" s="4" t="n">
        <v>277.7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가로장방</t>
        </is>
      </c>
      <c r="AA233" s="3" t="inlineStr">
        <is>
          <t>중로한면</t>
        </is>
      </c>
    </row>
    <row r="234">
      <c r="A234" s="3" t="inlineStr">
        <is>
          <t>조치원읍 침산리 251-6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월세</t>
        </is>
      </c>
      <c r="G234" s="4" t="n">
        <v>300</v>
      </c>
      <c r="H234" s="4" t="n">
        <v>55</v>
      </c>
      <c r="I234" s="4" t="n">
        <v>39</v>
      </c>
      <c r="J234" s="4" t="n">
        <v>12</v>
      </c>
      <c r="K234" s="5" t="n">
        <v>4.6</v>
      </c>
      <c r="L234" s="4" t="n">
        <v>39</v>
      </c>
      <c r="M234" s="4" t="n">
        <v>12</v>
      </c>
      <c r="N234" s="5" t="n">
        <v>4.6</v>
      </c>
      <c r="O234" s="3" t="inlineStr">
        <is>
          <t>침산리 투룸 월세 고려대 인접 상권 인프라 완벽한 화성타운</t>
        </is>
      </c>
      <c r="P234" s="6">
        <f>HYPERLINK("https://fin.land.naver.com/articles/2647479834", "매물Link")</f>
        <v/>
      </c>
      <c r="Q234" s="6">
        <f>HYPERLINK("https://map.naver.com/p/search/조치원읍 침산리 251-6", "지도Link")</f>
        <v/>
      </c>
      <c r="R234" s="6">
        <f>HYPERLINK("http://www.eum.go.kr/web/ar/lu/luLandDet.jsp?pnu=3611025028102510006&amp;isNoScr=script&amp;mode=search", "토지이음")</f>
        <v/>
      </c>
      <c r="S234" s="3" t="inlineStr">
        <is>
          <t>번암주공</t>
        </is>
      </c>
      <c r="T234" s="4" t="n">
        <v>1</v>
      </c>
      <c r="U234" s="5" t="n">
        <v>526</v>
      </c>
      <c r="V234" s="4" t="n">
        <v>277.7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가로장방</t>
        </is>
      </c>
      <c r="AA234" s="3" t="inlineStr">
        <is>
          <t>중로한면</t>
        </is>
      </c>
    </row>
    <row r="235">
      <c r="A235" s="3" t="inlineStr">
        <is>
          <t>조치원읍 침산리 255-12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상가주택</t>
        </is>
      </c>
      <c r="F235" s="3" t="inlineStr">
        <is>
          <t>매매</t>
        </is>
      </c>
      <c r="G235" s="4" t="n">
        <v>36000</v>
      </c>
      <c r="H235" s="4" t="n">
        <v>0</v>
      </c>
      <c r="I235" s="4" t="n">
        <v>217</v>
      </c>
      <c r="J235" s="4" t="n">
        <v>66</v>
      </c>
      <c r="K235" s="5" t="n">
        <v>545.5</v>
      </c>
      <c r="L235" s="4" t="n">
        <v>124</v>
      </c>
      <c r="M235" s="4" t="n">
        <v>38</v>
      </c>
      <c r="N235" s="5" t="n">
        <v>947.4</v>
      </c>
      <c r="O235" s="3" t="inlineStr">
        <is>
          <t>단층 건물 매매</t>
        </is>
      </c>
      <c r="P235" s="6">
        <f>HYPERLINK("https://fin.land.naver.com/articles/2651339266", "매물Link")</f>
        <v/>
      </c>
      <c r="Q235" s="6">
        <f>HYPERLINK("https://map.naver.com/p/search/조치원읍 침산리 255-12", "지도Link")</f>
        <v/>
      </c>
      <c r="R235" s="6">
        <f>HYPERLINK("http://www.eum.go.kr/web/ar/lu/luLandDet.jsp?pnu=3611025028102550012&amp;isNoScr=script&amp;mode=search", "토지이음")</f>
        <v/>
      </c>
      <c r="S235" s="3" t="inlineStr">
        <is>
          <t>김준희</t>
        </is>
      </c>
      <c r="T235" s="4" t="n">
        <v>1</v>
      </c>
      <c r="U235" s="5" t="n">
        <v>292.7</v>
      </c>
      <c r="V235" s="4" t="n">
        <v>217</v>
      </c>
      <c r="W235" s="3" t="inlineStr">
        <is>
          <t>지정되지않음</t>
        </is>
      </c>
      <c r="X235" s="3" t="inlineStr">
        <is>
          <t>주거기타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세로한면(가)</t>
        </is>
      </c>
    </row>
    <row r="236">
      <c r="A236" s="3" t="inlineStr">
        <is>
          <t>조치원읍 침산리 255-4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월세</t>
        </is>
      </c>
      <c r="G236" s="4" t="n">
        <v>200</v>
      </c>
      <c r="H236" s="4" t="n">
        <v>45</v>
      </c>
      <c r="I236" s="4" t="n">
        <v>129</v>
      </c>
      <c r="J236" s="4" t="n">
        <v>39</v>
      </c>
      <c r="K236" s="5" t="n">
        <v>1.2</v>
      </c>
      <c r="L236" s="4" t="n">
        <v>40</v>
      </c>
      <c r="M236" s="4" t="n">
        <v>12</v>
      </c>
      <c r="N236" s="5" t="n">
        <v>3.8</v>
      </c>
      <c r="O236" s="3" t="inlineStr">
        <is>
          <t>방2 화장실2</t>
        </is>
      </c>
      <c r="P236" s="6">
        <f>HYPERLINK("https://fin.land.naver.com/articles/2650123958", "매물Link")</f>
        <v/>
      </c>
      <c r="Q236" s="6">
        <f>HYPERLINK("https://map.naver.com/p/search/조치원읍 침산리 255-4", "지도Link")</f>
        <v/>
      </c>
      <c r="R236" s="6">
        <f>HYPERLINK("http://www.eum.go.kr/web/ar/lu/luLandDet.jsp?pnu=3611025028102550004&amp;isNoScr=script&amp;mode=search", "토지이음")</f>
        <v/>
      </c>
      <c r="S236" s="3" t="inlineStr">
        <is>
          <t>김준희</t>
        </is>
      </c>
      <c r="T236" s="4" t="n">
        <v>1</v>
      </c>
      <c r="U236" s="5" t="n">
        <v>289.8</v>
      </c>
      <c r="V236" s="4" t="n">
        <v>216.9</v>
      </c>
      <c r="W236" s="3" t="inlineStr">
        <is>
          <t>지정되지않음</t>
        </is>
      </c>
      <c r="X236" s="3" t="inlineStr">
        <is>
          <t>주거기타</t>
        </is>
      </c>
      <c r="Y236" s="3" t="inlineStr">
        <is>
          <t>평지</t>
        </is>
      </c>
      <c r="Z236" s="3" t="inlineStr">
        <is>
          <t>정방형</t>
        </is>
      </c>
      <c r="AA236" s="3" t="inlineStr">
        <is>
          <t>세로한면(가)</t>
        </is>
      </c>
    </row>
    <row r="237">
      <c r="A237" s="3" t="inlineStr">
        <is>
          <t>조치원읍 침산리 255-4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200</v>
      </c>
      <c r="H237" s="4" t="n">
        <v>45</v>
      </c>
      <c r="I237" s="4" t="n">
        <v>46</v>
      </c>
      <c r="J237" s="4" t="n">
        <v>14</v>
      </c>
      <c r="K237" s="5" t="n">
        <v>3.2</v>
      </c>
      <c r="L237" s="4" t="n">
        <v>39</v>
      </c>
      <c r="M237" s="4" t="n">
        <v>12</v>
      </c>
      <c r="N237" s="5" t="n">
        <v>3.8</v>
      </c>
      <c r="O237" s="3" t="inlineStr">
        <is>
          <t>원룸 2개구조. 2인숙소 강추.</t>
        </is>
      </c>
      <c r="P237" s="6">
        <f>HYPERLINK("https://fin.land.naver.com/articles/2649229081", "매물Link")</f>
        <v/>
      </c>
      <c r="Q237" s="6">
        <f>HYPERLINK("https://map.naver.com/p/search/조치원읍 침산리 255-4", "지도Link")</f>
        <v/>
      </c>
      <c r="R237" s="6">
        <f>HYPERLINK("http://www.eum.go.kr/web/ar/lu/luLandDet.jsp?pnu=3611025028102550004&amp;isNoScr=script&amp;mode=search", "토지이음")</f>
        <v/>
      </c>
      <c r="S237" s="3" t="inlineStr">
        <is>
          <t>척척</t>
        </is>
      </c>
      <c r="T237" s="4" t="n">
        <v>1</v>
      </c>
      <c r="U237" s="5" t="n">
        <v>289.8</v>
      </c>
      <c r="V237" s="4" t="n">
        <v>216.9</v>
      </c>
      <c r="W237" s="3" t="inlineStr">
        <is>
          <t>지정되지않음</t>
        </is>
      </c>
      <c r="X237" s="3" t="inlineStr">
        <is>
          <t>주거기타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세로한면(가)</t>
        </is>
      </c>
    </row>
    <row r="238">
      <c r="A238" s="3" t="inlineStr">
        <is>
          <t>조치원읍 침산리 255-4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200</v>
      </c>
      <c r="H238" s="4" t="n">
        <v>45</v>
      </c>
      <c r="I238" s="4" t="n">
        <v>0</v>
      </c>
      <c r="J238" s="4" t="n">
        <v>0</v>
      </c>
      <c r="K238" s="5" t="n">
        <v>0</v>
      </c>
      <c r="L238" s="4" t="n">
        <v>33</v>
      </c>
      <c r="M238" s="4" t="n">
        <v>10</v>
      </c>
      <c r="N238" s="5" t="n">
        <v>4.5</v>
      </c>
      <c r="O238" s="3" t="inlineStr">
        <is>
          <t>화장실2개 에어컨 2개    2룸</t>
        </is>
      </c>
      <c r="P238" s="6">
        <f>HYPERLINK("https://fin.land.naver.com/articles/2649435819", "매물Link")</f>
        <v/>
      </c>
      <c r="Q238" s="6">
        <f>HYPERLINK("https://map.naver.com/p/search/조치원읍 침산리 255-4", "지도Link")</f>
        <v/>
      </c>
      <c r="R238" s="6">
        <f>HYPERLINK("http://www.eum.go.kr/web/ar/lu/luLandDet.jsp?pnu=3611025028102550004&amp;isNoScr=script&amp;mode=search",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289.8</v>
      </c>
      <c r="V238" s="4" t="n">
        <v>216.9</v>
      </c>
      <c r="W238" s="3" t="inlineStr">
        <is>
          <t>지정되지않음</t>
        </is>
      </c>
      <c r="X238" s="3" t="inlineStr">
        <is>
          <t>주거기타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조치원읍 침산리 258-1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월세</t>
        </is>
      </c>
      <c r="G239" s="4" t="n">
        <v>500</v>
      </c>
      <c r="H239" s="4" t="n">
        <v>55</v>
      </c>
      <c r="I239" s="4" t="n">
        <v>46</v>
      </c>
      <c r="J239" s="4" t="n">
        <v>14</v>
      </c>
      <c r="K239" s="5" t="n">
        <v>3.9</v>
      </c>
      <c r="L239" s="4" t="n">
        <v>39</v>
      </c>
      <c r="M239" s="4" t="n">
        <v>12</v>
      </c>
      <c r="N239" s="5" t="n">
        <v>4.6</v>
      </c>
      <c r="O239" s="3" t="inlineStr">
        <is>
          <t>2개.귀한투룸.상권좋고. 즉시입주가능</t>
        </is>
      </c>
      <c r="P239" s="6">
        <f>HYPERLINK("https://fin.land.naver.com/articles/2646624768", "매물Link")</f>
        <v/>
      </c>
      <c r="Q239" s="6">
        <f>HYPERLINK("https://map.naver.com/p/search/조치원읍 침산리 258-1", "지도Link")</f>
        <v/>
      </c>
      <c r="R239" s="6">
        <f>HYPERLINK("http://www.eum.go.kr/web/ar/lu/luLandDet.jsp?pnu=3611025028102580001&amp;isNoScr=script&amp;mode=search", "토지이음")</f>
        <v/>
      </c>
      <c r="S239" s="3" t="inlineStr">
        <is>
          <t>척척</t>
        </is>
      </c>
      <c r="T239" s="4" t="n">
        <v>1</v>
      </c>
      <c r="U239" s="5" t="n">
        <v>346.8</v>
      </c>
      <c r="V239" s="4" t="n">
        <v>237.5</v>
      </c>
      <c r="W239" s="3" t="inlineStr">
        <is>
          <t>지정되지않음</t>
        </is>
      </c>
      <c r="X239" s="3" t="inlineStr">
        <is>
          <t>주상기타</t>
        </is>
      </c>
      <c r="Y239" s="3" t="inlineStr">
        <is>
          <t>평지</t>
        </is>
      </c>
      <c r="Z239" s="3" t="inlineStr">
        <is>
          <t>가로장방</t>
        </is>
      </c>
      <c r="AA239" s="3" t="inlineStr">
        <is>
          <t>소로각지</t>
        </is>
      </c>
    </row>
    <row r="240">
      <c r="A240" s="3" t="inlineStr">
        <is>
          <t>조치원읍 침산리 265-11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28</v>
      </c>
      <c r="I240" s="4" t="n">
        <v>0</v>
      </c>
      <c r="J240" s="4" t="n">
        <v>0</v>
      </c>
      <c r="K240" s="5" t="n">
        <v>0</v>
      </c>
      <c r="L240" s="4" t="n">
        <v>23</v>
      </c>
      <c r="M240" s="4" t="n">
        <v>7</v>
      </c>
      <c r="N240" s="5" t="n">
        <v>4</v>
      </c>
      <c r="O240" s="3" t="inlineStr">
        <is>
          <t>nan</t>
        </is>
      </c>
      <c r="P240" s="6">
        <f>HYPERLINK("https://fin.land.naver.com/articles/2648302133", "매물Link")</f>
        <v/>
      </c>
      <c r="Q240" s="6">
        <f>HYPERLINK("https://map.naver.com/p/search/조치원읍 침산리 265-11", "지도Link")</f>
        <v/>
      </c>
      <c r="R240" s="6">
        <f>HYPERLINK("http://www.eum.go.kr/web/ar/lu/luLandDet.jsp?pnu=3611025028102650011&amp;isNoScr=script&amp;mode=search",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415.5</v>
      </c>
      <c r="V240" s="4" t="n">
        <v>190.7</v>
      </c>
      <c r="W240" s="3" t="inlineStr">
        <is>
          <t>지정되지않음</t>
        </is>
      </c>
      <c r="X240" s="3" t="inlineStr">
        <is>
          <t>주상기타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소로한면</t>
        </is>
      </c>
    </row>
    <row r="241">
      <c r="A241" s="3" t="inlineStr">
        <is>
          <t>조치원읍 침산리 265-11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150</v>
      </c>
      <c r="H241" s="4" t="n">
        <v>25</v>
      </c>
      <c r="I241" s="4" t="n">
        <v>0</v>
      </c>
      <c r="J241" s="4" t="n">
        <v>0</v>
      </c>
      <c r="K241" s="5" t="n">
        <v>0</v>
      </c>
      <c r="L241" s="4" t="n">
        <v>23</v>
      </c>
      <c r="M241" s="4" t="n">
        <v>7</v>
      </c>
      <c r="N241" s="5" t="n">
        <v>3.6</v>
      </c>
      <c r="O241" s="3" t="inlineStr">
        <is>
          <t>nan</t>
        </is>
      </c>
      <c r="P241" s="6">
        <f>HYPERLINK("https://fin.land.naver.com/articles/2649877584", "매물Link")</f>
        <v/>
      </c>
      <c r="Q241" s="6">
        <f>HYPERLINK("https://map.naver.com/p/search/조치원읍 침산리 265-11", "지도Link")</f>
        <v/>
      </c>
      <c r="R241" s="6">
        <f>HYPERLINK("http://www.eum.go.kr/web/ar/lu/luLandDet.jsp?pnu=3611025028102650011&amp;isNoScr=script&amp;mode=search",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415.5</v>
      </c>
      <c r="V241" s="4" t="n">
        <v>190.7</v>
      </c>
      <c r="W241" s="3" t="inlineStr">
        <is>
          <t>지정되지않음</t>
        </is>
      </c>
      <c r="X241" s="3" t="inlineStr">
        <is>
          <t>주상기타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소로한면</t>
        </is>
      </c>
    </row>
    <row r="242">
      <c r="A242" s="3" t="inlineStr">
        <is>
          <t>조치원읍 침산리 265-9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300</v>
      </c>
      <c r="H242" s="4" t="n">
        <v>40</v>
      </c>
      <c r="I242" s="4" t="n">
        <v>30</v>
      </c>
      <c r="J242" s="4" t="n">
        <v>9</v>
      </c>
      <c r="K242" s="5" t="n">
        <v>4.4</v>
      </c>
      <c r="L242" s="4" t="n">
        <v>30</v>
      </c>
      <c r="M242" s="4" t="n">
        <v>9</v>
      </c>
      <c r="N242" s="5" t="n">
        <v>4.4</v>
      </c>
      <c r="O242" s="3" t="inlineStr">
        <is>
          <t>투베이 분리형 이사협의</t>
        </is>
      </c>
      <c r="P242" s="6">
        <f>HYPERLINK("https://fin.land.naver.com/articles/2648493335", "매물Link")</f>
        <v/>
      </c>
      <c r="Q242" s="6">
        <f>HYPERLINK("https://map.naver.com/p/search/조치원읍 침산리 265-9", "지도Link")</f>
        <v/>
      </c>
      <c r="R242" s="6">
        <f>HYPERLINK("http://www.eum.go.kr/web/ar/lu/luLandDet.jsp?pnu=3611025028102650009&amp;isNoScr=script&amp;mode=search", "토지이음")</f>
        <v/>
      </c>
      <c r="S242" s="3" t="inlineStr">
        <is>
          <t>김준희</t>
        </is>
      </c>
      <c r="T242" s="4" t="n">
        <v>1</v>
      </c>
      <c r="U242" s="5" t="n">
        <v>419.8</v>
      </c>
      <c r="V242" s="4" t="n">
        <v>274.8</v>
      </c>
      <c r="W242" s="3" t="inlineStr">
        <is>
          <t>지정되지않음</t>
        </is>
      </c>
      <c r="X242" s="3" t="inlineStr">
        <is>
          <t>주상기타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소로한면</t>
        </is>
      </c>
    </row>
    <row r="243">
      <c r="A243" s="3" t="inlineStr">
        <is>
          <t>조치원읍 침산리 266-12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다가구</t>
        </is>
      </c>
      <c r="F243" s="3" t="inlineStr">
        <is>
          <t>매매</t>
        </is>
      </c>
      <c r="G243" s="4" t="n">
        <v>100000</v>
      </c>
      <c r="H243" s="4" t="n">
        <v>0</v>
      </c>
      <c r="I243" s="4" t="n">
        <v>259</v>
      </c>
      <c r="J243" s="4" t="n">
        <v>78</v>
      </c>
      <c r="K243" s="5" t="n">
        <v>1282.1</v>
      </c>
      <c r="L243" s="4" t="n">
        <v>473</v>
      </c>
      <c r="M243" s="4" t="n">
        <v>143</v>
      </c>
      <c r="N243" s="5" t="n">
        <v>699.3</v>
      </c>
      <c r="O243" s="3" t="inlineStr">
        <is>
          <t>nan</t>
        </is>
      </c>
      <c r="P243" s="6">
        <f>HYPERLINK("https://fin.land.naver.com/articles/2649229764", "매물Link")</f>
        <v/>
      </c>
      <c r="Q243" s="6">
        <f>HYPERLINK("https://map.naver.com/p/search/조치원읍 침산리 266-12", "지도Link")</f>
        <v/>
      </c>
      <c r="R243" s="6">
        <f>HYPERLINK("http://www.eum.go.kr/web/ar/lu/luLandDet.jsp?pnu=3611025028102660012&amp;isNoScr=script&amp;mode=search", "토지이음")</f>
        <v/>
      </c>
      <c r="S243" s="3" t="inlineStr">
        <is>
          <t>김준희</t>
        </is>
      </c>
      <c r="T243" s="4" t="n">
        <v>1</v>
      </c>
      <c r="U243" s="5" t="n">
        <v>318.2</v>
      </c>
      <c r="V243" s="4" t="n">
        <v>259.5</v>
      </c>
      <c r="W243" s="3" t="inlineStr">
        <is>
          <t>지정되지않음</t>
        </is>
      </c>
      <c r="X243" s="3" t="inlineStr">
        <is>
          <t>다세대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267-11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100</v>
      </c>
      <c r="H244" s="4" t="n">
        <v>30</v>
      </c>
      <c r="I244" s="4" t="n">
        <v>23</v>
      </c>
      <c r="J244" s="4" t="n">
        <v>7</v>
      </c>
      <c r="K244" s="5" t="n">
        <v>4.3</v>
      </c>
      <c r="L244" s="4" t="n">
        <v>23</v>
      </c>
      <c r="M244" s="4" t="n">
        <v>7</v>
      </c>
      <c r="N244" s="5" t="n">
        <v>4.3</v>
      </c>
      <c r="O244" s="3" t="inlineStr">
        <is>
          <t>침산리 원룸 월세 보100 월30 관리비10</t>
        </is>
      </c>
      <c r="P244" s="6">
        <f>HYPERLINK("https://fin.land.naver.com/articles/2647838658", "매물Link")</f>
        <v/>
      </c>
      <c r="Q244" s="6">
        <f>HYPERLINK("https://map.naver.com/p/search/조치원읍 침산리 267-11", "지도Link")</f>
        <v/>
      </c>
      <c r="R244" s="6">
        <f>HYPERLINK("http://www.eum.go.kr/web/ar/lu/luLandDet.jsp?pnu=3611025028102670011&amp;isNoScr=script&amp;mode=search", "토지이음")</f>
        <v/>
      </c>
      <c r="S244" s="3" t="inlineStr">
        <is>
          <t>김준희</t>
        </is>
      </c>
      <c r="T244" s="4" t="n">
        <v>1</v>
      </c>
      <c r="U244" s="5" t="n">
        <v>286.8</v>
      </c>
      <c r="V244" s="4" t="n">
        <v>254.5</v>
      </c>
      <c r="W244" s="3" t="inlineStr">
        <is>
          <t>지정되지않음</t>
        </is>
      </c>
      <c r="X244" s="3" t="inlineStr">
        <is>
          <t>다세대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조치원읍 침산리 267-11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200</v>
      </c>
      <c r="H245" s="4" t="n">
        <v>30</v>
      </c>
      <c r="I245" s="4" t="n">
        <v>0</v>
      </c>
      <c r="J245" s="4" t="n">
        <v>0</v>
      </c>
      <c r="K245" s="5" t="n">
        <v>0</v>
      </c>
      <c r="L245" s="4" t="n">
        <v>23</v>
      </c>
      <c r="M245" s="4" t="n">
        <v>7</v>
      </c>
      <c r="N245" s="5" t="n">
        <v>4.3</v>
      </c>
      <c r="O245" s="3" t="inlineStr">
        <is>
          <t>욱일앞 생활편의 시설 좋은 위치</t>
        </is>
      </c>
      <c r="P245" s="6">
        <f>HYPERLINK("https://fin.land.naver.com/articles/2648305935", "매물Link")</f>
        <v/>
      </c>
      <c r="Q245" s="6">
        <f>HYPERLINK("https://map.naver.com/p/search/조치원읍 침산리 267-11", "지도Link")</f>
        <v/>
      </c>
      <c r="R245" s="6">
        <f>HYPERLINK("http://www.eum.go.kr/web/ar/lu/luLandDet.jsp?pnu=3611025028102670011&amp;isNoScr=script&amp;mode=search", "토지이음")</f>
        <v/>
      </c>
      <c r="S245" s="3" t="inlineStr">
        <is>
          <t>척척</t>
        </is>
      </c>
      <c r="T245" s="4" t="n">
        <v>1</v>
      </c>
      <c r="U245" s="5" t="n">
        <v>286.8</v>
      </c>
      <c r="V245" s="4" t="n">
        <v>254.5</v>
      </c>
      <c r="W245" s="3" t="inlineStr">
        <is>
          <t>지정되지않음</t>
        </is>
      </c>
      <c r="X245" s="3" t="inlineStr">
        <is>
          <t>다세대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조치원읍 침산리 267-9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30</v>
      </c>
      <c r="I246" s="4" t="n">
        <v>112</v>
      </c>
      <c r="J246" s="4" t="n">
        <v>34</v>
      </c>
      <c r="K246" s="5" t="n">
        <v>0.9</v>
      </c>
      <c r="L246" s="4" t="n">
        <v>22</v>
      </c>
      <c r="M246" s="4" t="n">
        <v>7</v>
      </c>
      <c r="N246" s="5" t="n">
        <v>4.3</v>
      </c>
      <c r="O246" s="3" t="inlineStr">
        <is>
          <t>계약 후 즉시 입주 가능 원룸</t>
        </is>
      </c>
      <c r="P246" s="6">
        <f>HYPERLINK("https://fin.land.naver.com/articles/2651069877", "매물Link")</f>
        <v/>
      </c>
      <c r="Q246" s="6">
        <f>HYPERLINK("https://map.naver.com/p/search/조치원읍 침산리 267-9", "지도Link")</f>
        <v/>
      </c>
      <c r="R246" s="6">
        <f>HYPERLINK("http://www.eum.go.kr/web/ar/lu/luLandDet.jsp?pnu=3611025028102670009&amp;isNoScr=script&amp;mode=search",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286.8</v>
      </c>
      <c r="V246" s="4" t="n">
        <v>220.1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세로한면(가)</t>
        </is>
      </c>
    </row>
    <row r="247">
      <c r="A247" s="3" t="inlineStr">
        <is>
          <t>조치원읍 침산리 279-1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3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29</v>
      </c>
      <c r="I247" s="4" t="n">
        <v>0</v>
      </c>
      <c r="J247" s="4" t="n">
        <v>0</v>
      </c>
      <c r="K247" s="5" t="n">
        <v>0</v>
      </c>
      <c r="L247" s="4" t="n">
        <v>20</v>
      </c>
      <c r="M247" s="4" t="n">
        <v>6</v>
      </c>
      <c r="N247" s="5" t="n">
        <v>4.8</v>
      </c>
      <c r="O247" s="3" t="inlineStr">
        <is>
          <t>L 역5분. 분리형원룸. 풀옵션. 즉시입주가능</t>
        </is>
      </c>
      <c r="P247" s="6">
        <f>HYPERLINK("https://fin.land.naver.com/articles/2650104336", "매물Link")</f>
        <v/>
      </c>
      <c r="Q247" s="6">
        <f>HYPERLINK("https://map.naver.com/p/search/조치원읍 침산리 279-1", "지도Link")</f>
        <v/>
      </c>
      <c r="R247" s="6">
        <f>HYPERLINK("http://www.eum.go.kr/web/ar/lu/luLandDet.jsp?pnu=3611025028102790001&amp;isNoScr=script&amp;mode=search", "토지이음")</f>
        <v/>
      </c>
      <c r="S247" s="3" t="inlineStr">
        <is>
          <t>바다</t>
        </is>
      </c>
      <c r="T247" s="4" t="n">
        <v>1</v>
      </c>
      <c r="U247" s="5" t="n">
        <v>290.8</v>
      </c>
      <c r="V247" s="4" t="n">
        <v>328.1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소로한면</t>
        </is>
      </c>
    </row>
    <row r="248">
      <c r="A248" s="3" t="inlineStr">
        <is>
          <t>조치원읍 침산리 279-15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다가구</t>
        </is>
      </c>
      <c r="F248" s="3" t="inlineStr">
        <is>
          <t>매매</t>
        </is>
      </c>
      <c r="G248" s="4" t="n">
        <v>110000</v>
      </c>
      <c r="H248" s="4" t="n">
        <v>0</v>
      </c>
      <c r="I248" s="4" t="n">
        <v>315</v>
      </c>
      <c r="J248" s="4" t="n">
        <v>95</v>
      </c>
      <c r="K248" s="5" t="n">
        <v>1157.9</v>
      </c>
      <c r="L248" s="4" t="n">
        <v>545</v>
      </c>
      <c r="M248" s="4" t="n">
        <v>165</v>
      </c>
      <c r="N248" s="5" t="n">
        <v>666.7</v>
      </c>
      <c r="O248" s="3" t="inlineStr">
        <is>
          <t>다가주주택 연수익률 8%</t>
        </is>
      </c>
      <c r="P248" s="6">
        <f>HYPERLINK("https://fin.land.naver.com/articles/2649673971", "매물Link")</f>
        <v/>
      </c>
      <c r="Q248" s="6">
        <f>HYPERLINK("https://map.naver.com/p/search/조치원읍 침산리 279-15", "지도Link")</f>
        <v/>
      </c>
      <c r="R248" s="6">
        <f>HYPERLINK("http://www.eum.go.kr/web/ar/lu/luLandDet.jsp?pnu=3611025028102790015&amp;isNoScr=script&amp;mode=search", "토지이음")</f>
        <v/>
      </c>
      <c r="S248" s="3" t="inlineStr">
        <is>
          <t>세종베스트</t>
        </is>
      </c>
      <c r="T248" s="4" t="n">
        <v>1</v>
      </c>
      <c r="U248" s="5" t="n">
        <v>299.6</v>
      </c>
      <c r="V248" s="4" t="n">
        <v>315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소로한면</t>
        </is>
      </c>
    </row>
    <row r="249">
      <c r="A249" s="3" t="inlineStr">
        <is>
          <t>조치원읍 침산리 279-16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다가구</t>
        </is>
      </c>
      <c r="F249" s="3" t="inlineStr">
        <is>
          <t>월세</t>
        </is>
      </c>
      <c r="G249" s="4" t="n">
        <v>200</v>
      </c>
      <c r="H249" s="4" t="n">
        <v>23</v>
      </c>
      <c r="I249" s="4" t="n">
        <v>20</v>
      </c>
      <c r="J249" s="4" t="n">
        <v>6</v>
      </c>
      <c r="K249" s="5" t="n">
        <v>3.8</v>
      </c>
      <c r="L249" s="4" t="n">
        <v>18</v>
      </c>
      <c r="M249" s="4" t="n">
        <v>5</v>
      </c>
      <c r="N249" s="5" t="n">
        <v>4.6</v>
      </c>
      <c r="O249" s="3" t="inlineStr">
        <is>
          <t>시원하고 따뜻한집전기가스30절감 깔끔한집</t>
        </is>
      </c>
      <c r="P249" s="6">
        <f>HYPERLINK("https://fin.land.naver.com/articles/2649080565", "매물Link")</f>
        <v/>
      </c>
      <c r="Q249" s="6">
        <f>HYPERLINK("https://map.naver.com/p/search/조치원읍 침산리 279-16", "지도Link")</f>
        <v/>
      </c>
      <c r="R249" s="6">
        <f>HYPERLINK("http://www.eum.go.kr/web/ar/lu/luLandDet.jsp?pnu=3611025028102790016&amp;isNoScr=script&amp;mode=search", "토지이음")</f>
        <v/>
      </c>
      <c r="S249" s="3" t="inlineStr">
        <is>
          <t>마이룸</t>
        </is>
      </c>
      <c r="T249" s="4" t="n">
        <v>1</v>
      </c>
      <c r="U249" s="5" t="n">
        <v>299.6</v>
      </c>
      <c r="V249" s="4" t="n">
        <v>315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침산리 282-13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전세</t>
        </is>
      </c>
      <c r="G250" s="4" t="n">
        <v>5000</v>
      </c>
      <c r="H250" s="4" t="n">
        <v>0</v>
      </c>
      <c r="I250" s="4" t="n">
        <v>47</v>
      </c>
      <c r="J250" s="4" t="n">
        <v>14</v>
      </c>
      <c r="K250" s="5" t="n">
        <v>357.1</v>
      </c>
      <c r="L250" s="4" t="n">
        <v>47</v>
      </c>
      <c r="M250" s="4" t="n">
        <v>14</v>
      </c>
      <c r="N250" s="5" t="n">
        <v>357.1</v>
      </c>
      <c r="O250" s="3" t="inlineStr">
        <is>
          <t>깨끗하고 넒은 원룸이며,  주저지역에 위치하여 교통 편리</t>
        </is>
      </c>
      <c r="P250" s="6">
        <f>HYPERLINK("https://fin.land.naver.com/articles/2651486371", "매물Link")</f>
        <v/>
      </c>
      <c r="Q250" s="6">
        <f>HYPERLINK("https://map.naver.com/p/search/조치원읍 침산리 282-13", "지도Link")</f>
        <v/>
      </c>
      <c r="R250" s="6">
        <f>HYPERLINK("http://www.eum.go.kr/web/ar/lu/luLandDet.jsp?pnu=3611025028102820013&amp;isNoScr=script&amp;mode=search", "토지이음")</f>
        <v/>
      </c>
      <c r="S250" s="3" t="inlineStr">
        <is>
          <t>세종베스트</t>
        </is>
      </c>
      <c r="T250" s="4" t="n">
        <v>1</v>
      </c>
      <c r="U250" s="5" t="n">
        <v>314.3</v>
      </c>
      <c r="V250" s="4" t="n">
        <v>252.9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283-12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32</v>
      </c>
      <c r="I251" s="4" t="n">
        <v>0</v>
      </c>
      <c r="J251" s="4" t="n">
        <v>0</v>
      </c>
      <c r="K251" s="5" t="n">
        <v>0</v>
      </c>
      <c r="L251" s="4" t="n">
        <v>24</v>
      </c>
      <c r="M251" s="4" t="n">
        <v>7</v>
      </c>
      <c r="N251" s="5" t="n">
        <v>4.6</v>
      </c>
      <c r="O251" s="3" t="inlineStr">
        <is>
          <t>인기좋은  풀옵션완비방   깔끔한 주거공간  넓은 수납공간  주차편함</t>
        </is>
      </c>
      <c r="P251" s="6">
        <f>HYPERLINK("https://fin.land.naver.com/articles/2651569091", "매물Link")</f>
        <v/>
      </c>
      <c r="Q251" s="6">
        <f>HYPERLINK("https://map.naver.com/p/search/조치원읍 침산리 283-12", "지도Link")</f>
        <v/>
      </c>
      <c r="R251" s="6">
        <f>HYPERLINK("http://www.eum.go.kr/web/ar/lu/luLandDet.jsp?pnu=3611025028102830012&amp;isNoScr=script&amp;mode=search", "토지이음")</f>
        <v/>
      </c>
      <c r="S251" s="3" t="inlineStr">
        <is>
          <t>연서으뜸</t>
        </is>
      </c>
      <c r="T251" s="4" t="n">
        <v>1</v>
      </c>
      <c r="U251" s="5" t="n">
        <v>283.1</v>
      </c>
      <c r="V251" s="4" t="n">
        <v>263.5</v>
      </c>
      <c r="W251" s="3" t="inlineStr">
        <is>
          <t>지정되지않음</t>
        </is>
      </c>
      <c r="X251" s="3" t="inlineStr">
        <is>
          <t>주거기타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세로한면(가)</t>
        </is>
      </c>
    </row>
    <row r="252">
      <c r="A252" s="3" t="inlineStr">
        <is>
          <t>조치원읍 침산리 283-16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전세</t>
        </is>
      </c>
      <c r="G252" s="4" t="n">
        <v>3500</v>
      </c>
      <c r="H252" s="4" t="n">
        <v>0</v>
      </c>
      <c r="I252" s="4" t="n">
        <v>0</v>
      </c>
      <c r="J252" s="4" t="n">
        <v>0</v>
      </c>
      <c r="K252" s="5" t="n">
        <v>0</v>
      </c>
      <c r="L252" s="4" t="n">
        <v>25</v>
      </c>
      <c r="M252" s="4" t="n">
        <v>8</v>
      </c>
      <c r="N252" s="5" t="n">
        <v>437.5</v>
      </c>
      <c r="O252" s="3" t="inlineStr">
        <is>
          <t>넓고 깔끔한  풀옵션 완비방  주방분리  짐만 가져오세요  바로입주</t>
        </is>
      </c>
      <c r="P252" s="6">
        <f>HYPERLINK("https://fin.land.naver.com/articles/2648568156", "매물Link")</f>
        <v/>
      </c>
      <c r="Q252" s="6">
        <f>HYPERLINK("https://map.naver.com/p/search/조치원읍 침산리 283-16", "지도Link")</f>
        <v/>
      </c>
      <c r="R252" s="6">
        <f>HYPERLINK("http://www.eum.go.kr/web/ar/lu/luLandDet.jsp?pnu=3611025028102830016&amp;isNoScr=script&amp;mode=search", "토지이음")</f>
        <v/>
      </c>
      <c r="S252" s="3" t="inlineStr">
        <is>
          <t>연서으뜸</t>
        </is>
      </c>
      <c r="T252" s="4" t="n">
        <v>1</v>
      </c>
      <c r="U252" s="5" t="n">
        <v>283.1</v>
      </c>
      <c r="V252" s="4" t="n">
        <v>281</v>
      </c>
      <c r="W252" s="3" t="inlineStr">
        <is>
          <t>지정되지않음</t>
        </is>
      </c>
      <c r="X252" s="3" t="inlineStr">
        <is>
          <t>주거기타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세로한면(가)</t>
        </is>
      </c>
    </row>
    <row r="253">
      <c r="A253" s="3" t="inlineStr">
        <is>
          <t>조치원읍 평리 56-2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30</v>
      </c>
      <c r="I253" s="4" t="n">
        <v>39</v>
      </c>
      <c r="J253" s="4" t="n">
        <v>12</v>
      </c>
      <c r="K253" s="5" t="n">
        <v>2.5</v>
      </c>
      <c r="L253" s="4" t="n">
        <v>26</v>
      </c>
      <c r="M253" s="4" t="n">
        <v>8</v>
      </c>
      <c r="N253" s="5" t="n">
        <v>3.8</v>
      </c>
      <c r="O253" s="3" t="inlineStr">
        <is>
          <t>조치원터미널근방.엘리베이터있음.공동주차시설완비</t>
        </is>
      </c>
      <c r="P253" s="6">
        <f>HYPERLINK("https://fin.land.naver.com/articles/2651626263", "매물Link")</f>
        <v/>
      </c>
      <c r="Q253" s="6">
        <f>HYPERLINK("https://map.naver.com/p/search/조치원읍 평리 56-2", "지도Link")</f>
        <v/>
      </c>
      <c r="R253" s="6">
        <f>HYPERLINK("http://www.eum.go.kr/web/ar/lu/luLandDet.jsp?pnu=3611025023100560002&amp;isNoScr=script&amp;mode=search",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206.6</v>
      </c>
      <c r="V253" s="4" t="n">
        <v>575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부정형</t>
        </is>
      </c>
      <c r="AA253" s="3" t="inlineStr">
        <is>
          <t>세로한면(가)</t>
        </is>
      </c>
    </row>
    <row r="254">
      <c r="A254" s="3" t="inlineStr">
        <is>
          <t>한솔동 1118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단독</t>
        </is>
      </c>
      <c r="F254" s="3" t="inlineStr">
        <is>
          <t>매매</t>
        </is>
      </c>
      <c r="G254" s="4" t="n">
        <v>127000</v>
      </c>
      <c r="H254" s="4" t="n">
        <v>0</v>
      </c>
      <c r="I254" s="4" t="n">
        <v>331</v>
      </c>
      <c r="J254" s="4" t="n">
        <v>100</v>
      </c>
      <c r="K254" s="5" t="n">
        <v>1270</v>
      </c>
      <c r="L254" s="4" t="n">
        <v>164</v>
      </c>
      <c r="M254" s="4" t="n">
        <v>50</v>
      </c>
      <c r="N254" s="5" t="n">
        <v>2540</v>
      </c>
      <c r="O254" s="3" t="inlineStr">
        <is>
          <t>마당연결 공원전유사용 옆시유지 무상이용 2층 테라스 데크 실수요최적</t>
        </is>
      </c>
      <c r="P254" s="6">
        <f>HYPERLINK("https://fin.land.naver.com/articles/2649262816", "매물Link")</f>
        <v/>
      </c>
      <c r="Q254" s="6">
        <f>HYPERLINK("https://map.naver.com/p/search/한솔동 1118", "지도Link")</f>
        <v/>
      </c>
      <c r="R254" s="6">
        <f>HYPERLINK("http://www.eum.go.kr/web/ar/lu/luLandDet.jsp?pnu=3611010600111180000&amp;isNoScr=script&amp;mode=search", "토지이음")</f>
        <v/>
      </c>
      <c r="S254" s="3" t="inlineStr">
        <is>
          <t>삼성래미안</t>
        </is>
      </c>
      <c r="T254" s="4" t="n">
        <v>3</v>
      </c>
      <c r="U254" s="5" t="n">
        <v>373.6</v>
      </c>
      <c r="V254" s="4" t="n">
        <v>331.3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소로한면</t>
        </is>
      </c>
    </row>
    <row r="255">
      <c r="A255" s="3" t="inlineStr">
        <is>
          <t>한솔동 1118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127000</v>
      </c>
      <c r="H255" s="4" t="n">
        <v>0</v>
      </c>
      <c r="I255" s="4" t="n">
        <v>331</v>
      </c>
      <c r="J255" s="4" t="n">
        <v>100</v>
      </c>
      <c r="K255" s="5" t="n">
        <v>1270</v>
      </c>
      <c r="L255" s="4" t="n">
        <v>164</v>
      </c>
      <c r="M255" s="4" t="n">
        <v>50</v>
      </c>
      <c r="N255" s="5" t="n">
        <v>2540</v>
      </c>
      <c r="O255" s="3" t="inlineStr">
        <is>
          <t>전용49.8p, 방3개 화장실2개, 사유지땅 사용가능</t>
        </is>
      </c>
      <c r="P255" s="6">
        <f>HYPERLINK("https://fin.land.naver.com/articles/2648834239", "매물Link")</f>
        <v/>
      </c>
      <c r="Q255" s="6">
        <f>HYPERLINK("https://map.naver.com/p/search/한솔동 1118", "지도Link")</f>
        <v/>
      </c>
      <c r="R255" s="6">
        <f>HYPERLINK("http://www.eum.go.kr/web/ar/lu/luLandDet.jsp?pnu=3611010600111180000&amp;isNoScr=script&amp;mode=search", "토지이음")</f>
        <v/>
      </c>
      <c r="S255" s="3" t="inlineStr">
        <is>
          <t>세종무지개</t>
        </is>
      </c>
      <c r="T255" s="4" t="n">
        <v>1</v>
      </c>
      <c r="U255" s="5" t="n">
        <v>373.6</v>
      </c>
      <c r="V255" s="4" t="n">
        <v>331.3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소로한면</t>
        </is>
      </c>
    </row>
    <row r="256">
      <c r="A256" s="3" t="inlineStr">
        <is>
          <t>한솔동 1118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단독</t>
        </is>
      </c>
      <c r="F256" s="3" t="inlineStr">
        <is>
          <t>매매</t>
        </is>
      </c>
      <c r="G256" s="4" t="n">
        <v>127000</v>
      </c>
      <c r="H256" s="4" t="n">
        <v>0</v>
      </c>
      <c r="I256" s="4" t="n">
        <v>331</v>
      </c>
      <c r="J256" s="4" t="n">
        <v>100</v>
      </c>
      <c r="K256" s="5" t="n">
        <v>1270</v>
      </c>
      <c r="L256" s="4" t="n">
        <v>164</v>
      </c>
      <c r="M256" s="4" t="n">
        <v>50</v>
      </c>
      <c r="N256" s="5" t="n">
        <v>2540</v>
      </c>
      <c r="O256" s="3" t="inlineStr">
        <is>
          <t>공원사유지 무상이용가능, 입지 좋은 한솔동 단독주택 매매</t>
        </is>
      </c>
      <c r="P256" s="6">
        <f>HYPERLINK("https://fin.land.naver.com/articles/2649007409", "매물Link")</f>
        <v/>
      </c>
      <c r="Q256" s="6">
        <f>HYPERLINK("https://map.naver.com/p/search/한솔동 1118", "지도Link")</f>
        <v/>
      </c>
      <c r="R256" s="6">
        <f>HYPERLINK("http://www.eum.go.kr/web/ar/lu/luLandDet.jsp?pnu=3611010600111180000&amp;isNoScr=script&amp;mode=search", "토지이음")</f>
        <v/>
      </c>
      <c r="S256" s="3" t="inlineStr">
        <is>
          <t>명진</t>
        </is>
      </c>
      <c r="T256" s="4" t="n">
        <v>1</v>
      </c>
      <c r="U256" s="5" t="n">
        <v>373.6</v>
      </c>
      <c r="V256" s="4" t="n">
        <v>331.3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정방형</t>
        </is>
      </c>
      <c r="AA256" s="3" t="inlineStr">
        <is>
          <t>소로한면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세종시 상권이용편리한 단독주택  앞뒤뻥</t>
        </is>
      </c>
      <c r="P257" s="6">
        <f>HYPERLINK("https://fin.land.naver.com/articles/2646211687",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세종믿음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착한매우급매 마당넓은공원 내집처럼사용 옆시유지땅 무상사용 꼭 해 달래요</t>
        </is>
      </c>
      <c r="P258" s="6">
        <f>HYPERLINK("https://fin.land.naver.com/articles/2646097576",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세종골드삼성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1219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85000</v>
      </c>
      <c r="H259" s="4" t="n">
        <v>0</v>
      </c>
      <c r="I259" s="4" t="n">
        <v>394</v>
      </c>
      <c r="J259" s="4" t="n">
        <v>119</v>
      </c>
      <c r="K259" s="5" t="n">
        <v>714.3</v>
      </c>
      <c r="L259" s="4" t="n">
        <v>99</v>
      </c>
      <c r="M259" s="4" t="n">
        <v>30</v>
      </c>
      <c r="N259" s="5" t="n">
        <v>2833.3</v>
      </c>
      <c r="O259" s="3" t="inlineStr">
        <is>
          <t>급매 추가조율협의가능 단층 철근콘크리트 가성비 주택</t>
        </is>
      </c>
      <c r="P259" s="6">
        <f>HYPERLINK("https://fin.land.naver.com/articles/2649375331", "매물Link")</f>
        <v/>
      </c>
      <c r="Q259" s="6">
        <f>HYPERLINK("https://map.naver.com/p/search/한솔동 1219", "지도Link")</f>
        <v/>
      </c>
      <c r="R259" s="6">
        <f>HYPERLINK("http://www.eum.go.kr/web/ar/lu/luLandDet.jsp?pnu=3611010600112190000&amp;isNoScr=script&amp;mode=search", "토지이음")</f>
        <v/>
      </c>
      <c r="S259" s="3" t="inlineStr">
        <is>
          <t>세종스타</t>
        </is>
      </c>
      <c r="T259" s="4" t="n">
        <v>1</v>
      </c>
      <c r="U259" s="5" t="n">
        <v>373.6</v>
      </c>
      <c r="V259" s="4" t="n">
        <v>394.7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소로한면</t>
        </is>
      </c>
    </row>
    <row r="260">
      <c r="A260" s="3" t="inlineStr">
        <is>
          <t>한솔동 1219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85000</v>
      </c>
      <c r="H260" s="4" t="n">
        <v>0</v>
      </c>
      <c r="I260" s="4" t="n">
        <v>394</v>
      </c>
      <c r="J260" s="4" t="n">
        <v>119</v>
      </c>
      <c r="K260" s="5" t="n">
        <v>714.3</v>
      </c>
      <c r="L260" s="4" t="n">
        <v>99</v>
      </c>
      <c r="M260" s="4" t="n">
        <v>30</v>
      </c>
      <c r="N260" s="5" t="n">
        <v>2833.3</v>
      </c>
      <c r="O260" s="3" t="inlineStr">
        <is>
          <t>정원이 잘 가꾸어진 주택. 초,중, 고 도보권</t>
        </is>
      </c>
      <c r="P260" s="6">
        <f>HYPERLINK("https://fin.land.naver.com/articles/2649457945", "매물Link")</f>
        <v/>
      </c>
      <c r="Q260" s="6">
        <f>HYPERLINK("https://map.naver.com/p/search/한솔동 1219", "지도Link")</f>
        <v/>
      </c>
      <c r="R260" s="6">
        <f>HYPERLINK("http://www.eum.go.kr/web/ar/lu/luLandDet.jsp?pnu=3611010600112190000&amp;isNoScr=script&amp;mode=search", "토지이음")</f>
        <v/>
      </c>
      <c r="S260" s="3" t="inlineStr">
        <is>
          <t>세종삼촌</t>
        </is>
      </c>
      <c r="T260" s="4" t="n">
        <v>1</v>
      </c>
      <c r="U260" s="5" t="n">
        <v>373.6</v>
      </c>
      <c r="V260" s="4" t="n">
        <v>394.7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소로한면</t>
        </is>
      </c>
    </row>
    <row r="261">
      <c r="A261" s="3" t="inlineStr">
        <is>
          <t>한솔동 867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95000</v>
      </c>
      <c r="H261" s="4" t="n">
        <v>0</v>
      </c>
      <c r="I261" s="4" t="n">
        <v>293</v>
      </c>
      <c r="J261" s="4" t="n">
        <v>89</v>
      </c>
      <c r="K261" s="5" t="n">
        <v>1067.4</v>
      </c>
      <c r="L261" s="4" t="n">
        <v>182</v>
      </c>
      <c r="M261" s="4" t="n">
        <v>55</v>
      </c>
      <c r="N261" s="5" t="n">
        <v>1727.3</v>
      </c>
      <c r="O261" s="3" t="inlineStr">
        <is>
          <t>막힘없이 좋아요 좋은 위치 brt 가까운 위치 입니다 방3, 화장실 2</t>
        </is>
      </c>
      <c r="P261" s="6">
        <f>HYPERLINK("https://fin.land.naver.com/articles/2651491871", "매물Link")</f>
        <v/>
      </c>
      <c r="Q261" s="6">
        <f>HYPERLINK("https://map.naver.com/p/search/한솔동 867", "지도Link")</f>
        <v/>
      </c>
      <c r="R261" s="6">
        <f>HYPERLINK("http://www.eum.go.kr/web/ar/lu/luLandDet.jsp?pnu=3611010600108670000&amp;isNoScr=script&amp;mode=search", "토지이음")</f>
        <v/>
      </c>
      <c r="S261" s="3" t="inlineStr">
        <is>
          <t>은성</t>
        </is>
      </c>
      <c r="T261" s="4" t="n">
        <v>1</v>
      </c>
      <c r="U261" s="5" t="n">
        <v>427.1</v>
      </c>
      <c r="V261" s="4" t="n">
        <v>293.3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가로장방</t>
        </is>
      </c>
      <c r="AA261" s="3" t="inlineStr">
        <is>
          <t>소로각지</t>
        </is>
      </c>
    </row>
    <row r="262">
      <c r="A262" s="3" t="inlineStr">
        <is>
          <t>한솔동 899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단독</t>
        </is>
      </c>
      <c r="F262" s="3" t="inlineStr">
        <is>
          <t>매매</t>
        </is>
      </c>
      <c r="G262" s="4" t="n">
        <v>120000</v>
      </c>
      <c r="H262" s="4" t="n">
        <v>0</v>
      </c>
      <c r="I262" s="4" t="n">
        <v>269</v>
      </c>
      <c r="J262" s="4" t="n">
        <v>81</v>
      </c>
      <c r="K262" s="5" t="n">
        <v>1481.5</v>
      </c>
      <c r="L262" s="4" t="n">
        <v>201</v>
      </c>
      <c r="M262" s="4" t="n">
        <v>61</v>
      </c>
      <c r="N262" s="5" t="n">
        <v>1967.2</v>
      </c>
      <c r="O262" s="3" t="inlineStr">
        <is>
          <t>입지 좋고 공간활용도가 높은 한솔동 단독주택 매매</t>
        </is>
      </c>
      <c r="P262" s="6">
        <f>HYPERLINK("https://fin.land.naver.com/articles/2651191540", "매물Link")</f>
        <v/>
      </c>
      <c r="Q262" s="6">
        <f>HYPERLINK("https://map.naver.com/p/search/한솔동 899", "지도Link")</f>
        <v/>
      </c>
      <c r="R262" s="6">
        <f>HYPERLINK("http://www.eum.go.kr/web/ar/lu/luLandDet.jsp?pnu=3611010600108990000&amp;isNoScr=script&amp;mode=search", "토지이음")</f>
        <v/>
      </c>
      <c r="S262" s="3" t="inlineStr">
        <is>
          <t>명진</t>
        </is>
      </c>
      <c r="T262" s="4" t="n">
        <v>1</v>
      </c>
      <c r="U262" s="5" t="n">
        <v>418.8</v>
      </c>
      <c r="V262" s="4" t="n">
        <v>269.1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소로각지</t>
        </is>
      </c>
    </row>
    <row r="263">
      <c r="A263" s="3" t="inlineStr">
        <is>
          <t>한솔동 899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단독</t>
        </is>
      </c>
      <c r="F263" s="3" t="inlineStr">
        <is>
          <t>매매</t>
        </is>
      </c>
      <c r="G263" s="4" t="n">
        <v>120000</v>
      </c>
      <c r="H263" s="4" t="n">
        <v>0</v>
      </c>
      <c r="I263" s="4" t="n">
        <v>269</v>
      </c>
      <c r="J263" s="4" t="n">
        <v>81</v>
      </c>
      <c r="K263" s="5" t="n">
        <v>1481.5</v>
      </c>
      <c r="L263" s="4" t="n">
        <v>201</v>
      </c>
      <c r="M263" s="4" t="n">
        <v>61</v>
      </c>
      <c r="N263" s="5" t="n">
        <v>1967.2</v>
      </c>
      <c r="O263" s="3" t="inlineStr">
        <is>
          <t>태양광, 풀에어컨, 주차2대, 한솔동 입지 좋은 주택 매매</t>
        </is>
      </c>
      <c r="P263" s="6">
        <f>HYPERLINK("https://fin.land.naver.com/articles/2650428908", "매물Link")</f>
        <v/>
      </c>
      <c r="Q263" s="6">
        <f>HYPERLINK("https://map.naver.com/p/search/한솔동 899", "지도Link")</f>
        <v/>
      </c>
      <c r="R263" s="6">
        <f>HYPERLINK("http://www.eum.go.kr/web/ar/lu/luLandDet.jsp?pnu=3611010600108990000&amp;isNoScr=script&amp;mode=search", "토지이음")</f>
        <v/>
      </c>
      <c r="S263" s="3" t="inlineStr">
        <is>
          <t>세종무지개</t>
        </is>
      </c>
      <c r="T263" s="4" t="n">
        <v>1</v>
      </c>
      <c r="U263" s="5" t="n">
        <v>418.8</v>
      </c>
      <c r="V263" s="4" t="n">
        <v>269.1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소로각지</t>
        </is>
      </c>
    </row>
    <row r="264">
      <c r="A264" s="3" t="inlineStr">
        <is>
          <t>한솔동 899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단독</t>
        </is>
      </c>
      <c r="F264" s="3" t="inlineStr">
        <is>
          <t>매매</t>
        </is>
      </c>
      <c r="G264" s="4" t="n">
        <v>120000</v>
      </c>
      <c r="H264" s="4" t="n">
        <v>0</v>
      </c>
      <c r="I264" s="4" t="n">
        <v>269</v>
      </c>
      <c r="J264" s="4" t="n">
        <v>81</v>
      </c>
      <c r="K264" s="5" t="n">
        <v>1481.5</v>
      </c>
      <c r="L264" s="4" t="n">
        <v>201</v>
      </c>
      <c r="M264" s="4" t="n">
        <v>61</v>
      </c>
      <c r="N264" s="5" t="n">
        <v>1967.2</v>
      </c>
      <c r="O264" s="3" t="inlineStr">
        <is>
          <t>입지 좋고 튼튼하게 지어서 실거주로 거주하기 좋은집</t>
        </is>
      </c>
      <c r="P264" s="6">
        <f>HYPERLINK("https://fin.land.naver.com/articles/2646538585", "매물Link")</f>
        <v/>
      </c>
      <c r="Q264" s="6">
        <f>HYPERLINK("https://map.naver.com/p/search/한솔동 899", "지도Link")</f>
        <v/>
      </c>
      <c r="R264" s="6">
        <f>HYPERLINK("http://www.eum.go.kr/web/ar/lu/luLandDet.jsp?pnu=3611010600108990000&amp;isNoScr=script&amp;mode=search", "토지이음")</f>
        <v/>
      </c>
      <c r="S264" s="3" t="inlineStr">
        <is>
          <t>현대탑</t>
        </is>
      </c>
      <c r="T264" s="4" t="n">
        <v>1</v>
      </c>
      <c r="U264" s="5" t="n">
        <v>418.8</v>
      </c>
      <c r="V264" s="4" t="n">
        <v>269.1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공원옆 코너각지 남향 가격조절가 태양열 전기차충전기 정원에카페사용공간있음</t>
        </is>
      </c>
      <c r="P265" s="6">
        <f>HYPERLINK("https://fin.land.naver.com/articles/2649425303",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세종시해냄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997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130000</v>
      </c>
      <c r="H266" s="4" t="n">
        <v>0</v>
      </c>
      <c r="I266" s="4" t="n">
        <v>393</v>
      </c>
      <c r="J266" s="4" t="n">
        <v>119</v>
      </c>
      <c r="K266" s="5" t="n">
        <v>1092.4</v>
      </c>
      <c r="L266" s="4" t="n">
        <v>196</v>
      </c>
      <c r="M266" s="4" t="n">
        <v>59</v>
      </c>
      <c r="N266" s="5" t="n">
        <v>2203.4</v>
      </c>
      <c r="O266" s="3" t="inlineStr">
        <is>
          <t>급매 1년차 최신축 현대식 세련된 내부인테리어 방3개 욕실3개</t>
        </is>
      </c>
      <c r="P266" s="6">
        <f>HYPERLINK("https://fin.land.naver.com/articles/2647126217", "매물Link")</f>
        <v/>
      </c>
      <c r="Q266" s="6">
        <f>HYPERLINK("https://map.naver.com/p/search/한솔동 997", "지도Link")</f>
        <v/>
      </c>
      <c r="R266" s="6">
        <f>HYPERLINK("http://www.eum.go.kr/web/ar/lu/luLandDet.jsp?pnu=3611010600109970000&amp;isNoScr=script&amp;mode=search", "토지이음")</f>
        <v/>
      </c>
      <c r="S266" s="3" t="inlineStr">
        <is>
          <t>세종스타</t>
        </is>
      </c>
      <c r="T266" s="4" t="n">
        <v>1</v>
      </c>
      <c r="U266" s="5" t="n">
        <v>302.8</v>
      </c>
      <c r="V266" s="4" t="n">
        <v>393</v>
      </c>
      <c r="W266" s="3" t="inlineStr">
        <is>
          <t>지정되지않음</t>
        </is>
      </c>
      <c r="X266" s="3" t="inlineStr">
        <is>
          <t>주거나지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해밀동 665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전원주택</t>
        </is>
      </c>
      <c r="F267" s="3" t="inlineStr">
        <is>
          <t>월세</t>
        </is>
      </c>
      <c r="G267" s="4" t="n">
        <v>13000</v>
      </c>
      <c r="H267" s="4" t="n">
        <v>160</v>
      </c>
      <c r="I267" s="4" t="n">
        <v>34</v>
      </c>
      <c r="J267" s="4" t="n">
        <v>10</v>
      </c>
      <c r="K267" s="5" t="n">
        <v>16</v>
      </c>
      <c r="L267" s="4" t="n">
        <v>933</v>
      </c>
      <c r="M267" s="4" t="n">
        <v>282</v>
      </c>
      <c r="N267" s="5" t="n">
        <v>0.6</v>
      </c>
      <c r="O267" s="3" t="inlineStr">
        <is>
          <t>해밀동 라포르테 단독주택 월세</t>
        </is>
      </c>
      <c r="P267" s="6">
        <f>HYPERLINK("https://fin.land.naver.com/articles/2649244700", "매물Link")</f>
        <v/>
      </c>
      <c r="Q267" s="6">
        <f>HYPERLINK("https://map.naver.com/p/search/해밀동 665", "지도Link")</f>
        <v/>
      </c>
      <c r="R267" s="6">
        <f>HYPERLINK("http://www.eum.go.kr/web/ar/lu/luLandDet.jsp?pnu=3611011600106650000&amp;isNoScr=script&amp;mode=search", "토지이음")</f>
        <v/>
      </c>
      <c r="S267" s="3" t="inlineStr">
        <is>
          <t>태양</t>
        </is>
      </c>
      <c r="T267" s="4" t="n">
        <v>1</v>
      </c>
      <c r="U267" s="5" t="n">
        <v>215.1</v>
      </c>
      <c r="V267" s="4" t="n">
        <v>34519</v>
      </c>
      <c r="W267" s="3" t="inlineStr">
        <is>
          <t>지정되지않음</t>
        </is>
      </c>
      <c r="X267" s="3" t="inlineStr">
        <is>
          <t>연립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광대소각</t>
        </is>
      </c>
    </row>
    <row r="268">
      <c r="A268" s="3" t="inlineStr">
        <is>
          <t>해밀동 692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전세</t>
        </is>
      </c>
      <c r="G268" s="4" t="n">
        <v>100000</v>
      </c>
      <c r="H268" s="4" t="n">
        <v>0</v>
      </c>
      <c r="I268" s="4" t="n">
        <v>558</v>
      </c>
      <c r="J268" s="4" t="n">
        <v>169</v>
      </c>
      <c r="K268" s="5" t="n">
        <v>591.7</v>
      </c>
      <c r="L268" s="4" t="n">
        <v>222</v>
      </c>
      <c r="M268" s="4" t="n">
        <v>67</v>
      </c>
      <c r="N268" s="5" t="n">
        <v>1492.5</v>
      </c>
      <c r="O268" s="3" t="inlineStr">
        <is>
          <t>해밀동 고급 타운하우스 시그니매종 전세 010 3819 3805</t>
        </is>
      </c>
      <c r="P268" s="6">
        <f>HYPERLINK("https://fin.land.naver.com/articles/2646491942", "매물Link")</f>
        <v/>
      </c>
      <c r="Q268" s="6">
        <f>HYPERLINK("https://map.naver.com/p/search/해밀동 692", "지도Link")</f>
        <v/>
      </c>
      <c r="R268" s="6">
        <f>HYPERLINK("http://www.eum.go.kr/web/ar/lu/luLandDet.jsp?pnu=3611011600106920000&amp;isNoScr=script&amp;mode=search", "토지이음")</f>
        <v/>
      </c>
      <c r="S268" s="3" t="inlineStr">
        <is>
          <t>국제</t>
        </is>
      </c>
      <c r="T268" s="4" t="n">
        <v>1</v>
      </c>
      <c r="U268" s="5" t="n">
        <v>243.4</v>
      </c>
      <c r="V268" s="4" t="n">
        <v>6242.7</v>
      </c>
      <c r="W268" s="3" t="inlineStr">
        <is>
          <t>지정되지않음</t>
        </is>
      </c>
      <c r="X268" s="3" t="inlineStr">
        <is>
          <t>주거나지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중로각지</t>
        </is>
      </c>
    </row>
  </sheetData>
  <autoFilter ref="A1:AA26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49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대지 궁현리 연꽂마을내 문화마을 전원주택지  매가조정가능</t>
        </is>
      </c>
      <c r="L15" s="6">
        <f>HYPERLINK("https://fin.land.naver.com/articles/2651683239",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HYPERLINK("https://fin.land.naver.com/articles/2646182942",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190000</v>
      </c>
      <c r="G50" s="4" t="n">
        <v>2862</v>
      </c>
      <c r="H50" s="4" t="n">
        <v>866</v>
      </c>
      <c r="I50" s="5" t="n">
        <v>219.4</v>
      </c>
      <c r="J50" s="5" t="n">
        <v>37.3</v>
      </c>
      <c r="K50" s="3" t="inlineStr">
        <is>
          <t>nan</t>
        </is>
      </c>
      <c r="L50" s="6">
        <f>HYPERLINK("https://fin.land.naver.com/articles/2648142281",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150000</v>
      </c>
      <c r="G54" s="4" t="n">
        <v>4135</v>
      </c>
      <c r="H54" s="4" t="n">
        <v>1251</v>
      </c>
      <c r="I54" s="5" t="n">
        <v>119.9</v>
      </c>
      <c r="J54" s="5" t="n">
        <v>57.8</v>
      </c>
      <c r="K54" s="3" t="inlineStr">
        <is>
          <t>사진有.제조업소허가 득. 토목공사완료.분할매매가능.</t>
        </is>
      </c>
      <c r="L54" s="6">
        <f>HYPERLINK("https://fin.land.naver.com/articles/2648349271",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오너스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73000</v>
      </c>
      <c r="G55" s="4" t="n">
        <v>2033</v>
      </c>
      <c r="H55" s="4" t="n">
        <v>615</v>
      </c>
      <c r="I55" s="5" t="n">
        <v>118.7</v>
      </c>
      <c r="J55" s="5" t="n">
        <v>57.8</v>
      </c>
      <c r="K55" s="3" t="inlineStr">
        <is>
          <t>산단리 1355번지 공장 제조업등 허가등</t>
        </is>
      </c>
      <c r="L55" s="6">
        <f>HYPERLINK("https://fin.land.naver.com/articles/2647723025",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135000</v>
      </c>
      <c r="G56" s="4" t="n">
        <v>4066</v>
      </c>
      <c r="H56" s="4" t="n">
        <v>1230</v>
      </c>
      <c r="I56" s="5" t="n">
        <v>109.8</v>
      </c>
      <c r="J56" s="5" t="n">
        <v>57.8</v>
      </c>
      <c r="K56" s="3" t="inlineStr">
        <is>
          <t>위치  태성삼거리 부근  전망좋음</t>
        </is>
      </c>
      <c r="L56" s="6">
        <f>HYPERLINK("https://fin.land.naver.com/articles/2650295891",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16-3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29.4</v>
      </c>
      <c r="K60" s="3" t="inlineStr">
        <is>
          <t>청주IC에서10거리 창고 적합함 가격절충가능함</t>
        </is>
      </c>
      <c r="L60" s="6">
        <f>HYPERLINK("https://fin.land.naver.com/articles/2647725702", "매물Link")</f>
        <v/>
      </c>
      <c r="M60" s="6">
        <f>HYPERLINK("https://map.naver.com/p/search/강내면 산단리 16-3",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2060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세로한면(불)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HYPERLINK("https://fin.land.naver.com/articles/2650047631",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25600</v>
      </c>
      <c r="G62" s="4" t="n">
        <v>1000</v>
      </c>
      <c r="H62" s="4" t="n">
        <v>302</v>
      </c>
      <c r="I62" s="5" t="n">
        <v>84.8</v>
      </c>
      <c r="J62" s="5" t="n">
        <v>30.4</v>
      </c>
      <c r="K62" s="3" t="inlineStr">
        <is>
          <t>강내산업단지 주변</t>
        </is>
      </c>
      <c r="L62" s="6">
        <f>HYPERLINK("https://fin.land.naver.com/articles/2649580587",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청산</t>
        </is>
      </c>
      <c r="P62" s="4" t="n">
        <v>2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HYPERLINK("https://fin.land.naver.com/articles/2649591977",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HYPERLINK("https://fin.land.naver.com/articles/2650293981",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66-5</t>
        </is>
      </c>
      <c r="B68" s="3" t="inlineStr">
        <is>
          <t>계획관리지역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120000</v>
      </c>
      <c r="G68" s="4" t="n">
        <v>1664</v>
      </c>
      <c r="H68" s="4" t="n">
        <v>503</v>
      </c>
      <c r="I68" s="5" t="n">
        <v>238.6</v>
      </c>
      <c r="J68" s="5" t="n">
        <v>40.8</v>
      </c>
      <c r="K68" s="3" t="inlineStr">
        <is>
          <t>공장,창고 입지로 최고의 자리입니다.</t>
        </is>
      </c>
      <c r="L68" s="6">
        <f>HYPERLINK("https://fin.land.naver.com/articles/2647837303", "매물Link")</f>
        <v/>
      </c>
      <c r="M68" s="6">
        <f>HYPERLINK("https://map.naver.com/p/search/강내면 산단리 66-5", "지도Link")</f>
        <v/>
      </c>
      <c r="N68" s="6">
        <f>HYPERLINK("http://www.eum.go.kr/web/ar/lu/luLandDet.jsp?pnu=4311331025100660005&amp;isNoScr=script&amp;mode=search", "토지이음")</f>
        <v/>
      </c>
      <c r="O68" s="3" t="inlineStr">
        <is>
          <t>대박</t>
        </is>
      </c>
      <c r="P68" s="4" t="n">
        <v>1</v>
      </c>
      <c r="Q68" s="4" t="n">
        <v>501</v>
      </c>
      <c r="R68" s="3" t="inlineStr">
        <is>
          <t>지정되지않음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소로한면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HYPERLINK("https://fin.land.naver.com/articles/2650745443",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산41-2</t>
        </is>
      </c>
      <c r="B71" s="3" t="inlineStr">
        <is>
          <t>보전관리지역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50000</v>
      </c>
      <c r="G71" s="4" t="n">
        <v>6615</v>
      </c>
      <c r="H71" s="4" t="n">
        <v>2001</v>
      </c>
      <c r="I71" s="5" t="n">
        <v>25</v>
      </c>
      <c r="J71" s="5" t="n">
        <v>3.1</v>
      </c>
      <c r="K71" s="3" t="inlineStr">
        <is>
          <t>5m 아스팔트 도로접한 완만한 야산, 주변 산업단지 개발등 호재지역.</t>
        </is>
      </c>
      <c r="L71" s="6">
        <f>HYPERLINK("https://fin.land.naver.com/articles/2646357447", "매물Link")</f>
        <v/>
      </c>
      <c r="M71" s="6">
        <f>HYPERLINK("https://map.naver.com/p/search/강내면 산단리 산41-2", "지도Link")</f>
        <v/>
      </c>
      <c r="N71" s="6">
        <f>HYPERLINK("http://www.eum.go.kr/web/ar/lu/luLandDet.jsp?pnu=4311331025200410002&amp;isNoScr=script&amp;mode=search", "토지이음")</f>
        <v/>
      </c>
      <c r="O71" s="3" t="inlineStr">
        <is>
          <t>엘림</t>
        </is>
      </c>
      <c r="P71" s="4" t="n">
        <v>1</v>
      </c>
      <c r="Q71" s="4" t="n">
        <v>6615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맹지</t>
        </is>
      </c>
    </row>
    <row r="72">
      <c r="A72" s="3" t="inlineStr">
        <is>
          <t>강내면 산단리 산9-12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272550</v>
      </c>
      <c r="G72" s="4" t="n">
        <v>6007</v>
      </c>
      <c r="H72" s="4" t="n">
        <v>1817</v>
      </c>
      <c r="I72" s="5" t="n">
        <v>150</v>
      </c>
      <c r="J72" s="5" t="n">
        <v>6.3</v>
      </c>
      <c r="K72" s="3" t="inlineStr">
        <is>
          <t>계획관리지역 공장으로허가득 토목완료하였음 총면적은 지적상으로함</t>
        </is>
      </c>
      <c r="L72" s="6">
        <f>HYPERLINK("https://fin.land.naver.com/articles/2647723941", "매물Link")</f>
        <v/>
      </c>
      <c r="M72" s="6">
        <f>HYPERLINK("https://map.naver.com/p/search/강내면 산단리 산9-12", "지도Link")</f>
        <v/>
      </c>
      <c r="N72" s="6">
        <f>HYPERLINK("http://www.eum.go.kr/web/ar/lu/luLandDet.jsp?pnu=4311331025200090012&amp;isNoScr=script&amp;mode=search", "토지이음")</f>
        <v/>
      </c>
      <c r="O72" s="3" t="inlineStr">
        <is>
          <t>한진인사무소</t>
        </is>
      </c>
      <c r="P72" s="4" t="n">
        <v>1</v>
      </c>
      <c r="Q72" s="4" t="n">
        <v>4559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완경사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84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38700</v>
      </c>
      <c r="G76" s="4" t="n">
        <v>1709</v>
      </c>
      <c r="H76" s="4" t="n">
        <v>517</v>
      </c>
      <c r="I76" s="5" t="n">
        <v>74.90000000000001</v>
      </c>
      <c r="J76" s="5" t="n">
        <v>25.7</v>
      </c>
      <c r="K76" s="3" t="inlineStr">
        <is>
          <t>흥덕구청 인근, 농사지으면서 투자 가능한 농지, 생산녹지, 진흥구역</t>
        </is>
      </c>
      <c r="L76" s="6">
        <f>HYPERLINK("https://fin.land.naver.com/articles/2648862562", "매물Link")</f>
        <v/>
      </c>
      <c r="M76" s="6">
        <f>HYPERLINK("https://map.naver.com/p/search/강내면 석화리 84", "지도Link")</f>
        <v/>
      </c>
      <c r="N76" s="6">
        <f>HYPERLINK("http://www.eum.go.kr/web/ar/lu/luLandDet.jsp?pnu=4311331032100840000&amp;isNoScr=script&amp;mode=search", "토지이음")</f>
        <v/>
      </c>
      <c r="O76" s="3" t="inlineStr">
        <is>
          <t>제이</t>
        </is>
      </c>
      <c r="P76" s="4" t="n">
        <v>1</v>
      </c>
      <c r="Q76" s="4" t="n">
        <v>1706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석화리 89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25.7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2949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99-2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25.5</v>
      </c>
      <c r="K78" s="3" t="inlineStr">
        <is>
          <t>nan</t>
        </is>
      </c>
      <c r="L78" s="6">
        <f>HYPERLINK("https://fin.land.naver.com/articles/2646674342",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2</v>
      </c>
      <c r="Q78" s="4" t="n">
        <v>394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142-4</t>
        </is>
      </c>
      <c r="B79" s="3" t="inlineStr">
        <is>
          <t>계획관리지역</t>
        </is>
      </c>
      <c r="C79" s="3" t="inlineStr">
        <is>
          <t>잡종지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47.7</v>
      </c>
      <c r="K79" s="3" t="inlineStr">
        <is>
          <t>청주IC인근 공장, 창고 등 활용도 좋은 토지</t>
        </is>
      </c>
      <c r="L79" s="6">
        <f>HYPERLINK("https://fin.land.naver.com/articles/2648332255",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2</v>
      </c>
      <c r="Q79" s="4" t="n">
        <v>106</v>
      </c>
      <c r="R79" s="3" t="inlineStr">
        <is>
          <t>지정되지않음</t>
        </is>
      </c>
      <c r="S79" s="3" t="inlineStr">
        <is>
          <t>주거기타</t>
        </is>
      </c>
      <c r="T79" s="3" t="inlineStr">
        <is>
          <t>완경사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연정리 142-6</t>
        </is>
      </c>
      <c r="B80" s="3" t="inlineStr">
        <is>
          <t>계획관리지역</t>
        </is>
      </c>
      <c r="C80" s="3" t="inlineStr">
        <is>
          <t>목장용지</t>
        </is>
      </c>
      <c r="D80" s="3" t="inlineStr">
        <is>
          <t>목장용지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6.8</v>
      </c>
      <c r="K80" s="3" t="inlineStr">
        <is>
          <t>nan</t>
        </is>
      </c>
      <c r="L80" s="6">
        <f>HYPERLINK("https://fin.land.naver.com/articles/2647120872", "매물Link")</f>
        <v/>
      </c>
      <c r="M80" s="6">
        <f>HYPERLINK("https://map.naver.com/p/search/강내면 연정리 142-6", "지도Link")</f>
        <v/>
      </c>
      <c r="N80" s="6">
        <f>HYPERLINK("http://www.eum.go.kr/web/ar/lu/luLandDet.jsp?pnu=4311331021101420006&amp;isNoScr=script&amp;mode=search", "토지이음")</f>
        <v/>
      </c>
      <c r="O80" s="3" t="inlineStr">
        <is>
          <t>다온</t>
        </is>
      </c>
      <c r="P80" s="4" t="n">
        <v>1</v>
      </c>
      <c r="Q80" s="4" t="n">
        <v>4570</v>
      </c>
      <c r="R80" s="3" t="inlineStr">
        <is>
          <t>지정되지않음</t>
        </is>
      </c>
      <c r="S80" s="3" t="inlineStr">
        <is>
          <t>목장용지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연정리 157-2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32880</v>
      </c>
      <c r="G81" s="4" t="n">
        <v>906</v>
      </c>
      <c r="H81" s="4" t="n">
        <v>274</v>
      </c>
      <c r="I81" s="5" t="n">
        <v>120</v>
      </c>
      <c r="J81" s="5" t="n">
        <v>55.4</v>
      </c>
      <c r="K81" s="3" t="inlineStr">
        <is>
          <t>도로 접한 계획관리, 상수도, 전기 가능</t>
        </is>
      </c>
      <c r="L81" s="6">
        <f>HYPERLINK("https://fin.land.naver.com/articles/2647676260", "매물Link")</f>
        <v/>
      </c>
      <c r="M81" s="6">
        <f>HYPERLINK("https://map.naver.com/p/search/강내면 연정리 157-2", "지도Link")</f>
        <v/>
      </c>
      <c r="N81" s="6">
        <f>HYPERLINK("http://www.eum.go.kr/web/ar/lu/luLandDet.jsp?pnu=4311331021101570002&amp;isNoScr=script&amp;mode=search", "토지이음")</f>
        <v/>
      </c>
      <c r="O81" s="3" t="inlineStr">
        <is>
          <t>황제</t>
        </is>
      </c>
      <c r="P81" s="4" t="n">
        <v>1</v>
      </c>
      <c r="Q81" s="4" t="n">
        <v>906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18-1</t>
        </is>
      </c>
      <c r="B82" s="3" t="inlineStr">
        <is>
          <t>계획관리지역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63000</v>
      </c>
      <c r="G82" s="4" t="n">
        <v>1300</v>
      </c>
      <c r="H82" s="4" t="n">
        <v>393</v>
      </c>
      <c r="I82" s="5" t="n">
        <v>160.3</v>
      </c>
      <c r="J82" s="5" t="n">
        <v>27</v>
      </c>
      <c r="K82" s="3" t="inlineStr">
        <is>
          <t>4차선및 8M도로 코너접 신설강내ic 바로부근</t>
        </is>
      </c>
      <c r="L82" s="6">
        <f>HYPERLINK("https://fin.land.naver.com/articles/2650436238", "매물Link")</f>
        <v/>
      </c>
      <c r="M82" s="6">
        <f>HYPERLINK("https://map.naver.com/p/search/강내면 연정리 18-1", "지도Link")</f>
        <v/>
      </c>
      <c r="N82" s="6">
        <f>HYPERLINK("http://www.eum.go.kr/web/ar/lu/luLandDet.jsp?pnu=4311331021100180001&amp;isNoScr=script&amp;mode=search", "토지이음")</f>
        <v/>
      </c>
      <c r="O82" s="3" t="inlineStr">
        <is>
          <t>플러스태양</t>
        </is>
      </c>
      <c r="P82" s="4" t="n">
        <v>2</v>
      </c>
      <c r="Q82" s="4" t="n">
        <v>1299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205-4</t>
        </is>
      </c>
      <c r="B83" s="3" t="inlineStr">
        <is>
          <t>계획관리지역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362100</v>
      </c>
      <c r="G83" s="4" t="n">
        <v>16198</v>
      </c>
      <c r="H83" s="4" t="n">
        <v>4900</v>
      </c>
      <c r="I83" s="5" t="n">
        <v>73.90000000000001</v>
      </c>
      <c r="J83" s="5" t="n">
        <v>18.1</v>
      </c>
      <c r="K83" s="3" t="inlineStr">
        <is>
          <t>2차선접 임야 전으로 구성 공장및 물류창고 최상</t>
        </is>
      </c>
      <c r="L83" s="6">
        <f>HYPERLINK("https://fin.land.naver.com/articles/2648634094", "매물Link")</f>
        <v/>
      </c>
      <c r="M83" s="6">
        <f>HYPERLINK("https://map.naver.com/p/search/강내면 연정리 205-4", "지도Link")</f>
        <v/>
      </c>
      <c r="N83" s="6">
        <f>HYPERLINK("http://www.eum.go.kr/web/ar/lu/luLandDet.jsp?pnu=4311331021102050004&amp;isNoScr=script&amp;mode=search",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1608</v>
      </c>
      <c r="R83" s="3" t="inlineStr">
        <is>
          <t>지정되지않음</t>
        </is>
      </c>
      <c r="S83" s="3" t="inlineStr">
        <is>
          <t>전기타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연정리 206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119000</v>
      </c>
      <c r="G84" s="4" t="n">
        <v>2916</v>
      </c>
      <c r="H84" s="4" t="n">
        <v>882</v>
      </c>
      <c r="I84" s="5" t="n">
        <v>134.9</v>
      </c>
      <c r="J84" s="5" t="n">
        <v>21.7</v>
      </c>
      <c r="K84" s="3" t="inlineStr">
        <is>
          <t>2차선 2차선 코너도로접 강내ic 바로인접지역</t>
        </is>
      </c>
      <c r="L84" s="6">
        <f>HYPERLINK("https://fin.land.naver.com/articles/2650429532", "매물Link")</f>
        <v/>
      </c>
      <c r="M84" s="6">
        <f>HYPERLINK("https://map.naver.com/p/search/강내면 연정리 206", "지도Link")</f>
        <v/>
      </c>
      <c r="N84" s="6">
        <f>HYPERLINK("http://www.eum.go.kr/web/ar/lu/luLandDet.jsp?pnu=4311331021102060000&amp;isNoScr=script&amp;mode=search",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2815</v>
      </c>
      <c r="R84" s="3" t="inlineStr">
        <is>
          <t>지정되지않음</t>
        </is>
      </c>
      <c r="S84" s="3" t="inlineStr">
        <is>
          <t>전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산3-4</t>
        </is>
      </c>
      <c r="B85" s="3" t="inlineStr">
        <is>
          <t>계획관리지역</t>
        </is>
      </c>
      <c r="C85" s="3" t="inlineStr">
        <is>
          <t>임야</t>
        </is>
      </c>
      <c r="D85" s="3" t="inlineStr">
        <is>
          <t>임야</t>
        </is>
      </c>
      <c r="E85" s="3" t="inlineStr">
        <is>
          <t>매매</t>
        </is>
      </c>
      <c r="F85" s="4" t="n">
        <v>6000</v>
      </c>
      <c r="G85" s="4" t="n">
        <v>898</v>
      </c>
      <c r="H85" s="4" t="n">
        <v>272</v>
      </c>
      <c r="I85" s="5" t="n">
        <v>22.1</v>
      </c>
      <c r="J85" s="5" t="n">
        <v>6.4</v>
      </c>
      <c r="K85" s="3" t="inlineStr">
        <is>
          <t>매매 청주 흥덕구 강내면 연정리 임야</t>
        </is>
      </c>
      <c r="L85" s="6">
        <f>HYPERLINK("https://fin.land.naver.com/articles/2651587650", "매물Link")</f>
        <v/>
      </c>
      <c r="M85" s="6">
        <f>HYPERLINK("https://map.naver.com/p/search/강내면 연정리 산3-4", "지도Link")</f>
        <v/>
      </c>
      <c r="N85" s="6">
        <f>HYPERLINK("http://www.eum.go.kr/web/ar/lu/luLandDet.jsp?pnu=4311331021200030004&amp;isNoScr=script&amp;mode=search", "토지이음")</f>
        <v/>
      </c>
      <c r="O85" s="3" t="inlineStr">
        <is>
          <t>일등</t>
        </is>
      </c>
      <c r="P85" s="4" t="n">
        <v>1</v>
      </c>
      <c r="Q85" s="4" t="n">
        <v>898</v>
      </c>
      <c r="R85" s="3" t="inlineStr">
        <is>
          <t>지정되지않음</t>
        </is>
      </c>
      <c r="S85" s="3" t="inlineStr">
        <is>
          <t>자연림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HYPERLINK("https://fin.land.naver.com/articles/2650887261",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208-1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88000</v>
      </c>
      <c r="G91" s="4" t="n">
        <v>2434</v>
      </c>
      <c r="H91" s="4" t="n">
        <v>736</v>
      </c>
      <c r="I91" s="5" t="n">
        <v>119.6</v>
      </c>
      <c r="J91" s="5" t="n">
        <v>30.6</v>
      </c>
      <c r="K91" s="3" t="inlineStr">
        <is>
          <t>도시지역 생산녹지지역 흥덕구청  충청전문대 있는 인근  투자가치 뿜뿜</t>
        </is>
      </c>
      <c r="L91" s="6">
        <f>HYPERLINK("https://fin.land.naver.com/articles/2651291195", "매물Link")</f>
        <v/>
      </c>
      <c r="M91" s="6">
        <f>HYPERLINK("https://map.naver.com/p/search/강내면 월곡리 208-1", "지도Link")</f>
        <v/>
      </c>
      <c r="N91" s="6">
        <f>HYPERLINK("http://www.eum.go.kr/web/ar/lu/luLandDet.jsp?pnu=4311331034102080001&amp;isNoScr=script&amp;mode=search", "토지이음")</f>
        <v/>
      </c>
      <c r="O91" s="3" t="inlineStr">
        <is>
          <t>오송퍼스트영웅</t>
        </is>
      </c>
      <c r="P91" s="4" t="n">
        <v>1</v>
      </c>
      <c r="Q91" s="4" t="n">
        <v>2291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HYPERLINK("https://fin.land.naver.com/articles/2650136338",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2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HYPERLINK("https://fin.land.naver.com/articles/2648145150",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385-2</t>
        </is>
      </c>
      <c r="B94" s="3" t="inlineStr">
        <is>
          <t>자연녹지지역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80000</v>
      </c>
      <c r="G94" s="4" t="n">
        <v>3124</v>
      </c>
      <c r="H94" s="4" t="n">
        <v>945</v>
      </c>
      <c r="I94" s="5" t="n">
        <v>84.7</v>
      </c>
      <c r="J94" s="5" t="n">
        <v>42</v>
      </c>
      <c r="K94" s="3" t="inlineStr">
        <is>
          <t>콘크리트 포장된 농로 접해 있음</t>
        </is>
      </c>
      <c r="L94" s="6">
        <f>HYPERLINK("https://fin.land.naver.com/articles/2646656483", "매물Link")</f>
        <v/>
      </c>
      <c r="M94" s="6">
        <f>HYPERLINK("https://map.naver.com/p/search/강내면 월곡리 385-2", "지도Link")</f>
        <v/>
      </c>
      <c r="N94" s="6">
        <f>HYPERLINK("http://www.eum.go.kr/web/ar/lu/luLandDet.jsp?pnu=4311331034103850002&amp;isNoScr=script&amp;mode=search",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3124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월곡리 74-1</t>
        </is>
      </c>
      <c r="B95" s="3" t="inlineStr">
        <is>
          <t>자연녹지지역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120000</v>
      </c>
      <c r="G95" s="4" t="n">
        <v>1322</v>
      </c>
      <c r="H95" s="4" t="n">
        <v>400</v>
      </c>
      <c r="I95" s="5" t="n">
        <v>300</v>
      </c>
      <c r="J95" s="5" t="n">
        <v>82.40000000000001</v>
      </c>
      <c r="K95" s="3" t="inlineStr">
        <is>
          <t>청주 ic, 흥덕구청, 충청대 인근에 위치</t>
        </is>
      </c>
      <c r="L95" s="6">
        <f>HYPERLINK("https://fin.land.naver.com/articles/2650914307", "매물Link")</f>
        <v/>
      </c>
      <c r="M95" s="6">
        <f>HYPERLINK("https://map.naver.com/p/search/강내면 월곡리 74-1", "지도Link")</f>
        <v/>
      </c>
      <c r="N95" s="6">
        <f>HYPERLINK("http://www.eum.go.kr/web/ar/lu/luLandDet.jsp?pnu=4311331034100740001&amp;isNoScr=script&amp;mode=search",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1322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미호천 제방공사 후 지가상승 예상</t>
        </is>
      </c>
      <c r="L96" s="6">
        <f>HYPERLINK("https://fin.land.naver.com/articles/2649617360",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조은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135-12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700000</v>
      </c>
      <c r="G97" s="4" t="n">
        <v>6974</v>
      </c>
      <c r="H97" s="4" t="n">
        <v>2110</v>
      </c>
      <c r="I97" s="5" t="n">
        <v>331.8</v>
      </c>
      <c r="J97" s="5" t="n">
        <v>91.40000000000001</v>
      </c>
      <c r="K97" s="3" t="inlineStr">
        <is>
          <t>M 해당토지외 8필지 포함. 대로변 위치 좋은 토지 매매 M</t>
        </is>
      </c>
      <c r="L97" s="6">
        <f>HYPERLINK("https://fin.land.naver.com/articles/2651130600", "매물Link")</f>
        <v/>
      </c>
      <c r="M97" s="6">
        <f>HYPERLINK("https://map.naver.com/p/search/강내면 월탄리 135-12", "지도Link")</f>
        <v/>
      </c>
      <c r="N97" s="6">
        <f>HYPERLINK("http://www.eum.go.kr/web/ar/lu/luLandDet.jsp?pnu=4311331030101350012&amp;isNoScr=script&amp;mode=search", "토지이음")</f>
        <v/>
      </c>
      <c r="O97" s="3" t="inlineStr">
        <is>
          <t>채움</t>
        </is>
      </c>
      <c r="P97" s="4" t="n">
        <v>1</v>
      </c>
      <c r="Q97" s="4" t="n">
        <v>1486</v>
      </c>
      <c r="R97" s="3" t="inlineStr">
        <is>
          <t>자연녹지지역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월탄리 231-14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34700</v>
      </c>
      <c r="G98" s="4" t="n">
        <v>500</v>
      </c>
      <c r="H98" s="4" t="n">
        <v>151</v>
      </c>
      <c r="I98" s="5" t="n">
        <v>229.8</v>
      </c>
      <c r="J98" s="5" t="n">
        <v>30.6</v>
      </c>
      <c r="K98" s="3" t="inlineStr">
        <is>
          <t>토지매매 도로지분포함 상하수도 공사완료</t>
        </is>
      </c>
      <c r="L98" s="6">
        <f>HYPERLINK("https://fin.land.naver.com/articles/2647619622", "매물Link")</f>
        <v/>
      </c>
      <c r="M98" s="6">
        <f>HYPERLINK("https://map.naver.com/p/search/강내면 월탄리 231-14", "지도Link")</f>
        <v/>
      </c>
      <c r="N98" s="6">
        <f>HYPERLINK("http://www.eum.go.kr/web/ar/lu/luLandDet.jsp?pnu=4311331030102310014&amp;isNoScr=script&amp;mode=search", "토지이음")</f>
        <v/>
      </c>
      <c r="O98" s="3" t="inlineStr">
        <is>
          <t>미소자이합동</t>
        </is>
      </c>
      <c r="P98" s="4" t="n">
        <v>1</v>
      </c>
      <c r="Q98" s="4" t="n">
        <v>500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세로한면(불)</t>
        </is>
      </c>
    </row>
    <row r="99">
      <c r="A99" s="3" t="inlineStr">
        <is>
          <t>강내면 월탄리 49-18</t>
        </is>
      </c>
      <c r="B99" s="3" t="inlineStr">
        <is>
          <t>계획관리지역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175000</v>
      </c>
      <c r="G99" s="4" t="n">
        <v>1706</v>
      </c>
      <c r="H99" s="4" t="n">
        <v>516</v>
      </c>
      <c r="I99" s="5" t="n">
        <v>339.1</v>
      </c>
      <c r="J99" s="5" t="n">
        <v>48.2</v>
      </c>
      <c r="K99" s="3" t="inlineStr">
        <is>
          <t>3동 다가구 건축 가능한 토지 ,대학가 옆에 위치한 땅</t>
        </is>
      </c>
      <c r="L99" s="6">
        <f>HYPERLINK("https://fin.land.naver.com/articles/2647006121", "매물Link")</f>
        <v/>
      </c>
      <c r="M99" s="6">
        <f>HYPERLINK("https://map.naver.com/p/search/강내면 월탄리 49-18", "지도Link")</f>
        <v/>
      </c>
      <c r="N99" s="6">
        <f>HYPERLINK("http://www.eum.go.kr/web/ar/lu/luLandDet.jsp?pnu=4311331030100490018&amp;isNoScr=script&amp;mode=search", "토지이음")</f>
        <v/>
      </c>
      <c r="O99" s="3" t="inlineStr">
        <is>
          <t>동남이지</t>
        </is>
      </c>
      <c r="P99" s="4" t="n">
        <v>1</v>
      </c>
      <c r="Q99" s="4" t="n">
        <v>1706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세로각지(가)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839</v>
      </c>
      <c r="H100" s="4" t="n">
        <v>254</v>
      </c>
      <c r="I100" s="5" t="n">
        <v>232.3</v>
      </c>
      <c r="J100" s="5" t="n">
        <v>15.7</v>
      </c>
      <c r="K100" s="3" t="inlineStr">
        <is>
          <t>제2종근린생활시설 허가 득함, 4차선 대로변에 접함, 사무소 추천</t>
        </is>
      </c>
      <c r="L100" s="6">
        <f>HYPERLINK("https://fin.land.naver.com/articles/2647467628",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제이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840</v>
      </c>
      <c r="H101" s="4" t="n">
        <v>254</v>
      </c>
      <c r="I101" s="5" t="n">
        <v>232.3</v>
      </c>
      <c r="J101" s="5" t="n">
        <v>15.7</v>
      </c>
      <c r="K101" s="3" t="inlineStr">
        <is>
          <t>강내면 월탄리 임야 매매 대로변 2종근생 건축승인 자동차관련 창고등</t>
        </is>
      </c>
      <c r="L101" s="6">
        <f>HYPERLINK("https://fin.land.naver.com/articles/2647006142",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그린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저산리 105-9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59000</v>
      </c>
      <c r="G102" s="4" t="n">
        <v>2387</v>
      </c>
      <c r="H102" s="4" t="n">
        <v>722</v>
      </c>
      <c r="I102" s="5" t="n">
        <v>81.7</v>
      </c>
      <c r="J102" s="5" t="n">
        <v>23.3</v>
      </c>
      <c r="K102" s="3" t="inlineStr">
        <is>
          <t>전원주택,농업용시설 등 다양한 활용 가능한 계획관리지역 토지매매</t>
        </is>
      </c>
      <c r="L102" s="6">
        <f>HYPERLINK("https://fin.land.naver.com/articles/2650156118", "매물Link")</f>
        <v/>
      </c>
      <c r="M102" s="6">
        <f>HYPERLINK("https://map.naver.com/p/search/강내면 저산리 105-9", "지도Link")</f>
        <v/>
      </c>
      <c r="N102" s="6">
        <f>HYPERLINK("http://www.eum.go.kr/web/ar/lu/luLandDet.jsp?pnu=4311331023101050009&amp;isNoScr=script&amp;mode=search", "토지이음")</f>
        <v/>
      </c>
      <c r="O102" s="3" t="inlineStr">
        <is>
          <t>e교차로합동</t>
        </is>
      </c>
      <c r="P102" s="4" t="n">
        <v>1</v>
      </c>
      <c r="Q102" s="4" t="n">
        <v>2387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강내면 저산리 토지임대 현 나대지 야적장추천 진입로좋아요</t>
        </is>
      </c>
      <c r="L103" s="6">
        <f>HYPERLINK("https://fin.land.naver.com/articles/2647733970",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탄탄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6M도로접  땅모양 좋음 잡석 깔려 있어 깔끔해요</t>
        </is>
      </c>
      <c r="L104" s="6">
        <f>HYPERLINK("https://fin.land.naver.com/articles/2648890539",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신두꺼비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HYPERLINK("https://fin.land.naver.com/articles/2646656160",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134-24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20000</v>
      </c>
      <c r="G106" s="4" t="n">
        <v>452</v>
      </c>
      <c r="H106" s="4" t="n">
        <v>137</v>
      </c>
      <c r="I106" s="5" t="n">
        <v>146</v>
      </c>
      <c r="J106" s="5" t="n">
        <v>37.9</v>
      </c>
      <c r="K106" s="3" t="inlineStr">
        <is>
          <t>전원주택 부지로 추천, 도로지분 있음</t>
        </is>
      </c>
      <c r="L106" s="6">
        <f>HYPERLINK("https://fin.land.naver.com/articles/2651536616", "매물Link")</f>
        <v/>
      </c>
      <c r="M106" s="6">
        <f>HYPERLINK("https://map.naver.com/p/search/강내면 저산리 134-24", "지도Link")</f>
        <v/>
      </c>
      <c r="N106" s="6">
        <f>HYPERLINK("http://www.eum.go.kr/web/ar/lu/luLandDet.jsp?pnu=4311331023101340024&amp;isNoScr=script&amp;mode=search",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444</v>
      </c>
      <c r="R106" s="3" t="inlineStr">
        <is>
          <t>지정되지않음</t>
        </is>
      </c>
      <c r="S106" s="3" t="inlineStr">
        <is>
          <t>주거나지</t>
        </is>
      </c>
      <c r="T106" s="3" t="inlineStr">
        <is>
          <t>완경사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136-2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19700</v>
      </c>
      <c r="G107" s="4" t="n">
        <v>465</v>
      </c>
      <c r="H107" s="4" t="n">
        <v>141</v>
      </c>
      <c r="I107" s="5" t="n">
        <v>139.7</v>
      </c>
      <c r="J107" s="5" t="n">
        <v>28.2</v>
      </c>
      <c r="K107" s="3" t="inlineStr">
        <is>
          <t>인근 청주하이티크벨리산업단지 조성으로 토지가치상승과 근린시설 수요증가</t>
        </is>
      </c>
      <c r="L107" s="6">
        <f>HYPERLINK("https://fin.land.naver.com/articles/2650671105", "매물Link")</f>
        <v/>
      </c>
      <c r="M107" s="6">
        <f>HYPERLINK("https://map.naver.com/p/search/강내면 저산리 136-2", "지도Link")</f>
        <v/>
      </c>
      <c r="N107" s="6">
        <f>HYPERLINK("http://www.eum.go.kr/web/ar/lu/luLandDet.jsp?pnu=4311331023101360002&amp;isNoScr=script&amp;mode=search", "토지이음")</f>
        <v/>
      </c>
      <c r="O107" s="3" t="inlineStr">
        <is>
          <t>대화탑</t>
        </is>
      </c>
      <c r="P107" s="4" t="n">
        <v>1</v>
      </c>
      <c r="Q107" s="4" t="n">
        <v>465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136-9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20000</v>
      </c>
      <c r="G108" s="4" t="n">
        <v>375</v>
      </c>
      <c r="H108" s="4" t="n">
        <v>113</v>
      </c>
      <c r="I108" s="5" t="n">
        <v>177</v>
      </c>
      <c r="J108" s="5" t="n">
        <v>28.2</v>
      </c>
      <c r="K108" s="3" t="inlineStr">
        <is>
          <t>계획관리지역  건축가능</t>
        </is>
      </c>
      <c r="L108" s="6">
        <f>HYPERLINK("https://fin.land.naver.com/articles/2649605591", "매물Link")</f>
        <v/>
      </c>
      <c r="M108" s="6">
        <f>HYPERLINK("https://map.naver.com/p/search/강내면 저산리 136-9", "지도Link")</f>
        <v/>
      </c>
      <c r="N108" s="6">
        <f>HYPERLINK("http://www.eum.go.kr/web/ar/lu/luLandDet.jsp?pnu=4311331023101360009&amp;isNoScr=script&amp;mode=search",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375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137-10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6500</v>
      </c>
      <c r="G109" s="4" t="n">
        <v>120</v>
      </c>
      <c r="H109" s="4" t="n">
        <v>36</v>
      </c>
      <c r="I109" s="5" t="n">
        <v>180.6</v>
      </c>
      <c r="J109" s="5" t="n">
        <v>28.2</v>
      </c>
      <c r="K109" s="3" t="inlineStr">
        <is>
          <t>계획관리지역  건축가능</t>
        </is>
      </c>
      <c r="L109" s="6">
        <f>HYPERLINK("https://fin.land.naver.com/articles/2649620352", "매물Link")</f>
        <v/>
      </c>
      <c r="M109" s="6">
        <f>HYPERLINK("https://map.naver.com/p/search/강내면 저산리 137-10", "지도Link")</f>
        <v/>
      </c>
      <c r="N109" s="6">
        <f>HYPERLINK("http://www.eum.go.kr/web/ar/lu/luLandDet.jsp?pnu=4311331023101370010&amp;isNoScr=script&amp;mode=search", "토지이음")</f>
        <v/>
      </c>
      <c r="O109" s="3" t="inlineStr">
        <is>
          <t>그래그</t>
        </is>
      </c>
      <c r="P109" s="4" t="n">
        <v>1</v>
      </c>
      <c r="Q109" s="4" t="n">
        <v>120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143-1</t>
        </is>
      </c>
      <c r="B110" s="3" t="inlineStr">
        <is>
          <t>계획관리지역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1100000</v>
      </c>
      <c r="G110" s="4" t="n">
        <v>46836</v>
      </c>
      <c r="H110" s="4" t="n">
        <v>14168</v>
      </c>
      <c r="I110" s="5" t="n">
        <v>77.59999999999999</v>
      </c>
      <c r="J110" s="5" t="n">
        <v>22.7</v>
      </c>
      <c r="K110" s="3" t="inlineStr">
        <is>
          <t>계획관리,6m도로접,분할매매가,대형커피숍,제빵소추천,세종시5생활권인접</t>
        </is>
      </c>
      <c r="L110" s="6">
        <f>HYPERLINK("https://fin.land.naver.com/articles/2646901295", "매물Link")</f>
        <v/>
      </c>
      <c r="M110" s="6">
        <f>HYPERLINK("https://map.naver.com/p/search/강내면 저산리 143-1", "지도Link")</f>
        <v/>
      </c>
      <c r="N110" s="6">
        <f>HYPERLINK("http://www.eum.go.kr/web/ar/lu/luLandDet.jsp?pnu=4311331023101430001&amp;isNoScr=script&amp;mode=search", "토지이음")</f>
        <v/>
      </c>
      <c r="O110" s="3" t="inlineStr">
        <is>
          <t>세종지원</t>
        </is>
      </c>
      <c r="P110" s="4" t="n">
        <v>1</v>
      </c>
      <c r="Q110" s="4" t="n">
        <v>15495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159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130000</v>
      </c>
      <c r="G111" s="4" t="n">
        <v>59428</v>
      </c>
      <c r="H111" s="4" t="n">
        <v>17977</v>
      </c>
      <c r="I111" s="5" t="n">
        <v>7.2</v>
      </c>
      <c r="J111" s="5" t="n">
        <v>41.3</v>
      </c>
      <c r="K111" s="3" t="inlineStr">
        <is>
          <t>nan</t>
        </is>
      </c>
      <c r="L111" s="6">
        <f>HYPERLINK("https://fin.land.naver.com/articles/2650116537", "매물Link")</f>
        <v/>
      </c>
      <c r="M111" s="6">
        <f>HYPERLINK("https://map.naver.com/p/search/강내면 저산리 159", "지도Link")</f>
        <v/>
      </c>
      <c r="N111" s="6">
        <f>HYPERLINK("http://www.eum.go.kr/web/ar/lu/luLandDet.jsp?pnu=4311331023101590000&amp;isNoScr=script&amp;mode=search", "토지이음")</f>
        <v/>
      </c>
      <c r="O111" s="3" t="inlineStr">
        <is>
          <t>세종운좋은</t>
        </is>
      </c>
      <c r="P111" s="4" t="n">
        <v>1</v>
      </c>
      <c r="Q111" s="4" t="n">
        <v>7107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세로한면(가)</t>
        </is>
      </c>
    </row>
    <row r="112">
      <c r="A112" s="3" t="inlineStr">
        <is>
          <t>강내면 저산리 190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30360</v>
      </c>
      <c r="G112" s="4" t="n">
        <v>1673</v>
      </c>
      <c r="H112" s="4" t="n">
        <v>506</v>
      </c>
      <c r="I112" s="5" t="n">
        <v>60</v>
      </c>
      <c r="J112" s="5" t="n">
        <v>18.6</v>
      </c>
      <c r="K112" s="3" t="inlineStr">
        <is>
          <t>a 세종시10분 현지목 전 계획관리지역</t>
        </is>
      </c>
      <c r="L112" s="6">
        <f>HYPERLINK("https://fin.land.naver.com/articles/2651263807", "매물Link")</f>
        <v/>
      </c>
      <c r="M112" s="6">
        <f>HYPERLINK("https://map.naver.com/p/search/강내면 저산리 190", "지도Link")</f>
        <v/>
      </c>
      <c r="N112" s="6">
        <f>HYPERLINK("http://www.eum.go.kr/web/ar/lu/luLandDet.jsp?pnu=4311331023101900000&amp;isNoScr=script&amp;mode=search", "토지이음")</f>
        <v/>
      </c>
      <c r="O112" s="3" t="inlineStr">
        <is>
          <t>메가캐슬</t>
        </is>
      </c>
      <c r="P112" s="4" t="n">
        <v>1</v>
      </c>
      <c r="Q112" s="4" t="n">
        <v>1673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맹지</t>
        </is>
      </c>
    </row>
    <row r="113">
      <c r="A113" s="3" t="inlineStr">
        <is>
          <t>강내면 저산리 192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35000</v>
      </c>
      <c r="G113" s="4" t="n">
        <v>1061</v>
      </c>
      <c r="H113" s="4" t="n">
        <v>321</v>
      </c>
      <c r="I113" s="5" t="n">
        <v>109</v>
      </c>
      <c r="J113" s="5" t="n">
        <v>23.6</v>
      </c>
      <c r="K113" s="3" t="inlineStr">
        <is>
          <t>현재 밭으로 사용중</t>
        </is>
      </c>
      <c r="L113" s="6">
        <f>HYPERLINK("https://fin.land.naver.com/articles/2648905294", "매물Link")</f>
        <v/>
      </c>
      <c r="M113" s="6">
        <f>HYPERLINK("https://map.naver.com/p/search/강내면 저산리 192", "지도Link")</f>
        <v/>
      </c>
      <c r="N113" s="6">
        <f>HYPERLINK("http://www.eum.go.kr/web/ar/lu/luLandDet.jsp?pnu=4311331023101920000&amp;isNoScr=script&amp;mode=search", "토지이음")</f>
        <v/>
      </c>
      <c r="O113" s="3" t="inlineStr">
        <is>
          <t>금빛힐스</t>
        </is>
      </c>
      <c r="P113" s="4" t="n">
        <v>1</v>
      </c>
      <c r="Q113" s="4" t="n">
        <v>1061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192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35000</v>
      </c>
      <c r="G114" s="4" t="n">
        <v>1061</v>
      </c>
      <c r="H114" s="4" t="n">
        <v>321</v>
      </c>
      <c r="I114" s="5" t="n">
        <v>109</v>
      </c>
      <c r="J114" s="5" t="n">
        <v>23.6</v>
      </c>
      <c r="K114" s="3" t="inlineStr">
        <is>
          <t>4미터 도로에 접함, 공장 및 창고 부지로 추천</t>
        </is>
      </c>
      <c r="L114" s="6">
        <f>HYPERLINK("https://fin.land.naver.com/articles/2648146071", "매물Link")</f>
        <v/>
      </c>
      <c r="M114" s="6">
        <f>HYPERLINK("https://map.naver.com/p/search/강내면 저산리 192", "지도Link")</f>
        <v/>
      </c>
      <c r="N114" s="6">
        <f>HYPERLINK("http://www.eum.go.kr/web/ar/lu/luLandDet.jsp?pnu=4311331023101920000&amp;isNoScr=script&amp;mode=search",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1061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정남향 도로접한  계획관리.성장관리지역 알토란 토지,다용도 사용가능</t>
        </is>
      </c>
      <c r="L115" s="6">
        <f>HYPERLINK("https://fin.land.naver.com/articles/2646114275",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고운맘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22-1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22600</v>
      </c>
      <c r="G116" s="4" t="n">
        <v>787</v>
      </c>
      <c r="H116" s="4" t="n">
        <v>238</v>
      </c>
      <c r="I116" s="5" t="n">
        <v>95</v>
      </c>
      <c r="J116" s="5" t="n">
        <v>41.7</v>
      </c>
      <c r="K116" s="3" t="inlineStr">
        <is>
          <t>오송 강내 산업배후 계획관리 대지 승용차 진입 가능</t>
        </is>
      </c>
      <c r="L116" s="6">
        <f>HYPERLINK("https://fin.land.naver.com/articles/2648833818", "매물Link")</f>
        <v/>
      </c>
      <c r="M116" s="6">
        <f>HYPERLINK("https://map.naver.com/p/search/강내면 저산리 22-1", "지도Link")</f>
        <v/>
      </c>
      <c r="N116" s="6">
        <f>HYPERLINK("http://www.eum.go.kr/web/ar/lu/luLandDet.jsp?pnu=4311331023100220001&amp;isNoScr=script&amp;mode=search", "토지이음")</f>
        <v/>
      </c>
      <c r="O116" s="3" t="inlineStr">
        <is>
          <t>세종소담황금</t>
        </is>
      </c>
      <c r="P116" s="4" t="n">
        <v>1</v>
      </c>
      <c r="Q116" s="4" t="n">
        <v>787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248-6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전</t>
        </is>
      </c>
      <c r="E117" s="3" t="inlineStr">
        <is>
          <t>매매</t>
        </is>
      </c>
      <c r="F117" s="4" t="n">
        <v>14000</v>
      </c>
      <c r="G117" s="4" t="n">
        <v>541</v>
      </c>
      <c r="H117" s="4" t="n">
        <v>164</v>
      </c>
      <c r="I117" s="5" t="n">
        <v>85.40000000000001</v>
      </c>
      <c r="J117" s="5" t="n">
        <v>6.6</v>
      </c>
      <c r="K117" s="3" t="inlineStr">
        <is>
          <t>급매, 가격절충,건축허가득</t>
        </is>
      </c>
      <c r="L117" s="6">
        <f>HYPERLINK("https://fin.land.naver.com/articles/2651440176", "매물Link")</f>
        <v/>
      </c>
      <c r="M117" s="6">
        <f>HYPERLINK("https://map.naver.com/p/search/강내면 저산리 248-6", "지도Link")</f>
        <v/>
      </c>
      <c r="N117" s="6">
        <f>HYPERLINK("http://www.eum.go.kr/web/ar/lu/luLandDet.jsp?pnu=4311331023102480006&amp;isNoScr=script&amp;mode=search", "토지이음")</f>
        <v/>
      </c>
      <c r="O117" s="3" t="inlineStr">
        <is>
          <t>보석</t>
        </is>
      </c>
      <c r="P117" s="4" t="n">
        <v>1</v>
      </c>
      <c r="Q117" s="4" t="n">
        <v>102</v>
      </c>
      <c r="R117" s="3" t="inlineStr">
        <is>
          <t>지정되지않음</t>
        </is>
      </c>
      <c r="S117" s="3" t="inlineStr">
        <is>
          <t>토지임야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세로각지(가)</t>
        </is>
      </c>
    </row>
    <row r="118">
      <c r="A118" s="3" t="inlineStr">
        <is>
          <t>강내면 저산리 318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30500</v>
      </c>
      <c r="G118" s="4" t="n">
        <v>2877</v>
      </c>
      <c r="H118" s="4" t="n">
        <v>870</v>
      </c>
      <c r="I118" s="5" t="n">
        <v>35.1</v>
      </c>
      <c r="J118" s="5" t="n">
        <v>14.6</v>
      </c>
      <c r="K118" s="3" t="inlineStr">
        <is>
          <t>2차선 도로접 주말농장 대토용 적합</t>
        </is>
      </c>
      <c r="L118" s="6">
        <f>HYPERLINK("https://fin.land.naver.com/articles/2649582207", "매물Link")</f>
        <v/>
      </c>
      <c r="M118" s="6">
        <f>HYPERLINK("https://map.naver.com/p/search/강내면 저산리 318", "지도Link")</f>
        <v/>
      </c>
      <c r="N118" s="6">
        <f>HYPERLINK("http://www.eum.go.kr/web/ar/lu/luLandDet.jsp?pnu=4311331023103180000&amp;isNoScr=script&amp;mode=search", "토지이음")</f>
        <v/>
      </c>
      <c r="O118" s="3" t="inlineStr">
        <is>
          <t>수풀림</t>
        </is>
      </c>
      <c r="P118" s="4" t="n">
        <v>1</v>
      </c>
      <c r="Q118" s="4" t="n">
        <v>2877.5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세로한면(가)</t>
        </is>
      </c>
    </row>
    <row r="119">
      <c r="A119" s="3" t="inlineStr">
        <is>
          <t>강내면 저산리 406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84500</v>
      </c>
      <c r="G119" s="4" t="n">
        <v>4635</v>
      </c>
      <c r="H119" s="4" t="n">
        <v>1402</v>
      </c>
      <c r="I119" s="5" t="n">
        <v>60.3</v>
      </c>
      <c r="J119" s="5" t="n">
        <v>16.3</v>
      </c>
      <c r="K119" s="3" t="inlineStr">
        <is>
          <t>농업경영에 이용하면서 장기투자하실 분께 추천, 농림지역, 농업진흥구역</t>
        </is>
      </c>
      <c r="L119" s="6">
        <f>HYPERLINK("https://fin.land.naver.com/articles/2646656093", "매물Link")</f>
        <v/>
      </c>
      <c r="M119" s="6">
        <f>HYPERLINK("https://map.naver.com/p/search/강내면 저산리 406", "지도Link")</f>
        <v/>
      </c>
      <c r="N119" s="6">
        <f>HYPERLINK("http://www.eum.go.kr/web/ar/lu/luLandDet.jsp?pnu=4311331023104060000&amp;isNoScr=script&amp;mode=search",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4635.2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소로한면</t>
        </is>
      </c>
    </row>
    <row r="120">
      <c r="A120" s="3" t="inlineStr">
        <is>
          <t>강내면 저산리 480</t>
        </is>
      </c>
      <c r="B120" s="3" t="inlineStr">
        <is>
          <t>농림지역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45000</v>
      </c>
      <c r="G120" s="4" t="n">
        <v>2700</v>
      </c>
      <c r="H120" s="4" t="n">
        <v>817</v>
      </c>
      <c r="I120" s="5" t="n">
        <v>55.1</v>
      </c>
      <c r="J120" s="5" t="n">
        <v>14.9</v>
      </c>
      <c r="K120" s="3" t="inlineStr">
        <is>
          <t>2차선도로접함,복토작업완료,밭이나 과수원용도로 대토용도로적합</t>
        </is>
      </c>
      <c r="L120" s="6">
        <f>HYPERLINK("https://fin.land.naver.com/articles/2647540061", "매물Link")</f>
        <v/>
      </c>
      <c r="M120" s="6">
        <f>HYPERLINK("https://map.naver.com/p/search/강내면 저산리 480", "지도Link")</f>
        <v/>
      </c>
      <c r="N120" s="6">
        <f>HYPERLINK("http://www.eum.go.kr/web/ar/lu/luLandDet.jsp?pnu=4311331023104800000&amp;isNoScr=script&amp;mode=search", "토지이음")</f>
        <v/>
      </c>
      <c r="O120" s="3" t="inlineStr">
        <is>
          <t>지웰부자</t>
        </is>
      </c>
      <c r="P120" s="4" t="n">
        <v>1</v>
      </c>
      <c r="Q120" s="4" t="n">
        <v>2699.9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7-13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40000</v>
      </c>
      <c r="G121" s="4" t="n">
        <v>1125</v>
      </c>
      <c r="H121" s="4" t="n">
        <v>340</v>
      </c>
      <c r="I121" s="5" t="n">
        <v>117.6</v>
      </c>
      <c r="J121" s="5" t="n">
        <v>21.6</v>
      </c>
      <c r="K121" s="3" t="inlineStr">
        <is>
          <t>저산리에 위치한 진입도로 6m 확보된 전원주택지 매매</t>
        </is>
      </c>
      <c r="L121" s="6">
        <f>HYPERLINK("https://fin.land.naver.com/articles/2650045966", "매물Link")</f>
        <v/>
      </c>
      <c r="M121" s="6">
        <f>HYPERLINK("https://map.naver.com/p/search/강내면 저산리 7-13", "지도Link")</f>
        <v/>
      </c>
      <c r="N121" s="6">
        <f>HYPERLINK("http://www.eum.go.kr/web/ar/lu/luLandDet.jsp?pnu=4311331023100070013&amp;isNoScr=script&amp;mode=search", "토지이음")</f>
        <v/>
      </c>
      <c r="O121" s="3" t="inlineStr">
        <is>
          <t>대지</t>
        </is>
      </c>
      <c r="P121" s="4" t="n">
        <v>1</v>
      </c>
      <c r="Q121" s="4" t="n">
        <v>495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세로한면(불)</t>
        </is>
      </c>
    </row>
    <row r="122">
      <c r="A122" s="3" t="inlineStr">
        <is>
          <t>강내면 저산리 81-1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27000</v>
      </c>
      <c r="G122" s="4" t="n">
        <v>747</v>
      </c>
      <c r="H122" s="4" t="n">
        <v>226</v>
      </c>
      <c r="I122" s="5" t="n">
        <v>119.5</v>
      </c>
      <c r="J122" s="5" t="n">
        <v>33</v>
      </c>
      <c r="K122" s="3" t="inlineStr">
        <is>
          <t>세종시 10분거리 투자가치 좋은 전원주택지</t>
        </is>
      </c>
      <c r="L122" s="6">
        <f>HYPERLINK("https://fin.land.naver.com/articles/2648137521", "매물Link")</f>
        <v/>
      </c>
      <c r="M122" s="6">
        <f>HYPERLINK("https://map.naver.com/p/search/강내면 저산리 81-1", "지도Link")</f>
        <v/>
      </c>
      <c r="N122" s="6">
        <f>HYPERLINK("http://www.eum.go.kr/web/ar/lu/luLandDet.jsp?pnu=4311331023100810001&amp;isNoScr=script&amp;mode=search", "토지이음")</f>
        <v/>
      </c>
      <c r="O122" s="3" t="inlineStr">
        <is>
          <t>토담</t>
        </is>
      </c>
      <c r="P122" s="4" t="n">
        <v>1</v>
      </c>
      <c r="Q122" s="4" t="n">
        <v>230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세로한면(불)</t>
        </is>
      </c>
    </row>
    <row r="123">
      <c r="A123" s="3" t="inlineStr">
        <is>
          <t>강내면 저산리 90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20220</v>
      </c>
      <c r="G123" s="4" t="n">
        <v>1114</v>
      </c>
      <c r="H123" s="4" t="n">
        <v>337</v>
      </c>
      <c r="I123" s="5" t="n">
        <v>60</v>
      </c>
      <c r="J123" s="5" t="n">
        <v>22.8</v>
      </c>
      <c r="K123" s="3" t="inlineStr">
        <is>
          <t>a 세종시10분 현지목 전 계획관리지역 마을진입위치</t>
        </is>
      </c>
      <c r="L123" s="6">
        <f>HYPERLINK("https://fin.land.naver.com/articles/2649810898", "매물Link")</f>
        <v/>
      </c>
      <c r="M123" s="6">
        <f>HYPERLINK("https://map.naver.com/p/search/강내면 저산리 90", "지도Link")</f>
        <v/>
      </c>
      <c r="N123" s="6">
        <f>HYPERLINK("http://www.eum.go.kr/web/ar/lu/luLandDet.jsp?pnu=4311331023100900000&amp;isNoScr=script&amp;mode=search", "토지이음")</f>
        <v/>
      </c>
      <c r="O123" s="3" t="inlineStr">
        <is>
          <t>메가캐슬</t>
        </is>
      </c>
      <c r="P123" s="4" t="n">
        <v>1</v>
      </c>
      <c r="Q123" s="4" t="n">
        <v>1114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맹지</t>
        </is>
      </c>
    </row>
    <row r="124">
      <c r="A124" s="3" t="inlineStr">
        <is>
          <t>강내면 저산리 산 36-15</t>
        </is>
      </c>
      <c r="B124" s="3" t="inlineStr">
        <is>
          <t>계획관리지역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32000</v>
      </c>
      <c r="G124" s="4" t="n">
        <v>990</v>
      </c>
      <c r="H124" s="4" t="n">
        <v>299</v>
      </c>
      <c r="I124" s="5" t="n">
        <v>107</v>
      </c>
      <c r="J124" s="5" t="n">
        <v>7.5</v>
      </c>
      <c r="K124" s="3" t="inlineStr">
        <is>
          <t>청주인근접근성좋음 정남향</t>
        </is>
      </c>
      <c r="L124" s="6">
        <f>HYPERLINK("https://fin.land.naver.com/articles/2649354281", "매물Link")</f>
        <v/>
      </c>
      <c r="M124" s="6">
        <f>HYPERLINK("https://map.naver.com/p/search/강내면 저산리 산 36-15", "지도Link")</f>
        <v/>
      </c>
      <c r="N124" s="6">
        <f>HYPERLINK("http://www.eum.go.kr/web/ar/lu/luLandDet.jsp?pnu=4311331023200360015&amp;isNoScr=script&amp;mode=search", "토지이음")</f>
        <v/>
      </c>
      <c r="O124" s="3" t="inlineStr">
        <is>
          <t>우미린다온</t>
        </is>
      </c>
      <c r="P124" s="4" t="n">
        <v>1</v>
      </c>
      <c r="Q124" s="4" t="n">
        <v>990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완경사</t>
        </is>
      </c>
      <c r="U124" s="3" t="inlineStr">
        <is>
          <t>부정형</t>
        </is>
      </c>
      <c r="V124" s="3" t="inlineStr">
        <is>
          <t>세로각지(가)</t>
        </is>
      </c>
    </row>
    <row r="125">
      <c r="A125" s="3" t="inlineStr">
        <is>
          <t>강내면 저산리 산 43-27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임야. 보전관리지역. 23년 제1종근랜생활시설 인허가 받았음.</t>
        </is>
      </c>
      <c r="L125" s="6">
        <f>HYPERLINK("https://fin.land.naver.com/articles/2650180922", "매물Link")</f>
        <v/>
      </c>
      <c r="M125" s="6">
        <f>HYPERLINK("https://map.naver.com/p/search/강내면 저산리 산 43-27", "지도Link")</f>
        <v/>
      </c>
      <c r="N125" s="6">
        <f>HYPERLINK("http://www.eum.go.kr/web/ar/lu/luLandDet.jsp?pnu=4311331023200430027&amp;isNoScr=script&amp;mode=search",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43-30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25500</v>
      </c>
      <c r="G126" s="4" t="n">
        <v>514</v>
      </c>
      <c r="H126" s="4" t="n">
        <v>155</v>
      </c>
      <c r="I126" s="5" t="n">
        <v>164.5</v>
      </c>
      <c r="J126" s="5" t="n">
        <v>22.2</v>
      </c>
      <c r="K126" s="3" t="inlineStr">
        <is>
          <t>nan</t>
        </is>
      </c>
      <c r="L126" s="6">
        <f>HYPERLINK("https://fin.land.naver.com/articles/2650181957", "매물Link")</f>
        <v/>
      </c>
      <c r="M126" s="6">
        <f>HYPERLINK("https://map.naver.com/p/search/강내면 저산리 산 43-30", "지도Link")</f>
        <v/>
      </c>
      <c r="N126" s="6">
        <f>HYPERLINK("http://www.eum.go.kr/web/ar/lu/luLandDet.jsp?pnu=4311331023200430030&amp;isNoScr=script&amp;mode=search", "토지이음")</f>
        <v/>
      </c>
      <c r="O126" s="3" t="inlineStr">
        <is>
          <t>브레인시티유진</t>
        </is>
      </c>
      <c r="P126" s="4" t="n">
        <v>1</v>
      </c>
      <c r="Q126" s="4" t="n">
        <v>514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 60-23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14000</v>
      </c>
      <c r="G127" s="4" t="n">
        <v>541</v>
      </c>
      <c r="H127" s="4" t="n">
        <v>164</v>
      </c>
      <c r="I127" s="5" t="n">
        <v>85.40000000000001</v>
      </c>
      <c r="J127" s="5" t="n">
        <v>6.3</v>
      </c>
      <c r="K127" s="3" t="inlineStr">
        <is>
          <t>전원주택 또는 소형 근린생활시설 부지로 추천</t>
        </is>
      </c>
      <c r="L127" s="6">
        <f>HYPERLINK("https://fin.land.naver.com/articles/2651537028", "매물Link")</f>
        <v/>
      </c>
      <c r="M127" s="6">
        <f>HYPERLINK("https://map.naver.com/p/search/강내면 저산리 산 60-23", "지도Link")</f>
        <v/>
      </c>
      <c r="N127" s="6">
        <f>HYPERLINK("http://www.eum.go.kr/web/ar/lu/luLandDet.jsp?pnu=4311331023200600023&amp;isNoScr=script&amp;mode=search", "토지이음")</f>
        <v/>
      </c>
      <c r="O127" s="3" t="inlineStr">
        <is>
          <t>제이</t>
        </is>
      </c>
      <c r="P127" s="4" t="n">
        <v>1</v>
      </c>
      <c r="Q127" s="4" t="n">
        <v>466</v>
      </c>
      <c r="R127" s="3" t="inlineStr">
        <is>
          <t>지정되지않음</t>
        </is>
      </c>
      <c r="S127" s="3" t="inlineStr">
        <is>
          <t>토지임야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산 60-26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16500</v>
      </c>
      <c r="G128" s="4" t="n">
        <v>641</v>
      </c>
      <c r="H128" s="4" t="n">
        <v>194</v>
      </c>
      <c r="I128" s="5" t="n">
        <v>85.09999999999999</v>
      </c>
      <c r="J128" s="5" t="n">
        <v>6.3</v>
      </c>
      <c r="K128" s="3" t="inlineStr">
        <is>
          <t>급매,가격절충,건축허가득</t>
        </is>
      </c>
      <c r="L128" s="6">
        <f>HYPERLINK("https://fin.land.naver.com/articles/2648084800", "매물Link")</f>
        <v/>
      </c>
      <c r="M128" s="6">
        <f>HYPERLINK("https://map.naver.com/p/search/강내면 저산리 산 60-26", "지도Link")</f>
        <v/>
      </c>
      <c r="N128" s="6">
        <f>HYPERLINK("http://www.eum.go.kr/web/ar/lu/luLandDet.jsp?pnu=4311331023200600026&amp;isNoScr=script&amp;mode=search", "토지이음")</f>
        <v/>
      </c>
      <c r="O128" s="3" t="inlineStr">
        <is>
          <t>보석</t>
        </is>
      </c>
      <c r="P128" s="4" t="n">
        <v>1</v>
      </c>
      <c r="Q128" s="4" t="n">
        <v>552</v>
      </c>
      <c r="R128" s="3" t="inlineStr">
        <is>
          <t>지정되지않음</t>
        </is>
      </c>
      <c r="S128" s="3" t="inlineStr">
        <is>
          <t>토지임야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세로한면(가)</t>
        </is>
      </c>
    </row>
    <row r="129">
      <c r="A129" s="3" t="inlineStr">
        <is>
          <t>강내면 저산리 산43-25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33000</v>
      </c>
      <c r="G129" s="4" t="n">
        <v>665</v>
      </c>
      <c r="H129" s="4" t="n">
        <v>201</v>
      </c>
      <c r="I129" s="5" t="n">
        <v>164.2</v>
      </c>
      <c r="J129" s="5" t="n">
        <v>22.2</v>
      </c>
      <c r="K129" s="3" t="inlineStr">
        <is>
          <t>강내면 저산리 전원주택단지내 토지매매 앞뒤 탁트인조망</t>
        </is>
      </c>
      <c r="L129" s="6">
        <f>HYPERLINK("https://fin.land.naver.com/articles/2649951795", "매물Link")</f>
        <v/>
      </c>
      <c r="M129" s="6">
        <f>HYPERLINK("https://map.naver.com/p/search/강내면 저산리 산43-25", "지도Link")</f>
        <v/>
      </c>
      <c r="N129" s="6">
        <f>HYPERLINK("http://www.eum.go.kr/web/ar/lu/luLandDet.jsp?pnu=4311331023200430025&amp;isNoScr=script&amp;mode=search", "토지이음")</f>
        <v/>
      </c>
      <c r="O129" s="3" t="inlineStr">
        <is>
          <t>탄탄</t>
        </is>
      </c>
      <c r="P129" s="4" t="n">
        <v>1</v>
      </c>
      <c r="Q129" s="4" t="n">
        <v>605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산43-63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21000</v>
      </c>
      <c r="G130" s="4" t="n">
        <v>568</v>
      </c>
      <c r="H130" s="4" t="n">
        <v>172</v>
      </c>
      <c r="I130" s="5" t="n">
        <v>122.1</v>
      </c>
      <c r="J130" s="5" t="n">
        <v>4.7</v>
      </c>
      <c r="K130" s="3" t="inlineStr">
        <is>
          <t>세종 인접한 바로 건축 가능 전원주택지 급매</t>
        </is>
      </c>
      <c r="L130" s="6">
        <f>HYPERLINK("https://fin.land.naver.com/articles/2648195583", "매물Link")</f>
        <v/>
      </c>
      <c r="M130" s="6">
        <f>HYPERLINK("https://map.naver.com/p/search/강내면 저산리 산43-63", "지도Link")</f>
        <v/>
      </c>
      <c r="N130" s="6">
        <f>HYPERLINK("http://www.eum.go.kr/web/ar/lu/luLandDet.jsp?pnu=4311331023200430063&amp;isNoScr=script&amp;mode=search", "토지이음")</f>
        <v/>
      </c>
      <c r="O130" s="3" t="inlineStr">
        <is>
          <t>e교차로합동</t>
        </is>
      </c>
      <c r="P130" s="4" t="n">
        <v>1</v>
      </c>
      <c r="Q130" s="4" t="n">
        <v>568</v>
      </c>
      <c r="R130" s="3" t="inlineStr">
        <is>
          <t>지정되지않음</t>
        </is>
      </c>
      <c r="S130" s="3" t="inlineStr">
        <is>
          <t>자연림</t>
        </is>
      </c>
      <c r="T130" s="3" t="inlineStr">
        <is>
          <t>급경사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산43-63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21000</v>
      </c>
      <c r="G131" s="4" t="n">
        <v>567</v>
      </c>
      <c r="H131" s="4" t="n">
        <v>172</v>
      </c>
      <c r="I131" s="5" t="n">
        <v>122.1</v>
      </c>
      <c r="J131" s="5" t="n">
        <v>4.7</v>
      </c>
      <c r="K131" s="3" t="inlineStr">
        <is>
          <t>nan</t>
        </is>
      </c>
      <c r="L131" s="6">
        <f>HYPERLINK("https://fin.land.naver.com/articles/2647763676", "매물Link")</f>
        <v/>
      </c>
      <c r="M131" s="6">
        <f>HYPERLINK("https://map.naver.com/p/search/강내면 저산리 산43-63", "지도Link")</f>
        <v/>
      </c>
      <c r="N131" s="6">
        <f>HYPERLINK("http://www.eum.go.kr/web/ar/lu/luLandDet.jsp?pnu=4311331023200430063&amp;isNoScr=script&amp;mode=search", "토지이음")</f>
        <v/>
      </c>
      <c r="O131" s="3" t="inlineStr">
        <is>
          <t>e교차로</t>
        </is>
      </c>
      <c r="P131" s="4" t="n">
        <v>1</v>
      </c>
      <c r="Q131" s="4" t="n">
        <v>568</v>
      </c>
      <c r="R131" s="3" t="inlineStr">
        <is>
          <t>지정되지않음</t>
        </is>
      </c>
      <c r="S131" s="3" t="inlineStr">
        <is>
          <t>자연림</t>
        </is>
      </c>
      <c r="T131" s="3" t="inlineStr">
        <is>
          <t>급경사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산43-9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22000</v>
      </c>
      <c r="G132" s="4" t="n">
        <v>656</v>
      </c>
      <c r="H132" s="4" t="n">
        <v>198</v>
      </c>
      <c r="I132" s="5" t="n">
        <v>111.1</v>
      </c>
      <c r="J132" s="5" t="n">
        <v>22.2</v>
      </c>
      <c r="K132" s="3" t="inlineStr">
        <is>
          <t>부강역 10분, 세종 집현동 15분, 전원주택 건축 추천 건축허가</t>
        </is>
      </c>
      <c r="L132" s="6">
        <f>HYPERLINK("https://fin.land.naver.com/articles/2647457494", "매물Link")</f>
        <v/>
      </c>
      <c r="M132" s="6">
        <f>HYPERLINK("https://map.naver.com/p/search/강내면 저산리 산43-9", "지도Link")</f>
        <v/>
      </c>
      <c r="N132" s="6">
        <f>HYPERLINK("http://www.eum.go.kr/web/ar/lu/luLandDet.jsp?pnu=4311331023200430009&amp;isNoScr=script&amp;mode=search", "토지이음")</f>
        <v/>
      </c>
      <c r="O132" s="3" t="inlineStr">
        <is>
          <t>나침반</t>
        </is>
      </c>
      <c r="P132" s="4" t="n">
        <v>1</v>
      </c>
      <c r="Q132" s="4" t="n">
        <v>596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산43-9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22000</v>
      </c>
      <c r="G133" s="4" t="n">
        <v>654</v>
      </c>
      <c r="H133" s="4" t="n">
        <v>198</v>
      </c>
      <c r="I133" s="5" t="n">
        <v>111.1</v>
      </c>
      <c r="J133" s="5" t="n">
        <v>22.2</v>
      </c>
      <c r="K133" s="3" t="inlineStr">
        <is>
          <t>세종10분 청주10분 기반시설완비된 전원주택단지내 저렴한 주택지</t>
        </is>
      </c>
      <c r="L133" s="6">
        <f>HYPERLINK("https://fin.land.naver.com/articles/2648979149", "매물Link")</f>
        <v/>
      </c>
      <c r="M133" s="6">
        <f>HYPERLINK("https://map.naver.com/p/search/강내면 저산리 산43-9", "지도Link")</f>
        <v/>
      </c>
      <c r="N133" s="6">
        <f>HYPERLINK("http://www.eum.go.kr/web/ar/lu/luLandDet.jsp?pnu=4311331023200430009&amp;isNoScr=script&amp;mode=search", "토지이음")</f>
        <v/>
      </c>
      <c r="O133" s="3" t="inlineStr">
        <is>
          <t>세종스타</t>
        </is>
      </c>
      <c r="P133" s="4" t="n">
        <v>1</v>
      </c>
      <c r="Q133" s="4" t="n">
        <v>596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산55-12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145000</v>
      </c>
      <c r="G134" s="4" t="n">
        <v>5389</v>
      </c>
      <c r="H134" s="4" t="n">
        <v>1630</v>
      </c>
      <c r="I134" s="5" t="n">
        <v>89</v>
      </c>
      <c r="J134" s="5" t="n">
        <v>6.8</v>
      </c>
      <c r="K134" s="3" t="inlineStr">
        <is>
          <t>토목공사 완료, 진입로 확보, 개발행위허가 후 즉시 사용, 매매가 절충</t>
        </is>
      </c>
      <c r="L134" s="6">
        <f>HYPERLINK("https://fin.land.naver.com/articles/2649345419", "매물Link")</f>
        <v/>
      </c>
      <c r="M134" s="6">
        <f>HYPERLINK("https://map.naver.com/p/search/강내면 저산리 산55-12", "지도Link")</f>
        <v/>
      </c>
      <c r="N134" s="6">
        <f>HYPERLINK("http://www.eum.go.kr/web/ar/lu/luLandDet.jsp?pnu=4311331023200550012&amp;isNoScr=script&amp;mode=search", "토지이음")</f>
        <v/>
      </c>
      <c r="O134" s="3" t="inlineStr">
        <is>
          <t>라인</t>
        </is>
      </c>
      <c r="P134" s="4" t="n">
        <v>1</v>
      </c>
      <c r="Q134" s="4" t="n">
        <v>3547</v>
      </c>
      <c r="R134" s="3" t="inlineStr">
        <is>
          <t>지정되지않음</t>
        </is>
      </c>
      <c r="S134" s="3" t="inlineStr">
        <is>
          <t>임야기타</t>
        </is>
      </c>
      <c r="T134" s="3" t="inlineStr">
        <is>
          <t>완경사</t>
        </is>
      </c>
      <c r="U134" s="3" t="inlineStr">
        <is>
          <t>사다리형</t>
        </is>
      </c>
      <c r="V134" s="3" t="inlineStr">
        <is>
          <t>소로한면</t>
        </is>
      </c>
    </row>
    <row r="135">
      <c r="A135" s="3" t="inlineStr">
        <is>
          <t>강내면 탑연리 101-17</t>
        </is>
      </c>
      <c r="B135" s="3" t="inlineStr">
        <is>
          <t>자연녹지지역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176000</v>
      </c>
      <c r="G135" s="4" t="n">
        <v>1662</v>
      </c>
      <c r="H135" s="4" t="n">
        <v>503</v>
      </c>
      <c r="I135" s="5" t="n">
        <v>349.9</v>
      </c>
      <c r="J135" s="5" t="n">
        <v>22.3</v>
      </c>
      <c r="K135" s="3" t="inlineStr">
        <is>
          <t>사진有 강내면 탑연리 4차선 도로 접한 토지. 전원주택부지. 식당부지</t>
        </is>
      </c>
      <c r="L135" s="6">
        <f>HYPERLINK("https://fin.land.naver.com/articles/2649947059", "매물Link")</f>
        <v/>
      </c>
      <c r="M135" s="6">
        <f>HYPERLINK("https://map.naver.com/p/search/강내면 탑연리 101-17", "지도Link")</f>
        <v/>
      </c>
      <c r="N135" s="6">
        <f>HYPERLINK("http://www.eum.go.kr/web/ar/lu/luLandDet.jsp?pnu=4311331031101010017&amp;isNoScr=script&amp;mode=search", "토지이음")</f>
        <v/>
      </c>
      <c r="O135" s="3" t="inlineStr">
        <is>
          <t>행복도시</t>
        </is>
      </c>
      <c r="P135" s="4" t="n">
        <v>1</v>
      </c>
      <c r="Q135" s="4" t="n">
        <v>590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탑연리 13-2</t>
        </is>
      </c>
      <c r="B136" s="3" t="inlineStr">
        <is>
          <t>자연녹지지역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51500</v>
      </c>
      <c r="G136" s="4" t="n">
        <v>1309</v>
      </c>
      <c r="H136" s="4" t="n">
        <v>396</v>
      </c>
      <c r="I136" s="5" t="n">
        <v>130.1</v>
      </c>
      <c r="J136" s="5" t="n">
        <v>41.4</v>
      </c>
      <c r="K136" s="3" t="inlineStr">
        <is>
          <t>조용한 전원주택지</t>
        </is>
      </c>
      <c r="L136" s="6">
        <f>HYPERLINK("https://fin.land.naver.com/articles/2648145807", "매물Link")</f>
        <v/>
      </c>
      <c r="M136" s="6">
        <f>HYPERLINK("https://map.naver.com/p/search/강내면 탑연리 13-2", "지도Link")</f>
        <v/>
      </c>
      <c r="N136" s="6">
        <f>HYPERLINK("http://www.eum.go.kr/web/ar/lu/luLandDet.jsp?pnu=4311331031100130002&amp;isNoScr=script&amp;mode=search", "토지이음")</f>
        <v/>
      </c>
      <c r="O136" s="3" t="inlineStr">
        <is>
          <t>G세계로무소</t>
        </is>
      </c>
      <c r="P136" s="4" t="n">
        <v>1</v>
      </c>
      <c r="Q136" s="4" t="n">
        <v>1309</v>
      </c>
      <c r="R136" s="3" t="inlineStr">
        <is>
          <t>지정되지않음</t>
        </is>
      </c>
      <c r="S136" s="3" t="inlineStr">
        <is>
          <t>전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세로한면(가)</t>
        </is>
      </c>
    </row>
    <row r="137">
      <c r="A137" s="3" t="inlineStr">
        <is>
          <t>강내면 탑연리 141-3</t>
        </is>
      </c>
      <c r="B137" s="3" t="inlineStr">
        <is>
          <t>일반상업지역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1350000</v>
      </c>
      <c r="G137" s="4" t="n">
        <v>4476</v>
      </c>
      <c r="H137" s="4" t="n">
        <v>1354</v>
      </c>
      <c r="I137" s="5" t="n">
        <v>997</v>
      </c>
      <c r="J137" s="5" t="n">
        <v>378.8</v>
      </c>
      <c r="K137" s="3" t="inlineStr">
        <is>
          <t>청주 서부지역 중심가 상업지역내 토지</t>
        </is>
      </c>
      <c r="L137" s="6">
        <f>HYPERLINK("https://fin.land.naver.com/articles/2647778839", "매물Link")</f>
        <v/>
      </c>
      <c r="M137" s="6">
        <f>HYPERLINK("https://map.naver.com/p/search/강내면 탑연리 141-3", "지도Link")</f>
        <v/>
      </c>
      <c r="N137" s="6">
        <f>HYPERLINK("http://www.eum.go.kr/web/ar/lu/luLandDet.jsp?pnu=4311331031101410003&amp;isNoScr=script&amp;mode=search", "토지이음")</f>
        <v/>
      </c>
      <c r="O137" s="3" t="inlineStr">
        <is>
          <t>좋은</t>
        </is>
      </c>
      <c r="P137" s="4" t="n">
        <v>1</v>
      </c>
      <c r="Q137" s="4" t="n">
        <v>2131</v>
      </c>
      <c r="R137" s="3" t="inlineStr">
        <is>
          <t>지정되지않음</t>
        </is>
      </c>
      <c r="S137" s="3" t="inlineStr">
        <is>
          <t>상업용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중로각지</t>
        </is>
      </c>
    </row>
    <row r="138">
      <c r="A138" s="3" t="inlineStr">
        <is>
          <t>강내면 탑연리 147-5</t>
        </is>
      </c>
      <c r="B138" s="3" t="inlineStr">
        <is>
          <t>일반상업지역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41000</v>
      </c>
      <c r="G138" s="4" t="n">
        <v>151</v>
      </c>
      <c r="H138" s="4" t="n">
        <v>46</v>
      </c>
      <c r="I138" s="5" t="n">
        <v>891.3</v>
      </c>
      <c r="J138" s="5" t="n">
        <v>199.6</v>
      </c>
      <c r="K138" s="3" t="inlineStr">
        <is>
          <t>상업지역, 꼬마빌딩, 카페, 사무소, 금액조율 협의 가능</t>
        </is>
      </c>
      <c r="L138" s="6">
        <f>HYPERLINK("https://fin.land.naver.com/articles/2648859845", "매물Link")</f>
        <v/>
      </c>
      <c r="M138" s="6">
        <f>HYPERLINK("https://map.naver.com/p/search/강내면 탑연리 147-5", "지도Link")</f>
        <v/>
      </c>
      <c r="N138" s="6">
        <f>HYPERLINK("http://www.eum.go.kr/web/ar/lu/luLandDet.jsp?pnu=4311331031101470005&amp;isNoScr=script&amp;mode=search", "토지이음")</f>
        <v/>
      </c>
      <c r="O138" s="3" t="inlineStr">
        <is>
          <t>제이</t>
        </is>
      </c>
      <c r="P138" s="4" t="n">
        <v>1</v>
      </c>
      <c r="Q138" s="4" t="n">
        <v>151</v>
      </c>
      <c r="R138" s="3" t="inlineStr">
        <is>
          <t>지정되지않음</t>
        </is>
      </c>
      <c r="S138" s="3" t="inlineStr">
        <is>
          <t>상업나지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205-1</t>
        </is>
      </c>
      <c r="B139" s="3" t="inlineStr">
        <is>
          <t>생산녹지지역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70000</v>
      </c>
      <c r="G139" s="4" t="n">
        <v>1908</v>
      </c>
      <c r="H139" s="4" t="n">
        <v>577</v>
      </c>
      <c r="I139" s="5" t="n">
        <v>121.3</v>
      </c>
      <c r="J139" s="5" t="n">
        <v>23.7</v>
      </c>
      <c r="K139" s="3" t="inlineStr">
        <is>
          <t>생산녹지 토지매매, 강내우체국 맞은</t>
        </is>
      </c>
      <c r="L139" s="6">
        <f>HYPERLINK("https://fin.land.naver.com/articles/2650140388", "매물Link")</f>
        <v/>
      </c>
      <c r="M139" s="6">
        <f>HYPERLINK("https://map.naver.com/p/search/강내면 탑연리 205-1", "지도Link")</f>
        <v/>
      </c>
      <c r="N139" s="6">
        <f>HYPERLINK("http://www.eum.go.kr/web/ar/lu/luLandDet.jsp?pnu=4311331031102050001&amp;isNoScr=script&amp;mode=search", "토지이음")</f>
        <v/>
      </c>
      <c r="O139" s="3" t="inlineStr">
        <is>
          <t>토마토</t>
        </is>
      </c>
      <c r="P139" s="4" t="n">
        <v>1</v>
      </c>
      <c r="Q139" s="4" t="n">
        <v>1908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세로한면(가)</t>
        </is>
      </c>
    </row>
    <row r="140">
      <c r="A140" s="3" t="inlineStr">
        <is>
          <t>강내면 탑연리 279-2</t>
        </is>
      </c>
      <c r="B140" s="3" t="inlineStr">
        <is>
          <t>제2종일반주거지역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97000</v>
      </c>
      <c r="G140" s="4" t="n">
        <v>1070</v>
      </c>
      <c r="H140" s="4" t="n">
        <v>324</v>
      </c>
      <c r="I140" s="5" t="n">
        <v>299.4</v>
      </c>
      <c r="J140" s="5" t="n">
        <v>122.8</v>
      </c>
      <c r="K140" s="3" t="inlineStr">
        <is>
          <t>인근 시세보다 저렴, 2차선 도시계획도로에 한면이 접함, 지가 상승 예상</t>
        </is>
      </c>
      <c r="L140" s="6">
        <f>HYPERLINK("https://fin.land.naver.com/articles/2651478715", "매물Link")</f>
        <v/>
      </c>
      <c r="M140" s="6">
        <f>HYPERLINK("https://map.naver.com/p/search/강내면 탑연리 279-2", "지도Link")</f>
        <v/>
      </c>
      <c r="N140" s="6">
        <f>HYPERLINK("http://www.eum.go.kr/web/ar/lu/luLandDet.jsp?pnu=4311331031102790002&amp;isNoScr=script&amp;mode=search", "토지이음")</f>
        <v/>
      </c>
      <c r="O140" s="3" t="inlineStr">
        <is>
          <t>제이</t>
        </is>
      </c>
      <c r="P140" s="4" t="n">
        <v>1</v>
      </c>
      <c r="Q140" s="4" t="n">
        <v>1070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소로한면</t>
        </is>
      </c>
    </row>
    <row r="141">
      <c r="A141" s="3" t="inlineStr">
        <is>
          <t>강내면 탑연리 330-9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1200000</v>
      </c>
      <c r="G141" s="4" t="n">
        <v>9564</v>
      </c>
      <c r="H141" s="4" t="n">
        <v>2893</v>
      </c>
      <c r="I141" s="5" t="n">
        <v>414.8</v>
      </c>
      <c r="J141" s="5" t="n">
        <v>147.8</v>
      </c>
      <c r="K141" s="3" t="inlineStr">
        <is>
          <t>M 해당토지외 15필지 포함. 공장 및 토지 매매 M</t>
        </is>
      </c>
      <c r="L141" s="6">
        <f>HYPERLINK("https://fin.land.naver.com/articles/2651128763", "매물Link")</f>
        <v/>
      </c>
      <c r="M141" s="6">
        <f>HYPERLINK("https://map.naver.com/p/search/강내면 탑연리 330-9", "지도Link")</f>
        <v/>
      </c>
      <c r="N141" s="6">
        <f>HYPERLINK("http://www.eum.go.kr/web/ar/lu/luLandDet.jsp?pnu=4311331031103300009&amp;isNoScr=script&amp;mode=search", "토지이음")</f>
        <v/>
      </c>
      <c r="O141" s="3" t="inlineStr">
        <is>
          <t>채움</t>
        </is>
      </c>
      <c r="P141" s="4" t="n">
        <v>1</v>
      </c>
      <c r="Q141" s="4" t="n">
        <v>1590</v>
      </c>
      <c r="R141" s="3" t="inlineStr">
        <is>
          <t>자연녹지지역</t>
        </is>
      </c>
      <c r="S141" s="3" t="inlineStr">
        <is>
          <t>공업용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중로한면</t>
        </is>
      </c>
    </row>
    <row r="142">
      <c r="A142" s="3" t="inlineStr">
        <is>
          <t>강내면 탑연리 333-4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147000</v>
      </c>
      <c r="G142" s="4" t="n">
        <v>1950</v>
      </c>
      <c r="H142" s="4" t="n">
        <v>590</v>
      </c>
      <c r="I142" s="5" t="n">
        <v>249.2</v>
      </c>
      <c r="J142" s="5" t="n">
        <v>92.59999999999999</v>
      </c>
      <c r="K142" s="3" t="inlineStr">
        <is>
          <t>탑연리 자연녹지 카페.자동차관련.1.2종근생.운동시설관련등 추천</t>
        </is>
      </c>
      <c r="L142" s="6">
        <f>HYPERLINK("https://fin.land.naver.com/articles/2647720562", "매물Link")</f>
        <v/>
      </c>
      <c r="M142" s="6">
        <f>HYPERLINK("https://map.naver.com/p/search/강내면 탑연리 333-4", "지도Link")</f>
        <v/>
      </c>
      <c r="N142" s="6">
        <f>HYPERLINK("http://www.eum.go.kr/web/ar/lu/luLandDet.jsp?pnu=4311331031103330004&amp;isNoScr=script&amp;mode=search", "토지이음")</f>
        <v/>
      </c>
      <c r="O142" s="3" t="inlineStr">
        <is>
          <t>그린</t>
        </is>
      </c>
      <c r="P142" s="4" t="n">
        <v>1</v>
      </c>
      <c r="Q142" s="4" t="n">
        <v>1610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맹지</t>
        </is>
      </c>
    </row>
    <row r="143">
      <c r="A143" s="3" t="inlineStr">
        <is>
          <t>강내면 탑연리 335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208500</v>
      </c>
      <c r="G143" s="4" t="n">
        <v>2298</v>
      </c>
      <c r="H143" s="4" t="n">
        <v>695</v>
      </c>
      <c r="I143" s="5" t="n">
        <v>300</v>
      </c>
      <c r="J143" s="5" t="n">
        <v>135.4</v>
      </c>
      <c r="K143" s="3" t="inlineStr">
        <is>
          <t>자동차 써비스관련 시설등 하기 좋은 땅</t>
        </is>
      </c>
      <c r="L143" s="6">
        <f>HYPERLINK("https://fin.land.naver.com/articles/2647601462", "매물Link")</f>
        <v/>
      </c>
      <c r="M143" s="6">
        <f>HYPERLINK("https://map.naver.com/p/search/강내면 탑연리 335", "지도Link")</f>
        <v/>
      </c>
      <c r="N143" s="6">
        <f>HYPERLINK("http://www.eum.go.kr/web/ar/lu/luLandDet.jsp?pnu=4311331031103350000&amp;isNoScr=script&amp;mode=search", "토지이음")</f>
        <v/>
      </c>
      <c r="O143" s="3" t="inlineStr">
        <is>
          <t>천석</t>
        </is>
      </c>
      <c r="P143" s="4" t="n">
        <v>1</v>
      </c>
      <c r="Q143" s="4" t="n">
        <v>1850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태성리 131-1</t>
        </is>
      </c>
      <c r="B144" s="3" t="inlineStr">
        <is>
          <t>계획관리지역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112200</v>
      </c>
      <c r="G144" s="4" t="n">
        <v>2474</v>
      </c>
      <c r="H144" s="4" t="n">
        <v>748</v>
      </c>
      <c r="I144" s="5" t="n">
        <v>150</v>
      </c>
      <c r="J144" s="5" t="n">
        <v>57.1</v>
      </c>
      <c r="K144" s="3" t="inlineStr">
        <is>
          <t>10m 도로에 인접한 공장, 창고 부지, 청주하이테크벨리 산업단지 인근</t>
        </is>
      </c>
      <c r="L144" s="6">
        <f>HYPERLINK("https://fin.land.naver.com/articles/2646878132", "매물Link")</f>
        <v/>
      </c>
      <c r="M144" s="6">
        <f>HYPERLINK("https://map.naver.com/p/search/강내면 태성리 131-1", "지도Link")</f>
        <v/>
      </c>
      <c r="N144" s="6">
        <f>HYPERLINK("http://www.eum.go.kr/web/ar/lu/luLandDet.jsp?pnu=4311331027101310001&amp;isNoScr=script&amp;mode=search", "토지이음")</f>
        <v/>
      </c>
      <c r="O144" s="3" t="inlineStr">
        <is>
          <t>테크노비타사사무소</t>
        </is>
      </c>
      <c r="P144" s="4" t="n">
        <v>1</v>
      </c>
      <c r="Q144" s="4" t="n">
        <v>2474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태성리 142-2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매매</t>
        </is>
      </c>
      <c r="F145" s="4" t="n">
        <v>80000</v>
      </c>
      <c r="G145" s="4" t="n">
        <v>1325</v>
      </c>
      <c r="H145" s="4" t="n">
        <v>401</v>
      </c>
      <c r="I145" s="5" t="n">
        <v>199.5</v>
      </c>
      <c r="J145" s="5" t="n">
        <v>67</v>
      </c>
      <c r="K145" s="3" t="inlineStr">
        <is>
          <t>강내 하이테크밸리 산단 연접 공장용지 매매</t>
        </is>
      </c>
      <c r="L145" s="6">
        <f>HYPERLINK("https://fin.land.naver.com/articles/2650595323", "매물Link")</f>
        <v/>
      </c>
      <c r="M145" s="6">
        <f>HYPERLINK("https://map.naver.com/p/search/강내면 태성리 142-2", "지도Link")</f>
        <v/>
      </c>
      <c r="N145" s="6">
        <f>HYPERLINK("http://www.eum.go.kr/web/ar/lu/luLandDet.jsp?pnu=4311331027101420002&amp;isNoScr=script&amp;mode=search", "토지이음")</f>
        <v/>
      </c>
      <c r="O145" s="3" t="inlineStr">
        <is>
          <t>광장</t>
        </is>
      </c>
      <c r="P145" s="4" t="n">
        <v>1</v>
      </c>
      <c r="Q145" s="4" t="n">
        <v>1325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완경사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158-9</t>
        </is>
      </c>
      <c r="B146" s="3" t="inlineStr">
        <is>
          <t>농림지역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226200</v>
      </c>
      <c r="G146" s="4" t="n">
        <v>5646</v>
      </c>
      <c r="H146" s="4" t="n">
        <v>1708</v>
      </c>
      <c r="I146" s="5" t="n">
        <v>132.4</v>
      </c>
      <c r="J146" s="5" t="n">
        <v>22.6</v>
      </c>
      <c r="K146" s="3" t="inlineStr">
        <is>
          <t>강내면 태성리에 위치한 도로옆 모양이쁘고 투자성있는 토지입니다</t>
        </is>
      </c>
      <c r="L146" s="6">
        <f>HYPERLINK("https://fin.land.naver.com/articles/2647983773", "매물Link")</f>
        <v/>
      </c>
      <c r="M146" s="6">
        <f>HYPERLINK("https://map.naver.com/p/search/강내면 태성리 158-9", "지도Link")</f>
        <v/>
      </c>
      <c r="N146" s="6">
        <f>HYPERLINK("http://www.eum.go.kr/web/ar/lu/luLandDet.jsp?pnu=4311331027101580009&amp;isNoScr=script&amp;mode=search", "토지이음")</f>
        <v/>
      </c>
      <c r="O146" s="3" t="inlineStr">
        <is>
          <t>매물맛집.믿고가는</t>
        </is>
      </c>
      <c r="P146" s="4" t="n">
        <v>1</v>
      </c>
      <c r="Q146" s="4" t="n">
        <v>457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가로장방</t>
        </is>
      </c>
      <c r="V146" s="3" t="inlineStr">
        <is>
          <t>소로한면</t>
        </is>
      </c>
    </row>
    <row r="147">
      <c r="A147" s="3" t="inlineStr">
        <is>
          <t>강내면 태성리 166-8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570000</v>
      </c>
      <c r="G147" s="4" t="n">
        <v>13422</v>
      </c>
      <c r="H147" s="4" t="n">
        <v>4060</v>
      </c>
      <c r="I147" s="5" t="n">
        <v>140.4</v>
      </c>
      <c r="J147" s="5" t="n">
        <v>30.5</v>
      </c>
      <c r="K147" s="3" t="inlineStr">
        <is>
          <t>2차선 코너도접 6필지 산업단지인근</t>
        </is>
      </c>
      <c r="L147" s="6">
        <f>HYPERLINK("https://fin.land.naver.com/articles/2648839230", "매물Link")</f>
        <v/>
      </c>
      <c r="M147" s="6">
        <f>HYPERLINK("https://map.naver.com/p/search/강내면 태성리 166-8", "지도Link")</f>
        <v/>
      </c>
      <c r="N147" s="6">
        <f>HYPERLINK("http://www.eum.go.kr/web/ar/lu/luLandDet.jsp?pnu=4311331027101660008&amp;isNoScr=script&amp;mode=search", "토지이음")</f>
        <v/>
      </c>
      <c r="O147" s="3" t="inlineStr">
        <is>
          <t>플러스태양</t>
        </is>
      </c>
      <c r="P147" s="4" t="n">
        <v>1</v>
      </c>
      <c r="Q147" s="4" t="n">
        <v>8254</v>
      </c>
      <c r="R147" s="3" t="inlineStr">
        <is>
          <t>지정되지않음</t>
        </is>
      </c>
      <c r="S147" s="3" t="inlineStr">
        <is>
          <t>전기타</t>
        </is>
      </c>
      <c r="T147" s="3" t="inlineStr">
        <is>
          <t>완경사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태성리 233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공장용지</t>
        </is>
      </c>
      <c r="E148" s="3" t="inlineStr">
        <is>
          <t>월세</t>
        </is>
      </c>
      <c r="F148" s="4" t="n">
        <v>13500</v>
      </c>
      <c r="G148" s="4" t="n">
        <v>8903</v>
      </c>
      <c r="H148" s="4" t="n">
        <v>2693</v>
      </c>
      <c r="I148" s="5" t="n">
        <v>0.5</v>
      </c>
      <c r="J148" s="5" t="n">
        <v>62.4</v>
      </c>
      <c r="K148" s="3" t="inlineStr">
        <is>
          <t>남청주ic10분거리로접근성좋아 물류이동최적 야적장가능</t>
        </is>
      </c>
      <c r="L148" s="6">
        <f>HYPERLINK("https://fin.land.naver.com/articles/2646669209", "매물Link")</f>
        <v/>
      </c>
      <c r="M148" s="6">
        <f>HYPERLINK("https://map.naver.com/p/search/강내면 태성리 233", "지도Link")</f>
        <v/>
      </c>
      <c r="N148" s="6">
        <f>HYPERLINK("http://www.eum.go.kr/web/ar/lu/luLandDet.jsp?pnu=4311331027102330000&amp;isNoScr=script&amp;mode=search", "토지이음")</f>
        <v/>
      </c>
      <c r="O148" s="3" t="inlineStr">
        <is>
          <t>더원</t>
        </is>
      </c>
      <c r="P148" s="4" t="n">
        <v>1</v>
      </c>
      <c r="Q148" s="4" t="n">
        <v>209096</v>
      </c>
      <c r="R148" s="3" t="inlineStr">
        <is>
          <t>지정되지않음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소로한면</t>
        </is>
      </c>
    </row>
    <row r="149">
      <c r="A149" s="3" t="inlineStr">
        <is>
          <t>강내면 태성리 261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49800</v>
      </c>
      <c r="G149" s="4" t="n">
        <v>1547</v>
      </c>
      <c r="H149" s="4" t="n">
        <v>468</v>
      </c>
      <c r="I149" s="5" t="n">
        <v>106.4</v>
      </c>
      <c r="J149" s="5" t="n">
        <v>29.5</v>
      </c>
      <c r="K149" s="3" t="inlineStr">
        <is>
          <t>계획관리지역, 전468p, 용도변경 가능, 공장,창고 고물상 추천합니다.</t>
        </is>
      </c>
      <c r="L149" s="6">
        <f>HYPERLINK("https://fin.land.naver.com/articles/2646828764", "매물Link")</f>
        <v/>
      </c>
      <c r="M149" s="6">
        <f>HYPERLINK("https://map.naver.com/p/search/강내면 태성리 261", "지도Link")</f>
        <v/>
      </c>
      <c r="N149" s="6">
        <f>HYPERLINK("http://www.eum.go.kr/web/ar/lu/luLandDet.jsp?pnu=4311331027102610000&amp;isNoScr=script&amp;mode=search", "토지이음")</f>
        <v/>
      </c>
      <c r="O149" s="3" t="inlineStr">
        <is>
          <t>지성</t>
        </is>
      </c>
      <c r="P149" s="4" t="n">
        <v>1</v>
      </c>
      <c r="Q149" s="4" t="n">
        <v>1498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태성리 265-6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115000</v>
      </c>
      <c r="G150" s="4" t="n">
        <v>1874</v>
      </c>
      <c r="H150" s="4" t="n">
        <v>567</v>
      </c>
      <c r="I150" s="5" t="n">
        <v>202.8</v>
      </c>
      <c r="J150" s="5" t="n">
        <v>57.9</v>
      </c>
      <c r="K150" s="3" t="inlineStr">
        <is>
          <t>단층주택도 있어요 주택포함된 매매 입니다</t>
        </is>
      </c>
      <c r="L150" s="6">
        <f>HYPERLINK("https://fin.land.naver.com/articles/2646505850", "매물Link")</f>
        <v/>
      </c>
      <c r="M150" s="6">
        <f>HYPERLINK("https://map.naver.com/p/search/강내면 태성리 265-6", "지도Link")</f>
        <v/>
      </c>
      <c r="N150" s="6">
        <f>HYPERLINK("http://www.eum.go.kr/web/ar/lu/luLandDet.jsp?pnu=4311331027102650006&amp;isNoScr=script&amp;mode=search", "토지이음")</f>
        <v/>
      </c>
      <c r="O150" s="3" t="inlineStr">
        <is>
          <t>신화</t>
        </is>
      </c>
      <c r="P150" s="4" t="n">
        <v>1</v>
      </c>
      <c r="Q150" s="4" t="n">
        <v>815</v>
      </c>
      <c r="R150" s="3" t="inlineStr">
        <is>
          <t>지정되지않음</t>
        </is>
      </c>
      <c r="S150" s="3" t="inlineStr">
        <is>
          <t>단독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271-2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100000</v>
      </c>
      <c r="G151" s="4" t="n">
        <v>2085</v>
      </c>
      <c r="H151" s="4" t="n">
        <v>631</v>
      </c>
      <c r="I151" s="5" t="n">
        <v>158.5</v>
      </c>
      <c r="J151" s="5" t="n">
        <v>40.1</v>
      </c>
      <c r="K151" s="3" t="inlineStr">
        <is>
          <t>강내산업단지 맞은편 최고 요지, 공장, 물류센터, 근린생활시설 추천</t>
        </is>
      </c>
      <c r="L151" s="6">
        <f>HYPERLINK("https://fin.land.naver.com/articles/2650412952", "매물Link")</f>
        <v/>
      </c>
      <c r="M151" s="6">
        <f>HYPERLINK("https://map.naver.com/p/search/강내면 태성리 271-2", "지도Link")</f>
        <v/>
      </c>
      <c r="N151" s="6">
        <f>HYPERLINK("http://www.eum.go.kr/web/ar/lu/luLandDet.jsp?pnu=4311331027102710002&amp;isNoScr=script&amp;mode=search", "토지이음")</f>
        <v/>
      </c>
      <c r="O151" s="3" t="inlineStr">
        <is>
          <t>청주모충사모1/2LH트릴로채명성</t>
        </is>
      </c>
      <c r="P151" s="4" t="n">
        <v>2</v>
      </c>
      <c r="Q151" s="4" t="n">
        <v>2085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소로한면</t>
        </is>
      </c>
    </row>
    <row r="152">
      <c r="A152" s="3" t="inlineStr">
        <is>
          <t>강내면 태성리 323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270000</v>
      </c>
      <c r="G152" s="4" t="n">
        <v>4478</v>
      </c>
      <c r="H152" s="4" t="n">
        <v>1355</v>
      </c>
      <c r="I152" s="5" t="n">
        <v>199.3</v>
      </c>
      <c r="J152" s="5" t="n">
        <v>33.9</v>
      </c>
      <c r="K152" s="3" t="inlineStr">
        <is>
          <t>nan</t>
        </is>
      </c>
      <c r="L152" s="6">
        <f>HYPERLINK("https://fin.land.naver.com/articles/2651272503", "매물Link")</f>
        <v/>
      </c>
      <c r="M152" s="6">
        <f>HYPERLINK("https://map.naver.com/p/search/강내면 태성리 323", "지도Link")</f>
        <v/>
      </c>
      <c r="N152" s="6">
        <f>HYPERLINK("http://www.eum.go.kr/web/ar/lu/luLandDet.jsp?pnu=4311331027103230000&amp;isNoScr=script&amp;mode=search", "토지이음")</f>
        <v/>
      </c>
      <c r="O152" s="3" t="inlineStr">
        <is>
          <t>오송퍼스트영웅</t>
        </is>
      </c>
      <c r="P152" s="4" t="n">
        <v>1</v>
      </c>
      <c r="Q152" s="4" t="n">
        <v>4478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407-3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33300</v>
      </c>
      <c r="G153" s="4" t="n">
        <v>1102</v>
      </c>
      <c r="H153" s="4" t="n">
        <v>333</v>
      </c>
      <c r="I153" s="5" t="n">
        <v>100</v>
      </c>
      <c r="J153" s="5" t="n">
        <v>39.1</v>
      </c>
      <c r="K153" s="3" t="inlineStr">
        <is>
          <t>강내면 토지</t>
        </is>
      </c>
      <c r="L153" s="6">
        <f>HYPERLINK("https://fin.land.naver.com/articles/2649592532", "매물Link")</f>
        <v/>
      </c>
      <c r="M153" s="6">
        <f>HYPERLINK("https://map.naver.com/p/search/강내면 태성리 407-3", "지도Link")</f>
        <v/>
      </c>
      <c r="N153" s="6">
        <f>HYPERLINK("http://www.eum.go.kr/web/ar/lu/luLandDet.jsp?pnu=4311331027104070003&amp;isNoScr=script&amp;mode=search", "토지이음")</f>
        <v/>
      </c>
      <c r="O153" s="3" t="inlineStr">
        <is>
          <t>오송채움</t>
        </is>
      </c>
      <c r="P153" s="4" t="n">
        <v>2</v>
      </c>
      <c r="Q153" s="4" t="n">
        <v>1102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세로한면(가)</t>
        </is>
      </c>
    </row>
    <row r="154">
      <c r="A154" s="3" t="inlineStr">
        <is>
          <t>강내면 태성리 410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66000</v>
      </c>
      <c r="G154" s="4" t="n">
        <v>1623</v>
      </c>
      <c r="H154" s="4" t="n">
        <v>491</v>
      </c>
      <c r="I154" s="5" t="n">
        <v>134.4</v>
      </c>
      <c r="J154" s="5" t="n">
        <v>39.1</v>
      </c>
      <c r="K154" s="3" t="inlineStr">
        <is>
          <t>계획관리지역, 성장관리계획구역, 근처는 대지, 옆에 전원주택지</t>
        </is>
      </c>
      <c r="L154" s="6">
        <f>HYPERLINK("https://fin.land.naver.com/articles/2648172349", "매물Link")</f>
        <v/>
      </c>
      <c r="M154" s="6">
        <f>HYPERLINK("https://map.naver.com/p/search/강내면 태성리 410", "지도Link")</f>
        <v/>
      </c>
      <c r="N154" s="6">
        <f>HYPERLINK("http://www.eum.go.kr/web/ar/lu/luLandDet.jsp?pnu=4311331027104100000&amp;isNoScr=script&amp;mode=search", "토지이음")</f>
        <v/>
      </c>
      <c r="O154" s="3" t="inlineStr">
        <is>
          <t>금백</t>
        </is>
      </c>
      <c r="P154" s="4" t="n">
        <v>1</v>
      </c>
      <c r="Q154" s="4" t="n">
        <v>1623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410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66000</v>
      </c>
      <c r="G155" s="4" t="n">
        <v>1623</v>
      </c>
      <c r="H155" s="4" t="n">
        <v>491</v>
      </c>
      <c r="I155" s="5" t="n">
        <v>134.4</v>
      </c>
      <c r="J155" s="5" t="n">
        <v>39.1</v>
      </c>
      <c r="K155" s="3" t="inlineStr">
        <is>
          <t>전망 좋은 전원주택지</t>
        </is>
      </c>
      <c r="L155" s="6">
        <f>HYPERLINK("https://fin.land.naver.com/articles/2649807201", "매물Link")</f>
        <v/>
      </c>
      <c r="M155" s="6">
        <f>HYPERLINK("https://map.naver.com/p/search/강내면 태성리 410", "지도Link")</f>
        <v/>
      </c>
      <c r="N155" s="6">
        <f>HYPERLINK("http://www.eum.go.kr/web/ar/lu/luLandDet.jsp?pnu=4311331027104100000&amp;isNoScr=script&amp;mode=search", "토지이음")</f>
        <v/>
      </c>
      <c r="O155" s="3" t="inlineStr">
        <is>
          <t>초이스</t>
        </is>
      </c>
      <c r="P155" s="4" t="n">
        <v>2</v>
      </c>
      <c r="Q155" s="4" t="n">
        <v>1623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421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85000</v>
      </c>
      <c r="G156" s="4" t="n">
        <v>1871</v>
      </c>
      <c r="H156" s="4" t="n">
        <v>566</v>
      </c>
      <c r="I156" s="5" t="n">
        <v>150.2</v>
      </c>
      <c r="J156" s="5" t="n">
        <v>36.3</v>
      </c>
      <c r="K156" s="3" t="inlineStr">
        <is>
          <t>계획관리지역 내 토지매매</t>
        </is>
      </c>
      <c r="L156" s="6">
        <f>HYPERLINK("https://fin.land.naver.com/articles/2651254455", "매물Link")</f>
        <v/>
      </c>
      <c r="M156" s="6">
        <f>HYPERLINK("https://map.naver.com/p/search/강내면 태성리 421", "지도Link")</f>
        <v/>
      </c>
      <c r="N156" s="6">
        <f>HYPERLINK("http://www.eum.go.kr/web/ar/lu/luLandDet.jsp?pnu=4311331027104210000&amp;isNoScr=script&amp;mode=search", "토지이음")</f>
        <v/>
      </c>
      <c r="O156" s="3" t="inlineStr">
        <is>
          <t>럭키</t>
        </is>
      </c>
      <c r="P156" s="4" t="n">
        <v>1</v>
      </c>
      <c r="Q156" s="4" t="n">
        <v>1871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454</t>
        </is>
      </c>
      <c r="B157" s="3" t="inlineStr">
        <is>
          <t>농림지역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55000</v>
      </c>
      <c r="G157" s="4" t="n">
        <v>3495</v>
      </c>
      <c r="H157" s="4" t="n">
        <v>1057</v>
      </c>
      <c r="I157" s="5" t="n">
        <v>52</v>
      </c>
      <c r="J157" s="5" t="n">
        <v>14.6</v>
      </c>
      <c r="K157" s="3" t="inlineStr">
        <is>
          <t>가로장방형으로 경지정리된 답, 2면 도로 농로접합</t>
        </is>
      </c>
      <c r="L157" s="6">
        <f>HYPERLINK("https://fin.land.naver.com/articles/2649530932", "매물Link")</f>
        <v/>
      </c>
      <c r="M157" s="6">
        <f>HYPERLINK("https://map.naver.com/p/search/강내면 태성리 454", "지도Link")</f>
        <v/>
      </c>
      <c r="N157" s="6">
        <f>HYPERLINK("http://www.eum.go.kr/web/ar/lu/luLandDet.jsp?pnu=4311331027104540000&amp;isNoScr=script&amp;mode=search", "토지이음")</f>
        <v/>
      </c>
      <c r="O157" s="3" t="inlineStr">
        <is>
          <t>행복한마을</t>
        </is>
      </c>
      <c r="P157" s="4" t="n">
        <v>2</v>
      </c>
      <c r="Q157" s="4" t="n">
        <v>3495.7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세로장방</t>
        </is>
      </c>
      <c r="V157" s="3" t="inlineStr">
        <is>
          <t>세로각지(가)</t>
        </is>
      </c>
    </row>
    <row r="158">
      <c r="A158" s="3" t="inlineStr">
        <is>
          <t>강내면 태성리 83-4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32000</v>
      </c>
      <c r="G158" s="4" t="n">
        <v>651</v>
      </c>
      <c r="H158" s="4" t="n">
        <v>197</v>
      </c>
      <c r="I158" s="5" t="n">
        <v>162.4</v>
      </c>
      <c r="J158" s="5" t="n">
        <v>61.2</v>
      </c>
      <c r="K158" s="3" t="inlineStr">
        <is>
          <t>강내 태성리 2차선변</t>
        </is>
      </c>
      <c r="L158" s="6">
        <f>HYPERLINK("https://fin.land.naver.com/articles/2648030859", "매물Link")</f>
        <v/>
      </c>
      <c r="M158" s="6">
        <f>HYPERLINK("https://map.naver.com/p/search/강내면 태성리 83-4", "지도Link")</f>
        <v/>
      </c>
      <c r="N158" s="6">
        <f>HYPERLINK("http://www.eum.go.kr/web/ar/lu/luLandDet.jsp?pnu=4311331027100830004&amp;isNoScr=script&amp;mode=search", "토지이음")</f>
        <v/>
      </c>
      <c r="O158" s="3" t="inlineStr">
        <is>
          <t>둥지</t>
        </is>
      </c>
      <c r="P158" s="4" t="n">
        <v>1</v>
      </c>
      <c r="Q158" s="4" t="n">
        <v>651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83-4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32000</v>
      </c>
      <c r="G159" s="4" t="n">
        <v>651</v>
      </c>
      <c r="H159" s="4" t="n">
        <v>197</v>
      </c>
      <c r="I159" s="5" t="n">
        <v>162.4</v>
      </c>
      <c r="J159" s="5" t="n">
        <v>61.2</v>
      </c>
      <c r="K159" s="3" t="inlineStr">
        <is>
          <t>2차선 코너도로접 상가및 사무실최상</t>
        </is>
      </c>
      <c r="L159" s="6">
        <f>HYPERLINK("https://fin.land.naver.com/articles/2647682635", "매물Link")</f>
        <v/>
      </c>
      <c r="M159" s="6">
        <f>HYPERLINK("https://map.naver.com/p/search/강내면 태성리 83-4", "지도Link")</f>
        <v/>
      </c>
      <c r="N159" s="6">
        <f>HYPERLINK("http://www.eum.go.kr/web/ar/lu/luLandDet.jsp?pnu=4311331027100830004&amp;isNoScr=script&amp;mode=search", "토지이음")</f>
        <v/>
      </c>
      <c r="O159" s="3" t="inlineStr">
        <is>
          <t>플러스태양</t>
        </is>
      </c>
      <c r="P159" s="4" t="n">
        <v>2</v>
      </c>
      <c r="Q159" s="4" t="n">
        <v>651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산29-1</t>
        </is>
      </c>
      <c r="B160" s="3" t="inlineStr">
        <is>
          <t>계획관리지역</t>
        </is>
      </c>
      <c r="C160" s="3" t="inlineStr">
        <is>
          <t>임야</t>
        </is>
      </c>
      <c r="D160" s="3" t="inlineStr">
        <is>
          <t>임야</t>
        </is>
      </c>
      <c r="E160" s="3" t="inlineStr">
        <is>
          <t>매매</t>
        </is>
      </c>
      <c r="F160" s="4" t="n">
        <v>59100</v>
      </c>
      <c r="G160" s="4" t="n">
        <v>1303</v>
      </c>
      <c r="H160" s="4" t="n">
        <v>394</v>
      </c>
      <c r="I160" s="5" t="n">
        <v>150</v>
      </c>
      <c r="J160" s="5" t="n">
        <v>8.5</v>
      </c>
      <c r="K160" s="3" t="inlineStr">
        <is>
          <t>4차선도접 공장허가득 토목완료</t>
        </is>
      </c>
      <c r="L160" s="6">
        <f>HYPERLINK("https://fin.land.naver.com/articles/2649098243", "매물Link")</f>
        <v/>
      </c>
      <c r="M160" s="6">
        <f>HYPERLINK("https://map.naver.com/p/search/강내면 태성리 산29-1", "지도Link")</f>
        <v/>
      </c>
      <c r="N160" s="6">
        <f>HYPERLINK("http://www.eum.go.kr/web/ar/lu/luLandDet.jsp?pnu=4311331027200290001&amp;isNoScr=script&amp;mode=search", "토지이음")</f>
        <v/>
      </c>
      <c r="O160" s="3" t="inlineStr">
        <is>
          <t>플러스태양</t>
        </is>
      </c>
      <c r="P160" s="4" t="n">
        <v>1</v>
      </c>
      <c r="Q160" s="4" t="n">
        <v>1227</v>
      </c>
      <c r="R160" s="3" t="inlineStr">
        <is>
          <t>지정되지않음</t>
        </is>
      </c>
      <c r="S160" s="3" t="inlineStr">
        <is>
          <t>도로등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태성리 산38-22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475000</v>
      </c>
      <c r="G161" s="4" t="n">
        <v>10456</v>
      </c>
      <c r="H161" s="4" t="n">
        <v>3163</v>
      </c>
      <c r="I161" s="5" t="n">
        <v>150.2</v>
      </c>
      <c r="J161" s="5" t="n">
        <v>7</v>
      </c>
      <c r="K161" s="3" t="inlineStr">
        <is>
          <t>2차선도로와 접한 제조업소 허가 득한 토지 계획관리지역, 성장관리구역</t>
        </is>
      </c>
      <c r="L161" s="6">
        <f>HYPERLINK("https://fin.land.naver.com/articles/2647449407", "매물Link")</f>
        <v/>
      </c>
      <c r="M161" s="6">
        <f>HYPERLINK("https://map.naver.com/p/search/강내면 태성리 산38-22", "지도Link")</f>
        <v/>
      </c>
      <c r="N161" s="6">
        <f>HYPERLINK("http://www.eum.go.kr/web/ar/lu/luLandDet.jsp?pnu=4311331027200380022&amp;isNoScr=script&amp;mode=search", "토지이음")</f>
        <v/>
      </c>
      <c r="O161" s="3" t="inlineStr">
        <is>
          <t>태성</t>
        </is>
      </c>
      <c r="P161" s="4" t="n">
        <v>2</v>
      </c>
      <c r="Q161" s="4" t="n">
        <v>5506</v>
      </c>
      <c r="R161" s="3" t="inlineStr">
        <is>
          <t>지정되지않음</t>
        </is>
      </c>
      <c r="S161" s="3" t="inlineStr">
        <is>
          <t>자연림</t>
        </is>
      </c>
      <c r="T161" s="3" t="inlineStr">
        <is>
          <t>완경사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산71-10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463000</v>
      </c>
      <c r="G162" s="4" t="n">
        <v>15333</v>
      </c>
      <c r="H162" s="4" t="n">
        <v>4638</v>
      </c>
      <c r="I162" s="5" t="n">
        <v>99.8</v>
      </c>
      <c r="J162" s="5" t="n">
        <v>4.1</v>
      </c>
      <c r="K162" s="3" t="inlineStr">
        <is>
          <t>강내 하이테크밸리 인근 토목공사완료 공장부지</t>
        </is>
      </c>
      <c r="L162" s="6">
        <f>HYPERLINK("https://fin.land.naver.com/articles/2646669242", "매물Link")</f>
        <v/>
      </c>
      <c r="M162" s="6">
        <f>HYPERLINK("https://map.naver.com/p/search/강내면 태성리 산71-10", "지도Link")</f>
        <v/>
      </c>
      <c r="N162" s="6">
        <f>HYPERLINK("http://www.eum.go.kr/web/ar/lu/luLandDet.jsp?pnu=4311331027200710010&amp;isNoScr=script&amp;mode=search", "토지이음")</f>
        <v/>
      </c>
      <c r="O162" s="3" t="inlineStr">
        <is>
          <t>더원</t>
        </is>
      </c>
      <c r="P162" s="4" t="n">
        <v>1</v>
      </c>
      <c r="Q162" s="4" t="n">
        <v>15333</v>
      </c>
      <c r="R162" s="3" t="inlineStr">
        <is>
          <t>지정되지않음</t>
        </is>
      </c>
      <c r="S162" s="3" t="inlineStr">
        <is>
          <t>자연림</t>
        </is>
      </c>
      <c r="T162" s="3" t="inlineStr">
        <is>
          <t>급경사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198-3</t>
        </is>
      </c>
      <c r="B163" s="3" t="inlineStr">
        <is>
          <t>자연녹지지역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67000</v>
      </c>
      <c r="G163" s="4" t="n">
        <v>2463</v>
      </c>
      <c r="H163" s="4" t="n">
        <v>745</v>
      </c>
      <c r="I163" s="5" t="n">
        <v>89.90000000000001</v>
      </c>
      <c r="J163" s="5" t="n">
        <v>42.4</v>
      </c>
      <c r="K163" s="3" t="inlineStr">
        <is>
          <t>쿠팡물류창고 바로 인접 4M도로접</t>
        </is>
      </c>
      <c r="L163" s="6">
        <f>HYPERLINK("https://fin.land.naver.com/articles/2647677293", "매물Link")</f>
        <v/>
      </c>
      <c r="M163" s="6">
        <f>HYPERLINK("https://map.naver.com/p/search/강내면 학천리 198-3", "지도Link")</f>
        <v/>
      </c>
      <c r="N163" s="6">
        <f>HYPERLINK("http://www.eum.go.kr/web/ar/lu/luLandDet.jsp?pnu=4311331035101980003&amp;isNoScr=script&amp;mode=search", "토지이음")</f>
        <v/>
      </c>
      <c r="O163" s="3" t="inlineStr">
        <is>
          <t>플러스태양</t>
        </is>
      </c>
      <c r="P163" s="4" t="n">
        <v>1</v>
      </c>
      <c r="Q163" s="4" t="n">
        <v>999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세로한면(불)</t>
        </is>
      </c>
    </row>
    <row r="164">
      <c r="A164" s="3" t="inlineStr">
        <is>
          <t>강내면 학천리 220-19</t>
        </is>
      </c>
      <c r="B164" s="3" t="inlineStr">
        <is>
          <t>자연녹지지역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79800</v>
      </c>
      <c r="G164" s="4" t="n">
        <v>800</v>
      </c>
      <c r="H164" s="4" t="n">
        <v>242</v>
      </c>
      <c r="I164" s="5" t="n">
        <v>329.8</v>
      </c>
      <c r="J164" s="5" t="n">
        <v>53.7</v>
      </c>
      <c r="K164" s="3" t="inlineStr">
        <is>
          <t>도로접함, 위치좋고 땅모양 좋음,</t>
        </is>
      </c>
      <c r="L164" s="6">
        <f>HYPERLINK("https://fin.land.naver.com/articles/2649628623", "매물Link")</f>
        <v/>
      </c>
      <c r="M164" s="6">
        <f>HYPERLINK("https://map.naver.com/p/search/강내면 학천리 220-19", "지도Link")</f>
        <v/>
      </c>
      <c r="N164" s="6">
        <f>HYPERLINK("http://www.eum.go.kr/web/ar/lu/luLandDet.jsp?pnu=4311331035102200019&amp;isNoScr=script&amp;mode=search", "토지이음")</f>
        <v/>
      </c>
      <c r="O164" s="3" t="inlineStr">
        <is>
          <t>동남이지</t>
        </is>
      </c>
      <c r="P164" s="4" t="n">
        <v>1</v>
      </c>
      <c r="Q164" s="4" t="n">
        <v>818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세로한면(가)</t>
        </is>
      </c>
    </row>
    <row r="165">
      <c r="A165" s="3" t="inlineStr">
        <is>
          <t>강내면 학천리 305-5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100000</v>
      </c>
      <c r="G165" s="4" t="n">
        <v>3082</v>
      </c>
      <c r="H165" s="4" t="n">
        <v>932</v>
      </c>
      <c r="I165" s="5" t="n">
        <v>107.3</v>
      </c>
      <c r="J165" s="5" t="n">
        <v>36.8</v>
      </c>
      <c r="K165" s="3" t="inlineStr">
        <is>
          <t>흥덕구청 인근, 다목적 체육관 인접, 투자, 공장,창고추천</t>
        </is>
      </c>
      <c r="L165" s="6">
        <f>HYPERLINK("https://fin.land.naver.com/articles/2651058854", "매물Link")</f>
        <v/>
      </c>
      <c r="M165" s="6">
        <f>HYPERLINK("https://map.naver.com/p/search/강내면 학천리 305-5", "지도Link")</f>
        <v/>
      </c>
      <c r="N165" s="6">
        <f>HYPERLINK("http://www.eum.go.kr/web/ar/lu/luLandDet.jsp?pnu=4311331035103050005&amp;isNoScr=script&amp;mode=search", "토지이음")</f>
        <v/>
      </c>
      <c r="O165" s="3" t="inlineStr">
        <is>
          <t>플러스자이합동</t>
        </is>
      </c>
      <c r="P165" s="4" t="n">
        <v>1</v>
      </c>
      <c r="Q165" s="4" t="n">
        <v>3082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세로한면(가)</t>
        </is>
      </c>
    </row>
    <row r="166">
      <c r="A166" s="3" t="inlineStr">
        <is>
          <t>강내면 학천리 307-1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227000</v>
      </c>
      <c r="G166" s="4" t="n">
        <v>2686</v>
      </c>
      <c r="H166" s="4" t="n">
        <v>813</v>
      </c>
      <c r="I166" s="5" t="n">
        <v>279.2</v>
      </c>
      <c r="J166" s="5" t="n">
        <v>35</v>
      </c>
      <c r="K166" s="3" t="inlineStr">
        <is>
          <t>4차선 대로변 연접, 진입로 有, 경부고속도로 노출효과 뛰어남, 구청인근</t>
        </is>
      </c>
      <c r="L166" s="6">
        <f>HYPERLINK("https://fin.land.naver.com/articles/2647695367", "매물Link")</f>
        <v/>
      </c>
      <c r="M166" s="6">
        <f>HYPERLINK("https://map.naver.com/p/search/강내면 학천리 307-1", "지도Link")</f>
        <v/>
      </c>
      <c r="N166" s="6">
        <f>HYPERLINK("http://www.eum.go.kr/web/ar/lu/luLandDet.jsp?pnu=4311331035103070001&amp;isNoScr=script&amp;mode=search", "토지이음")</f>
        <v/>
      </c>
      <c r="O166" s="3" t="inlineStr">
        <is>
          <t>제이</t>
        </is>
      </c>
      <c r="P166" s="4" t="n">
        <v>2</v>
      </c>
      <c r="Q166" s="4" t="n">
        <v>2686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308-11</t>
        </is>
      </c>
      <c r="B167" s="3" t="inlineStr">
        <is>
          <t>자연녹지지역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1140000</v>
      </c>
      <c r="G167" s="4" t="n">
        <v>15078</v>
      </c>
      <c r="H167" s="4" t="n">
        <v>4561</v>
      </c>
      <c r="I167" s="5" t="n">
        <v>249.9</v>
      </c>
      <c r="J167" s="5" t="n">
        <v>17.1</v>
      </c>
      <c r="K167" s="3" t="inlineStr">
        <is>
          <t>4차선 도로접 흥덕구청부근 물류창고추천</t>
        </is>
      </c>
      <c r="L167" s="6">
        <f>HYPERLINK("https://fin.land.naver.com/articles/2650429056", "매물Link")</f>
        <v/>
      </c>
      <c r="M167" s="6">
        <f>HYPERLINK("https://map.naver.com/p/search/강내면 학천리 308-11", "지도Link")</f>
        <v/>
      </c>
      <c r="N167" s="6">
        <f>HYPERLINK("http://www.eum.go.kr/web/ar/lu/luLandDet.jsp?pnu=4311331035103080011&amp;isNoScr=script&amp;mode=search",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13967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335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210000</v>
      </c>
      <c r="G168" s="4" t="n">
        <v>3421</v>
      </c>
      <c r="H168" s="4" t="n">
        <v>1035</v>
      </c>
      <c r="I168" s="5" t="n">
        <v>202.9</v>
      </c>
      <c r="J168" s="5" t="n">
        <v>35.6</v>
      </c>
      <c r="K168" s="3" t="inlineStr">
        <is>
          <t>흥덕구청 뒷편으로 추후 상가나 주택용지로 적합한 토지</t>
        </is>
      </c>
      <c r="L168" s="6">
        <f>HYPERLINK("https://fin.land.naver.com/articles/2648141981", "매물Link")</f>
        <v/>
      </c>
      <c r="M168" s="6">
        <f>HYPERLINK("https://map.naver.com/p/search/강내면 학천리 335", "지도Link")</f>
        <v/>
      </c>
      <c r="N168" s="6">
        <f>HYPERLINK("http://www.eum.go.kr/web/ar/lu/luLandDet.jsp?pnu=4311331035103350000&amp;isNoScr=script&amp;mode=search", "토지이음")</f>
        <v/>
      </c>
      <c r="O168" s="3" t="inlineStr">
        <is>
          <t>G세계로무소</t>
        </is>
      </c>
      <c r="P168" s="4" t="n">
        <v>1</v>
      </c>
      <c r="Q168" s="4" t="n">
        <v>3421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세로한면(가)</t>
        </is>
      </c>
    </row>
    <row r="169">
      <c r="A169" s="3" t="inlineStr">
        <is>
          <t>강내면 학천리 380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74000</v>
      </c>
      <c r="G169" s="4" t="n">
        <v>2040</v>
      </c>
      <c r="H169" s="4" t="n">
        <v>617</v>
      </c>
      <c r="I169" s="5" t="n">
        <v>119.9</v>
      </c>
      <c r="J169" s="5" t="n">
        <v>16.9</v>
      </c>
      <c r="K169" s="3" t="inlineStr">
        <is>
          <t>흥덕구청 뒷편 체육관예정지 인근 저수지 앞 1종근생 허가 득한 토지</t>
        </is>
      </c>
      <c r="L169" s="6">
        <f>HYPERLINK("https://fin.land.naver.com/articles/2650898101", "매물Link")</f>
        <v/>
      </c>
      <c r="M169" s="6">
        <f>HYPERLINK("https://map.naver.com/p/search/강내면 학천리 380", "지도Link")</f>
        <v/>
      </c>
      <c r="N169" s="6">
        <f>HYPERLINK("http://www.eum.go.kr/web/ar/lu/luLandDet.jsp?pnu=4311331035103800000&amp;isNoScr=script&amp;mode=search", "토지이음")</f>
        <v/>
      </c>
      <c r="O169" s="3" t="inlineStr">
        <is>
          <t>태성</t>
        </is>
      </c>
      <c r="P169" s="4" t="n">
        <v>2</v>
      </c>
      <c r="Q169" s="4" t="n">
        <v>2040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385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대</t>
        </is>
      </c>
      <c r="E170" s="3" t="inlineStr">
        <is>
          <t>매매</t>
        </is>
      </c>
      <c r="F170" s="4" t="n">
        <v>30078</v>
      </c>
      <c r="G170" s="4" t="n">
        <v>1418</v>
      </c>
      <c r="H170" s="4" t="n">
        <v>429</v>
      </c>
      <c r="I170" s="5" t="n">
        <v>70.09999999999999</v>
      </c>
      <c r="J170" s="5" t="n">
        <v>15.2</v>
      </c>
      <c r="K170" s="3" t="inlineStr">
        <is>
          <t>투자목적으로 추천 드림</t>
        </is>
      </c>
      <c r="L170" s="6">
        <f>HYPERLINK("https://fin.land.naver.com/articles/2647465865", "매물Link")</f>
        <v/>
      </c>
      <c r="M170" s="6">
        <f>HYPERLINK("https://map.naver.com/p/search/강내면 학천리 385", "지도Link")</f>
        <v/>
      </c>
      <c r="N170" s="6">
        <f>HYPERLINK("http://www.eum.go.kr/web/ar/lu/luLandDet.jsp?pnu=4311331035103850000&amp;isNoScr=script&amp;mode=search", "토지이음")</f>
        <v/>
      </c>
      <c r="O170" s="3" t="inlineStr">
        <is>
          <t>제이</t>
        </is>
      </c>
      <c r="P170" s="4" t="n">
        <v>1</v>
      </c>
      <c r="Q170" s="4" t="n">
        <v>1418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42-1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전</t>
        </is>
      </c>
      <c r="E171" s="3" t="inlineStr">
        <is>
          <t>매매</t>
        </is>
      </c>
      <c r="F171" s="4" t="n">
        <v>20000</v>
      </c>
      <c r="G171" s="4" t="n">
        <v>331</v>
      </c>
      <c r="H171" s="4" t="n">
        <v>100</v>
      </c>
      <c r="I171" s="5" t="n">
        <v>200</v>
      </c>
      <c r="J171" s="5" t="n">
        <v>57.8</v>
      </c>
      <c r="K171" s="3" t="inlineStr">
        <is>
          <t>학천리에위치 6m도로에접한 자연녹지 취락지구내의 토지로 땅모양좋음</t>
        </is>
      </c>
      <c r="L171" s="6">
        <f>HYPERLINK("https://fin.land.naver.com/articles/2646184841", "매물Link")</f>
        <v/>
      </c>
      <c r="M171" s="6">
        <f>HYPERLINK("https://map.naver.com/p/search/강내면 학천리 42-1", "지도Link")</f>
        <v/>
      </c>
      <c r="N171" s="6">
        <f>HYPERLINK("http://www.eum.go.kr/web/ar/lu/luLandDet.jsp?pnu=4311331035100420001&amp;isNoScr=script&amp;mode=search", "토지이음")</f>
        <v/>
      </c>
      <c r="O171" s="3" t="inlineStr">
        <is>
          <t>두원</t>
        </is>
      </c>
      <c r="P171" s="4" t="n">
        <v>1</v>
      </c>
      <c r="Q171" s="4" t="n">
        <v>129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세로한면(가)</t>
        </is>
      </c>
    </row>
    <row r="172">
      <c r="A172" s="3" t="inlineStr">
        <is>
          <t>강내면 학천리 47-7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답</t>
        </is>
      </c>
      <c r="E172" s="3" t="inlineStr">
        <is>
          <t>매매</t>
        </is>
      </c>
      <c r="F172" s="4" t="n">
        <v>140000</v>
      </c>
      <c r="G172" s="4" t="n">
        <v>3406</v>
      </c>
      <c r="H172" s="4" t="n">
        <v>1030</v>
      </c>
      <c r="I172" s="5" t="n">
        <v>135.9</v>
      </c>
      <c r="J172" s="5" t="n">
        <v>62.9</v>
      </c>
      <c r="K172" s="3" t="inlineStr">
        <is>
          <t>자연취락지구로 활용도 높은 땅</t>
        </is>
      </c>
      <c r="L172" s="6">
        <f>HYPERLINK("https://fin.land.naver.com/articles/2646953781", "매물Link")</f>
        <v/>
      </c>
      <c r="M172" s="6">
        <f>HYPERLINK("https://map.naver.com/p/search/강내면 학천리 47-7", "지도Link")</f>
        <v/>
      </c>
      <c r="N172" s="6">
        <f>HYPERLINK("http://www.eum.go.kr/web/ar/lu/luLandDet.jsp?pnu=4311331035100470007&amp;isNoScr=script&amp;mode=search", "토지이음")</f>
        <v/>
      </c>
      <c r="O172" s="3" t="inlineStr">
        <is>
          <t>하나로</t>
        </is>
      </c>
      <c r="P172" s="4" t="n">
        <v>1</v>
      </c>
      <c r="Q172" s="4" t="n">
        <v>112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490-2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42000</v>
      </c>
      <c r="G173" s="4" t="n">
        <v>3511</v>
      </c>
      <c r="H173" s="4" t="n">
        <v>1062</v>
      </c>
      <c r="I173" s="5" t="n">
        <v>39.5</v>
      </c>
      <c r="J173" s="5" t="n">
        <v>21.6</v>
      </c>
      <c r="K173" s="3" t="inlineStr">
        <is>
          <t>nan</t>
        </is>
      </c>
      <c r="L173" s="6">
        <f>HYPERLINK("https://fin.land.naver.com/articles/2651427299", "매물Link")</f>
        <v/>
      </c>
      <c r="M173" s="6">
        <f>HYPERLINK("https://map.naver.com/p/search/강내면 학천리 490-2", "지도Link")</f>
        <v/>
      </c>
      <c r="N173" s="6">
        <f>HYPERLINK("http://www.eum.go.kr/web/ar/lu/luLandDet.jsp?pnu=4311331035104900002&amp;isNoScr=script&amp;mode=search", "토지이음")</f>
        <v/>
      </c>
      <c r="O173" s="3" t="inlineStr">
        <is>
          <t>보석</t>
        </is>
      </c>
      <c r="P173" s="4" t="n">
        <v>1</v>
      </c>
      <c r="Q173" s="4" t="n">
        <v>3511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소로한면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도시지역 근교위치한 토지.접근성편리.농사. 대토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500-1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53000</v>
      </c>
      <c r="G175" s="4" t="n">
        <v>2187</v>
      </c>
      <c r="H175" s="4" t="n">
        <v>662</v>
      </c>
      <c r="I175" s="5" t="n">
        <v>80.09999999999999</v>
      </c>
      <c r="J175" s="5" t="n">
        <v>20.7</v>
      </c>
      <c r="K175" s="3" t="inlineStr">
        <is>
          <t>4차선 도로와 연접함, 생산녹지, 진흥구역</t>
        </is>
      </c>
      <c r="L175" s="6">
        <f>HYPERLINK("https://fin.land.naver.com/articles/2646656153", "매물Link")</f>
        <v/>
      </c>
      <c r="M175" s="6">
        <f>HYPERLINK("https://map.naver.com/p/search/강내면 학천리 500-1", "지도Link")</f>
        <v/>
      </c>
      <c r="N175" s="6">
        <f>HYPERLINK("http://www.eum.go.kr/web/ar/lu/luLandDet.jsp?pnu=4311331035105000001&amp;isNoScr=script&amp;mode=search",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978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사다리형</t>
        </is>
      </c>
      <c r="V175" s="3" t="inlineStr">
        <is>
          <t>소로한면</t>
        </is>
      </c>
    </row>
    <row r="176">
      <c r="A176" s="3" t="inlineStr">
        <is>
          <t>강내면 학천리 538-1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38800</v>
      </c>
      <c r="G176" s="4" t="n">
        <v>2422</v>
      </c>
      <c r="H176" s="4" t="n">
        <v>733</v>
      </c>
      <c r="I176" s="5" t="n">
        <v>52.9</v>
      </c>
      <c r="J176" s="5" t="n">
        <v>20.6</v>
      </c>
      <c r="K176" s="3" t="inlineStr">
        <is>
          <t>도로접 생산녹지 잠사박물관인근 농업진흥구역 대토좋음</t>
        </is>
      </c>
      <c r="L176" s="6">
        <f>HYPERLINK("https://fin.land.naver.com/articles/2651224488", "매물Link")</f>
        <v/>
      </c>
      <c r="M176" s="6">
        <f>HYPERLINK("https://map.naver.com/p/search/강내면 학천리 538-1", "지도Link")</f>
        <v/>
      </c>
      <c r="N176" s="6">
        <f>HYPERLINK("http://www.eum.go.kr/web/ar/lu/luLandDet.jsp?pnu=4311331035105380001&amp;isNoScr=script&amp;mode=search", "토지이음")</f>
        <v/>
      </c>
      <c r="O176" s="3" t="inlineStr">
        <is>
          <t>명장</t>
        </is>
      </c>
      <c r="P176" s="4" t="n">
        <v>2</v>
      </c>
      <c r="Q176" s="4" t="n">
        <v>2422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소로각지</t>
        </is>
      </c>
    </row>
    <row r="177">
      <c r="A177" s="3" t="inlineStr">
        <is>
          <t>강내면 학천리 549-1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86000</v>
      </c>
      <c r="G177" s="4" t="n">
        <v>5670</v>
      </c>
      <c r="H177" s="4" t="n">
        <v>1715</v>
      </c>
      <c r="I177" s="5" t="n">
        <v>50.1</v>
      </c>
      <c r="J177" s="5" t="n">
        <v>17.2</v>
      </c>
      <c r="K177" s="3" t="inlineStr">
        <is>
          <t>생산녹지지역</t>
        </is>
      </c>
      <c r="L177" s="6">
        <f>HYPERLINK("https://fin.land.naver.com/articles/2647427471", "매물Link")</f>
        <v/>
      </c>
      <c r="M177" s="6">
        <f>HYPERLINK("https://map.naver.com/p/search/강내면 학천리 549-1", "지도Link")</f>
        <v/>
      </c>
      <c r="N177" s="6">
        <f>HYPERLINK("http://www.eum.go.kr/web/ar/lu/luLandDet.jsp?pnu=4311331035105490001&amp;isNoScr=script&amp;mode=search", "토지이음")</f>
        <v/>
      </c>
      <c r="O177" s="3" t="inlineStr">
        <is>
          <t>수풀림</t>
        </is>
      </c>
      <c r="P177" s="4" t="n">
        <v>1</v>
      </c>
      <c r="Q177" s="4" t="n">
        <v>1884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세로한면(가)</t>
        </is>
      </c>
    </row>
    <row r="178">
      <c r="A178" s="3" t="inlineStr">
        <is>
          <t>강내면 학천리 565-1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25662</v>
      </c>
      <c r="G178" s="4" t="n">
        <v>1805</v>
      </c>
      <c r="H178" s="4" t="n">
        <v>546</v>
      </c>
      <c r="I178" s="5" t="n">
        <v>47</v>
      </c>
      <c r="J178" s="5" t="n">
        <v>16.1</v>
      </c>
      <c r="K178" s="3" t="inlineStr">
        <is>
          <t>nan</t>
        </is>
      </c>
      <c r="L178" s="6">
        <f>HYPERLINK("https://fin.land.naver.com/articles/2649943022", "매물Link")</f>
        <v/>
      </c>
      <c r="M178" s="6">
        <f>HYPERLINK("https://map.naver.com/p/search/강내면 학천리 565-1", "지도Link")</f>
        <v/>
      </c>
      <c r="N178" s="6">
        <f>HYPERLINK("http://www.eum.go.kr/web/ar/lu/luLandDet.jsp?pnu=4311331035105650001&amp;isNoScr=script&amp;mode=search", "토지이음")</f>
        <v/>
      </c>
      <c r="O178" s="3" t="inlineStr">
        <is>
          <t>달인무소</t>
        </is>
      </c>
      <c r="P178" s="4" t="n">
        <v>1</v>
      </c>
      <c r="Q178" s="4" t="n">
        <v>1369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학천리 90-3</t>
        </is>
      </c>
      <c r="B179" s="3" t="inlineStr">
        <is>
          <t>자연녹지지역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134000</v>
      </c>
      <c r="G179" s="4" t="n">
        <v>1923</v>
      </c>
      <c r="H179" s="4" t="n">
        <v>582</v>
      </c>
      <c r="I179" s="5" t="n">
        <v>230.2</v>
      </c>
      <c r="J179" s="5" t="n">
        <v>59.9</v>
      </c>
      <c r="K179" s="3" t="inlineStr">
        <is>
          <t>청주역부근 4차선 대도로접 매장 공장추천 시세이하</t>
        </is>
      </c>
      <c r="L179" s="6">
        <f>HYPERLINK("https://fin.land.naver.com/articles/2646867064", "매물Link")</f>
        <v/>
      </c>
      <c r="M179" s="6">
        <f>HYPERLINK("https://map.naver.com/p/search/강내면 학천리 90-3", "지도Link")</f>
        <v/>
      </c>
      <c r="N179" s="6">
        <f>HYPERLINK("http://www.eum.go.kr/web/ar/lu/luLandDet.jsp?pnu=4311331035100900003&amp;isNoScr=script&amp;mode=search", "토지이음")</f>
        <v/>
      </c>
      <c r="O179" s="3" t="inlineStr">
        <is>
          <t>플러스태양</t>
        </is>
      </c>
      <c r="P179" s="4" t="n">
        <v>1</v>
      </c>
      <c r="Q179" s="4" t="n">
        <v>1923</v>
      </c>
      <c r="R179" s="3" t="inlineStr">
        <is>
          <t>지정되지않음</t>
        </is>
      </c>
      <c r="S179" s="3" t="inlineStr">
        <is>
          <t>전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중로한면</t>
        </is>
      </c>
    </row>
    <row r="180">
      <c r="A180" s="3" t="inlineStr">
        <is>
          <t>강내면 황탄리 192</t>
        </is>
      </c>
      <c r="B180" s="3" t="inlineStr">
        <is>
          <t>보전관리지역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10200</v>
      </c>
      <c r="G180" s="4" t="n">
        <v>1402</v>
      </c>
      <c r="H180" s="4" t="n">
        <v>424</v>
      </c>
      <c r="I180" s="5" t="n">
        <v>24.1</v>
      </c>
      <c r="J180" s="5" t="n">
        <v>16.8</v>
      </c>
      <c r="K180" s="3" t="inlineStr">
        <is>
          <t>황탄리 보전관리지역 밭이지만 논으로 사용중, 농업경영체 등록 가능</t>
        </is>
      </c>
      <c r="L180" s="6">
        <f>HYPERLINK("https://fin.land.naver.com/articles/2647156702", "매물Link")</f>
        <v/>
      </c>
      <c r="M180" s="6">
        <f>HYPERLINK("https://map.naver.com/p/search/강내면 황탄리 192", "지도Link")</f>
        <v/>
      </c>
      <c r="N180" s="6">
        <f>HYPERLINK("http://www.eum.go.kr/web/ar/lu/luLandDet.jsp?pnu=4311331029101920000&amp;isNoScr=script&amp;mode=search", "토지이음")</f>
        <v/>
      </c>
      <c r="O180" s="3" t="inlineStr">
        <is>
          <t>지성</t>
        </is>
      </c>
      <c r="P180" s="4" t="n">
        <v>1</v>
      </c>
      <c r="Q180" s="4" t="n">
        <v>1402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강내면 황탄리 471</t>
        </is>
      </c>
      <c r="B181" s="3" t="inlineStr">
        <is>
          <t>농림지역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36000</v>
      </c>
      <c r="G181" s="4" t="n">
        <v>3698</v>
      </c>
      <c r="H181" s="4" t="n">
        <v>1119</v>
      </c>
      <c r="I181" s="5" t="n">
        <v>32.2</v>
      </c>
      <c r="J181" s="5" t="n">
        <v>15</v>
      </c>
      <c r="K181" s="3" t="inlineStr">
        <is>
          <t>체류형쉼터,스마트팜시설.</t>
        </is>
      </c>
      <c r="L181" s="6">
        <f>HYPERLINK("https://fin.land.naver.com/articles/2647565263", "매물Link")</f>
        <v/>
      </c>
      <c r="M181" s="6">
        <f>HYPERLINK("https://map.naver.com/p/search/강내면 황탄리 471", "지도Link")</f>
        <v/>
      </c>
      <c r="N181" s="6">
        <f>HYPERLINK("http://www.eum.go.kr/web/ar/lu/luLandDet.jsp?pnu=4311331029104710000&amp;isNoScr=script&amp;mode=search", "토지이음")</f>
        <v/>
      </c>
      <c r="O181" s="3" t="inlineStr">
        <is>
          <t>햇빛</t>
        </is>
      </c>
      <c r="P181" s="4" t="n">
        <v>1</v>
      </c>
      <c r="Q181" s="4" t="n">
        <v>3698.1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황탄리 64</t>
        </is>
      </c>
      <c r="B182" s="3" t="inlineStr">
        <is>
          <t>계획관리지역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43200</v>
      </c>
      <c r="G182" s="4" t="n">
        <v>1298</v>
      </c>
      <c r="H182" s="4" t="n">
        <v>393</v>
      </c>
      <c r="I182" s="5" t="n">
        <v>109.9</v>
      </c>
      <c r="J182" s="5" t="n">
        <v>29.5</v>
      </c>
      <c r="K182" s="3" t="inlineStr">
        <is>
          <t>2차선도로접 잘생긴 토지 공장 투자추천</t>
        </is>
      </c>
      <c r="L182" s="6">
        <f>HYPERLINK("https://fin.land.naver.com/articles/2650439817", "매물Link")</f>
        <v/>
      </c>
      <c r="M182" s="6">
        <f>HYPERLINK("https://map.naver.com/p/search/강내면 황탄리 64", "지도Link")</f>
        <v/>
      </c>
      <c r="N182" s="6">
        <f>HYPERLINK("http://www.eum.go.kr/web/ar/lu/luLandDet.jsp?pnu=4311331029100640000&amp;isNoScr=script&amp;mode=search",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1298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완경사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황탄리 95-2</t>
        </is>
      </c>
      <c r="B183" s="3" t="inlineStr">
        <is>
          <t>보전관리지역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70000</v>
      </c>
      <c r="G183" s="4" t="n">
        <v>7857</v>
      </c>
      <c r="H183" s="4" t="n">
        <v>2377</v>
      </c>
      <c r="I183" s="5" t="n">
        <v>29.4</v>
      </c>
      <c r="J183" s="5" t="n">
        <v>14.9</v>
      </c>
      <c r="K183" s="3" t="inlineStr">
        <is>
          <t>전원주택단지 개발 ,태양광부지로 적합</t>
        </is>
      </c>
      <c r="L183" s="6">
        <f>HYPERLINK("https://fin.land.naver.com/articles/2648527754", "매물Link")</f>
        <v/>
      </c>
      <c r="M183" s="6">
        <f>HYPERLINK("https://map.naver.com/p/search/강내면 황탄리 95-2", "지도Link")</f>
        <v/>
      </c>
      <c r="N183" s="6">
        <f>HYPERLINK("http://www.eum.go.kr/web/ar/lu/luLandDet.jsp?pnu=4311331029100950002&amp;isNoScr=script&amp;mode=search", "토지이음")</f>
        <v/>
      </c>
      <c r="O183" s="3" t="inlineStr">
        <is>
          <t>산들</t>
        </is>
      </c>
      <c r="P183" s="4" t="n">
        <v>1</v>
      </c>
      <c r="Q183" s="4" t="n">
        <v>2007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완경사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고운동 1010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67000</v>
      </c>
      <c r="G184" s="4" t="n">
        <v>319</v>
      </c>
      <c r="H184" s="4" t="n">
        <v>96</v>
      </c>
      <c r="I184" s="5" t="n">
        <v>697.9</v>
      </c>
      <c r="J184" s="5" t="n">
        <v>358.7</v>
      </c>
      <c r="K184" s="3" t="inlineStr">
        <is>
          <t>학교와 근린생활 근처에 위치하고 3면 각지에 접해있어서 상권이 좋은 대지</t>
        </is>
      </c>
      <c r="L184" s="6">
        <f>HYPERLINK("https://fin.land.naver.com/articles/2649287514", "매물Link")</f>
        <v/>
      </c>
      <c r="M184" s="6">
        <f>HYPERLINK("https://map.naver.com/p/search/고운동 1010", "지도Link")</f>
        <v/>
      </c>
      <c r="N184" s="6">
        <f>HYPERLINK("http://www.eum.go.kr/web/ar/lu/luLandDet.jsp?pnu=3611011200110100000&amp;isNoScr=script&amp;mode=search", "토지이음")</f>
        <v/>
      </c>
      <c r="O184" s="3" t="inlineStr">
        <is>
          <t>송림탑</t>
        </is>
      </c>
      <c r="P184" s="4" t="n">
        <v>1</v>
      </c>
      <c r="Q184" s="4" t="n">
        <v>319.8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정방형</t>
        </is>
      </c>
      <c r="V184" s="3" t="inlineStr">
        <is>
          <t>중로각지</t>
        </is>
      </c>
    </row>
    <row r="185">
      <c r="A185" s="3" t="inlineStr">
        <is>
          <t>고운동 1010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67000</v>
      </c>
      <c r="G185" s="4" t="n">
        <v>319</v>
      </c>
      <c r="H185" s="4" t="n">
        <v>96</v>
      </c>
      <c r="I185" s="5" t="n">
        <v>697.9</v>
      </c>
      <c r="J185" s="5" t="n">
        <v>358.7</v>
      </c>
      <c r="K185" s="3" t="inlineStr">
        <is>
          <t>총 96.9p, 길가 코너자리, 정남향</t>
        </is>
      </c>
      <c r="L185" s="6">
        <f>HYPERLINK("https://fin.land.naver.com/articles/2648182149", "매물Link")</f>
        <v/>
      </c>
      <c r="M185" s="6">
        <f>HYPERLINK("https://map.naver.com/p/search/고운동 1010", "지도Link")</f>
        <v/>
      </c>
      <c r="N185" s="6">
        <f>HYPERLINK("http://www.eum.go.kr/web/ar/lu/luLandDet.jsp?pnu=3611011200110100000&amp;isNoScr=script&amp;mode=search", "토지이음")</f>
        <v/>
      </c>
      <c r="O185" s="3" t="inlineStr">
        <is>
          <t>명진</t>
        </is>
      </c>
      <c r="P185" s="4" t="n">
        <v>1</v>
      </c>
      <c r="Q185" s="4" t="n">
        <v>319.8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정방형</t>
        </is>
      </c>
      <c r="V185" s="3" t="inlineStr">
        <is>
          <t>중로각지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319</v>
      </c>
      <c r="H186" s="4" t="n">
        <v>96</v>
      </c>
      <c r="I186" s="5" t="n">
        <v>697.9</v>
      </c>
      <c r="J186" s="5" t="n">
        <v>358.7</v>
      </c>
      <c r="K186" s="3" t="inlineStr">
        <is>
          <t>총 96.9p, 상가인근 토지</t>
        </is>
      </c>
      <c r="L186" s="6">
        <f>HYPERLINK("https://fin.land.naver.com/articles/2648840106", "매물Link")</f>
        <v/>
      </c>
      <c r="M186" s="6">
        <f>HYPERLINK("https://map.naver.com/p/search/고운동 1010", "지도Link")</f>
        <v/>
      </c>
      <c r="N186" s="6">
        <f>HYPERLINK("http://www.eum.go.kr/web/ar/lu/luLandDet.jsp?pnu=3611011200110100000&amp;isNoScr=script&amp;mode=search", "토지이음")</f>
        <v/>
      </c>
      <c r="O186" s="3" t="inlineStr">
        <is>
          <t>세종무지개</t>
        </is>
      </c>
      <c r="P186" s="4" t="n">
        <v>1</v>
      </c>
      <c r="Q186" s="4" t="n">
        <v>319.8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1031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70000</v>
      </c>
      <c r="G187" s="4" t="n">
        <v>388</v>
      </c>
      <c r="H187" s="4" t="n">
        <v>117</v>
      </c>
      <c r="I187" s="5" t="n">
        <v>598.3</v>
      </c>
      <c r="J187" s="5" t="n">
        <v>317.5</v>
      </c>
      <c r="K187" s="3" t="inlineStr">
        <is>
          <t>공원앞 단독택지 고운동학교 상권 이용편리</t>
        </is>
      </c>
      <c r="L187" s="6">
        <f>HYPERLINK("https://fin.land.naver.com/articles/2651030353", "매물Link")</f>
        <v/>
      </c>
      <c r="M187" s="6">
        <f>HYPERLINK("https://map.naver.com/p/search/고운동 1031", "지도Link")</f>
        <v/>
      </c>
      <c r="N187" s="6">
        <f>HYPERLINK("http://www.eum.go.kr/web/ar/lu/luLandDet.jsp?pnu=3611011200110310000&amp;isNoScr=script&amp;mode=search", "토지이음")</f>
        <v/>
      </c>
      <c r="O187" s="3" t="inlineStr">
        <is>
          <t>고운동리치세종</t>
        </is>
      </c>
      <c r="P187" s="4" t="n">
        <v>2</v>
      </c>
      <c r="Q187" s="4" t="n">
        <v>388.8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1031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70000</v>
      </c>
      <c r="G188" s="4" t="n">
        <v>388</v>
      </c>
      <c r="H188" s="4" t="n">
        <v>117</v>
      </c>
      <c r="I188" s="5" t="n">
        <v>598.3</v>
      </c>
      <c r="J188" s="5" t="n">
        <v>317.5</v>
      </c>
      <c r="K188" s="3" t="inlineStr">
        <is>
          <t>nan</t>
        </is>
      </c>
      <c r="L188" s="6">
        <f>HYPERLINK("https://fin.land.naver.com/articles/2651032769", "매물Link")</f>
        <v/>
      </c>
      <c r="M188" s="6">
        <f>HYPERLINK("https://map.naver.com/p/search/고운동 1031", "지도Link")</f>
        <v/>
      </c>
      <c r="N188" s="6">
        <f>HYPERLINK("http://www.eum.go.kr/web/ar/lu/luLandDet.jsp?pnu=3611011200110310000&amp;isNoScr=script&amp;mode=search", "토지이음")</f>
        <v/>
      </c>
      <c r="O188" s="3" t="inlineStr">
        <is>
          <t>디아트성심</t>
        </is>
      </c>
      <c r="P188" s="4" t="n">
        <v>1</v>
      </c>
      <c r="Q188" s="4" t="n">
        <v>388.8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50000</v>
      </c>
      <c r="G189" s="4" t="n">
        <v>347</v>
      </c>
      <c r="H189" s="4" t="n">
        <v>105</v>
      </c>
      <c r="I189" s="5" t="n">
        <v>476.2</v>
      </c>
      <c r="J189" s="5" t="n">
        <v>317.5</v>
      </c>
      <c r="K189" s="3" t="inlineStr">
        <is>
          <t>초급매, 학군, 중심상권 생활권 편리한 위치,어린이공원앞 택지</t>
        </is>
      </c>
      <c r="L189" s="6">
        <f>HYPERLINK("https://fin.land.naver.com/articles/2647929897", "매물Link")</f>
        <v/>
      </c>
      <c r="M189" s="6">
        <f>HYPERLINK("https://map.naver.com/p/search/고운동 1050", "지도Link")</f>
        <v/>
      </c>
      <c r="N189" s="6">
        <f>HYPERLINK("http://www.eum.go.kr/web/ar/lu/luLandDet.jsp?pnu=3611011200110500000&amp;isNoScr=script&amp;mode=search", "토지이음")</f>
        <v/>
      </c>
      <c r="O189" s="3" t="inlineStr">
        <is>
          <t>고운맘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52000</v>
      </c>
      <c r="G190" s="4" t="n">
        <v>347</v>
      </c>
      <c r="H190" s="4" t="n">
        <v>105</v>
      </c>
      <c r="I190" s="5" t="n">
        <v>495.2</v>
      </c>
      <c r="J190" s="5" t="n">
        <v>317.5</v>
      </c>
      <c r="K190" s="3" t="inlineStr">
        <is>
          <t>급매 I 넓은 공원옆 I 생활권이용편리 I 조율가능</t>
        </is>
      </c>
      <c r="L190" s="6">
        <f>HYPERLINK("https://fin.land.naver.com/articles/2651301509", "매물Link")</f>
        <v/>
      </c>
      <c r="M190" s="6">
        <f>HYPERLINK("https://map.naver.com/p/search/고운동 1051", "지도Link")</f>
        <v/>
      </c>
      <c r="N190" s="6">
        <f>HYPERLINK("http://www.eum.go.kr/web/ar/lu/luLandDet.jsp?pnu=3611011200110510000&amp;isNoScr=script&amp;mode=search", "토지이음")</f>
        <v/>
      </c>
      <c r="O190" s="3" t="inlineStr">
        <is>
          <t>힐스테이트으뜸원</t>
        </is>
      </c>
      <c r="P190" s="4" t="n">
        <v>1</v>
      </c>
      <c r="Q190" s="4" t="n">
        <v>347.6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1053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57000</v>
      </c>
      <c r="G191" s="4" t="n">
        <v>347</v>
      </c>
      <c r="H191" s="4" t="n">
        <v>105</v>
      </c>
      <c r="I191" s="5" t="n">
        <v>542.9</v>
      </c>
      <c r="J191" s="5" t="n">
        <v>333.2</v>
      </c>
      <c r="K191" s="3" t="inlineStr">
        <is>
          <t>고운동단독택지로 입지최상 학군 상권 복컴 생활하기편리</t>
        </is>
      </c>
      <c r="L191" s="6">
        <f>HYPERLINK("https://fin.land.naver.com/articles/2651032335", "매물Link")</f>
        <v/>
      </c>
      <c r="M191" s="6">
        <f>HYPERLINK("https://map.naver.com/p/search/고운동 1053", "지도Link")</f>
        <v/>
      </c>
      <c r="N191" s="6">
        <f>HYPERLINK("http://www.eum.go.kr/web/ar/lu/luLandDet.jsp?pnu=3611011200110530000&amp;isNoScr=script&amp;mode=search", "토지이음")</f>
        <v/>
      </c>
      <c r="O191" s="3" t="inlineStr">
        <is>
          <t>고운동리치세종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소로각지</t>
        </is>
      </c>
    </row>
    <row r="192">
      <c r="A192" s="3" t="inlineStr">
        <is>
          <t>고운동 1058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357</v>
      </c>
      <c r="H192" s="4" t="n">
        <v>108</v>
      </c>
      <c r="I192" s="5" t="n">
        <v>601.9</v>
      </c>
      <c r="J192" s="5" t="n">
        <v>342.8</v>
      </c>
      <c r="K192" s="3" t="inlineStr">
        <is>
          <t>도로,인도,버스정류장 인접, 공영주차장옆</t>
        </is>
      </c>
      <c r="L192" s="6">
        <f>HYPERLINK("https://fin.land.naver.com/articles/2648272133", "매물Link")</f>
        <v/>
      </c>
      <c r="M192" s="6">
        <f>HYPERLINK("https://map.naver.com/p/search/고운동 1058", "지도Link")</f>
        <v/>
      </c>
      <c r="N192" s="6">
        <f>HYPERLINK("http://www.eum.go.kr/web/ar/lu/luLandDet.jsp?pnu=3611011200110580000&amp;isNoScr=script&amp;mode=search", "토지이음")</f>
        <v/>
      </c>
      <c r="O192" s="3" t="inlineStr">
        <is>
          <t>세종제일1</t>
        </is>
      </c>
      <c r="P192" s="4" t="n">
        <v>1</v>
      </c>
      <c r="Q192" s="4" t="n">
        <v>357.6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358</v>
      </c>
      <c r="H193" s="4" t="n">
        <v>108</v>
      </c>
      <c r="I193" s="5" t="n">
        <v>601.9</v>
      </c>
      <c r="J193" s="5" t="n">
        <v>342.8</v>
      </c>
      <c r="K193" s="3" t="inlineStr">
        <is>
          <t>nan</t>
        </is>
      </c>
      <c r="L193" s="6">
        <f>HYPERLINK("https://fin.land.naver.com/articles/2651033013",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디아트성심</t>
        </is>
      </c>
      <c r="P193" s="4" t="n">
        <v>1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1069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51600</v>
      </c>
      <c r="G194" s="4" t="n">
        <v>341</v>
      </c>
      <c r="H194" s="4" t="n">
        <v>103</v>
      </c>
      <c r="I194" s="5" t="n">
        <v>501</v>
      </c>
      <c r="J194" s="5" t="n">
        <v>330.5</v>
      </c>
      <c r="K194" s="3" t="inlineStr">
        <is>
          <t>nan</t>
        </is>
      </c>
      <c r="L194" s="6">
        <f>HYPERLINK("https://fin.land.naver.com/articles/2651033320", "매물Link")</f>
        <v/>
      </c>
      <c r="M194" s="6">
        <f>HYPERLINK("https://map.naver.com/p/search/고운동 1069", "지도Link")</f>
        <v/>
      </c>
      <c r="N194" s="6">
        <f>HYPERLINK("http://www.eum.go.kr/web/ar/lu/luLandDet.jsp?pnu=3611011200110690000&amp;isNoScr=script&amp;mode=search", "토지이음")</f>
        <v/>
      </c>
      <c r="O194" s="3" t="inlineStr">
        <is>
          <t>디아트성심</t>
        </is>
      </c>
      <c r="P194" s="4" t="n">
        <v>2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51500</v>
      </c>
      <c r="G195" s="4" t="n">
        <v>341</v>
      </c>
      <c r="H195" s="4" t="n">
        <v>103</v>
      </c>
      <c r="I195" s="5" t="n">
        <v>500</v>
      </c>
      <c r="J195" s="5" t="n">
        <v>330.5</v>
      </c>
      <c r="K195" s="3" t="inlineStr">
        <is>
          <t>급매매,단독주택밀집.건너편 공원뷰</t>
        </is>
      </c>
      <c r="L195" s="6">
        <f>HYPERLINK("https://fin.land.naver.com/articles/2650539320",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킹세종</t>
        </is>
      </c>
      <c r="P195" s="4" t="n">
        <v>2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공원과 주차장 옆으로 입지 좋은 고운동 단독주택지</t>
        </is>
      </c>
      <c r="L196" s="6">
        <f>HYPERLINK("https://fin.land.naver.com/articles/2651189122",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세종무지개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1090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43000</v>
      </c>
      <c r="G197" s="4" t="n">
        <v>331</v>
      </c>
      <c r="H197" s="4" t="n">
        <v>100</v>
      </c>
      <c r="I197" s="5" t="n">
        <v>430</v>
      </c>
      <c r="J197" s="5" t="n">
        <v>320.9</v>
      </c>
      <c r="K197" s="3" t="inlineStr">
        <is>
          <t>급매 3면코너 위치최상 보행로접함 경사지</t>
        </is>
      </c>
      <c r="L197" s="6">
        <f>HYPERLINK("https://fin.land.naver.com/articles/2651086856", "매물Link")</f>
        <v/>
      </c>
      <c r="M197" s="6">
        <f>HYPERLINK("https://map.naver.com/p/search/고운동 1090", "지도Link")</f>
        <v/>
      </c>
      <c r="N197" s="6">
        <f>HYPERLINK("http://www.eum.go.kr/web/ar/lu/luLandDet.jsp?pnu=3611011200110900000&amp;isNoScr=script&amp;mode=search", "토지이음")</f>
        <v/>
      </c>
      <c r="O197" s="3" t="inlineStr">
        <is>
          <t>세종스타</t>
        </is>
      </c>
      <c r="P197" s="4" t="n">
        <v>1</v>
      </c>
      <c r="Q197" s="4" t="n">
        <v>331.5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소로각지</t>
        </is>
      </c>
    </row>
    <row r="198">
      <c r="A198" s="3" t="inlineStr">
        <is>
          <t>고운동 1093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43500</v>
      </c>
      <c r="G198" s="4" t="n">
        <v>338</v>
      </c>
      <c r="H198" s="4" t="n">
        <v>102</v>
      </c>
      <c r="I198" s="5" t="n">
        <v>426.5</v>
      </c>
      <c r="J198" s="5" t="n">
        <v>346.4</v>
      </c>
      <c r="K198" s="3" t="inlineStr">
        <is>
          <t>급매, 조정가, 공원앞으로 상권 학교 이용편리</t>
        </is>
      </c>
      <c r="L198" s="6">
        <f>HYPERLINK("https://fin.land.naver.com/articles/2647450751", "매물Link")</f>
        <v/>
      </c>
      <c r="M198" s="6">
        <f>HYPERLINK("https://map.naver.com/p/search/고운동 1093", "지도Link")</f>
        <v/>
      </c>
      <c r="N198" s="6">
        <f>HYPERLINK("http://www.eum.go.kr/web/ar/lu/luLandDet.jsp?pnu=3611011200110930000&amp;isNoScr=script&amp;mode=search", "토지이음")</f>
        <v/>
      </c>
      <c r="O198" s="3" t="inlineStr">
        <is>
          <t>고운동리치세종</t>
        </is>
      </c>
      <c r="P198" s="4" t="n">
        <v>1</v>
      </c>
      <c r="Q198" s="4" t="n">
        <v>338.9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1105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364</v>
      </c>
      <c r="H199" s="4" t="n">
        <v>110</v>
      </c>
      <c r="I199" s="5" t="n">
        <v>545.5</v>
      </c>
      <c r="J199" s="5" t="n">
        <v>346.4</v>
      </c>
      <c r="K199" s="3" t="inlineStr">
        <is>
          <t>코너자리로 입지최고 고운동학교 상권이용편리 가격조정가능</t>
        </is>
      </c>
      <c r="L199" s="6">
        <f>HYPERLINK("https://fin.land.naver.com/articles/2646129450", "매물Link")</f>
        <v/>
      </c>
      <c r="M199" s="6">
        <f>HYPERLINK("https://map.naver.com/p/search/고운동 1105", "지도Link")</f>
        <v/>
      </c>
      <c r="N199" s="6">
        <f>HYPERLINK("http://www.eum.go.kr/web/ar/lu/luLandDet.jsp?pnu=3611011200111050000&amp;isNoScr=script&amp;mode=search",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360.9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1105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360</v>
      </c>
      <c r="H200" s="4" t="n">
        <v>109</v>
      </c>
      <c r="I200" s="5" t="n">
        <v>550.5</v>
      </c>
      <c r="J200" s="5" t="n">
        <v>346.4</v>
      </c>
      <c r="K200" s="3" t="inlineStr">
        <is>
          <t>사거리 코너, 입지 좋은 토지, 3면 각지, 전원주택지 토지매매</t>
        </is>
      </c>
      <c r="L200" s="6">
        <f>HYPERLINK("https://fin.land.naver.com/articles/2651189033", "매물Link")</f>
        <v/>
      </c>
      <c r="M200" s="6">
        <f>HYPERLINK("https://map.naver.com/p/search/고운동 1105", "지도Link")</f>
        <v/>
      </c>
      <c r="N200" s="6">
        <f>HYPERLINK("http://www.eum.go.kr/web/ar/lu/luLandDet.jsp?pnu=3611011200111050000&amp;isNoScr=script&amp;mode=search",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360.9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1109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50000</v>
      </c>
      <c r="G201" s="4" t="n">
        <v>330</v>
      </c>
      <c r="H201" s="4" t="n">
        <v>100</v>
      </c>
      <c r="I201" s="5" t="n">
        <v>500</v>
      </c>
      <c r="J201" s="5" t="n">
        <v>346.4</v>
      </c>
      <c r="K201" s="3" t="inlineStr">
        <is>
          <t>nan</t>
        </is>
      </c>
      <c r="L201" s="6">
        <f>HYPERLINK("https://fin.land.naver.com/articles/2649599583", "매물Link")</f>
        <v/>
      </c>
      <c r="M201" s="6">
        <f>HYPERLINK("https://map.naver.com/p/search/고운동 1109", "지도Link")</f>
        <v/>
      </c>
      <c r="N201" s="6">
        <f>HYPERLINK("http://www.eum.go.kr/web/ar/lu/luLandDet.jsp?pnu=3611011200111090000&amp;isNoScr=script&amp;mode=search", "토지이음")</f>
        <v/>
      </c>
      <c r="O201" s="3" t="inlineStr">
        <is>
          <t>성훈</t>
        </is>
      </c>
      <c r="P201" s="4" t="n">
        <v>1</v>
      </c>
      <c r="Q201" s="4" t="n">
        <v>330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1119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351</v>
      </c>
      <c r="H202" s="4" t="n">
        <v>106</v>
      </c>
      <c r="I202" s="5" t="n">
        <v>566</v>
      </c>
      <c r="J202" s="5" t="n">
        <v>279.2</v>
      </c>
      <c r="K202" s="3" t="inlineStr">
        <is>
          <t>nan</t>
        </is>
      </c>
      <c r="L202" s="6">
        <f>HYPERLINK("https://fin.land.naver.com/articles/2648716272", "매물Link")</f>
        <v/>
      </c>
      <c r="M202" s="6">
        <f>HYPERLINK("https://map.naver.com/p/search/고운동 1119", "지도Link")</f>
        <v/>
      </c>
      <c r="N202" s="6">
        <f>HYPERLINK("http://www.eum.go.kr/web/ar/lu/luLandDet.jsp?pnu=3611011200111190000&amp;isNoScr=script&amp;mode=search", "토지이음")</f>
        <v/>
      </c>
      <c r="O202" s="3" t="inlineStr">
        <is>
          <t>세종스타</t>
        </is>
      </c>
      <c r="P202" s="4" t="n">
        <v>1</v>
      </c>
      <c r="Q202" s="4" t="n">
        <v>351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세로한면(가)</t>
        </is>
      </c>
    </row>
    <row r="203">
      <c r="A203" s="3" t="inlineStr">
        <is>
          <t>고운동 1138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361</v>
      </c>
      <c r="H203" s="4" t="n">
        <v>109</v>
      </c>
      <c r="I203" s="5" t="n">
        <v>550.5</v>
      </c>
      <c r="J203" s="5" t="n">
        <v>308</v>
      </c>
      <c r="K203" s="3" t="inlineStr">
        <is>
          <t>109.6p, 유.초등학교인근, 고등학교 인근</t>
        </is>
      </c>
      <c r="L203" s="6">
        <f>HYPERLINK("https://fin.land.naver.com/articles/2648840606", "매물Link")</f>
        <v/>
      </c>
      <c r="M203" s="6">
        <f>HYPERLINK("https://map.naver.com/p/search/고운동 1138", "지도Link")</f>
        <v/>
      </c>
      <c r="N203" s="6">
        <f>HYPERLINK("http://www.eum.go.kr/web/ar/lu/luLandDet.jsp?pnu=3611011200111380000&amp;isNoScr=script&amp;mode=search",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361.6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소로한면</t>
        </is>
      </c>
    </row>
    <row r="204">
      <c r="A204" s="3" t="inlineStr">
        <is>
          <t>고운동 1138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361</v>
      </c>
      <c r="H204" s="4" t="n">
        <v>109</v>
      </c>
      <c r="I204" s="5" t="n">
        <v>550.5</v>
      </c>
      <c r="J204" s="5" t="n">
        <v>308</v>
      </c>
      <c r="K204" s="3" t="inlineStr">
        <is>
          <t>전용 109.6P, 두루고등학교앞, 단독주택지</t>
        </is>
      </c>
      <c r="L204" s="6">
        <f>HYPERLINK("https://fin.land.naver.com/articles/2648900135", "매물Link")</f>
        <v/>
      </c>
      <c r="M204" s="6">
        <f>HYPERLINK("https://map.naver.com/p/search/고운동 1138", "지도Link")</f>
        <v/>
      </c>
      <c r="N204" s="6">
        <f>HYPERLINK("http://www.eum.go.kr/web/ar/lu/luLandDet.jsp?pnu=3611011200111380000&amp;isNoScr=script&amp;mode=search",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361.6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소로한면</t>
        </is>
      </c>
    </row>
    <row r="205">
      <c r="A205" s="3" t="inlineStr">
        <is>
          <t>고운동 1138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361</v>
      </c>
      <c r="H205" s="4" t="n">
        <v>109</v>
      </c>
      <c r="I205" s="5" t="n">
        <v>550.5</v>
      </c>
      <c r="J205" s="5" t="n">
        <v>308</v>
      </c>
      <c r="K205" s="3" t="inlineStr">
        <is>
          <t>nan</t>
        </is>
      </c>
      <c r="L205" s="6">
        <f>HYPERLINK("https://fin.land.naver.com/articles/2651033529", "매물Link")</f>
        <v/>
      </c>
      <c r="M205" s="6">
        <f>HYPERLINK("https://map.naver.com/p/search/고운동 1138", "지도Link")</f>
        <v/>
      </c>
      <c r="N205" s="6">
        <f>HYPERLINK("http://www.eum.go.kr/web/ar/lu/luLandDet.jsp?pnu=3611011200111380000&amp;isNoScr=script&amp;mode=search", "토지이음")</f>
        <v/>
      </c>
      <c r="O205" s="3" t="inlineStr">
        <is>
          <t>디아트성심</t>
        </is>
      </c>
      <c r="P205" s="4" t="n">
        <v>1</v>
      </c>
      <c r="Q205" s="4" t="n">
        <v>361.6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345</v>
      </c>
      <c r="H206" s="4" t="n">
        <v>104</v>
      </c>
      <c r="I206" s="5" t="n">
        <v>576.9</v>
      </c>
      <c r="J206" s="5" t="n">
        <v>304.8</v>
      </c>
      <c r="K206" s="3" t="inlineStr">
        <is>
          <t>nan</t>
        </is>
      </c>
      <c r="L206" s="6">
        <f>HYPERLINK("https://fin.land.naver.com/articles/2651033947", "매물Link")</f>
        <v/>
      </c>
      <c r="M206" s="6">
        <f>HYPERLINK("https://map.naver.com/p/search/고운동 1142", "지도Link")</f>
        <v/>
      </c>
      <c r="N206" s="6">
        <f>HYPERLINK("http://www.eum.go.kr/web/ar/lu/luLandDet.jsp?pnu=3611011200111420000&amp;isNoScr=script&amp;mode=search", "토지이음")</f>
        <v/>
      </c>
      <c r="O206" s="3" t="inlineStr">
        <is>
          <t>디아트성심</t>
        </is>
      </c>
      <c r="P206" s="4" t="n">
        <v>1</v>
      </c>
      <c r="Q206" s="4" t="n">
        <v>344.6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사다리형</t>
        </is>
      </c>
      <c r="V206" s="3" t="inlineStr">
        <is>
          <t>소로한면</t>
        </is>
      </c>
    </row>
    <row r="207">
      <c r="A207" s="3" t="inlineStr">
        <is>
          <t>고운동 1142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52000</v>
      </c>
      <c r="G207" s="4" t="n">
        <v>344</v>
      </c>
      <c r="H207" s="4" t="n">
        <v>104</v>
      </c>
      <c r="I207" s="5" t="n">
        <v>500</v>
      </c>
      <c r="J207" s="5" t="n">
        <v>304.8</v>
      </c>
      <c r="K207" s="3" t="inlineStr">
        <is>
          <t>두루고등학교앞 단독주택지 최선을다해서 가격조정해보겠습니다.</t>
        </is>
      </c>
      <c r="L207" s="6">
        <f>HYPERLINK("https://fin.land.naver.com/articles/2649565774", "매물Link")</f>
        <v/>
      </c>
      <c r="M207" s="6">
        <f>HYPERLINK("https://map.naver.com/p/search/고운동 1142", "지도Link")</f>
        <v/>
      </c>
      <c r="N207" s="6">
        <f>HYPERLINK("http://www.eum.go.kr/web/ar/lu/luLandDet.jsp?pnu=3611011200111420000&amp;isNoScr=script&amp;mode=search", "토지이음")</f>
        <v/>
      </c>
      <c r="O207" s="3" t="inlineStr">
        <is>
          <t>고운동리치세종</t>
        </is>
      </c>
      <c r="P207" s="4" t="n">
        <v>3</v>
      </c>
      <c r="Q207" s="4" t="n">
        <v>344.6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소로한면</t>
        </is>
      </c>
    </row>
    <row r="208">
      <c r="A208" s="3" t="inlineStr">
        <is>
          <t>고운동 1145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80000</v>
      </c>
      <c r="G208" s="4" t="n">
        <v>383</v>
      </c>
      <c r="H208" s="4" t="n">
        <v>116</v>
      </c>
      <c r="I208" s="5" t="n">
        <v>689.7</v>
      </c>
      <c r="J208" s="5" t="n">
        <v>279.2</v>
      </c>
      <c r="K208" s="3" t="inlineStr">
        <is>
          <t>고운동북측 전용주택지 , 상권,학교 인접 생활인프라 좋음.</t>
        </is>
      </c>
      <c r="L208" s="6">
        <f>HYPERLINK("https://fin.land.naver.com/articles/2647434704", "매물Link")</f>
        <v/>
      </c>
      <c r="M208" s="6">
        <f>HYPERLINK("https://map.naver.com/p/search/고운동 1145", "지도Link")</f>
        <v/>
      </c>
      <c r="N208" s="6">
        <f>HYPERLINK("http://www.eum.go.kr/web/ar/lu/luLandDet.jsp?pnu=3611011200111450000&amp;isNoScr=script&amp;mode=search", "토지이음")</f>
        <v/>
      </c>
      <c r="O208" s="3" t="inlineStr">
        <is>
          <t>세종만세</t>
        </is>
      </c>
      <c r="P208" s="4" t="n">
        <v>1</v>
      </c>
      <c r="Q208" s="4" t="n">
        <v>383.2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세로한면(가)</t>
        </is>
      </c>
    </row>
    <row r="209">
      <c r="A209" s="3" t="inlineStr">
        <is>
          <t>고운동 1179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45000</v>
      </c>
      <c r="G209" s="4" t="n">
        <v>332</v>
      </c>
      <c r="H209" s="4" t="n">
        <v>100</v>
      </c>
      <c r="I209" s="5" t="n">
        <v>450</v>
      </c>
      <c r="J209" s="5" t="n">
        <v>308</v>
      </c>
      <c r="K209" s="3" t="inlineStr">
        <is>
          <t>상가근접한 입지좋은택지,</t>
        </is>
      </c>
      <c r="L209" s="6">
        <f>HYPERLINK("https://fin.land.naver.com/articles/2647138962", "매물Link")</f>
        <v/>
      </c>
      <c r="M209" s="6">
        <f>HYPERLINK("https://map.naver.com/p/search/고운동 1179", "지도Link")</f>
        <v/>
      </c>
      <c r="N209" s="6">
        <f>HYPERLINK("http://www.eum.go.kr/web/ar/lu/luLandDet.jsp?pnu=3611011200111790000&amp;isNoScr=script&amp;mode=search", "토지이음")</f>
        <v/>
      </c>
      <c r="O209" s="3" t="inlineStr">
        <is>
          <t>세종황소</t>
        </is>
      </c>
      <c r="P209" s="4" t="n">
        <v>2</v>
      </c>
      <c r="Q209" s="4" t="n">
        <v>332.1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1179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45000</v>
      </c>
      <c r="G210" s="4" t="n">
        <v>332</v>
      </c>
      <c r="H210" s="4" t="n">
        <v>100</v>
      </c>
      <c r="I210" s="5" t="n">
        <v>450</v>
      </c>
      <c r="J210" s="5" t="n">
        <v>308</v>
      </c>
      <c r="K210" s="3" t="inlineStr">
        <is>
          <t>항아리상권 가까운 생활인프라 좋은 토지 매매</t>
        </is>
      </c>
      <c r="L210" s="6">
        <f>HYPERLINK("https://fin.land.naver.com/articles/2651188831", "매물Link")</f>
        <v/>
      </c>
      <c r="M210" s="6">
        <f>HYPERLINK("https://map.naver.com/p/search/고운동 1179", "지도Link")</f>
        <v/>
      </c>
      <c r="N210" s="6">
        <f>HYPERLINK("http://www.eum.go.kr/web/ar/lu/luLandDet.jsp?pnu=3611011200111790000&amp;isNoScr=script&amp;mode=search",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332.1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1236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75000</v>
      </c>
      <c r="G211" s="4" t="n">
        <v>338</v>
      </c>
      <c r="H211" s="4" t="n">
        <v>102</v>
      </c>
      <c r="I211" s="5" t="n">
        <v>735.3</v>
      </c>
      <c r="J211" s="5" t="n">
        <v>308</v>
      </c>
      <c r="K211" s="3" t="inlineStr">
        <is>
          <t>공원근접.초등학교 가까운 위치.조용한 전원주택지 ,투자추천</t>
        </is>
      </c>
      <c r="L211" s="6">
        <f>HYPERLINK("https://fin.land.naver.com/articles/2647141300", "매물Link")</f>
        <v/>
      </c>
      <c r="M211" s="6">
        <f>HYPERLINK("https://map.naver.com/p/search/고운동 1236", "지도Link")</f>
        <v/>
      </c>
      <c r="N211" s="6">
        <f>HYPERLINK("http://www.eum.go.kr/web/ar/lu/luLandDet.jsp?pnu=3611011200112360000&amp;isNoScr=script&amp;mode=search", "토지이음")</f>
        <v/>
      </c>
      <c r="O211" s="3" t="inlineStr">
        <is>
          <t>세종특별시</t>
        </is>
      </c>
      <c r="P211" s="4" t="n">
        <v>1</v>
      </c>
      <c r="Q211" s="4" t="n">
        <v>338.8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소로한면</t>
        </is>
      </c>
    </row>
    <row r="212">
      <c r="A212" s="3" t="inlineStr">
        <is>
          <t>고운동 1238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69000</v>
      </c>
      <c r="G212" s="4" t="n">
        <v>348</v>
      </c>
      <c r="H212" s="4" t="n">
        <v>105</v>
      </c>
      <c r="I212" s="5" t="n">
        <v>657.1</v>
      </c>
      <c r="J212" s="5" t="n">
        <v>320.9</v>
      </c>
      <c r="K212" s="3" t="inlineStr">
        <is>
          <t>최상급 전원주택부지로 주민센터와 근린생활시설 인근에 위치, 가격조정 가능</t>
        </is>
      </c>
      <c r="L212" s="6">
        <f>HYPERLINK("https://fin.land.naver.com/articles/2646570985", "매물Link")</f>
        <v/>
      </c>
      <c r="M212" s="6">
        <f>HYPERLINK("https://map.naver.com/p/search/고운동 1238", "지도Link")</f>
        <v/>
      </c>
      <c r="N212" s="6">
        <f>HYPERLINK("http://www.eum.go.kr/web/ar/lu/luLandDet.jsp?pnu=3611011200112380000&amp;isNoScr=script&amp;mode=search", "토지이음")</f>
        <v/>
      </c>
      <c r="O212" s="3" t="inlineStr">
        <is>
          <t>수성</t>
        </is>
      </c>
      <c r="P212" s="4" t="n">
        <v>1</v>
      </c>
      <c r="Q212" s="4" t="n">
        <v>348.5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가로장방</t>
        </is>
      </c>
      <c r="V212" s="3" t="inlineStr">
        <is>
          <t>소로각지</t>
        </is>
      </c>
    </row>
    <row r="213">
      <c r="A213" s="3" t="inlineStr">
        <is>
          <t>고운동 1242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59000</v>
      </c>
      <c r="G213" s="4" t="n">
        <v>339</v>
      </c>
      <c r="H213" s="4" t="n">
        <v>103</v>
      </c>
      <c r="I213" s="5" t="n">
        <v>572.8</v>
      </c>
      <c r="J213" s="5" t="n">
        <v>320.9</v>
      </c>
      <c r="K213" s="3" t="inlineStr">
        <is>
          <t>위치좋고 저렴한 코너각지 남향의 최 상급 주택부지</t>
        </is>
      </c>
      <c r="L213" s="6">
        <f>HYPERLINK("https://fin.land.naver.com/articles/2646971089", "매물Link")</f>
        <v/>
      </c>
      <c r="M213" s="6">
        <f>HYPERLINK("https://map.naver.com/p/search/고운동 1242", "지도Link")</f>
        <v/>
      </c>
      <c r="N213" s="6">
        <f>HYPERLINK("http://www.eum.go.kr/web/ar/lu/luLandDet.jsp?pnu=3611011200112420000&amp;isNoScr=script&amp;mode=search", "토지이음")</f>
        <v/>
      </c>
      <c r="O213" s="3" t="inlineStr">
        <is>
          <t>대전토지로무소</t>
        </is>
      </c>
      <c r="P213" s="4" t="n">
        <v>1</v>
      </c>
      <c r="Q213" s="4" t="n">
        <v>339.4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가로장방</t>
        </is>
      </c>
      <c r="V213" s="3" t="inlineStr">
        <is>
          <t>소로각지</t>
        </is>
      </c>
    </row>
    <row r="214">
      <c r="A214" s="3" t="inlineStr">
        <is>
          <t>고운동 1242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58000</v>
      </c>
      <c r="G214" s="4" t="n">
        <v>339</v>
      </c>
      <c r="H214" s="4" t="n">
        <v>103</v>
      </c>
      <c r="I214" s="5" t="n">
        <v>563.1</v>
      </c>
      <c r="J214" s="5" t="n">
        <v>320.9</v>
      </c>
      <c r="K214" s="3" t="inlineStr">
        <is>
          <t>o추천택지o. 남향. 학교 상가 이용 편리. 아파트 주거지 중심.</t>
        </is>
      </c>
      <c r="L214" s="6">
        <f>HYPERLINK("https://fin.land.naver.com/articles/2648297773", "매물Link")</f>
        <v/>
      </c>
      <c r="M214" s="6">
        <f>HYPERLINK("https://map.naver.com/p/search/고운동 1242", "지도Link")</f>
        <v/>
      </c>
      <c r="N214" s="6">
        <f>HYPERLINK("http://www.eum.go.kr/web/ar/lu/luLandDet.jsp?pnu=3611011200112420000&amp;isNoScr=script&amp;mode=search", "토지이음")</f>
        <v/>
      </c>
      <c r="O214" s="3" t="inlineStr">
        <is>
          <t>세종썬</t>
        </is>
      </c>
      <c r="P214" s="4" t="n">
        <v>1</v>
      </c>
      <c r="Q214" s="4" t="n">
        <v>339.4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가로장방</t>
        </is>
      </c>
      <c r="V214" s="3" t="inlineStr">
        <is>
          <t>소로각지</t>
        </is>
      </c>
    </row>
    <row r="215">
      <c r="A215" s="3" t="inlineStr">
        <is>
          <t>고운동 1248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150000</v>
      </c>
      <c r="G215" s="4" t="n">
        <v>327</v>
      </c>
      <c r="H215" s="4" t="n">
        <v>99</v>
      </c>
      <c r="I215" s="5" t="n">
        <v>1515.2</v>
      </c>
      <c r="J215" s="5" t="n">
        <v>804</v>
      </c>
      <c r="K215" s="3" t="inlineStr">
        <is>
          <t>고운동근생용지 대로변코너자리 위치굿 가격조정가능</t>
        </is>
      </c>
      <c r="L215" s="6">
        <f>HYPERLINK("https://fin.land.naver.com/articles/2650516285", "매물Link")</f>
        <v/>
      </c>
      <c r="M215" s="6">
        <f>HYPERLINK("https://map.naver.com/p/search/고운동 1248", "지도Link")</f>
        <v/>
      </c>
      <c r="N215" s="6">
        <f>HYPERLINK("http://www.eum.go.kr/web/ar/lu/luLandDet.jsp?pnu=3611011200112480000&amp;isNoScr=script&amp;mode=search", "토지이음")</f>
        <v/>
      </c>
      <c r="O215" s="3" t="inlineStr">
        <is>
          <t>고운동리치세종</t>
        </is>
      </c>
      <c r="P215" s="4" t="n">
        <v>2</v>
      </c>
      <c r="Q215" s="4" t="n">
        <v>327.8</v>
      </c>
      <c r="R215" s="3" t="inlineStr">
        <is>
          <t>지정되지않음</t>
        </is>
      </c>
      <c r="S215" s="3" t="inlineStr">
        <is>
          <t>상업용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1262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58000</v>
      </c>
      <c r="G216" s="4" t="n">
        <v>348</v>
      </c>
      <c r="H216" s="4" t="n">
        <v>105</v>
      </c>
      <c r="I216" s="5" t="n">
        <v>552.4</v>
      </c>
      <c r="J216" s="5" t="n">
        <v>383.8</v>
      </c>
      <c r="K216" s="3" t="inlineStr">
        <is>
          <t>3면코너각지 실개천인근 위치최상 조율가능</t>
        </is>
      </c>
      <c r="L216" s="6">
        <f>HYPERLINK("https://fin.land.naver.com/articles/2651087643", "매물Link")</f>
        <v/>
      </c>
      <c r="M216" s="6">
        <f>HYPERLINK("https://map.naver.com/p/search/고운동 1262", "지도Link")</f>
        <v/>
      </c>
      <c r="N216" s="6">
        <f>HYPERLINK("http://www.eum.go.kr/web/ar/lu/luLandDet.jsp?pnu=3611011200112620000&amp;isNoScr=script&amp;mode=search", "토지이음")</f>
        <v/>
      </c>
      <c r="O216" s="3" t="inlineStr">
        <is>
          <t>세종스타</t>
        </is>
      </c>
      <c r="P216" s="4" t="n">
        <v>1</v>
      </c>
      <c r="Q216" s="4" t="n">
        <v>348.5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1293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95000</v>
      </c>
      <c r="G217" s="4" t="n">
        <v>333</v>
      </c>
      <c r="H217" s="4" t="n">
        <v>101</v>
      </c>
      <c r="I217" s="5" t="n">
        <v>940.6</v>
      </c>
      <c r="J217" s="5" t="n">
        <v>336.5</v>
      </c>
      <c r="K217" s="3" t="inlineStr">
        <is>
          <t>총 100p, 실개천 주변으로 위치좋은 토지</t>
        </is>
      </c>
      <c r="L217" s="6">
        <f>HYPERLINK("https://fin.land.naver.com/articles/2649013264", "매물Link")</f>
        <v/>
      </c>
      <c r="M217" s="6">
        <f>HYPERLINK("https://map.naver.com/p/search/고운동 1293", "지도Link")</f>
        <v/>
      </c>
      <c r="N217" s="6">
        <f>HYPERLINK("http://www.eum.go.kr/web/ar/lu/luLandDet.jsp?pnu=3611011200112930000&amp;isNoScr=script&amp;mode=search",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330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332</v>
      </c>
      <c r="H218" s="4" t="n">
        <v>100</v>
      </c>
      <c r="I218" s="5" t="n">
        <v>950</v>
      </c>
      <c r="J218" s="5" t="n">
        <v>336.5</v>
      </c>
      <c r="K218" s="3" t="inlineStr">
        <is>
          <t>100.91p, 개방감 좋은 실개천 인근 토지</t>
        </is>
      </c>
      <c r="L218" s="6">
        <f>HYPERLINK("https://fin.land.naver.com/articles/2650893334",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1297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56000</v>
      </c>
      <c r="G219" s="4" t="n">
        <v>338</v>
      </c>
      <c r="H219" s="4" t="n">
        <v>102</v>
      </c>
      <c r="I219" s="5" t="n">
        <v>549</v>
      </c>
      <c r="J219" s="5" t="n">
        <v>369.3</v>
      </c>
      <c r="K219" s="3" t="inlineStr">
        <is>
          <t>실개천옆 천조망 가락초2분 두루고5분</t>
        </is>
      </c>
      <c r="L219" s="6">
        <f>HYPERLINK("https://fin.land.naver.com/articles/2648615465", "매물Link")</f>
        <v/>
      </c>
      <c r="M219" s="6">
        <f>HYPERLINK("https://map.naver.com/p/search/고운동 1297", "지도Link")</f>
        <v/>
      </c>
      <c r="N219" s="6">
        <f>HYPERLINK("http://www.eum.go.kr/web/ar/lu/luLandDet.jsp?pnu=3611011200112970000&amp;isNoScr=script&amp;mode=search", "토지이음")</f>
        <v/>
      </c>
      <c r="O219" s="3" t="inlineStr">
        <is>
          <t>세종스타</t>
        </is>
      </c>
      <c r="P219" s="4" t="n">
        <v>1</v>
      </c>
      <c r="Q219" s="4" t="n">
        <v>338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중로한면</t>
        </is>
      </c>
    </row>
    <row r="220">
      <c r="A220" s="3" t="inlineStr">
        <is>
          <t>고운동 1302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85000</v>
      </c>
      <c r="G220" s="4" t="n">
        <v>351</v>
      </c>
      <c r="H220" s="4" t="n">
        <v>106</v>
      </c>
      <c r="I220" s="5" t="n">
        <v>801.9</v>
      </c>
      <c r="J220" s="5" t="n">
        <v>336.5</v>
      </c>
      <c r="K220" s="3" t="inlineStr">
        <is>
          <t>106.3p, 실개천 앞, 공원인근</t>
        </is>
      </c>
      <c r="L220" s="6">
        <f>HYPERLINK("https://fin.land.naver.com/articles/2650427456", "매물Link")</f>
        <v/>
      </c>
      <c r="M220" s="6">
        <f>HYPERLINK("https://map.naver.com/p/search/고운동 1302", "지도Link")</f>
        <v/>
      </c>
      <c r="N220" s="6">
        <f>HYPERLINK("http://www.eum.go.kr/web/ar/lu/luLandDet.jsp?pnu=3611011200113020000&amp;isNoScr=script&amp;mode=search",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351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총 106.3p, 공원바로 옆, 도로인접 위치 좋은 전원주택지</t>
        </is>
      </c>
      <c r="L221" s="6">
        <f>HYPERLINK("https://fin.land.naver.com/articles/2648899207",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1310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70000</v>
      </c>
      <c r="G222" s="4" t="n">
        <v>351</v>
      </c>
      <c r="H222" s="4" t="n">
        <v>106</v>
      </c>
      <c r="I222" s="5" t="n">
        <v>660.4</v>
      </c>
      <c r="J222" s="5" t="n">
        <v>336.5</v>
      </c>
      <c r="K222" s="3" t="inlineStr">
        <is>
          <t>전원주택지 산책로 및 실개천에 연접한 좋은위치 단독택지, 가락초 인근</t>
        </is>
      </c>
      <c r="L222" s="6">
        <f>HYPERLINK("https://fin.land.naver.com/articles/2650441767", "매물Link")</f>
        <v/>
      </c>
      <c r="M222" s="6">
        <f>HYPERLINK("https://map.naver.com/p/search/고운동 1310", "지도Link")</f>
        <v/>
      </c>
      <c r="N222" s="6">
        <f>HYPERLINK("http://www.eum.go.kr/web/ar/lu/luLandDet.jsp?pnu=3611011200113100000&amp;isNoScr=script&amp;mode=search", "토지이음")</f>
        <v/>
      </c>
      <c r="O222" s="3" t="inlineStr">
        <is>
          <t>온뜰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58000</v>
      </c>
      <c r="G223" s="4" t="n">
        <v>365</v>
      </c>
      <c r="H223" s="4" t="n">
        <v>110</v>
      </c>
      <c r="I223" s="5" t="n">
        <v>527.3</v>
      </c>
      <c r="J223" s="5" t="n">
        <v>336.5</v>
      </c>
      <c r="K223" s="3" t="inlineStr">
        <is>
          <t>위치좋고 저렴한 단독주택 용지 추천드립니다</t>
        </is>
      </c>
      <c r="L223" s="6">
        <f>HYPERLINK("https://fin.land.naver.com/articles/2650692446", "매물Link")</f>
        <v/>
      </c>
      <c r="M223" s="6">
        <f>HYPERLINK("https://map.naver.com/p/search/고운동 1319", "지도Link")</f>
        <v/>
      </c>
      <c r="N223" s="6">
        <f>HYPERLINK("http://www.eum.go.kr/web/ar/lu/luLandDet.jsp?pnu=3611011200113190000&amp;isNoScr=script&amp;mode=search", "토지이음")</f>
        <v/>
      </c>
      <c r="O223" s="3" t="inlineStr">
        <is>
          <t>골드클래스</t>
        </is>
      </c>
      <c r="P223" s="4" t="n">
        <v>1</v>
      </c>
      <c r="Q223" s="4" t="n">
        <v>365.3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1320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65000</v>
      </c>
      <c r="G224" s="4" t="n">
        <v>353</v>
      </c>
      <c r="H224" s="4" t="n">
        <v>107</v>
      </c>
      <c r="I224" s="5" t="n">
        <v>607.5</v>
      </c>
      <c r="J224" s="5" t="n">
        <v>353.1</v>
      </c>
      <c r="K224" s="3" t="inlineStr">
        <is>
          <t>107p, 삼거리 코너자리</t>
        </is>
      </c>
      <c r="L224" s="6">
        <f>HYPERLINK("https://fin.land.naver.com/articles/2648840359", "매물Link")</f>
        <v/>
      </c>
      <c r="M224" s="6">
        <f>HYPERLINK("https://map.naver.com/p/search/고운동 1320", "지도Link")</f>
        <v/>
      </c>
      <c r="N224" s="6">
        <f>HYPERLINK("http://www.eum.go.kr/web/ar/lu/luLandDet.jsp?pnu=3611011200113200000&amp;isNoScr=script&amp;mode=search",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353.3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소로각지</t>
        </is>
      </c>
    </row>
    <row r="225">
      <c r="A225" s="3" t="inlineStr">
        <is>
          <t>고운동 1323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361</v>
      </c>
      <c r="H225" s="4" t="n">
        <v>109</v>
      </c>
      <c r="I225" s="5" t="n">
        <v>550.5</v>
      </c>
      <c r="J225" s="5" t="n">
        <v>336.5</v>
      </c>
      <c r="K225" s="3" t="inlineStr">
        <is>
          <t>총 109.3p, 위치 좋은 단독주택지, 공원인근</t>
        </is>
      </c>
      <c r="L225" s="6">
        <f>HYPERLINK("https://fin.land.naver.com/articles/2649613023", "매물Link")</f>
        <v/>
      </c>
      <c r="M225" s="6">
        <f>HYPERLINK("https://map.naver.com/p/search/고운동 1323", "지도Link")</f>
        <v/>
      </c>
      <c r="N225" s="6">
        <f>HYPERLINK("http://www.eum.go.kr/web/ar/lu/luLandDet.jsp?pnu=3611011200113230000&amp;isNoScr=script&amp;mode=search",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361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1328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352</v>
      </c>
      <c r="H226" s="4" t="n">
        <v>106</v>
      </c>
      <c r="I226" s="5" t="n">
        <v>613.2</v>
      </c>
      <c r="J226" s="5" t="n">
        <v>353.1</v>
      </c>
      <c r="K226" s="3" t="inlineStr">
        <is>
          <t>실개천 가깝고 코너각지 위치 좋은 단독주택지, 조정가능</t>
        </is>
      </c>
      <c r="L226" s="6">
        <f>HYPERLINK("https://fin.land.naver.com/articles/2649699066", "매물Link")</f>
        <v/>
      </c>
      <c r="M226" s="6">
        <f>HYPERLINK("https://map.naver.com/p/search/고운동 1328", "지도Link")</f>
        <v/>
      </c>
      <c r="N226" s="6">
        <f>HYPERLINK("http://www.eum.go.kr/web/ar/lu/luLandDet.jsp?pnu=3611011200113280000&amp;isNoScr=script&amp;mode=search", "토지이음")</f>
        <v/>
      </c>
      <c r="O226" s="3" t="inlineStr">
        <is>
          <t>온뜰</t>
        </is>
      </c>
      <c r="P226" s="4" t="n">
        <v>1</v>
      </c>
      <c r="Q226" s="4" t="n">
        <v>352.7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1328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352</v>
      </c>
      <c r="H227" s="4" t="n">
        <v>106</v>
      </c>
      <c r="I227" s="5" t="n">
        <v>613.2</v>
      </c>
      <c r="J227" s="5" t="n">
        <v>353.1</v>
      </c>
      <c r="K227" s="3" t="inlineStr">
        <is>
          <t>106.8p, 실개천 근처, 위치 좋은 토지, 공원 인근</t>
        </is>
      </c>
      <c r="L227" s="6">
        <f>HYPERLINK("https://fin.land.naver.com/articles/2650893554", "매물Link")</f>
        <v/>
      </c>
      <c r="M227" s="6">
        <f>HYPERLINK("https://map.naver.com/p/search/고운동 1328", "지도Link")</f>
        <v/>
      </c>
      <c r="N227" s="6">
        <f>HYPERLINK("http://www.eum.go.kr/web/ar/lu/luLandDet.jsp?pnu=3611011200113280000&amp;isNoScr=script&amp;mode=search",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352.7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1328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65000</v>
      </c>
      <c r="G228" s="4" t="n">
        <v>352</v>
      </c>
      <c r="H228" s="4" t="n">
        <v>106</v>
      </c>
      <c r="I228" s="5" t="n">
        <v>613.2</v>
      </c>
      <c r="J228" s="5" t="n">
        <v>353.1</v>
      </c>
      <c r="K228" s="3" t="inlineStr">
        <is>
          <t>106.8p, 삼거리 코너 위치 토지매매</t>
        </is>
      </c>
      <c r="L228" s="6">
        <f>HYPERLINK("https://fin.land.naver.com/articles/2647421174", "매물Link")</f>
        <v/>
      </c>
      <c r="M228" s="6">
        <f>HYPERLINK("https://map.naver.com/p/search/고운동 1328", "지도Link")</f>
        <v/>
      </c>
      <c r="N228" s="6">
        <f>HYPERLINK("http://www.eum.go.kr/web/ar/lu/luLandDet.jsp?pnu=3611011200113280000&amp;isNoScr=script&amp;mode=search",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352.7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1330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336</v>
      </c>
      <c r="H229" s="4" t="n">
        <v>102</v>
      </c>
      <c r="I229" s="5" t="n">
        <v>588.2</v>
      </c>
      <c r="J229" s="5" t="n">
        <v>336.5</v>
      </c>
      <c r="K229" s="3" t="inlineStr">
        <is>
          <t>햇빛 잘 들고 학교, 상가 가까워 생활 편리, 조율 가능</t>
        </is>
      </c>
      <c r="L229" s="6">
        <f>HYPERLINK("https://fin.land.naver.com/articles/2651034506", "매물Link")</f>
        <v/>
      </c>
      <c r="M229" s="6">
        <f>HYPERLINK("https://map.naver.com/p/search/고운동 1330", "지도Link")</f>
        <v/>
      </c>
      <c r="N229" s="6">
        <f>HYPERLINK("http://www.eum.go.kr/web/ar/lu/luLandDet.jsp?pnu=3611011200113300000&amp;isNoScr=script&amp;mode=search",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336.7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세로장방</t>
        </is>
      </c>
      <c r="V229" s="3" t="inlineStr">
        <is>
          <t>소로한면</t>
        </is>
      </c>
    </row>
    <row r="230">
      <c r="A230" s="3" t="inlineStr">
        <is>
          <t>고운동 1331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333</v>
      </c>
      <c r="H230" s="4" t="n">
        <v>101</v>
      </c>
      <c r="I230" s="5" t="n">
        <v>594.1</v>
      </c>
      <c r="J230" s="5" t="n">
        <v>380.2</v>
      </c>
      <c r="K230" s="3" t="inlineStr">
        <is>
          <t>nan</t>
        </is>
      </c>
      <c r="L230" s="6">
        <f>HYPERLINK("https://fin.land.naver.com/articles/2651034907", "매물Link")</f>
        <v/>
      </c>
      <c r="M230" s="6">
        <f>HYPERLINK("https://map.naver.com/p/search/고운동 1331", "지도Link")</f>
        <v/>
      </c>
      <c r="N230" s="6">
        <f>HYPERLINK("http://www.eum.go.kr/web/ar/lu/luLandDet.jsp?pnu=3611011200113310000&amp;isNoScr=script&amp;mode=search", "토지이음")</f>
        <v/>
      </c>
      <c r="O230" s="3" t="inlineStr">
        <is>
          <t>디아트성심</t>
        </is>
      </c>
      <c r="P230" s="4" t="n">
        <v>1</v>
      </c>
      <c r="Q230" s="4" t="n">
        <v>333.6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중로각지</t>
        </is>
      </c>
    </row>
    <row r="231">
      <c r="A231" s="3" t="inlineStr">
        <is>
          <t>고운동 1331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333</v>
      </c>
      <c r="H231" s="4" t="n">
        <v>101</v>
      </c>
      <c r="I231" s="5" t="n">
        <v>594.1</v>
      </c>
      <c r="J231" s="5" t="n">
        <v>380.2</v>
      </c>
      <c r="K231" s="3" t="inlineStr">
        <is>
          <t>코너각지 위치 좋은 단독주택지</t>
        </is>
      </c>
      <c r="L231" s="6">
        <f>HYPERLINK("https://fin.land.naver.com/articles/2649698053", "매물Link")</f>
        <v/>
      </c>
      <c r="M231" s="6">
        <f>HYPERLINK("https://map.naver.com/p/search/고운동 1331", "지도Link")</f>
        <v/>
      </c>
      <c r="N231" s="6">
        <f>HYPERLINK("http://www.eum.go.kr/web/ar/lu/luLandDet.jsp?pnu=3611011200113310000&amp;isNoScr=script&amp;mode=search", "토지이음")</f>
        <v/>
      </c>
      <c r="O231" s="3" t="inlineStr">
        <is>
          <t>온뜰</t>
        </is>
      </c>
      <c r="P231" s="4" t="n">
        <v>1</v>
      </c>
      <c r="Q231" s="4" t="n">
        <v>333.6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중로각지</t>
        </is>
      </c>
    </row>
    <row r="232">
      <c r="A232" s="3" t="inlineStr">
        <is>
          <t>고운동 1331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333</v>
      </c>
      <c r="H232" s="4" t="n">
        <v>101</v>
      </c>
      <c r="I232" s="5" t="n">
        <v>594.1</v>
      </c>
      <c r="J232" s="5" t="n">
        <v>380.2</v>
      </c>
      <c r="K232" s="3" t="inlineStr">
        <is>
          <t>급매 추가조율가능 남향 코너각지</t>
        </is>
      </c>
      <c r="L232" s="6">
        <f>HYPERLINK("https://fin.land.naver.com/articles/2651115923", "매물Link")</f>
        <v/>
      </c>
      <c r="M232" s="6">
        <f>HYPERLINK("https://map.naver.com/p/search/고운동 1331", "지도Link")</f>
        <v/>
      </c>
      <c r="N232" s="6">
        <f>HYPERLINK("http://www.eum.go.kr/web/ar/lu/luLandDet.jsp?pnu=3611011200113310000&amp;isNoScr=script&amp;mode=search", "토지이음")</f>
        <v/>
      </c>
      <c r="O232" s="3" t="inlineStr">
        <is>
          <t>세종스타</t>
        </is>
      </c>
      <c r="P232" s="4" t="n">
        <v>1</v>
      </c>
      <c r="Q232" s="4" t="n">
        <v>333.6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중로각지</t>
        </is>
      </c>
    </row>
    <row r="233">
      <c r="A233" s="3" t="inlineStr">
        <is>
          <t>고운동 1334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43000</v>
      </c>
      <c r="G233" s="4" t="n">
        <v>329</v>
      </c>
      <c r="H233" s="4" t="n">
        <v>100</v>
      </c>
      <c r="I233" s="5" t="n">
        <v>430</v>
      </c>
      <c r="J233" s="5" t="n">
        <v>336.5</v>
      </c>
      <c r="K233" s="3" t="inlineStr">
        <is>
          <t>급매 실개천 가락초 인근</t>
        </is>
      </c>
      <c r="L233" s="6">
        <f>HYPERLINK("https://fin.land.naver.com/articles/2650372143", "매물Link")</f>
        <v/>
      </c>
      <c r="M233" s="6">
        <f>HYPERLINK("https://map.naver.com/p/search/고운동 1334", "지도Link")</f>
        <v/>
      </c>
      <c r="N233" s="6">
        <f>HYPERLINK("http://www.eum.go.kr/web/ar/lu/luLandDet.jsp?pnu=3611011200113340000&amp;isNoScr=script&amp;mode=search", "토지이음")</f>
        <v/>
      </c>
      <c r="O233" s="3" t="inlineStr">
        <is>
          <t>세종스타</t>
        </is>
      </c>
      <c r="P233" s="4" t="n">
        <v>2</v>
      </c>
      <c r="Q233" s="4" t="n">
        <v>329.7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세로장방</t>
        </is>
      </c>
      <c r="V233" s="3" t="inlineStr">
        <is>
          <t>소로한면</t>
        </is>
      </c>
    </row>
    <row r="234">
      <c r="A234" s="3" t="inlineStr">
        <is>
          <t>고운동 1343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386</v>
      </c>
      <c r="H234" s="4" t="n">
        <v>117</v>
      </c>
      <c r="I234" s="5" t="n">
        <v>683.8</v>
      </c>
      <c r="J234" s="5" t="n">
        <v>349.4</v>
      </c>
      <c r="K234" s="3" t="inlineStr">
        <is>
          <t>넓은 평수 3면 도로접 개방감 최고, 학교 아파트 상가 가까워 생활편리</t>
        </is>
      </c>
      <c r="L234" s="6">
        <f>HYPERLINK("https://fin.land.naver.com/articles/2649698505", "매물Link")</f>
        <v/>
      </c>
      <c r="M234" s="6">
        <f>HYPERLINK("https://map.naver.com/p/search/고운동 1343", "지도Link")</f>
        <v/>
      </c>
      <c r="N234" s="6">
        <f>HYPERLINK("http://www.eum.go.kr/web/ar/lu/luLandDet.jsp?pnu=3611011200113430000&amp;isNoScr=script&amp;mode=search",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386.8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사다리형</t>
        </is>
      </c>
      <c r="V234" s="3" t="inlineStr">
        <is>
          <t>소로각지</t>
        </is>
      </c>
    </row>
    <row r="235">
      <c r="A235" s="3" t="inlineStr">
        <is>
          <t>고운동 1343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80000</v>
      </c>
      <c r="G235" s="4" t="n">
        <v>386</v>
      </c>
      <c r="H235" s="4" t="n">
        <v>117</v>
      </c>
      <c r="I235" s="5" t="n">
        <v>683.8</v>
      </c>
      <c r="J235" s="5" t="n">
        <v>349.4</v>
      </c>
      <c r="K235" s="3" t="inlineStr">
        <is>
          <t>코너가지로 상가 학교 이용하기 편리한 위치</t>
        </is>
      </c>
      <c r="L235" s="6">
        <f>HYPERLINK("https://fin.land.naver.com/articles/2646114412", "매물Link")</f>
        <v/>
      </c>
      <c r="M235" s="6">
        <f>HYPERLINK("https://map.naver.com/p/search/고운동 1343", "지도Link")</f>
        <v/>
      </c>
      <c r="N235" s="6">
        <f>HYPERLINK("http://www.eum.go.kr/web/ar/lu/luLandDet.jsp?pnu=3611011200113430000&amp;isNoScr=script&amp;mode=search", "토지이음")</f>
        <v/>
      </c>
      <c r="O235" s="3" t="inlineStr">
        <is>
          <t>고운동리치세종</t>
        </is>
      </c>
      <c r="P235" s="4" t="n">
        <v>1</v>
      </c>
      <c r="Q235" s="4" t="n">
        <v>386.8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사다리형</t>
        </is>
      </c>
      <c r="V235" s="3" t="inlineStr">
        <is>
          <t>소로각지</t>
        </is>
      </c>
    </row>
    <row r="236">
      <c r="A236" s="3" t="inlineStr">
        <is>
          <t>고운동 1344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64000</v>
      </c>
      <c r="G236" s="4" t="n">
        <v>348</v>
      </c>
      <c r="H236" s="4" t="n">
        <v>105</v>
      </c>
      <c r="I236" s="5" t="n">
        <v>609.5</v>
      </c>
      <c r="J236" s="5" t="n">
        <v>332.9</v>
      </c>
      <c r="K236" s="3" t="inlineStr">
        <is>
          <t>총 105.7p, 정남향, 상가인근 토지</t>
        </is>
      </c>
      <c r="L236" s="6">
        <f>HYPERLINK("https://fin.land.naver.com/articles/2647420830", "매물Link")</f>
        <v/>
      </c>
      <c r="M236" s="6">
        <f>HYPERLINK("https://map.naver.com/p/search/고운동 1344", "지도Link")</f>
        <v/>
      </c>
      <c r="N236" s="6">
        <f>HYPERLINK("http://www.eum.go.kr/web/ar/lu/luLandDet.jsp?pnu=3611011200113440000&amp;isNoScr=script&amp;mode=search",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348.8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사다리형</t>
        </is>
      </c>
      <c r="V236" s="3" t="inlineStr">
        <is>
          <t>소로한면</t>
        </is>
      </c>
    </row>
    <row r="237">
      <c r="A237" s="3" t="inlineStr">
        <is>
          <t>고운동 1344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63000</v>
      </c>
      <c r="G237" s="4" t="n">
        <v>348</v>
      </c>
      <c r="H237" s="4" t="n">
        <v>105</v>
      </c>
      <c r="I237" s="5" t="n">
        <v>600</v>
      </c>
      <c r="J237" s="5" t="n">
        <v>332.9</v>
      </c>
      <c r="K237" s="3" t="inlineStr">
        <is>
          <t>주택에 정원 설계가 용이한 토지 모양, 편의시설 가까워 생활편리</t>
        </is>
      </c>
      <c r="L237" s="6">
        <f>HYPERLINK("https://fin.land.naver.com/articles/2649699764", "매물Link")</f>
        <v/>
      </c>
      <c r="M237" s="6">
        <f>HYPERLINK("https://map.naver.com/p/search/고운동 1344", "지도Link")</f>
        <v/>
      </c>
      <c r="N237" s="6">
        <f>HYPERLINK("http://www.eum.go.kr/web/ar/lu/luLandDet.jsp?pnu=3611011200113440000&amp;isNoScr=script&amp;mode=search",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348.8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사다리형</t>
        </is>
      </c>
      <c r="V237" s="3" t="inlineStr">
        <is>
          <t>소로한면</t>
        </is>
      </c>
    </row>
    <row r="238">
      <c r="A238" s="3" t="inlineStr">
        <is>
          <t>고운동 1433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334</v>
      </c>
      <c r="H238" s="4" t="n">
        <v>101</v>
      </c>
      <c r="I238" s="5" t="n">
        <v>643.6</v>
      </c>
      <c r="J238" s="5" t="n">
        <v>334.9</v>
      </c>
      <c r="K238" s="3" t="inlineStr">
        <is>
          <t>nan</t>
        </is>
      </c>
      <c r="L238" s="6">
        <f>HYPERLINK("https://fin.land.naver.com/articles/2649619098", "매물Link")</f>
        <v/>
      </c>
      <c r="M238" s="6">
        <f>HYPERLINK("https://map.naver.com/p/search/고운동 1433", "지도Link")</f>
        <v/>
      </c>
      <c r="N238" s="6">
        <f>HYPERLINK("http://www.eum.go.kr/web/ar/lu/luLandDet.jsp?pnu=3611011200114330000&amp;isNoScr=script&amp;mode=search",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334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소로한면</t>
        </is>
      </c>
    </row>
    <row r="239">
      <c r="A239" s="3" t="inlineStr">
        <is>
          <t>고운동 1462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358</v>
      </c>
      <c r="H239" s="4" t="n">
        <v>108</v>
      </c>
      <c r="I239" s="5" t="n">
        <v>555.6</v>
      </c>
      <c r="J239" s="5" t="n">
        <v>334.9</v>
      </c>
      <c r="K239" s="3" t="inlineStr">
        <is>
          <t>조율가능 넓은평수 지대높음</t>
        </is>
      </c>
      <c r="L239" s="6">
        <f>HYPERLINK("https://fin.land.naver.com/articles/2648615564", "매물Link")</f>
        <v/>
      </c>
      <c r="M239" s="6">
        <f>HYPERLINK("https://map.naver.com/p/search/고운동 1462", "지도Link")</f>
        <v/>
      </c>
      <c r="N239" s="6">
        <f>HYPERLINK("http://www.eum.go.kr/web/ar/lu/luLandDet.jsp?pnu=3611011200114620000&amp;isNoScr=script&amp;mode=search", "토지이음")</f>
        <v/>
      </c>
      <c r="O239" s="3" t="inlineStr">
        <is>
          <t>세종스타</t>
        </is>
      </c>
      <c r="P239" s="4" t="n">
        <v>2</v>
      </c>
      <c r="Q239" s="4" t="n">
        <v>358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1463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69000</v>
      </c>
      <c r="G240" s="4" t="n">
        <v>356</v>
      </c>
      <c r="H240" s="4" t="n">
        <v>108</v>
      </c>
      <c r="I240" s="5" t="n">
        <v>638.9</v>
      </c>
      <c r="J240" s="5" t="n">
        <v>334.9</v>
      </c>
      <c r="K240" s="3" t="inlineStr">
        <is>
          <t>고운동 단독주택지 저렴한 매물</t>
        </is>
      </c>
      <c r="L240" s="6">
        <f>HYPERLINK("https://fin.land.naver.com/articles/2648967212", "매물Link")</f>
        <v/>
      </c>
      <c r="M240" s="6">
        <f>HYPERLINK("https://map.naver.com/p/search/고운동 1463", "지도Link")</f>
        <v/>
      </c>
      <c r="N240" s="6">
        <f>HYPERLINK("http://www.eum.go.kr/web/ar/lu/luLandDet.jsp?pnu=3611011200114630000&amp;isNoScr=script&amp;mode=search", "토지이음")</f>
        <v/>
      </c>
      <c r="O240" s="3" t="inlineStr">
        <is>
          <t>명품시티</t>
        </is>
      </c>
      <c r="P240" s="4" t="n">
        <v>1</v>
      </c>
      <c r="Q240" s="4" t="n">
        <v>356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1464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357</v>
      </c>
      <c r="H241" s="4" t="n">
        <v>108</v>
      </c>
      <c r="I241" s="5" t="n">
        <v>555.6</v>
      </c>
      <c r="J241" s="5" t="n">
        <v>334.9</v>
      </c>
      <c r="K241" s="3" t="inlineStr">
        <is>
          <t>급매 우측시유지 넓은접함 조율가능</t>
        </is>
      </c>
      <c r="L241" s="6">
        <f>HYPERLINK("https://fin.land.naver.com/articles/2651088249", "매물Link")</f>
        <v/>
      </c>
      <c r="M241" s="6">
        <f>HYPERLINK("https://map.naver.com/p/search/고운동 1464", "지도Link")</f>
        <v/>
      </c>
      <c r="N241" s="6">
        <f>HYPERLINK("http://www.eum.go.kr/web/ar/lu/luLandDet.jsp?pnu=3611011200114640000&amp;isNoScr=script&amp;mode=search", "토지이음")</f>
        <v/>
      </c>
      <c r="O241" s="3" t="inlineStr">
        <is>
          <t>세종스타</t>
        </is>
      </c>
      <c r="P241" s="4" t="n">
        <v>1</v>
      </c>
      <c r="Q241" s="4" t="n">
        <v>357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1491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325</v>
      </c>
      <c r="H242" s="4" t="n">
        <v>98</v>
      </c>
      <c r="I242" s="5" t="n">
        <v>612.2</v>
      </c>
      <c r="J242" s="5" t="n">
        <v>351.4</v>
      </c>
      <c r="K242" s="3" t="inlineStr">
        <is>
          <t>코너각지로 상가와복컴,학교가까운 위치좋은택지</t>
        </is>
      </c>
      <c r="L242" s="6">
        <f>HYPERLINK("https://fin.land.naver.com/articles/2649416314", "매물Link")</f>
        <v/>
      </c>
      <c r="M242" s="6">
        <f>HYPERLINK("https://map.naver.com/p/search/고운동 1491", "지도Link")</f>
        <v/>
      </c>
      <c r="N242" s="6">
        <f>HYPERLINK("http://www.eum.go.kr/web/ar/lu/luLandDet.jsp?pnu=3611011200114910000&amp;isNoScr=script&amp;mode=search", "토지이음")</f>
        <v/>
      </c>
      <c r="O242" s="3" t="inlineStr">
        <is>
          <t>세종황소</t>
        </is>
      </c>
      <c r="P242" s="4" t="n">
        <v>1</v>
      </c>
      <c r="Q242" s="4" t="n">
        <v>325.6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1524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112000</v>
      </c>
      <c r="G243" s="4" t="n">
        <v>409</v>
      </c>
      <c r="H243" s="4" t="n">
        <v>124</v>
      </c>
      <c r="I243" s="5" t="n">
        <v>903.2</v>
      </c>
      <c r="J243" s="5" t="n">
        <v>787.1</v>
      </c>
      <c r="K243" s="3" t="inlineStr">
        <is>
          <t>급매 고운동 귀한 근생용지 매매 서두르세요</t>
        </is>
      </c>
      <c r="L243" s="6">
        <f>HYPERLINK("https://fin.land.naver.com/articles/2649795902", "매물Link")</f>
        <v/>
      </c>
      <c r="M243" s="6">
        <f>HYPERLINK("https://map.naver.com/p/search/고운동 1524", "지도Link")</f>
        <v/>
      </c>
      <c r="N243" s="6">
        <f>HYPERLINK("http://www.eum.go.kr/web/ar/lu/luLandDet.jsp?pnu=3611011200115240000&amp;isNoScr=script&amp;mode=search", "토지이음")</f>
        <v/>
      </c>
      <c r="O243" s="3" t="inlineStr">
        <is>
          <t>국제</t>
        </is>
      </c>
      <c r="P243" s="4" t="n">
        <v>3</v>
      </c>
      <c r="Q243" s="4" t="n">
        <v>409.3</v>
      </c>
      <c r="R243" s="3" t="inlineStr">
        <is>
          <t>지정되지않음</t>
        </is>
      </c>
      <c r="S243" s="3" t="inlineStr">
        <is>
          <t>상업용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중로한면</t>
        </is>
      </c>
    </row>
    <row r="244">
      <c r="A244" s="3" t="inlineStr">
        <is>
          <t>고운동 1531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110000</v>
      </c>
      <c r="G244" s="4" t="n">
        <v>361</v>
      </c>
      <c r="H244" s="4" t="n">
        <v>109</v>
      </c>
      <c r="I244" s="5" t="n">
        <v>1009.2</v>
      </c>
      <c r="J244" s="5" t="n">
        <v>771.9</v>
      </c>
      <c r="K244" s="3" t="inlineStr">
        <is>
          <t>대로변 근생부지 매매</t>
        </is>
      </c>
      <c r="L244" s="6">
        <f>HYPERLINK("https://fin.land.naver.com/articles/2646339339", "매물Link")</f>
        <v/>
      </c>
      <c r="M244" s="6">
        <f>HYPERLINK("https://map.naver.com/p/search/고운동 1531", "지도Link")</f>
        <v/>
      </c>
      <c r="N244" s="6">
        <f>HYPERLINK("http://www.eum.go.kr/web/ar/lu/luLandDet.jsp?pnu=3611011200115310000&amp;isNoScr=script&amp;mode=search", "토지이음")</f>
        <v/>
      </c>
      <c r="O244" s="3" t="inlineStr">
        <is>
          <t>창고의여왕</t>
        </is>
      </c>
      <c r="P244" s="4" t="n">
        <v>1</v>
      </c>
      <c r="Q244" s="4" t="n">
        <v>361.8</v>
      </c>
      <c r="R244" s="3" t="inlineStr">
        <is>
          <t>지정되지않음</t>
        </is>
      </c>
      <c r="S244" s="3" t="inlineStr">
        <is>
          <t>상업나지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중로한면</t>
        </is>
      </c>
    </row>
    <row r="245">
      <c r="A245" s="3" t="inlineStr">
        <is>
          <t>고운동 1531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99000</v>
      </c>
      <c r="G245" s="4" t="n">
        <v>361</v>
      </c>
      <c r="H245" s="4" t="n">
        <v>109</v>
      </c>
      <c r="I245" s="5" t="n">
        <v>908.3</v>
      </c>
      <c r="J245" s="5" t="n">
        <v>771.9</v>
      </c>
      <c r="K245" s="3" t="inlineStr">
        <is>
          <t>I 급매 I 먹자골목 메인 대로변 파격 급매 근생용지, 직접 지어서 운영</t>
        </is>
      </c>
      <c r="L245" s="6">
        <f>HYPERLINK("https://fin.land.naver.com/articles/2648523071", "매물Link")</f>
        <v/>
      </c>
      <c r="M245" s="6">
        <f>HYPERLINK("https://map.naver.com/p/search/고운동 1531", "지도Link")</f>
        <v/>
      </c>
      <c r="N245" s="6">
        <f>HYPERLINK("http://www.eum.go.kr/web/ar/lu/luLandDet.jsp?pnu=3611011200115310000&amp;isNoScr=script&amp;mode=search", "토지이음")</f>
        <v/>
      </c>
      <c r="O245" s="3" t="inlineStr">
        <is>
          <t>세종신한</t>
        </is>
      </c>
      <c r="P245" s="4" t="n">
        <v>1</v>
      </c>
      <c r="Q245" s="4" t="n">
        <v>361.8</v>
      </c>
      <c r="R245" s="3" t="inlineStr">
        <is>
          <t>지정되지않음</t>
        </is>
      </c>
      <c r="S245" s="3" t="inlineStr">
        <is>
          <t>상업나지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중로한면</t>
        </is>
      </c>
    </row>
    <row r="246">
      <c r="A246" s="3" t="inlineStr">
        <is>
          <t>고운동 1539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50000</v>
      </c>
      <c r="G246" s="4" t="n">
        <v>377</v>
      </c>
      <c r="H246" s="4" t="n">
        <v>114</v>
      </c>
      <c r="I246" s="5" t="n">
        <v>438.6</v>
      </c>
      <c r="J246" s="5" t="n">
        <v>340.2</v>
      </c>
      <c r="K246" s="3" t="inlineStr">
        <is>
          <t>급매 추가조율협의됨 넓은필지</t>
        </is>
      </c>
      <c r="L246" s="6">
        <f>HYPERLINK("https://fin.land.naver.com/articles/2651115388", "매물Link")</f>
        <v/>
      </c>
      <c r="M246" s="6">
        <f>HYPERLINK("https://map.naver.com/p/search/고운동 1539", "지도Link")</f>
        <v/>
      </c>
      <c r="N246" s="6">
        <f>HYPERLINK("http://www.eum.go.kr/web/ar/lu/luLandDet.jsp?pnu=3611011200115390000&amp;isNoScr=script&amp;mode=search",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377.1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1551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50000</v>
      </c>
      <c r="G247" s="4" t="n">
        <v>395</v>
      </c>
      <c r="H247" s="4" t="n">
        <v>119</v>
      </c>
      <c r="I247" s="5" t="n">
        <v>420.2</v>
      </c>
      <c r="J247" s="5" t="n">
        <v>324.2</v>
      </c>
      <c r="K247" s="3" t="inlineStr">
        <is>
          <t>급 매매 평수 좋음</t>
        </is>
      </c>
      <c r="L247" s="6">
        <f>HYPERLINK("https://fin.land.naver.com/articles/2649564858", "매물Link")</f>
        <v/>
      </c>
      <c r="M247" s="6">
        <f>HYPERLINK("https://map.naver.com/p/search/고운동 1551", "지도Link")</f>
        <v/>
      </c>
      <c r="N247" s="6">
        <f>HYPERLINK("http://www.eum.go.kr/web/ar/lu/luLandDet.jsp?pnu=3611011200115510000&amp;isNoScr=script&amp;mode=search", "토지이음")</f>
        <v/>
      </c>
      <c r="O247" s="3" t="inlineStr">
        <is>
          <t>킹세종</t>
        </is>
      </c>
      <c r="P247" s="4" t="n">
        <v>2</v>
      </c>
      <c r="Q247" s="4" t="n">
        <v>395.6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소로한면</t>
        </is>
      </c>
    </row>
    <row r="248">
      <c r="A248" s="3" t="inlineStr">
        <is>
          <t>고운동 1551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50000</v>
      </c>
      <c r="G248" s="4" t="n">
        <v>395</v>
      </c>
      <c r="H248" s="4" t="n">
        <v>119</v>
      </c>
      <c r="I248" s="5" t="n">
        <v>420.2</v>
      </c>
      <c r="J248" s="5" t="n">
        <v>324.2</v>
      </c>
      <c r="K248" s="3" t="inlineStr">
        <is>
          <t>nan</t>
        </is>
      </c>
      <c r="L248" s="6">
        <f>HYPERLINK("https://fin.land.naver.com/articles/2651035209", "매물Link")</f>
        <v/>
      </c>
      <c r="M248" s="6">
        <f>HYPERLINK("https://map.naver.com/p/search/고운동 1551", "지도Link")</f>
        <v/>
      </c>
      <c r="N248" s="6">
        <f>HYPERLINK("http://www.eum.go.kr/web/ar/lu/luLandDet.jsp?pnu=3611011200115510000&amp;isNoScr=script&amp;mode=search", "토지이음")</f>
        <v/>
      </c>
      <c r="O248" s="3" t="inlineStr">
        <is>
          <t>디아트성심</t>
        </is>
      </c>
      <c r="P248" s="4" t="n">
        <v>1</v>
      </c>
      <c r="Q248" s="4" t="n">
        <v>395.6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소로한면</t>
        </is>
      </c>
    </row>
    <row r="249">
      <c r="A249" s="3" t="inlineStr">
        <is>
          <t>고운동 1551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50000</v>
      </c>
      <c r="G249" s="4" t="n">
        <v>395</v>
      </c>
      <c r="H249" s="4" t="n">
        <v>119</v>
      </c>
      <c r="I249" s="5" t="n">
        <v>420.2</v>
      </c>
      <c r="J249" s="5" t="n">
        <v>324.2</v>
      </c>
      <c r="K249" s="3" t="inlineStr">
        <is>
          <t>급매,복합커뮤니티센터,중심상권,학군도보가능 생활권 편리</t>
        </is>
      </c>
      <c r="L249" s="6">
        <f>HYPERLINK("https://fin.land.naver.com/articles/2650851019", "매물Link")</f>
        <v/>
      </c>
      <c r="M249" s="6">
        <f>HYPERLINK("https://map.naver.com/p/search/고운동 1551", "지도Link")</f>
        <v/>
      </c>
      <c r="N249" s="6">
        <f>HYPERLINK("http://www.eum.go.kr/web/ar/lu/luLandDet.jsp?pnu=3611011200115510000&amp;isNoScr=script&amp;mode=search", "토지이음")</f>
        <v/>
      </c>
      <c r="O249" s="3" t="inlineStr">
        <is>
          <t>고운맘</t>
        </is>
      </c>
      <c r="P249" s="4" t="n">
        <v>1</v>
      </c>
      <c r="Q249" s="4" t="n">
        <v>395.6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소로한면</t>
        </is>
      </c>
    </row>
    <row r="250">
      <c r="A250" s="3" t="inlineStr">
        <is>
          <t>고운동 1551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50000</v>
      </c>
      <c r="G250" s="4" t="n">
        <v>395</v>
      </c>
      <c r="H250" s="4" t="n">
        <v>119</v>
      </c>
      <c r="I250" s="5" t="n">
        <v>420.2</v>
      </c>
      <c r="J250" s="5" t="n">
        <v>324.2</v>
      </c>
      <c r="K250" s="3" t="inlineStr">
        <is>
          <t>nan</t>
        </is>
      </c>
      <c r="L250" s="6">
        <f>HYPERLINK("https://fin.land.naver.com/articles/2648898784", "매물Link")</f>
        <v/>
      </c>
      <c r="M250" s="6">
        <f>HYPERLINK("https://map.naver.com/p/search/고운동 1551", "지도Link")</f>
        <v/>
      </c>
      <c r="N250" s="6">
        <f>HYPERLINK("http://www.eum.go.kr/web/ar/lu/luLandDet.jsp?pnu=3611011200115510000&amp;isNoScr=script&amp;mode=search",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395.6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소로한면</t>
        </is>
      </c>
    </row>
    <row r="251">
      <c r="A251" s="3" t="inlineStr">
        <is>
          <t>고운동 1551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50000</v>
      </c>
      <c r="G251" s="4" t="n">
        <v>395</v>
      </c>
      <c r="H251" s="4" t="n">
        <v>119</v>
      </c>
      <c r="I251" s="5" t="n">
        <v>420.2</v>
      </c>
      <c r="J251" s="5" t="n">
        <v>324.2</v>
      </c>
      <c r="K251" s="3" t="inlineStr">
        <is>
          <t>총 119.9p, 상가인근토지, 삼거리 위치</t>
        </is>
      </c>
      <c r="L251" s="6">
        <f>HYPERLINK("https://fin.land.naver.com/articles/2646696906", "매물Link")</f>
        <v/>
      </c>
      <c r="M251" s="6">
        <f>HYPERLINK("https://map.naver.com/p/search/고운동 1551", "지도Link")</f>
        <v/>
      </c>
      <c r="N251" s="6">
        <f>HYPERLINK("http://www.eum.go.kr/web/ar/lu/luLandDet.jsp?pnu=3611011200115510000&amp;isNoScr=script&amp;mode=search", "토지이음")</f>
        <v/>
      </c>
      <c r="O251" s="3" t="inlineStr">
        <is>
          <t>세종무지개</t>
        </is>
      </c>
      <c r="P251" s="4" t="n">
        <v>1</v>
      </c>
      <c r="Q251" s="4" t="n">
        <v>395.6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소로한면</t>
        </is>
      </c>
    </row>
    <row r="252">
      <c r="A252" s="3" t="inlineStr">
        <is>
          <t>고운동 1556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55000</v>
      </c>
      <c r="G252" s="4" t="n">
        <v>340</v>
      </c>
      <c r="H252" s="4" t="n">
        <v>103</v>
      </c>
      <c r="I252" s="5" t="n">
        <v>534</v>
      </c>
      <c r="J252" s="5" t="n">
        <v>322.6</v>
      </c>
      <c r="K252" s="3" t="inlineStr">
        <is>
          <t>급매.상권가까운 저렴한 택지.</t>
        </is>
      </c>
      <c r="L252" s="6">
        <f>HYPERLINK("https://fin.land.naver.com/articles/2647592924", "매물Link")</f>
        <v/>
      </c>
      <c r="M252" s="6">
        <f>HYPERLINK("https://map.naver.com/p/search/고운동 1556", "지도Link")</f>
        <v/>
      </c>
      <c r="N252" s="6">
        <f>HYPERLINK("http://www.eum.go.kr/web/ar/lu/luLandDet.jsp?pnu=3611011200115560000&amp;isNoScr=script&amp;mode=search", "토지이음")</f>
        <v/>
      </c>
      <c r="O252" s="3" t="inlineStr">
        <is>
          <t>킹</t>
        </is>
      </c>
      <c r="P252" s="4" t="n">
        <v>1</v>
      </c>
      <c r="Q252" s="4" t="n">
        <v>340.8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중로한면</t>
        </is>
      </c>
    </row>
    <row r="253">
      <c r="A253" s="3" t="inlineStr">
        <is>
          <t>고운동 1560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342</v>
      </c>
      <c r="H253" s="4" t="n">
        <v>103</v>
      </c>
      <c r="I253" s="5" t="n">
        <v>631.1</v>
      </c>
      <c r="J253" s="5" t="n">
        <v>335.2</v>
      </c>
      <c r="K253" s="3" t="inlineStr">
        <is>
          <t>2면도로 접한 코너땅,근린상가 근접 이용편의</t>
        </is>
      </c>
      <c r="L253" s="6">
        <f>HYPERLINK("https://fin.land.naver.com/articles/2649660852", "매물Link")</f>
        <v/>
      </c>
      <c r="M253" s="6">
        <f>HYPERLINK("https://map.naver.com/p/search/고운동 1560", "지도Link")</f>
        <v/>
      </c>
      <c r="N253" s="6">
        <f>HYPERLINK("http://www.eum.go.kr/web/ar/lu/luLandDet.jsp?pnu=3611011200115600000&amp;isNoScr=script&amp;mode=search", "토지이음")</f>
        <v/>
      </c>
      <c r="O253" s="3" t="inlineStr">
        <is>
          <t>킹세종</t>
        </is>
      </c>
      <c r="P253" s="4" t="n">
        <v>2</v>
      </c>
      <c r="Q253" s="4" t="n">
        <v>342.9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중로각지</t>
        </is>
      </c>
    </row>
    <row r="254">
      <c r="A254" s="3" t="inlineStr">
        <is>
          <t>고운동 1568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55000</v>
      </c>
      <c r="G254" s="4" t="n">
        <v>356</v>
      </c>
      <c r="H254" s="4" t="n">
        <v>108</v>
      </c>
      <c r="I254" s="5" t="n">
        <v>509.3</v>
      </c>
      <c r="J254" s="5" t="n">
        <v>324.2</v>
      </c>
      <c r="K254" s="3" t="inlineStr">
        <is>
          <t>급매, 위치좋은 토지매매, 108.1p</t>
        </is>
      </c>
      <c r="L254" s="6">
        <f>HYPERLINK("https://fin.land.naver.com/articles/2646692779", "매물Link")</f>
        <v/>
      </c>
      <c r="M254" s="6">
        <f>HYPERLINK("https://map.naver.com/p/search/고운동 1568", "지도Link")</f>
        <v/>
      </c>
      <c r="N254" s="6">
        <f>HYPERLINK("http://www.eum.go.kr/web/ar/lu/luLandDet.jsp?pnu=3611011200115680000&amp;isNoScr=script&amp;mode=search",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356.8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소로한면</t>
        </is>
      </c>
    </row>
    <row r="255">
      <c r="A255" s="3" t="inlineStr">
        <is>
          <t>고운동 1595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53000</v>
      </c>
      <c r="G255" s="4" t="n">
        <v>393</v>
      </c>
      <c r="H255" s="4" t="n">
        <v>119</v>
      </c>
      <c r="I255" s="5" t="n">
        <v>445.4</v>
      </c>
      <c r="J255" s="5" t="n">
        <v>330.3</v>
      </c>
      <c r="K255" s="3" t="inlineStr">
        <is>
          <t>급매,학교앞 위치좋은곳,대지면적넓음</t>
        </is>
      </c>
      <c r="L255" s="6">
        <f>HYPERLINK("https://fin.land.naver.com/articles/2649455123", "매물Link")</f>
        <v/>
      </c>
      <c r="M255" s="6">
        <f>HYPERLINK("https://map.naver.com/p/search/고운동 1595", "지도Link")</f>
        <v/>
      </c>
      <c r="N255" s="6">
        <f>HYPERLINK("http://www.eum.go.kr/web/ar/lu/luLandDet.jsp?pnu=3611011200115950000&amp;isNoScr=script&amp;mode=search", "토지이음")</f>
        <v/>
      </c>
      <c r="O255" s="3" t="inlineStr">
        <is>
          <t>세종황소</t>
        </is>
      </c>
      <c r="P255" s="4" t="n">
        <v>1</v>
      </c>
      <c r="Q255" s="4" t="n">
        <v>393.6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부정형</t>
        </is>
      </c>
      <c r="V255" s="3" t="inlineStr">
        <is>
          <t>소로각지</t>
        </is>
      </c>
    </row>
    <row r="256">
      <c r="A256" s="3" t="inlineStr">
        <is>
          <t>고운동 1598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58000</v>
      </c>
      <c r="G256" s="4" t="n">
        <v>340</v>
      </c>
      <c r="H256" s="4" t="n">
        <v>103</v>
      </c>
      <c r="I256" s="5" t="n">
        <v>563.1</v>
      </c>
      <c r="J256" s="5" t="n">
        <v>366</v>
      </c>
      <c r="K256" s="3" t="inlineStr">
        <is>
          <t>남향,코너,완충녹지,보행로 접, 초교,고교,상권,공원 근접합니다.</t>
        </is>
      </c>
      <c r="L256" s="6">
        <f>HYPERLINK("https://fin.land.naver.com/articles/2651035408", "매물Link")</f>
        <v/>
      </c>
      <c r="M256" s="6">
        <f>HYPERLINK("https://map.naver.com/p/search/고운동 1598", "지도Link")</f>
        <v/>
      </c>
      <c r="N256" s="6">
        <f>HYPERLINK("http://www.eum.go.kr/web/ar/lu/luLandDet.jsp?pnu=3611011200115980000&amp;isNoScr=script&amp;mode=search", "토지이음")</f>
        <v/>
      </c>
      <c r="O256" s="3" t="inlineStr">
        <is>
          <t>디아트성심</t>
        </is>
      </c>
      <c r="P256" s="4" t="n">
        <v>1</v>
      </c>
      <c r="Q256" s="4" t="n">
        <v>340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중로각지</t>
        </is>
      </c>
    </row>
    <row r="257">
      <c r="A257" s="3" t="inlineStr">
        <is>
          <t>고운동 1598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58000</v>
      </c>
      <c r="G257" s="4" t="n">
        <v>340</v>
      </c>
      <c r="H257" s="4" t="n">
        <v>103</v>
      </c>
      <c r="I257" s="5" t="n">
        <v>563.1</v>
      </c>
      <c r="J257" s="5" t="n">
        <v>366</v>
      </c>
      <c r="K257" s="3" t="inlineStr">
        <is>
          <t>급매 3면코너각지 산조망 위치최상 조율가능</t>
        </is>
      </c>
      <c r="L257" s="6">
        <f>HYPERLINK("https://fin.land.naver.com/articles/2648615408", "매물Link")</f>
        <v/>
      </c>
      <c r="M257" s="6">
        <f>HYPERLINK("https://map.naver.com/p/search/고운동 1598", "지도Link")</f>
        <v/>
      </c>
      <c r="N257" s="6">
        <f>HYPERLINK("http://www.eum.go.kr/web/ar/lu/luLandDet.jsp?pnu=3611011200115980000&amp;isNoScr=script&amp;mode=search",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340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중로각지</t>
        </is>
      </c>
    </row>
    <row r="258">
      <c r="A258" s="3" t="inlineStr">
        <is>
          <t>고운동 1618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80000</v>
      </c>
      <c r="G258" s="4" t="n">
        <v>401</v>
      </c>
      <c r="H258" s="4" t="n">
        <v>121</v>
      </c>
      <c r="I258" s="5" t="n">
        <v>661.2</v>
      </c>
      <c r="J258" s="5" t="n">
        <v>326.7</v>
      </c>
      <c r="K258" s="3" t="inlineStr">
        <is>
          <t>조율가능 남향 실개천옆 최선호위치</t>
        </is>
      </c>
      <c r="L258" s="6">
        <f>HYPERLINK("https://fin.land.naver.com/articles/2649618762", "매물Link")</f>
        <v/>
      </c>
      <c r="M258" s="6">
        <f>HYPERLINK("https://map.naver.com/p/search/고운동 1618", "지도Link")</f>
        <v/>
      </c>
      <c r="N258" s="6">
        <f>HYPERLINK("http://www.eum.go.kr/web/ar/lu/luLandDet.jsp?pnu=3611011200116180000&amp;isNoScr=script&amp;mode=search",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401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자루형</t>
        </is>
      </c>
      <c r="V258" s="3" t="inlineStr">
        <is>
          <t>소로각지</t>
        </is>
      </c>
    </row>
    <row r="259">
      <c r="A259" s="3" t="inlineStr">
        <is>
          <t>고운동 1629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51000</v>
      </c>
      <c r="G259" s="4" t="n">
        <v>347</v>
      </c>
      <c r="H259" s="4" t="n">
        <v>105</v>
      </c>
      <c r="I259" s="5" t="n">
        <v>485.7</v>
      </c>
      <c r="J259" s="5" t="n">
        <v>336.2</v>
      </c>
      <c r="K259" s="3" t="inlineStr">
        <is>
          <t>전원주택을 지을수있는 위치좋은 대지</t>
        </is>
      </c>
      <c r="L259" s="6">
        <f>HYPERLINK("https://fin.land.naver.com/articles/2649719558", "매물Link")</f>
        <v/>
      </c>
      <c r="M259" s="6">
        <f>HYPERLINK("https://map.naver.com/p/search/고운동 1629", "지도Link")</f>
        <v/>
      </c>
      <c r="N259" s="6">
        <f>HYPERLINK("http://www.eum.go.kr/web/ar/lu/luLandDet.jsp?pnu=3611011200116290000&amp;isNoScr=script&amp;mode=search", "토지이음")</f>
        <v/>
      </c>
      <c r="O259" s="3" t="inlineStr">
        <is>
          <t>대한</t>
        </is>
      </c>
      <c r="P259" s="4" t="n">
        <v>1</v>
      </c>
      <c r="Q259" s="4" t="n">
        <v>347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세로장방</t>
        </is>
      </c>
      <c r="V259" s="3" t="inlineStr">
        <is>
          <t>중로각지</t>
        </is>
      </c>
    </row>
    <row r="260">
      <c r="A260" s="3" t="inlineStr">
        <is>
          <t>고운동 1642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172000</v>
      </c>
      <c r="G260" s="4" t="n">
        <v>391</v>
      </c>
      <c r="H260" s="4" t="n">
        <v>118</v>
      </c>
      <c r="I260" s="5" t="n">
        <v>1457.6</v>
      </c>
      <c r="J260" s="5" t="n">
        <v>802.6</v>
      </c>
      <c r="K260" s="3" t="inlineStr">
        <is>
          <t>근생토지, 맛집 라인에 위치한 입지 좋은 토지</t>
        </is>
      </c>
      <c r="L260" s="6">
        <f>HYPERLINK("https://fin.land.naver.com/articles/2650427880", "매물Link")</f>
        <v/>
      </c>
      <c r="M260" s="6">
        <f>HYPERLINK("https://map.naver.com/p/search/고운동 1642", "지도Link")</f>
        <v/>
      </c>
      <c r="N260" s="6">
        <f>HYPERLINK("http://www.eum.go.kr/web/ar/lu/luLandDet.jsp?pnu=3611011200116420000&amp;isNoScr=script&amp;mode=search",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391.3</v>
      </c>
      <c r="R260" s="3" t="inlineStr">
        <is>
          <t>지정되지않음</t>
        </is>
      </c>
      <c r="S260" s="3" t="inlineStr">
        <is>
          <t>상업용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중로각지</t>
        </is>
      </c>
    </row>
    <row r="261">
      <c r="A261" s="3" t="inlineStr">
        <is>
          <t>고운동 1664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348</v>
      </c>
      <c r="H261" s="4" t="n">
        <v>105</v>
      </c>
      <c r="I261" s="5" t="n">
        <v>571.4</v>
      </c>
      <c r="J261" s="5" t="n">
        <v>312.7</v>
      </c>
      <c r="K261" s="3" t="inlineStr">
        <is>
          <t>총 105.5p, 공원 앞, 위치좋은 토지</t>
        </is>
      </c>
      <c r="L261" s="6">
        <f>HYPERLINK("https://fin.land.naver.com/articles/2646693588", "매물Link")</f>
        <v/>
      </c>
      <c r="M261" s="6">
        <f>HYPERLINK("https://map.naver.com/p/search/고운동 1664", "지도Link")</f>
        <v/>
      </c>
      <c r="N261" s="6">
        <f>HYPERLINK("http://www.eum.go.kr/web/ar/lu/luLandDet.jsp?pnu=3611011200116640000&amp;isNoScr=script&amp;mode=search", "토지이음")</f>
        <v/>
      </c>
      <c r="O261" s="3" t="inlineStr">
        <is>
          <t>세종무지개</t>
        </is>
      </c>
      <c r="P261" s="4" t="n">
        <v>1</v>
      </c>
      <c r="Q261" s="4" t="n">
        <v>348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1664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348</v>
      </c>
      <c r="H262" s="4" t="n">
        <v>105</v>
      </c>
      <c r="I262" s="5" t="n">
        <v>571.4</v>
      </c>
      <c r="J262" s="5" t="n">
        <v>312.7</v>
      </c>
      <c r="K262" s="3" t="inlineStr">
        <is>
          <t>105.5p, 공원 옆 전망 좋은 단독주택 토지 매매</t>
        </is>
      </c>
      <c r="L262" s="6">
        <f>HYPERLINK("https://fin.land.naver.com/articles/2648127338", "매물Link")</f>
        <v/>
      </c>
      <c r="M262" s="6">
        <f>HYPERLINK("https://map.naver.com/p/search/고운동 1664", "지도Link")</f>
        <v/>
      </c>
      <c r="N262" s="6">
        <f>HYPERLINK("http://www.eum.go.kr/web/ar/lu/luLandDet.jsp?pnu=3611011200116640000&amp;isNoScr=script&amp;mode=search", "토지이음")</f>
        <v/>
      </c>
      <c r="O262" s="3" t="inlineStr">
        <is>
          <t>명진</t>
        </is>
      </c>
      <c r="P262" s="4" t="n">
        <v>1</v>
      </c>
      <c r="Q262" s="4" t="n">
        <v>348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소로각지</t>
        </is>
      </c>
    </row>
    <row r="263">
      <c r="A263" s="3" t="inlineStr">
        <is>
          <t>고운동 1664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348</v>
      </c>
      <c r="H263" s="4" t="n">
        <v>105</v>
      </c>
      <c r="I263" s="5" t="n">
        <v>571.4</v>
      </c>
      <c r="J263" s="5" t="n">
        <v>312.7</v>
      </c>
      <c r="K263" s="3" t="inlineStr">
        <is>
          <t>급매 추가조율가능 지대높음 실개천인근 초중고도보5분</t>
        </is>
      </c>
      <c r="L263" s="6">
        <f>HYPERLINK("https://fin.land.naver.com/articles/2648615800", "매물Link")</f>
        <v/>
      </c>
      <c r="M263" s="6">
        <f>HYPERLINK("https://map.naver.com/p/search/고운동 1664", "지도Link")</f>
        <v/>
      </c>
      <c r="N263" s="6">
        <f>HYPERLINK("http://www.eum.go.kr/web/ar/lu/luLandDet.jsp?pnu=3611011200116640000&amp;isNoScr=script&amp;mode=search",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348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1682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49000</v>
      </c>
      <c r="G264" s="4" t="n">
        <v>317</v>
      </c>
      <c r="H264" s="4" t="n">
        <v>96</v>
      </c>
      <c r="I264" s="5" t="n">
        <v>510.4</v>
      </c>
      <c r="J264" s="5" t="n">
        <v>312.7</v>
      </c>
      <c r="K264" s="3" t="inlineStr">
        <is>
          <t>96.1p, 고운동 코너자리 단독주택 토지매매</t>
        </is>
      </c>
      <c r="L264" s="6">
        <f>HYPERLINK("https://fin.land.naver.com/articles/2649004997", "매물Link")</f>
        <v/>
      </c>
      <c r="M264" s="6">
        <f>HYPERLINK("https://map.naver.com/p/search/고운동 1682", "지도Link")</f>
        <v/>
      </c>
      <c r="N264" s="6">
        <f>HYPERLINK("http://www.eum.go.kr/web/ar/lu/luLandDet.jsp?pnu=3611011200116820000&amp;isNoScr=script&amp;mode=search", "토지이음")</f>
        <v/>
      </c>
      <c r="O264" s="3" t="inlineStr">
        <is>
          <t>명진</t>
        </is>
      </c>
      <c r="P264" s="4" t="n">
        <v>1</v>
      </c>
      <c r="Q264" s="4" t="n">
        <v>317.2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소로각지</t>
        </is>
      </c>
    </row>
    <row r="265">
      <c r="A265" s="3" t="inlineStr">
        <is>
          <t>고운동 1684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55000</v>
      </c>
      <c r="G265" s="4" t="n">
        <v>330</v>
      </c>
      <c r="H265" s="4" t="n">
        <v>100</v>
      </c>
      <c r="I265" s="5" t="n">
        <v>550</v>
      </c>
      <c r="J265" s="5" t="n">
        <v>299.2</v>
      </c>
      <c r="K265" s="3" t="inlineStr">
        <is>
          <t>공원인접,상가인접,초중고인접,조율가능</t>
        </is>
      </c>
      <c r="L265" s="6">
        <f>HYPERLINK("https://fin.land.naver.com/articles/2648942488", "매물Link")</f>
        <v/>
      </c>
      <c r="M265" s="6">
        <f>HYPERLINK("https://map.naver.com/p/search/고운동 1684", "지도Link")</f>
        <v/>
      </c>
      <c r="N265" s="6">
        <f>HYPERLINK("http://www.eum.go.kr/web/ar/lu/luLandDet.jsp?pnu=3611011200116840000&amp;isNoScr=script&amp;mode=search", "토지이음")</f>
        <v/>
      </c>
      <c r="O265" s="3" t="inlineStr">
        <is>
          <t>똑똑</t>
        </is>
      </c>
      <c r="P265" s="4" t="n">
        <v>1</v>
      </c>
      <c r="Q265" s="4" t="n">
        <v>330.1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소로한면</t>
        </is>
      </c>
    </row>
    <row r="266">
      <c r="A266" s="3" t="inlineStr">
        <is>
          <t>고운동 1702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233000</v>
      </c>
      <c r="G266" s="4" t="n">
        <v>1544</v>
      </c>
      <c r="H266" s="4" t="n">
        <v>467</v>
      </c>
      <c r="I266" s="5" t="n">
        <v>498.9</v>
      </c>
      <c r="J266" s="5" t="n">
        <v>336.2</v>
      </c>
      <c r="K266" s="3" t="inlineStr">
        <is>
          <t>보육시설용지 유치원 어린이집 부지</t>
        </is>
      </c>
      <c r="L266" s="6">
        <f>HYPERLINK("https://fin.land.naver.com/articles/2648978969", "매물Link")</f>
        <v/>
      </c>
      <c r="M266" s="6">
        <f>HYPERLINK("https://map.naver.com/p/search/고운동 1702", "지도Link")</f>
        <v/>
      </c>
      <c r="N266" s="6">
        <f>HYPERLINK("http://www.eum.go.kr/web/ar/lu/luLandDet.jsp?pnu=3611011200117020000&amp;isNoScr=script&amp;mode=search",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1544</v>
      </c>
      <c r="R266" s="3" t="inlineStr">
        <is>
          <t>지정되지않음</t>
        </is>
      </c>
      <c r="S266" s="3" t="inlineStr">
        <is>
          <t>주거기타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1742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345</v>
      </c>
      <c r="H267" s="4" t="n">
        <v>104</v>
      </c>
      <c r="I267" s="5" t="n">
        <v>576.9</v>
      </c>
      <c r="J267" s="5" t="n">
        <v>297.1</v>
      </c>
      <c r="K267" s="3" t="inlineStr">
        <is>
          <t>조율가능 남향 해잘드는곳 학교 상권 가까운위치</t>
        </is>
      </c>
      <c r="L267" s="6">
        <f>HYPERLINK("https://fin.land.naver.com/articles/2651087896", "매물Link")</f>
        <v/>
      </c>
      <c r="M267" s="6">
        <f>HYPERLINK("https://map.naver.com/p/search/고운동 1742", "지도Link")</f>
        <v/>
      </c>
      <c r="N267" s="6">
        <f>HYPERLINK("http://www.eum.go.kr/web/ar/lu/luLandDet.jsp?pnu=3611011200117420000&amp;isNoScr=script&amp;mode=search",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345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소로한면</t>
        </is>
      </c>
    </row>
    <row r="268">
      <c r="A268" s="3" t="inlineStr">
        <is>
          <t>고운동 1760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68900</v>
      </c>
      <c r="G268" s="4" t="n">
        <v>350</v>
      </c>
      <c r="H268" s="4" t="n">
        <v>106</v>
      </c>
      <c r="I268" s="5" t="n">
        <v>650</v>
      </c>
      <c r="J268" s="5" t="n">
        <v>297.1</v>
      </c>
      <c r="K268" s="3" t="inlineStr">
        <is>
          <t>106.1p, 아파트 맞은편, 상가 인접</t>
        </is>
      </c>
      <c r="L268" s="6">
        <f>HYPERLINK("https://fin.land.naver.com/articles/2649008695", "매물Link")</f>
        <v/>
      </c>
      <c r="M268" s="6">
        <f>HYPERLINK("https://map.naver.com/p/search/고운동 1760", "지도Link")</f>
        <v/>
      </c>
      <c r="N268" s="6">
        <f>HYPERLINK("http://www.eum.go.kr/web/ar/lu/luLandDet.jsp?pnu=3611011200117600000&amp;isNoScr=script&amp;mode=search",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350.1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소로한면</t>
        </is>
      </c>
    </row>
    <row r="269">
      <c r="A269" s="3" t="inlineStr">
        <is>
          <t>고운동 1761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356</v>
      </c>
      <c r="H269" s="4" t="n">
        <v>108</v>
      </c>
      <c r="I269" s="5" t="n">
        <v>555.6</v>
      </c>
      <c r="J269" s="5" t="n">
        <v>297.1</v>
      </c>
      <c r="K269" s="3" t="inlineStr">
        <is>
          <t>조율가능 고운초 고운중 도보1분 상권 복컴 도보3분</t>
        </is>
      </c>
      <c r="L269" s="6">
        <f>HYPERLINK("https://fin.land.naver.com/articles/2650653474", "매물Link")</f>
        <v/>
      </c>
      <c r="M269" s="6">
        <f>HYPERLINK("https://map.naver.com/p/search/고운동 1761", "지도Link")</f>
        <v/>
      </c>
      <c r="N269" s="6">
        <f>HYPERLINK("http://www.eum.go.kr/web/ar/lu/luLandDet.jsp?pnu=3611011200117610000&amp;isNoScr=script&amp;mode=search", "토지이음")</f>
        <v/>
      </c>
      <c r="O269" s="3" t="inlineStr">
        <is>
          <t>세종스타</t>
        </is>
      </c>
      <c r="P269" s="4" t="n">
        <v>1</v>
      </c>
      <c r="Q269" s="4" t="n">
        <v>356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소로한면</t>
        </is>
      </c>
    </row>
    <row r="270">
      <c r="A270" s="3" t="inlineStr">
        <is>
          <t>고운동 1767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57000</v>
      </c>
      <c r="G270" s="4" t="n">
        <v>333</v>
      </c>
      <c r="H270" s="4" t="n">
        <v>101</v>
      </c>
      <c r="I270" s="5" t="n">
        <v>564.4</v>
      </c>
      <c r="J270" s="5" t="n">
        <v>297.1</v>
      </c>
      <c r="K270" s="3" t="inlineStr">
        <is>
          <t>저렴하게 나온 매물 , 예쁜집 지을수 있는 토지 . 쌀때 사서 집지으세요</t>
        </is>
      </c>
      <c r="L270" s="6">
        <f>HYPERLINK("https://fin.land.naver.com/articles/2647139766", "매물Link")</f>
        <v/>
      </c>
      <c r="M270" s="6">
        <f>HYPERLINK("https://map.naver.com/p/search/고운동 1767", "지도Link")</f>
        <v/>
      </c>
      <c r="N270" s="6">
        <f>HYPERLINK("http://www.eum.go.kr/web/ar/lu/luLandDet.jsp?pnu=3611011200117670000&amp;isNoScr=script&amp;mode=search", "토지이음")</f>
        <v/>
      </c>
      <c r="O270" s="3" t="inlineStr">
        <is>
          <t>세종특별시</t>
        </is>
      </c>
      <c r="P270" s="4" t="n">
        <v>1</v>
      </c>
      <c r="Q270" s="4" t="n">
        <v>334.4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1767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57000</v>
      </c>
      <c r="G271" s="4" t="n">
        <v>334</v>
      </c>
      <c r="H271" s="4" t="n">
        <v>101</v>
      </c>
      <c r="I271" s="5" t="n">
        <v>564.4</v>
      </c>
      <c r="J271" s="5" t="n">
        <v>297.1</v>
      </c>
      <c r="K271" s="3" t="inlineStr">
        <is>
          <t>급매 조율가능 고운초중 도보3분 학원상권 복컴 도보5분</t>
        </is>
      </c>
      <c r="L271" s="6">
        <f>HYPERLINK("https://fin.land.naver.com/articles/2648979457", "매물Link")</f>
        <v/>
      </c>
      <c r="M271" s="6">
        <f>HYPERLINK("https://map.naver.com/p/search/고운동 1767", "지도Link")</f>
        <v/>
      </c>
      <c r="N271" s="6">
        <f>HYPERLINK("http://www.eum.go.kr/web/ar/lu/luLandDet.jsp?pnu=3611011200117670000&amp;isNoScr=script&amp;mode=search",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334.4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1768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95000</v>
      </c>
      <c r="G272" s="4" t="n">
        <v>336</v>
      </c>
      <c r="H272" s="4" t="n">
        <v>102</v>
      </c>
      <c r="I272" s="5" t="n">
        <v>931.4</v>
      </c>
      <c r="J272" s="5" t="n">
        <v>297.1</v>
      </c>
      <c r="K272" s="3" t="inlineStr">
        <is>
          <t>세종시 행복도시내 단독주택부지</t>
        </is>
      </c>
      <c r="L272" s="6">
        <f>HYPERLINK("https://fin.land.naver.com/articles/2647094510", "매물Link")</f>
        <v/>
      </c>
      <c r="M272" s="6">
        <f>HYPERLINK("https://map.naver.com/p/search/고운동 1768", "지도Link")</f>
        <v/>
      </c>
      <c r="N272" s="6">
        <f>HYPERLINK("http://www.eum.go.kr/web/ar/lu/luLandDet.jsp?pnu=3611011200117680000&amp;isNoScr=script&amp;mode=search", "토지이음")</f>
        <v/>
      </c>
      <c r="O272" s="3" t="inlineStr">
        <is>
          <t>명품시티</t>
        </is>
      </c>
      <c r="P272" s="4" t="n">
        <v>1</v>
      </c>
      <c r="Q272" s="4" t="n">
        <v>335.5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1780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70000</v>
      </c>
      <c r="G273" s="4" t="n">
        <v>377</v>
      </c>
      <c r="H273" s="4" t="n">
        <v>114</v>
      </c>
      <c r="I273" s="5" t="n">
        <v>614</v>
      </c>
      <c r="J273" s="5" t="n">
        <v>324.3</v>
      </c>
      <c r="K273" s="3" t="inlineStr">
        <is>
          <t>3면이 도로인 개방감 넘치는 토지</t>
        </is>
      </c>
      <c r="L273" s="6">
        <f>HYPERLINK("https://fin.land.naver.com/articles/2649748261", "매물Link")</f>
        <v/>
      </c>
      <c r="M273" s="6">
        <f>HYPERLINK("https://map.naver.com/p/search/고운동 1780", "지도Link")</f>
        <v/>
      </c>
      <c r="N273" s="6">
        <f>HYPERLINK("http://www.eum.go.kr/web/ar/lu/luLandDet.jsp?pnu=3611011200117800000&amp;isNoScr=script&amp;mode=search", "토지이음")</f>
        <v/>
      </c>
      <c r="O273" s="3" t="inlineStr">
        <is>
          <t>킹세종</t>
        </is>
      </c>
      <c r="P273" s="4" t="n">
        <v>1</v>
      </c>
      <c r="Q273" s="4" t="n">
        <v>377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중로각지</t>
        </is>
      </c>
    </row>
    <row r="274">
      <c r="A274" s="3" t="inlineStr">
        <is>
          <t>고운동 1827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150000</v>
      </c>
      <c r="G274" s="4" t="n">
        <v>656</v>
      </c>
      <c r="H274" s="4" t="n">
        <v>198</v>
      </c>
      <c r="I274" s="5" t="n">
        <v>757.6</v>
      </c>
      <c r="J274" s="5" t="n">
        <v>309.2</v>
      </c>
      <c r="K274" s="3" t="inlineStr">
        <is>
          <t>nan</t>
        </is>
      </c>
      <c r="L274" s="6">
        <f>HYPERLINK("https://fin.land.naver.com/articles/2646710175", "매물Link")</f>
        <v/>
      </c>
      <c r="M274" s="6">
        <f>HYPERLINK("https://map.naver.com/p/search/고운동 1827", "지도Link")</f>
        <v/>
      </c>
      <c r="N274" s="6">
        <f>HYPERLINK("http://www.eum.go.kr/web/ar/lu/luLandDet.jsp?pnu=3611011200118270000&amp;isNoScr=script&amp;mode=search",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656.5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고운동 1830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88000</v>
      </c>
      <c r="G275" s="4" t="n">
        <v>568</v>
      </c>
      <c r="H275" s="4" t="n">
        <v>172</v>
      </c>
      <c r="I275" s="5" t="n">
        <v>511.6</v>
      </c>
      <c r="J275" s="5" t="n">
        <v>309.7</v>
      </c>
      <c r="K275" s="3" t="inlineStr">
        <is>
          <t>nan</t>
        </is>
      </c>
      <c r="L275" s="6">
        <f>HYPERLINK("https://fin.land.naver.com/articles/2648024777", "매물Link")</f>
        <v/>
      </c>
      <c r="M275" s="6">
        <f>HYPERLINK("https://map.naver.com/p/search/고운동 1830", "지도Link")</f>
        <v/>
      </c>
      <c r="N275" s="6">
        <f>HYPERLINK("http://www.eum.go.kr/web/ar/lu/luLandDet.jsp?pnu=3611011200118300000&amp;isNoScr=script&amp;mode=search", "토지이음")</f>
        <v/>
      </c>
      <c r="O275" s="3" t="inlineStr">
        <is>
          <t>세종지평</t>
        </is>
      </c>
      <c r="P275" s="4" t="n">
        <v>1</v>
      </c>
      <c r="Q275" s="4" t="n">
        <v>568.3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1830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88000</v>
      </c>
      <c r="G276" s="4" t="n">
        <v>568</v>
      </c>
      <c r="H276" s="4" t="n">
        <v>172</v>
      </c>
      <c r="I276" s="5" t="n">
        <v>511.6</v>
      </c>
      <c r="J276" s="5" t="n">
        <v>309.7</v>
      </c>
      <c r="K276" s="3" t="inlineStr">
        <is>
          <t>급매 대형면적 공원접한 위치최상</t>
        </is>
      </c>
      <c r="L276" s="6">
        <f>HYPERLINK("https://fin.land.naver.com/articles/2650369741", "매물Link")</f>
        <v/>
      </c>
      <c r="M276" s="6">
        <f>HYPERLINK("https://map.naver.com/p/search/고운동 1830", "지도Link")</f>
        <v/>
      </c>
      <c r="N276" s="6">
        <f>HYPERLINK("http://www.eum.go.kr/web/ar/lu/luLandDet.jsp?pnu=3611011200118300000&amp;isNoScr=script&amp;mode=search", "토지이음")</f>
        <v/>
      </c>
      <c r="O276" s="3" t="inlineStr">
        <is>
          <t>세종스타</t>
        </is>
      </c>
      <c r="P276" s="4" t="n">
        <v>1</v>
      </c>
      <c r="Q276" s="4" t="n">
        <v>568.3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1850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75000</v>
      </c>
      <c r="G277" s="4" t="n">
        <v>511</v>
      </c>
      <c r="H277" s="4" t="n">
        <v>155</v>
      </c>
      <c r="I277" s="5" t="n">
        <v>483.9</v>
      </c>
      <c r="J277" s="5" t="n">
        <v>309.7</v>
      </c>
      <c r="K277" s="3" t="inlineStr">
        <is>
          <t>급매. 고급주택이 가능한 넓은 택지, 정남향</t>
        </is>
      </c>
      <c r="L277" s="6">
        <f>HYPERLINK("https://fin.land.naver.com/articles/2649456450", "매물Link")</f>
        <v/>
      </c>
      <c r="M277" s="6">
        <f>HYPERLINK("https://map.naver.com/p/search/고운동 1850", "지도Link")</f>
        <v/>
      </c>
      <c r="N277" s="6">
        <f>HYPERLINK("http://www.eum.go.kr/web/ar/lu/luLandDet.jsp?pnu=3611011200118500000&amp;isNoScr=script&amp;mode=search", "토지이음")</f>
        <v/>
      </c>
      <c r="O277" s="3" t="inlineStr">
        <is>
          <t>세종삼촌</t>
        </is>
      </c>
      <c r="P277" s="4" t="n">
        <v>1</v>
      </c>
      <c r="Q277" s="4" t="n">
        <v>512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1906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200000</v>
      </c>
      <c r="G278" s="4" t="n">
        <v>528</v>
      </c>
      <c r="H278" s="4" t="n">
        <v>160</v>
      </c>
      <c r="I278" s="5" t="n">
        <v>1250</v>
      </c>
      <c r="J278" s="5" t="n">
        <v>879</v>
      </c>
      <c r="K278" s="3" t="inlineStr">
        <is>
          <t>고운동 근생용지 코너위치 3면 접근용이 근생시설최적지</t>
        </is>
      </c>
      <c r="L278" s="6">
        <f>HYPERLINK("https://fin.land.naver.com/articles/2649447450", "매물Link")</f>
        <v/>
      </c>
      <c r="M278" s="6">
        <f>HYPERLINK("https://map.naver.com/p/search/고운동 1906", "지도Link")</f>
        <v/>
      </c>
      <c r="N278" s="6">
        <f>HYPERLINK("http://www.eum.go.kr/web/ar/lu/luLandDet.jsp?pnu=3611011200119060000&amp;isNoScr=script&amp;mode=search", "토지이음")</f>
        <v/>
      </c>
      <c r="O278" s="3" t="inlineStr">
        <is>
          <t>서초만땅</t>
        </is>
      </c>
      <c r="P278" s="4" t="n">
        <v>1</v>
      </c>
      <c r="Q278" s="4" t="n">
        <v>528.3</v>
      </c>
      <c r="R278" s="3" t="inlineStr">
        <is>
          <t>지정되지않음</t>
        </is>
      </c>
      <c r="S278" s="3" t="inlineStr">
        <is>
          <t>상업용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중로각지</t>
        </is>
      </c>
    </row>
    <row r="279">
      <c r="A279" s="3" t="inlineStr">
        <is>
          <t>고운동 1934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85000</v>
      </c>
      <c r="G279" s="4" t="n">
        <v>331</v>
      </c>
      <c r="H279" s="4" t="n">
        <v>100</v>
      </c>
      <c r="I279" s="5" t="n">
        <v>850</v>
      </c>
      <c r="J279" s="5" t="n">
        <v>297.2</v>
      </c>
      <c r="K279" s="3" t="inlineStr">
        <is>
          <t>인근 고급단독주택형성된 남향의 반듯한 단독주택부지, 가격조율가능</t>
        </is>
      </c>
      <c r="L279" s="6">
        <f>HYPERLINK("https://fin.land.naver.com/articles/2647094929", "매물Link")</f>
        <v/>
      </c>
      <c r="M279" s="6">
        <f>HYPERLINK("https://map.naver.com/p/search/고운동 1934", "지도Link")</f>
        <v/>
      </c>
      <c r="N279" s="6">
        <f>HYPERLINK("http://www.eum.go.kr/web/ar/lu/luLandDet.jsp?pnu=3611011200119340000&amp;isNoScr=script&amp;mode=search", "토지이음")</f>
        <v/>
      </c>
      <c r="O279" s="3" t="inlineStr">
        <is>
          <t>명품시티</t>
        </is>
      </c>
      <c r="P279" s="4" t="n">
        <v>1</v>
      </c>
      <c r="Q279" s="4" t="n">
        <v>331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1940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54000</v>
      </c>
      <c r="G280" s="4" t="n">
        <v>355</v>
      </c>
      <c r="H280" s="4" t="n">
        <v>107</v>
      </c>
      <c r="I280" s="5" t="n">
        <v>504.7</v>
      </c>
      <c r="J280" s="5" t="n">
        <v>335.5</v>
      </c>
      <c r="K280" s="3" t="inlineStr">
        <is>
          <t>nan</t>
        </is>
      </c>
      <c r="L280" s="6">
        <f>HYPERLINK("https://fin.land.naver.com/articles/2648367069", "매물Link")</f>
        <v/>
      </c>
      <c r="M280" s="6">
        <f>HYPERLINK("https://map.naver.com/p/search/고운동 1940", "지도Link")</f>
        <v/>
      </c>
      <c r="N280" s="6">
        <f>HYPERLINK("http://www.eum.go.kr/web/ar/lu/luLandDet.jsp?pnu=3611011200119400000&amp;isNoScr=script&amp;mode=search", "토지이음")</f>
        <v/>
      </c>
      <c r="O280" s="3" t="inlineStr">
        <is>
          <t>백프로</t>
        </is>
      </c>
      <c r="P280" s="4" t="n">
        <v>1</v>
      </c>
      <c r="Q280" s="4" t="n">
        <v>355.9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중로각지</t>
        </is>
      </c>
    </row>
    <row r="281">
      <c r="A281" s="3" t="inlineStr">
        <is>
          <t>고운동 1951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50000</v>
      </c>
      <c r="G281" s="4" t="n">
        <v>334</v>
      </c>
      <c r="H281" s="4" t="n">
        <v>101</v>
      </c>
      <c r="I281" s="5" t="n">
        <v>495</v>
      </c>
      <c r="J281" s="5" t="n">
        <v>308.7</v>
      </c>
      <c r="K281" s="3" t="inlineStr">
        <is>
          <t>코너 급매, 초중교 인접, 생활편의시설 다양함, 대중교통 편리함</t>
        </is>
      </c>
      <c r="L281" s="6">
        <f>HYPERLINK("https://fin.land.naver.com/articles/2649034509", "매물Link")</f>
        <v/>
      </c>
      <c r="M281" s="6">
        <f>HYPERLINK("https://map.naver.com/p/search/고운동 1951", "지도Link")</f>
        <v/>
      </c>
      <c r="N281" s="6">
        <f>HYPERLINK("http://www.eum.go.kr/web/ar/lu/luLandDet.jsp?pnu=3611011200119510000&amp;isNoScr=script&amp;mode=search", "토지이음")</f>
        <v/>
      </c>
      <c r="O281" s="3" t="inlineStr">
        <is>
          <t>백프로</t>
        </is>
      </c>
      <c r="P281" s="4" t="n">
        <v>1</v>
      </c>
      <c r="Q281" s="4" t="n">
        <v>334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사다리형</t>
        </is>
      </c>
      <c r="V281" s="3" t="inlineStr">
        <is>
          <t>소로각지</t>
        </is>
      </c>
    </row>
    <row r="282">
      <c r="A282" s="3" t="inlineStr">
        <is>
          <t>고운동 1951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52000</v>
      </c>
      <c r="G282" s="4" t="n">
        <v>334</v>
      </c>
      <c r="H282" s="4" t="n">
        <v>101</v>
      </c>
      <c r="I282" s="5" t="n">
        <v>514.9</v>
      </c>
      <c r="J282" s="5" t="n">
        <v>308.7</v>
      </c>
      <c r="K282" s="3" t="inlineStr">
        <is>
          <t>코너각지에 보행자도로 접하고 남향으로 반듯한 단독주택부지, 가격조정 가능</t>
        </is>
      </c>
      <c r="L282" s="6">
        <f>HYPERLINK("https://fin.land.naver.com/articles/2649697362", "매물Link")</f>
        <v/>
      </c>
      <c r="M282" s="6">
        <f>HYPERLINK("https://map.naver.com/p/search/고운동 1951", "지도Link")</f>
        <v/>
      </c>
      <c r="N282" s="6">
        <f>HYPERLINK("http://www.eum.go.kr/web/ar/lu/luLandDet.jsp?pnu=3611011200119510000&amp;isNoScr=script&amp;mode=search", "토지이음")</f>
        <v/>
      </c>
      <c r="O282" s="3" t="inlineStr">
        <is>
          <t>온뜰</t>
        </is>
      </c>
      <c r="P282" s="4" t="n">
        <v>1</v>
      </c>
      <c r="Q282" s="4" t="n">
        <v>334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사다리형</t>
        </is>
      </c>
      <c r="V282" s="3" t="inlineStr">
        <is>
          <t>소로각지</t>
        </is>
      </c>
    </row>
    <row r="283">
      <c r="A283" s="3" t="inlineStr">
        <is>
          <t>고운동 1951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50000</v>
      </c>
      <c r="G283" s="4" t="n">
        <v>334</v>
      </c>
      <c r="H283" s="4" t="n">
        <v>101</v>
      </c>
      <c r="I283" s="5" t="n">
        <v>495</v>
      </c>
      <c r="J283" s="5" t="n">
        <v>308.7</v>
      </c>
      <c r="K283" s="3" t="inlineStr">
        <is>
          <t>급매,막힘없는 코너각지,주민센터 및 항아리중심상권</t>
        </is>
      </c>
      <c r="L283" s="6">
        <f>HYPERLINK("https://fin.land.naver.com/articles/2650851183", "매물Link")</f>
        <v/>
      </c>
      <c r="M283" s="6">
        <f>HYPERLINK("https://map.naver.com/p/search/고운동 1951", "지도Link")</f>
        <v/>
      </c>
      <c r="N283" s="6">
        <f>HYPERLINK("http://www.eum.go.kr/web/ar/lu/luLandDet.jsp?pnu=3611011200119510000&amp;isNoScr=script&amp;mode=search", "토지이음")</f>
        <v/>
      </c>
      <c r="O283" s="3" t="inlineStr">
        <is>
          <t>고운맘</t>
        </is>
      </c>
      <c r="P283" s="4" t="n">
        <v>1</v>
      </c>
      <c r="Q283" s="4" t="n">
        <v>334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사다리형</t>
        </is>
      </c>
      <c r="V283" s="3" t="inlineStr">
        <is>
          <t>소로각지</t>
        </is>
      </c>
    </row>
    <row r="284">
      <c r="A284" s="3" t="inlineStr">
        <is>
          <t>고운동 1954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63000</v>
      </c>
      <c r="G284" s="4" t="n">
        <v>375</v>
      </c>
      <c r="H284" s="4" t="n">
        <v>113</v>
      </c>
      <c r="I284" s="5" t="n">
        <v>557.5</v>
      </c>
      <c r="J284" s="5" t="n">
        <v>297.1</v>
      </c>
      <c r="K284" s="3" t="inlineStr">
        <is>
          <t>급매,전원형 주택단지 남향필지</t>
        </is>
      </c>
      <c r="L284" s="6">
        <f>HYPERLINK("https://fin.land.naver.com/articles/2649745305", "매물Link")</f>
        <v/>
      </c>
      <c r="M284" s="6">
        <f>HYPERLINK("https://map.naver.com/p/search/고운동 1954", "지도Link")</f>
        <v/>
      </c>
      <c r="N284" s="6">
        <f>HYPERLINK("http://www.eum.go.kr/web/ar/lu/luLandDet.jsp?pnu=3611011200119540000&amp;isNoScr=script&amp;mode=search", "토지이음")</f>
        <v/>
      </c>
      <c r="O284" s="3" t="inlineStr">
        <is>
          <t>킹세종</t>
        </is>
      </c>
      <c r="P284" s="4" t="n">
        <v>1</v>
      </c>
      <c r="Q284" s="4" t="n">
        <v>375.4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1955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63000</v>
      </c>
      <c r="G285" s="4" t="n">
        <v>375</v>
      </c>
      <c r="H285" s="4" t="n">
        <v>113</v>
      </c>
      <c r="I285" s="5" t="n">
        <v>557.5</v>
      </c>
      <c r="J285" s="5" t="n">
        <v>297.1</v>
      </c>
      <c r="K285" s="3" t="inlineStr">
        <is>
          <t>남향,  공원인접,  학교 및 편의시설</t>
        </is>
      </c>
      <c r="L285" s="6">
        <f>HYPERLINK("https://fin.land.naver.com/articles/2649038204", "매물Link")</f>
        <v/>
      </c>
      <c r="M285" s="6">
        <f>HYPERLINK("https://map.naver.com/p/search/고운동 1955", "지도Link")</f>
        <v/>
      </c>
      <c r="N285" s="6">
        <f>HYPERLINK("http://www.eum.go.kr/web/ar/lu/luLandDet.jsp?pnu=3611011200119550000&amp;isNoScr=script&amp;mode=search", "토지이음")</f>
        <v/>
      </c>
      <c r="O285" s="3" t="inlineStr">
        <is>
          <t>백프로</t>
        </is>
      </c>
      <c r="P285" s="4" t="n">
        <v>1</v>
      </c>
      <c r="Q285" s="4" t="n">
        <v>375.4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1959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65000</v>
      </c>
      <c r="G286" s="4" t="n">
        <v>352</v>
      </c>
      <c r="H286" s="4" t="n">
        <v>106</v>
      </c>
      <c r="I286" s="5" t="n">
        <v>613.2</v>
      </c>
      <c r="J286" s="5" t="n">
        <v>297.1</v>
      </c>
      <c r="K286" s="3" t="inlineStr">
        <is>
          <t>공원조망 정남향 최고위치 조율가능</t>
        </is>
      </c>
      <c r="L286" s="6">
        <f>HYPERLINK("https://fin.land.naver.com/articles/2651087463", "매물Link")</f>
        <v/>
      </c>
      <c r="M286" s="6">
        <f>HYPERLINK("https://map.naver.com/p/search/고운동 1959", "지도Link")</f>
        <v/>
      </c>
      <c r="N286" s="6">
        <f>HYPERLINK("http://www.eum.go.kr/web/ar/lu/luLandDet.jsp?pnu=3611011200119590000&amp;isNoScr=script&amp;mode=search",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352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1967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64900</v>
      </c>
      <c r="G287" s="4" t="n">
        <v>390</v>
      </c>
      <c r="H287" s="4" t="n">
        <v>118</v>
      </c>
      <c r="I287" s="5" t="n">
        <v>550</v>
      </c>
      <c r="J287" s="5" t="n">
        <v>297.2</v>
      </c>
      <c r="K287" s="3" t="inlineStr">
        <is>
          <t>위치 좋은 큰 면적 단독주택지 매매</t>
        </is>
      </c>
      <c r="L287" s="6">
        <f>HYPERLINK("https://fin.land.naver.com/articles/2646674386", "매물Link")</f>
        <v/>
      </c>
      <c r="M287" s="6">
        <f>HYPERLINK("https://map.naver.com/p/search/고운동 1967", "지도Link")</f>
        <v/>
      </c>
      <c r="N287" s="6">
        <f>HYPERLINK("http://www.eum.go.kr/web/ar/lu/luLandDet.jsp?pnu=3611011200119670000&amp;isNoScr=script&amp;mode=search", "토지이음")</f>
        <v/>
      </c>
      <c r="O287" s="3" t="inlineStr">
        <is>
          <t>로데오상가</t>
        </is>
      </c>
      <c r="P287" s="4" t="n">
        <v>1</v>
      </c>
      <c r="Q287" s="4" t="n">
        <v>390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2014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65000</v>
      </c>
      <c r="G288" s="4" t="n">
        <v>389</v>
      </c>
      <c r="H288" s="4" t="n">
        <v>118</v>
      </c>
      <c r="I288" s="5" t="n">
        <v>550.8</v>
      </c>
      <c r="J288" s="5" t="n">
        <v>297.2</v>
      </c>
      <c r="K288" s="3" t="inlineStr">
        <is>
          <t>급매매,전원형 주택단지 ,남향에 보행자도로 접</t>
        </is>
      </c>
      <c r="L288" s="6">
        <f>HYPERLINK("https://fin.land.naver.com/articles/2649627304", "매물Link")</f>
        <v/>
      </c>
      <c r="M288" s="6">
        <f>HYPERLINK("https://map.naver.com/p/search/고운동 2014", "지도Link")</f>
        <v/>
      </c>
      <c r="N288" s="6">
        <f>HYPERLINK("http://www.eum.go.kr/web/ar/lu/luLandDet.jsp?pnu=3611011200120140000&amp;isNoScr=script&amp;mode=search", "토지이음")</f>
        <v/>
      </c>
      <c r="O288" s="3" t="inlineStr">
        <is>
          <t>킹세종</t>
        </is>
      </c>
      <c r="P288" s="4" t="n">
        <v>1</v>
      </c>
      <c r="Q288" s="4" t="n">
        <v>389.7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2025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79000</v>
      </c>
      <c r="G289" s="4" t="n">
        <v>345</v>
      </c>
      <c r="H289" s="4" t="n">
        <v>104</v>
      </c>
      <c r="I289" s="5" t="n">
        <v>759.6</v>
      </c>
      <c r="J289" s="5" t="n">
        <v>297.2</v>
      </c>
      <c r="K289" s="3" t="inlineStr">
        <is>
          <t>고운동 남측, 인기좋은 단독주택지, 주변에 예쁜 주택 지어져 있음</t>
        </is>
      </c>
      <c r="L289" s="6">
        <f>HYPERLINK("https://fin.land.naver.com/articles/2647095527", "매물Link")</f>
        <v/>
      </c>
      <c r="M289" s="6">
        <f>HYPERLINK("https://map.naver.com/p/search/고운동 2025", "지도Link")</f>
        <v/>
      </c>
      <c r="N289" s="6">
        <f>HYPERLINK("http://www.eum.go.kr/web/ar/lu/luLandDet.jsp?pnu=3611011200120250000&amp;isNoScr=script&amp;mode=search", "토지이음")</f>
        <v/>
      </c>
      <c r="O289" s="3" t="inlineStr">
        <is>
          <t>명품시티</t>
        </is>
      </c>
      <c r="P289" s="4" t="n">
        <v>1</v>
      </c>
      <c r="Q289" s="4" t="n">
        <v>345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2025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101920</v>
      </c>
      <c r="G290" s="4" t="n">
        <v>345</v>
      </c>
      <c r="H290" s="4" t="n">
        <v>104</v>
      </c>
      <c r="I290" s="5" t="n">
        <v>980</v>
      </c>
      <c r="J290" s="5" t="n">
        <v>297.2</v>
      </c>
      <c r="K290" s="3" t="inlineStr">
        <is>
          <t>고운동 1종 전용주거지역 단독주택지 매매,정남향,뻥뷰</t>
        </is>
      </c>
      <c r="L290" s="6">
        <f>HYPERLINK("https://fin.land.naver.com/articles/2651616970", "매물Link")</f>
        <v/>
      </c>
      <c r="M290" s="6">
        <f>HYPERLINK("https://map.naver.com/p/search/고운동 2025", "지도Link")</f>
        <v/>
      </c>
      <c r="N290" s="6">
        <f>HYPERLINK("http://www.eum.go.kr/web/ar/lu/luLandDet.jsp?pnu=3611011200120250000&amp;isNoScr=script&amp;mode=search", "토지이음")</f>
        <v/>
      </c>
      <c r="O290" s="3" t="inlineStr">
        <is>
          <t>천재원</t>
        </is>
      </c>
      <c r="P290" s="4" t="n">
        <v>1</v>
      </c>
      <c r="Q290" s="4" t="n">
        <v>345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2025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91000</v>
      </c>
      <c r="G291" s="4" t="n">
        <v>345</v>
      </c>
      <c r="H291" s="4" t="n">
        <v>104</v>
      </c>
      <c r="I291" s="5" t="n">
        <v>875</v>
      </c>
      <c r="J291" s="5" t="n">
        <v>297.2</v>
      </c>
      <c r="K291" s="3" t="inlineStr">
        <is>
          <t>도로 접한 남향 주택 건축하기좋은 면적과 모양</t>
        </is>
      </c>
      <c r="L291" s="6">
        <f>HYPERLINK("https://fin.land.naver.com/articles/2650774064", "매물Link")</f>
        <v/>
      </c>
      <c r="M291" s="6">
        <f>HYPERLINK("https://map.naver.com/p/search/고운동 2025", "지도Link")</f>
        <v/>
      </c>
      <c r="N291" s="6">
        <f>HYPERLINK("http://www.eum.go.kr/web/ar/lu/luLandDet.jsp?pnu=3611011200120250000&amp;isNoScr=script&amp;mode=search", "토지이음")</f>
        <v/>
      </c>
      <c r="O291" s="3" t="inlineStr">
        <is>
          <t>학하랜드</t>
        </is>
      </c>
      <c r="P291" s="4" t="n">
        <v>1</v>
      </c>
      <c r="Q291" s="4" t="n">
        <v>345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2035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57000</v>
      </c>
      <c r="G292" s="4" t="n">
        <v>349</v>
      </c>
      <c r="H292" s="4" t="n">
        <v>106</v>
      </c>
      <c r="I292" s="5" t="n">
        <v>537.7</v>
      </c>
      <c r="J292" s="5" t="n">
        <v>297.1</v>
      </c>
      <c r="K292" s="3" t="inlineStr">
        <is>
          <t>급매 뒷편 넓은공원 남쪽 연결녹지 시유지접함</t>
        </is>
      </c>
      <c r="L292" s="6">
        <f>HYPERLINK("https://fin.land.naver.com/articles/2649812086", "매물Link")</f>
        <v/>
      </c>
      <c r="M292" s="6">
        <f>HYPERLINK("https://map.naver.com/p/search/고운동 2035", "지도Link")</f>
        <v/>
      </c>
      <c r="N292" s="6">
        <f>HYPERLINK("http://www.eum.go.kr/web/ar/lu/luLandDet.jsp?pnu=3611011200120350000&amp;isNoScr=script&amp;mode=search",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349.7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2052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73500</v>
      </c>
      <c r="G293" s="4" t="n">
        <v>348</v>
      </c>
      <c r="H293" s="4" t="n">
        <v>105</v>
      </c>
      <c r="I293" s="5" t="n">
        <v>700</v>
      </c>
      <c r="J293" s="5" t="n">
        <v>335.5</v>
      </c>
      <c r="K293" s="3" t="inlineStr">
        <is>
          <t>코너각지 막힘 없는 정남향의 택지</t>
        </is>
      </c>
      <c r="L293" s="6">
        <f>HYPERLINK("https://fin.land.naver.com/articles/2646440107", "매물Link")</f>
        <v/>
      </c>
      <c r="M293" s="6">
        <f>HYPERLINK("https://map.naver.com/p/search/고운동 2052", "지도Link")</f>
        <v/>
      </c>
      <c r="N293" s="6">
        <f>HYPERLINK("http://www.eum.go.kr/web/ar/lu/luLandDet.jsp?pnu=3611011200120520000&amp;isNoScr=script&amp;mode=search", "토지이음")</f>
        <v/>
      </c>
      <c r="O293" s="3" t="inlineStr">
        <is>
          <t>노은탑</t>
        </is>
      </c>
      <c r="P293" s="4" t="n">
        <v>1</v>
      </c>
      <c r="Q293" s="4" t="n">
        <v>348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2098</t>
        </is>
      </c>
      <c r="B294" s="3" t="inlineStr">
        <is>
          <t>일반상업지역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483600</v>
      </c>
      <c r="G294" s="4" t="n">
        <v>615</v>
      </c>
      <c r="H294" s="4" t="n">
        <v>186</v>
      </c>
      <c r="I294" s="5" t="n">
        <v>2600</v>
      </c>
      <c r="J294" s="5" t="n">
        <v>1021.2</v>
      </c>
      <c r="K294" s="3" t="inlineStr">
        <is>
          <t>세종 행복도시 상업지역 내 귀한 토지</t>
        </is>
      </c>
      <c r="L294" s="6">
        <f>HYPERLINK("https://fin.land.naver.com/articles/2650459401", "매물Link")</f>
        <v/>
      </c>
      <c r="M294" s="6">
        <f>HYPERLINK("https://map.naver.com/p/search/고운동 2098", "지도Link")</f>
        <v/>
      </c>
      <c r="N294" s="6">
        <f>HYPERLINK("http://www.eum.go.kr/web/ar/lu/luLandDet.jsp?pnu=3611011200120980000&amp;isNoScr=script&amp;mode=search", "토지이음")</f>
        <v/>
      </c>
      <c r="O294" s="3" t="inlineStr">
        <is>
          <t>수자인시티</t>
        </is>
      </c>
      <c r="P294" s="4" t="n">
        <v>2</v>
      </c>
      <c r="Q294" s="4" t="n">
        <v>615.5</v>
      </c>
      <c r="R294" s="3" t="inlineStr">
        <is>
          <t>지정되지않음</t>
        </is>
      </c>
      <c r="S294" s="3" t="inlineStr">
        <is>
          <t>상업나지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중로한면</t>
        </is>
      </c>
    </row>
    <row r="295">
      <c r="A295" s="3" t="inlineStr">
        <is>
          <t>고운동 2098</t>
        </is>
      </c>
      <c r="B295" s="3" t="inlineStr">
        <is>
          <t>일반상업지역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530000</v>
      </c>
      <c r="G295" s="4" t="n">
        <v>615</v>
      </c>
      <c r="H295" s="4" t="n">
        <v>186</v>
      </c>
      <c r="I295" s="5" t="n">
        <v>2849.5</v>
      </c>
      <c r="J295" s="5" t="n">
        <v>1021.2</v>
      </c>
      <c r="K295" s="3" t="inlineStr">
        <is>
          <t>세종시 일반상업지 토지, 메디컬 및 상가빌딩 건축부지 추천</t>
        </is>
      </c>
      <c r="L295" s="6">
        <f>HYPERLINK("https://fin.land.naver.com/articles/2646662918", "매물Link")</f>
        <v/>
      </c>
      <c r="M295" s="6">
        <f>HYPERLINK("https://map.naver.com/p/search/고운동 2098", "지도Link")</f>
        <v/>
      </c>
      <c r="N295" s="6">
        <f>HYPERLINK("http://www.eum.go.kr/web/ar/lu/luLandDet.jsp?pnu=3611011200120980000&amp;isNoScr=script&amp;mode=search", "토지이음")</f>
        <v/>
      </c>
      <c r="O295" s="3" t="inlineStr">
        <is>
          <t>혜성</t>
        </is>
      </c>
      <c r="P295" s="4" t="n">
        <v>1</v>
      </c>
      <c r="Q295" s="4" t="n">
        <v>615.5</v>
      </c>
      <c r="R295" s="3" t="inlineStr">
        <is>
          <t>지정되지않음</t>
        </is>
      </c>
      <c r="S295" s="3" t="inlineStr">
        <is>
          <t>상업나지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중로한면</t>
        </is>
      </c>
    </row>
    <row r="296">
      <c r="A296" s="3" t="inlineStr">
        <is>
          <t>고운동 2098</t>
        </is>
      </c>
      <c r="B296" s="3" t="inlineStr">
        <is>
          <t>일반상업지역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530000</v>
      </c>
      <c r="G296" s="4" t="n">
        <v>615</v>
      </c>
      <c r="H296" s="4" t="n">
        <v>186</v>
      </c>
      <c r="I296" s="5" t="n">
        <v>2849.5</v>
      </c>
      <c r="J296" s="5" t="n">
        <v>1021.2</v>
      </c>
      <c r="K296" s="3" t="inlineStr">
        <is>
          <t>세종시립도서관 인근에 위치한 대로변에 접한 위치좋은 대지 입니다.</t>
        </is>
      </c>
      <c r="L296" s="6">
        <f>HYPERLINK("https://fin.land.naver.com/articles/2649493417", "매물Link")</f>
        <v/>
      </c>
      <c r="M296" s="6">
        <f>HYPERLINK("https://map.naver.com/p/search/고운동 2098", "지도Link")</f>
        <v/>
      </c>
      <c r="N296" s="6">
        <f>HYPERLINK("http://www.eum.go.kr/web/ar/lu/luLandDet.jsp?pnu=3611011200120980000&amp;isNoScr=script&amp;mode=search", "토지이음")</f>
        <v/>
      </c>
      <c r="O296" s="3" t="inlineStr">
        <is>
          <t>가람</t>
        </is>
      </c>
      <c r="P296" s="4" t="n">
        <v>3</v>
      </c>
      <c r="Q296" s="4" t="n">
        <v>615.5</v>
      </c>
      <c r="R296" s="3" t="inlineStr">
        <is>
          <t>지정되지않음</t>
        </is>
      </c>
      <c r="S296" s="3" t="inlineStr">
        <is>
          <t>상업나지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중로한면</t>
        </is>
      </c>
    </row>
    <row r="297">
      <c r="A297" s="3" t="inlineStr">
        <is>
          <t>고운동 2098</t>
        </is>
      </c>
      <c r="B297" s="3" t="inlineStr">
        <is>
          <t>일반상업지역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540000</v>
      </c>
      <c r="G297" s="4" t="n">
        <v>615</v>
      </c>
      <c r="H297" s="4" t="n">
        <v>186</v>
      </c>
      <c r="I297" s="5" t="n">
        <v>2903.2</v>
      </c>
      <c r="J297" s="5" t="n">
        <v>1021.2</v>
      </c>
      <c r="K297" s="3" t="inlineStr">
        <is>
          <t>귀한 상업지 토지, 병원,근생, 주요도로 접근성유리 ,향후 상권활성화</t>
        </is>
      </c>
      <c r="L297" s="6">
        <f>HYPERLINK("https://fin.land.naver.com/articles/2646054776", "매물Link")</f>
        <v/>
      </c>
      <c r="M297" s="6">
        <f>HYPERLINK("https://map.naver.com/p/search/고운동 2098", "지도Link")</f>
        <v/>
      </c>
      <c r="N297" s="6">
        <f>HYPERLINK("http://www.eum.go.kr/web/ar/lu/luLandDet.jsp?pnu=3611011200120980000&amp;isNoScr=script&amp;mode=search", "토지이음")</f>
        <v/>
      </c>
      <c r="O297" s="3" t="inlineStr">
        <is>
          <t>세종특별시</t>
        </is>
      </c>
      <c r="P297" s="4" t="n">
        <v>1</v>
      </c>
      <c r="Q297" s="4" t="n">
        <v>615.5</v>
      </c>
      <c r="R297" s="3" t="inlineStr">
        <is>
          <t>지정되지않음</t>
        </is>
      </c>
      <c r="S297" s="3" t="inlineStr">
        <is>
          <t>상업나지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중로한면</t>
        </is>
      </c>
    </row>
    <row r="298">
      <c r="A298" s="3" t="inlineStr">
        <is>
          <t>고운동 2098</t>
        </is>
      </c>
      <c r="B298" s="3" t="inlineStr">
        <is>
          <t>일반상업지역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539400</v>
      </c>
      <c r="G298" s="4" t="n">
        <v>615</v>
      </c>
      <c r="H298" s="4" t="n">
        <v>186</v>
      </c>
      <c r="I298" s="5" t="n">
        <v>2900</v>
      </c>
      <c r="J298" s="5" t="n">
        <v>1021.2</v>
      </c>
      <c r="K298" s="3" t="inlineStr">
        <is>
          <t>세종시 고운동 상업지역 토지 매매</t>
        </is>
      </c>
      <c r="L298" s="6">
        <f>HYPERLINK("https://fin.land.naver.com/articles/2649606368", "매물Link")</f>
        <v/>
      </c>
      <c r="M298" s="6">
        <f>HYPERLINK("https://map.naver.com/p/search/고운동 2098", "지도Link")</f>
        <v/>
      </c>
      <c r="N298" s="6">
        <f>HYPERLINK("http://www.eum.go.kr/web/ar/lu/luLandDet.jsp?pnu=3611011200120980000&amp;isNoScr=script&amp;mode=search", "토지이음")</f>
        <v/>
      </c>
      <c r="O298" s="3" t="inlineStr">
        <is>
          <t>행복가득한</t>
        </is>
      </c>
      <c r="P298" s="4" t="n">
        <v>1</v>
      </c>
      <c r="Q298" s="4" t="n">
        <v>615.5</v>
      </c>
      <c r="R298" s="3" t="inlineStr">
        <is>
          <t>지정되지않음</t>
        </is>
      </c>
      <c r="S298" s="3" t="inlineStr">
        <is>
          <t>상업나지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중로한면</t>
        </is>
      </c>
    </row>
    <row r="299">
      <c r="A299" s="3" t="inlineStr">
        <is>
          <t>고운동 2106-12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80000</v>
      </c>
      <c r="G299" s="4" t="n">
        <v>386</v>
      </c>
      <c r="H299" s="4" t="n">
        <v>117</v>
      </c>
      <c r="I299" s="5" t="n">
        <v>683.8</v>
      </c>
      <c r="J299" s="5" t="n">
        <v>290.5</v>
      </c>
      <c r="K299" s="3" t="inlineStr">
        <is>
          <t>총 117p, 파크힐즈, 조율가능, 입지좋은 곳</t>
        </is>
      </c>
      <c r="L299" s="6">
        <f>HYPERLINK("https://fin.land.naver.com/articles/2648414195", "매물Link")</f>
        <v/>
      </c>
      <c r="M299" s="6">
        <f>HYPERLINK("https://map.naver.com/p/search/고운동 2106-12", "지도Link")</f>
        <v/>
      </c>
      <c r="N299" s="6">
        <f>HYPERLINK("http://www.eum.go.kr/web/ar/lu/luLandDet.jsp?pnu=3611011200121060012&amp;isNoScr=script&amp;mode=search", "토지이음")</f>
        <v/>
      </c>
      <c r="O299" s="3" t="inlineStr">
        <is>
          <t>명진</t>
        </is>
      </c>
      <c r="P299" s="4" t="n">
        <v>1</v>
      </c>
      <c r="Q299" s="4" t="n">
        <v>386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중로각지</t>
        </is>
      </c>
    </row>
    <row r="300">
      <c r="A300" s="3" t="inlineStr">
        <is>
          <t>고운동 2106-12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80000</v>
      </c>
      <c r="G300" s="4" t="n">
        <v>386</v>
      </c>
      <c r="H300" s="4" t="n">
        <v>117</v>
      </c>
      <c r="I300" s="5" t="n">
        <v>683.8</v>
      </c>
      <c r="J300" s="5" t="n">
        <v>290.5</v>
      </c>
      <c r="K300" s="3" t="inlineStr">
        <is>
          <t>파크힐즈 토지매매, 삼거리 앞</t>
        </is>
      </c>
      <c r="L300" s="6">
        <f>HYPERLINK("https://fin.land.naver.com/articles/2648833625", "매물Link")</f>
        <v/>
      </c>
      <c r="M300" s="6">
        <f>HYPERLINK("https://map.naver.com/p/search/고운동 2106-12", "지도Link")</f>
        <v/>
      </c>
      <c r="N300" s="6">
        <f>HYPERLINK("http://www.eum.go.kr/web/ar/lu/luLandDet.jsp?pnu=3611011200121060012&amp;isNoScr=script&amp;mode=search", "토지이음")</f>
        <v/>
      </c>
      <c r="O300" s="3" t="inlineStr">
        <is>
          <t>세종무지개</t>
        </is>
      </c>
      <c r="P300" s="4" t="n">
        <v>1</v>
      </c>
      <c r="Q300" s="4" t="n">
        <v>386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중로각지</t>
        </is>
      </c>
    </row>
    <row r="301">
      <c r="A301" s="3" t="inlineStr">
        <is>
          <t>고운동 2106-19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85000</v>
      </c>
      <c r="G301" s="4" t="n">
        <v>398</v>
      </c>
      <c r="H301" s="4" t="n">
        <v>120</v>
      </c>
      <c r="I301" s="5" t="n">
        <v>708.3</v>
      </c>
      <c r="J301" s="5" t="n">
        <v>293.4</v>
      </c>
      <c r="K301" s="3" t="inlineStr">
        <is>
          <t>전용 120.9p, 파크힐즈 단독주택 토지 매매</t>
        </is>
      </c>
      <c r="L301" s="6">
        <f>HYPERLINK("https://fin.land.naver.com/articles/2650891002", "매물Link")</f>
        <v/>
      </c>
      <c r="M301" s="6">
        <f>HYPERLINK("https://map.naver.com/p/search/고운동 2106-19", "지도Link")</f>
        <v/>
      </c>
      <c r="N301" s="6">
        <f>HYPERLINK("http://www.eum.go.kr/web/ar/lu/luLandDet.jsp?pnu=3611011200121060019&amp;isNoScr=script&amp;mode=search", "토지이음")</f>
        <v/>
      </c>
      <c r="O301" s="3" t="inlineStr">
        <is>
          <t>세종무지개</t>
        </is>
      </c>
      <c r="P301" s="4" t="n">
        <v>1</v>
      </c>
      <c r="Q301" s="4" t="n">
        <v>398.9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2106-19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398</v>
      </c>
      <c r="H302" s="4" t="n">
        <v>120</v>
      </c>
      <c r="I302" s="5" t="n">
        <v>708.3</v>
      </c>
      <c r="J302" s="5" t="n">
        <v>293.4</v>
      </c>
      <c r="K302" s="3" t="inlineStr">
        <is>
          <t>총 120.9p, 파크힐즈 단독주택 토지, 네모반듯</t>
        </is>
      </c>
      <c r="L302" s="6">
        <f>HYPERLINK("https://fin.land.naver.com/articles/2648152800", "매물Link")</f>
        <v/>
      </c>
      <c r="M302" s="6">
        <f>HYPERLINK("https://map.naver.com/p/search/고운동 2106-19", "지도Link")</f>
        <v/>
      </c>
      <c r="N302" s="6">
        <f>HYPERLINK("http://www.eum.go.kr/web/ar/lu/luLandDet.jsp?pnu=3611011200121060019&amp;isNoScr=script&amp;mode=search",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398.9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2106-19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80000</v>
      </c>
      <c r="G303" s="4" t="n">
        <v>398</v>
      </c>
      <c r="H303" s="4" t="n">
        <v>120</v>
      </c>
      <c r="I303" s="5" t="n">
        <v>666.7</v>
      </c>
      <c r="J303" s="5" t="n">
        <v>293.4</v>
      </c>
      <c r="K303" s="3" t="inlineStr">
        <is>
          <t>타운하우스내 대지, 고운뜰공원산책로 및 상권 인접</t>
        </is>
      </c>
      <c r="L303" s="6">
        <f>HYPERLINK("https://fin.land.naver.com/articles/2649399557", "매물Link")</f>
        <v/>
      </c>
      <c r="M303" s="6">
        <f>HYPERLINK("https://map.naver.com/p/search/고운동 2106-19", "지도Link")</f>
        <v/>
      </c>
      <c r="N303" s="6">
        <f>HYPERLINK("http://www.eum.go.kr/web/ar/lu/luLandDet.jsp?pnu=3611011200121060019&amp;isNoScr=script&amp;mode=search", "토지이음")</f>
        <v/>
      </c>
      <c r="O303" s="3" t="inlineStr">
        <is>
          <t>세종해비치</t>
        </is>
      </c>
      <c r="P303" s="4" t="n">
        <v>1</v>
      </c>
      <c r="Q303" s="4" t="n">
        <v>398.9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2106-2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110000</v>
      </c>
      <c r="G304" s="4" t="n">
        <v>378</v>
      </c>
      <c r="H304" s="4" t="n">
        <v>114</v>
      </c>
      <c r="I304" s="5" t="n">
        <v>964.9</v>
      </c>
      <c r="J304" s="5" t="n">
        <v>282.1</v>
      </c>
      <c r="K304" s="3" t="inlineStr">
        <is>
          <t>조율가능 벙커주차장가능 파크힐즈내 위치최상</t>
        </is>
      </c>
      <c r="L304" s="6">
        <f>HYPERLINK("https://fin.land.naver.com/articles/2649812012", "매물Link")</f>
        <v/>
      </c>
      <c r="M304" s="6">
        <f>HYPERLINK("https://map.naver.com/p/search/고운동 2106-2", "지도Link")</f>
        <v/>
      </c>
      <c r="N304" s="6">
        <f>HYPERLINK("http://www.eum.go.kr/web/ar/lu/luLandDet.jsp?pnu=3611011200121060002&amp;isNoScr=script&amp;mode=search",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378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소로한면</t>
        </is>
      </c>
    </row>
    <row r="305">
      <c r="A305" s="3" t="inlineStr">
        <is>
          <t>고운동 2106-24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90000</v>
      </c>
      <c r="G305" s="4" t="n">
        <v>371</v>
      </c>
      <c r="H305" s="4" t="n">
        <v>112</v>
      </c>
      <c r="I305" s="5" t="n">
        <v>803.6</v>
      </c>
      <c r="J305" s="5" t="n">
        <v>282.1</v>
      </c>
      <c r="K305" s="3" t="inlineStr">
        <is>
          <t>nan</t>
        </is>
      </c>
      <c r="L305" s="6">
        <f>HYPERLINK("https://fin.land.naver.com/articles/2647095292", "매물Link")</f>
        <v/>
      </c>
      <c r="M305" s="6">
        <f>HYPERLINK("https://map.naver.com/p/search/고운동 2106-24", "지도Link")</f>
        <v/>
      </c>
      <c r="N305" s="6">
        <f>HYPERLINK("http://www.eum.go.kr/web/ar/lu/luLandDet.jsp?pnu=3611011200121060024&amp;isNoScr=script&amp;mode=search", "토지이음")</f>
        <v/>
      </c>
      <c r="O305" s="3" t="inlineStr">
        <is>
          <t>명품시티</t>
        </is>
      </c>
      <c r="P305" s="4" t="n">
        <v>1</v>
      </c>
      <c r="Q305" s="4" t="n">
        <v>371.1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소로한면</t>
        </is>
      </c>
    </row>
    <row r="306">
      <c r="A306" s="3" t="inlineStr">
        <is>
          <t>고운동 2106-26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69000</v>
      </c>
      <c r="G306" s="4" t="n">
        <v>367</v>
      </c>
      <c r="H306" s="4" t="n">
        <v>111</v>
      </c>
      <c r="I306" s="5" t="n">
        <v>621.6</v>
      </c>
      <c r="J306" s="5" t="n">
        <v>285</v>
      </c>
      <c r="K306" s="3" t="inlineStr">
        <is>
          <t>급매 고급 타운하우스 파크힐즈 최저가</t>
        </is>
      </c>
      <c r="L306" s="6">
        <f>HYPERLINK("https://fin.land.naver.com/articles/2649812113", "매물Link")</f>
        <v/>
      </c>
      <c r="M306" s="6">
        <f>HYPERLINK("https://map.naver.com/p/search/고운동 2106-26", "지도Link")</f>
        <v/>
      </c>
      <c r="N306" s="6">
        <f>HYPERLINK("http://www.eum.go.kr/web/ar/lu/luLandDet.jsp?pnu=3611011200121060026&amp;isNoScr=script&amp;mode=search", "토지이음")</f>
        <v/>
      </c>
      <c r="O306" s="3" t="inlineStr">
        <is>
          <t>세종스타</t>
        </is>
      </c>
      <c r="P306" s="4" t="n">
        <v>1</v>
      </c>
      <c r="Q306" s="4" t="n">
        <v>367.4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2106-8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120000</v>
      </c>
      <c r="G307" s="4" t="n">
        <v>386</v>
      </c>
      <c r="H307" s="4" t="n">
        <v>117</v>
      </c>
      <c r="I307" s="5" t="n">
        <v>1025.6</v>
      </c>
      <c r="J307" s="5" t="n">
        <v>282.1</v>
      </c>
      <c r="K307" s="3" t="inlineStr">
        <is>
          <t>117.2p, 벙커주차장 가능한 단독토지, 고급타운하우스</t>
        </is>
      </c>
      <c r="L307" s="6">
        <f>HYPERLINK("https://fin.land.naver.com/articles/2650892488", "매물Link")</f>
        <v/>
      </c>
      <c r="M307" s="6">
        <f>HYPERLINK("https://map.naver.com/p/search/고운동 2106-8", "지도Link")</f>
        <v/>
      </c>
      <c r="N307" s="6">
        <f>HYPERLINK("http://www.eum.go.kr/web/ar/lu/luLandDet.jsp?pnu=3611011200121060008&amp;isNoScr=script&amp;mode=search", "토지이음")</f>
        <v/>
      </c>
      <c r="O307" s="3" t="inlineStr">
        <is>
          <t>세종무지개</t>
        </is>
      </c>
      <c r="P307" s="4" t="n">
        <v>2</v>
      </c>
      <c r="Q307" s="4" t="n">
        <v>386.7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소로한면</t>
        </is>
      </c>
    </row>
    <row r="308">
      <c r="A308" s="3" t="inlineStr">
        <is>
          <t>고운동 2108-11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90000</v>
      </c>
      <c r="G308" s="4" t="n">
        <v>400</v>
      </c>
      <c r="H308" s="4" t="n">
        <v>121</v>
      </c>
      <c r="I308" s="5" t="n">
        <v>743.8</v>
      </c>
      <c r="J308" s="5" t="n">
        <v>271.2</v>
      </c>
      <c r="K308" s="3" t="inlineStr">
        <is>
          <t>리안비채 토지 매매, 벙커주차장가능, 입지 굿</t>
        </is>
      </c>
      <c r="L308" s="6">
        <f>HYPERLINK("https://fin.land.naver.com/articles/2648121524", "매물Link")</f>
        <v/>
      </c>
      <c r="M308" s="6">
        <f>HYPERLINK("https://map.naver.com/p/search/고운동 2108-11", "지도Link")</f>
        <v/>
      </c>
      <c r="N308" s="6">
        <f>HYPERLINK("http://www.eum.go.kr/web/ar/lu/luLandDet.jsp?pnu=3611011200121080011&amp;isNoScr=script&amp;mode=search",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400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소로한면</t>
        </is>
      </c>
    </row>
    <row r="309">
      <c r="A309" s="3" t="inlineStr">
        <is>
          <t>고운동 2108-38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70000</v>
      </c>
      <c r="G309" s="4" t="n">
        <v>392</v>
      </c>
      <c r="H309" s="4" t="n">
        <v>119</v>
      </c>
      <c r="I309" s="5" t="n">
        <v>588.2</v>
      </c>
      <c r="J309" s="5" t="n">
        <v>284.7</v>
      </c>
      <c r="K309" s="3" t="inlineStr">
        <is>
          <t>총 118.8p, 리안비체힐즈 단독주택 토지매매</t>
        </is>
      </c>
      <c r="L309" s="6">
        <f>HYPERLINK("https://fin.land.naver.com/articles/2649022250", "매물Link")</f>
        <v/>
      </c>
      <c r="M309" s="6">
        <f>HYPERLINK("https://map.naver.com/p/search/고운동 2108-38", "지도Link")</f>
        <v/>
      </c>
      <c r="N309" s="6">
        <f>HYPERLINK("http://www.eum.go.kr/web/ar/lu/luLandDet.jsp?pnu=3611011200121080038&amp;isNoScr=script&amp;mode=search",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392.1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소로각지</t>
        </is>
      </c>
    </row>
    <row r="310">
      <c r="A310" s="3" t="inlineStr">
        <is>
          <t>고운동 2108-38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70000</v>
      </c>
      <c r="G310" s="4" t="n">
        <v>392</v>
      </c>
      <c r="H310" s="4" t="n">
        <v>119</v>
      </c>
      <c r="I310" s="5" t="n">
        <v>588.2</v>
      </c>
      <c r="J310" s="5" t="n">
        <v>284.7</v>
      </c>
      <c r="K310" s="3" t="inlineStr">
        <is>
          <t>118.8p, 비안비채힐즈 블록형 타운하우스 단독주택 토지매매</t>
        </is>
      </c>
      <c r="L310" s="6">
        <f>HYPERLINK("https://fin.land.naver.com/articles/2650427238", "매물Link")</f>
        <v/>
      </c>
      <c r="M310" s="6">
        <f>HYPERLINK("https://map.naver.com/p/search/고운동 2108-38", "지도Link")</f>
        <v/>
      </c>
      <c r="N310" s="6">
        <f>HYPERLINK("http://www.eum.go.kr/web/ar/lu/luLandDet.jsp?pnu=3611011200121080038&amp;isNoScr=script&amp;mode=search", "토지이음")</f>
        <v/>
      </c>
      <c r="O310" s="3" t="inlineStr">
        <is>
          <t>세종무지개</t>
        </is>
      </c>
      <c r="P310" s="4" t="n">
        <v>1</v>
      </c>
      <c r="Q310" s="4" t="n">
        <v>392.1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소로각지</t>
        </is>
      </c>
    </row>
    <row r="311">
      <c r="A311" s="3" t="inlineStr">
        <is>
          <t>고운동 2108-38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70000</v>
      </c>
      <c r="G311" s="4" t="n">
        <v>392</v>
      </c>
      <c r="H311" s="4" t="n">
        <v>119</v>
      </c>
      <c r="I311" s="5" t="n">
        <v>588.2</v>
      </c>
      <c r="J311" s="5" t="n">
        <v>284.7</v>
      </c>
      <c r="K311" s="3" t="inlineStr">
        <is>
          <t>세종시 블록형 리안비채힐즈 단독택지</t>
        </is>
      </c>
      <c r="L311" s="6">
        <f>HYPERLINK("https://fin.land.naver.com/articles/2651559979", "매물Link")</f>
        <v/>
      </c>
      <c r="M311" s="6">
        <f>HYPERLINK("https://map.naver.com/p/search/고운동 2108-38", "지도Link")</f>
        <v/>
      </c>
      <c r="N311" s="6">
        <f>HYPERLINK("http://www.eum.go.kr/web/ar/lu/luLandDet.jsp?pnu=3611011200121080038&amp;isNoScr=script&amp;mode=search", "토지이음")</f>
        <v/>
      </c>
      <c r="O311" s="3" t="inlineStr">
        <is>
          <t>부엉이</t>
        </is>
      </c>
      <c r="P311" s="4" t="n">
        <v>1</v>
      </c>
      <c r="Q311" s="4" t="n">
        <v>392.1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고운동 2108-38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284.7</v>
      </c>
      <c r="K312" s="3" t="inlineStr">
        <is>
          <t>생명나무,리안비체힐즈 타운하우스 부지</t>
        </is>
      </c>
      <c r="L312" s="6">
        <f>HYPERLINK("https://fin.land.naver.com/articles/2650736949", "매물Link")</f>
        <v/>
      </c>
      <c r="M312" s="6">
        <f>HYPERLINK("https://map.naver.com/p/search/고운동 2108-38", "지도Link")</f>
        <v/>
      </c>
      <c r="N312" s="6">
        <f>HYPERLINK("http://www.eum.go.kr/web/ar/lu/luLandDet.jsp?pnu=3611011200121080038&amp;isNoScr=script&amp;mode=search", "토지이음")</f>
        <v/>
      </c>
      <c r="O312" s="3" t="inlineStr">
        <is>
          <t>생명나무</t>
        </is>
      </c>
      <c r="P312" s="4" t="n">
        <v>1</v>
      </c>
      <c r="Q312" s="4" t="n">
        <v>392.1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2108-45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85000</v>
      </c>
      <c r="G313" s="4" t="n">
        <v>380</v>
      </c>
      <c r="H313" s="4" t="n">
        <v>115</v>
      </c>
      <c r="I313" s="5" t="n">
        <v>739.1</v>
      </c>
      <c r="J313" s="5" t="n">
        <v>286.8</v>
      </c>
      <c r="K313" s="3" t="inlineStr">
        <is>
          <t>115.2p, 고운동 리안비체힐즈 단독주택 토지매매</t>
        </is>
      </c>
      <c r="L313" s="6">
        <f>HYPERLINK("https://fin.land.naver.com/articles/2649022173", "매물Link")</f>
        <v/>
      </c>
      <c r="M313" s="6">
        <f>HYPERLINK("https://map.naver.com/p/search/고운동 2108-45", "지도Link")</f>
        <v/>
      </c>
      <c r="N313" s="6">
        <f>HYPERLINK("http://www.eum.go.kr/web/ar/lu/luLandDet.jsp?pnu=3611011200121080045&amp;isNoScr=script&amp;mode=search",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380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중로각지</t>
        </is>
      </c>
    </row>
    <row r="314">
      <c r="A314" s="3" t="inlineStr">
        <is>
          <t>고운동 2108-45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85000</v>
      </c>
      <c r="G314" s="4" t="n">
        <v>380</v>
      </c>
      <c r="H314" s="4" t="n">
        <v>115</v>
      </c>
      <c r="I314" s="5" t="n">
        <v>739.1</v>
      </c>
      <c r="J314" s="5" t="n">
        <v>286.8</v>
      </c>
      <c r="K314" s="3" t="inlineStr">
        <is>
          <t>115.2p, 리안비채힐즈 토지, 조율가능, 앞쪽 위치</t>
        </is>
      </c>
      <c r="L314" s="6">
        <f>HYPERLINK("https://fin.land.naver.com/articles/2650427164", "매물Link")</f>
        <v/>
      </c>
      <c r="M314" s="6">
        <f>HYPERLINK("https://map.naver.com/p/search/고운동 2108-45", "지도Link")</f>
        <v/>
      </c>
      <c r="N314" s="6">
        <f>HYPERLINK("http://www.eum.go.kr/web/ar/lu/luLandDet.jsp?pnu=3611011200121080045&amp;isNoScr=script&amp;mode=search",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380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중로각지</t>
        </is>
      </c>
    </row>
    <row r="315">
      <c r="A315" s="3" t="inlineStr">
        <is>
          <t>고운동 2108-51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90000</v>
      </c>
      <c r="G315" s="4" t="n">
        <v>395</v>
      </c>
      <c r="H315" s="4" t="n">
        <v>119</v>
      </c>
      <c r="I315" s="5" t="n">
        <v>756.3</v>
      </c>
      <c r="J315" s="5" t="n">
        <v>286.8</v>
      </c>
      <c r="K315" s="3" t="inlineStr">
        <is>
          <t>119.7p, 리안비채힐즈 토지매매</t>
        </is>
      </c>
      <c r="L315" s="6">
        <f>HYPERLINK("https://fin.land.naver.com/articles/2650891441", "매물Link")</f>
        <v/>
      </c>
      <c r="M315" s="6">
        <f>HYPERLINK("https://map.naver.com/p/search/고운동 2108-51", "지도Link")</f>
        <v/>
      </c>
      <c r="N315" s="6">
        <f>HYPERLINK("http://www.eum.go.kr/web/ar/lu/luLandDet.jsp?pnu=3611011200121080051&amp;isNoScr=script&amp;mode=search",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395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중로각지</t>
        </is>
      </c>
    </row>
    <row r="316">
      <c r="A316" s="3" t="inlineStr">
        <is>
          <t>고운동 2110-6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73000</v>
      </c>
      <c r="G316" s="4" t="n">
        <v>357</v>
      </c>
      <c r="H316" s="4" t="n">
        <v>108</v>
      </c>
      <c r="I316" s="5" t="n">
        <v>675.9</v>
      </c>
      <c r="J316" s="5" t="n">
        <v>357.7</v>
      </c>
      <c r="K316" s="3" t="inlineStr">
        <is>
          <t>총 108.3p, 고운동 노블테라스 타운하우스 토지매매</t>
        </is>
      </c>
      <c r="L316" s="6">
        <f>HYPERLINK("https://fin.land.naver.com/articles/2649020706", "매물Link")</f>
        <v/>
      </c>
      <c r="M316" s="6">
        <f>HYPERLINK("https://map.naver.com/p/search/고운동 2110-6", "지도Link")</f>
        <v/>
      </c>
      <c r="N316" s="6">
        <f>HYPERLINK("http://www.eum.go.kr/web/ar/lu/luLandDet.jsp?pnu=3611011200121100006&amp;isNoScr=script&amp;mode=search", "토지이음")</f>
        <v/>
      </c>
      <c r="O316" s="3" t="inlineStr">
        <is>
          <t>명진</t>
        </is>
      </c>
      <c r="P316" s="4" t="n">
        <v>1</v>
      </c>
      <c r="Q316" s="4" t="n">
        <v>357.5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중로각지</t>
        </is>
      </c>
    </row>
    <row r="317">
      <c r="A317" s="3" t="inlineStr">
        <is>
          <t>고운동 2110-6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357</v>
      </c>
      <c r="H317" s="4" t="n">
        <v>108</v>
      </c>
      <c r="I317" s="5" t="n">
        <v>648.1</v>
      </c>
      <c r="J317" s="5" t="n">
        <v>357.7</v>
      </c>
      <c r="K317" s="3" t="inlineStr">
        <is>
          <t>108.3p, 노블테라스 토지매매, 분양가 이하</t>
        </is>
      </c>
      <c r="L317" s="6">
        <f>HYPERLINK("https://fin.land.naver.com/articles/2650890897", "매물Link")</f>
        <v/>
      </c>
      <c r="M317" s="6">
        <f>HYPERLINK("https://map.naver.com/p/search/고운동 2110-6", "지도Link")</f>
        <v/>
      </c>
      <c r="N317" s="6">
        <f>HYPERLINK("http://www.eum.go.kr/web/ar/lu/luLandDet.jsp?pnu=3611011200121100006&amp;isNoScr=script&amp;mode=search",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357.5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중로각지</t>
        </is>
      </c>
    </row>
    <row r="318">
      <c r="A318" s="3" t="inlineStr">
        <is>
          <t>고운동 2110-6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357</v>
      </c>
      <c r="H318" s="4" t="n">
        <v>108</v>
      </c>
      <c r="I318" s="5" t="n">
        <v>648.1</v>
      </c>
      <c r="J318" s="5" t="n">
        <v>357.7</v>
      </c>
      <c r="K318" s="3" t="inlineStr">
        <is>
          <t>고운동 노블테라스 토지매매</t>
        </is>
      </c>
      <c r="L318" s="6">
        <f>HYPERLINK("https://fin.land.naver.com/articles/2650517055", "매물Link")</f>
        <v/>
      </c>
      <c r="M318" s="6">
        <f>HYPERLINK("https://map.naver.com/p/search/고운동 2110-6", "지도Link")</f>
        <v/>
      </c>
      <c r="N318" s="6">
        <f>HYPERLINK("http://www.eum.go.kr/web/ar/lu/luLandDet.jsp?pnu=3611011200121100006&amp;isNoScr=script&amp;mode=search", "토지이음")</f>
        <v/>
      </c>
      <c r="O318" s="3" t="inlineStr">
        <is>
          <t>고운동리치세종</t>
        </is>
      </c>
      <c r="P318" s="4" t="n">
        <v>1</v>
      </c>
      <c r="Q318" s="4" t="n">
        <v>357.5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중로각지</t>
        </is>
      </c>
    </row>
    <row r="319">
      <c r="A319" s="3" t="inlineStr">
        <is>
          <t>고운동 2110-7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60000</v>
      </c>
      <c r="G319" s="4" t="n">
        <v>357</v>
      </c>
      <c r="H319" s="4" t="n">
        <v>108</v>
      </c>
      <c r="I319" s="5" t="n">
        <v>555.6</v>
      </c>
      <c r="J319" s="5" t="n">
        <v>357.7</v>
      </c>
      <c r="K319" s="3" t="inlineStr">
        <is>
          <t>108.3p, 노블테라스, 단독주택 토지매매</t>
        </is>
      </c>
      <c r="L319" s="6">
        <f>HYPERLINK("https://fin.land.naver.com/articles/2650891045", "매물Link")</f>
        <v/>
      </c>
      <c r="M319" s="6">
        <f>HYPERLINK("https://map.naver.com/p/search/고운동 2110-7", "지도Link")</f>
        <v/>
      </c>
      <c r="N319" s="6">
        <f>HYPERLINK("http://www.eum.go.kr/web/ar/lu/luLandDet.jsp?pnu=3611011200121100007&amp;isNoScr=script&amp;mode=search",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357.5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2110-7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65000</v>
      </c>
      <c r="G320" s="4" t="n">
        <v>357</v>
      </c>
      <c r="H320" s="4" t="n">
        <v>108</v>
      </c>
      <c r="I320" s="5" t="n">
        <v>601.9</v>
      </c>
      <c r="J320" s="5" t="n">
        <v>357.7</v>
      </c>
      <c r="K320" s="3" t="inlineStr">
        <is>
          <t>전용108.3p, 노블테라스, 건축기한없음</t>
        </is>
      </c>
      <c r="L320" s="6">
        <f>HYPERLINK("https://fin.land.naver.com/articles/2648345702", "매물Link")</f>
        <v/>
      </c>
      <c r="M320" s="6">
        <f>HYPERLINK("https://map.naver.com/p/search/고운동 2110-7", "지도Link")</f>
        <v/>
      </c>
      <c r="N320" s="6">
        <f>HYPERLINK("http://www.eum.go.kr/web/ar/lu/luLandDet.jsp?pnu=3611011200121100007&amp;isNoScr=script&amp;mode=search", "토지이음")</f>
        <v/>
      </c>
      <c r="O320" s="3" t="inlineStr">
        <is>
          <t>명진</t>
        </is>
      </c>
      <c r="P320" s="4" t="n">
        <v>1</v>
      </c>
      <c r="Q320" s="4" t="n">
        <v>357.5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2110-8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59000</v>
      </c>
      <c r="G321" s="4" t="n">
        <v>357</v>
      </c>
      <c r="H321" s="4" t="n">
        <v>108</v>
      </c>
      <c r="I321" s="5" t="n">
        <v>546.3</v>
      </c>
      <c r="J321" s="5" t="n">
        <v>357.7</v>
      </c>
      <c r="K321" s="3" t="inlineStr">
        <is>
          <t>급매,고운동 최상의 고급택지 타운하우스,저렴한 단독주택지</t>
        </is>
      </c>
      <c r="L321" s="6">
        <f>HYPERLINK("https://fin.land.naver.com/articles/2646658274", "매물Link")</f>
        <v/>
      </c>
      <c r="M321" s="6">
        <f>HYPERLINK("https://map.naver.com/p/search/고운동 2110-8", "지도Link")</f>
        <v/>
      </c>
      <c r="N321" s="6">
        <f>HYPERLINK("http://www.eum.go.kr/web/ar/lu/luLandDet.jsp?pnu=3611011200121100008&amp;isNoScr=script&amp;mode=search", "토지이음")</f>
        <v/>
      </c>
      <c r="O321" s="3" t="inlineStr">
        <is>
          <t>고운맘</t>
        </is>
      </c>
      <c r="P321" s="4" t="n">
        <v>1</v>
      </c>
      <c r="Q321" s="4" t="n">
        <v>357.5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2110-9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55000</v>
      </c>
      <c r="G322" s="4" t="n">
        <v>357</v>
      </c>
      <c r="H322" s="4" t="n">
        <v>108</v>
      </c>
      <c r="I322" s="5" t="n">
        <v>509.3</v>
      </c>
      <c r="J322" s="5" t="n">
        <v>357.7</v>
      </c>
      <c r="K322" s="3" t="inlineStr">
        <is>
          <t>급매,고운동 최상의 고급택지 타운하우스,저렴한 단독주택지</t>
        </is>
      </c>
      <c r="L322" s="6">
        <f>HYPERLINK("https://fin.land.naver.com/articles/2646658111", "매물Link")</f>
        <v/>
      </c>
      <c r="M322" s="6">
        <f>HYPERLINK("https://map.naver.com/p/search/고운동 2110-9", "지도Link")</f>
        <v/>
      </c>
      <c r="N322" s="6">
        <f>HYPERLINK("http://www.eum.go.kr/web/ar/lu/luLandDet.jsp?pnu=3611011200121100009&amp;isNoScr=script&amp;mode=search", "토지이음")</f>
        <v/>
      </c>
      <c r="O322" s="3" t="inlineStr">
        <is>
          <t>고운맘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55000</v>
      </c>
      <c r="G323" s="4" t="n">
        <v>357</v>
      </c>
      <c r="H323" s="4" t="n">
        <v>108</v>
      </c>
      <c r="I323" s="5" t="n">
        <v>509.3</v>
      </c>
      <c r="J323" s="5" t="n">
        <v>357.7</v>
      </c>
      <c r="K323" s="3" t="inlineStr">
        <is>
          <t>108.3P, 노블테라스, 도로변으로 앞쪽에 위치함</t>
        </is>
      </c>
      <c r="L323" s="6">
        <f>HYPERLINK("https://fin.land.naver.com/articles/2647420346", "매물Link")</f>
        <v/>
      </c>
      <c r="M323" s="6">
        <f>HYPERLINK("https://map.naver.com/p/search/고운동 2110-9", "지도Link")</f>
        <v/>
      </c>
      <c r="N323" s="6">
        <f>HYPERLINK("http://www.eum.go.kr/web/ar/lu/luLandDet.jsp?pnu=3611011200121100009&amp;isNoScr=script&amp;mode=search",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2128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49955</v>
      </c>
      <c r="G324" s="4" t="n">
        <v>300</v>
      </c>
      <c r="H324" s="4" t="n">
        <v>91</v>
      </c>
      <c r="I324" s="5" t="n">
        <v>549</v>
      </c>
      <c r="J324" s="5" t="n">
        <v>249.7</v>
      </c>
      <c r="K324" s="3" t="inlineStr">
        <is>
          <t>코너각지 지대높음 정자조망</t>
        </is>
      </c>
      <c r="L324" s="6">
        <f>HYPERLINK("https://fin.land.naver.com/articles/2646479186", "매물Link")</f>
        <v/>
      </c>
      <c r="M324" s="6">
        <f>HYPERLINK("https://map.naver.com/p/search/고운동 2128", "지도Link")</f>
        <v/>
      </c>
      <c r="N324" s="6">
        <f>HYPERLINK("http://www.eum.go.kr/web/ar/lu/luLandDet.jsp?pnu=3611011200121280000&amp;isNoScr=script&amp;mode=search", "토지이음")</f>
        <v/>
      </c>
      <c r="O324" s="3" t="inlineStr">
        <is>
          <t>세종스타</t>
        </is>
      </c>
      <c r="P324" s="4" t="n">
        <v>1</v>
      </c>
      <c r="Q324" s="4" t="n">
        <v>300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세로한면(가)</t>
        </is>
      </c>
    </row>
    <row r="325">
      <c r="A325" s="3" t="inlineStr">
        <is>
          <t>고운동 2128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49955</v>
      </c>
      <c r="G325" s="4" t="n">
        <v>300</v>
      </c>
      <c r="H325" s="4" t="n">
        <v>91</v>
      </c>
      <c r="I325" s="5" t="n">
        <v>549</v>
      </c>
      <c r="J325" s="5" t="n">
        <v>249.7</v>
      </c>
      <c r="K325" s="3" t="inlineStr">
        <is>
          <t>90.9p, 지대 높은 한옥 마을 토지매매</t>
        </is>
      </c>
      <c r="L325" s="6">
        <f>HYPERLINK("https://fin.land.naver.com/articles/2650891216", "매물Link")</f>
        <v/>
      </c>
      <c r="M325" s="6">
        <f>HYPERLINK("https://map.naver.com/p/search/고운동 2128", "지도Link")</f>
        <v/>
      </c>
      <c r="N325" s="6">
        <f>HYPERLINK("http://www.eum.go.kr/web/ar/lu/luLandDet.jsp?pnu=3611011200121280000&amp;isNoScr=script&amp;mode=search",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300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세로한면(가)</t>
        </is>
      </c>
    </row>
    <row r="326">
      <c r="A326" s="3" t="inlineStr">
        <is>
          <t>고운동 2137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290</v>
      </c>
      <c r="H326" s="4" t="n">
        <v>88</v>
      </c>
      <c r="I326" s="5" t="n">
        <v>568.2</v>
      </c>
      <c r="J326" s="5" t="n">
        <v>249.7</v>
      </c>
      <c r="K326" s="3" t="inlineStr">
        <is>
          <t>한옥마을토지 급매, 조율도 가능합니다</t>
        </is>
      </c>
      <c r="L326" s="6">
        <f>HYPERLINK("https://fin.land.naver.com/articles/2647424210", "매물Link")</f>
        <v/>
      </c>
      <c r="M326" s="6">
        <f>HYPERLINK("https://map.naver.com/p/search/고운동 2137", "지도Link")</f>
        <v/>
      </c>
      <c r="N326" s="6">
        <f>HYPERLINK("http://www.eum.go.kr/web/ar/lu/luLandDet.jsp?pnu=3611011200121370000&amp;isNoScr=script&amp;mode=search",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295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세로한면(가)</t>
        </is>
      </c>
    </row>
    <row r="327">
      <c r="A327" s="3" t="inlineStr">
        <is>
          <t>고운동 2137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50000</v>
      </c>
      <c r="G327" s="4" t="n">
        <v>295</v>
      </c>
      <c r="H327" s="4" t="n">
        <v>89</v>
      </c>
      <c r="I327" s="5" t="n">
        <v>561.8</v>
      </c>
      <c r="J327" s="5" t="n">
        <v>249.7</v>
      </c>
      <c r="K327" s="3" t="inlineStr">
        <is>
          <t>급매 산접한 최상위치 건축하기 좋은 토지모양</t>
        </is>
      </c>
      <c r="L327" s="6">
        <f>HYPERLINK("https://fin.land.naver.com/articles/2649424986", "매물Link")</f>
        <v/>
      </c>
      <c r="M327" s="6">
        <f>HYPERLINK("https://map.naver.com/p/search/고운동 2137", "지도Link")</f>
        <v/>
      </c>
      <c r="N327" s="6">
        <f>HYPERLINK("http://www.eum.go.kr/web/ar/lu/luLandDet.jsp?pnu=3611011200121370000&amp;isNoScr=script&amp;mode=search",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295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세로한면(가)</t>
        </is>
      </c>
    </row>
    <row r="328">
      <c r="A328" s="3" t="inlineStr">
        <is>
          <t>고운동 2137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50000</v>
      </c>
      <c r="G328" s="4" t="n">
        <v>289</v>
      </c>
      <c r="H328" s="4" t="n">
        <v>87</v>
      </c>
      <c r="I328" s="5" t="n">
        <v>574.7</v>
      </c>
      <c r="J328" s="5" t="n">
        <v>249.7</v>
      </c>
      <c r="K328" s="3" t="inlineStr">
        <is>
          <t>급매, 조율가능, 총 87.9p, 한옥마을 위치좋은 토지</t>
        </is>
      </c>
      <c r="L328" s="6">
        <f>HYPERLINK("https://fin.land.naver.com/articles/2648996399", "매물Link")</f>
        <v/>
      </c>
      <c r="M328" s="6">
        <f>HYPERLINK("https://map.naver.com/p/search/고운동 2137", "지도Link")</f>
        <v/>
      </c>
      <c r="N328" s="6">
        <f>HYPERLINK("http://www.eum.go.kr/web/ar/lu/luLandDet.jsp?pnu=3611011200121370000&amp;isNoScr=script&amp;mode=search",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295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2161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80000</v>
      </c>
      <c r="G329" s="4" t="n">
        <v>304</v>
      </c>
      <c r="H329" s="4" t="n">
        <v>92</v>
      </c>
      <c r="I329" s="5" t="n">
        <v>869.6</v>
      </c>
      <c r="J329" s="5" t="n">
        <v>680.7</v>
      </c>
      <c r="K329" s="3" t="inlineStr">
        <is>
          <t>한옥마을 근생용지 투자추천 010 3819 3805</t>
        </is>
      </c>
      <c r="L329" s="6">
        <f>HYPERLINK("https://fin.land.naver.com/articles/2649329270", "매물Link")</f>
        <v/>
      </c>
      <c r="M329" s="6">
        <f>HYPERLINK("https://map.naver.com/p/search/고운동 2161", "지도Link")</f>
        <v/>
      </c>
      <c r="N329" s="6">
        <f>HYPERLINK("http://www.eum.go.kr/web/ar/lu/luLandDet.jsp?pnu=3611011200121610000&amp;isNoScr=script&amp;mode=search", "토지이음")</f>
        <v/>
      </c>
      <c r="O329" s="3" t="inlineStr">
        <is>
          <t>국제</t>
        </is>
      </c>
      <c r="P329" s="4" t="n">
        <v>1</v>
      </c>
      <c r="Q329" s="4" t="n">
        <v>304.8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2162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150000</v>
      </c>
      <c r="G330" s="4" t="n">
        <v>317</v>
      </c>
      <c r="H330" s="4" t="n">
        <v>96</v>
      </c>
      <c r="I330" s="5" t="n">
        <v>1562.5</v>
      </c>
      <c r="J330" s="5" t="n">
        <v>735.5</v>
      </c>
      <c r="K330" s="3" t="inlineStr">
        <is>
          <t>96.1p, 한옥마을 근생토지, 위치 좋고 노출 좋은 토지</t>
        </is>
      </c>
      <c r="L330" s="6">
        <f>HYPERLINK("https://fin.land.naver.com/articles/2649596569", "매물Link")</f>
        <v/>
      </c>
      <c r="M330" s="6">
        <f>HYPERLINK("https://map.naver.com/p/search/고운동 2162", "지도Link")</f>
        <v/>
      </c>
      <c r="N330" s="6">
        <f>HYPERLINK("http://www.eum.go.kr/web/ar/lu/luLandDet.jsp?pnu=3611011200121620000&amp;isNoScr=script&amp;mode=search",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317.2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가로장방</t>
        </is>
      </c>
      <c r="V330" s="3" t="inlineStr">
        <is>
          <t>소로각지</t>
        </is>
      </c>
    </row>
    <row r="331">
      <c r="A331" s="3" t="inlineStr">
        <is>
          <t>고운동 2162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150000</v>
      </c>
      <c r="G331" s="4" t="n">
        <v>317</v>
      </c>
      <c r="H331" s="4" t="n">
        <v>96</v>
      </c>
      <c r="I331" s="5" t="n">
        <v>1562.5</v>
      </c>
      <c r="J331" s="5" t="n">
        <v>735.5</v>
      </c>
      <c r="K331" s="3" t="inlineStr">
        <is>
          <t>고운동한옥마을 근생용지 도로변인접 노출이 잘되는 입지</t>
        </is>
      </c>
      <c r="L331" s="6">
        <f>HYPERLINK("https://fin.land.naver.com/articles/2646125291", "매물Link")</f>
        <v/>
      </c>
      <c r="M331" s="6">
        <f>HYPERLINK("https://map.naver.com/p/search/고운동 2162", "지도Link")</f>
        <v/>
      </c>
      <c r="N331" s="6">
        <f>HYPERLINK("http://www.eum.go.kr/web/ar/lu/luLandDet.jsp?pnu=3611011200121620000&amp;isNoScr=script&amp;mode=search", "토지이음")</f>
        <v/>
      </c>
      <c r="O331" s="3" t="inlineStr">
        <is>
          <t>고운동리치세종</t>
        </is>
      </c>
      <c r="P331" s="4" t="n">
        <v>1</v>
      </c>
      <c r="Q331" s="4" t="n">
        <v>317.2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가로장방</t>
        </is>
      </c>
      <c r="V331" s="3" t="inlineStr">
        <is>
          <t>소로각지</t>
        </is>
      </c>
    </row>
    <row r="332">
      <c r="A332" s="3" t="inlineStr">
        <is>
          <t>고운동 2162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150000</v>
      </c>
      <c r="G332" s="4" t="n">
        <v>317</v>
      </c>
      <c r="H332" s="4" t="n">
        <v>96</v>
      </c>
      <c r="I332" s="5" t="n">
        <v>1562.5</v>
      </c>
      <c r="J332" s="5" t="n">
        <v>735.5</v>
      </c>
      <c r="K332" s="3" t="inlineStr">
        <is>
          <t>한옥마을  귀한 근생 용지 .   커피숍 ,식당 등추천, 주변 아파트밀집</t>
        </is>
      </c>
      <c r="L332" s="6">
        <f>HYPERLINK("https://fin.land.naver.com/articles/2650760466", "매물Link")</f>
        <v/>
      </c>
      <c r="M332" s="6">
        <f>HYPERLINK("https://map.naver.com/p/search/고운동 2162", "지도Link")</f>
        <v/>
      </c>
      <c r="N332" s="6">
        <f>HYPERLINK("http://www.eum.go.kr/web/ar/lu/luLandDet.jsp?pnu=3611011200121620000&amp;isNoScr=script&amp;mode=search", "토지이음")</f>
        <v/>
      </c>
      <c r="O332" s="3" t="inlineStr">
        <is>
          <t>세종특별시</t>
        </is>
      </c>
      <c r="P332" s="4" t="n">
        <v>1</v>
      </c>
      <c r="Q332" s="4" t="n">
        <v>317.2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소로각지</t>
        </is>
      </c>
    </row>
    <row r="333">
      <c r="A333" s="3" t="inlineStr">
        <is>
          <t>고운동 2202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50000</v>
      </c>
      <c r="G333" s="4" t="n">
        <v>322</v>
      </c>
      <c r="H333" s="4" t="n">
        <v>97</v>
      </c>
      <c r="I333" s="5" t="n">
        <v>515.5</v>
      </c>
      <c r="J333" s="5" t="n">
        <v>249.7</v>
      </c>
      <c r="K333" s="3" t="inlineStr">
        <is>
          <t>한옥마을토지, 위치 좋은곳</t>
        </is>
      </c>
      <c r="L333" s="6">
        <f>HYPERLINK("https://fin.land.naver.com/articles/2648832539", "매물Link")</f>
        <v/>
      </c>
      <c r="M333" s="6">
        <f>HYPERLINK("https://map.naver.com/p/search/고운동 2202", "지도Link")</f>
        <v/>
      </c>
      <c r="N333" s="6">
        <f>HYPERLINK("http://www.eum.go.kr/web/ar/lu/luLandDet.jsp?pnu=3611011200122020000&amp;isNoScr=script&amp;mode=search",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322.6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893-10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56000</v>
      </c>
      <c r="G334" s="4" t="n">
        <v>256</v>
      </c>
      <c r="H334" s="4" t="n">
        <v>77</v>
      </c>
      <c r="I334" s="5" t="n">
        <v>727.3</v>
      </c>
      <c r="J334" s="5" t="n">
        <v>319.6</v>
      </c>
      <c r="K334" s="3" t="inlineStr">
        <is>
          <t>네이플리브 단독주택지 토지</t>
        </is>
      </c>
      <c r="L334" s="6">
        <f>HYPERLINK("https://fin.land.naver.com/articles/2648832670", "매물Link")</f>
        <v/>
      </c>
      <c r="M334" s="6">
        <f>HYPERLINK("https://map.naver.com/p/search/고운동 893-10", "지도Link")</f>
        <v/>
      </c>
      <c r="N334" s="6">
        <f>HYPERLINK("http://www.eum.go.kr/web/ar/lu/luLandDet.jsp?pnu=3611011200108930010&amp;isNoScr=script&amp;mode=search",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256.3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소로한면</t>
        </is>
      </c>
    </row>
    <row r="335">
      <c r="A335" s="3" t="inlineStr">
        <is>
          <t>고운동 893-10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56000</v>
      </c>
      <c r="G335" s="4" t="n">
        <v>374</v>
      </c>
      <c r="H335" s="4" t="n">
        <v>113</v>
      </c>
      <c r="I335" s="5" t="n">
        <v>495.6</v>
      </c>
      <c r="J335" s="5" t="n">
        <v>319.6</v>
      </c>
      <c r="K335" s="3" t="inlineStr">
        <is>
          <t>고운동 단독주택지</t>
        </is>
      </c>
      <c r="L335" s="6">
        <f>HYPERLINK("https://fin.land.naver.com/articles/2648385636", "매물Link")</f>
        <v/>
      </c>
      <c r="M335" s="6">
        <f>HYPERLINK("https://map.naver.com/p/search/고운동 893-10", "지도Link")</f>
        <v/>
      </c>
      <c r="N335" s="6">
        <f>HYPERLINK("http://www.eum.go.kr/web/ar/lu/luLandDet.jsp?pnu=3611011200108930010&amp;isNoScr=script&amp;mode=search", "토지이음")</f>
        <v/>
      </c>
      <c r="O335" s="3" t="inlineStr">
        <is>
          <t>현대파라곤</t>
        </is>
      </c>
      <c r="P335" s="4" t="n">
        <v>1</v>
      </c>
      <c r="Q335" s="4" t="n">
        <v>256.3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소로한면</t>
        </is>
      </c>
    </row>
    <row r="336">
      <c r="A336" s="3" t="inlineStr">
        <is>
          <t>고운동 893-10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56000</v>
      </c>
      <c r="G336" s="4" t="n">
        <v>256</v>
      </c>
      <c r="H336" s="4" t="n">
        <v>77</v>
      </c>
      <c r="I336" s="5" t="n">
        <v>727.3</v>
      </c>
      <c r="J336" s="5" t="n">
        <v>319.6</v>
      </c>
      <c r="K336" s="3" t="inlineStr">
        <is>
          <t>코지빌 단독주택지, 도로지분 별도</t>
        </is>
      </c>
      <c r="L336" s="6">
        <f>HYPERLINK("https://fin.land.naver.com/articles/2647421619", "매물Link")</f>
        <v/>
      </c>
      <c r="M336" s="6">
        <f>HYPERLINK("https://map.naver.com/p/search/고운동 893-10", "지도Link")</f>
        <v/>
      </c>
      <c r="N336" s="6">
        <f>HYPERLINK("http://www.eum.go.kr/web/ar/lu/luLandDet.jsp?pnu=3611011200108930010&amp;isNoScr=script&amp;mode=search",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256.3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소로한면</t>
        </is>
      </c>
    </row>
    <row r="337">
      <c r="A337" s="3" t="inlineStr">
        <is>
          <t>고운동 893-20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43000</v>
      </c>
      <c r="G337" s="4" t="n">
        <v>251</v>
      </c>
      <c r="H337" s="4" t="n">
        <v>76</v>
      </c>
      <c r="I337" s="5" t="n">
        <v>565.8</v>
      </c>
      <c r="J337" s="5" t="n">
        <v>319.6</v>
      </c>
      <c r="K337" s="3" t="inlineStr">
        <is>
          <t>급매, 조망 좋은 고운동에 있는 세종네이플리브 단독주택지 입니다</t>
        </is>
      </c>
      <c r="L337" s="6">
        <f>HYPERLINK("https://fin.land.naver.com/articles/2646085040", "매물Link")</f>
        <v/>
      </c>
      <c r="M337" s="6">
        <f>HYPERLINK("https://map.naver.com/p/search/고운동 893-20", "지도Link")</f>
        <v/>
      </c>
      <c r="N337" s="6">
        <f>HYPERLINK("http://www.eum.go.kr/web/ar/lu/luLandDet.jsp?pnu=3611011200108930020&amp;isNoScr=script&amp;mode=search", "토지이음")</f>
        <v/>
      </c>
      <c r="O337" s="3" t="inlineStr">
        <is>
          <t>스마일세종</t>
        </is>
      </c>
      <c r="P337" s="4" t="n">
        <v>1</v>
      </c>
      <c r="Q337" s="4" t="n">
        <v>251.1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893-27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45000</v>
      </c>
      <c r="G338" s="4" t="n">
        <v>252</v>
      </c>
      <c r="H338" s="4" t="n">
        <v>76</v>
      </c>
      <c r="I338" s="5" t="n">
        <v>592.1</v>
      </c>
      <c r="J338" s="5" t="n">
        <v>319.6</v>
      </c>
      <c r="K338" s="3" t="inlineStr">
        <is>
          <t>급매, 네이플리브 토지 76.3p, 도로지분 35.1p 총 111.4p</t>
        </is>
      </c>
      <c r="L338" s="6">
        <f>HYPERLINK("https://fin.land.naver.com/articles/2649017269", "매물Link")</f>
        <v/>
      </c>
      <c r="M338" s="6">
        <f>HYPERLINK("https://map.naver.com/p/search/고운동 893-27", "지도Link")</f>
        <v/>
      </c>
      <c r="N338" s="6">
        <f>HYPERLINK("http://www.eum.go.kr/web/ar/lu/luLandDet.jsp?pnu=3611011200108930027&amp;isNoScr=script&amp;mode=search",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252.1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893-27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45000</v>
      </c>
      <c r="G339" s="4" t="n">
        <v>252</v>
      </c>
      <c r="H339" s="4" t="n">
        <v>76</v>
      </c>
      <c r="I339" s="5" t="n">
        <v>592.1</v>
      </c>
      <c r="J339" s="5" t="n">
        <v>319.6</v>
      </c>
      <c r="K339" s="3" t="inlineStr">
        <is>
          <t>네이플리브 토지매매, 76.3p 도로지분 35p 별도</t>
        </is>
      </c>
      <c r="L339" s="6">
        <f>HYPERLINK("https://fin.land.naver.com/articles/2646689656", "매물Link")</f>
        <v/>
      </c>
      <c r="M339" s="6">
        <f>HYPERLINK("https://map.naver.com/p/search/고운동 893-27", "지도Link")</f>
        <v/>
      </c>
      <c r="N339" s="6">
        <f>HYPERLINK("http://www.eum.go.kr/web/ar/lu/luLandDet.jsp?pnu=3611011200108930027&amp;isNoScr=script&amp;mode=search",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252.1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893-41</t>
        </is>
      </c>
      <c r="B340" s="3" t="inlineStr">
        <is>
          <t>제1종전용주거지역</t>
        </is>
      </c>
      <c r="C340" s="3" t="inlineStr">
        <is>
          <t>공원</t>
        </is>
      </c>
      <c r="D340" s="3" t="inlineStr">
        <is>
          <t>대</t>
        </is>
      </c>
      <c r="E340" s="3" t="inlineStr">
        <is>
          <t>매매</t>
        </is>
      </c>
      <c r="F340" s="4" t="n">
        <v>66000</v>
      </c>
      <c r="G340" s="4" t="n">
        <v>364</v>
      </c>
      <c r="H340" s="4" t="n">
        <v>110</v>
      </c>
      <c r="I340" s="5" t="n">
        <v>600</v>
      </c>
      <c r="J340" s="5" t="n">
        <v>223.7</v>
      </c>
      <c r="K340" s="3" t="inlineStr">
        <is>
          <t>nan</t>
        </is>
      </c>
      <c r="L340" s="6">
        <f>HYPERLINK("https://fin.land.naver.com/articles/2651025996", "매물Link")</f>
        <v/>
      </c>
      <c r="M340" s="6">
        <f>HYPERLINK("https://map.naver.com/p/search/고운동 893-41", "지도Link")</f>
        <v/>
      </c>
      <c r="N340" s="6">
        <f>HYPERLINK("http://www.eum.go.kr/web/ar/lu/luLandDet.jsp?pnu=3611011200108930041&amp;isNoScr=script&amp;mode=search", "토지이음")</f>
        <v/>
      </c>
      <c r="O340" s="3" t="inlineStr">
        <is>
          <t>디아트성심</t>
        </is>
      </c>
      <c r="P340" s="4" t="n">
        <v>1</v>
      </c>
      <c r="Q340" s="4" t="n">
        <v>286.7</v>
      </c>
      <c r="R340" s="3" t="inlineStr">
        <is>
          <t>지정되지않음</t>
        </is>
      </c>
      <c r="S340" s="3" t="inlineStr">
        <is>
          <t>주차장등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지정되지않음</t>
        </is>
      </c>
    </row>
    <row r="341">
      <c r="A341" s="3" t="inlineStr">
        <is>
          <t>고운동 893-7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49500</v>
      </c>
      <c r="G341" s="4" t="n">
        <v>256</v>
      </c>
      <c r="H341" s="4" t="n">
        <v>77</v>
      </c>
      <c r="I341" s="5" t="n">
        <v>642.9</v>
      </c>
      <c r="J341" s="5" t="n">
        <v>319.6</v>
      </c>
      <c r="K341" s="3" t="inlineStr">
        <is>
          <t>타운하우스부지 a타입 건축가능 합니다</t>
        </is>
      </c>
      <c r="L341" s="6">
        <f>HYPERLINK("https://fin.land.naver.com/articles/2651511916", "매물Link")</f>
        <v/>
      </c>
      <c r="M341" s="6">
        <f>HYPERLINK("https://map.naver.com/p/search/고운동 893-7", "지도Link")</f>
        <v/>
      </c>
      <c r="N341" s="6">
        <f>HYPERLINK("http://www.eum.go.kr/web/ar/lu/luLandDet.jsp?pnu=3611011200108930007&amp;isNoScr=script&amp;mode=search", "토지이음")</f>
        <v/>
      </c>
      <c r="O341" s="3" t="inlineStr">
        <is>
          <t>은성</t>
        </is>
      </c>
      <c r="P341" s="4" t="n">
        <v>1</v>
      </c>
      <c r="Q341" s="4" t="n">
        <v>256.8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894-1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38000</v>
      </c>
      <c r="G342" s="4" t="n">
        <v>250</v>
      </c>
      <c r="H342" s="4" t="n">
        <v>76</v>
      </c>
      <c r="I342" s="5" t="n">
        <v>500</v>
      </c>
      <c r="J342" s="5" t="n">
        <v>319.6</v>
      </c>
      <c r="K342" s="3" t="inlineStr">
        <is>
          <t>고운동 사진O 고운동 코지빌 타운하우스 내 A타입 건축가능토지 매매</t>
        </is>
      </c>
      <c r="L342" s="6">
        <f>HYPERLINK("https://fin.land.naver.com/articles/2649499148", "매물Link")</f>
        <v/>
      </c>
      <c r="M342" s="6">
        <f>HYPERLINK("https://map.naver.com/p/search/고운동 894-1", "지도Link")</f>
        <v/>
      </c>
      <c r="N342" s="6">
        <f>HYPERLINK("http://www.eum.go.kr/web/ar/lu/luLandDet.jsp?pnu=3611011200108940001&amp;isNoScr=script&amp;mode=search", "토지이음")</f>
        <v/>
      </c>
      <c r="O342" s="3" t="inlineStr">
        <is>
          <t>리슈빌대주</t>
        </is>
      </c>
      <c r="P342" s="4" t="n">
        <v>1</v>
      </c>
      <c r="Q342" s="4" t="n">
        <v>250.2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894-1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38000</v>
      </c>
      <c r="G343" s="4" t="n">
        <v>250</v>
      </c>
      <c r="H343" s="4" t="n">
        <v>76</v>
      </c>
      <c r="I343" s="5" t="n">
        <v>500</v>
      </c>
      <c r="J343" s="5" t="n">
        <v>319.6</v>
      </c>
      <c r="K343" s="3" t="inlineStr">
        <is>
          <t>급매 남서향 타운하우스  A타입 단독주택지</t>
        </is>
      </c>
      <c r="L343" s="6">
        <f>HYPERLINK("https://fin.land.naver.com/articles/2647319640", "매물Link")</f>
        <v/>
      </c>
      <c r="M343" s="6">
        <f>HYPERLINK("https://map.naver.com/p/search/고운동 894-1", "지도Link")</f>
        <v/>
      </c>
      <c r="N343" s="6">
        <f>HYPERLINK("http://www.eum.go.kr/web/ar/lu/luLandDet.jsp?pnu=3611011200108940001&amp;isNoScr=script&amp;mode=search", "토지이음")</f>
        <v/>
      </c>
      <c r="O343" s="3" t="inlineStr">
        <is>
          <t>SD</t>
        </is>
      </c>
      <c r="P343" s="4" t="n">
        <v>1</v>
      </c>
      <c r="Q343" s="4" t="n">
        <v>250.2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코지빌 택지</t>
        </is>
      </c>
      <c r="L344" s="6">
        <f>HYPERLINK("https://fin.land.naver.com/articles/2651277381",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강아지풀</t>
        </is>
      </c>
      <c r="P344" s="4" t="n">
        <v>2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53000</v>
      </c>
      <c r="G345" s="4" t="n">
        <v>244</v>
      </c>
      <c r="H345" s="4" t="n">
        <v>74</v>
      </c>
      <c r="I345" s="5" t="n">
        <v>716.2</v>
      </c>
      <c r="J345" s="5" t="n">
        <v>319.6</v>
      </c>
      <c r="K345" s="3" t="inlineStr">
        <is>
          <t>고운동 단독주택지 매매 합니다</t>
        </is>
      </c>
      <c r="L345" s="6">
        <f>HYPERLINK("https://fin.land.naver.com/articles/2647535398", "매물Link")</f>
        <v/>
      </c>
      <c r="M345" s="6">
        <f>HYPERLINK("https://map.naver.com/p/search/고운동 894-17", "지도Link")</f>
        <v/>
      </c>
      <c r="N345" s="6">
        <f>HYPERLINK("http://www.eum.go.kr/web/ar/lu/luLandDet.jsp?pnu=3611011200108940017&amp;isNoScr=script&amp;mode=search", "토지이음")</f>
        <v/>
      </c>
      <c r="O345" s="3" t="inlineStr">
        <is>
          <t>태양투</t>
        </is>
      </c>
      <c r="P345" s="4" t="n">
        <v>1</v>
      </c>
      <c r="Q345" s="4" t="n">
        <v>244.8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894-21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49000</v>
      </c>
      <c r="G346" s="4" t="n">
        <v>244</v>
      </c>
      <c r="H346" s="4" t="n">
        <v>74</v>
      </c>
      <c r="I346" s="5" t="n">
        <v>662.2</v>
      </c>
      <c r="J346" s="5" t="n">
        <v>319.6</v>
      </c>
      <c r="K346" s="3" t="inlineStr">
        <is>
          <t>고운동 코지빌 토지매매</t>
        </is>
      </c>
      <c r="L346" s="6">
        <f>HYPERLINK("https://fin.land.naver.com/articles/2649595000", "매물Link")</f>
        <v/>
      </c>
      <c r="M346" s="6">
        <f>HYPERLINK("https://map.naver.com/p/search/고운동 894-21", "지도Link")</f>
        <v/>
      </c>
      <c r="N346" s="6">
        <f>HYPERLINK("http://www.eum.go.kr/web/ar/lu/luLandDet.jsp?pnu=3611011200108940021&amp;isNoScr=script&amp;mode=search", "토지이음")</f>
        <v/>
      </c>
      <c r="O346" s="3" t="inlineStr">
        <is>
          <t>황금도장</t>
        </is>
      </c>
      <c r="P346" s="4" t="n">
        <v>1</v>
      </c>
      <c r="Q346" s="4" t="n">
        <v>244.8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894-26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244</v>
      </c>
      <c r="H347" s="4" t="n">
        <v>74</v>
      </c>
      <c r="I347" s="5" t="n">
        <v>675.7</v>
      </c>
      <c r="J347" s="5" t="n">
        <v>319.6</v>
      </c>
      <c r="K347" s="3" t="inlineStr">
        <is>
          <t>코지빌 토지매매, 74.18p, 도로지분 별도, 조율가능</t>
        </is>
      </c>
      <c r="L347" s="6">
        <f>HYPERLINK("https://fin.land.naver.com/articles/2646696503", "매물Link")</f>
        <v/>
      </c>
      <c r="M347" s="6">
        <f>HYPERLINK("https://map.naver.com/p/search/고운동 894-26", "지도Link")</f>
        <v/>
      </c>
      <c r="N347" s="6">
        <f>HYPERLINK("http://www.eum.go.kr/web/ar/lu/luLandDet.jsp?pnu=3611011200108940026&amp;isNoScr=script&amp;mode=search",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894-35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44000</v>
      </c>
      <c r="G348" s="4" t="n">
        <v>290</v>
      </c>
      <c r="H348" s="4" t="n">
        <v>88</v>
      </c>
      <c r="I348" s="5" t="n">
        <v>500</v>
      </c>
      <c r="J348" s="5" t="n">
        <v>319.6</v>
      </c>
      <c r="K348" s="3" t="inlineStr">
        <is>
          <t>nan</t>
        </is>
      </c>
      <c r="L348" s="6">
        <f>HYPERLINK("https://fin.land.naver.com/articles/2650960095", "매물Link")</f>
        <v/>
      </c>
      <c r="M348" s="6">
        <f>HYPERLINK("https://map.naver.com/p/search/고운동 894-35", "지도Link")</f>
        <v/>
      </c>
      <c r="N348" s="6">
        <f>HYPERLINK("http://www.eum.go.kr/web/ar/lu/luLandDet.jsp?pnu=3611011200108940035&amp;isNoScr=script&amp;mode=search", "토지이음")</f>
        <v/>
      </c>
      <c r="O348" s="3" t="inlineStr">
        <is>
          <t>고운동리치세종</t>
        </is>
      </c>
      <c r="P348" s="4" t="n">
        <v>1</v>
      </c>
      <c r="Q348" s="4" t="n">
        <v>290.7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66000</v>
      </c>
      <c r="G349" s="4" t="n">
        <v>290</v>
      </c>
      <c r="H349" s="4" t="n">
        <v>88</v>
      </c>
      <c r="I349" s="5" t="n">
        <v>750</v>
      </c>
      <c r="J349" s="5" t="n">
        <v>319.6</v>
      </c>
      <c r="K349" s="3" t="inlineStr">
        <is>
          <t>고운동 코지빌 입구쪽 코너 타운하우스 택지</t>
        </is>
      </c>
      <c r="L349" s="6">
        <f>HYPERLINK("https://fin.land.naver.com/articles/2650894171", "매물Link")</f>
        <v/>
      </c>
      <c r="M349" s="6">
        <f>HYPERLINK("https://map.naver.com/p/search/고운동 894-37", "지도Link")</f>
        <v/>
      </c>
      <c r="N349" s="6">
        <f>HYPERLINK("http://www.eum.go.kr/web/ar/lu/luLandDet.jsp?pnu=3611011200108940037&amp;isNoScr=script&amp;mode=search",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290.7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894-42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42000</v>
      </c>
      <c r="G350" s="4" t="n">
        <v>463</v>
      </c>
      <c r="H350" s="4" t="n">
        <v>140</v>
      </c>
      <c r="I350" s="5" t="n">
        <v>300</v>
      </c>
      <c r="J350" s="5" t="n">
        <v>319.6</v>
      </c>
      <c r="K350" s="3" t="inlineStr">
        <is>
          <t>고운동타운하스토지매매 가격조정가능</t>
        </is>
      </c>
      <c r="L350" s="6">
        <f>HYPERLINK("https://fin.land.naver.com/articles/2650003835", "매물Link")</f>
        <v/>
      </c>
      <c r="M350" s="6">
        <f>HYPERLINK("https://map.naver.com/p/search/고운동 894-42", "지도Link")</f>
        <v/>
      </c>
      <c r="N350" s="6">
        <f>HYPERLINK("http://www.eum.go.kr/web/ar/lu/luLandDet.jsp?pnu=3611011200108940042&amp;isNoScr=script&amp;mode=search", "토지이음")</f>
        <v/>
      </c>
      <c r="O350" s="3" t="inlineStr">
        <is>
          <t>고운동리치세종</t>
        </is>
      </c>
      <c r="P350" s="4" t="n">
        <v>2</v>
      </c>
      <c r="Q350" s="4" t="n">
        <v>463.1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894-42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42000</v>
      </c>
      <c r="G351" s="4" t="n">
        <v>463</v>
      </c>
      <c r="H351" s="4" t="n">
        <v>140</v>
      </c>
      <c r="I351" s="5" t="n">
        <v>300</v>
      </c>
      <c r="J351" s="5" t="n">
        <v>319.6</v>
      </c>
      <c r="K351" s="3" t="inlineStr">
        <is>
          <t>고운동 세종코지빌 타운하우스  투자하기 좋은</t>
        </is>
      </c>
      <c r="L351" s="6">
        <f>HYPERLINK("https://fin.land.naver.com/articles/2649937236", "매물Link")</f>
        <v/>
      </c>
      <c r="M351" s="6">
        <f>HYPERLINK("https://map.naver.com/p/search/고운동 894-42", "지도Link")</f>
        <v/>
      </c>
      <c r="N351" s="6">
        <f>HYPERLINK("http://www.eum.go.kr/web/ar/lu/luLandDet.jsp?pnu=3611011200108940042&amp;isNoScr=script&amp;mode=search", "토지이음")</f>
        <v/>
      </c>
      <c r="O351" s="3" t="inlineStr">
        <is>
          <t>은성</t>
        </is>
      </c>
      <c r="P351" s="4" t="n">
        <v>1</v>
      </c>
      <c r="Q351" s="4" t="n">
        <v>463.1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912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55000</v>
      </c>
      <c r="G352" s="4" t="n">
        <v>334</v>
      </c>
      <c r="H352" s="4" t="n">
        <v>101</v>
      </c>
      <c r="I352" s="5" t="n">
        <v>544.6</v>
      </c>
      <c r="J352" s="5" t="n">
        <v>315.1</v>
      </c>
      <c r="K352" s="3" t="inlineStr">
        <is>
          <t>급매 시유지 넓게접함 단지내상가 상권편리</t>
        </is>
      </c>
      <c r="L352" s="6">
        <f>HYPERLINK("https://fin.land.naver.com/articles/2648716448", "매물Link")</f>
        <v/>
      </c>
      <c r="M352" s="6">
        <f>HYPERLINK("https://map.naver.com/p/search/고운동 912", "지도Link")</f>
        <v/>
      </c>
      <c r="N352" s="6">
        <f>HYPERLINK("http://www.eum.go.kr/web/ar/lu/luLandDet.jsp?pnu=3611011200109120000&amp;isNoScr=script&amp;mode=search", "토지이음")</f>
        <v/>
      </c>
      <c r="O352" s="3" t="inlineStr">
        <is>
          <t>세종스타</t>
        </is>
      </c>
      <c r="P352" s="4" t="n">
        <v>1</v>
      </c>
      <c r="Q352" s="4" t="n">
        <v>334.1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정방형</t>
        </is>
      </c>
      <c r="V352" s="3" t="inlineStr">
        <is>
          <t>소로한면</t>
        </is>
      </c>
    </row>
    <row r="353">
      <c r="A353" s="3" t="inlineStr">
        <is>
          <t>고운동 916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52000</v>
      </c>
      <c r="G353" s="4" t="n">
        <v>344</v>
      </c>
      <c r="H353" s="4" t="n">
        <v>104</v>
      </c>
      <c r="I353" s="5" t="n">
        <v>500</v>
      </c>
      <c r="J353" s="5" t="n">
        <v>315.1</v>
      </c>
      <c r="K353" s="3" t="inlineStr">
        <is>
          <t>고운동 인프라 활용편한 단독주택지, 입지 좋은 토지</t>
        </is>
      </c>
      <c r="L353" s="6">
        <f>HYPERLINK("https://fin.land.naver.com/articles/2647427194", "매물Link")</f>
        <v/>
      </c>
      <c r="M353" s="6">
        <f>HYPERLINK("https://map.naver.com/p/search/고운동 916", "지도Link")</f>
        <v/>
      </c>
      <c r="N353" s="6">
        <f>HYPERLINK("http://www.eum.go.kr/web/ar/lu/luLandDet.jsp?pnu=3611011200109160000&amp;isNoScr=script&amp;mode=search",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344.7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916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52000</v>
      </c>
      <c r="G354" s="4" t="n">
        <v>344</v>
      </c>
      <c r="H354" s="4" t="n">
        <v>104</v>
      </c>
      <c r="I354" s="5" t="n">
        <v>500</v>
      </c>
      <c r="J354" s="5" t="n">
        <v>315.1</v>
      </c>
      <c r="K354" s="3" t="inlineStr">
        <is>
          <t>아파트 단지 바로 옆, 생활 인프라 좋은 토지매매</t>
        </is>
      </c>
      <c r="L354" s="6">
        <f>HYPERLINK("https://fin.land.naver.com/articles/2647421682", "매물Link")</f>
        <v/>
      </c>
      <c r="M354" s="6">
        <f>HYPERLINK("https://map.naver.com/p/search/고운동 916", "지도Link")</f>
        <v/>
      </c>
      <c r="N354" s="6">
        <f>HYPERLINK("http://www.eum.go.kr/web/ar/lu/luLandDet.jsp?pnu=3611011200109160000&amp;isNoScr=script&amp;mode=search",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344.7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916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52000</v>
      </c>
      <c r="G355" s="4" t="n">
        <v>344</v>
      </c>
      <c r="H355" s="4" t="n">
        <v>104</v>
      </c>
      <c r="I355" s="5" t="n">
        <v>500</v>
      </c>
      <c r="J355" s="5" t="n">
        <v>315.1</v>
      </c>
      <c r="K355" s="3" t="inlineStr">
        <is>
          <t>급매,넓은평수,복합커뮤니티센터,항아리중심상권 생활권 편리</t>
        </is>
      </c>
      <c r="L355" s="6">
        <f>HYPERLINK("https://fin.land.naver.com/articles/2650943280", "매물Link")</f>
        <v/>
      </c>
      <c r="M355" s="6">
        <f>HYPERLINK("https://map.naver.com/p/search/고운동 916", "지도Link")</f>
        <v/>
      </c>
      <c r="N355" s="6">
        <f>HYPERLINK("http://www.eum.go.kr/web/ar/lu/luLandDet.jsp?pnu=3611011200109160000&amp;isNoScr=script&amp;mode=search", "토지이음")</f>
        <v/>
      </c>
      <c r="O355" s="3" t="inlineStr">
        <is>
          <t>고운맘</t>
        </is>
      </c>
      <c r="P355" s="4" t="n">
        <v>1</v>
      </c>
      <c r="Q355" s="4" t="n">
        <v>344.7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917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59000</v>
      </c>
      <c r="G356" s="4" t="n">
        <v>332</v>
      </c>
      <c r="H356" s="4" t="n">
        <v>100</v>
      </c>
      <c r="I356" s="5" t="n">
        <v>590</v>
      </c>
      <c r="J356" s="5" t="n">
        <v>328.2</v>
      </c>
      <c r="K356" s="3" t="inlineStr">
        <is>
          <t>삼거리 코너각지, 아파트단지 주변으로 생활 인프라 훌륭함</t>
        </is>
      </c>
      <c r="L356" s="6">
        <f>HYPERLINK("https://fin.land.naver.com/articles/2650428855", "매물Link")</f>
        <v/>
      </c>
      <c r="M356" s="6">
        <f>HYPERLINK("https://map.naver.com/p/search/고운동 917", "지도Link")</f>
        <v/>
      </c>
      <c r="N356" s="6">
        <f>HYPERLINK("http://www.eum.go.kr/web/ar/lu/luLandDet.jsp?pnu=3611011200109170000&amp;isNoScr=script&amp;mode=search",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332.7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소로각지</t>
        </is>
      </c>
    </row>
    <row r="357">
      <c r="A357" s="3" t="inlineStr">
        <is>
          <t>고운동 920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65000</v>
      </c>
      <c r="G357" s="4" t="n">
        <v>352</v>
      </c>
      <c r="H357" s="4" t="n">
        <v>106</v>
      </c>
      <c r="I357" s="5" t="n">
        <v>613.2</v>
      </c>
      <c r="J357" s="5" t="n">
        <v>315.1</v>
      </c>
      <c r="K357" s="3" t="inlineStr">
        <is>
          <t>총 106.8p, 아파트단지 바로 옆, 고운동 단독주택</t>
        </is>
      </c>
      <c r="L357" s="6">
        <f>HYPERLINK("https://fin.land.naver.com/articles/2649004647", "매물Link")</f>
        <v/>
      </c>
      <c r="M357" s="6">
        <f>HYPERLINK("https://map.naver.com/p/search/고운동 920", "지도Link")</f>
        <v/>
      </c>
      <c r="N357" s="6">
        <f>HYPERLINK("http://www.eum.go.kr/web/ar/lu/luLandDet.jsp?pnu=3611011200109200000&amp;isNoScr=script&amp;mode=search",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352.6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920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65000</v>
      </c>
      <c r="G358" s="4" t="n">
        <v>352</v>
      </c>
      <c r="H358" s="4" t="n">
        <v>106</v>
      </c>
      <c r="I358" s="5" t="n">
        <v>613.2</v>
      </c>
      <c r="J358" s="5" t="n">
        <v>315.1</v>
      </c>
      <c r="K358" s="3" t="inlineStr">
        <is>
          <t>총 106.85p, 고운동 공원인근</t>
        </is>
      </c>
      <c r="L358" s="6">
        <f>HYPERLINK("https://fin.land.naver.com/articles/2648840016", "매물Link")</f>
        <v/>
      </c>
      <c r="M358" s="6">
        <f>HYPERLINK("https://map.naver.com/p/search/고운동 920", "지도Link")</f>
        <v/>
      </c>
      <c r="N358" s="6">
        <f>HYPERLINK("http://www.eum.go.kr/web/ar/lu/luLandDet.jsp?pnu=3611011200109200000&amp;isNoScr=script&amp;mode=search",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352.6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927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79000</v>
      </c>
      <c r="G359" s="4" t="n">
        <v>345</v>
      </c>
      <c r="H359" s="4" t="n">
        <v>104</v>
      </c>
      <c r="I359" s="5" t="n">
        <v>759.6</v>
      </c>
      <c r="J359" s="5" t="n">
        <v>328.2</v>
      </c>
      <c r="K359" s="3" t="inlineStr">
        <is>
          <t>nan</t>
        </is>
      </c>
      <c r="L359" s="6">
        <f>HYPERLINK("https://fin.land.naver.com/articles/2651026477", "매물Link")</f>
        <v/>
      </c>
      <c r="M359" s="6">
        <f>HYPERLINK("https://map.naver.com/p/search/고운동 927", "지도Link")</f>
        <v/>
      </c>
      <c r="N359" s="6">
        <f>HYPERLINK("http://www.eum.go.kr/web/ar/lu/luLandDet.jsp?pnu=3611011200109270000&amp;isNoScr=script&amp;mode=search", "토지이음")</f>
        <v/>
      </c>
      <c r="O359" s="3" t="inlineStr">
        <is>
          <t>디아트성심</t>
        </is>
      </c>
      <c r="P359" s="4" t="n">
        <v>2</v>
      </c>
      <c r="Q359" s="4" t="n">
        <v>344.9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소로각지</t>
        </is>
      </c>
    </row>
    <row r="360">
      <c r="A360" s="3" t="inlineStr">
        <is>
          <t>고운동 927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55000</v>
      </c>
      <c r="G360" s="4" t="n">
        <v>344</v>
      </c>
      <c r="H360" s="4" t="n">
        <v>104</v>
      </c>
      <c r="I360" s="5" t="n">
        <v>528.8</v>
      </c>
      <c r="J360" s="5" t="n">
        <v>328.2</v>
      </c>
      <c r="K360" s="3" t="inlineStr">
        <is>
          <t>가락마을18단지 인접 단독주택지, 상권 인접한 코너로 위치 최상</t>
        </is>
      </c>
      <c r="L360" s="6">
        <f>HYPERLINK("https://fin.land.naver.com/articles/2648966696", "매물Link")</f>
        <v/>
      </c>
      <c r="M360" s="6">
        <f>HYPERLINK("https://map.naver.com/p/search/고운동 927", "지도Link")</f>
        <v/>
      </c>
      <c r="N360" s="6">
        <f>HYPERLINK("http://www.eum.go.kr/web/ar/lu/luLandDet.jsp?pnu=3611011200109270000&amp;isNoScr=script&amp;mode=search", "토지이음")</f>
        <v/>
      </c>
      <c r="O360" s="3" t="inlineStr">
        <is>
          <t>힐스테이트으뜸원</t>
        </is>
      </c>
      <c r="P360" s="4" t="n">
        <v>4</v>
      </c>
      <c r="Q360" s="4" t="n">
        <v>344.9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소로각지</t>
        </is>
      </c>
    </row>
    <row r="361">
      <c r="A361" s="3" t="inlineStr">
        <is>
          <t>고운동 935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69000</v>
      </c>
      <c r="G361" s="4" t="n">
        <v>360</v>
      </c>
      <c r="H361" s="4" t="n">
        <v>109</v>
      </c>
      <c r="I361" s="5" t="n">
        <v>633</v>
      </c>
      <c r="J361" s="5" t="n">
        <v>315.1</v>
      </c>
      <c r="K361" s="3" t="inlineStr">
        <is>
          <t>학교 상가 대중교통이용편리,지하벙커주차장가능,측량완료</t>
        </is>
      </c>
      <c r="L361" s="6">
        <f>HYPERLINK("https://fin.land.naver.com/articles/2650885657", "매물Link")</f>
        <v/>
      </c>
      <c r="M361" s="6">
        <f>HYPERLINK("https://map.naver.com/p/search/고운동 935", "지도Link")</f>
        <v/>
      </c>
      <c r="N361" s="6">
        <f>HYPERLINK("http://www.eum.go.kr/web/ar/lu/luLandDet.jsp?pnu=3611011200109350000&amp;isNoScr=script&amp;mode=search", "토지이음")</f>
        <v/>
      </c>
      <c r="O361" s="3" t="inlineStr">
        <is>
          <t>세종제일</t>
        </is>
      </c>
      <c r="P361" s="4" t="n">
        <v>1</v>
      </c>
      <c r="Q361" s="4" t="n">
        <v>360.1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935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69000</v>
      </c>
      <c r="G362" s="4" t="n">
        <v>360</v>
      </c>
      <c r="H362" s="4" t="n">
        <v>109</v>
      </c>
      <c r="I362" s="5" t="n">
        <v>633</v>
      </c>
      <c r="J362" s="5" t="n">
        <v>315.1</v>
      </c>
      <c r="K362" s="3" t="inlineStr">
        <is>
          <t>도로에서단차가있는토지로벙커주차장가능한귀한땅,측량완료,상가,학교가까움</t>
        </is>
      </c>
      <c r="L362" s="6">
        <f>HYPERLINK("https://fin.land.naver.com/articles/2648318178", "매물Link")</f>
        <v/>
      </c>
      <c r="M362" s="6">
        <f>HYPERLINK("https://map.naver.com/p/search/고운동 935", "지도Link")</f>
        <v/>
      </c>
      <c r="N362" s="6">
        <f>HYPERLINK("http://www.eum.go.kr/web/ar/lu/luLandDet.jsp?pnu=3611011200109350000&amp;isNoScr=script&amp;mode=search", "토지이음")</f>
        <v/>
      </c>
      <c r="O362" s="3" t="inlineStr">
        <is>
          <t>김하나</t>
        </is>
      </c>
      <c r="P362" s="4" t="n">
        <v>1</v>
      </c>
      <c r="Q362" s="4" t="n">
        <v>360.1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69000</v>
      </c>
      <c r="G363" s="4" t="n">
        <v>360</v>
      </c>
      <c r="H363" s="4" t="n">
        <v>109</v>
      </c>
      <c r="I363" s="5" t="n">
        <v>633</v>
      </c>
      <c r="J363" s="5" t="n">
        <v>315.1</v>
      </c>
      <c r="K363" s="3" t="inlineStr">
        <is>
          <t>벙커주차장 가능, 귀한 조경수 식재, 접근성 좋은 위치, 귀한 택지</t>
        </is>
      </c>
      <c r="L363" s="6">
        <f>HYPERLINK("https://fin.land.naver.com/articles/2650101642", "매물Link")</f>
        <v/>
      </c>
      <c r="M363" s="6">
        <f>HYPERLINK("https://map.naver.com/p/search/고운동 935", "지도Link")</f>
        <v/>
      </c>
      <c r="N363" s="6">
        <f>HYPERLINK("http://www.eum.go.kr/web/ar/lu/luLandDet.jsp?pnu=3611011200109350000&amp;isNoScr=script&amp;mode=search", "토지이음")</f>
        <v/>
      </c>
      <c r="O363" s="3" t="inlineStr">
        <is>
          <t>다정한길</t>
        </is>
      </c>
      <c r="P363" s="4" t="n">
        <v>4</v>
      </c>
      <c r="Q363" s="4" t="n">
        <v>360.1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951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367</v>
      </c>
      <c r="H364" s="4" t="n">
        <v>111</v>
      </c>
      <c r="I364" s="5" t="n">
        <v>540.5</v>
      </c>
      <c r="J364" s="5" t="n">
        <v>358.7</v>
      </c>
      <c r="K364" s="3" t="inlineStr">
        <is>
          <t>도로 근접한 대지. 중심상가 가까운 위치. 큰평수 찾으시는분께 적합</t>
        </is>
      </c>
      <c r="L364" s="6">
        <f>HYPERLINK("https://fin.land.naver.com/articles/2649960869", "매물Link")</f>
        <v/>
      </c>
      <c r="M364" s="6">
        <f>HYPERLINK("https://map.naver.com/p/search/고운동 951", "지도Link")</f>
        <v/>
      </c>
      <c r="N364" s="6">
        <f>HYPERLINK("http://www.eum.go.kr/web/ar/lu/luLandDet.jsp?pnu=3611011200109510000&amp;isNoScr=script&amp;mode=search", "토지이음")</f>
        <v/>
      </c>
      <c r="O364" s="3" t="inlineStr">
        <is>
          <t>고운힐스테이트</t>
        </is>
      </c>
      <c r="P364" s="4" t="n">
        <v>3</v>
      </c>
      <c r="Q364" s="4" t="n">
        <v>364.1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954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60000</v>
      </c>
      <c r="G365" s="4" t="n">
        <v>366</v>
      </c>
      <c r="H365" s="4" t="n">
        <v>111</v>
      </c>
      <c r="I365" s="5" t="n">
        <v>540.5</v>
      </c>
      <c r="J365" s="5" t="n">
        <v>358.7</v>
      </c>
      <c r="K365" s="3" t="inlineStr">
        <is>
          <t>고운동 단독주택지, 최대 조율가능, 입지 좋은 넓은 평형</t>
        </is>
      </c>
      <c r="L365" s="6">
        <f>HYPERLINK("https://fin.land.naver.com/articles/2647421229", "매물Link")</f>
        <v/>
      </c>
      <c r="M365" s="6">
        <f>HYPERLINK("https://map.naver.com/p/search/고운동 954", "지도Link")</f>
        <v/>
      </c>
      <c r="N365" s="6">
        <f>HYPERLINK("http://www.eum.go.kr/web/ar/lu/luLandDet.jsp?pnu=3611011200109540000&amp;isNoScr=script&amp;mode=search",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367.1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중로각지</t>
        </is>
      </c>
    </row>
    <row r="366">
      <c r="A366" s="3" t="inlineStr">
        <is>
          <t>고운동 954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60000</v>
      </c>
      <c r="G366" s="4" t="n">
        <v>367</v>
      </c>
      <c r="H366" s="4" t="n">
        <v>111</v>
      </c>
      <c r="I366" s="5" t="n">
        <v>540.5</v>
      </c>
      <c r="J366" s="5" t="n">
        <v>358.7</v>
      </c>
      <c r="K366" s="3" t="inlineStr">
        <is>
          <t>급매,넓은평수,복합커뮤니티센터,항아리중심상권 생활권 편리</t>
        </is>
      </c>
      <c r="L366" s="6">
        <f>HYPERLINK("https://fin.land.naver.com/articles/2650851671", "매물Link")</f>
        <v/>
      </c>
      <c r="M366" s="6">
        <f>HYPERLINK("https://map.naver.com/p/search/고운동 954", "지도Link")</f>
        <v/>
      </c>
      <c r="N366" s="6">
        <f>HYPERLINK("http://www.eum.go.kr/web/ar/lu/luLandDet.jsp?pnu=3611011200109540000&amp;isNoScr=script&amp;mode=search", "토지이음")</f>
        <v/>
      </c>
      <c r="O366" s="3" t="inlineStr">
        <is>
          <t>고운맘</t>
        </is>
      </c>
      <c r="P366" s="4" t="n">
        <v>1</v>
      </c>
      <c r="Q366" s="4" t="n">
        <v>367.1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정방형</t>
        </is>
      </c>
      <c r="V366" s="3" t="inlineStr">
        <is>
          <t>중로각지</t>
        </is>
      </c>
    </row>
    <row r="367">
      <c r="A367" s="3" t="inlineStr">
        <is>
          <t>고운동 954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60000</v>
      </c>
      <c r="G367" s="4" t="n">
        <v>367</v>
      </c>
      <c r="H367" s="4" t="n">
        <v>111</v>
      </c>
      <c r="I367" s="5" t="n">
        <v>540.5</v>
      </c>
      <c r="J367" s="5" t="n">
        <v>358.7</v>
      </c>
      <c r="K367" s="3" t="inlineStr">
        <is>
          <t>지대높아 전망좋은 토지</t>
        </is>
      </c>
      <c r="L367" s="6">
        <f>HYPERLINK("https://fin.land.naver.com/articles/2649578017", "매물Link")</f>
        <v/>
      </c>
      <c r="M367" s="6">
        <f>HYPERLINK("https://map.naver.com/p/search/고운동 954", "지도Link")</f>
        <v/>
      </c>
      <c r="N367" s="6">
        <f>HYPERLINK("http://www.eum.go.kr/web/ar/lu/luLandDet.jsp?pnu=3611011200109540000&amp;isNoScr=script&amp;mode=search", "토지이음")</f>
        <v/>
      </c>
      <c r="O367" s="3" t="inlineStr">
        <is>
          <t>킹세종</t>
        </is>
      </c>
      <c r="P367" s="4" t="n">
        <v>1</v>
      </c>
      <c r="Q367" s="4" t="n">
        <v>367.1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정방형</t>
        </is>
      </c>
      <c r="V367" s="3" t="inlineStr">
        <is>
          <t>중로각지</t>
        </is>
      </c>
    </row>
    <row r="368">
      <c r="A368" s="3" t="inlineStr">
        <is>
          <t>고운동 954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111.2p, 최대 조율가능한 대형평형 토지매매</t>
        </is>
      </c>
      <c r="L368" s="6">
        <f>HYPERLINK("https://fin.land.naver.com/articles/2649610616", "매물Link")</f>
        <v/>
      </c>
      <c r="M368" s="6">
        <f>HYPERLINK("https://map.naver.com/p/search/고운동 954", "지도Link")</f>
        <v/>
      </c>
      <c r="N368" s="6">
        <f>HYPERLINK("http://www.eum.go.kr/web/ar/lu/luLandDet.jsp?pnu=3611011200109540000&amp;isNoScr=script&amp;mode=search",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367.1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969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62000</v>
      </c>
      <c r="G369" s="4" t="n">
        <v>347</v>
      </c>
      <c r="H369" s="4" t="n">
        <v>105</v>
      </c>
      <c r="I369" s="5" t="n">
        <v>590.5</v>
      </c>
      <c r="J369" s="5" t="n">
        <v>329.9</v>
      </c>
      <c r="K369" s="3" t="inlineStr">
        <is>
          <t>코너각지,복합커뮤니티센터,항아리중심상권 생활권 편리,가격조정가능</t>
        </is>
      </c>
      <c r="L369" s="6">
        <f>HYPERLINK("https://fin.land.naver.com/articles/2650947653", "매물Link")</f>
        <v/>
      </c>
      <c r="M369" s="6">
        <f>HYPERLINK("https://map.naver.com/p/search/고운동 969", "지도Link")</f>
        <v/>
      </c>
      <c r="N369" s="6">
        <f>HYPERLINK("http://www.eum.go.kr/web/ar/lu/luLandDet.jsp?pnu=3611011200109690000&amp;isNoScr=script&amp;mode=search", "토지이음")</f>
        <v/>
      </c>
      <c r="O369" s="3" t="inlineStr">
        <is>
          <t>고운맘</t>
        </is>
      </c>
      <c r="P369" s="4" t="n">
        <v>1</v>
      </c>
      <c r="Q369" s="4" t="n">
        <v>347.6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사다리형</t>
        </is>
      </c>
      <c r="V369" s="3" t="inlineStr">
        <is>
          <t>소로각지</t>
        </is>
      </c>
    </row>
    <row r="370">
      <c r="A370" s="3" t="inlineStr">
        <is>
          <t>고운동 969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347</v>
      </c>
      <c r="H370" s="4" t="n">
        <v>105</v>
      </c>
      <c r="I370" s="5" t="n">
        <v>590.5</v>
      </c>
      <c r="J370" s="5" t="n">
        <v>329.9</v>
      </c>
      <c r="K370" s="3" t="inlineStr">
        <is>
          <t>삼거리 코너 각지, 입지 좋은 토지매매</t>
        </is>
      </c>
      <c r="L370" s="6">
        <f>HYPERLINK("https://fin.land.naver.com/articles/2651188999", "매물Link")</f>
        <v/>
      </c>
      <c r="M370" s="6">
        <f>HYPERLINK("https://map.naver.com/p/search/고운동 969", "지도Link")</f>
        <v/>
      </c>
      <c r="N370" s="6">
        <f>HYPERLINK("http://www.eum.go.kr/web/ar/lu/luLandDet.jsp?pnu=3611011200109690000&amp;isNoScr=script&amp;mode=search",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347.6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사다리형</t>
        </is>
      </c>
      <c r="V370" s="3" t="inlineStr">
        <is>
          <t>소로각지</t>
        </is>
      </c>
    </row>
    <row r="371">
      <c r="A371" s="3" t="inlineStr">
        <is>
          <t>고운동 976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375</v>
      </c>
      <c r="H371" s="4" t="n">
        <v>113</v>
      </c>
      <c r="I371" s="5" t="n">
        <v>531</v>
      </c>
      <c r="J371" s="5" t="n">
        <v>317.5</v>
      </c>
      <c r="K371" s="3" t="inlineStr">
        <is>
          <t>nan</t>
        </is>
      </c>
      <c r="L371" s="6">
        <f>HYPERLINK("https://fin.land.naver.com/articles/2646026108", "매물Link")</f>
        <v/>
      </c>
      <c r="M371" s="6">
        <f>HYPERLINK("https://map.naver.com/p/search/고운동 976", "지도Link")</f>
        <v/>
      </c>
      <c r="N371" s="6">
        <f>HYPERLINK("http://www.eum.go.kr/web/ar/lu/luLandDet.jsp?pnu=3611011200109760000&amp;isNoScr=script&amp;mode=search", "토지이음")</f>
        <v/>
      </c>
      <c r="O371" s="3" t="inlineStr">
        <is>
          <t>세종올리브</t>
        </is>
      </c>
      <c r="P371" s="4" t="n">
        <v>1</v>
      </c>
      <c r="Q371" s="4" t="n">
        <v>375.9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고운동 978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70000</v>
      </c>
      <c r="G372" s="4" t="n">
        <v>332</v>
      </c>
      <c r="H372" s="4" t="n">
        <v>100</v>
      </c>
      <c r="I372" s="5" t="n">
        <v>700</v>
      </c>
      <c r="J372" s="5" t="n">
        <v>358.7</v>
      </c>
      <c r="K372" s="3" t="inlineStr">
        <is>
          <t>세종시 고운동 주택지 매매</t>
        </is>
      </c>
      <c r="L372" s="6">
        <f>HYPERLINK("https://fin.land.naver.com/articles/2647488846", "매물Link")</f>
        <v/>
      </c>
      <c r="M372" s="6">
        <f>HYPERLINK("https://map.naver.com/p/search/고운동 978", "지도Link")</f>
        <v/>
      </c>
      <c r="N372" s="6">
        <f>HYPERLINK("http://www.eum.go.kr/web/ar/lu/luLandDet.jsp?pnu=3611011200109780000&amp;isNoScr=script&amp;mode=search", "토지이음")</f>
        <v/>
      </c>
      <c r="O372" s="3" t="inlineStr">
        <is>
          <t>길운</t>
        </is>
      </c>
      <c r="P372" s="4" t="n">
        <v>1</v>
      </c>
      <c r="Q372" s="4" t="n">
        <v>332.8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중로각지</t>
        </is>
      </c>
    </row>
    <row r="373">
      <c r="A373" s="3" t="inlineStr">
        <is>
          <t>고운동 984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69000</v>
      </c>
      <c r="G373" s="4" t="n">
        <v>338</v>
      </c>
      <c r="H373" s="4" t="n">
        <v>102</v>
      </c>
      <c r="I373" s="5" t="n">
        <v>676.5</v>
      </c>
      <c r="J373" s="5" t="n">
        <v>317.5</v>
      </c>
      <c r="K373" s="3" t="inlineStr">
        <is>
          <t>nan</t>
        </is>
      </c>
      <c r="L373" s="6">
        <f>HYPERLINK("https://fin.land.naver.com/articles/2651027546", "매물Link")</f>
        <v/>
      </c>
      <c r="M373" s="6">
        <f>HYPERLINK("https://map.naver.com/p/search/고운동 984", "지도Link")</f>
        <v/>
      </c>
      <c r="N373" s="6">
        <f>HYPERLINK("http://www.eum.go.kr/web/ar/lu/luLandDet.jsp?pnu=3611011200109840000&amp;isNoScr=script&amp;mode=search", "토지이음")</f>
        <v/>
      </c>
      <c r="O373" s="3" t="inlineStr">
        <is>
          <t>디아트성심</t>
        </is>
      </c>
      <c r="P373" s="4" t="n">
        <v>1</v>
      </c>
      <c r="Q373" s="4" t="n">
        <v>338.6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994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57000</v>
      </c>
      <c r="G374" s="4" t="n">
        <v>359</v>
      </c>
      <c r="H374" s="4" t="n">
        <v>109</v>
      </c>
      <c r="I374" s="5" t="n">
        <v>522.9</v>
      </c>
      <c r="J374" s="5" t="n">
        <v>358.7</v>
      </c>
      <c r="K374" s="3" t="inlineStr">
        <is>
          <t>조절가능  위치좋은코너자리</t>
        </is>
      </c>
      <c r="L374" s="6">
        <f>HYPERLINK("https://fin.land.naver.com/articles/2650103114", "매물Link")</f>
        <v/>
      </c>
      <c r="M374" s="6">
        <f>HYPERLINK("https://map.naver.com/p/search/고운동 994", "지도Link")</f>
        <v/>
      </c>
      <c r="N374" s="6">
        <f>HYPERLINK("http://www.eum.go.kr/web/ar/lu/luLandDet.jsp?pnu=3611011200109940000&amp;isNoScr=script&amp;mode=search", "토지이음")</f>
        <v/>
      </c>
      <c r="O374" s="3" t="inlineStr">
        <is>
          <t>세종시토지</t>
        </is>
      </c>
      <c r="P374" s="4" t="n">
        <v>3</v>
      </c>
      <c r="Q374" s="4" t="n">
        <v>359.7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중로각지</t>
        </is>
      </c>
    </row>
    <row r="375">
      <c r="A375" s="3" t="inlineStr">
        <is>
          <t>고운동 994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359</v>
      </c>
      <c r="H375" s="4" t="n">
        <v>109</v>
      </c>
      <c r="I375" s="5" t="n">
        <v>522.9</v>
      </c>
      <c r="J375" s="5" t="n">
        <v>358.7</v>
      </c>
      <c r="K375" s="3" t="inlineStr">
        <is>
          <t>nan</t>
        </is>
      </c>
      <c r="L375" s="6">
        <f>HYPERLINK("https://fin.land.naver.com/articles/2651029069", "매물Link")</f>
        <v/>
      </c>
      <c r="M375" s="6">
        <f>HYPERLINK("https://map.naver.com/p/search/고운동 994", "지도Link")</f>
        <v/>
      </c>
      <c r="N375" s="6">
        <f>HYPERLINK("http://www.eum.go.kr/web/ar/lu/luLandDet.jsp?pnu=3611011200109940000&amp;isNoScr=script&amp;mode=search", "토지이음")</f>
        <v/>
      </c>
      <c r="O375" s="3" t="inlineStr">
        <is>
          <t>디아트성심</t>
        </is>
      </c>
      <c r="P375" s="4" t="n">
        <v>1</v>
      </c>
      <c r="Q375" s="4" t="n">
        <v>359.7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중로각지</t>
        </is>
      </c>
    </row>
    <row r="376">
      <c r="A376" s="3" t="inlineStr">
        <is>
          <t>다정동 641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409</v>
      </c>
      <c r="H376" s="4" t="n">
        <v>124</v>
      </c>
      <c r="I376" s="5" t="n">
        <v>483.9</v>
      </c>
      <c r="J376" s="5" t="n">
        <v>324.8</v>
      </c>
      <c r="K376" s="3" t="inlineStr">
        <is>
          <t>3면코너각지 대형필지 조율가능</t>
        </is>
      </c>
      <c r="L376" s="6">
        <f>HYPERLINK("https://fin.land.naver.com/articles/2647658777", "매물Link")</f>
        <v/>
      </c>
      <c r="M376" s="6">
        <f>HYPERLINK("https://map.naver.com/p/search/다정동 641", "지도Link")</f>
        <v/>
      </c>
      <c r="N376" s="6">
        <f>HYPERLINK("http://www.eum.go.kr/web/ar/lu/luLandDet.jsp?pnu=3611010900106410000&amp;isNoScr=script&amp;mode=search", "토지이음")</f>
        <v/>
      </c>
      <c r="O376" s="3" t="inlineStr">
        <is>
          <t>세종스타</t>
        </is>
      </c>
      <c r="P376" s="4" t="n">
        <v>2</v>
      </c>
      <c r="Q376" s="4" t="n">
        <v>408.8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다정동 643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68000</v>
      </c>
      <c r="G377" s="4" t="n">
        <v>534</v>
      </c>
      <c r="H377" s="4" t="n">
        <v>162</v>
      </c>
      <c r="I377" s="5" t="n">
        <v>419.8</v>
      </c>
      <c r="J377" s="5" t="n">
        <v>278</v>
      </c>
      <c r="K377" s="3" t="inlineStr">
        <is>
          <t>공원 인근 다정동 단독주택지, 넓은 면적 추천</t>
        </is>
      </c>
      <c r="L377" s="6">
        <f>HYPERLINK("https://fin.land.naver.com/articles/2650427943", "매물Link")</f>
        <v/>
      </c>
      <c r="M377" s="6">
        <f>HYPERLINK("https://map.naver.com/p/search/다정동 643", "지도Link")</f>
        <v/>
      </c>
      <c r="N377" s="6">
        <f>HYPERLINK("http://www.eum.go.kr/web/ar/lu/luLandDet.jsp?pnu=3611010900106430000&amp;isNoScr=script&amp;mode=search",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535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소로한면</t>
        </is>
      </c>
    </row>
    <row r="378">
      <c r="A378" s="3" t="inlineStr">
        <is>
          <t>다정동 643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68000</v>
      </c>
      <c r="G378" s="4" t="n">
        <v>535</v>
      </c>
      <c r="H378" s="4" t="n">
        <v>162</v>
      </c>
      <c r="I378" s="5" t="n">
        <v>419.8</v>
      </c>
      <c r="J378" s="5" t="n">
        <v>278</v>
      </c>
      <c r="K378" s="3" t="inlineStr">
        <is>
          <t>162.1p, 평단가 낮은 다정동 급매 토지</t>
        </is>
      </c>
      <c r="L378" s="6">
        <f>HYPERLINK("https://fin.land.naver.com/articles/2649006160", "매물Link")</f>
        <v/>
      </c>
      <c r="M378" s="6">
        <f>HYPERLINK("https://map.naver.com/p/search/다정동 643", "지도Link")</f>
        <v/>
      </c>
      <c r="N378" s="6">
        <f>HYPERLINK("http://www.eum.go.kr/web/ar/lu/luLandDet.jsp?pnu=3611010900106430000&amp;isNoScr=script&amp;mode=search",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535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소로한면</t>
        </is>
      </c>
    </row>
    <row r="379">
      <c r="A379" s="3" t="inlineStr">
        <is>
          <t>다정동 643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68000</v>
      </c>
      <c r="G379" s="4" t="n">
        <v>643</v>
      </c>
      <c r="H379" s="4" t="n">
        <v>195</v>
      </c>
      <c r="I379" s="5" t="n">
        <v>348.7</v>
      </c>
      <c r="J379" s="5" t="n">
        <v>278</v>
      </c>
      <c r="K379" s="3" t="inlineStr">
        <is>
          <t>급매매 큰땅입니다</t>
        </is>
      </c>
      <c r="L379" s="6">
        <f>HYPERLINK("https://fin.land.naver.com/articles/2648362434", "매물Link")</f>
        <v/>
      </c>
      <c r="M379" s="6">
        <f>HYPERLINK("https://map.naver.com/p/search/다정동 643", "지도Link")</f>
        <v/>
      </c>
      <c r="N379" s="6">
        <f>HYPERLINK("http://www.eum.go.kr/web/ar/lu/luLandDet.jsp?pnu=3611010900106430000&amp;isNoScr=script&amp;mode=search", "토지이음")</f>
        <v/>
      </c>
      <c r="O379" s="3" t="inlineStr">
        <is>
          <t>킹세종</t>
        </is>
      </c>
      <c r="P379" s="4" t="n">
        <v>1</v>
      </c>
      <c r="Q379" s="4" t="n">
        <v>535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다정동 651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60000</v>
      </c>
      <c r="G380" s="4" t="n">
        <v>300</v>
      </c>
      <c r="H380" s="4" t="n">
        <v>91</v>
      </c>
      <c r="I380" s="5" t="n">
        <v>659.3</v>
      </c>
      <c r="J380" s="5" t="n">
        <v>292.7</v>
      </c>
      <c r="K380" s="3" t="inlineStr">
        <is>
          <t>총 90.9p, 다정동 조용한 단독주택지, 정남향</t>
        </is>
      </c>
      <c r="L380" s="6">
        <f>HYPERLINK("https://fin.land.naver.com/articles/2646690725", "매물Link")</f>
        <v/>
      </c>
      <c r="M380" s="6">
        <f>HYPERLINK("https://map.naver.com/p/search/다정동 651", "지도Link")</f>
        <v/>
      </c>
      <c r="N380" s="6">
        <f>HYPERLINK("http://www.eum.go.kr/web/ar/lu/luLandDet.jsp?pnu=3611010900106510000&amp;isNoScr=script&amp;mode=search",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300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소로한면</t>
        </is>
      </c>
    </row>
    <row r="381">
      <c r="A381" s="3" t="inlineStr">
        <is>
          <t>다정동 651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300</v>
      </c>
      <c r="H381" s="4" t="n">
        <v>91</v>
      </c>
      <c r="I381" s="5" t="n">
        <v>659.3</v>
      </c>
      <c r="J381" s="5" t="n">
        <v>292.7</v>
      </c>
      <c r="K381" s="3" t="inlineStr">
        <is>
          <t>총 90.9p, 다정동 가격좋은 조용한 위치 토지매매</t>
        </is>
      </c>
      <c r="L381" s="6">
        <f>HYPERLINK("https://fin.land.naver.com/articles/2648902119", "매물Link")</f>
        <v/>
      </c>
      <c r="M381" s="6">
        <f>HYPERLINK("https://map.naver.com/p/search/다정동 651", "지도Link")</f>
        <v/>
      </c>
      <c r="N381" s="6">
        <f>HYPERLINK("http://www.eum.go.kr/web/ar/lu/luLandDet.jsp?pnu=3611010900106510000&amp;isNoScr=script&amp;mode=search", "토지이음")</f>
        <v/>
      </c>
      <c r="O381" s="3" t="inlineStr">
        <is>
          <t>명진</t>
        </is>
      </c>
      <c r="P381" s="4" t="n">
        <v>1</v>
      </c>
      <c r="Q381" s="4" t="n">
        <v>300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651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300</v>
      </c>
      <c r="H382" s="4" t="n">
        <v>91</v>
      </c>
      <c r="I382" s="5" t="n">
        <v>659.3</v>
      </c>
      <c r="J382" s="5" t="n">
        <v>292.7</v>
      </c>
      <c r="K382" s="3" t="inlineStr">
        <is>
          <t>가격조정가능 공원옆으로 남향 입지최고</t>
        </is>
      </c>
      <c r="L382" s="6">
        <f>HYPERLINK("https://fin.land.naver.com/articles/2648976575", "매물Link")</f>
        <v/>
      </c>
      <c r="M382" s="6">
        <f>HYPERLINK("https://map.naver.com/p/search/다정동 651", "지도Link")</f>
        <v/>
      </c>
      <c r="N382" s="6">
        <f>HYPERLINK("http://www.eum.go.kr/web/ar/lu/luLandDet.jsp?pnu=3611010900106510000&amp;isNoScr=script&amp;mode=search", "토지이음")</f>
        <v/>
      </c>
      <c r="O382" s="3" t="inlineStr">
        <is>
          <t>고운동리치세종</t>
        </is>
      </c>
      <c r="P382" s="4" t="n">
        <v>1</v>
      </c>
      <c r="Q382" s="4" t="n">
        <v>300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655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47000</v>
      </c>
      <c r="G383" s="4" t="n">
        <v>327</v>
      </c>
      <c r="H383" s="4" t="n">
        <v>99</v>
      </c>
      <c r="I383" s="5" t="n">
        <v>474.7</v>
      </c>
      <c r="J383" s="5" t="n">
        <v>292.7</v>
      </c>
      <c r="K383" s="3" t="inlineStr">
        <is>
          <t>급매 정남향 뒤로5천평 공원접함</t>
        </is>
      </c>
      <c r="L383" s="6">
        <f>HYPERLINK("https://fin.land.naver.com/articles/2646405783", "매물Link")</f>
        <v/>
      </c>
      <c r="M383" s="6">
        <f>HYPERLINK("https://map.naver.com/p/search/다정동 655", "지도Link")</f>
        <v/>
      </c>
      <c r="N383" s="6">
        <f>HYPERLINK("http://www.eum.go.kr/web/ar/lu/luLandDet.jsp?pnu=3611010900106550000&amp;isNoScr=script&amp;mode=search", "토지이음")</f>
        <v/>
      </c>
      <c r="O383" s="3" t="inlineStr">
        <is>
          <t>세종스타</t>
        </is>
      </c>
      <c r="P383" s="4" t="n">
        <v>1</v>
      </c>
      <c r="Q383" s="4" t="n">
        <v>327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다정동 667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62000</v>
      </c>
      <c r="G384" s="4" t="n">
        <v>336</v>
      </c>
      <c r="H384" s="4" t="n">
        <v>102</v>
      </c>
      <c r="I384" s="5" t="n">
        <v>607.8</v>
      </c>
      <c r="J384" s="5" t="n">
        <v>324.8</v>
      </c>
      <c r="K384" s="3" t="inlineStr">
        <is>
          <t>다정동 단독상가 매매, 입지 좋은 조용한 위치</t>
        </is>
      </c>
      <c r="L384" s="6">
        <f>HYPERLINK("https://fin.land.naver.com/articles/2647425840", "매물Link")</f>
        <v/>
      </c>
      <c r="M384" s="6">
        <f>HYPERLINK("https://map.naver.com/p/search/다정동 667", "지도Link")</f>
        <v/>
      </c>
      <c r="N384" s="6">
        <f>HYPERLINK("http://www.eum.go.kr/web/ar/lu/luLandDet.jsp?pnu=3611010900106670000&amp;isNoScr=script&amp;mode=search",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336.3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중로각지</t>
        </is>
      </c>
    </row>
    <row r="385">
      <c r="A385" s="3" t="inlineStr">
        <is>
          <t>다정동 674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43000</v>
      </c>
      <c r="G385" s="4" t="n">
        <v>290</v>
      </c>
      <c r="H385" s="4" t="n">
        <v>88</v>
      </c>
      <c r="I385" s="5" t="n">
        <v>488.6</v>
      </c>
      <c r="J385" s="5" t="n">
        <v>292.7</v>
      </c>
      <c r="K385" s="3" t="inlineStr">
        <is>
          <t>총 87.9p, 토지 초급매, 추천매물</t>
        </is>
      </c>
      <c r="L385" s="6">
        <f>HYPERLINK("https://fin.land.naver.com/articles/2649020955", "매물Link")</f>
        <v/>
      </c>
      <c r="M385" s="6">
        <f>HYPERLINK("https://map.naver.com/p/search/다정동 674", "지도Link")</f>
        <v/>
      </c>
      <c r="N385" s="6">
        <f>HYPERLINK("http://www.eum.go.kr/web/ar/lu/luLandDet.jsp?pnu=3611010900106740000&amp;isNoScr=script&amp;mode=search",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290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가로장방</t>
        </is>
      </c>
      <c r="V385" s="3" t="inlineStr">
        <is>
          <t>소로한면</t>
        </is>
      </c>
    </row>
    <row r="386">
      <c r="A386" s="3" t="inlineStr">
        <is>
          <t>다정동 674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43000</v>
      </c>
      <c r="G386" s="4" t="n">
        <v>290</v>
      </c>
      <c r="H386" s="4" t="n">
        <v>88</v>
      </c>
      <c r="I386" s="5" t="n">
        <v>488.6</v>
      </c>
      <c r="J386" s="5" t="n">
        <v>292.7</v>
      </c>
      <c r="K386" s="3" t="inlineStr">
        <is>
          <t>총 87.9p, 다정동 저렴한 단독주택지 매매</t>
        </is>
      </c>
      <c r="L386" s="6">
        <f>HYPERLINK("https://fin.land.naver.com/articles/2646694984", "매물Link")</f>
        <v/>
      </c>
      <c r="M386" s="6">
        <f>HYPERLINK("https://map.naver.com/p/search/다정동 674", "지도Link")</f>
        <v/>
      </c>
      <c r="N386" s="6">
        <f>HYPERLINK("http://www.eum.go.kr/web/ar/lu/luLandDet.jsp?pnu=3611010900106740000&amp;isNoScr=script&amp;mode=search",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290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다정동 674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43000</v>
      </c>
      <c r="G387" s="4" t="n">
        <v>290</v>
      </c>
      <c r="H387" s="4" t="n">
        <v>88</v>
      </c>
      <c r="I387" s="5" t="n">
        <v>488.6</v>
      </c>
      <c r="J387" s="5" t="n">
        <v>292.7</v>
      </c>
      <c r="K387" s="3" t="inlineStr">
        <is>
          <t>저렴한매매 가격조정가능</t>
        </is>
      </c>
      <c r="L387" s="6">
        <f>HYPERLINK("https://fin.land.naver.com/articles/2648849052", "매물Link")</f>
        <v/>
      </c>
      <c r="M387" s="6">
        <f>HYPERLINK("https://map.naver.com/p/search/다정동 674", "지도Link")</f>
        <v/>
      </c>
      <c r="N387" s="6">
        <f>HYPERLINK("http://www.eum.go.kr/web/ar/lu/luLandDet.jsp?pnu=3611010900106740000&amp;isNoScr=script&amp;mode=search", "토지이음")</f>
        <v/>
      </c>
      <c r="O387" s="3" t="inlineStr">
        <is>
          <t>고운동리치세종</t>
        </is>
      </c>
      <c r="P387" s="4" t="n">
        <v>2</v>
      </c>
      <c r="Q387" s="4" t="n">
        <v>290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다정동 677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270</v>
      </c>
      <c r="H388" s="4" t="n">
        <v>82</v>
      </c>
      <c r="I388" s="5" t="n">
        <v>756.1</v>
      </c>
      <c r="J388" s="5" t="n">
        <v>292.7</v>
      </c>
      <c r="K388" s="3" t="inlineStr">
        <is>
          <t>단독주택부지. 교통, 상권 편리한 귀한 필지</t>
        </is>
      </c>
      <c r="L388" s="6">
        <f>HYPERLINK("https://fin.land.naver.com/articles/2649018519", "매물Link")</f>
        <v/>
      </c>
      <c r="M388" s="6">
        <f>HYPERLINK("https://map.naver.com/p/search/다정동 677", "지도Link")</f>
        <v/>
      </c>
      <c r="N388" s="6">
        <f>HYPERLINK("http://www.eum.go.kr/web/ar/lu/luLandDet.jsp?pnu=3611010900106770000&amp;isNoScr=script&amp;mode=search", "토지이음")</f>
        <v/>
      </c>
      <c r="O388" s="3" t="inlineStr">
        <is>
          <t>라이프</t>
        </is>
      </c>
      <c r="P388" s="4" t="n">
        <v>2</v>
      </c>
      <c r="Q388" s="4" t="n">
        <v>270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소로한면</t>
        </is>
      </c>
    </row>
    <row r="389">
      <c r="A389" s="3" t="inlineStr">
        <is>
          <t>다정동 688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45000</v>
      </c>
      <c r="G389" s="4" t="n">
        <v>273</v>
      </c>
      <c r="H389" s="4" t="n">
        <v>83</v>
      </c>
      <c r="I389" s="5" t="n">
        <v>542.2</v>
      </c>
      <c r="J389" s="5" t="n">
        <v>313.1</v>
      </c>
      <c r="K389" s="3" t="inlineStr">
        <is>
          <t>조용한 단독주택지,급매</t>
        </is>
      </c>
      <c r="L389" s="6">
        <f>HYPERLINK("https://fin.land.naver.com/articles/2648806860", "매물Link")</f>
        <v/>
      </c>
      <c r="M389" s="6">
        <f>HYPERLINK("https://map.naver.com/p/search/다정동 688", "지도Link")</f>
        <v/>
      </c>
      <c r="N389" s="6">
        <f>HYPERLINK("http://www.eum.go.kr/web/ar/lu/luLandDet.jsp?pnu=3611010900106880000&amp;isNoScr=script&amp;mode=search", "토지이음")</f>
        <v/>
      </c>
      <c r="O389" s="3" t="inlineStr">
        <is>
          <t>세종금주</t>
        </is>
      </c>
      <c r="P389" s="4" t="n">
        <v>1</v>
      </c>
      <c r="Q389" s="4" t="n">
        <v>273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중로한면</t>
        </is>
      </c>
    </row>
    <row r="390">
      <c r="A390" s="3" t="inlineStr">
        <is>
          <t>다정동 688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45000</v>
      </c>
      <c r="G390" s="4" t="n">
        <v>273</v>
      </c>
      <c r="H390" s="4" t="n">
        <v>83</v>
      </c>
      <c r="I390" s="5" t="n">
        <v>542.2</v>
      </c>
      <c r="J390" s="5" t="n">
        <v>313.1</v>
      </c>
      <c r="K390" s="3" t="inlineStr">
        <is>
          <t>조율가능 편의시설옆 건축하기 좋은 모양</t>
        </is>
      </c>
      <c r="L390" s="6">
        <f>HYPERLINK("https://fin.land.naver.com/articles/2651087752", "매물Link")</f>
        <v/>
      </c>
      <c r="M390" s="6">
        <f>HYPERLINK("https://map.naver.com/p/search/다정동 688", "지도Link")</f>
        <v/>
      </c>
      <c r="N390" s="6">
        <f>HYPERLINK("http://www.eum.go.kr/web/ar/lu/luLandDet.jsp?pnu=3611010900106880000&amp;isNoScr=script&amp;mode=search", "토지이음")</f>
        <v/>
      </c>
      <c r="O390" s="3" t="inlineStr">
        <is>
          <t>세종스타</t>
        </is>
      </c>
      <c r="P390" s="4" t="n">
        <v>1</v>
      </c>
      <c r="Q390" s="4" t="n">
        <v>273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중로한면</t>
        </is>
      </c>
    </row>
    <row r="391">
      <c r="A391" s="3" t="inlineStr">
        <is>
          <t>다정동 729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67000</v>
      </c>
      <c r="G391" s="4" t="n">
        <v>369</v>
      </c>
      <c r="H391" s="4" t="n">
        <v>112</v>
      </c>
      <c r="I391" s="5" t="n">
        <v>598.2</v>
      </c>
      <c r="J391" s="5" t="n">
        <v>341.2</v>
      </c>
      <c r="K391" s="3" t="inlineStr">
        <is>
          <t>다정동 단독주택토지, 코너입지, 111.8p</t>
        </is>
      </c>
      <c r="L391" s="6">
        <f>HYPERLINK("https://fin.land.naver.com/articles/2646692103", "매물Link")</f>
        <v/>
      </c>
      <c r="M391" s="6">
        <f>HYPERLINK("https://map.naver.com/p/search/다정동 729", "지도Link")</f>
        <v/>
      </c>
      <c r="N391" s="6">
        <f>HYPERLINK("http://www.eum.go.kr/web/ar/lu/luLandDet.jsp?pnu=3611010900107290000&amp;isNoScr=script&amp;mode=search",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369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중로한면</t>
        </is>
      </c>
    </row>
    <row r="392">
      <c r="A392" s="3" t="inlineStr">
        <is>
          <t>다정동 729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67000</v>
      </c>
      <c r="G392" s="4" t="n">
        <v>369</v>
      </c>
      <c r="H392" s="4" t="n">
        <v>112</v>
      </c>
      <c r="I392" s="5" t="n">
        <v>598.2</v>
      </c>
      <c r="J392" s="5" t="n">
        <v>341.2</v>
      </c>
      <c r="K392" s="3" t="inlineStr">
        <is>
          <t>2면도로 접,주변 60m가로 공원근접함</t>
        </is>
      </c>
      <c r="L392" s="6">
        <f>HYPERLINK("https://fin.land.naver.com/articles/2649639476", "매물Link")</f>
        <v/>
      </c>
      <c r="M392" s="6">
        <f>HYPERLINK("https://map.naver.com/p/search/다정동 729", "지도Link")</f>
        <v/>
      </c>
      <c r="N392" s="6">
        <f>HYPERLINK("http://www.eum.go.kr/web/ar/lu/luLandDet.jsp?pnu=3611010900107290000&amp;isNoScr=script&amp;mode=search", "토지이음")</f>
        <v/>
      </c>
      <c r="O392" s="3" t="inlineStr">
        <is>
          <t>킹세종</t>
        </is>
      </c>
      <c r="P392" s="4" t="n">
        <v>2</v>
      </c>
      <c r="Q392" s="4" t="n">
        <v>369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중로한면</t>
        </is>
      </c>
    </row>
    <row r="393">
      <c r="A393" s="3" t="inlineStr">
        <is>
          <t>다정동 729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67000</v>
      </c>
      <c r="G393" s="4" t="n">
        <v>368</v>
      </c>
      <c r="H393" s="4" t="n">
        <v>111</v>
      </c>
      <c r="I393" s="5" t="n">
        <v>603.6</v>
      </c>
      <c r="J393" s="5" t="n">
        <v>341.2</v>
      </c>
      <c r="K393" s="3" t="inlineStr">
        <is>
          <t>111.8p, 삼거리 코너, 정남향, 다정동 단독주택 토지매매</t>
        </is>
      </c>
      <c r="L393" s="6">
        <f>HYPERLINK("https://fin.land.naver.com/articles/2648138253", "매물Link")</f>
        <v/>
      </c>
      <c r="M393" s="6">
        <f>HYPERLINK("https://map.naver.com/p/search/다정동 729", "지도Link")</f>
        <v/>
      </c>
      <c r="N393" s="6">
        <f>HYPERLINK("http://www.eum.go.kr/web/ar/lu/luLandDet.jsp?pnu=3611010900107290000&amp;isNoScr=script&amp;mode=search",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중로한면</t>
        </is>
      </c>
    </row>
    <row r="394">
      <c r="A394" s="3" t="inlineStr">
        <is>
          <t>다정동 756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83625</v>
      </c>
      <c r="G394" s="4" t="n">
        <v>368</v>
      </c>
      <c r="H394" s="4" t="n">
        <v>111</v>
      </c>
      <c r="I394" s="5" t="n">
        <v>753.4</v>
      </c>
      <c r="J394" s="5" t="n">
        <v>326</v>
      </c>
      <c r="K394" s="3" t="inlineStr">
        <is>
          <t>코너자리 위치 좋음, 넓은토지</t>
        </is>
      </c>
      <c r="L394" s="6">
        <f>HYPERLINK("https://fin.land.naver.com/articles/2648152245", "매물Link")</f>
        <v/>
      </c>
      <c r="M394" s="6">
        <f>HYPERLINK("https://map.naver.com/p/search/다정동 756", "지도Link")</f>
        <v/>
      </c>
      <c r="N394" s="6">
        <f>HYPERLINK("http://www.eum.go.kr/web/ar/lu/luLandDet.jsp?pnu=3611010900107560000&amp;isNoScr=script&amp;mode=search",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368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중로한면</t>
        </is>
      </c>
    </row>
    <row r="395">
      <c r="A395" s="3" t="inlineStr">
        <is>
          <t>다정동 756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83000</v>
      </c>
      <c r="G395" s="4" t="n">
        <v>368</v>
      </c>
      <c r="H395" s="4" t="n">
        <v>111</v>
      </c>
      <c r="I395" s="5" t="n">
        <v>747.7</v>
      </c>
      <c r="J395" s="5" t="n">
        <v>326</v>
      </c>
      <c r="K395" s="3" t="inlineStr">
        <is>
          <t>다정동 조용한 위치 단독주택 매매, 코너위치</t>
        </is>
      </c>
      <c r="L395" s="6">
        <f>HYPERLINK("https://fin.land.naver.com/articles/2650890648", "매물Link")</f>
        <v/>
      </c>
      <c r="M395" s="6">
        <f>HYPERLINK("https://map.naver.com/p/search/다정동 756", "지도Link")</f>
        <v/>
      </c>
      <c r="N395" s="6">
        <f>HYPERLINK("http://www.eum.go.kr/web/ar/lu/luLandDet.jsp?pnu=3611010900107560000&amp;isNoScr=script&amp;mode=search",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368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중로한면</t>
        </is>
      </c>
    </row>
    <row r="396">
      <c r="A396" s="3" t="inlineStr">
        <is>
          <t>다정동 769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50000</v>
      </c>
      <c r="G396" s="4" t="n">
        <v>269</v>
      </c>
      <c r="H396" s="4" t="n">
        <v>81</v>
      </c>
      <c r="I396" s="5" t="n">
        <v>617.3</v>
      </c>
      <c r="J396" s="5" t="n">
        <v>313.8</v>
      </c>
      <c r="K396" s="3" t="inlineStr">
        <is>
          <t>세종시 다정동 안쪽 코너각지 나대지</t>
        </is>
      </c>
      <c r="L396" s="6">
        <f>HYPERLINK("https://fin.land.naver.com/articles/2651425080", "매물Link")</f>
        <v/>
      </c>
      <c r="M396" s="6">
        <f>HYPERLINK("https://map.naver.com/p/search/다정동 769", "지도Link")</f>
        <v/>
      </c>
      <c r="N396" s="6">
        <f>HYPERLINK("http://www.eum.go.kr/web/ar/lu/luLandDet.jsp?pnu=3611010900107690000&amp;isNoScr=script&amp;mode=search", "토지이음")</f>
        <v/>
      </c>
      <c r="O396" s="3" t="inlineStr">
        <is>
          <t>청명</t>
        </is>
      </c>
      <c r="P396" s="4" t="n">
        <v>1</v>
      </c>
      <c r="Q396" s="4" t="n">
        <v>269.7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소로각지</t>
        </is>
      </c>
    </row>
    <row r="397">
      <c r="A397" s="3" t="inlineStr">
        <is>
          <t>다정동 772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55000</v>
      </c>
      <c r="G397" s="4" t="n">
        <v>297</v>
      </c>
      <c r="H397" s="4" t="n">
        <v>90</v>
      </c>
      <c r="I397" s="5" t="n">
        <v>611.1</v>
      </c>
      <c r="J397" s="5" t="n">
        <v>304.6</v>
      </c>
      <c r="K397" s="3" t="inlineStr">
        <is>
          <t>단독주택 부지  착한 매매가로 추천드립니다.</t>
        </is>
      </c>
      <c r="L397" s="6">
        <f>HYPERLINK("https://fin.land.naver.com/articles/2648168344", "매물Link")</f>
        <v/>
      </c>
      <c r="M397" s="6">
        <f>HYPERLINK("https://map.naver.com/p/search/다정동 772", "지도Link")</f>
        <v/>
      </c>
      <c r="N397" s="6">
        <f>HYPERLINK("http://www.eum.go.kr/web/ar/lu/luLandDet.jsp?pnu=3611010900107720000&amp;isNoScr=script&amp;mode=search", "토지이음")</f>
        <v/>
      </c>
      <c r="O397" s="3" t="inlineStr">
        <is>
          <t>세종가온채</t>
        </is>
      </c>
      <c r="P397" s="4" t="n">
        <v>2</v>
      </c>
      <c r="Q397" s="4" t="n">
        <v>279.7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772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69500</v>
      </c>
      <c r="G398" s="4" t="n">
        <v>279</v>
      </c>
      <c r="H398" s="4" t="n">
        <v>84</v>
      </c>
      <c r="I398" s="5" t="n">
        <v>827.4</v>
      </c>
      <c r="J398" s="5" t="n">
        <v>304.6</v>
      </c>
      <c r="K398" s="3" t="inlineStr">
        <is>
          <t>총 84.8p, 다정동 입지 좋은 단독주태 토지</t>
        </is>
      </c>
      <c r="L398" s="6">
        <f>HYPERLINK("https://fin.land.naver.com/articles/2649004372", "매물Link")</f>
        <v/>
      </c>
      <c r="M398" s="6">
        <f>HYPERLINK("https://map.naver.com/p/search/다정동 772", "지도Link")</f>
        <v/>
      </c>
      <c r="N398" s="6">
        <f>HYPERLINK("http://www.eum.go.kr/web/ar/lu/luLandDet.jsp?pnu=3611010900107720000&amp;isNoScr=script&amp;mode=search",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279.7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772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69500</v>
      </c>
      <c r="G399" s="4" t="n">
        <v>279</v>
      </c>
      <c r="H399" s="4" t="n">
        <v>84</v>
      </c>
      <c r="I399" s="5" t="n">
        <v>827.4</v>
      </c>
      <c r="J399" s="5" t="n">
        <v>304.6</v>
      </c>
      <c r="K399" s="3" t="inlineStr">
        <is>
          <t>84.8p, 정남향, 다정동 단독주택지</t>
        </is>
      </c>
      <c r="L399" s="6">
        <f>HYPERLINK("https://fin.land.naver.com/articles/2647425898", "매물Link")</f>
        <v/>
      </c>
      <c r="M399" s="6">
        <f>HYPERLINK("https://map.naver.com/p/search/다정동 772", "지도Link")</f>
        <v/>
      </c>
      <c r="N399" s="6">
        <f>HYPERLINK("http://www.eum.go.kr/web/ar/lu/luLandDet.jsp?pnu=3611010900107720000&amp;isNoScr=script&amp;mode=search",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279.7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773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69500</v>
      </c>
      <c r="G400" s="4" t="n">
        <v>280</v>
      </c>
      <c r="H400" s="4" t="n">
        <v>85</v>
      </c>
      <c r="I400" s="5" t="n">
        <v>817.6</v>
      </c>
      <c r="J400" s="5" t="n">
        <v>304.6</v>
      </c>
      <c r="K400" s="3" t="inlineStr">
        <is>
          <t>nan</t>
        </is>
      </c>
      <c r="L400" s="6">
        <f>HYPERLINK("https://fin.land.naver.com/articles/2651035742", "매물Link")</f>
        <v/>
      </c>
      <c r="M400" s="6">
        <f>HYPERLINK("https://map.naver.com/p/search/다정동 773", "지도Link")</f>
        <v/>
      </c>
      <c r="N400" s="6">
        <f>HYPERLINK("http://www.eum.go.kr/web/ar/lu/luLandDet.jsp?pnu=3611010900107730000&amp;isNoScr=script&amp;mode=search",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279.7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소로한면</t>
        </is>
      </c>
    </row>
    <row r="401">
      <c r="A401" s="3" t="inlineStr">
        <is>
          <t>다정동 773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44000</v>
      </c>
      <c r="G401" s="4" t="n">
        <v>279</v>
      </c>
      <c r="H401" s="4" t="n">
        <v>84</v>
      </c>
      <c r="I401" s="5" t="n">
        <v>523.8</v>
      </c>
      <c r="J401" s="5" t="n">
        <v>304.6</v>
      </c>
      <c r="K401" s="3" t="inlineStr">
        <is>
          <t>급매 남향 택지 조용한위치 상권 학교 가까움</t>
        </is>
      </c>
      <c r="L401" s="6">
        <f>HYPERLINK("https://fin.land.naver.com/articles/2649375100", "매물Link")</f>
        <v/>
      </c>
      <c r="M401" s="6">
        <f>HYPERLINK("https://map.naver.com/p/search/다정동 773", "지도Link")</f>
        <v/>
      </c>
      <c r="N401" s="6">
        <f>HYPERLINK("http://www.eum.go.kr/web/ar/lu/luLandDet.jsp?pnu=3611010900107730000&amp;isNoScr=script&amp;mode=search", "토지이음")</f>
        <v/>
      </c>
      <c r="O401" s="3" t="inlineStr">
        <is>
          <t>세종스타</t>
        </is>
      </c>
      <c r="P401" s="4" t="n">
        <v>2</v>
      </c>
      <c r="Q401" s="4" t="n">
        <v>279.7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소로한면</t>
        </is>
      </c>
    </row>
    <row r="402">
      <c r="A402" s="3" t="inlineStr">
        <is>
          <t>다정동 774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69500</v>
      </c>
      <c r="G402" s="4" t="n">
        <v>280</v>
      </c>
      <c r="H402" s="4" t="n">
        <v>85</v>
      </c>
      <c r="I402" s="5" t="n">
        <v>817.6</v>
      </c>
      <c r="J402" s="5" t="n">
        <v>337.9</v>
      </c>
      <c r="K402" s="3" t="inlineStr">
        <is>
          <t>nan</t>
        </is>
      </c>
      <c r="L402" s="6">
        <f>HYPERLINK("https://fin.land.naver.com/articles/2647198411", "매물Link")</f>
        <v/>
      </c>
      <c r="M402" s="6">
        <f>HYPERLINK("https://map.naver.com/p/search/다정동 774", "지도Link")</f>
        <v/>
      </c>
      <c r="N402" s="6">
        <f>HYPERLINK("http://www.eum.go.kr/web/ar/lu/luLandDet.jsp?pnu=3611010900107740000&amp;isNoScr=script&amp;mode=search", "토지이음")</f>
        <v/>
      </c>
      <c r="O402" s="3" t="inlineStr">
        <is>
          <t>디아트성심</t>
        </is>
      </c>
      <c r="P402" s="4" t="n">
        <v>1</v>
      </c>
      <c r="Q402" s="4" t="n">
        <v>291.7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중로각지</t>
        </is>
      </c>
    </row>
    <row r="403">
      <c r="A403" s="3" t="inlineStr">
        <is>
          <t>다정동 779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50000</v>
      </c>
      <c r="G403" s="4" t="n">
        <v>297</v>
      </c>
      <c r="H403" s="4" t="n">
        <v>90</v>
      </c>
      <c r="I403" s="5" t="n">
        <v>555.6</v>
      </c>
      <c r="J403" s="5" t="n">
        <v>304.6</v>
      </c>
      <c r="K403" s="3" t="inlineStr">
        <is>
          <t>I 신한 I  급매  Iㅑ채광 좋은 남향 단독주택용지</t>
        </is>
      </c>
      <c r="L403" s="6">
        <f>HYPERLINK("https://fin.land.naver.com/articles/2650851726", "매물Link")</f>
        <v/>
      </c>
      <c r="M403" s="6">
        <f>HYPERLINK("https://map.naver.com/p/search/다정동 779", "지도Link")</f>
        <v/>
      </c>
      <c r="N403" s="6">
        <f>HYPERLINK("http://www.eum.go.kr/web/ar/lu/luLandDet.jsp?pnu=3611010900107790000&amp;isNoScr=script&amp;mode=search", "토지이음")</f>
        <v/>
      </c>
      <c r="O403" s="3" t="inlineStr">
        <is>
          <t>세종신한</t>
        </is>
      </c>
      <c r="P403" s="4" t="n">
        <v>1</v>
      </c>
      <c r="Q403" s="4" t="n">
        <v>297.3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다정동 781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42000</v>
      </c>
      <c r="G404" s="4" t="n">
        <v>254</v>
      </c>
      <c r="H404" s="4" t="n">
        <v>77</v>
      </c>
      <c r="I404" s="5" t="n">
        <v>545.5</v>
      </c>
      <c r="J404" s="5" t="n">
        <v>313.8</v>
      </c>
      <c r="K404" s="3" t="inlineStr">
        <is>
          <t>급매 코너각지 정남향 최저가 조율협의가능</t>
        </is>
      </c>
      <c r="L404" s="6">
        <f>HYPERLINK("https://fin.land.naver.com/articles/2647125848", "매물Link")</f>
        <v/>
      </c>
      <c r="M404" s="6">
        <f>HYPERLINK("https://map.naver.com/p/search/다정동 781", "지도Link")</f>
        <v/>
      </c>
      <c r="N404" s="6">
        <f>HYPERLINK("http://www.eum.go.kr/web/ar/lu/luLandDet.jsp?pnu=3611010900107810000&amp;isNoScr=script&amp;mode=search", "토지이음")</f>
        <v/>
      </c>
      <c r="O404" s="3" t="inlineStr">
        <is>
          <t>세종스타</t>
        </is>
      </c>
      <c r="P404" s="4" t="n">
        <v>1</v>
      </c>
      <c r="Q404" s="4" t="n">
        <v>254.3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소로각지</t>
        </is>
      </c>
    </row>
    <row r="405">
      <c r="A405" s="3" t="inlineStr">
        <is>
          <t>다정동 781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45000</v>
      </c>
      <c r="G405" s="4" t="n">
        <v>254</v>
      </c>
      <c r="H405" s="4" t="n">
        <v>77</v>
      </c>
      <c r="I405" s="5" t="n">
        <v>584.4</v>
      </c>
      <c r="J405" s="5" t="n">
        <v>313.8</v>
      </c>
      <c r="K405" s="3" t="inlineStr">
        <is>
          <t>nan</t>
        </is>
      </c>
      <c r="L405" s="6">
        <f>HYPERLINK("https://fin.land.naver.com/articles/2647198355", "매물Link")</f>
        <v/>
      </c>
      <c r="M405" s="6">
        <f>HYPERLINK("https://map.naver.com/p/search/다정동 781", "지도Link")</f>
        <v/>
      </c>
      <c r="N405" s="6">
        <f>HYPERLINK("http://www.eum.go.kr/web/ar/lu/luLandDet.jsp?pnu=3611010900107810000&amp;isNoScr=script&amp;mode=search", "토지이음")</f>
        <v/>
      </c>
      <c r="O405" s="3" t="inlineStr">
        <is>
          <t>디아트성심</t>
        </is>
      </c>
      <c r="P405" s="4" t="n">
        <v>1</v>
      </c>
      <c r="Q405" s="4" t="n">
        <v>254.3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소로각지</t>
        </is>
      </c>
    </row>
    <row r="406">
      <c r="A406" s="3" t="inlineStr">
        <is>
          <t>다정동 783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50000</v>
      </c>
      <c r="G406" s="4" t="n">
        <v>297</v>
      </c>
      <c r="H406" s="4" t="n">
        <v>90</v>
      </c>
      <c r="I406" s="5" t="n">
        <v>555.6</v>
      </c>
      <c r="J406" s="5" t="n">
        <v>304.6</v>
      </c>
      <c r="K406" s="3" t="inlineStr">
        <is>
          <t>조율가능 정남향 토지모양최상</t>
        </is>
      </c>
      <c r="L406" s="6">
        <f>HYPERLINK("https://fin.land.naver.com/articles/2649812025", "매물Link")</f>
        <v/>
      </c>
      <c r="M406" s="6">
        <f>HYPERLINK("https://map.naver.com/p/search/다정동 783", "지도Link")</f>
        <v/>
      </c>
      <c r="N406" s="6">
        <f>HYPERLINK("http://www.eum.go.kr/web/ar/lu/luLandDet.jsp?pnu=3611010900107830000&amp;isNoScr=script&amp;mode=search", "토지이음")</f>
        <v/>
      </c>
      <c r="O406" s="3" t="inlineStr">
        <is>
          <t>세종스타</t>
        </is>
      </c>
      <c r="P406" s="4" t="n">
        <v>1</v>
      </c>
      <c r="Q406" s="4" t="n">
        <v>297.3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793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75000</v>
      </c>
      <c r="G407" s="4" t="n">
        <v>315</v>
      </c>
      <c r="H407" s="4" t="n">
        <v>95</v>
      </c>
      <c r="I407" s="5" t="n">
        <v>789.5</v>
      </c>
      <c r="J407" s="5" t="n">
        <v>313.8</v>
      </c>
      <c r="K407" s="3" t="inlineStr">
        <is>
          <t>코너각지,선호하는 위치 모양좋은 대지,가격조율가능</t>
        </is>
      </c>
      <c r="L407" s="6">
        <f>HYPERLINK("https://fin.land.naver.com/articles/2647229420", "매물Link")</f>
        <v/>
      </c>
      <c r="M407" s="6">
        <f>HYPERLINK("https://map.naver.com/p/search/다정동 793", "지도Link")</f>
        <v/>
      </c>
      <c r="N407" s="6">
        <f>HYPERLINK("http://www.eum.go.kr/web/ar/lu/luLandDet.jsp?pnu=3611010900107930000&amp;isNoScr=script&amp;mode=search", "토지이음")</f>
        <v/>
      </c>
      <c r="O407" s="3" t="inlineStr">
        <is>
          <t>다정동첫번째</t>
        </is>
      </c>
      <c r="P407" s="4" t="n">
        <v>1</v>
      </c>
      <c r="Q407" s="4" t="n">
        <v>315.9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소로각지</t>
        </is>
      </c>
    </row>
    <row r="408">
      <c r="A408" s="3" t="inlineStr">
        <is>
          <t>다정동 794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48000</v>
      </c>
      <c r="G408" s="4" t="n">
        <v>254</v>
      </c>
      <c r="H408" s="4" t="n">
        <v>77</v>
      </c>
      <c r="I408" s="5" t="n">
        <v>623.4</v>
      </c>
      <c r="J408" s="5" t="n">
        <v>337.9</v>
      </c>
      <c r="K408" s="3" t="inlineStr">
        <is>
          <t>코너각지 공공인도접함 선호하는위치</t>
        </is>
      </c>
      <c r="L408" s="6">
        <f>HYPERLINK("https://fin.land.naver.com/articles/2648716215", "매물Link")</f>
        <v/>
      </c>
      <c r="M408" s="6">
        <f>HYPERLINK("https://map.naver.com/p/search/다정동 794", "지도Link")</f>
        <v/>
      </c>
      <c r="N408" s="6">
        <f>HYPERLINK("http://www.eum.go.kr/web/ar/lu/luLandDet.jsp?pnu=3611010900107940000&amp;isNoScr=script&amp;mode=search", "토지이음")</f>
        <v/>
      </c>
      <c r="O408" s="3" t="inlineStr">
        <is>
          <t>세종스타</t>
        </is>
      </c>
      <c r="P408" s="4" t="n">
        <v>1</v>
      </c>
      <c r="Q408" s="4" t="n">
        <v>254.9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810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59500</v>
      </c>
      <c r="G409" s="4" t="n">
        <v>314</v>
      </c>
      <c r="H409" s="4" t="n">
        <v>95</v>
      </c>
      <c r="I409" s="5" t="n">
        <v>626.3</v>
      </c>
      <c r="J409" s="5" t="n">
        <v>298.2</v>
      </c>
      <c r="K409" s="3" t="inlineStr">
        <is>
          <t>추가조율가능 남향택지 상권접근성 용이한 위치</t>
        </is>
      </c>
      <c r="L409" s="6">
        <f>HYPERLINK("https://fin.land.naver.com/articles/2649618939", "매물Link")</f>
        <v/>
      </c>
      <c r="M409" s="6">
        <f>HYPERLINK("https://map.naver.com/p/search/다정동 810", "지도Link")</f>
        <v/>
      </c>
      <c r="N409" s="6">
        <f>HYPERLINK("http://www.eum.go.kr/web/ar/lu/luLandDet.jsp?pnu=3611010900108100000&amp;isNoScr=script&amp;mode=search", "토지이음")</f>
        <v/>
      </c>
      <c r="O409" s="3" t="inlineStr">
        <is>
          <t>세종스타</t>
        </is>
      </c>
      <c r="P409" s="4" t="n">
        <v>1</v>
      </c>
      <c r="Q409" s="4" t="n">
        <v>314.8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소로한면</t>
        </is>
      </c>
    </row>
    <row r="410">
      <c r="A410" s="3" t="inlineStr">
        <is>
          <t>다정동 818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83500</v>
      </c>
      <c r="G410" s="4" t="n">
        <v>394</v>
      </c>
      <c r="H410" s="4" t="n">
        <v>119</v>
      </c>
      <c r="I410" s="5" t="n">
        <v>701.7</v>
      </c>
      <c r="J410" s="5" t="n">
        <v>353.7</v>
      </c>
      <c r="K410" s="3" t="inlineStr">
        <is>
          <t>사거리 코너, 입지 좋은토지, 조율가능</t>
        </is>
      </c>
      <c r="L410" s="6">
        <f>HYPERLINK("https://fin.land.naver.com/articles/2647427873", "매물Link")</f>
        <v/>
      </c>
      <c r="M410" s="6">
        <f>HYPERLINK("https://map.naver.com/p/search/다정동 818", "지도Link")</f>
        <v/>
      </c>
      <c r="N410" s="6">
        <f>HYPERLINK("http://www.eum.go.kr/web/ar/lu/luLandDet.jsp?pnu=3611010900108180000&amp;isNoScr=script&amp;mode=search", "토지이음")</f>
        <v/>
      </c>
      <c r="O410" s="3" t="inlineStr">
        <is>
          <t>세종무지개</t>
        </is>
      </c>
      <c r="P410" s="4" t="n">
        <v>1</v>
      </c>
      <c r="Q410" s="4" t="n">
        <v>394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823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73000</v>
      </c>
      <c r="G411" s="4" t="n">
        <v>315</v>
      </c>
      <c r="H411" s="4" t="n">
        <v>95</v>
      </c>
      <c r="I411" s="5" t="n">
        <v>768.4</v>
      </c>
      <c r="J411" s="5" t="n">
        <v>341.2</v>
      </c>
      <c r="K411" s="3" t="inlineStr">
        <is>
          <t>총 95.5p, 조율가능, 다정동 단독주택지</t>
        </is>
      </c>
      <c r="L411" s="6">
        <f>HYPERLINK("https://fin.land.naver.com/articles/2649022530", "매물Link")</f>
        <v/>
      </c>
      <c r="M411" s="6">
        <f>HYPERLINK("https://map.naver.com/p/search/다정동 823", "지도Link")</f>
        <v/>
      </c>
      <c r="N411" s="6">
        <f>HYPERLINK("http://www.eum.go.kr/web/ar/lu/luLandDet.jsp?pnu=3611010900108230000&amp;isNoScr=script&amp;mode=search", "토지이음")</f>
        <v/>
      </c>
      <c r="O411" s="3" t="inlineStr">
        <is>
          <t>명진</t>
        </is>
      </c>
      <c r="P411" s="4" t="n">
        <v>1</v>
      </c>
      <c r="Q411" s="4" t="n">
        <v>315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중로한면</t>
        </is>
      </c>
    </row>
    <row r="412">
      <c r="A412" s="3" t="inlineStr">
        <is>
          <t>다정동 823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73000</v>
      </c>
      <c r="G412" s="4" t="n">
        <v>315</v>
      </c>
      <c r="H412" s="4" t="n">
        <v>95</v>
      </c>
      <c r="I412" s="5" t="n">
        <v>768.4</v>
      </c>
      <c r="J412" s="5" t="n">
        <v>341.2</v>
      </c>
      <c r="K412" s="3" t="inlineStr">
        <is>
          <t>95.5p, 유치원 맞은편, 가운데 토지</t>
        </is>
      </c>
      <c r="L412" s="6">
        <f>HYPERLINK("https://fin.land.naver.com/articles/2648833463", "매물Link")</f>
        <v/>
      </c>
      <c r="M412" s="6">
        <f>HYPERLINK("https://map.naver.com/p/search/다정동 823", "지도Link")</f>
        <v/>
      </c>
      <c r="N412" s="6">
        <f>HYPERLINK("http://www.eum.go.kr/web/ar/lu/luLandDet.jsp?pnu=3611010900108230000&amp;isNoScr=script&amp;mode=search",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315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중로한면</t>
        </is>
      </c>
    </row>
    <row r="413">
      <c r="A413" s="3" t="inlineStr">
        <is>
          <t>다정동 823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73000</v>
      </c>
      <c r="G413" s="4" t="n">
        <v>315</v>
      </c>
      <c r="H413" s="4" t="n">
        <v>95</v>
      </c>
      <c r="I413" s="5" t="n">
        <v>768.4</v>
      </c>
      <c r="J413" s="5" t="n">
        <v>341.2</v>
      </c>
      <c r="K413" s="3" t="inlineStr">
        <is>
          <t>nan</t>
        </is>
      </c>
      <c r="L413" s="6">
        <f>HYPERLINK("https://fin.land.naver.com/articles/2647198457", "매물Link")</f>
        <v/>
      </c>
      <c r="M413" s="6">
        <f>HYPERLINK("https://map.naver.com/p/search/다정동 823", "지도Link")</f>
        <v/>
      </c>
      <c r="N413" s="6">
        <f>HYPERLINK("http://www.eum.go.kr/web/ar/lu/luLandDet.jsp?pnu=3611010900108230000&amp;isNoScr=script&amp;mode=search", "토지이음")</f>
        <v/>
      </c>
      <c r="O413" s="3" t="inlineStr">
        <is>
          <t>디아트성심</t>
        </is>
      </c>
      <c r="P413" s="4" t="n">
        <v>1</v>
      </c>
      <c r="Q413" s="4" t="n">
        <v>315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중로한면</t>
        </is>
      </c>
    </row>
    <row r="414">
      <c r="A414" s="3" t="inlineStr">
        <is>
          <t>다정동 842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64000</v>
      </c>
      <c r="G414" s="4" t="n">
        <v>315</v>
      </c>
      <c r="H414" s="4" t="n">
        <v>95</v>
      </c>
      <c r="I414" s="5" t="n">
        <v>673.7</v>
      </c>
      <c r="J414" s="5" t="n">
        <v>318.9</v>
      </c>
      <c r="K414" s="3" t="inlineStr">
        <is>
          <t>총 95.5p, 유치원 인근 다정동 토지매매</t>
        </is>
      </c>
      <c r="L414" s="6">
        <f>HYPERLINK("https://fin.land.naver.com/articles/2649571368", "매물Link")</f>
        <v/>
      </c>
      <c r="M414" s="6">
        <f>HYPERLINK("https://map.naver.com/p/search/다정동 842", "지도Link")</f>
        <v/>
      </c>
      <c r="N414" s="6">
        <f>HYPERLINK("http://www.eum.go.kr/web/ar/lu/luLandDet.jsp?pnu=3611010900108420000&amp;isNoScr=script&amp;mode=search", "토지이음")</f>
        <v/>
      </c>
      <c r="O414" s="3" t="inlineStr">
        <is>
          <t>세종무지개</t>
        </is>
      </c>
      <c r="P414" s="4" t="n">
        <v>1</v>
      </c>
      <c r="Q414" s="4" t="n">
        <v>315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소로한면</t>
        </is>
      </c>
    </row>
    <row r="415">
      <c r="A415" s="3" t="inlineStr">
        <is>
          <t>다정동 842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64000</v>
      </c>
      <c r="G415" s="4" t="n">
        <v>315</v>
      </c>
      <c r="H415" s="4" t="n">
        <v>95</v>
      </c>
      <c r="I415" s="5" t="n">
        <v>673.7</v>
      </c>
      <c r="J415" s="5" t="n">
        <v>318.9</v>
      </c>
      <c r="K415" s="3" t="inlineStr">
        <is>
          <t>총 95.5p, 새솔유치원인근, 가운데 토지</t>
        </is>
      </c>
      <c r="L415" s="6">
        <f>HYPERLINK("https://fin.land.naver.com/articles/2649005944", "매물Link")</f>
        <v/>
      </c>
      <c r="M415" s="6">
        <f>HYPERLINK("https://map.naver.com/p/search/다정동 842", "지도Link")</f>
        <v/>
      </c>
      <c r="N415" s="6">
        <f>HYPERLINK("http://www.eum.go.kr/web/ar/lu/luLandDet.jsp?pnu=3611010900108420000&amp;isNoScr=script&amp;mode=search", "토지이음")</f>
        <v/>
      </c>
      <c r="O415" s="3" t="inlineStr">
        <is>
          <t>명진</t>
        </is>
      </c>
      <c r="P415" s="4" t="n">
        <v>1</v>
      </c>
      <c r="Q415" s="4" t="n">
        <v>315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소로한면</t>
        </is>
      </c>
    </row>
    <row r="416">
      <c r="A416" s="3" t="inlineStr">
        <is>
          <t>다정동 842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58000</v>
      </c>
      <c r="G416" s="4" t="n">
        <v>315</v>
      </c>
      <c r="H416" s="4" t="n">
        <v>95</v>
      </c>
      <c r="I416" s="5" t="n">
        <v>610.5</v>
      </c>
      <c r="J416" s="5" t="n">
        <v>318.9</v>
      </c>
      <c r="K416" s="3" t="inlineStr">
        <is>
          <t>nan</t>
        </is>
      </c>
      <c r="L416" s="6">
        <f>HYPERLINK("https://fin.land.naver.com/articles/2647198512", "매물Link")</f>
        <v/>
      </c>
      <c r="M416" s="6">
        <f>HYPERLINK("https://map.naver.com/p/search/다정동 842", "지도Link")</f>
        <v/>
      </c>
      <c r="N416" s="6">
        <f>HYPERLINK("http://www.eum.go.kr/web/ar/lu/luLandDet.jsp?pnu=3611010900108420000&amp;isNoScr=script&amp;mode=search", "토지이음")</f>
        <v/>
      </c>
      <c r="O416" s="3" t="inlineStr">
        <is>
          <t>디아트성심</t>
        </is>
      </c>
      <c r="P416" s="4" t="n">
        <v>1</v>
      </c>
      <c r="Q416" s="4" t="n">
        <v>315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세로장방</t>
        </is>
      </c>
      <c r="V416" s="3" t="inlineStr">
        <is>
          <t>소로한면</t>
        </is>
      </c>
    </row>
    <row r="417">
      <c r="A417" s="3" t="inlineStr">
        <is>
          <t>다정동 842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49000</v>
      </c>
      <c r="G417" s="4" t="n">
        <v>315</v>
      </c>
      <c r="H417" s="4" t="n">
        <v>95</v>
      </c>
      <c r="I417" s="5" t="n">
        <v>515.8</v>
      </c>
      <c r="J417" s="5" t="n">
        <v>318.9</v>
      </c>
      <c r="K417" s="3" t="inlineStr">
        <is>
          <t>급매 조율가능 조용한 선호하는 안쪽위치</t>
        </is>
      </c>
      <c r="L417" s="6">
        <f>HYPERLINK("https://fin.land.naver.com/articles/2646479232", "매물Link")</f>
        <v/>
      </c>
      <c r="M417" s="6">
        <f>HYPERLINK("https://map.naver.com/p/search/다정동 842", "지도Link")</f>
        <v/>
      </c>
      <c r="N417" s="6">
        <f>HYPERLINK("http://www.eum.go.kr/web/ar/lu/luLandDet.jsp?pnu=3611010900108420000&amp;isNoScr=script&amp;mode=search", "토지이음")</f>
        <v/>
      </c>
      <c r="O417" s="3" t="inlineStr">
        <is>
          <t>세종스타</t>
        </is>
      </c>
      <c r="P417" s="4" t="n">
        <v>1</v>
      </c>
      <c r="Q417" s="4" t="n">
        <v>315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다정동 852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48000</v>
      </c>
      <c r="G418" s="4" t="n">
        <v>298</v>
      </c>
      <c r="H418" s="4" t="n">
        <v>90</v>
      </c>
      <c r="I418" s="5" t="n">
        <v>533.3</v>
      </c>
      <c r="J418" s="5" t="n">
        <v>298.2</v>
      </c>
      <c r="K418" s="3" t="inlineStr">
        <is>
          <t>nan</t>
        </is>
      </c>
      <c r="L418" s="6">
        <f>HYPERLINK("https://fin.land.naver.com/articles/2649625468", "매물Link")</f>
        <v/>
      </c>
      <c r="M418" s="6">
        <f>HYPERLINK("https://map.naver.com/p/search/다정동 852", "지도Link")</f>
        <v/>
      </c>
      <c r="N418" s="6">
        <f>HYPERLINK("http://www.eum.go.kr/web/ar/lu/luLandDet.jsp?pnu=3611010900108520000&amp;isNoScr=script&amp;mode=search", "토지이음")</f>
        <v/>
      </c>
      <c r="O418" s="3" t="inlineStr">
        <is>
          <t>세종리더스</t>
        </is>
      </c>
      <c r="P418" s="4" t="n">
        <v>1</v>
      </c>
      <c r="Q418" s="4" t="n">
        <v>293.7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소로한면</t>
        </is>
      </c>
    </row>
    <row r="419">
      <c r="A419" s="3" t="inlineStr">
        <is>
          <t>다정동 885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48000</v>
      </c>
      <c r="G419" s="4" t="n">
        <v>397</v>
      </c>
      <c r="H419" s="4" t="n">
        <v>120</v>
      </c>
      <c r="I419" s="5" t="n">
        <v>400</v>
      </c>
      <c r="J419" s="5" t="n">
        <v>353.7</v>
      </c>
      <c r="K419" s="3" t="inlineStr">
        <is>
          <t>급매 추가조율가능 삼면 코너각지 큰평수</t>
        </is>
      </c>
      <c r="L419" s="6">
        <f>HYPERLINK("https://fin.land.naver.com/articles/2651088030", "매물Link")</f>
        <v/>
      </c>
      <c r="M419" s="6">
        <f>HYPERLINK("https://map.naver.com/p/search/다정동 885", "지도Link")</f>
        <v/>
      </c>
      <c r="N419" s="6">
        <f>HYPERLINK("http://www.eum.go.kr/web/ar/lu/luLandDet.jsp?pnu=3611010900108850000&amp;isNoScr=script&amp;mode=search", "토지이음")</f>
        <v/>
      </c>
      <c r="O419" s="3" t="inlineStr">
        <is>
          <t>세종스타</t>
        </is>
      </c>
      <c r="P419" s="4" t="n">
        <v>2</v>
      </c>
      <c r="Q419" s="4" t="n">
        <v>397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중로각지</t>
        </is>
      </c>
    </row>
    <row r="420">
      <c r="A420" s="3" t="inlineStr">
        <is>
          <t>다정동 885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48000</v>
      </c>
      <c r="G420" s="4" t="n">
        <v>397</v>
      </c>
      <c r="H420" s="4" t="n">
        <v>120</v>
      </c>
      <c r="I420" s="5" t="n">
        <v>400</v>
      </c>
      <c r="J420" s="5" t="n">
        <v>353.7</v>
      </c>
      <c r="K420" s="3" t="inlineStr">
        <is>
          <t>nan</t>
        </is>
      </c>
      <c r="L420" s="6">
        <f>HYPERLINK("https://fin.land.naver.com/articles/2647198581", "매물Link")</f>
        <v/>
      </c>
      <c r="M420" s="6">
        <f>HYPERLINK("https://map.naver.com/p/search/다정동 885", "지도Link")</f>
        <v/>
      </c>
      <c r="N420" s="6">
        <f>HYPERLINK("http://www.eum.go.kr/web/ar/lu/luLandDet.jsp?pnu=3611010900108850000&amp;isNoScr=script&amp;mode=search", "토지이음")</f>
        <v/>
      </c>
      <c r="O420" s="3" t="inlineStr">
        <is>
          <t>디아트성심</t>
        </is>
      </c>
      <c r="P420" s="4" t="n">
        <v>1</v>
      </c>
      <c r="Q420" s="4" t="n">
        <v>397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중로각지</t>
        </is>
      </c>
    </row>
    <row r="421">
      <c r="A421" s="3" t="inlineStr">
        <is>
          <t>다정동 887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53000</v>
      </c>
      <c r="G421" s="4" t="n">
        <v>374</v>
      </c>
      <c r="H421" s="4" t="n">
        <v>113</v>
      </c>
      <c r="I421" s="5" t="n">
        <v>469</v>
      </c>
      <c r="J421" s="5" t="n">
        <v>353.7</v>
      </c>
      <c r="K421" s="3" t="inlineStr">
        <is>
          <t>급매로 추가 조율이 가능한 다정동 택지 급매물입니다.</t>
        </is>
      </c>
      <c r="L421" s="6">
        <f>HYPERLINK("https://fin.land.naver.com/articles/2650944049", "매물Link")</f>
        <v/>
      </c>
      <c r="M421" s="6">
        <f>HYPERLINK("https://map.naver.com/p/search/다정동 887", "지도Link")</f>
        <v/>
      </c>
      <c r="N421" s="6">
        <f>HYPERLINK("http://www.eum.go.kr/web/ar/lu/luLandDet.jsp?pnu=3611010900108870000&amp;isNoScr=script&amp;mode=search", "토지이음")</f>
        <v/>
      </c>
      <c r="O421" s="3" t="inlineStr">
        <is>
          <t>스마일세종</t>
        </is>
      </c>
      <c r="P421" s="4" t="n">
        <v>2</v>
      </c>
      <c r="Q421" s="4" t="n">
        <v>374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중로각지</t>
        </is>
      </c>
    </row>
    <row r="422">
      <c r="A422" s="3" t="inlineStr">
        <is>
          <t>다정동 887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53000</v>
      </c>
      <c r="G422" s="4" t="n">
        <v>374</v>
      </c>
      <c r="H422" s="4" t="n">
        <v>113</v>
      </c>
      <c r="I422" s="5" t="n">
        <v>469</v>
      </c>
      <c r="J422" s="5" t="n">
        <v>353.7</v>
      </c>
      <c r="K422" s="3" t="inlineStr">
        <is>
          <t>113.3p, 주유소 맞은편. 조율가능</t>
        </is>
      </c>
      <c r="L422" s="6">
        <f>HYPERLINK("https://fin.land.naver.com/articles/2649010012", "매물Link")</f>
        <v/>
      </c>
      <c r="M422" s="6">
        <f>HYPERLINK("https://map.naver.com/p/search/다정동 887", "지도Link")</f>
        <v/>
      </c>
      <c r="N422" s="6">
        <f>HYPERLINK("http://www.eum.go.kr/web/ar/lu/luLandDet.jsp?pnu=3611010900108870000&amp;isNoScr=script&amp;mode=search",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374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중로각지</t>
        </is>
      </c>
    </row>
    <row r="423">
      <c r="A423" s="3" t="inlineStr">
        <is>
          <t>다정동 887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54000</v>
      </c>
      <c r="G423" s="4" t="n">
        <v>374</v>
      </c>
      <c r="H423" s="4" t="n">
        <v>113</v>
      </c>
      <c r="I423" s="5" t="n">
        <v>477.9</v>
      </c>
      <c r="J423" s="5" t="n">
        <v>353.7</v>
      </c>
      <c r="K423" s="3" t="inlineStr">
        <is>
          <t>급매 다정동 전원주택토지임.</t>
        </is>
      </c>
      <c r="L423" s="6">
        <f>HYPERLINK("https://fin.land.naver.com/articles/2647387576", "매물Link")</f>
        <v/>
      </c>
      <c r="M423" s="6">
        <f>HYPERLINK("https://map.naver.com/p/search/다정동 887", "지도Link")</f>
        <v/>
      </c>
      <c r="N423" s="6">
        <f>HYPERLINK("http://www.eum.go.kr/web/ar/lu/luLandDet.jsp?pnu=3611010900108870000&amp;isNoScr=script&amp;mode=search", "토지이음")</f>
        <v/>
      </c>
      <c r="O423" s="3" t="inlineStr">
        <is>
          <t>태흥</t>
        </is>
      </c>
      <c r="P423" s="4" t="n">
        <v>1</v>
      </c>
      <c r="Q423" s="4" t="n">
        <v>374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중로각지</t>
        </is>
      </c>
    </row>
    <row r="424">
      <c r="A424" s="3" t="inlineStr">
        <is>
          <t>다정동 887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53000</v>
      </c>
      <c r="G424" s="4" t="n">
        <v>374</v>
      </c>
      <c r="H424" s="4" t="n">
        <v>113</v>
      </c>
      <c r="I424" s="5" t="n">
        <v>469</v>
      </c>
      <c r="J424" s="5" t="n">
        <v>353.7</v>
      </c>
      <c r="K424" s="3" t="inlineStr">
        <is>
          <t>총 113.3p, 조율가능, 주유소인근, 다정동 단독주택지</t>
        </is>
      </c>
      <c r="L424" s="6">
        <f>HYPERLINK("https://fin.land.naver.com/articles/2646690590", "매물Link")</f>
        <v/>
      </c>
      <c r="M424" s="6">
        <f>HYPERLINK("https://map.naver.com/p/search/다정동 887", "지도Link")</f>
        <v/>
      </c>
      <c r="N424" s="6">
        <f>HYPERLINK("http://www.eum.go.kr/web/ar/lu/luLandDet.jsp?pnu=3611010900108870000&amp;isNoScr=script&amp;mode=search",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374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중로각지</t>
        </is>
      </c>
    </row>
    <row r="425">
      <c r="A425" s="3" t="inlineStr">
        <is>
          <t>다정동 897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194000</v>
      </c>
      <c r="G425" s="4" t="n">
        <v>641</v>
      </c>
      <c r="H425" s="4" t="n">
        <v>194</v>
      </c>
      <c r="I425" s="5" t="n">
        <v>1000</v>
      </c>
      <c r="J425" s="5" t="n">
        <v>763</v>
      </c>
      <c r="K425" s="3" t="inlineStr">
        <is>
          <t>총 194.2p, 코너자리, 다정동 위치좋은 근생토지</t>
        </is>
      </c>
      <c r="L425" s="6">
        <f>HYPERLINK("https://fin.land.naver.com/articles/2646747500", "매물Link")</f>
        <v/>
      </c>
      <c r="M425" s="6">
        <f>HYPERLINK("https://map.naver.com/p/search/다정동 897", "지도Link")</f>
        <v/>
      </c>
      <c r="N425" s="6">
        <f>HYPERLINK("http://www.eum.go.kr/web/ar/lu/luLandDet.jsp?pnu=3611010900108970000&amp;isNoScr=script&amp;mode=search", "토지이음")</f>
        <v/>
      </c>
      <c r="O425" s="3" t="inlineStr">
        <is>
          <t>명진</t>
        </is>
      </c>
      <c r="P425" s="4" t="n">
        <v>1</v>
      </c>
      <c r="Q425" s="4" t="n">
        <v>641</v>
      </c>
      <c r="R425" s="3" t="inlineStr">
        <is>
          <t>지정되지않음</t>
        </is>
      </c>
      <c r="S425" s="3" t="inlineStr">
        <is>
          <t>상업나지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중로각지</t>
        </is>
      </c>
    </row>
    <row r="426">
      <c r="A426" s="3" t="inlineStr">
        <is>
          <t>다정동 897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194000</v>
      </c>
      <c r="G426" s="4" t="n">
        <v>641</v>
      </c>
      <c r="H426" s="4" t="n">
        <v>194</v>
      </c>
      <c r="I426" s="5" t="n">
        <v>1000</v>
      </c>
      <c r="J426" s="5" t="n">
        <v>763</v>
      </c>
      <c r="K426" s="3" t="inlineStr">
        <is>
          <t>다정동 코너 위치한 근생 토지매매, 조율가능, 입지 최고</t>
        </is>
      </c>
      <c r="L426" s="6">
        <f>HYPERLINK("https://fin.land.naver.com/articles/2649608618", "매물Link")</f>
        <v/>
      </c>
      <c r="M426" s="6">
        <f>HYPERLINK("https://map.naver.com/p/search/다정동 897", "지도Link")</f>
        <v/>
      </c>
      <c r="N426" s="6">
        <f>HYPERLINK("http://www.eum.go.kr/web/ar/lu/luLandDet.jsp?pnu=3611010900108970000&amp;isNoScr=script&amp;mode=search",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641</v>
      </c>
      <c r="R426" s="3" t="inlineStr">
        <is>
          <t>지정되지않음</t>
        </is>
      </c>
      <c r="S426" s="3" t="inlineStr">
        <is>
          <t>상업나지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중로각지</t>
        </is>
      </c>
    </row>
    <row r="427">
      <c r="A427" s="3" t="inlineStr">
        <is>
          <t>다정동 897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194000</v>
      </c>
      <c r="G427" s="4" t="n">
        <v>641</v>
      </c>
      <c r="H427" s="4" t="n">
        <v>194</v>
      </c>
      <c r="I427" s="5" t="n">
        <v>1000</v>
      </c>
      <c r="J427" s="5" t="n">
        <v>763</v>
      </c>
      <c r="K427" s="3" t="inlineStr">
        <is>
          <t>3면코너각지 지하건축가능 귀한큰필지 큰생부지</t>
        </is>
      </c>
      <c r="L427" s="6">
        <f>HYPERLINK("https://fin.land.naver.com/articles/2650366482", "매물Link")</f>
        <v/>
      </c>
      <c r="M427" s="6">
        <f>HYPERLINK("https://map.naver.com/p/search/다정동 897", "지도Link")</f>
        <v/>
      </c>
      <c r="N427" s="6">
        <f>HYPERLINK("http://www.eum.go.kr/web/ar/lu/luLandDet.jsp?pnu=3611010900108970000&amp;isNoScr=script&amp;mode=search", "토지이음")</f>
        <v/>
      </c>
      <c r="O427" s="3" t="inlineStr">
        <is>
          <t>세종스타</t>
        </is>
      </c>
      <c r="P427" s="4" t="n">
        <v>4</v>
      </c>
      <c r="Q427" s="4" t="n">
        <v>641</v>
      </c>
      <c r="R427" s="3" t="inlineStr">
        <is>
          <t>지정되지않음</t>
        </is>
      </c>
      <c r="S427" s="3" t="inlineStr">
        <is>
          <t>상업나지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중로각지</t>
        </is>
      </c>
    </row>
    <row r="428">
      <c r="A428" s="3" t="inlineStr">
        <is>
          <t>다정동 900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250000</v>
      </c>
      <c r="G428" s="4" t="n">
        <v>594</v>
      </c>
      <c r="H428" s="4" t="n">
        <v>180</v>
      </c>
      <c r="I428" s="5" t="n">
        <v>1388.9</v>
      </c>
      <c r="J428" s="5" t="n">
        <v>763</v>
      </c>
      <c r="K428" s="3" t="inlineStr">
        <is>
          <t>대단지아파트 주변 근린생활시설용지,근생단독건물건축용지</t>
        </is>
      </c>
      <c r="L428" s="6">
        <f>HYPERLINK("https://fin.land.naver.com/articles/2646127972", "매물Link")</f>
        <v/>
      </c>
      <c r="M428" s="6">
        <f>HYPERLINK("https://map.naver.com/p/search/다정동 900", "지도Link")</f>
        <v/>
      </c>
      <c r="N428" s="6">
        <f>HYPERLINK("http://www.eum.go.kr/web/ar/lu/luLandDet.jsp?pnu=3611010900109000000&amp;isNoScr=script&amp;mode=search", "토지이음")</f>
        <v/>
      </c>
      <c r="O428" s="3" t="inlineStr">
        <is>
          <t>어반통</t>
        </is>
      </c>
      <c r="P428" s="4" t="n">
        <v>1</v>
      </c>
      <c r="Q428" s="4" t="n">
        <v>594</v>
      </c>
      <c r="R428" s="3" t="inlineStr">
        <is>
          <t>지정되지않음</t>
        </is>
      </c>
      <c r="S428" s="3" t="inlineStr">
        <is>
          <t>상업나지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중로각지</t>
        </is>
      </c>
    </row>
    <row r="429">
      <c r="A429" s="3" t="inlineStr">
        <is>
          <t>다정동 902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396000</v>
      </c>
      <c r="G429" s="4" t="n">
        <v>654</v>
      </c>
      <c r="H429" s="4" t="n">
        <v>198</v>
      </c>
      <c r="I429" s="5" t="n">
        <v>2000</v>
      </c>
      <c r="J429" s="5" t="n">
        <v>763</v>
      </c>
      <c r="K429" s="3" t="inlineStr">
        <is>
          <t>코너 입지한 근린생활용지 토지 매매, 위치 좋음</t>
        </is>
      </c>
      <c r="L429" s="6">
        <f>HYPERLINK("https://fin.land.naver.com/articles/2650893996", "매물Link")</f>
        <v/>
      </c>
      <c r="M429" s="6">
        <f>HYPERLINK("https://map.naver.com/p/search/다정동 902", "지도Link")</f>
        <v/>
      </c>
      <c r="N429" s="6">
        <f>HYPERLINK("http://www.eum.go.kr/web/ar/lu/luLandDet.jsp?pnu=3611010900109020000&amp;isNoScr=script&amp;mode=search", "토지이음")</f>
        <v/>
      </c>
      <c r="O429" s="3" t="inlineStr">
        <is>
          <t>세종무지개</t>
        </is>
      </c>
      <c r="P429" s="4" t="n">
        <v>1</v>
      </c>
      <c r="Q429" s="4" t="n">
        <v>654.6</v>
      </c>
      <c r="R429" s="3" t="inlineStr">
        <is>
          <t>지정되지않음</t>
        </is>
      </c>
      <c r="S429" s="3" t="inlineStr">
        <is>
          <t>상업나지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중로각지</t>
        </is>
      </c>
    </row>
    <row r="430">
      <c r="A430" s="3" t="inlineStr">
        <is>
          <t>다정동 902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396000</v>
      </c>
      <c r="G430" s="4" t="n">
        <v>654</v>
      </c>
      <c r="H430" s="4" t="n">
        <v>198</v>
      </c>
      <c r="I430" s="5" t="n">
        <v>2000</v>
      </c>
      <c r="J430" s="5" t="n">
        <v>763</v>
      </c>
      <c r="K430" s="3" t="inlineStr">
        <is>
          <t>근생용지,코너각지땅으로 대단지 아파트초인근임</t>
        </is>
      </c>
      <c r="L430" s="6">
        <f>HYPERLINK("https://fin.land.naver.com/articles/2649789570", "매물Link")</f>
        <v/>
      </c>
      <c r="M430" s="6">
        <f>HYPERLINK("https://map.naver.com/p/search/다정동 902", "지도Link")</f>
        <v/>
      </c>
      <c r="N430" s="6">
        <f>HYPERLINK("http://www.eum.go.kr/web/ar/lu/luLandDet.jsp?pnu=3611010900109020000&amp;isNoScr=script&amp;mode=search", "토지이음")</f>
        <v/>
      </c>
      <c r="O430" s="3" t="inlineStr">
        <is>
          <t>세종대명</t>
        </is>
      </c>
      <c r="P430" s="4" t="n">
        <v>1</v>
      </c>
      <c r="Q430" s="4" t="n">
        <v>654.6</v>
      </c>
      <c r="R430" s="3" t="inlineStr">
        <is>
          <t>지정되지않음</t>
        </is>
      </c>
      <c r="S430" s="3" t="inlineStr">
        <is>
          <t>상업나지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중로각지</t>
        </is>
      </c>
    </row>
    <row r="431">
      <c r="A431" s="3" t="inlineStr">
        <is>
          <t>도담동 410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100000</v>
      </c>
      <c r="G431" s="4" t="n">
        <v>330</v>
      </c>
      <c r="H431" s="4" t="n">
        <v>100</v>
      </c>
      <c r="I431" s="5" t="n">
        <v>1000</v>
      </c>
      <c r="J431" s="5" t="n">
        <v>362</v>
      </c>
      <c r="K431" s="3" t="inlineStr">
        <is>
          <t>100p, 도담동 말발굽토지, 왼쪽 사거리 코너자리</t>
        </is>
      </c>
      <c r="L431" s="6">
        <f>HYPERLINK("https://fin.land.naver.com/articles/2647429203", "매물Link")</f>
        <v/>
      </c>
      <c r="M431" s="6">
        <f>HYPERLINK("https://map.naver.com/p/search/도담동 410", "지도Link")</f>
        <v/>
      </c>
      <c r="N431" s="6">
        <f>HYPERLINK("http://www.eum.go.kr/web/ar/lu/luLandDet.jsp?pnu=3611011400104100000&amp;isNoScr=script&amp;mode=search", "토지이음")</f>
        <v/>
      </c>
      <c r="O431" s="3" t="inlineStr">
        <is>
          <t>세종무지개</t>
        </is>
      </c>
      <c r="P431" s="4" t="n">
        <v>1</v>
      </c>
      <c r="Q431" s="4" t="n">
        <v>330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정방형</t>
        </is>
      </c>
      <c r="V431" s="3" t="inlineStr">
        <is>
          <t>소로한면</t>
        </is>
      </c>
    </row>
    <row r="432">
      <c r="A432" s="3" t="inlineStr">
        <is>
          <t>도담동 410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100000</v>
      </c>
      <c r="G432" s="4" t="n">
        <v>330</v>
      </c>
      <c r="H432" s="4" t="n">
        <v>100</v>
      </c>
      <c r="I432" s="5" t="n">
        <v>1000</v>
      </c>
      <c r="J432" s="5" t="n">
        <v>362</v>
      </c>
      <c r="K432" s="3" t="inlineStr">
        <is>
          <t>총 100p, 주민휴게광장옆, 위치좋은 토지</t>
        </is>
      </c>
      <c r="L432" s="6">
        <f>HYPERLINK("https://fin.land.naver.com/articles/2648902958", "매물Link")</f>
        <v/>
      </c>
      <c r="M432" s="6">
        <f>HYPERLINK("https://map.naver.com/p/search/도담동 410", "지도Link")</f>
        <v/>
      </c>
      <c r="N432" s="6">
        <f>HYPERLINK("http://www.eum.go.kr/web/ar/lu/luLandDet.jsp?pnu=3611011400104100000&amp;isNoScr=script&amp;mode=search", "토지이음")</f>
        <v/>
      </c>
      <c r="O432" s="3" t="inlineStr">
        <is>
          <t>명진</t>
        </is>
      </c>
      <c r="P432" s="4" t="n">
        <v>1</v>
      </c>
      <c r="Q432" s="4" t="n">
        <v>330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소로한면</t>
        </is>
      </c>
    </row>
    <row r="433">
      <c r="A433" s="3" t="inlineStr">
        <is>
          <t>도담동 410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100000</v>
      </c>
      <c r="G433" s="4" t="n">
        <v>330</v>
      </c>
      <c r="H433" s="4" t="n">
        <v>100</v>
      </c>
      <c r="I433" s="5" t="n">
        <v>1000</v>
      </c>
      <c r="J433" s="5" t="n">
        <v>362</v>
      </c>
      <c r="K433" s="3" t="inlineStr">
        <is>
          <t>조율가능 남향 코너각지 천조망가능 최상입지</t>
        </is>
      </c>
      <c r="L433" s="6">
        <f>HYPERLINK("https://fin.land.naver.com/articles/2649296102", "매물Link")</f>
        <v/>
      </c>
      <c r="M433" s="6">
        <f>HYPERLINK("https://map.naver.com/p/search/도담동 410", "지도Link")</f>
        <v/>
      </c>
      <c r="N433" s="6">
        <f>HYPERLINK("http://www.eum.go.kr/web/ar/lu/luLandDet.jsp?pnu=3611011400104100000&amp;isNoScr=script&amp;mode=search", "토지이음")</f>
        <v/>
      </c>
      <c r="O433" s="3" t="inlineStr">
        <is>
          <t>세종스타</t>
        </is>
      </c>
      <c r="P433" s="4" t="n">
        <v>1</v>
      </c>
      <c r="Q433" s="4" t="n">
        <v>330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소로한면</t>
        </is>
      </c>
    </row>
    <row r="434">
      <c r="A434" s="3" t="inlineStr">
        <is>
          <t>도담동 419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100000</v>
      </c>
      <c r="G434" s="4" t="n">
        <v>327</v>
      </c>
      <c r="H434" s="4" t="n">
        <v>99</v>
      </c>
      <c r="I434" s="5" t="n">
        <v>1010.1</v>
      </c>
      <c r="J434" s="5" t="n">
        <v>358.3</v>
      </c>
      <c r="K434" s="3" t="inlineStr">
        <is>
          <t>99.1p, 도담동 말발굽 토지, 공원 보행로 접해 있음</t>
        </is>
      </c>
      <c r="L434" s="6">
        <f>HYPERLINK("https://fin.land.naver.com/articles/2647428982", "매물Link")</f>
        <v/>
      </c>
      <c r="M434" s="6">
        <f>HYPERLINK("https://map.naver.com/p/search/도담동 419", "지도Link")</f>
        <v/>
      </c>
      <c r="N434" s="6">
        <f>HYPERLINK("http://www.eum.go.kr/web/ar/lu/luLandDet.jsp?pnu=3611011400104190000&amp;isNoScr=script&amp;mode=search", "토지이음")</f>
        <v/>
      </c>
      <c r="O434" s="3" t="inlineStr">
        <is>
          <t>세종무지개</t>
        </is>
      </c>
      <c r="P434" s="4" t="n">
        <v>1</v>
      </c>
      <c r="Q434" s="4" t="n">
        <v>327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사다리형</t>
        </is>
      </c>
      <c r="V434" s="3" t="inlineStr">
        <is>
          <t>소로한면</t>
        </is>
      </c>
    </row>
    <row r="435">
      <c r="A435" s="3" t="inlineStr">
        <is>
          <t>도담동 419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100000</v>
      </c>
      <c r="G435" s="4" t="n">
        <v>327</v>
      </c>
      <c r="H435" s="4" t="n">
        <v>99</v>
      </c>
      <c r="I435" s="5" t="n">
        <v>1010.1</v>
      </c>
      <c r="J435" s="5" t="n">
        <v>358.3</v>
      </c>
      <c r="K435" s="3" t="inlineStr">
        <is>
          <t>말발굽지에 정남향 위치좋음, 조율가능</t>
        </is>
      </c>
      <c r="L435" s="6">
        <f>HYPERLINK("https://fin.land.naver.com/articles/2650178437", "매물Link")</f>
        <v/>
      </c>
      <c r="M435" s="6">
        <f>HYPERLINK("https://map.naver.com/p/search/도담동 419", "지도Link")</f>
        <v/>
      </c>
      <c r="N435" s="6">
        <f>HYPERLINK("http://www.eum.go.kr/web/ar/lu/luLandDet.jsp?pnu=3611011400104190000&amp;isNoScr=script&amp;mode=search", "토지이음")</f>
        <v/>
      </c>
      <c r="O435" s="3" t="inlineStr">
        <is>
          <t>연동스카이</t>
        </is>
      </c>
      <c r="P435" s="4" t="n">
        <v>1</v>
      </c>
      <c r="Q435" s="4" t="n">
        <v>327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425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110000</v>
      </c>
      <c r="G436" s="4" t="n">
        <v>304</v>
      </c>
      <c r="H436" s="4" t="n">
        <v>92</v>
      </c>
      <c r="I436" s="5" t="n">
        <v>1195.7</v>
      </c>
      <c r="J436" s="5" t="n">
        <v>358.3</v>
      </c>
      <c r="K436" s="3" t="inlineStr">
        <is>
          <t>조율가능 도담동 말발굽내 반달모양 최선호위치</t>
        </is>
      </c>
      <c r="L436" s="6">
        <f>HYPERLINK("https://fin.land.naver.com/articles/2649479522", "매물Link")</f>
        <v/>
      </c>
      <c r="M436" s="6">
        <f>HYPERLINK("https://map.naver.com/p/search/도담동 425", "지도Link")</f>
        <v/>
      </c>
      <c r="N436" s="6">
        <f>HYPERLINK("http://www.eum.go.kr/web/ar/lu/luLandDet.jsp?pnu=3611011400104250000&amp;isNoScr=script&amp;mode=search", "토지이음")</f>
        <v/>
      </c>
      <c r="O436" s="3" t="inlineStr">
        <is>
          <t>세종스타</t>
        </is>
      </c>
      <c r="P436" s="4" t="n">
        <v>3</v>
      </c>
      <c r="Q436" s="4" t="n">
        <v>304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425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304</v>
      </c>
      <c r="H437" s="4" t="n">
        <v>92</v>
      </c>
      <c r="I437" s="5" t="n">
        <v>1195.7</v>
      </c>
      <c r="J437" s="5" t="n">
        <v>358.3</v>
      </c>
      <c r="K437" s="3" t="inlineStr">
        <is>
          <t>총 92.1p, 말발굽 최고입지, 넓은 공원 인근</t>
        </is>
      </c>
      <c r="L437" s="6">
        <f>HYPERLINK("https://fin.land.naver.com/articles/2647421924", "매물Link")</f>
        <v/>
      </c>
      <c r="M437" s="6">
        <f>HYPERLINK("https://map.naver.com/p/search/도담동 425", "지도Link")</f>
        <v/>
      </c>
      <c r="N437" s="6">
        <f>HYPERLINK("http://www.eum.go.kr/web/ar/lu/luLandDet.jsp?pnu=3611011400104250000&amp;isNoScr=script&amp;mode=search",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304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소로한면</t>
        </is>
      </c>
    </row>
    <row r="438">
      <c r="A438" s="3" t="inlineStr">
        <is>
          <t>도담동 425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110000</v>
      </c>
      <c r="G438" s="4" t="n">
        <v>303</v>
      </c>
      <c r="H438" s="4" t="n">
        <v>92</v>
      </c>
      <c r="I438" s="5" t="n">
        <v>1195.7</v>
      </c>
      <c r="J438" s="5" t="n">
        <v>358.3</v>
      </c>
      <c r="K438" s="3" t="inlineStr">
        <is>
          <t>도담동 말발굽토지 매매, 공원 인근, 선호도 높은 토지</t>
        </is>
      </c>
      <c r="L438" s="6">
        <f>HYPERLINK("https://fin.land.naver.com/articles/2650427607", "매물Link")</f>
        <v/>
      </c>
      <c r="M438" s="6">
        <f>HYPERLINK("https://map.naver.com/p/search/도담동 425", "지도Link")</f>
        <v/>
      </c>
      <c r="N438" s="6">
        <f>HYPERLINK("http://www.eum.go.kr/web/ar/lu/luLandDet.jsp?pnu=3611011400104250000&amp;isNoScr=script&amp;mode=search", "토지이음")</f>
        <v/>
      </c>
      <c r="O438" s="3" t="inlineStr">
        <is>
          <t>세종무지개</t>
        </is>
      </c>
      <c r="P438" s="4" t="n">
        <v>1</v>
      </c>
      <c r="Q438" s="4" t="n">
        <v>304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도담동 455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93000</v>
      </c>
      <c r="G439" s="4" t="n">
        <v>337</v>
      </c>
      <c r="H439" s="4" t="n">
        <v>102</v>
      </c>
      <c r="I439" s="5" t="n">
        <v>911.8</v>
      </c>
      <c r="J439" s="5" t="n">
        <v>358.3</v>
      </c>
      <c r="K439" s="3" t="inlineStr">
        <is>
          <t>조율가능 반원호내 좋은위치</t>
        </is>
      </c>
      <c r="L439" s="6">
        <f>HYPERLINK("https://fin.land.naver.com/articles/2649296288", "매물Link")</f>
        <v/>
      </c>
      <c r="M439" s="6">
        <f>HYPERLINK("https://map.naver.com/p/search/도담동 455", "지도Link")</f>
        <v/>
      </c>
      <c r="N439" s="6">
        <f>HYPERLINK("http://www.eum.go.kr/web/ar/lu/luLandDet.jsp?pnu=3611011400104550000&amp;isNoScr=script&amp;mode=search",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337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소로한면</t>
        </is>
      </c>
    </row>
    <row r="440">
      <c r="A440" s="3" t="inlineStr">
        <is>
          <t>도담동 455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93000</v>
      </c>
      <c r="G440" s="4" t="n">
        <v>337</v>
      </c>
      <c r="H440" s="4" t="n">
        <v>102</v>
      </c>
      <c r="I440" s="5" t="n">
        <v>911.8</v>
      </c>
      <c r="J440" s="5" t="n">
        <v>358.3</v>
      </c>
      <c r="K440" s="3" t="inlineStr">
        <is>
          <t>102.1p, 코너자리, 말발굽 좋은위치, 조율가능</t>
        </is>
      </c>
      <c r="L440" s="6">
        <f>HYPERLINK("https://fin.land.naver.com/articles/2648898954", "매물Link")</f>
        <v/>
      </c>
      <c r="M440" s="6">
        <f>HYPERLINK("https://map.naver.com/p/search/도담동 455", "지도Link")</f>
        <v/>
      </c>
      <c r="N440" s="6">
        <f>HYPERLINK("http://www.eum.go.kr/web/ar/lu/luLandDet.jsp?pnu=3611011400104550000&amp;isNoScr=script&amp;mode=search", "토지이음")</f>
        <v/>
      </c>
      <c r="O440" s="3" t="inlineStr">
        <is>
          <t>명진</t>
        </is>
      </c>
      <c r="P440" s="4" t="n">
        <v>1</v>
      </c>
      <c r="Q440" s="4" t="n">
        <v>337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소로한면</t>
        </is>
      </c>
    </row>
    <row r="441">
      <c r="A441" s="3" t="inlineStr">
        <is>
          <t>도담동 455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93000</v>
      </c>
      <c r="G441" s="4" t="n">
        <v>335</v>
      </c>
      <c r="H441" s="4" t="n">
        <v>101</v>
      </c>
      <c r="I441" s="5" t="n">
        <v>920.8</v>
      </c>
      <c r="J441" s="5" t="n">
        <v>358.3</v>
      </c>
      <c r="K441" s="3" t="inlineStr">
        <is>
          <t>조율가능한 말발굽 위치 좋은 토지 매매, 코너각지</t>
        </is>
      </c>
      <c r="L441" s="6">
        <f>HYPERLINK("https://fin.land.naver.com/articles/2650427728", "매물Link")</f>
        <v/>
      </c>
      <c r="M441" s="6">
        <f>HYPERLINK("https://map.naver.com/p/search/도담동 455", "지도Link")</f>
        <v/>
      </c>
      <c r="N441" s="6">
        <f>HYPERLINK("http://www.eum.go.kr/web/ar/lu/luLandDet.jsp?pnu=3611011400104550000&amp;isNoScr=script&amp;mode=search",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337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사다리형</t>
        </is>
      </c>
      <c r="V441" s="3" t="inlineStr">
        <is>
          <t>소로한면</t>
        </is>
      </c>
    </row>
    <row r="442">
      <c r="A442" s="3" t="inlineStr">
        <is>
          <t>도담동 496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75000</v>
      </c>
      <c r="G442" s="4" t="n">
        <v>319</v>
      </c>
      <c r="H442" s="4" t="n">
        <v>96</v>
      </c>
      <c r="I442" s="5" t="n">
        <v>781.2</v>
      </c>
      <c r="J442" s="5" t="n">
        <v>366.9</v>
      </c>
      <c r="K442" s="3" t="inlineStr">
        <is>
          <t>급매 양지초인근 땅모양좋음 공원용지 접함</t>
        </is>
      </c>
      <c r="L442" s="6">
        <f>HYPERLINK("https://fin.land.naver.com/articles/2649479469", "매물Link")</f>
        <v/>
      </c>
      <c r="M442" s="6">
        <f>HYPERLINK("https://map.naver.com/p/search/도담동 496", "지도Link")</f>
        <v/>
      </c>
      <c r="N442" s="6">
        <f>HYPERLINK("http://www.eum.go.kr/web/ar/lu/luLandDet.jsp?pnu=3611011400104960000&amp;isNoScr=script&amp;mode=search", "토지이음")</f>
        <v/>
      </c>
      <c r="O442" s="3" t="inlineStr">
        <is>
          <t>세종스타</t>
        </is>
      </c>
      <c r="P442" s="4" t="n">
        <v>2</v>
      </c>
      <c r="Q442" s="4" t="n">
        <v>319.9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496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75000</v>
      </c>
      <c r="G443" s="4" t="n">
        <v>319</v>
      </c>
      <c r="H443" s="4" t="n">
        <v>96</v>
      </c>
      <c r="I443" s="5" t="n">
        <v>781.2</v>
      </c>
      <c r="J443" s="5" t="n">
        <v>366.9</v>
      </c>
      <c r="K443" s="3" t="inlineStr">
        <is>
          <t>96.9p, 유.초등학교 인근, 삼거리 입지 좋은 토지</t>
        </is>
      </c>
      <c r="L443" s="6">
        <f>HYPERLINK("https://fin.land.naver.com/articles/2648832742", "매물Link")</f>
        <v/>
      </c>
      <c r="M443" s="6">
        <f>HYPERLINK("https://map.naver.com/p/search/도담동 496", "지도Link")</f>
        <v/>
      </c>
      <c r="N443" s="6">
        <f>HYPERLINK("http://www.eum.go.kr/web/ar/lu/luLandDet.jsp?pnu=3611011400104960000&amp;isNoScr=script&amp;mode=search", "토지이음")</f>
        <v/>
      </c>
      <c r="O443" s="3" t="inlineStr">
        <is>
          <t>세종무지개</t>
        </is>
      </c>
      <c r="P443" s="4" t="n">
        <v>1</v>
      </c>
      <c r="Q443" s="4" t="n">
        <v>319.9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소로한면</t>
        </is>
      </c>
    </row>
    <row r="444">
      <c r="A444" s="3" t="inlineStr">
        <is>
          <t>도담동 546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80000</v>
      </c>
      <c r="G444" s="4" t="n">
        <v>329</v>
      </c>
      <c r="H444" s="4" t="n">
        <v>100</v>
      </c>
      <c r="I444" s="5" t="n">
        <v>800</v>
      </c>
      <c r="J444" s="5" t="n">
        <v>366.9</v>
      </c>
      <c r="K444" s="3" t="inlineStr">
        <is>
          <t>도담동 택지. 초등학교,충남대병원 가까운거리 위치</t>
        </is>
      </c>
      <c r="L444" s="6">
        <f>HYPERLINK("https://fin.land.naver.com/articles/2650945757", "매물Link")</f>
        <v/>
      </c>
      <c r="M444" s="6">
        <f>HYPERLINK("https://map.naver.com/p/search/도담동 546", "지도Link")</f>
        <v/>
      </c>
      <c r="N444" s="6">
        <f>HYPERLINK("http://www.eum.go.kr/web/ar/lu/luLandDet.jsp?pnu=3611011400105460000&amp;isNoScr=script&amp;mode=search", "토지이음")</f>
        <v/>
      </c>
      <c r="O444" s="3" t="inlineStr">
        <is>
          <t>OK세종 사무소</t>
        </is>
      </c>
      <c r="P444" s="4" t="n">
        <v>1</v>
      </c>
      <c r="Q444" s="4" t="n">
        <v>329.8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소로한면</t>
        </is>
      </c>
    </row>
    <row r="445">
      <c r="A445" s="3" t="inlineStr">
        <is>
          <t>도담동 546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80000</v>
      </c>
      <c r="G445" s="4" t="n">
        <v>329</v>
      </c>
      <c r="H445" s="4" t="n">
        <v>100</v>
      </c>
      <c r="I445" s="5" t="n">
        <v>800</v>
      </c>
      <c r="J445" s="5" t="n">
        <v>366.9</v>
      </c>
      <c r="K445" s="3" t="inlineStr">
        <is>
          <t>99.9p, 유.초등학교 인근, 사거리 코너자리</t>
        </is>
      </c>
      <c r="L445" s="6">
        <f>HYPERLINK("https://fin.land.naver.com/articles/2648839579", "매물Link")</f>
        <v/>
      </c>
      <c r="M445" s="6">
        <f>HYPERLINK("https://map.naver.com/p/search/도담동 546", "지도Link")</f>
        <v/>
      </c>
      <c r="N445" s="6">
        <f>HYPERLINK("http://www.eum.go.kr/web/ar/lu/luLandDet.jsp?pnu=3611011400105460000&amp;isNoScr=script&amp;mode=search",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329.8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도담동 546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80000</v>
      </c>
      <c r="G446" s="4" t="n">
        <v>329</v>
      </c>
      <c r="H446" s="4" t="n">
        <v>100</v>
      </c>
      <c r="I446" s="5" t="n">
        <v>800</v>
      </c>
      <c r="J446" s="5" t="n">
        <v>366.9</v>
      </c>
      <c r="K446" s="3" t="inlineStr">
        <is>
          <t>99.9p, 도담동 말발굽택지 중 급매</t>
        </is>
      </c>
      <c r="L446" s="6">
        <f>HYPERLINK("https://fin.land.naver.com/articles/2649021645", "매물Link")</f>
        <v/>
      </c>
      <c r="M446" s="6">
        <f>HYPERLINK("https://map.naver.com/p/search/도담동 546", "지도Link")</f>
        <v/>
      </c>
      <c r="N446" s="6">
        <f>HYPERLINK("http://www.eum.go.kr/web/ar/lu/luLandDet.jsp?pnu=3611011400105460000&amp;isNoScr=script&amp;mode=search", "토지이음")</f>
        <v/>
      </c>
      <c r="O446" s="3" t="inlineStr">
        <is>
          <t>명진</t>
        </is>
      </c>
      <c r="P446" s="4" t="n">
        <v>1</v>
      </c>
      <c r="Q446" s="4" t="n">
        <v>329.8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세로장방</t>
        </is>
      </c>
      <c r="V446" s="3" t="inlineStr">
        <is>
          <t>소로한면</t>
        </is>
      </c>
    </row>
    <row r="447">
      <c r="A447" s="3" t="inlineStr">
        <is>
          <t>도담동 546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80000</v>
      </c>
      <c r="G447" s="4" t="n">
        <v>330</v>
      </c>
      <c r="H447" s="4" t="n">
        <v>100</v>
      </c>
      <c r="I447" s="5" t="n">
        <v>800</v>
      </c>
      <c r="J447" s="5" t="n">
        <v>366.9</v>
      </c>
      <c r="K447" s="3" t="inlineStr">
        <is>
          <t>양지초 양지유치원 정문 건너편 최선호 위치 주변시세보다 저렴 추천매물</t>
        </is>
      </c>
      <c r="L447" s="6">
        <f>HYPERLINK("https://fin.land.naver.com/articles/2649479494", "매물Link")</f>
        <v/>
      </c>
      <c r="M447" s="6">
        <f>HYPERLINK("https://map.naver.com/p/search/도담동 546", "지도Link")</f>
        <v/>
      </c>
      <c r="N447" s="6">
        <f>HYPERLINK("http://www.eum.go.kr/web/ar/lu/luLandDet.jsp?pnu=3611011400105460000&amp;isNoScr=script&amp;mode=search",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329.8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소로한면</t>
        </is>
      </c>
    </row>
    <row r="448">
      <c r="A448" s="3" t="inlineStr">
        <is>
          <t>도담동 561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85000</v>
      </c>
      <c r="G448" s="4" t="n">
        <v>382</v>
      </c>
      <c r="H448" s="4" t="n">
        <v>116</v>
      </c>
      <c r="I448" s="5" t="n">
        <v>732.8</v>
      </c>
      <c r="J448" s="5" t="n">
        <v>363</v>
      </c>
      <c r="K448" s="3" t="inlineStr">
        <is>
          <t>조율가능 코너각지 넓은면적 독립된 사이드위치</t>
        </is>
      </c>
      <c r="L448" s="6">
        <f>HYPERLINK("https://fin.land.naver.com/articles/2648716346", "매물Link")</f>
        <v/>
      </c>
      <c r="M448" s="6">
        <f>HYPERLINK("https://map.naver.com/p/search/도담동 561", "지도Link")</f>
        <v/>
      </c>
      <c r="N448" s="6">
        <f>HYPERLINK("http://www.eum.go.kr/web/ar/lu/luLandDet.jsp?pnu=3611011400105610000&amp;isNoScr=script&amp;mode=search", "토지이음")</f>
        <v/>
      </c>
      <c r="O448" s="3" t="inlineStr">
        <is>
          <t>세종스타</t>
        </is>
      </c>
      <c r="P448" s="4" t="n">
        <v>3</v>
      </c>
      <c r="Q448" s="4" t="n">
        <v>382.9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561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85000</v>
      </c>
      <c r="G449" s="4" t="n">
        <v>382</v>
      </c>
      <c r="H449" s="4" t="n">
        <v>116</v>
      </c>
      <c r="I449" s="5" t="n">
        <v>732.8</v>
      </c>
      <c r="J449" s="5" t="n">
        <v>363</v>
      </c>
      <c r="K449" s="3" t="inlineStr">
        <is>
          <t>말발굽토지 급매, 사거리 코너 최고 입지, 총 116p</t>
        </is>
      </c>
      <c r="L449" s="6">
        <f>HYPERLINK("https://fin.land.naver.com/articles/2650892606", "매물Link")</f>
        <v/>
      </c>
      <c r="M449" s="6">
        <f>HYPERLINK("https://map.naver.com/p/search/도담동 561", "지도Link")</f>
        <v/>
      </c>
      <c r="N449" s="6">
        <f>HYPERLINK("http://www.eum.go.kr/web/ar/lu/luLandDet.jsp?pnu=3611011400105610000&amp;isNoScr=script&amp;mode=search", "토지이음")</f>
        <v/>
      </c>
      <c r="O449" s="3" t="inlineStr">
        <is>
          <t>세종무지개</t>
        </is>
      </c>
      <c r="P449" s="4" t="n">
        <v>1</v>
      </c>
      <c r="Q449" s="4" t="n">
        <v>382.9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562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110000</v>
      </c>
      <c r="G450" s="4" t="n">
        <v>329</v>
      </c>
      <c r="H450" s="4" t="n">
        <v>100</v>
      </c>
      <c r="I450" s="5" t="n">
        <v>1100</v>
      </c>
      <c r="J450" s="5" t="n">
        <v>366.9</v>
      </c>
      <c r="K450" s="3" t="inlineStr">
        <is>
          <t>명성공인, 도담 말발굽자리 위치 좋은 명당 추천 매물</t>
        </is>
      </c>
      <c r="L450" s="6">
        <f>HYPERLINK("https://fin.land.naver.com/articles/2648974784", "매물Link")</f>
        <v/>
      </c>
      <c r="M450" s="6">
        <f>HYPERLINK("https://map.naver.com/p/search/도담동 562", "지도Link")</f>
        <v/>
      </c>
      <c r="N450" s="6">
        <f>HYPERLINK("http://www.eum.go.kr/web/ar/lu/luLandDet.jsp?pnu=3611011400105620000&amp;isNoScr=script&amp;mode=search", "토지이음")</f>
        <v/>
      </c>
      <c r="O450" s="3" t="inlineStr">
        <is>
          <t>명성</t>
        </is>
      </c>
      <c r="P450" s="4" t="n">
        <v>1</v>
      </c>
      <c r="Q450" s="4" t="n">
        <v>329.8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소로한면</t>
        </is>
      </c>
    </row>
    <row r="451">
      <c r="A451" s="3" t="inlineStr">
        <is>
          <t>도담동 566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85000</v>
      </c>
      <c r="G451" s="4" t="n">
        <v>316</v>
      </c>
      <c r="H451" s="4" t="n">
        <v>96</v>
      </c>
      <c r="I451" s="5" t="n">
        <v>885.4</v>
      </c>
      <c r="J451" s="5" t="n">
        <v>366.9</v>
      </c>
      <c r="K451" s="3" t="inlineStr">
        <is>
          <t>양지초,양지유치원 가깝고 brt 도로 가까운 위치좋은 말발굽택지</t>
        </is>
      </c>
      <c r="L451" s="6">
        <f>HYPERLINK("https://fin.land.naver.com/articles/2648273972", "매물Link")</f>
        <v/>
      </c>
      <c r="M451" s="6">
        <f>HYPERLINK("https://map.naver.com/p/search/도담동 566", "지도Link")</f>
        <v/>
      </c>
      <c r="N451" s="6">
        <f>HYPERLINK("http://www.eum.go.kr/web/ar/lu/luLandDet.jsp?pnu=3611011400105660000&amp;isNoScr=script&amp;mode=search", "토지이음")</f>
        <v/>
      </c>
      <c r="O451" s="3" t="inlineStr">
        <is>
          <t>마마</t>
        </is>
      </c>
      <c r="P451" s="4" t="n">
        <v>1</v>
      </c>
      <c r="Q451" s="4" t="n">
        <v>316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세로장방</t>
        </is>
      </c>
      <c r="V451" s="3" t="inlineStr">
        <is>
          <t>소로한면</t>
        </is>
      </c>
    </row>
    <row r="452">
      <c r="A452" s="3" t="inlineStr">
        <is>
          <t>도담동 580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263000</v>
      </c>
      <c r="G452" s="4" t="n">
        <v>500</v>
      </c>
      <c r="H452" s="4" t="n">
        <v>151</v>
      </c>
      <c r="I452" s="5" t="n">
        <v>1741.7</v>
      </c>
      <c r="J452" s="5" t="n">
        <v>735.9</v>
      </c>
      <c r="K452" s="3" t="inlineStr">
        <is>
          <t>nan</t>
        </is>
      </c>
      <c r="L452" s="6">
        <f>HYPERLINK("https://fin.land.naver.com/articles/2647645491", "매물Link")</f>
        <v/>
      </c>
      <c r="M452" s="6">
        <f>HYPERLINK("https://map.naver.com/p/search/도담동 580", "지도Link")</f>
        <v/>
      </c>
      <c r="N452" s="6">
        <f>HYPERLINK("http://www.eum.go.kr/web/ar/lu/luLandDet.jsp?pnu=3611011400105800000&amp;isNoScr=script&amp;mode=search", "토지이음")</f>
        <v/>
      </c>
      <c r="O452" s="3" t="inlineStr">
        <is>
          <t>해밀세종신도시</t>
        </is>
      </c>
      <c r="P452" s="4" t="n">
        <v>1</v>
      </c>
      <c r="Q452" s="4" t="n">
        <v>500.6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중로각지</t>
        </is>
      </c>
    </row>
    <row r="453">
      <c r="A453" s="3" t="inlineStr">
        <is>
          <t>도담동 580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320000</v>
      </c>
      <c r="G453" s="4" t="n">
        <v>500</v>
      </c>
      <c r="H453" s="4" t="n">
        <v>151</v>
      </c>
      <c r="I453" s="5" t="n">
        <v>2119.2</v>
      </c>
      <c r="J453" s="5" t="n">
        <v>735.9</v>
      </c>
      <c r="K453" s="3" t="inlineStr">
        <is>
          <t>명성공인, 도담동 근생용지 추천 매물</t>
        </is>
      </c>
      <c r="L453" s="6">
        <f>HYPERLINK("https://fin.land.naver.com/articles/2646317788", "매물Link")</f>
        <v/>
      </c>
      <c r="M453" s="6">
        <f>HYPERLINK("https://map.naver.com/p/search/도담동 580", "지도Link")</f>
        <v/>
      </c>
      <c r="N453" s="6">
        <f>HYPERLINK("http://www.eum.go.kr/web/ar/lu/luLandDet.jsp?pnu=3611011400105800000&amp;isNoScr=script&amp;mode=search", "토지이음")</f>
        <v/>
      </c>
      <c r="O453" s="3" t="inlineStr">
        <is>
          <t>명성</t>
        </is>
      </c>
      <c r="P453" s="4" t="n">
        <v>1</v>
      </c>
      <c r="Q453" s="4" t="n">
        <v>500.6</v>
      </c>
      <c r="R453" s="3" t="inlineStr">
        <is>
          <t>지정되지않음</t>
        </is>
      </c>
      <c r="S453" s="3" t="inlineStr">
        <is>
          <t>상업용</t>
        </is>
      </c>
      <c r="T453" s="3" t="inlineStr">
        <is>
          <t>평지</t>
        </is>
      </c>
      <c r="U453" s="3" t="inlineStr">
        <is>
          <t>정방형</t>
        </is>
      </c>
      <c r="V453" s="3" t="inlineStr">
        <is>
          <t>중로각지</t>
        </is>
      </c>
    </row>
    <row r="454">
      <c r="A454" s="3" t="inlineStr">
        <is>
          <t>도담동 580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263000</v>
      </c>
      <c r="G454" s="4" t="n">
        <v>500</v>
      </c>
      <c r="H454" s="4" t="n">
        <v>151</v>
      </c>
      <c r="I454" s="5" t="n">
        <v>1741.7</v>
      </c>
      <c r="J454" s="5" t="n">
        <v>735.9</v>
      </c>
      <c r="K454" s="3" t="inlineStr">
        <is>
          <t>도담동 근린생활용지 토지매매, 사거리 코너입지</t>
        </is>
      </c>
      <c r="L454" s="6">
        <f>HYPERLINK("https://fin.land.naver.com/articles/2649607332", "매물Link")</f>
        <v/>
      </c>
      <c r="M454" s="6">
        <f>HYPERLINK("https://map.naver.com/p/search/도담동 580", "지도Link")</f>
        <v/>
      </c>
      <c r="N454" s="6">
        <f>HYPERLINK("http://www.eum.go.kr/web/ar/lu/luLandDet.jsp?pnu=3611011400105800000&amp;isNoScr=script&amp;mode=search",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500.6</v>
      </c>
      <c r="R454" s="3" t="inlineStr">
        <is>
          <t>지정되지않음</t>
        </is>
      </c>
      <c r="S454" s="3" t="inlineStr">
        <is>
          <t>상업용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중로각지</t>
        </is>
      </c>
    </row>
    <row r="455">
      <c r="A455" s="3" t="inlineStr">
        <is>
          <t>도담동 588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85000</v>
      </c>
      <c r="G455" s="4" t="n">
        <v>348</v>
      </c>
      <c r="H455" s="4" t="n">
        <v>105</v>
      </c>
      <c r="I455" s="5" t="n">
        <v>809.5</v>
      </c>
      <c r="J455" s="5" t="n">
        <v>433.7</v>
      </c>
      <c r="K455" s="3" t="inlineStr">
        <is>
          <t>도로에 접해 있으며, 위치좋은 단독주택자리, 충남대병원인근</t>
        </is>
      </c>
      <c r="L455" s="6">
        <f>HYPERLINK("https://fin.land.naver.com/articles/2647116681", "매물Link")</f>
        <v/>
      </c>
      <c r="M455" s="6">
        <f>HYPERLINK("https://map.naver.com/p/search/도담동 588", "지도Link")</f>
        <v/>
      </c>
      <c r="N455" s="6">
        <f>HYPERLINK("http://www.eum.go.kr/web/ar/lu/luLandDet.jsp?pnu=3611011400105880000&amp;isNoScr=script&amp;mode=search", "토지이음")</f>
        <v/>
      </c>
      <c r="O455" s="3" t="inlineStr">
        <is>
          <t>사이다</t>
        </is>
      </c>
      <c r="P455" s="4" t="n">
        <v>1</v>
      </c>
      <c r="Q455" s="4" t="n">
        <v>348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소로한면</t>
        </is>
      </c>
    </row>
    <row r="456">
      <c r="A456" s="3" t="inlineStr">
        <is>
          <t>도담동 620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326</v>
      </c>
      <c r="H456" s="4" t="n">
        <v>99</v>
      </c>
      <c r="I456" s="5" t="n">
        <v>858.6</v>
      </c>
      <c r="J456" s="5" t="n">
        <v>453.2</v>
      </c>
      <c r="K456" s="3" t="inlineStr">
        <is>
          <t>총 98.9p, 도담동 위치좋은 코너자리 토지</t>
        </is>
      </c>
      <c r="L456" s="6">
        <f>HYPERLINK("https://fin.land.naver.com/articles/2649012828", "매물Link")</f>
        <v/>
      </c>
      <c r="M456" s="6">
        <f>HYPERLINK("https://map.naver.com/p/search/도담동 620", "지도Link")</f>
        <v/>
      </c>
      <c r="N456" s="6">
        <f>HYPERLINK("http://www.eum.go.kr/web/ar/lu/luLandDet.jsp?pnu=3611011400106200000&amp;isNoScr=script&amp;mode=search", "토지이음")</f>
        <v/>
      </c>
      <c r="O456" s="3" t="inlineStr">
        <is>
          <t>명진</t>
        </is>
      </c>
      <c r="P456" s="4" t="n">
        <v>1</v>
      </c>
      <c r="Q456" s="4" t="n">
        <v>326.5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620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85000</v>
      </c>
      <c r="G457" s="4" t="n">
        <v>326</v>
      </c>
      <c r="H457" s="4" t="n">
        <v>99</v>
      </c>
      <c r="I457" s="5" t="n">
        <v>858.6</v>
      </c>
      <c r="J457" s="5" t="n">
        <v>453.2</v>
      </c>
      <c r="K457" s="3" t="inlineStr">
        <is>
          <t>적극조율가능 충대병원인근 BRT도보가능</t>
        </is>
      </c>
      <c r="L457" s="6">
        <f>HYPERLINK("https://fin.land.naver.com/articles/2651110785", "매물Link")</f>
        <v/>
      </c>
      <c r="M457" s="6">
        <f>HYPERLINK("https://map.naver.com/p/search/도담동 620", "지도Link")</f>
        <v/>
      </c>
      <c r="N457" s="6">
        <f>HYPERLINK("http://www.eum.go.kr/web/ar/lu/luLandDet.jsp?pnu=3611011400106200000&amp;isNoScr=script&amp;mode=search", "토지이음")</f>
        <v/>
      </c>
      <c r="O457" s="3" t="inlineStr">
        <is>
          <t>세종스타</t>
        </is>
      </c>
      <c r="P457" s="4" t="n">
        <v>3</v>
      </c>
      <c r="Q457" s="4" t="n">
        <v>326.5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620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85000</v>
      </c>
      <c r="G458" s="4" t="n">
        <v>326</v>
      </c>
      <c r="H458" s="4" t="n">
        <v>99</v>
      </c>
      <c r="I458" s="5" t="n">
        <v>858.6</v>
      </c>
      <c r="J458" s="5" t="n">
        <v>453.2</v>
      </c>
      <c r="K458" s="3" t="inlineStr">
        <is>
          <t>총 98.9p, 도담동 아파트 단지 옆, 삼거리 코너</t>
        </is>
      </c>
      <c r="L458" s="6">
        <f>HYPERLINK("https://fin.land.naver.com/articles/2646696077", "매물Link")</f>
        <v/>
      </c>
      <c r="M458" s="6">
        <f>HYPERLINK("https://map.naver.com/p/search/도담동 620", "지도Link")</f>
        <v/>
      </c>
      <c r="N458" s="6">
        <f>HYPERLINK("http://www.eum.go.kr/web/ar/lu/luLandDet.jsp?pnu=3611011400106200000&amp;isNoScr=script&amp;mode=search", "토지이음")</f>
        <v/>
      </c>
      <c r="O458" s="3" t="inlineStr">
        <is>
          <t>세종무지개</t>
        </is>
      </c>
      <c r="P458" s="4" t="n">
        <v>1</v>
      </c>
      <c r="Q458" s="4" t="n">
        <v>326.5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소로각지</t>
        </is>
      </c>
    </row>
    <row r="459">
      <c r="A459" s="3" t="inlineStr">
        <is>
          <t>도담동 693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90000</v>
      </c>
      <c r="G459" s="4" t="n">
        <v>319</v>
      </c>
      <c r="H459" s="4" t="n">
        <v>96</v>
      </c>
      <c r="I459" s="5" t="n">
        <v>937.5</v>
      </c>
      <c r="J459" s="5" t="n">
        <v>382.1</v>
      </c>
      <c r="K459" s="3" t="inlineStr">
        <is>
          <t>위치최상 정남향 늘봄초앞 남북트인곳</t>
        </is>
      </c>
      <c r="L459" s="6">
        <f>HYPERLINK("https://fin.land.naver.com/articles/2648041586", "매물Link")</f>
        <v/>
      </c>
      <c r="M459" s="6">
        <f>HYPERLINK("https://map.naver.com/p/search/도담동 693", "지도Link")</f>
        <v/>
      </c>
      <c r="N459" s="6">
        <f>HYPERLINK("http://www.eum.go.kr/web/ar/lu/luLandDet.jsp?pnu=3611011400106930000&amp;isNoScr=script&amp;mode=search",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319.6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소로한면</t>
        </is>
      </c>
    </row>
    <row r="460">
      <c r="A460" s="3" t="inlineStr">
        <is>
          <t>도담동 705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84000</v>
      </c>
      <c r="G460" s="4" t="n">
        <v>276</v>
      </c>
      <c r="H460" s="4" t="n">
        <v>83</v>
      </c>
      <c r="I460" s="5" t="n">
        <v>1012</v>
      </c>
      <c r="J460" s="5" t="n">
        <v>382.1</v>
      </c>
      <c r="K460" s="3" t="inlineStr">
        <is>
          <t>조율가능 남향 늘봄초앞 BRT도보가능</t>
        </is>
      </c>
      <c r="L460" s="6">
        <f>HYPERLINK("https://fin.land.naver.com/articles/2646994031", "매물Link")</f>
        <v/>
      </c>
      <c r="M460" s="6">
        <f>HYPERLINK("https://map.naver.com/p/search/도담동 705", "지도Link")</f>
        <v/>
      </c>
      <c r="N460" s="6">
        <f>HYPERLINK("http://www.eum.go.kr/web/ar/lu/luLandDet.jsp?pnu=3611011400107050000&amp;isNoScr=script&amp;mode=search", "토지이음")</f>
        <v/>
      </c>
      <c r="O460" s="3" t="inlineStr">
        <is>
          <t>세종스타</t>
        </is>
      </c>
      <c r="P460" s="4" t="n">
        <v>1</v>
      </c>
      <c r="Q460" s="4" t="n">
        <v>276.9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소로한면</t>
        </is>
      </c>
    </row>
    <row r="461">
      <c r="A461" s="3" t="inlineStr">
        <is>
          <t>도담동 712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87000</v>
      </c>
      <c r="G461" s="4" t="n">
        <v>276</v>
      </c>
      <c r="H461" s="4" t="n">
        <v>83</v>
      </c>
      <c r="I461" s="5" t="n">
        <v>1048.2</v>
      </c>
      <c r="J461" s="5" t="n">
        <v>394</v>
      </c>
      <c r="K461" s="3" t="inlineStr">
        <is>
          <t>산조망 코너각지 정남향 입지최상</t>
        </is>
      </c>
      <c r="L461" s="6">
        <f>HYPERLINK("https://fin.land.naver.com/articles/2649479678", "매물Link")</f>
        <v/>
      </c>
      <c r="M461" s="6">
        <f>HYPERLINK("https://map.naver.com/p/search/도담동 712", "지도Link")</f>
        <v/>
      </c>
      <c r="N461" s="6">
        <f>HYPERLINK("http://www.eum.go.kr/web/ar/lu/luLandDet.jsp?pnu=3611011400107120000&amp;isNoScr=script&amp;mode=search", "토지이음")</f>
        <v/>
      </c>
      <c r="O461" s="3" t="inlineStr">
        <is>
          <t>세종스타</t>
        </is>
      </c>
      <c r="P461" s="4" t="n">
        <v>1</v>
      </c>
      <c r="Q461" s="4" t="n">
        <v>276.5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소로각지</t>
        </is>
      </c>
    </row>
    <row r="462">
      <c r="A462" s="3" t="inlineStr">
        <is>
          <t>도담동 712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87000</v>
      </c>
      <c r="G462" s="4" t="n">
        <v>276</v>
      </c>
      <c r="H462" s="4" t="n">
        <v>83</v>
      </c>
      <c r="I462" s="5" t="n">
        <v>1048.2</v>
      </c>
      <c r="J462" s="5" t="n">
        <v>394</v>
      </c>
      <c r="K462" s="3" t="inlineStr">
        <is>
          <t>삼거리 코너 입지, 도담동 단독주택 매매</t>
        </is>
      </c>
      <c r="L462" s="6">
        <f>HYPERLINK("https://fin.land.naver.com/articles/2648260035", "매물Link")</f>
        <v/>
      </c>
      <c r="M462" s="6">
        <f>HYPERLINK("https://map.naver.com/p/search/도담동 712", "지도Link")</f>
        <v/>
      </c>
      <c r="N462" s="6">
        <f>HYPERLINK("http://www.eum.go.kr/web/ar/lu/luLandDet.jsp?pnu=3611011400107120000&amp;isNoScr=script&amp;mode=search", "토지이음")</f>
        <v/>
      </c>
      <c r="O462" s="3" t="inlineStr">
        <is>
          <t>명진</t>
        </is>
      </c>
      <c r="P462" s="4" t="n">
        <v>1</v>
      </c>
      <c r="Q462" s="4" t="n">
        <v>276.5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소로각지</t>
        </is>
      </c>
    </row>
    <row r="463">
      <c r="A463" s="3" t="inlineStr">
        <is>
          <t>도담동 712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87000</v>
      </c>
      <c r="G463" s="4" t="n">
        <v>276</v>
      </c>
      <c r="H463" s="4" t="n">
        <v>83</v>
      </c>
      <c r="I463" s="5" t="n">
        <v>1048.2</v>
      </c>
      <c r="J463" s="5" t="n">
        <v>394</v>
      </c>
      <c r="K463" s="3" t="inlineStr">
        <is>
          <t>도담동 입지 좋은 단독주택지, 조율가능</t>
        </is>
      </c>
      <c r="L463" s="6">
        <f>HYPERLINK("https://fin.land.naver.com/articles/2648297361", "매물Link")</f>
        <v/>
      </c>
      <c r="M463" s="6">
        <f>HYPERLINK("https://map.naver.com/p/search/도담동 712", "지도Link")</f>
        <v/>
      </c>
      <c r="N463" s="6">
        <f>HYPERLINK("http://www.eum.go.kr/web/ar/lu/luLandDet.jsp?pnu=3611011400107120000&amp;isNoScr=script&amp;mode=search",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276.5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소로각지</t>
        </is>
      </c>
    </row>
    <row r="464">
      <c r="A464" s="3" t="inlineStr">
        <is>
          <t>도담동 716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175000</v>
      </c>
      <c r="G464" s="4" t="n">
        <v>420</v>
      </c>
      <c r="H464" s="4" t="n">
        <v>127</v>
      </c>
      <c r="I464" s="5" t="n">
        <v>1378</v>
      </c>
      <c r="J464" s="5" t="n">
        <v>796</v>
      </c>
      <c r="K464" s="3" t="inlineStr">
        <is>
          <t>도담동 2단지 단독주택지 앞 상가용 토지.가격 최대조율,연락 주세요.</t>
        </is>
      </c>
      <c r="L464" s="6">
        <f>HYPERLINK("https://fin.land.naver.com/articles/2646521378", "매물Link")</f>
        <v/>
      </c>
      <c r="M464" s="6">
        <f>HYPERLINK("https://map.naver.com/p/search/도담동 716", "지도Link")</f>
        <v/>
      </c>
      <c r="N464" s="6">
        <f>HYPERLINK("http://www.eum.go.kr/web/ar/lu/luLandDet.jsp?pnu=3611011400107160000&amp;isNoScr=script&amp;mode=search", "토지이음")</f>
        <v/>
      </c>
      <c r="O464" s="3" t="inlineStr">
        <is>
          <t>다정현대</t>
        </is>
      </c>
      <c r="P464" s="4" t="n">
        <v>2</v>
      </c>
      <c r="Q464" s="4" t="n">
        <v>420.4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소로각지</t>
        </is>
      </c>
    </row>
    <row r="465">
      <c r="A465" s="3" t="inlineStr">
        <is>
          <t>도담동 716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175000</v>
      </c>
      <c r="G465" s="4" t="n">
        <v>420</v>
      </c>
      <c r="H465" s="4" t="n">
        <v>127</v>
      </c>
      <c r="I465" s="5" t="n">
        <v>1378</v>
      </c>
      <c r="J465" s="5" t="n">
        <v>796</v>
      </c>
      <c r="K465" s="3" t="inlineStr">
        <is>
          <t>도담동근생용지 주변입지좋아요. 가격조정가능</t>
        </is>
      </c>
      <c r="L465" s="6">
        <f>HYPERLINK("https://fin.land.naver.com/articles/2650454199", "매물Link")</f>
        <v/>
      </c>
      <c r="M465" s="6">
        <f>HYPERLINK("https://map.naver.com/p/search/도담동 716", "지도Link")</f>
        <v/>
      </c>
      <c r="N465" s="6">
        <f>HYPERLINK("http://www.eum.go.kr/web/ar/lu/luLandDet.jsp?pnu=3611011400107160000&amp;isNoScr=script&amp;mode=search", "토지이음")</f>
        <v/>
      </c>
      <c r="O465" s="3" t="inlineStr">
        <is>
          <t>고운동리치세종</t>
        </is>
      </c>
      <c r="P465" s="4" t="n">
        <v>1</v>
      </c>
      <c r="Q465" s="4" t="n">
        <v>420.4</v>
      </c>
      <c r="R465" s="3" t="inlineStr">
        <is>
          <t>지정되지않음</t>
        </is>
      </c>
      <c r="S465" s="3" t="inlineStr">
        <is>
          <t>상업용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소로각지</t>
        </is>
      </c>
    </row>
    <row r="466">
      <c r="A466" s="3" t="inlineStr">
        <is>
          <t>도담동 716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175000</v>
      </c>
      <c r="G466" s="4" t="n">
        <v>420</v>
      </c>
      <c r="H466" s="4" t="n">
        <v>127</v>
      </c>
      <c r="I466" s="5" t="n">
        <v>1378</v>
      </c>
      <c r="J466" s="5" t="n">
        <v>796</v>
      </c>
      <c r="K466" s="3" t="inlineStr">
        <is>
          <t>입지 좋은 도담동 근린생활용지 토지 매매, 대로변</t>
        </is>
      </c>
      <c r="L466" s="6">
        <f>HYPERLINK("https://fin.land.naver.com/articles/2649607976", "매물Link")</f>
        <v/>
      </c>
      <c r="M466" s="6">
        <f>HYPERLINK("https://map.naver.com/p/search/도담동 716", "지도Link")</f>
        <v/>
      </c>
      <c r="N466" s="6">
        <f>HYPERLINK("http://www.eum.go.kr/web/ar/lu/luLandDet.jsp?pnu=3611011400107160000&amp;isNoScr=script&amp;mode=search", "토지이음")</f>
        <v/>
      </c>
      <c r="O466" s="3" t="inlineStr">
        <is>
          <t>세종무지개</t>
        </is>
      </c>
      <c r="P466" s="4" t="n">
        <v>1</v>
      </c>
      <c r="Q466" s="4" t="n">
        <v>420.4</v>
      </c>
      <c r="R466" s="3" t="inlineStr">
        <is>
          <t>지정되지않음</t>
        </is>
      </c>
      <c r="S466" s="3" t="inlineStr">
        <is>
          <t>상업용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소로각지</t>
        </is>
      </c>
    </row>
    <row r="467">
      <c r="A467" s="3" t="inlineStr">
        <is>
          <t>도담동 716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175000</v>
      </c>
      <c r="G467" s="4" t="n">
        <v>420</v>
      </c>
      <c r="H467" s="4" t="n">
        <v>127</v>
      </c>
      <c r="I467" s="5" t="n">
        <v>1378</v>
      </c>
      <c r="J467" s="5" t="n">
        <v>796</v>
      </c>
      <c r="K467" s="3" t="inlineStr">
        <is>
          <t>도담동 입지우수한 근생 용지 부지, 매매의사 확실,가격조율가능</t>
        </is>
      </c>
      <c r="L467" s="6">
        <f>HYPERLINK("https://fin.land.naver.com/articles/2647797836", "매물Link")</f>
        <v/>
      </c>
      <c r="M467" s="6">
        <f>HYPERLINK("https://map.naver.com/p/search/도담동 716", "지도Link")</f>
        <v/>
      </c>
      <c r="N467" s="6">
        <f>HYPERLINK("http://www.eum.go.kr/web/ar/lu/luLandDet.jsp?pnu=3611011400107160000&amp;isNoScr=script&amp;mode=search", "토지이음")</f>
        <v/>
      </c>
      <c r="O467" s="3" t="inlineStr">
        <is>
          <t>짱</t>
        </is>
      </c>
      <c r="P467" s="4" t="n">
        <v>1</v>
      </c>
      <c r="Q467" s="4" t="n">
        <v>420.4</v>
      </c>
      <c r="R467" s="3" t="inlineStr">
        <is>
          <t>지정되지않음</t>
        </is>
      </c>
      <c r="S467" s="3" t="inlineStr">
        <is>
          <t>상업용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소로각지</t>
        </is>
      </c>
    </row>
    <row r="468">
      <c r="A468" s="3" t="inlineStr">
        <is>
          <t>도담동 730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77000</v>
      </c>
      <c r="G468" s="4" t="n">
        <v>319</v>
      </c>
      <c r="H468" s="4" t="n">
        <v>96</v>
      </c>
      <c r="I468" s="5" t="n">
        <v>802.1</v>
      </c>
      <c r="J468" s="5" t="n">
        <v>382.1</v>
      </c>
      <c r="K468" s="3" t="inlineStr">
        <is>
          <t>급매 도담동 최고입지 프라이버스 완벽하고 지대높은 위치최상</t>
        </is>
      </c>
      <c r="L468" s="6">
        <f>HYPERLINK("https://fin.land.naver.com/articles/2651087923", "매물Link")</f>
        <v/>
      </c>
      <c r="M468" s="6">
        <f>HYPERLINK("https://map.naver.com/p/search/도담동 730", "지도Link")</f>
        <v/>
      </c>
      <c r="N468" s="6">
        <f>HYPERLINK("http://www.eum.go.kr/web/ar/lu/luLandDet.jsp?pnu=3611011400107300000&amp;isNoScr=script&amp;mode=search",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319.5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757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92000</v>
      </c>
      <c r="G469" s="4" t="n">
        <v>324</v>
      </c>
      <c r="H469" s="4" t="n">
        <v>98</v>
      </c>
      <c r="I469" s="5" t="n">
        <v>938.8</v>
      </c>
      <c r="J469" s="5" t="n">
        <v>410.6</v>
      </c>
      <c r="K469" s="3" t="inlineStr">
        <is>
          <t>홈플러스와 충대병원사이에 위치함 3면코너각지 청사및체육시설근거리이용</t>
        </is>
      </c>
      <c r="L469" s="6">
        <f>HYPERLINK("https://fin.land.naver.com/articles/2647502682", "매물Link")</f>
        <v/>
      </c>
      <c r="M469" s="6">
        <f>HYPERLINK("https://map.naver.com/p/search/도담동 757", "지도Link")</f>
        <v/>
      </c>
      <c r="N469" s="6">
        <f>HYPERLINK("http://www.eum.go.kr/web/ar/lu/luLandDet.jsp?pnu=3611011400107570000&amp;isNoScr=script&amp;mode=search", "토지이음")</f>
        <v/>
      </c>
      <c r="O469" s="3" t="inlineStr">
        <is>
          <t>세종마당</t>
        </is>
      </c>
      <c r="P469" s="4" t="n">
        <v>1</v>
      </c>
      <c r="Q469" s="4" t="n">
        <v>324.6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소로각지</t>
        </is>
      </c>
    </row>
    <row r="470">
      <c r="A470" s="3" t="inlineStr">
        <is>
          <t>도담동 763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80000</v>
      </c>
      <c r="G470" s="4" t="n">
        <v>295</v>
      </c>
      <c r="H470" s="4" t="n">
        <v>89</v>
      </c>
      <c r="I470" s="5" t="n">
        <v>898.9</v>
      </c>
      <c r="J470" s="5" t="n">
        <v>410.6</v>
      </c>
      <c r="K470" s="3" t="inlineStr">
        <is>
          <t>입지 좋은 도담동 단독주택 토지매매</t>
        </is>
      </c>
      <c r="L470" s="6">
        <f>HYPERLINK("https://fin.land.naver.com/articles/2650427773", "매물Link")</f>
        <v/>
      </c>
      <c r="M470" s="6">
        <f>HYPERLINK("https://map.naver.com/p/search/도담동 763", "지도Link")</f>
        <v/>
      </c>
      <c r="N470" s="6">
        <f>HYPERLINK("http://www.eum.go.kr/web/ar/lu/luLandDet.jsp?pnu=3611011400107630000&amp;isNoScr=script&amp;mode=search",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295.5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763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80000</v>
      </c>
      <c r="G471" s="4" t="n">
        <v>295</v>
      </c>
      <c r="H471" s="4" t="n">
        <v>89</v>
      </c>
      <c r="I471" s="5" t="n">
        <v>898.9</v>
      </c>
      <c r="J471" s="5" t="n">
        <v>410.6</v>
      </c>
      <c r="K471" s="3" t="inlineStr">
        <is>
          <t>89.5p, 사거리 코너 입지, 위치 굿, 단지 바로 앞</t>
        </is>
      </c>
      <c r="L471" s="6">
        <f>HYPERLINK("https://fin.land.naver.com/articles/2648188284", "매물Link")</f>
        <v/>
      </c>
      <c r="M471" s="6">
        <f>HYPERLINK("https://map.naver.com/p/search/도담동 763", "지도Link")</f>
        <v/>
      </c>
      <c r="N471" s="6">
        <f>HYPERLINK("http://www.eum.go.kr/web/ar/lu/luLandDet.jsp?pnu=3611011400107630000&amp;isNoScr=script&amp;mode=search",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295.5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소로각지</t>
        </is>
      </c>
    </row>
    <row r="472">
      <c r="A472" s="3" t="inlineStr">
        <is>
          <t>도담동 763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80000</v>
      </c>
      <c r="G472" s="4" t="n">
        <v>295</v>
      </c>
      <c r="H472" s="4" t="n">
        <v>89</v>
      </c>
      <c r="I472" s="5" t="n">
        <v>898.9</v>
      </c>
      <c r="J472" s="5" t="n">
        <v>410.6</v>
      </c>
      <c r="K472" s="3" t="inlineStr">
        <is>
          <t>교통환경이 우수한 3면도로 접한 토지</t>
        </is>
      </c>
      <c r="L472" s="6">
        <f>HYPERLINK("https://fin.land.naver.com/articles/2650436565", "매물Link")</f>
        <v/>
      </c>
      <c r="M472" s="6">
        <f>HYPERLINK("https://map.naver.com/p/search/도담동 763", "지도Link")</f>
        <v/>
      </c>
      <c r="N472" s="6">
        <f>HYPERLINK("http://www.eum.go.kr/web/ar/lu/luLandDet.jsp?pnu=3611011400107630000&amp;isNoScr=script&amp;mode=search", "토지이음")</f>
        <v/>
      </c>
      <c r="O472" s="3" t="inlineStr">
        <is>
          <t>킹세종</t>
        </is>
      </c>
      <c r="P472" s="4" t="n">
        <v>2</v>
      </c>
      <c r="Q472" s="4" t="n">
        <v>295.5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소로각지</t>
        </is>
      </c>
    </row>
    <row r="473">
      <c r="A473" s="3" t="inlineStr">
        <is>
          <t>도담동 776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97000</v>
      </c>
      <c r="G473" s="4" t="n">
        <v>321</v>
      </c>
      <c r="H473" s="4" t="n">
        <v>97</v>
      </c>
      <c r="I473" s="5" t="n">
        <v>1000</v>
      </c>
      <c r="J473" s="5" t="n">
        <v>406.6</v>
      </c>
      <c r="K473" s="3" t="inlineStr">
        <is>
          <t>생명나무,도담동 홈플러스 근접거리  귀한 단독주택자리</t>
        </is>
      </c>
      <c r="L473" s="6">
        <f>HYPERLINK("https://fin.land.naver.com/articles/2651385820", "매물Link")</f>
        <v/>
      </c>
      <c r="M473" s="6">
        <f>HYPERLINK("https://map.naver.com/p/search/도담동 776", "지도Link")</f>
        <v/>
      </c>
      <c r="N473" s="6">
        <f>HYPERLINK("http://www.eum.go.kr/web/ar/lu/luLandDet.jsp?pnu=3611011400107760000&amp;isNoScr=script&amp;mode=search", "토지이음")</f>
        <v/>
      </c>
      <c r="O473" s="3" t="inlineStr">
        <is>
          <t>생명나무</t>
        </is>
      </c>
      <c r="P473" s="4" t="n">
        <v>1</v>
      </c>
      <c r="Q473" s="4" t="n">
        <v>321.7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도담동 784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77000</v>
      </c>
      <c r="G474" s="4" t="n">
        <v>341</v>
      </c>
      <c r="H474" s="4" t="n">
        <v>103</v>
      </c>
      <c r="I474" s="5" t="n">
        <v>747.6</v>
      </c>
      <c r="J474" s="5" t="n">
        <v>410.6</v>
      </c>
      <c r="K474" s="3" t="inlineStr">
        <is>
          <t>코너 유치원 홈플러스 늘봄초인근 조율가능</t>
        </is>
      </c>
      <c r="L474" s="6">
        <f>HYPERLINK("https://fin.land.naver.com/articles/2649812078", "매물Link")</f>
        <v/>
      </c>
      <c r="M474" s="6">
        <f>HYPERLINK("https://map.naver.com/p/search/도담동 784", "지도Link")</f>
        <v/>
      </c>
      <c r="N474" s="6">
        <f>HYPERLINK("http://www.eum.go.kr/web/ar/lu/luLandDet.jsp?pnu=3611011400107840000&amp;isNoScr=script&amp;mode=search",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341.5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가로장방</t>
        </is>
      </c>
      <c r="V474" s="3" t="inlineStr">
        <is>
          <t>소로각지</t>
        </is>
      </c>
    </row>
    <row r="475">
      <c r="A475" s="3" t="inlineStr">
        <is>
          <t>도담동 784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77000</v>
      </c>
      <c r="G475" s="4" t="n">
        <v>341</v>
      </c>
      <c r="H475" s="4" t="n">
        <v>103</v>
      </c>
      <c r="I475" s="5" t="n">
        <v>747.6</v>
      </c>
      <c r="J475" s="5" t="n">
        <v>410.6</v>
      </c>
      <c r="K475" s="3" t="inlineStr">
        <is>
          <t>사거리 코너, 생활권 좋은 위치 단독주택지</t>
        </is>
      </c>
      <c r="L475" s="6">
        <f>HYPERLINK("https://fin.land.naver.com/articles/2647425170", "매물Link")</f>
        <v/>
      </c>
      <c r="M475" s="6">
        <f>HYPERLINK("https://map.naver.com/p/search/도담동 784", "지도Link")</f>
        <v/>
      </c>
      <c r="N475" s="6">
        <f>HYPERLINK("http://www.eum.go.kr/web/ar/lu/luLandDet.jsp?pnu=3611011400107840000&amp;isNoScr=script&amp;mode=search", "토지이음")</f>
        <v/>
      </c>
      <c r="O475" s="3" t="inlineStr">
        <is>
          <t>명진</t>
        </is>
      </c>
      <c r="P475" s="4" t="n">
        <v>1</v>
      </c>
      <c r="Q475" s="4" t="n">
        <v>341.5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가로장방</t>
        </is>
      </c>
      <c r="V475" s="3" t="inlineStr">
        <is>
          <t>소로각지</t>
        </is>
      </c>
    </row>
    <row r="476">
      <c r="A476" s="3" t="inlineStr">
        <is>
          <t>도담동 784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77000</v>
      </c>
      <c r="G476" s="4" t="n">
        <v>341</v>
      </c>
      <c r="H476" s="4" t="n">
        <v>103</v>
      </c>
      <c r="I476" s="5" t="n">
        <v>747.6</v>
      </c>
      <c r="J476" s="5" t="n">
        <v>410.6</v>
      </c>
      <c r="K476" s="3" t="inlineStr">
        <is>
          <t>도담동 생활권 입지 좋은 단독주택지 매매</t>
        </is>
      </c>
      <c r="L476" s="6">
        <f>HYPERLINK("https://fin.land.naver.com/articles/2647429882", "매물Link")</f>
        <v/>
      </c>
      <c r="M476" s="6">
        <f>HYPERLINK("https://map.naver.com/p/search/도담동 784", "지도Link")</f>
        <v/>
      </c>
      <c r="N476" s="6">
        <f>HYPERLINK("http://www.eum.go.kr/web/ar/lu/luLandDet.jsp?pnu=3611011400107840000&amp;isNoScr=script&amp;mode=search", "토지이음")</f>
        <v/>
      </c>
      <c r="O476" s="3" t="inlineStr">
        <is>
          <t>세종무지개</t>
        </is>
      </c>
      <c r="P476" s="4" t="n">
        <v>1</v>
      </c>
      <c r="Q476" s="4" t="n">
        <v>341.5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가로장방</t>
        </is>
      </c>
      <c r="V476" s="3" t="inlineStr">
        <is>
          <t>소로각지</t>
        </is>
      </c>
    </row>
    <row r="477">
      <c r="A477" s="3" t="inlineStr">
        <is>
          <t>도담동 790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104000</v>
      </c>
      <c r="G477" s="4" t="n">
        <v>342</v>
      </c>
      <c r="H477" s="4" t="n">
        <v>103</v>
      </c>
      <c r="I477" s="5" t="n">
        <v>1009.7</v>
      </c>
      <c r="J477" s="5" t="n">
        <v>410.6</v>
      </c>
      <c r="K477" s="3" t="inlineStr">
        <is>
          <t>총 103.7p, 정남향, 충대병원 홈플러스 인근</t>
        </is>
      </c>
      <c r="L477" s="6">
        <f>HYPERLINK("https://fin.land.naver.com/articles/2647422061", "매물Link")</f>
        <v/>
      </c>
      <c r="M477" s="6">
        <f>HYPERLINK("https://map.naver.com/p/search/도담동 790", "지도Link")</f>
        <v/>
      </c>
      <c r="N477" s="6">
        <f>HYPERLINK("http://www.eum.go.kr/web/ar/lu/luLandDet.jsp?pnu=3611011400107900000&amp;isNoScr=script&amp;mode=search", "토지이음")</f>
        <v/>
      </c>
      <c r="O477" s="3" t="inlineStr">
        <is>
          <t>명진</t>
        </is>
      </c>
      <c r="P477" s="4" t="n">
        <v>1</v>
      </c>
      <c r="Q477" s="4" t="n">
        <v>342.1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790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104000</v>
      </c>
      <c r="G478" s="4" t="n">
        <v>342</v>
      </c>
      <c r="H478" s="4" t="n">
        <v>103</v>
      </c>
      <c r="I478" s="5" t="n">
        <v>1009.7</v>
      </c>
      <c r="J478" s="5" t="n">
        <v>410.6</v>
      </c>
      <c r="K478" s="3" t="inlineStr">
        <is>
          <t>103.7p, 단지 맞은편, 유치원 인근</t>
        </is>
      </c>
      <c r="L478" s="6">
        <f>HYPERLINK("https://fin.land.naver.com/articles/2648833697", "매물Link")</f>
        <v/>
      </c>
      <c r="M478" s="6">
        <f>HYPERLINK("https://map.naver.com/p/search/도담동 790", "지도Link")</f>
        <v/>
      </c>
      <c r="N478" s="6">
        <f>HYPERLINK("http://www.eum.go.kr/web/ar/lu/luLandDet.jsp?pnu=3611011400107900000&amp;isNoScr=script&amp;mode=search",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342.1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808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62500</v>
      </c>
      <c r="G479" s="4" t="n">
        <v>319</v>
      </c>
      <c r="H479" s="4" t="n">
        <v>96</v>
      </c>
      <c r="I479" s="5" t="n">
        <v>651</v>
      </c>
      <c r="J479" s="5" t="n">
        <v>391.1</v>
      </c>
      <c r="K479" s="3" t="inlineStr">
        <is>
          <t>주변가격대비 현격한 급매가 매매</t>
        </is>
      </c>
      <c r="L479" s="6">
        <f>HYPERLINK("https://fin.land.naver.com/articles/2649574325", "매물Link")</f>
        <v/>
      </c>
      <c r="M479" s="6">
        <f>HYPERLINK("https://map.naver.com/p/search/도담동 808", "지도Link")</f>
        <v/>
      </c>
      <c r="N479" s="6">
        <f>HYPERLINK("http://www.eum.go.kr/web/ar/lu/luLandDet.jsp?pnu=3611011400108080000&amp;isNoScr=script&amp;mode=search", "토지이음")</f>
        <v/>
      </c>
      <c r="O479" s="3" t="inlineStr">
        <is>
          <t>킹세종</t>
        </is>
      </c>
      <c r="P479" s="4" t="n">
        <v>1</v>
      </c>
      <c r="Q479" s="4" t="n">
        <v>318.7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824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100000</v>
      </c>
      <c r="G480" s="4" t="n">
        <v>313</v>
      </c>
      <c r="H480" s="4" t="n">
        <v>95</v>
      </c>
      <c r="I480" s="5" t="n">
        <v>1052.6</v>
      </c>
      <c r="J480" s="5" t="n">
        <v>391.1</v>
      </c>
      <c r="K480" s="3" t="inlineStr">
        <is>
          <t>남향필지 최선호지역 BRT도보가능 홈플러스인근</t>
        </is>
      </c>
      <c r="L480" s="6">
        <f>HYPERLINK("https://fin.land.naver.com/articles/2648615509", "매물Link")</f>
        <v/>
      </c>
      <c r="M480" s="6">
        <f>HYPERLINK("https://map.naver.com/p/search/도담동 824", "지도Link")</f>
        <v/>
      </c>
      <c r="N480" s="6">
        <f>HYPERLINK("http://www.eum.go.kr/web/ar/lu/luLandDet.jsp?pnu=3611011400108240000&amp;isNoScr=script&amp;mode=search", "토지이음")</f>
        <v/>
      </c>
      <c r="O480" s="3" t="inlineStr">
        <is>
          <t>세종스타</t>
        </is>
      </c>
      <c r="P480" s="4" t="n">
        <v>1</v>
      </c>
      <c r="Q480" s="4" t="n">
        <v>313.1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837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90000</v>
      </c>
      <c r="G481" s="4" t="n">
        <v>315</v>
      </c>
      <c r="H481" s="4" t="n">
        <v>95</v>
      </c>
      <c r="I481" s="5" t="n">
        <v>947.4</v>
      </c>
      <c r="J481" s="5" t="n">
        <v>391.1</v>
      </c>
      <c r="K481" s="3" t="inlineStr">
        <is>
          <t>95.7p, 도담동 홈플러스인근, 단독주택 토지매매</t>
        </is>
      </c>
      <c r="L481" s="6">
        <f>HYPERLINK("https://fin.land.naver.com/articles/2648899707", "매물Link")</f>
        <v/>
      </c>
      <c r="M481" s="6">
        <f>HYPERLINK("https://map.naver.com/p/search/도담동 837", "지도Link")</f>
        <v/>
      </c>
      <c r="N481" s="6">
        <f>HYPERLINK("http://www.eum.go.kr/web/ar/lu/luLandDet.jsp?pnu=3611011400108370000&amp;isNoScr=script&amp;mode=search", "토지이음")</f>
        <v/>
      </c>
      <c r="O481" s="3" t="inlineStr">
        <is>
          <t>명진</t>
        </is>
      </c>
      <c r="P481" s="4" t="n">
        <v>1</v>
      </c>
      <c r="Q481" s="4" t="n">
        <v>315.9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정방형</t>
        </is>
      </c>
      <c r="V481" s="3" t="inlineStr">
        <is>
          <t>소로한면</t>
        </is>
      </c>
    </row>
    <row r="482">
      <c r="A482" s="3" t="inlineStr">
        <is>
          <t>도담동 837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90000</v>
      </c>
      <c r="G482" s="4" t="n">
        <v>315</v>
      </c>
      <c r="H482" s="4" t="n">
        <v>95</v>
      </c>
      <c r="I482" s="5" t="n">
        <v>947.4</v>
      </c>
      <c r="J482" s="5" t="n">
        <v>391.1</v>
      </c>
      <c r="K482" s="3" t="inlineStr">
        <is>
          <t>도담동 위치 좋은 단독주택, 홈플러스 인근</t>
        </is>
      </c>
      <c r="L482" s="6">
        <f>HYPERLINK("https://fin.land.naver.com/articles/2650892389", "매물Link")</f>
        <v/>
      </c>
      <c r="M482" s="6">
        <f>HYPERLINK("https://map.naver.com/p/search/도담동 837", "지도Link")</f>
        <v/>
      </c>
      <c r="N482" s="6">
        <f>HYPERLINK("http://www.eum.go.kr/web/ar/lu/luLandDet.jsp?pnu=3611011400108370000&amp;isNoScr=script&amp;mode=search", "토지이음")</f>
        <v/>
      </c>
      <c r="O482" s="3" t="inlineStr">
        <is>
          <t>세종무지개</t>
        </is>
      </c>
      <c r="P482" s="4" t="n">
        <v>1</v>
      </c>
      <c r="Q482" s="4" t="n">
        <v>315.9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소로한면</t>
        </is>
      </c>
    </row>
    <row r="483">
      <c r="A483" s="3" t="inlineStr">
        <is>
          <t>도담동 837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70000</v>
      </c>
      <c r="G483" s="4" t="n">
        <v>315</v>
      </c>
      <c r="H483" s="4" t="n">
        <v>95</v>
      </c>
      <c r="I483" s="5" t="n">
        <v>736.8</v>
      </c>
      <c r="J483" s="5" t="n">
        <v>391.1</v>
      </c>
      <c r="K483" s="3" t="inlineStr">
        <is>
          <t>강추매물, 가격좋은 토지, 홈플인접</t>
        </is>
      </c>
      <c r="L483" s="6">
        <f>HYPERLINK("https://fin.land.naver.com/articles/2651289273", "매물Link")</f>
        <v/>
      </c>
      <c r="M483" s="6">
        <f>HYPERLINK("https://map.naver.com/p/search/도담동 837", "지도Link")</f>
        <v/>
      </c>
      <c r="N483" s="6">
        <f>HYPERLINK("http://www.eum.go.kr/web/ar/lu/luLandDet.jsp?pnu=3611011400108370000&amp;isNoScr=script&amp;mode=search", "토지이음")</f>
        <v/>
      </c>
      <c r="O483" s="3" t="inlineStr">
        <is>
          <t>사이다</t>
        </is>
      </c>
      <c r="P483" s="4" t="n">
        <v>1</v>
      </c>
      <c r="Q483" s="4" t="n">
        <v>315.9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소로한면</t>
        </is>
      </c>
    </row>
    <row r="484">
      <c r="A484" s="3" t="inlineStr">
        <is>
          <t>도담동 897-1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140000</v>
      </c>
      <c r="G484" s="4" t="n">
        <v>400</v>
      </c>
      <c r="H484" s="4" t="n">
        <v>121</v>
      </c>
      <c r="I484" s="5" t="n">
        <v>1157</v>
      </c>
      <c r="J484" s="5" t="n">
        <v>353.1</v>
      </c>
      <c r="K484" s="3" t="inlineStr">
        <is>
          <t>트로아힐스 건축 가능한 토지 매매</t>
        </is>
      </c>
      <c r="L484" s="6">
        <f>HYPERLINK("https://fin.land.naver.com/articles/2650423114", "매물Link")</f>
        <v/>
      </c>
      <c r="M484" s="6">
        <f>HYPERLINK("https://map.naver.com/p/search/도담동 897-1", "지도Link")</f>
        <v/>
      </c>
      <c r="N484" s="6">
        <f>HYPERLINK("http://www.eum.go.kr/web/ar/lu/luLandDet.jsp?pnu=3611011400108970001&amp;isNoScr=script&amp;mode=search", "토지이음")</f>
        <v/>
      </c>
      <c r="O484" s="3" t="inlineStr">
        <is>
          <t>세종시티</t>
        </is>
      </c>
      <c r="P484" s="4" t="n">
        <v>1</v>
      </c>
      <c r="Q484" s="4" t="n">
        <v>400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소로한면</t>
        </is>
      </c>
    </row>
    <row r="485">
      <c r="A485" s="3" t="inlineStr">
        <is>
          <t>도담동 897-18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140000</v>
      </c>
      <c r="G485" s="4" t="n">
        <v>400</v>
      </c>
      <c r="H485" s="4" t="n">
        <v>121</v>
      </c>
      <c r="I485" s="5" t="n">
        <v>1157</v>
      </c>
      <c r="J485" s="5" t="n">
        <v>356.7</v>
      </c>
      <c r="K485" s="3" t="inlineStr">
        <is>
          <t>세종 고급 타운하우스 선호 필지 매매</t>
        </is>
      </c>
      <c r="L485" s="6">
        <f>HYPERLINK("https://fin.land.naver.com/articles/2650423079", "매물Link")</f>
        <v/>
      </c>
      <c r="M485" s="6">
        <f>HYPERLINK("https://map.naver.com/p/search/도담동 897-18", "지도Link")</f>
        <v/>
      </c>
      <c r="N485" s="6">
        <f>HYPERLINK("http://www.eum.go.kr/web/ar/lu/luLandDet.jsp?pnu=3611011400108970018&amp;isNoScr=script&amp;mode=search", "토지이음")</f>
        <v/>
      </c>
      <c r="O485" s="3" t="inlineStr">
        <is>
          <t>세종시티</t>
        </is>
      </c>
      <c r="P485" s="4" t="n">
        <v>1</v>
      </c>
      <c r="Q485" s="4" t="n">
        <v>400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세로장방</t>
        </is>
      </c>
      <c r="V485" s="3" t="inlineStr">
        <is>
          <t>소로한면</t>
        </is>
      </c>
    </row>
    <row r="486">
      <c r="A486" s="3" t="inlineStr">
        <is>
          <t>도담동 897-20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140000</v>
      </c>
      <c r="G486" s="4" t="n">
        <v>400</v>
      </c>
      <c r="H486" s="4" t="n">
        <v>121</v>
      </c>
      <c r="I486" s="5" t="n">
        <v>1157</v>
      </c>
      <c r="J486" s="5" t="n">
        <v>356.7</v>
      </c>
      <c r="K486" s="3" t="inlineStr">
        <is>
          <t>세종 도담동 고급 전원주택 단지 앞이 트여 있어 좋아요.</t>
        </is>
      </c>
      <c r="L486" s="6">
        <f>HYPERLINK("https://fin.land.naver.com/articles/2649482553", "매물Link")</f>
        <v/>
      </c>
      <c r="M486" s="6">
        <f>HYPERLINK("https://map.naver.com/p/search/도담동 897-20", "지도Link")</f>
        <v/>
      </c>
      <c r="N486" s="6">
        <f>HYPERLINK("http://www.eum.go.kr/web/ar/lu/luLandDet.jsp?pnu=3611011400108970020&amp;isNoScr=script&amp;mode=search", "토지이음")</f>
        <v/>
      </c>
      <c r="O486" s="3" t="inlineStr">
        <is>
          <t>세종조이</t>
        </is>
      </c>
      <c r="P486" s="4" t="n">
        <v>1</v>
      </c>
      <c r="Q486" s="4" t="n">
        <v>400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세로장방</t>
        </is>
      </c>
      <c r="V486" s="3" t="inlineStr">
        <is>
          <t>소로한면</t>
        </is>
      </c>
    </row>
    <row r="487">
      <c r="A487" s="3" t="inlineStr">
        <is>
          <t>도담동 897-24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150000</v>
      </c>
      <c r="G487" s="4" t="n">
        <v>400</v>
      </c>
      <c r="H487" s="4" t="n">
        <v>121</v>
      </c>
      <c r="I487" s="5" t="n">
        <v>1239.7</v>
      </c>
      <c r="J487" s="5" t="n">
        <v>356.7</v>
      </c>
      <c r="K487" s="3" t="inlineStr">
        <is>
          <t>nan</t>
        </is>
      </c>
      <c r="L487" s="6">
        <f>HYPERLINK("https://fin.land.naver.com/articles/2647125724", "매물Link")</f>
        <v/>
      </c>
      <c r="M487" s="6">
        <f>HYPERLINK("https://map.naver.com/p/search/도담동 897-24", "지도Link")</f>
        <v/>
      </c>
      <c r="N487" s="6">
        <f>HYPERLINK("http://www.eum.go.kr/web/ar/lu/luLandDet.jsp?pnu=3611011400108970024&amp;isNoScr=script&amp;mode=search", "토지이음")</f>
        <v/>
      </c>
      <c r="O487" s="3" t="inlineStr">
        <is>
          <t>세종스타</t>
        </is>
      </c>
      <c r="P487" s="4" t="n">
        <v>2</v>
      </c>
      <c r="Q487" s="4" t="n">
        <v>400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세로장방</t>
        </is>
      </c>
      <c r="V487" s="3" t="inlineStr">
        <is>
          <t>소로한면</t>
        </is>
      </c>
    </row>
    <row r="488">
      <c r="A488" s="3" t="inlineStr">
        <is>
          <t>반곡동 1003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45000</v>
      </c>
      <c r="G488" s="4" t="n">
        <v>190</v>
      </c>
      <c r="H488" s="4" t="n">
        <v>57</v>
      </c>
      <c r="I488" s="5" t="n">
        <v>789.5</v>
      </c>
      <c r="J488" s="5" t="n">
        <v>262.3</v>
      </c>
      <c r="K488" s="3" t="inlineStr">
        <is>
          <t>반곡동D3 소형 건폐율50 가격조율 협의가능</t>
        </is>
      </c>
      <c r="L488" s="6">
        <f>HYPERLINK("https://fin.land.naver.com/articles/2651086283", "매물Link")</f>
        <v/>
      </c>
      <c r="M488" s="6">
        <f>HYPERLINK("https://map.naver.com/p/search/반곡동 1003", "지도Link")</f>
        <v/>
      </c>
      <c r="N488" s="6">
        <f>HYPERLINK("http://www.eum.go.kr/web/ar/lu/luLandDet.jsp?pnu=3611010100110030000&amp;isNoScr=script&amp;mode=search", "토지이음")</f>
        <v/>
      </c>
      <c r="O488" s="3" t="inlineStr">
        <is>
          <t>세종스타</t>
        </is>
      </c>
      <c r="P488" s="4" t="n">
        <v>2</v>
      </c>
      <c r="Q488" s="4" t="n">
        <v>190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소로한면</t>
        </is>
      </c>
    </row>
    <row r="489">
      <c r="A489" s="3" t="inlineStr">
        <is>
          <t>반곡동 1005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35000</v>
      </c>
      <c r="G489" s="4" t="n">
        <v>154</v>
      </c>
      <c r="H489" s="4" t="n">
        <v>47</v>
      </c>
      <c r="I489" s="5" t="n">
        <v>744.7</v>
      </c>
      <c r="J489" s="5" t="n">
        <v>262.3</v>
      </c>
      <c r="K489" s="3" t="inlineStr">
        <is>
          <t>조율가능 코너각지 소형 건폐율50프로</t>
        </is>
      </c>
      <c r="L489" s="6">
        <f>HYPERLINK("https://fin.land.naver.com/articles/2650653499", "매물Link")</f>
        <v/>
      </c>
      <c r="M489" s="6">
        <f>HYPERLINK("https://map.naver.com/p/search/반곡동 1005", "지도Link")</f>
        <v/>
      </c>
      <c r="N489" s="6">
        <f>HYPERLINK("http://www.eum.go.kr/web/ar/lu/luLandDet.jsp?pnu=3611010100110050000&amp;isNoScr=script&amp;mode=search", "토지이음")</f>
        <v/>
      </c>
      <c r="O489" s="3" t="inlineStr">
        <is>
          <t>세종스타</t>
        </is>
      </c>
      <c r="P489" s="4" t="n">
        <v>1</v>
      </c>
      <c r="Q489" s="4" t="n">
        <v>154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소로한면</t>
        </is>
      </c>
    </row>
    <row r="490">
      <c r="A490" s="3" t="inlineStr">
        <is>
          <t>반곡동 1061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70000</v>
      </c>
      <c r="G490" s="4" t="n">
        <v>478</v>
      </c>
      <c r="H490" s="4" t="n">
        <v>145</v>
      </c>
      <c r="I490" s="5" t="n">
        <v>482.8</v>
      </c>
      <c r="J490" s="5" t="n">
        <v>302.2</v>
      </c>
      <c r="K490" s="3" t="inlineStr">
        <is>
          <t>급매 KDI옆 반곡동D2 넓은평수 144.71p</t>
        </is>
      </c>
      <c r="L490" s="6">
        <f>HYPERLINK("https://fin.land.naver.com/articles/2649626883", "매물Link")</f>
        <v/>
      </c>
      <c r="M490" s="6">
        <f>HYPERLINK("https://map.naver.com/p/search/반곡동 1061", "지도Link")</f>
        <v/>
      </c>
      <c r="N490" s="6">
        <f>HYPERLINK("http://www.eum.go.kr/web/ar/lu/luLandDet.jsp?pnu=3611010100110610000&amp;isNoScr=script&amp;mode=search",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478.4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평지</t>
        </is>
      </c>
      <c r="U490" s="3" t="inlineStr">
        <is>
          <t>가로장방</t>
        </is>
      </c>
      <c r="V490" s="3" t="inlineStr">
        <is>
          <t>소로한면</t>
        </is>
      </c>
    </row>
    <row r="491">
      <c r="A491" s="3" t="inlineStr">
        <is>
          <t>반곡동 1061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70000</v>
      </c>
      <c r="G491" s="4" t="n">
        <v>478</v>
      </c>
      <c r="H491" s="4" t="n">
        <v>145</v>
      </c>
      <c r="I491" s="5" t="n">
        <v>482.8</v>
      </c>
      <c r="J491" s="5" t="n">
        <v>302.2</v>
      </c>
      <c r="K491" s="3" t="inlineStr">
        <is>
          <t>반곡동 토지매매, 대형평형</t>
        </is>
      </c>
      <c r="L491" s="6">
        <f>HYPERLINK("https://fin.land.naver.com/articles/2649001111", "매물Link")</f>
        <v/>
      </c>
      <c r="M491" s="6">
        <f>HYPERLINK("https://map.naver.com/p/search/반곡동 1061", "지도Link")</f>
        <v/>
      </c>
      <c r="N491" s="6">
        <f>HYPERLINK("http://www.eum.go.kr/web/ar/lu/luLandDet.jsp?pnu=3611010100110610000&amp;isNoScr=script&amp;mode=search", "토지이음")</f>
        <v/>
      </c>
      <c r="O491" s="3" t="inlineStr">
        <is>
          <t>세종무지개</t>
        </is>
      </c>
      <c r="P491" s="4" t="n">
        <v>1</v>
      </c>
      <c r="Q491" s="4" t="n">
        <v>478.4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평지</t>
        </is>
      </c>
      <c r="U491" s="3" t="inlineStr">
        <is>
          <t>가로장방</t>
        </is>
      </c>
      <c r="V491" s="3" t="inlineStr">
        <is>
          <t>소로한면</t>
        </is>
      </c>
    </row>
    <row r="492">
      <c r="A492" s="3" t="inlineStr">
        <is>
          <t>반곡동 1077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65000</v>
      </c>
      <c r="G492" s="4" t="n">
        <v>445</v>
      </c>
      <c r="H492" s="4" t="n">
        <v>135</v>
      </c>
      <c r="I492" s="5" t="n">
        <v>481.5</v>
      </c>
      <c r="J492" s="5" t="n">
        <v>308</v>
      </c>
      <c r="K492" s="3" t="inlineStr">
        <is>
          <t>적극조율가능 공원앞 코너각지 135p</t>
        </is>
      </c>
      <c r="L492" s="6">
        <f>HYPERLINK("https://fin.land.naver.com/articles/2648758746", "매물Link")</f>
        <v/>
      </c>
      <c r="M492" s="6">
        <f>HYPERLINK("https://map.naver.com/p/search/반곡동 1077", "지도Link")</f>
        <v/>
      </c>
      <c r="N492" s="6">
        <f>HYPERLINK("http://www.eum.go.kr/web/ar/lu/luLandDet.jsp?pnu=3611010100110770000&amp;isNoScr=script&amp;mode=search", "토지이음")</f>
        <v/>
      </c>
      <c r="O492" s="3" t="inlineStr">
        <is>
          <t>세종스타</t>
        </is>
      </c>
      <c r="P492" s="4" t="n">
        <v>2</v>
      </c>
      <c r="Q492" s="4" t="n">
        <v>445.5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소로각지</t>
        </is>
      </c>
    </row>
    <row r="493">
      <c r="A493" s="3" t="inlineStr">
        <is>
          <t>반곡동 1077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80000</v>
      </c>
      <c r="G493" s="4" t="n">
        <v>445</v>
      </c>
      <c r="H493" s="4" t="n">
        <v>135</v>
      </c>
      <c r="I493" s="5" t="n">
        <v>592.6</v>
      </c>
      <c r="J493" s="5" t="n">
        <v>308</v>
      </c>
      <c r="K493" s="3" t="inlineStr">
        <is>
          <t>135p, 넓은 단독주택 토지매매, 공원앞, 입지 굿</t>
        </is>
      </c>
      <c r="L493" s="6">
        <f>HYPERLINK("https://fin.land.naver.com/articles/2647421791", "매물Link")</f>
        <v/>
      </c>
      <c r="M493" s="6">
        <f>HYPERLINK("https://map.naver.com/p/search/반곡동 1077", "지도Link")</f>
        <v/>
      </c>
      <c r="N493" s="6">
        <f>HYPERLINK("http://www.eum.go.kr/web/ar/lu/luLandDet.jsp?pnu=3611010100110770000&amp;isNoScr=script&amp;mode=search",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445.5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소로각지</t>
        </is>
      </c>
    </row>
    <row r="494">
      <c r="A494" s="3" t="inlineStr">
        <is>
          <t>반곡동 1077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65000</v>
      </c>
      <c r="G494" s="4" t="n">
        <v>445</v>
      </c>
      <c r="H494" s="4" t="n">
        <v>135</v>
      </c>
      <c r="I494" s="5" t="n">
        <v>481.5</v>
      </c>
      <c r="J494" s="5" t="n">
        <v>308</v>
      </c>
      <c r="K494" s="3" t="inlineStr">
        <is>
          <t>공원 앞, 사거리 코너 각지 위치, 입지 좋은 토지</t>
        </is>
      </c>
      <c r="L494" s="6">
        <f>HYPERLINK("https://fin.land.naver.com/articles/2647427000", "매물Link")</f>
        <v/>
      </c>
      <c r="M494" s="6">
        <f>HYPERLINK("https://map.naver.com/p/search/반곡동 1077", "지도Link")</f>
        <v/>
      </c>
      <c r="N494" s="6">
        <f>HYPERLINK("http://www.eum.go.kr/web/ar/lu/luLandDet.jsp?pnu=3611010100110770000&amp;isNoScr=script&amp;mode=search",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445.5</v>
      </c>
      <c r="R494" s="3" t="inlineStr">
        <is>
          <t>지정되지않음</t>
        </is>
      </c>
      <c r="S494" s="3" t="inlineStr">
        <is>
          <t>단독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반곡동 1090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75000</v>
      </c>
      <c r="G495" s="4" t="n">
        <v>442</v>
      </c>
      <c r="H495" s="4" t="n">
        <v>134</v>
      </c>
      <c r="I495" s="5" t="n">
        <v>559.7</v>
      </c>
      <c r="J495" s="5" t="n">
        <v>308</v>
      </c>
      <c r="K495" s="3" t="inlineStr">
        <is>
          <t>nan</t>
        </is>
      </c>
      <c r="L495" s="6">
        <f>HYPERLINK("https://fin.land.naver.com/articles/2647198872", "매물Link")</f>
        <v/>
      </c>
      <c r="M495" s="6">
        <f>HYPERLINK("https://map.naver.com/p/search/반곡동 1090", "지도Link")</f>
        <v/>
      </c>
      <c r="N495" s="6">
        <f>HYPERLINK("http://www.eum.go.kr/web/ar/lu/luLandDet.jsp?pnu=3611010100110900000&amp;isNoScr=script&amp;mode=search", "토지이음")</f>
        <v/>
      </c>
      <c r="O495" s="3" t="inlineStr">
        <is>
          <t>디아트성심</t>
        </is>
      </c>
      <c r="P495" s="4" t="n">
        <v>1</v>
      </c>
      <c r="Q495" s="4" t="n">
        <v>440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소로각지</t>
        </is>
      </c>
    </row>
    <row r="496">
      <c r="A496" s="3" t="inlineStr">
        <is>
          <t>반곡동 1096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74700</v>
      </c>
      <c r="G496" s="4" t="n">
        <v>466</v>
      </c>
      <c r="H496" s="4" t="n">
        <v>141</v>
      </c>
      <c r="I496" s="5" t="n">
        <v>529.8</v>
      </c>
      <c r="J496" s="5" t="n">
        <v>302.2</v>
      </c>
      <c r="K496" s="3" t="inlineStr">
        <is>
          <t>nan</t>
        </is>
      </c>
      <c r="L496" s="6">
        <f>HYPERLINK("https://fin.land.naver.com/articles/2647198918", "매물Link")</f>
        <v/>
      </c>
      <c r="M496" s="6">
        <f>HYPERLINK("https://map.naver.com/p/search/반곡동 1096", "지도Link")</f>
        <v/>
      </c>
      <c r="N496" s="6">
        <f>HYPERLINK("http://www.eum.go.kr/web/ar/lu/luLandDet.jsp?pnu=3611010100110960000&amp;isNoScr=script&amp;mode=search", "토지이음")</f>
        <v/>
      </c>
      <c r="O496" s="3" t="inlineStr">
        <is>
          <t>디아트성심</t>
        </is>
      </c>
      <c r="P496" s="4" t="n">
        <v>1</v>
      </c>
      <c r="Q496" s="4" t="n">
        <v>466</v>
      </c>
      <c r="R496" s="3" t="inlineStr">
        <is>
          <t>지정되지않음</t>
        </is>
      </c>
      <c r="S496" s="3" t="inlineStr">
        <is>
          <t>단독</t>
        </is>
      </c>
      <c r="T496" s="3" t="inlineStr">
        <is>
          <t>평지</t>
        </is>
      </c>
      <c r="U496" s="3" t="inlineStr">
        <is>
          <t>가로장방</t>
        </is>
      </c>
      <c r="V496" s="3" t="inlineStr">
        <is>
          <t>소로한면</t>
        </is>
      </c>
    </row>
    <row r="497">
      <c r="A497" s="3" t="inlineStr">
        <is>
          <t>반곡동 1107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67000</v>
      </c>
      <c r="G497" s="4" t="n">
        <v>436</v>
      </c>
      <c r="H497" s="4" t="n">
        <v>132</v>
      </c>
      <c r="I497" s="5" t="n">
        <v>507.6</v>
      </c>
      <c r="J497" s="5" t="n">
        <v>311.3</v>
      </c>
      <c r="K497" s="3" t="inlineStr">
        <is>
          <t>급매 코너각지 132p 추가조율가능</t>
        </is>
      </c>
      <c r="L497" s="6">
        <f>HYPERLINK("https://fin.land.naver.com/articles/2649805637", "매물Link")</f>
        <v/>
      </c>
      <c r="M497" s="6">
        <f>HYPERLINK("https://map.naver.com/p/search/반곡동 1107", "지도Link")</f>
        <v/>
      </c>
      <c r="N497" s="6">
        <f>HYPERLINK("http://www.eum.go.kr/web/ar/lu/luLandDet.jsp?pnu=3611010100111070000&amp;isNoScr=script&amp;mode=search",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436</v>
      </c>
      <c r="R497" s="3" t="inlineStr">
        <is>
          <t>지정되지않음</t>
        </is>
      </c>
      <c r="S497" s="3" t="inlineStr">
        <is>
          <t>단독</t>
        </is>
      </c>
      <c r="T497" s="3" t="inlineStr">
        <is>
          <t>평지</t>
        </is>
      </c>
      <c r="U497" s="3" t="inlineStr">
        <is>
          <t>가로장방</t>
        </is>
      </c>
      <c r="V497" s="3" t="inlineStr">
        <is>
          <t>소로각지</t>
        </is>
      </c>
    </row>
    <row r="498">
      <c r="A498" s="3" t="inlineStr">
        <is>
          <t>반곡동 1107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67000</v>
      </c>
      <c r="G498" s="4" t="n">
        <v>436</v>
      </c>
      <c r="H498" s="4" t="n">
        <v>132</v>
      </c>
      <c r="I498" s="5" t="n">
        <v>507.6</v>
      </c>
      <c r="J498" s="5" t="n">
        <v>311.3</v>
      </c>
      <c r="K498" s="3" t="inlineStr">
        <is>
          <t>삼거리 코너, 위치 좋은 반곡동 토지매매</t>
        </is>
      </c>
      <c r="L498" s="6">
        <f>HYPERLINK("https://fin.land.naver.com/articles/2648999169", "매물Link")</f>
        <v/>
      </c>
      <c r="M498" s="6">
        <f>HYPERLINK("https://map.naver.com/p/search/반곡동 1107", "지도Link")</f>
        <v/>
      </c>
      <c r="N498" s="6">
        <f>HYPERLINK("http://www.eum.go.kr/web/ar/lu/luLandDet.jsp?pnu=3611010100111070000&amp;isNoScr=script&amp;mode=search",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436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가로장방</t>
        </is>
      </c>
      <c r="V498" s="3" t="inlineStr">
        <is>
          <t>소로각지</t>
        </is>
      </c>
    </row>
    <row r="499">
      <c r="A499" s="3" t="inlineStr">
        <is>
          <t>반곡동 1129</t>
        </is>
      </c>
      <c r="B499" s="3" t="inlineStr">
        <is>
          <t>제1종일반주거지역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74400</v>
      </c>
      <c r="G499" s="4" t="n">
        <v>184</v>
      </c>
      <c r="H499" s="4" t="n">
        <v>56</v>
      </c>
      <c r="I499" s="5" t="n">
        <v>1328.6</v>
      </c>
      <c r="J499" s="5" t="n">
        <v>406.3</v>
      </c>
      <c r="K499" s="3" t="inlineStr">
        <is>
          <t>상가주택용 토지,설계도면무료제공</t>
        </is>
      </c>
      <c r="L499" s="6">
        <f>HYPERLINK("https://fin.land.naver.com/articles/2650423010", "매물Link")</f>
        <v/>
      </c>
      <c r="M499" s="6">
        <f>HYPERLINK("https://map.naver.com/p/search/반곡동 1129", "지도Link")</f>
        <v/>
      </c>
      <c r="N499" s="6">
        <f>HYPERLINK("http://www.eum.go.kr/web/ar/lu/luLandDet.jsp?pnu=3611010100111290000&amp;isNoScr=script&amp;mode=search", "토지이음")</f>
        <v/>
      </c>
      <c r="O499" s="3" t="inlineStr">
        <is>
          <t>세종시티</t>
        </is>
      </c>
      <c r="P499" s="4" t="n">
        <v>1</v>
      </c>
      <c r="Q499" s="4" t="n">
        <v>184.4</v>
      </c>
      <c r="R499" s="3" t="inlineStr">
        <is>
          <t>지정되지않음</t>
        </is>
      </c>
      <c r="S499" s="3" t="inlineStr">
        <is>
          <t>주상나지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1130</t>
        </is>
      </c>
      <c r="B500" s="3" t="inlineStr">
        <is>
          <t>제1종일반주거지역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76000</v>
      </c>
      <c r="G500" s="4" t="n">
        <v>186</v>
      </c>
      <c r="H500" s="4" t="n">
        <v>56</v>
      </c>
      <c r="I500" s="5" t="n">
        <v>1357.1</v>
      </c>
      <c r="J500" s="5" t="n">
        <v>406.3</v>
      </c>
      <c r="K500" s="3" t="inlineStr">
        <is>
          <t>상가주택지매매, 협의가능, 설계도면제공원할시.
자세한건 사무실로 연락~</t>
        </is>
      </c>
      <c r="L500" s="6">
        <f>HYPERLINK("https://fin.land.naver.com/articles/2650423044", "매물Link")</f>
        <v/>
      </c>
      <c r="M500" s="6">
        <f>HYPERLINK("https://map.naver.com/p/search/반곡동 1130", "지도Link")</f>
        <v/>
      </c>
      <c r="N500" s="6">
        <f>HYPERLINK("http://www.eum.go.kr/web/ar/lu/luLandDet.jsp?pnu=3611010100111300000&amp;isNoScr=script&amp;mode=search", "토지이음")</f>
        <v/>
      </c>
      <c r="O500" s="3" t="inlineStr">
        <is>
          <t>세종시티</t>
        </is>
      </c>
      <c r="P500" s="4" t="n">
        <v>1</v>
      </c>
      <c r="Q500" s="4" t="n">
        <v>186.4</v>
      </c>
      <c r="R500" s="3" t="inlineStr">
        <is>
          <t>지정되지않음</t>
        </is>
      </c>
      <c r="S500" s="3" t="inlineStr">
        <is>
          <t>주상나지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1137</t>
        </is>
      </c>
      <c r="B501" s="3" t="inlineStr">
        <is>
          <t>제1종일반주거지역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80000</v>
      </c>
      <c r="G501" s="4" t="n">
        <v>231</v>
      </c>
      <c r="H501" s="4" t="n">
        <v>70</v>
      </c>
      <c r="I501" s="5" t="n">
        <v>1142.9</v>
      </c>
      <c r="J501" s="5" t="n">
        <v>450.6</v>
      </c>
      <c r="K501" s="3" t="inlineStr">
        <is>
          <t>세종시 유일 점포 주택, 반곡동 단독주택지  괴화산 수루배마을 중심부</t>
        </is>
      </c>
      <c r="L501" s="6">
        <f>HYPERLINK("https://fin.land.naver.com/articles/2650832993", "매물Link")</f>
        <v/>
      </c>
      <c r="M501" s="6">
        <f>HYPERLINK("https://map.naver.com/p/search/반곡동 1137", "지도Link")</f>
        <v/>
      </c>
      <c r="N501" s="6">
        <f>HYPERLINK("http://www.eum.go.kr/web/ar/lu/luLandDet.jsp?pnu=3611010100111370000&amp;isNoScr=script&amp;mode=search", "토지이음")</f>
        <v/>
      </c>
      <c r="O501" s="3" t="inlineStr">
        <is>
          <t>세종디아트114</t>
        </is>
      </c>
      <c r="P501" s="4" t="n">
        <v>1</v>
      </c>
      <c r="Q501" s="4" t="n">
        <v>230.7</v>
      </c>
      <c r="R501" s="3" t="inlineStr">
        <is>
          <t>지정되지않음</t>
        </is>
      </c>
      <c r="S501" s="3" t="inlineStr">
        <is>
          <t>주상나지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중로각지</t>
        </is>
      </c>
    </row>
    <row r="502">
      <c r="A502" s="3" t="inlineStr">
        <is>
          <t>반곡동 1156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210000</v>
      </c>
      <c r="G502" s="4" t="n">
        <v>617</v>
      </c>
      <c r="H502" s="4" t="n">
        <v>187</v>
      </c>
      <c r="I502" s="5" t="n">
        <v>1123</v>
      </c>
      <c r="J502" s="5" t="n">
        <v>581.2</v>
      </c>
      <c r="K502" s="3" t="inlineStr">
        <is>
          <t>명성공인, 전용186.64, 근생용지 추천 매물</t>
        </is>
      </c>
      <c r="L502" s="6">
        <f>HYPERLINK("https://fin.land.naver.com/articles/2646317246", "매물Link")</f>
        <v/>
      </c>
      <c r="M502" s="6">
        <f>HYPERLINK("https://map.naver.com/p/search/반곡동 1156", "지도Link")</f>
        <v/>
      </c>
      <c r="N502" s="6">
        <f>HYPERLINK("http://www.eum.go.kr/web/ar/lu/luLandDet.jsp?pnu=3611010100111560000&amp;isNoScr=script&amp;mode=search", "토지이음")</f>
        <v/>
      </c>
      <c r="O502" s="3" t="inlineStr">
        <is>
          <t>명성</t>
        </is>
      </c>
      <c r="P502" s="4" t="n">
        <v>1</v>
      </c>
      <c r="Q502" s="4" t="n">
        <v>617</v>
      </c>
      <c r="R502" s="3" t="inlineStr">
        <is>
          <t>지정되지않음</t>
        </is>
      </c>
      <c r="S502" s="3" t="inlineStr">
        <is>
          <t>상업나지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중로각지</t>
        </is>
      </c>
    </row>
    <row r="503">
      <c r="A503" s="3" t="inlineStr">
        <is>
          <t>반곡동 1156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210000</v>
      </c>
      <c r="G503" s="4" t="n">
        <v>617</v>
      </c>
      <c r="H503" s="4" t="n">
        <v>187</v>
      </c>
      <c r="I503" s="5" t="n">
        <v>1123</v>
      </c>
      <c r="J503" s="5" t="n">
        <v>581.2</v>
      </c>
      <c r="K503" s="3" t="inlineStr">
        <is>
          <t>근린생활시설용지 카페 음식점 사옥 부지 조율가능 건50 용80</t>
        </is>
      </c>
      <c r="L503" s="6">
        <f>HYPERLINK("https://fin.land.naver.com/articles/2650653700", "매물Link")</f>
        <v/>
      </c>
      <c r="M503" s="6">
        <f>HYPERLINK("https://map.naver.com/p/search/반곡동 1156", "지도Link")</f>
        <v/>
      </c>
      <c r="N503" s="6">
        <f>HYPERLINK("http://www.eum.go.kr/web/ar/lu/luLandDet.jsp?pnu=3611010100111560000&amp;isNoScr=script&amp;mode=search",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617</v>
      </c>
      <c r="R503" s="3" t="inlineStr">
        <is>
          <t>지정되지않음</t>
        </is>
      </c>
      <c r="S503" s="3" t="inlineStr">
        <is>
          <t>상업나지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중로각지</t>
        </is>
      </c>
    </row>
    <row r="504">
      <c r="A504" s="3" t="inlineStr">
        <is>
          <t>반곡동 901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88000</v>
      </c>
      <c r="G504" s="4" t="n">
        <v>289</v>
      </c>
      <c r="H504" s="4" t="n">
        <v>87</v>
      </c>
      <c r="I504" s="5" t="n">
        <v>1011.5</v>
      </c>
      <c r="J504" s="5" t="n">
        <v>262.6</v>
      </c>
      <c r="K504" s="3" t="inlineStr">
        <is>
          <t>초등학교 인접, 반곡동 토지매매, 지대 높음</t>
        </is>
      </c>
      <c r="L504" s="6">
        <f>HYPERLINK("https://fin.land.naver.com/articles/2648994826", "매물Link")</f>
        <v/>
      </c>
      <c r="M504" s="6">
        <f>HYPERLINK("https://map.naver.com/p/search/반곡동 901", "지도Link")</f>
        <v/>
      </c>
      <c r="N504" s="6">
        <f>HYPERLINK("http://www.eum.go.kr/web/ar/lu/luLandDet.jsp?pnu=3611010100109010000&amp;isNoScr=script&amp;mode=search", "토지이음")</f>
        <v/>
      </c>
      <c r="O504" s="3" t="inlineStr">
        <is>
          <t>세종무지개</t>
        </is>
      </c>
      <c r="P504" s="4" t="n">
        <v>1</v>
      </c>
      <c r="Q504" s="4" t="n">
        <v>289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901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88000</v>
      </c>
      <c r="G505" s="4" t="n">
        <v>289</v>
      </c>
      <c r="H505" s="4" t="n">
        <v>87</v>
      </c>
      <c r="I505" s="5" t="n">
        <v>1011.5</v>
      </c>
      <c r="J505" s="5" t="n">
        <v>262.6</v>
      </c>
      <c r="K505" s="3" t="inlineStr">
        <is>
          <t>지대높고 옆조망 뒷조망 잘나오는곳 초등학교 인접 BRT 인접</t>
        </is>
      </c>
      <c r="L505" s="6">
        <f>HYPERLINK("https://fin.land.naver.com/articles/2648716234", "매물Link")</f>
        <v/>
      </c>
      <c r="M505" s="6">
        <f>HYPERLINK("https://map.naver.com/p/search/반곡동 901", "지도Link")</f>
        <v/>
      </c>
      <c r="N505" s="6">
        <f>HYPERLINK("http://www.eum.go.kr/web/ar/lu/luLandDet.jsp?pnu=3611010100109010000&amp;isNoScr=script&amp;mode=search",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289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908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80000</v>
      </c>
      <c r="G506" s="4" t="n">
        <v>321</v>
      </c>
      <c r="H506" s="4" t="n">
        <v>97</v>
      </c>
      <c r="I506" s="5" t="n">
        <v>824.7</v>
      </c>
      <c r="J506" s="5" t="n">
        <v>270.5</v>
      </c>
      <c r="K506" s="3" t="inlineStr">
        <is>
          <t>사거리 코너입지, 시유지 접한 위치 좋은 토지</t>
        </is>
      </c>
      <c r="L506" s="6">
        <f>HYPERLINK("https://fin.land.naver.com/articles/2648970718", "매물Link")</f>
        <v/>
      </c>
      <c r="M506" s="6">
        <f>HYPERLINK("https://map.naver.com/p/search/반곡동 908", "지도Link")</f>
        <v/>
      </c>
      <c r="N506" s="6">
        <f>HYPERLINK("http://www.eum.go.kr/web/ar/lu/luLandDet.jsp?pnu=3611010100109080000&amp;isNoScr=script&amp;mode=search",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321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반곡동 908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80000</v>
      </c>
      <c r="G507" s="4" t="n">
        <v>321</v>
      </c>
      <c r="H507" s="4" t="n">
        <v>97</v>
      </c>
      <c r="I507" s="5" t="n">
        <v>824.7</v>
      </c>
      <c r="J507" s="5" t="n">
        <v>270.5</v>
      </c>
      <c r="K507" s="3" t="inlineStr">
        <is>
          <t>3면코너 시유지접함 위치최상</t>
        </is>
      </c>
      <c r="L507" s="6">
        <f>HYPERLINK("https://fin.land.naver.com/articles/2649625832", "매물Link")</f>
        <v/>
      </c>
      <c r="M507" s="6">
        <f>HYPERLINK("https://map.naver.com/p/search/반곡동 908", "지도Link")</f>
        <v/>
      </c>
      <c r="N507" s="6">
        <f>HYPERLINK("http://www.eum.go.kr/web/ar/lu/luLandDet.jsp?pnu=3611010100109080000&amp;isNoScr=script&amp;mode=search", "토지이음")</f>
        <v/>
      </c>
      <c r="O507" s="3" t="inlineStr">
        <is>
          <t>세종스타</t>
        </is>
      </c>
      <c r="P507" s="4" t="n">
        <v>1</v>
      </c>
      <c r="Q507" s="4" t="n">
        <v>321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반곡동 913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64000</v>
      </c>
      <c r="G508" s="4" t="n">
        <v>294</v>
      </c>
      <c r="H508" s="4" t="n">
        <v>89</v>
      </c>
      <c r="I508" s="5" t="n">
        <v>719.1</v>
      </c>
      <c r="J508" s="5" t="n">
        <v>262.6</v>
      </c>
      <c r="K508" s="3" t="inlineStr">
        <is>
          <t>괴화산과 공지 품은 힐링되는 귀한 반곡동 단독주택 필지</t>
        </is>
      </c>
      <c r="L508" s="6">
        <f>HYPERLINK("https://fin.land.naver.com/articles/2650850082", "매물Link")</f>
        <v/>
      </c>
      <c r="M508" s="6">
        <f>HYPERLINK("https://map.naver.com/p/search/반곡동 913", "지도Link")</f>
        <v/>
      </c>
      <c r="N508" s="6">
        <f>HYPERLINK("http://www.eum.go.kr/web/ar/lu/luLandDet.jsp?pnu=3611010100109130000&amp;isNoScr=script&amp;mode=search", "토지이음")</f>
        <v/>
      </c>
      <c r="O508" s="3" t="inlineStr">
        <is>
          <t>세종신한</t>
        </is>
      </c>
      <c r="P508" s="4" t="n">
        <v>1</v>
      </c>
      <c r="Q508" s="4" t="n">
        <v>294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915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65000</v>
      </c>
      <c r="G509" s="4" t="n">
        <v>295</v>
      </c>
      <c r="H509" s="4" t="n">
        <v>89</v>
      </c>
      <c r="I509" s="5" t="n">
        <v>730.3</v>
      </c>
      <c r="J509" s="5" t="n">
        <v>262.6</v>
      </c>
      <c r="K509" s="3" t="inlineStr">
        <is>
          <t>유치원. 초등학교 인근, 조용한 입지 토지</t>
        </is>
      </c>
      <c r="L509" s="6">
        <f>HYPERLINK("https://fin.land.naver.com/articles/2649002989", "매물Link")</f>
        <v/>
      </c>
      <c r="M509" s="6">
        <f>HYPERLINK("https://map.naver.com/p/search/반곡동 915", "지도Link")</f>
        <v/>
      </c>
      <c r="N509" s="6">
        <f>HYPERLINK("http://www.eum.go.kr/web/ar/lu/luLandDet.jsp?pnu=3611010100109150000&amp;isNoScr=script&amp;mode=search", "토지이음")</f>
        <v/>
      </c>
      <c r="O509" s="3" t="inlineStr">
        <is>
          <t>세종무지개</t>
        </is>
      </c>
      <c r="P509" s="4" t="n">
        <v>1</v>
      </c>
      <c r="Q509" s="4" t="n">
        <v>295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915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65000</v>
      </c>
      <c r="G510" s="4" t="n">
        <v>295</v>
      </c>
      <c r="H510" s="4" t="n">
        <v>89</v>
      </c>
      <c r="I510" s="5" t="n">
        <v>730.3</v>
      </c>
      <c r="J510" s="5" t="n">
        <v>262.6</v>
      </c>
      <c r="K510" s="3" t="inlineStr">
        <is>
          <t>산접한곳 숲유치원 초등학교 인근</t>
        </is>
      </c>
      <c r="L510" s="6">
        <f>HYPERLINK("https://fin.land.naver.com/articles/2649626129", "매물Link")</f>
        <v/>
      </c>
      <c r="M510" s="6">
        <f>HYPERLINK("https://map.naver.com/p/search/반곡동 915", "지도Link")</f>
        <v/>
      </c>
      <c r="N510" s="6">
        <f>HYPERLINK("http://www.eum.go.kr/web/ar/lu/luLandDet.jsp?pnu=3611010100109150000&amp;isNoScr=script&amp;mode=search", "토지이음")</f>
        <v/>
      </c>
      <c r="O510" s="3" t="inlineStr">
        <is>
          <t>세종스타</t>
        </is>
      </c>
      <c r="P510" s="4" t="n">
        <v>1</v>
      </c>
      <c r="Q510" s="4" t="n">
        <v>295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932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97000</v>
      </c>
      <c r="G511" s="4" t="n">
        <v>321</v>
      </c>
      <c r="H511" s="4" t="n">
        <v>97</v>
      </c>
      <c r="I511" s="5" t="n">
        <v>1000</v>
      </c>
      <c r="J511" s="5" t="n">
        <v>262.3</v>
      </c>
      <c r="K511" s="3" t="inlineStr">
        <is>
          <t>시유지접한 코너각지 조용한위치 조율가능</t>
        </is>
      </c>
      <c r="L511" s="6">
        <f>HYPERLINK("https://fin.land.naver.com/articles/2651085953", "매물Link")</f>
        <v/>
      </c>
      <c r="M511" s="6">
        <f>HYPERLINK("https://map.naver.com/p/search/반곡동 932", "지도Link")</f>
        <v/>
      </c>
      <c r="N511" s="6">
        <f>HYPERLINK("http://www.eum.go.kr/web/ar/lu/luLandDet.jsp?pnu=3611010100109320000&amp;isNoScr=script&amp;mode=search",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321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소로한면</t>
        </is>
      </c>
    </row>
    <row r="512">
      <c r="A512" s="3" t="inlineStr">
        <is>
          <t>반곡동 932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97000</v>
      </c>
      <c r="G512" s="4" t="n">
        <v>321</v>
      </c>
      <c r="H512" s="4" t="n">
        <v>97</v>
      </c>
      <c r="I512" s="5" t="n">
        <v>1000</v>
      </c>
      <c r="J512" s="5" t="n">
        <v>262.3</v>
      </c>
      <c r="K512" s="3" t="inlineStr">
        <is>
          <t>위치좋은 지대높은 토지, 97.2p, 시유지 40p 사용가능</t>
        </is>
      </c>
      <c r="L512" s="6">
        <f>HYPERLINK("https://fin.land.naver.com/articles/2651189098", "매물Link")</f>
        <v/>
      </c>
      <c r="M512" s="6">
        <f>HYPERLINK("https://map.naver.com/p/search/반곡동 932", "지도Link")</f>
        <v/>
      </c>
      <c r="N512" s="6">
        <f>HYPERLINK("http://www.eum.go.kr/web/ar/lu/luLandDet.jsp?pnu=3611010100109320000&amp;isNoScr=script&amp;mode=search", "토지이음")</f>
        <v/>
      </c>
      <c r="O512" s="3" t="inlineStr">
        <is>
          <t>세종무지개</t>
        </is>
      </c>
      <c r="P512" s="4" t="n">
        <v>1</v>
      </c>
      <c r="Q512" s="4" t="n">
        <v>321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943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73000</v>
      </c>
      <c r="G513" s="4" t="n">
        <v>350</v>
      </c>
      <c r="H513" s="4" t="n">
        <v>106</v>
      </c>
      <c r="I513" s="5" t="n">
        <v>688.7</v>
      </c>
      <c r="J513" s="5" t="n">
        <v>262.3</v>
      </c>
      <c r="K513" s="3" t="inlineStr">
        <is>
          <t>조율가능, 벙커주차장가능, 반곡동 토지매매</t>
        </is>
      </c>
      <c r="L513" s="6">
        <f>HYPERLINK("https://fin.land.naver.com/articles/2648987702", "매물Link")</f>
        <v/>
      </c>
      <c r="M513" s="6">
        <f>HYPERLINK("https://map.naver.com/p/search/반곡동 943", "지도Link")</f>
        <v/>
      </c>
      <c r="N513" s="6">
        <f>HYPERLINK("http://www.eum.go.kr/web/ar/lu/luLandDet.jsp?pnu=3611010100109430000&amp;isNoScr=script&amp;mode=search",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350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943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73000</v>
      </c>
      <c r="G514" s="4" t="n">
        <v>350</v>
      </c>
      <c r="H514" s="4" t="n">
        <v>106</v>
      </c>
      <c r="I514" s="5" t="n">
        <v>688.7</v>
      </c>
      <c r="J514" s="5" t="n">
        <v>262.3</v>
      </c>
      <c r="K514" s="3" t="inlineStr">
        <is>
          <t>실개천옆 벙커주차장 설계가능 적극조율 협의가능</t>
        </is>
      </c>
      <c r="L514" s="6">
        <f>HYPERLINK("https://fin.land.naver.com/articles/2649625471", "매물Link")</f>
        <v/>
      </c>
      <c r="M514" s="6">
        <f>HYPERLINK("https://map.naver.com/p/search/반곡동 943", "지도Link")</f>
        <v/>
      </c>
      <c r="N514" s="6">
        <f>HYPERLINK("http://www.eum.go.kr/web/ar/lu/luLandDet.jsp?pnu=3611010100109430000&amp;isNoScr=script&amp;mode=search", "토지이음")</f>
        <v/>
      </c>
      <c r="O514" s="3" t="inlineStr">
        <is>
          <t>세종스타</t>
        </is>
      </c>
      <c r="P514" s="4" t="n">
        <v>1</v>
      </c>
      <c r="Q514" s="4" t="n">
        <v>350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947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83000</v>
      </c>
      <c r="G515" s="4" t="n">
        <v>343</v>
      </c>
      <c r="H515" s="4" t="n">
        <v>104</v>
      </c>
      <c r="I515" s="5" t="n">
        <v>798.1</v>
      </c>
      <c r="J515" s="5" t="n">
        <v>262.3</v>
      </c>
      <c r="K515" s="3" t="inlineStr">
        <is>
          <t>조율가능 산조망 조용한곳 땅모양 네모반듯</t>
        </is>
      </c>
      <c r="L515" s="6">
        <f>HYPERLINK("https://fin.land.naver.com/articles/2650653583", "매물Link")</f>
        <v/>
      </c>
      <c r="M515" s="6">
        <f>HYPERLINK("https://map.naver.com/p/search/반곡동 947", "지도Link")</f>
        <v/>
      </c>
      <c r="N515" s="6">
        <f>HYPERLINK("http://www.eum.go.kr/web/ar/lu/luLandDet.jsp?pnu=3611010100109470000&amp;isNoScr=script&amp;mode=search", "토지이음")</f>
        <v/>
      </c>
      <c r="O515" s="3" t="inlineStr">
        <is>
          <t>세종스타</t>
        </is>
      </c>
      <c r="P515" s="4" t="n">
        <v>1</v>
      </c>
      <c r="Q515" s="4" t="n">
        <v>343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반곡동 959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88000</v>
      </c>
      <c r="G516" s="4" t="n">
        <v>361</v>
      </c>
      <c r="H516" s="4" t="n">
        <v>109</v>
      </c>
      <c r="I516" s="5" t="n">
        <v>807.3</v>
      </c>
      <c r="J516" s="5" t="n">
        <v>262.3</v>
      </c>
      <c r="K516" s="3" t="inlineStr">
        <is>
          <t>추가조율가능 벙커주차장가능 지대높고 개인사생활최상</t>
        </is>
      </c>
      <c r="L516" s="6">
        <f>HYPERLINK("https://fin.land.naver.com/articles/2651086630", "매물Link")</f>
        <v/>
      </c>
      <c r="M516" s="6">
        <f>HYPERLINK("https://map.naver.com/p/search/반곡동 959", "지도Link")</f>
        <v/>
      </c>
      <c r="N516" s="6">
        <f>HYPERLINK("http://www.eum.go.kr/web/ar/lu/luLandDet.jsp?pnu=3611010100109590000&amp;isNoScr=script&amp;mode=search", "토지이음")</f>
        <v/>
      </c>
      <c r="O516" s="3" t="inlineStr">
        <is>
          <t>세종스타</t>
        </is>
      </c>
      <c r="P516" s="4" t="n">
        <v>1</v>
      </c>
      <c r="Q516" s="4" t="n">
        <v>361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962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65000</v>
      </c>
      <c r="G517" s="4" t="n">
        <v>308</v>
      </c>
      <c r="H517" s="4" t="n">
        <v>93</v>
      </c>
      <c r="I517" s="5" t="n">
        <v>698.9</v>
      </c>
      <c r="J517" s="5" t="n">
        <v>262.3</v>
      </c>
      <c r="K517" s="3" t="inlineStr">
        <is>
          <t>산접한곳 벙커주차장가능 남향보행로접 조율가능</t>
        </is>
      </c>
      <c r="L517" s="6">
        <f>HYPERLINK("https://fin.land.naver.com/articles/2648979040", "매물Link")</f>
        <v/>
      </c>
      <c r="M517" s="6">
        <f>HYPERLINK("https://map.naver.com/p/search/반곡동 962", "지도Link")</f>
        <v/>
      </c>
      <c r="N517" s="6">
        <f>HYPERLINK("http://www.eum.go.kr/web/ar/lu/luLandDet.jsp?pnu=3611010100109620000&amp;isNoScr=script&amp;mode=search", "토지이음")</f>
        <v/>
      </c>
      <c r="O517" s="3" t="inlineStr">
        <is>
          <t>세종스타</t>
        </is>
      </c>
      <c r="P517" s="4" t="n">
        <v>2</v>
      </c>
      <c r="Q517" s="4" t="n">
        <v>308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963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90000</v>
      </c>
      <c r="G518" s="4" t="n">
        <v>423</v>
      </c>
      <c r="H518" s="4" t="n">
        <v>128</v>
      </c>
      <c r="I518" s="5" t="n">
        <v>703.1</v>
      </c>
      <c r="J518" s="5" t="n">
        <v>262.3</v>
      </c>
      <c r="K518" s="3" t="inlineStr">
        <is>
          <t>넓은평수,넓은지하주차장가능,고급 단독주택지,조율가</t>
        </is>
      </c>
      <c r="L518" s="6">
        <f>HYPERLINK("https://fin.land.naver.com/articles/2650422992", "매물Link")</f>
        <v/>
      </c>
      <c r="M518" s="6">
        <f>HYPERLINK("https://map.naver.com/p/search/반곡동 963", "지도Link")</f>
        <v/>
      </c>
      <c r="N518" s="6">
        <f>HYPERLINK("http://www.eum.go.kr/web/ar/lu/luLandDet.jsp?pnu=3611010100109630000&amp;isNoScr=script&amp;mode=search", "토지이음")</f>
        <v/>
      </c>
      <c r="O518" s="3" t="inlineStr">
        <is>
          <t>세종시티</t>
        </is>
      </c>
      <c r="P518" s="4" t="n">
        <v>1</v>
      </c>
      <c r="Q518" s="4" t="n">
        <v>423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963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90000</v>
      </c>
      <c r="G519" s="4" t="n">
        <v>423</v>
      </c>
      <c r="H519" s="4" t="n">
        <v>128</v>
      </c>
      <c r="I519" s="5" t="n">
        <v>703.1</v>
      </c>
      <c r="J519" s="5" t="n">
        <v>262.3</v>
      </c>
      <c r="K519" s="3" t="inlineStr">
        <is>
          <t>I 신한 I  국회 집무실 인근  BRT 상권 학교 모두 품은 귀한 택지</t>
        </is>
      </c>
      <c r="L519" s="6">
        <f>HYPERLINK("https://fin.land.naver.com/articles/2650547909", "매물Link")</f>
        <v/>
      </c>
      <c r="M519" s="6">
        <f>HYPERLINK("https://map.naver.com/p/search/반곡동 963", "지도Link")</f>
        <v/>
      </c>
      <c r="N519" s="6">
        <f>HYPERLINK("http://www.eum.go.kr/web/ar/lu/luLandDet.jsp?pnu=3611010100109630000&amp;isNoScr=script&amp;mode=search", "토지이음")</f>
        <v/>
      </c>
      <c r="O519" s="3" t="inlineStr">
        <is>
          <t>세종신한</t>
        </is>
      </c>
      <c r="P519" s="4" t="n">
        <v>1</v>
      </c>
      <c r="Q519" s="4" t="n">
        <v>423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979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68000</v>
      </c>
      <c r="G520" s="4" t="n">
        <v>324</v>
      </c>
      <c r="H520" s="4" t="n">
        <v>98</v>
      </c>
      <c r="I520" s="5" t="n">
        <v>693.9</v>
      </c>
      <c r="J520" s="5" t="n">
        <v>262.3</v>
      </c>
      <c r="K520" s="3" t="inlineStr">
        <is>
          <t>급매 3면코너 최고위치 조율협의가능</t>
        </is>
      </c>
      <c r="L520" s="6">
        <f>HYPERLINK("https://fin.land.naver.com/articles/2649625260", "매물Link")</f>
        <v/>
      </c>
      <c r="M520" s="6">
        <f>HYPERLINK("https://map.naver.com/p/search/반곡동 979", "지도Link")</f>
        <v/>
      </c>
      <c r="N520" s="6">
        <f>HYPERLINK("http://www.eum.go.kr/web/ar/lu/luLandDet.jsp?pnu=3611010100109790000&amp;isNoScr=script&amp;mode=search", "토지이음")</f>
        <v/>
      </c>
      <c r="O520" s="3" t="inlineStr">
        <is>
          <t>세종스타</t>
        </is>
      </c>
      <c r="P520" s="4" t="n">
        <v>1</v>
      </c>
      <c r="Q520" s="4" t="n">
        <v>324.4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979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68000</v>
      </c>
      <c r="G521" s="4" t="n">
        <v>324</v>
      </c>
      <c r="H521" s="4" t="n">
        <v>98</v>
      </c>
      <c r="I521" s="5" t="n">
        <v>693.9</v>
      </c>
      <c r="J521" s="5" t="n">
        <v>262.3</v>
      </c>
      <c r="K521" s="3" t="inlineStr">
        <is>
          <t>반곡동 위치 좋은 단독주택, 코너입지</t>
        </is>
      </c>
      <c r="L521" s="6">
        <f>HYPERLINK("https://fin.land.naver.com/articles/2648962092", "매물Link")</f>
        <v/>
      </c>
      <c r="M521" s="6">
        <f>HYPERLINK("https://map.naver.com/p/search/반곡동 979", "지도Link")</f>
        <v/>
      </c>
      <c r="N521" s="6">
        <f>HYPERLINK("http://www.eum.go.kr/web/ar/lu/luLandDet.jsp?pnu=3611010100109790000&amp;isNoScr=script&amp;mode=search", "토지이음")</f>
        <v/>
      </c>
      <c r="O521" s="3" t="inlineStr">
        <is>
          <t>세종무지개</t>
        </is>
      </c>
      <c r="P521" s="4" t="n">
        <v>1</v>
      </c>
      <c r="Q521" s="4" t="n">
        <v>324.4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995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50000</v>
      </c>
      <c r="G522" s="4" t="n">
        <v>168</v>
      </c>
      <c r="H522" s="4" t="n">
        <v>51</v>
      </c>
      <c r="I522" s="5" t="n">
        <v>980.4</v>
      </c>
      <c r="J522" s="5" t="n">
        <v>265</v>
      </c>
      <c r="K522" s="3" t="inlineStr">
        <is>
          <t>나대지,  전용주거지역, 조용하고 깨끗한 도시</t>
        </is>
      </c>
      <c r="L522" s="6">
        <f>HYPERLINK("https://fin.land.naver.com/articles/2650584726", "매물Link")</f>
        <v/>
      </c>
      <c r="M522" s="6">
        <f>HYPERLINK("https://map.naver.com/p/search/반곡동 995", "지도Link")</f>
        <v/>
      </c>
      <c r="N522" s="6">
        <f>HYPERLINK("http://www.eum.go.kr/web/ar/lu/luLandDet.jsp?pnu=3611010100109950000&amp;isNoScr=script&amp;mode=search", "토지이음")</f>
        <v/>
      </c>
      <c r="O522" s="3" t="inlineStr">
        <is>
          <t>상계랜드 무소</t>
        </is>
      </c>
      <c r="P522" s="4" t="n">
        <v>1</v>
      </c>
      <c r="Q522" s="4" t="n">
        <v>168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세로장방</t>
        </is>
      </c>
      <c r="V522" s="3" t="inlineStr">
        <is>
          <t>소로한면</t>
        </is>
      </c>
    </row>
    <row r="523">
      <c r="A523" s="3" t="inlineStr">
        <is>
          <t>부강면 갈산리 231-5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대</t>
        </is>
      </c>
      <c r="E523" s="3" t="inlineStr">
        <is>
          <t>매매</t>
        </is>
      </c>
      <c r="F523" s="4" t="n">
        <v>29000</v>
      </c>
      <c r="G523" s="4" t="n">
        <v>563</v>
      </c>
      <c r="H523" s="4" t="n">
        <v>170</v>
      </c>
      <c r="I523" s="5" t="n">
        <v>170.6</v>
      </c>
      <c r="J523" s="5" t="n">
        <v>38.9</v>
      </c>
      <c r="K523" s="3" t="inlineStr">
        <is>
          <t>2필지합, 하우스, 농막 적지, 계획관리지역, 토지매매</t>
        </is>
      </c>
      <c r="L523" s="6">
        <f>HYPERLINK("https://fin.land.naver.com/articles/2646790714", "매물Link")</f>
        <v/>
      </c>
      <c r="M523" s="6">
        <f>HYPERLINK("https://map.naver.com/p/search/부강면 갈산리 231-5", "지도Link")</f>
        <v/>
      </c>
      <c r="N523" s="6">
        <f>HYPERLINK("http://www.eum.go.kr/web/ar/lu/luLandDet.jsp?pnu=3611033024102310005&amp;isNoScr=script&amp;mode=search", "토지이음")</f>
        <v/>
      </c>
      <c r="O523" s="3" t="inlineStr">
        <is>
          <t>성공</t>
        </is>
      </c>
      <c r="P523" s="4" t="n">
        <v>1</v>
      </c>
      <c r="Q523" s="4" t="n">
        <v>357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갈산리 260</t>
        </is>
      </c>
      <c r="B524" s="3" t="inlineStr">
        <is>
          <t>계획관리지역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57000</v>
      </c>
      <c r="G524" s="4" t="n">
        <v>1190</v>
      </c>
      <c r="H524" s="4" t="n">
        <v>360</v>
      </c>
      <c r="I524" s="5" t="n">
        <v>158.3</v>
      </c>
      <c r="J524" s="5" t="n">
        <v>32.6</v>
      </c>
      <c r="K524" s="3" t="inlineStr">
        <is>
          <t>nan</t>
        </is>
      </c>
      <c r="L524" s="6">
        <f>HYPERLINK("https://fin.land.naver.com/articles/2650523953", "매물Link")</f>
        <v/>
      </c>
      <c r="M524" s="6">
        <f>HYPERLINK("https://map.naver.com/p/search/부강면 갈산리 260", "지도Link")</f>
        <v/>
      </c>
      <c r="N524" s="6">
        <f>HYPERLINK("http://www.eum.go.kr/web/ar/lu/luLandDet.jsp?pnu=3611033024102600000&amp;isNoScr=script&amp;mode=search", "토지이음")</f>
        <v/>
      </c>
      <c r="O524" s="3" t="inlineStr">
        <is>
          <t>스카이</t>
        </is>
      </c>
      <c r="P524" s="4" t="n">
        <v>1</v>
      </c>
      <c r="Q524" s="4" t="n">
        <v>1190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세로한면(불)</t>
        </is>
      </c>
    </row>
    <row r="525">
      <c r="A525" s="3" t="inlineStr">
        <is>
          <t>부강면 갈산리 395</t>
        </is>
      </c>
      <c r="B525" s="3" t="inlineStr">
        <is>
          <t>계획관리지역</t>
        </is>
      </c>
      <c r="C525" s="3" t="inlineStr">
        <is>
          <t>공장용지</t>
        </is>
      </c>
      <c r="D525" s="3" t="inlineStr">
        <is>
          <t>공장용지</t>
        </is>
      </c>
      <c r="E525" s="3" t="inlineStr">
        <is>
          <t>매매</t>
        </is>
      </c>
      <c r="F525" s="4" t="n">
        <v>630000</v>
      </c>
      <c r="G525" s="4" t="n">
        <v>13872</v>
      </c>
      <c r="H525" s="4" t="n">
        <v>4196</v>
      </c>
      <c r="I525" s="5" t="n">
        <v>150.1</v>
      </c>
      <c r="J525" s="5" t="n">
        <v>79.40000000000001</v>
      </c>
      <c r="K525" s="3" t="inlineStr">
        <is>
          <t>남청주 ic 5분, 2차선에서 진입가능한 공장부지</t>
        </is>
      </c>
      <c r="L525" s="6">
        <f>HYPERLINK("https://fin.land.naver.com/articles/2649865459", "매물Link")</f>
        <v/>
      </c>
      <c r="M525" s="6">
        <f>HYPERLINK("https://map.naver.com/p/search/부강면 갈산리 395", "지도Link")</f>
        <v/>
      </c>
      <c r="N525" s="6">
        <f>HYPERLINK("http://www.eum.go.kr/web/ar/lu/luLandDet.jsp?pnu=3611033024103950000&amp;isNoScr=script&amp;mode=search", "토지이음")</f>
        <v/>
      </c>
      <c r="O525" s="3" t="inlineStr">
        <is>
          <t>토담</t>
        </is>
      </c>
      <c r="P525" s="4" t="n">
        <v>1</v>
      </c>
      <c r="Q525" s="4" t="n">
        <v>1283</v>
      </c>
      <c r="R525" s="3" t="inlineStr">
        <is>
          <t>지정되지않음</t>
        </is>
      </c>
      <c r="S525" s="3" t="inlineStr">
        <is>
          <t>공업용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소로한면</t>
        </is>
      </c>
    </row>
    <row r="526">
      <c r="A526" s="3" t="inlineStr">
        <is>
          <t>부강면 갈산리 395</t>
        </is>
      </c>
      <c r="B526" s="3" t="inlineStr">
        <is>
          <t>계획관리지역</t>
        </is>
      </c>
      <c r="C526" s="3" t="inlineStr">
        <is>
          <t>공장용지</t>
        </is>
      </c>
      <c r="D526" s="3" t="inlineStr">
        <is>
          <t>공장용지</t>
        </is>
      </c>
      <c r="E526" s="3" t="inlineStr">
        <is>
          <t>매매</t>
        </is>
      </c>
      <c r="F526" s="4" t="n">
        <v>630000</v>
      </c>
      <c r="G526" s="4" t="n">
        <v>13872</v>
      </c>
      <c r="H526" s="4" t="n">
        <v>4196</v>
      </c>
      <c r="I526" s="5" t="n">
        <v>150.1</v>
      </c>
      <c r="J526" s="5" t="n">
        <v>79.40000000000001</v>
      </c>
      <c r="K526" s="3" t="inlineStr">
        <is>
          <t>4200 남청주ic 5분 공장용지 물류센터 창고</t>
        </is>
      </c>
      <c r="L526" s="6">
        <f>HYPERLINK("https://fin.land.naver.com/articles/2650949462", "매물Link")</f>
        <v/>
      </c>
      <c r="M526" s="6">
        <f>HYPERLINK("https://map.naver.com/p/search/부강면 갈산리 395", "지도Link")</f>
        <v/>
      </c>
      <c r="N526" s="6">
        <f>HYPERLINK("http://www.eum.go.kr/web/ar/lu/luLandDet.jsp?pnu=3611033024103950000&amp;isNoScr=script&amp;mode=search", "토지이음")</f>
        <v/>
      </c>
      <c r="O526" s="3" t="inlineStr">
        <is>
          <t>반포더드림</t>
        </is>
      </c>
      <c r="P526" s="4" t="n">
        <v>1</v>
      </c>
      <c r="Q526" s="4" t="n">
        <v>1283</v>
      </c>
      <c r="R526" s="3" t="inlineStr">
        <is>
          <t>지정되지않음</t>
        </is>
      </c>
      <c r="S526" s="3" t="inlineStr">
        <is>
          <t>공업용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소로한면</t>
        </is>
      </c>
    </row>
    <row r="527">
      <c r="A527" s="3" t="inlineStr">
        <is>
          <t>부강면 갈산리 398-4</t>
        </is>
      </c>
      <c r="B527" s="3" t="inlineStr">
        <is>
          <t>계획관리지역</t>
        </is>
      </c>
      <c r="C527" s="3" t="inlineStr">
        <is>
          <t>공장용지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630000</v>
      </c>
      <c r="G527" s="4" t="n">
        <v>13896</v>
      </c>
      <c r="H527" s="4" t="n">
        <v>4204</v>
      </c>
      <c r="I527" s="5" t="n">
        <v>149.9</v>
      </c>
      <c r="J527" s="5" t="n">
        <v>80.3</v>
      </c>
      <c r="K527" s="3" t="inlineStr">
        <is>
          <t>nan</t>
        </is>
      </c>
      <c r="L527" s="6">
        <f>HYPERLINK("https://fin.land.naver.com/articles/2646264083", "매물Link")</f>
        <v/>
      </c>
      <c r="M527" s="6">
        <f>HYPERLINK("https://map.naver.com/p/search/부강면 갈산리 398-4", "지도Link")</f>
        <v/>
      </c>
      <c r="N527" s="6">
        <f>HYPERLINK("http://www.eum.go.kr/web/ar/lu/luLandDet.jsp?pnu=3611033024103980004&amp;isNoScr=script&amp;mode=search", "토지이음")</f>
        <v/>
      </c>
      <c r="O527" s="3" t="inlineStr">
        <is>
          <t>오너스</t>
        </is>
      </c>
      <c r="P527" s="4" t="n">
        <v>1</v>
      </c>
      <c r="Q527" s="4" t="n">
        <v>7677</v>
      </c>
      <c r="R527" s="3" t="inlineStr">
        <is>
          <t>지정되지않음</t>
        </is>
      </c>
      <c r="S527" s="3" t="inlineStr">
        <is>
          <t>공업용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소로한면</t>
        </is>
      </c>
    </row>
    <row r="528">
      <c r="A528" s="3" t="inlineStr">
        <is>
          <t>부강면 갈산리 451-2</t>
        </is>
      </c>
      <c r="B528" s="3" t="inlineStr">
        <is>
          <t>농림지역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98200</v>
      </c>
      <c r="G528" s="4" t="n">
        <v>3246</v>
      </c>
      <c r="H528" s="4" t="n">
        <v>982</v>
      </c>
      <c r="I528" s="5" t="n">
        <v>100</v>
      </c>
      <c r="J528" s="5" t="n">
        <v>23.1</v>
      </c>
      <c r="K528" s="3" t="inlineStr">
        <is>
          <t>세종시 부강의 농업보호구역 농지 매매</t>
        </is>
      </c>
      <c r="L528" s="6">
        <f>HYPERLINK("https://fin.land.naver.com/articles/2648835409", "매물Link")</f>
        <v/>
      </c>
      <c r="M528" s="6">
        <f>HYPERLINK("https://map.naver.com/p/search/부강면 갈산리 451-2", "지도Link")</f>
        <v/>
      </c>
      <c r="N528" s="6">
        <f>HYPERLINK("http://www.eum.go.kr/web/ar/lu/luLandDet.jsp?pnu=3611033024104510002&amp;isNoScr=script&amp;mode=search", "토지이음")</f>
        <v/>
      </c>
      <c r="O528" s="3" t="inlineStr">
        <is>
          <t>대하</t>
        </is>
      </c>
      <c r="P528" s="4" t="n">
        <v>1</v>
      </c>
      <c r="Q528" s="4" t="n">
        <v>2194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부강면 갈산리 66-6</t>
        </is>
      </c>
      <c r="B529" s="3" t="inlineStr">
        <is>
          <t>계획관리지역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59500</v>
      </c>
      <c r="G529" s="4" t="n">
        <v>1964</v>
      </c>
      <c r="H529" s="4" t="n">
        <v>594</v>
      </c>
      <c r="I529" s="5" t="n">
        <v>100.2</v>
      </c>
      <c r="J529" s="5" t="n">
        <v>43.6</v>
      </c>
      <c r="K529" s="3" t="inlineStr">
        <is>
          <t>급매,투자추천,도로접,계획관리.</t>
        </is>
      </c>
      <c r="L529" s="6">
        <f>HYPERLINK("https://fin.land.naver.com/articles/2650666463", "매물Link")</f>
        <v/>
      </c>
      <c r="M529" s="6">
        <f>HYPERLINK("https://map.naver.com/p/search/부강면 갈산리 66-6", "지도Link")</f>
        <v/>
      </c>
      <c r="N529" s="6">
        <f>HYPERLINK("http://www.eum.go.kr/web/ar/lu/luLandDet.jsp?pnu=3611033024100660006&amp;isNoScr=script&amp;mode=search", "토지이음")</f>
        <v/>
      </c>
      <c r="O529" s="3" t="inlineStr">
        <is>
          <t>새롬공간</t>
        </is>
      </c>
      <c r="P529" s="4" t="n">
        <v>1</v>
      </c>
      <c r="Q529" s="4" t="n">
        <v>1964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세로각지(가)</t>
        </is>
      </c>
    </row>
    <row r="530">
      <c r="A530" s="3" t="inlineStr">
        <is>
          <t>부강면 갈산리 산18-1</t>
        </is>
      </c>
      <c r="B530" s="3" t="inlineStr">
        <is>
          <t>보전관리지역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1450000</v>
      </c>
      <c r="G530" s="4" t="n">
        <v>86930</v>
      </c>
      <c r="H530" s="4" t="n">
        <v>26296</v>
      </c>
      <c r="I530" s="5" t="n">
        <v>55.1</v>
      </c>
      <c r="J530" s="5" t="n">
        <v>7.6</v>
      </c>
      <c r="K530" s="3" t="inlineStr">
        <is>
          <t>6m도로 확보, 갈산교차로 인접, 도로변 광고효과</t>
        </is>
      </c>
      <c r="L530" s="6">
        <f>HYPERLINK("https://fin.land.naver.com/articles/2647676820", "매물Link")</f>
        <v/>
      </c>
      <c r="M530" s="6">
        <f>HYPERLINK("https://map.naver.com/p/search/부강면 갈산리 산18-1", "지도Link")</f>
        <v/>
      </c>
      <c r="N530" s="6">
        <f>HYPERLINK("http://www.eum.go.kr/web/ar/lu/luLandDet.jsp?pnu=3611033024200180001&amp;isNoScr=script&amp;mode=search", "토지이음")</f>
        <v/>
      </c>
      <c r="O530" s="3" t="inlineStr">
        <is>
          <t>황제</t>
        </is>
      </c>
      <c r="P530" s="4" t="n">
        <v>1</v>
      </c>
      <c r="Q530" s="4" t="n">
        <v>40759</v>
      </c>
      <c r="R530" s="3" t="inlineStr">
        <is>
          <t>계획관리지역</t>
        </is>
      </c>
      <c r="S530" s="3" t="inlineStr">
        <is>
          <t>자연림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부강면 금호리 100</t>
        </is>
      </c>
      <c r="B531" s="3" t="inlineStr">
        <is>
          <t>생산관리지역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125000</v>
      </c>
      <c r="G531" s="4" t="n">
        <v>1390</v>
      </c>
      <c r="H531" s="4" t="n">
        <v>420</v>
      </c>
      <c r="I531" s="5" t="n">
        <v>297.6</v>
      </c>
      <c r="J531" s="5" t="n">
        <v>75.59999999999999</v>
      </c>
      <c r="K531" s="3" t="inlineStr">
        <is>
          <t>nan</t>
        </is>
      </c>
      <c r="L531" s="6">
        <f>HYPERLINK("https://fin.land.naver.com/articles/2649462827", "매물Link")</f>
        <v/>
      </c>
      <c r="M531" s="6">
        <f>HYPERLINK("https://map.naver.com/p/search/부강면 금호리 100", "지도Link")</f>
        <v/>
      </c>
      <c r="N531" s="6">
        <f>HYPERLINK("http://www.eum.go.kr/web/ar/lu/luLandDet.jsp?pnu=3611033028101000000&amp;isNoScr=script&amp;mode=search", "토지이음")</f>
        <v/>
      </c>
      <c r="O531" s="3" t="inlineStr">
        <is>
          <t>이레</t>
        </is>
      </c>
      <c r="P531" s="4" t="n">
        <v>1</v>
      </c>
      <c r="Q531" s="4" t="n">
        <v>791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완경사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부강면 금호리 108</t>
        </is>
      </c>
      <c r="B532" s="3" t="inlineStr">
        <is>
          <t>생산관리지역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70000</v>
      </c>
      <c r="G532" s="4" t="n">
        <v>1772</v>
      </c>
      <c r="H532" s="4" t="n">
        <v>536</v>
      </c>
      <c r="I532" s="5" t="n">
        <v>130.6</v>
      </c>
      <c r="J532" s="5" t="n">
        <v>29.3</v>
      </c>
      <c r="K532" s="3" t="inlineStr">
        <is>
          <t>금강 뷰 전망 최고 둘레길 주변 전원주택 조성중</t>
        </is>
      </c>
      <c r="L532" s="6">
        <f>HYPERLINK("https://fin.land.naver.com/articles/2649144441", "매물Link")</f>
        <v/>
      </c>
      <c r="M532" s="6">
        <f>HYPERLINK("https://map.naver.com/p/search/부강면 금호리 108", "지도Link")</f>
        <v/>
      </c>
      <c r="N532" s="6">
        <f>HYPERLINK("http://www.eum.go.kr/web/ar/lu/luLandDet.jsp?pnu=3611033028101080000&amp;isNoScr=script&amp;mode=search", "토지이음")</f>
        <v/>
      </c>
      <c r="O532" s="3" t="inlineStr">
        <is>
          <t>광장(프라자)</t>
        </is>
      </c>
      <c r="P532" s="4" t="n">
        <v>1</v>
      </c>
      <c r="Q532" s="4" t="n">
        <v>1772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부강면 금호리 157-1</t>
        </is>
      </c>
      <c r="B533" s="3" t="inlineStr">
        <is>
          <t>계획관리지역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85000</v>
      </c>
      <c r="G533" s="4" t="n">
        <v>1100</v>
      </c>
      <c r="H533" s="4" t="n">
        <v>333</v>
      </c>
      <c r="I533" s="5" t="n">
        <v>255.3</v>
      </c>
      <c r="J533" s="5" t="n">
        <v>42.9</v>
      </c>
      <c r="K533" s="3" t="inlineStr">
        <is>
          <t>nan</t>
        </is>
      </c>
      <c r="L533" s="6">
        <f>HYPERLINK("https://fin.land.naver.com/articles/2648030293", "매물Link")</f>
        <v/>
      </c>
      <c r="M533" s="6">
        <f>HYPERLINK("https://map.naver.com/p/search/부강면 금호리 157-1", "지도Link")</f>
        <v/>
      </c>
      <c r="N533" s="6">
        <f>HYPERLINK("http://www.eum.go.kr/web/ar/lu/luLandDet.jsp?pnu=3611033028101570001&amp;isNoScr=script&amp;mode=search", "토지이음")</f>
        <v/>
      </c>
      <c r="O533" s="3" t="inlineStr">
        <is>
          <t>이레</t>
        </is>
      </c>
      <c r="P533" s="4" t="n">
        <v>1</v>
      </c>
      <c r="Q533" s="4" t="n">
        <v>852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부강면 금호리 172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67000</v>
      </c>
      <c r="G534" s="4" t="n">
        <v>797</v>
      </c>
      <c r="H534" s="4" t="n">
        <v>241</v>
      </c>
      <c r="I534" s="5" t="n">
        <v>278</v>
      </c>
      <c r="J534" s="5" t="n">
        <v>78.7</v>
      </c>
      <c r="K534" s="3" t="inlineStr">
        <is>
          <t>금강 뷰가 내려 보이는 조망 최고의 전원주택 부지. 신도심 접근성 용이</t>
        </is>
      </c>
      <c r="L534" s="6">
        <f>HYPERLINK("https://fin.land.naver.com/articles/2647876853", "매물Link")</f>
        <v/>
      </c>
      <c r="M534" s="6">
        <f>HYPERLINK("https://map.naver.com/p/search/부강면 금호리 172", "지도Link")</f>
        <v/>
      </c>
      <c r="N534" s="6">
        <f>HYPERLINK("http://www.eum.go.kr/web/ar/lu/luLandDet.jsp?pnu=3611033028101720000&amp;isNoScr=script&amp;mode=search", "토지이음")</f>
        <v/>
      </c>
      <c r="O534" s="3" t="inlineStr">
        <is>
          <t>신영</t>
        </is>
      </c>
      <c r="P534" s="4" t="n">
        <v>1</v>
      </c>
      <c r="Q534" s="4" t="n">
        <v>797</v>
      </c>
      <c r="R534" s="3" t="inlineStr">
        <is>
          <t>지정되지않음</t>
        </is>
      </c>
      <c r="S534" s="3" t="inlineStr">
        <is>
          <t>주거기타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부강면 금호리 188-2</t>
        </is>
      </c>
      <c r="B535" s="3" t="inlineStr">
        <is>
          <t>계획관리지역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150000</v>
      </c>
      <c r="G535" s="4" t="n">
        <v>3368</v>
      </c>
      <c r="H535" s="4" t="n">
        <v>1019</v>
      </c>
      <c r="I535" s="5" t="n">
        <v>147.2</v>
      </c>
      <c r="J535" s="5" t="n">
        <v>38</v>
      </c>
      <c r="K535" s="3" t="inlineStr">
        <is>
          <t>nan</t>
        </is>
      </c>
      <c r="L535" s="6">
        <f>HYPERLINK("https://fin.land.naver.com/articles/2646689407", "매물Link")</f>
        <v/>
      </c>
      <c r="M535" s="6">
        <f>HYPERLINK("https://map.naver.com/p/search/부강면 금호리 188-2", "지도Link")</f>
        <v/>
      </c>
      <c r="N535" s="6">
        <f>HYPERLINK("http://www.eum.go.kr/web/ar/lu/luLandDet.jsp?pnu=3611033028101880002&amp;isNoScr=script&amp;mode=search", "토지이음")</f>
        <v/>
      </c>
      <c r="O535" s="3" t="inlineStr">
        <is>
          <t>대박</t>
        </is>
      </c>
      <c r="P535" s="4" t="n">
        <v>1</v>
      </c>
      <c r="Q535" s="4" t="n">
        <v>1821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맹지</t>
        </is>
      </c>
    </row>
    <row r="536">
      <c r="A536" s="3" t="inlineStr">
        <is>
          <t>부강면 금호리 207-3</t>
        </is>
      </c>
      <c r="B536" s="3" t="inlineStr">
        <is>
          <t>계획관리지역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82000</v>
      </c>
      <c r="G536" s="4" t="n">
        <v>2707</v>
      </c>
      <c r="H536" s="4" t="n">
        <v>819</v>
      </c>
      <c r="I536" s="5" t="n">
        <v>100.1</v>
      </c>
      <c r="J536" s="5" t="n">
        <v>42.9</v>
      </c>
      <c r="K536" s="3" t="inlineStr">
        <is>
          <t>계획관리 답. 4미터 도로 접. 부강일반산단 옆</t>
        </is>
      </c>
      <c r="L536" s="6">
        <f>HYPERLINK("https://fin.land.naver.com/articles/2648341642", "매물Link")</f>
        <v/>
      </c>
      <c r="M536" s="6">
        <f>HYPERLINK("https://map.naver.com/p/search/부강면 금호리 207-3", "지도Link")</f>
        <v/>
      </c>
      <c r="N536" s="6">
        <f>HYPERLINK("http://www.eum.go.kr/web/ar/lu/luLandDet.jsp?pnu=3611033028102070003&amp;isNoScr=script&amp;mode=search", "토지이음")</f>
        <v/>
      </c>
      <c r="O536" s="3" t="inlineStr">
        <is>
          <t>미스터홈즈강남지사</t>
        </is>
      </c>
      <c r="P536" s="4" t="n">
        <v>1</v>
      </c>
      <c r="Q536" s="4" t="n">
        <v>2707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부강면 금호리 234-5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109000</v>
      </c>
      <c r="G537" s="4" t="n">
        <v>939</v>
      </c>
      <c r="H537" s="4" t="n">
        <v>284</v>
      </c>
      <c r="I537" s="5" t="n">
        <v>383.8</v>
      </c>
      <c r="J537" s="5" t="n">
        <v>89.90000000000001</v>
      </c>
      <c r="K537" s="3" t="inlineStr">
        <is>
          <t>인테리어 걱정 없는 완벽한 카페 건물 및 조경 포함</t>
        </is>
      </c>
      <c r="L537" s="6">
        <f>HYPERLINK("https://fin.land.naver.com/articles/2650931748", "매물Link")</f>
        <v/>
      </c>
      <c r="M537" s="6">
        <f>HYPERLINK("https://map.naver.com/p/search/부강면 금호리 234-5", "지도Link")</f>
        <v/>
      </c>
      <c r="N537" s="6">
        <f>HYPERLINK("http://www.eum.go.kr/web/ar/lu/luLandDet.jsp?pnu=3611033028102340005&amp;isNoScr=script&amp;mode=search", "토지이음")</f>
        <v/>
      </c>
      <c r="O537" s="3" t="inlineStr">
        <is>
          <t>하임</t>
        </is>
      </c>
      <c r="P537" s="4" t="n">
        <v>1</v>
      </c>
      <c r="Q537" s="4" t="n">
        <v>939</v>
      </c>
      <c r="R537" s="3" t="inlineStr">
        <is>
          <t>지정되지않음</t>
        </is>
      </c>
      <c r="S537" s="3" t="inlineStr">
        <is>
          <t>주거기타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부강면 금호리 240-10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82500</v>
      </c>
      <c r="G538" s="4" t="n">
        <v>819</v>
      </c>
      <c r="H538" s="4" t="n">
        <v>248</v>
      </c>
      <c r="I538" s="5" t="n">
        <v>332.7</v>
      </c>
      <c r="J538" s="5" t="n">
        <v>59.7</v>
      </c>
      <c r="K538" s="3" t="inlineStr">
        <is>
          <t>계획관리지역. 성장관리계획구역. 기존산업단지와 연결되는 인접 토지 매매</t>
        </is>
      </c>
      <c r="L538" s="6">
        <f>HYPERLINK("https://fin.land.naver.com/articles/2648117869", "매물Link")</f>
        <v/>
      </c>
      <c r="M538" s="6">
        <f>HYPERLINK("https://map.naver.com/p/search/부강면 금호리 240-10", "지도Link")</f>
        <v/>
      </c>
      <c r="N538" s="6">
        <f>HYPERLINK("http://www.eum.go.kr/web/ar/lu/luLandDet.jsp?pnu=3611033028102400010&amp;isNoScr=script&amp;mode=search", "토지이음")</f>
        <v/>
      </c>
      <c r="O538" s="3" t="inlineStr">
        <is>
          <t>진행</t>
        </is>
      </c>
      <c r="P538" s="4" t="n">
        <v>1</v>
      </c>
      <c r="Q538" s="4" t="n">
        <v>819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30-2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공장용지</t>
        </is>
      </c>
      <c r="E539" s="3" t="inlineStr">
        <is>
          <t>매매</t>
        </is>
      </c>
      <c r="F539" s="4" t="n">
        <v>210000</v>
      </c>
      <c r="G539" s="4" t="n">
        <v>4328</v>
      </c>
      <c r="H539" s="4" t="n">
        <v>1309</v>
      </c>
      <c r="I539" s="5" t="n">
        <v>160.4</v>
      </c>
      <c r="J539" s="5" t="n">
        <v>80.7</v>
      </c>
      <c r="K539" s="3" t="inlineStr">
        <is>
          <t>공장용지로 지리적위치 접근성이좋고 산업폐기물 인.허가 득하여 투자성이좋음</t>
        </is>
      </c>
      <c r="L539" s="6">
        <f>HYPERLINK("https://fin.land.naver.com/articles/2650435382", "매물Link")</f>
        <v/>
      </c>
      <c r="M539" s="6">
        <f>HYPERLINK("https://map.naver.com/p/search/부강면 금호리 30-2", "지도Link")</f>
        <v/>
      </c>
      <c r="N539" s="6">
        <f>HYPERLINK("http://www.eum.go.kr/web/ar/lu/luLandDet.jsp?pnu=3611033028100300002&amp;isNoScr=script&amp;mode=search", "토지이음")</f>
        <v/>
      </c>
      <c r="O539" s="3" t="inlineStr">
        <is>
          <t>오투그린1</t>
        </is>
      </c>
      <c r="P539" s="4" t="n">
        <v>1</v>
      </c>
      <c r="Q539" s="4" t="n">
        <v>4328</v>
      </c>
      <c r="R539" s="3" t="inlineStr">
        <is>
          <t>지정되지않음</t>
        </is>
      </c>
      <c r="S539" s="3" t="inlineStr">
        <is>
          <t>공업기타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부강면 금호리 358-4</t>
        </is>
      </c>
      <c r="B540" s="3" t="inlineStr">
        <is>
          <t>보전관리지역</t>
        </is>
      </c>
      <c r="C540" s="3" t="inlineStr">
        <is>
          <t>임야</t>
        </is>
      </c>
      <c r="D540" s="3" t="inlineStr">
        <is>
          <t>임야</t>
        </is>
      </c>
      <c r="E540" s="3" t="inlineStr">
        <is>
          <t>매매</t>
        </is>
      </c>
      <c r="F540" s="4" t="n">
        <v>60000</v>
      </c>
      <c r="G540" s="4" t="n">
        <v>995</v>
      </c>
      <c r="H540" s="4" t="n">
        <v>301</v>
      </c>
      <c r="I540" s="5" t="n">
        <v>199.3</v>
      </c>
      <c r="J540" s="5" t="n">
        <v>5.2</v>
      </c>
      <c r="K540" s="3" t="inlineStr">
        <is>
          <t>건축허가 되어 있고 수도 오수 시설도 완비됨 전원주택지로 적합</t>
        </is>
      </c>
      <c r="L540" s="6">
        <f>HYPERLINK("https://fin.land.naver.com/articles/2648927634", "매물Link")</f>
        <v/>
      </c>
      <c r="M540" s="6">
        <f>HYPERLINK("https://map.naver.com/p/search/부강면 금호리 358-4", "지도Link")</f>
        <v/>
      </c>
      <c r="N540" s="6">
        <f>HYPERLINK("http://www.eum.go.kr/web/ar/lu/luLandDet.jsp?pnu=3611033028103580004&amp;isNoScr=script&amp;mode=search", "토지이음")</f>
        <v/>
      </c>
      <c r="O540" s="3" t="inlineStr">
        <is>
          <t>도램마을</t>
        </is>
      </c>
      <c r="P540" s="4" t="n">
        <v>2</v>
      </c>
      <c r="Q540" s="4" t="n">
        <v>995</v>
      </c>
      <c r="R540" s="3" t="inlineStr">
        <is>
          <t>지정되지않음</t>
        </is>
      </c>
      <c r="S540" s="3" t="inlineStr">
        <is>
          <t>자연림</t>
        </is>
      </c>
      <c r="T540" s="3" t="inlineStr">
        <is>
          <t>완경사</t>
        </is>
      </c>
      <c r="U540" s="3" t="inlineStr">
        <is>
          <t>정방형</t>
        </is>
      </c>
      <c r="V540" s="3" t="inlineStr">
        <is>
          <t>맹지</t>
        </is>
      </c>
    </row>
    <row r="541">
      <c r="A541" s="3" t="inlineStr">
        <is>
          <t>부강면 금호리 358-4</t>
        </is>
      </c>
      <c r="B541" s="3" t="inlineStr">
        <is>
          <t>보전관리지역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25000</v>
      </c>
      <c r="G541" s="4" t="n">
        <v>1263</v>
      </c>
      <c r="H541" s="4" t="n">
        <v>382</v>
      </c>
      <c r="I541" s="5" t="n">
        <v>65.40000000000001</v>
      </c>
      <c r="J541" s="5" t="n">
        <v>5.2</v>
      </c>
      <c r="K541" s="3" t="inlineStr">
        <is>
          <t>즉시 신축 가능 매매 급매물 상.하수도 전기 기반공사 완료돼있고 건축허가</t>
        </is>
      </c>
      <c r="L541" s="6">
        <f>HYPERLINK("https://fin.land.naver.com/articles/2648082259", "매물Link")</f>
        <v/>
      </c>
      <c r="M541" s="6">
        <f>HYPERLINK("https://map.naver.com/p/search/부강면 금호리 358-4", "지도Link")</f>
        <v/>
      </c>
      <c r="N541" s="6">
        <f>HYPERLINK("http://www.eum.go.kr/web/ar/lu/luLandDet.jsp?pnu=3611033028103580004&amp;isNoScr=script&amp;mode=search", "토지이음")</f>
        <v/>
      </c>
      <c r="O541" s="3" t="inlineStr">
        <is>
          <t>세종시삼성래미안</t>
        </is>
      </c>
      <c r="P541" s="4" t="n">
        <v>1</v>
      </c>
      <c r="Q541" s="4" t="n">
        <v>995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정방형</t>
        </is>
      </c>
      <c r="V541" s="3" t="inlineStr">
        <is>
          <t>맹지</t>
        </is>
      </c>
    </row>
    <row r="542">
      <c r="A542" s="3" t="inlineStr">
        <is>
          <t>부강면 금호리 377-8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49000</v>
      </c>
      <c r="G542" s="4" t="n">
        <v>648</v>
      </c>
      <c r="H542" s="4" t="n">
        <v>196</v>
      </c>
      <c r="I542" s="5" t="n">
        <v>250</v>
      </c>
      <c r="J542" s="5" t="n">
        <v>79.90000000000001</v>
      </c>
      <c r="K542" s="3" t="inlineStr">
        <is>
          <t>계획관리지역 나대지로 투자가치 양호함.</t>
        </is>
      </c>
      <c r="L542" s="6">
        <f>HYPERLINK("https://fin.land.naver.com/articles/2646929386", "매물Link")</f>
        <v/>
      </c>
      <c r="M542" s="6">
        <f>HYPERLINK("https://map.naver.com/p/search/부강면 금호리 377-8", "지도Link")</f>
        <v/>
      </c>
      <c r="N542" s="6">
        <f>HYPERLINK("http://www.eum.go.kr/web/ar/lu/luLandDet.jsp?pnu=3611033028103770008&amp;isNoScr=script&amp;mode=search", "토지이음")</f>
        <v/>
      </c>
      <c r="O542" s="3" t="inlineStr">
        <is>
          <t>다정현대</t>
        </is>
      </c>
      <c r="P542" s="4" t="n">
        <v>1</v>
      </c>
      <c r="Q542" s="4" t="n">
        <v>390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정방형</t>
        </is>
      </c>
      <c r="V542" s="3" t="inlineStr">
        <is>
          <t>세로한면(가)</t>
        </is>
      </c>
    </row>
    <row r="543">
      <c r="A543" s="3" t="inlineStr">
        <is>
          <t>부강면 금호리 389-10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194000</v>
      </c>
      <c r="G543" s="4" t="n">
        <v>1941</v>
      </c>
      <c r="H543" s="4" t="n">
        <v>587</v>
      </c>
      <c r="I543" s="5" t="n">
        <v>330.5</v>
      </c>
      <c r="J543" s="5" t="n">
        <v>79.09999999999999</v>
      </c>
      <c r="K543" s="3" t="inlineStr">
        <is>
          <t>도로접하고 부강일반사업단지근교, 남i주10분이내,사옥,공장물류창고 적합.</t>
        </is>
      </c>
      <c r="L543" s="6">
        <f>HYPERLINK("https://fin.land.naver.com/articles/2651044965", "매물Link")</f>
        <v/>
      </c>
      <c r="M543" s="6">
        <f>HYPERLINK("https://map.naver.com/p/search/부강면 금호리 389-10", "지도Link")</f>
        <v/>
      </c>
      <c r="N543" s="6">
        <f>HYPERLINK("http://www.eum.go.kr/web/ar/lu/luLandDet.jsp?pnu=3611033028103890010&amp;isNoScr=script&amp;mode=search", "토지이음")</f>
        <v/>
      </c>
      <c r="O543" s="3" t="inlineStr">
        <is>
          <t>원내</t>
        </is>
      </c>
      <c r="P543" s="4" t="n">
        <v>1</v>
      </c>
      <c r="Q543" s="4" t="n">
        <v>656</v>
      </c>
      <c r="R543" s="3" t="inlineStr">
        <is>
          <t>지정되지않음</t>
        </is>
      </c>
      <c r="S543" s="3" t="inlineStr">
        <is>
          <t>주거기타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세로한면(가)</t>
        </is>
      </c>
    </row>
    <row r="544">
      <c r="A544" s="3" t="inlineStr">
        <is>
          <t>부강면 금호리 389-6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112000</v>
      </c>
      <c r="G544" s="4" t="n">
        <v>1058</v>
      </c>
      <c r="H544" s="4" t="n">
        <v>320</v>
      </c>
      <c r="I544" s="5" t="n">
        <v>350</v>
      </c>
      <c r="J544" s="5" t="n">
        <v>53.4</v>
      </c>
      <c r="K544" s="3" t="inlineStr">
        <is>
          <t>금강 조망 가능한 도로접 계획관리 전원형 토지</t>
        </is>
      </c>
      <c r="L544" s="6">
        <f>HYPERLINK("https://fin.land.naver.com/articles/2648834433", "매물Link")</f>
        <v/>
      </c>
      <c r="M544" s="6">
        <f>HYPERLINK("https://map.naver.com/p/search/부강면 금호리 389-6", "지도Link")</f>
        <v/>
      </c>
      <c r="N544" s="6">
        <f>HYPERLINK("http://www.eum.go.kr/web/ar/lu/luLandDet.jsp?pnu=3611033028103890006&amp;isNoScr=script&amp;mode=search", "토지이음")</f>
        <v/>
      </c>
      <c r="O544" s="3" t="inlineStr">
        <is>
          <t>세종소담황금</t>
        </is>
      </c>
      <c r="P544" s="4" t="n">
        <v>1</v>
      </c>
      <c r="Q544" s="4" t="n">
        <v>529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세로한면(가)</t>
        </is>
      </c>
    </row>
    <row r="545">
      <c r="A545" s="3" t="inlineStr">
        <is>
          <t>부강면 금호리 389-6</t>
        </is>
      </c>
      <c r="B545" s="3" t="inlineStr">
        <is>
          <t>계획관리지역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160000</v>
      </c>
      <c r="G545" s="4" t="n">
        <v>1058</v>
      </c>
      <c r="H545" s="4" t="n">
        <v>320</v>
      </c>
      <c r="I545" s="5" t="n">
        <v>500</v>
      </c>
      <c r="J545" s="5" t="n">
        <v>53.4</v>
      </c>
      <c r="K545" s="3" t="inlineStr">
        <is>
          <t>현재 전으로 사용중 두필지 전원주택분양 좋음, 사업용사용가능창고,사옥공장</t>
        </is>
      </c>
      <c r="L545" s="6">
        <f>HYPERLINK("https://fin.land.naver.com/articles/2651044105", "매물Link")</f>
        <v/>
      </c>
      <c r="M545" s="6">
        <f>HYPERLINK("https://map.naver.com/p/search/부강면 금호리 389-6", "지도Link")</f>
        <v/>
      </c>
      <c r="N545" s="6">
        <f>HYPERLINK("http://www.eum.go.kr/web/ar/lu/luLandDet.jsp?pnu=3611033028103890006&amp;isNoScr=script&amp;mode=search", "토지이음")</f>
        <v/>
      </c>
      <c r="O545" s="3" t="inlineStr">
        <is>
          <t>원내</t>
        </is>
      </c>
      <c r="P545" s="4" t="n">
        <v>1</v>
      </c>
      <c r="Q545" s="4" t="n">
        <v>529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389-6</t>
        </is>
      </c>
      <c r="B546" s="3" t="inlineStr">
        <is>
          <t>계획관리지역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60000</v>
      </c>
      <c r="G546" s="4" t="n">
        <v>529</v>
      </c>
      <c r="H546" s="4" t="n">
        <v>160</v>
      </c>
      <c r="I546" s="5" t="n">
        <v>375</v>
      </c>
      <c r="J546" s="5" t="n">
        <v>53.4</v>
      </c>
      <c r="K546" s="3" t="inlineStr">
        <is>
          <t>부강면 계획관리 토지. 남청주IC 10분중반소요.옆 토지와 같이매매가능</t>
        </is>
      </c>
      <c r="L546" s="6">
        <f>HYPERLINK("https://fin.land.naver.com/articles/2647166173", "매물Link")</f>
        <v/>
      </c>
      <c r="M546" s="6">
        <f>HYPERLINK("https://map.naver.com/p/search/부강면 금호리 389-6", "지도Link")</f>
        <v/>
      </c>
      <c r="N546" s="6">
        <f>HYPERLINK("http://www.eum.go.kr/web/ar/lu/luLandDet.jsp?pnu=3611033028103890006&amp;isNoScr=script&amp;mode=search", "토지이음")</f>
        <v/>
      </c>
      <c r="O546" s="3" t="inlineStr">
        <is>
          <t>구암양지</t>
        </is>
      </c>
      <c r="P546" s="4" t="n">
        <v>2</v>
      </c>
      <c r="Q546" s="4" t="n">
        <v>529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부강면 금호리 389-6</t>
        </is>
      </c>
      <c r="B547" s="3" t="inlineStr">
        <is>
          <t>계획관리지역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112000</v>
      </c>
      <c r="G547" s="4" t="n">
        <v>1058</v>
      </c>
      <c r="H547" s="4" t="n">
        <v>320</v>
      </c>
      <c r="I547" s="5" t="n">
        <v>350</v>
      </c>
      <c r="J547" s="5" t="n">
        <v>53.4</v>
      </c>
      <c r="K547" s="3" t="inlineStr">
        <is>
          <t>정남향 도로접한 계획관리.성장관리지역 알토란 토지,가격조정가능</t>
        </is>
      </c>
      <c r="L547" s="6">
        <f>HYPERLINK("https://fin.land.naver.com/articles/2649493705", "매물Link")</f>
        <v/>
      </c>
      <c r="M547" s="6">
        <f>HYPERLINK("https://map.naver.com/p/search/부강면 금호리 389-6", "지도Link")</f>
        <v/>
      </c>
      <c r="N547" s="6">
        <f>HYPERLINK("http://www.eum.go.kr/web/ar/lu/luLandDet.jsp?pnu=3611033028103890006&amp;isNoScr=script&amp;mode=search", "토지이음")</f>
        <v/>
      </c>
      <c r="O547" s="3" t="inlineStr">
        <is>
          <t>고운맘</t>
        </is>
      </c>
      <c r="P547" s="4" t="n">
        <v>1</v>
      </c>
      <c r="Q547" s="4" t="n">
        <v>529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금호리 436</t>
        </is>
      </c>
      <c r="B548" s="3" t="inlineStr">
        <is>
          <t>생산관리지역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118000</v>
      </c>
      <c r="G548" s="4" t="n">
        <v>1957</v>
      </c>
      <c r="H548" s="4" t="n">
        <v>592</v>
      </c>
      <c r="I548" s="5" t="n">
        <v>199.3</v>
      </c>
      <c r="J548" s="5" t="n">
        <v>36</v>
      </c>
      <c r="K548" s="3" t="inlineStr">
        <is>
          <t>도로인접, 부용농공단지인근, 생산관리지역, 답</t>
        </is>
      </c>
      <c r="L548" s="6">
        <f>HYPERLINK("https://fin.land.naver.com/articles/2647026624", "매물Link")</f>
        <v/>
      </c>
      <c r="M548" s="6">
        <f>HYPERLINK("https://map.naver.com/p/search/부강면 금호리 436", "지도Link")</f>
        <v/>
      </c>
      <c r="N548" s="6">
        <f>HYPERLINK("http://www.eum.go.kr/web/ar/lu/luLandDet.jsp?pnu=3611033028104360000&amp;isNoScr=script&amp;mode=search", "토지이음")</f>
        <v/>
      </c>
      <c r="O548" s="3" t="inlineStr">
        <is>
          <t>Home</t>
        </is>
      </c>
      <c r="P548" s="4" t="n">
        <v>1</v>
      </c>
      <c r="Q548" s="4" t="n">
        <v>1957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가로장방</t>
        </is>
      </c>
      <c r="V548" s="3" t="inlineStr">
        <is>
          <t>세로한면(가)</t>
        </is>
      </c>
    </row>
    <row r="549">
      <c r="A549" s="3" t="inlineStr">
        <is>
          <t>부강면 금호리 442</t>
        </is>
      </c>
      <c r="B549" s="3" t="inlineStr">
        <is>
          <t>계획관리지역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62000</v>
      </c>
      <c r="G549" s="4" t="n">
        <v>1649</v>
      </c>
      <c r="H549" s="4" t="n">
        <v>499</v>
      </c>
      <c r="I549" s="5" t="n">
        <v>124.2</v>
      </c>
      <c r="J549" s="5" t="n">
        <v>50.7</v>
      </c>
      <c r="K549" s="3" t="inlineStr">
        <is>
          <t>금강변 부강금호로 인접, 약2km거리 철도 매포역과 부강생활체육공원 있음</t>
        </is>
      </c>
      <c r="L549" s="6">
        <f>HYPERLINK("https://fin.land.naver.com/articles/2650433611", "매물Link")</f>
        <v/>
      </c>
      <c r="M549" s="6">
        <f>HYPERLINK("https://map.naver.com/p/search/부강면 금호리 442", "지도Link")</f>
        <v/>
      </c>
      <c r="N549" s="6">
        <f>HYPERLINK("http://www.eum.go.kr/web/ar/lu/luLandDet.jsp?pnu=3611033028104420000&amp;isNoScr=script&amp;mode=search", "토지이음")</f>
        <v/>
      </c>
      <c r="O549" s="3" t="inlineStr">
        <is>
          <t>월평랜드</t>
        </is>
      </c>
      <c r="P549" s="4" t="n">
        <v>1</v>
      </c>
      <c r="Q549" s="4" t="n">
        <v>1649</v>
      </c>
      <c r="R549" s="3" t="inlineStr">
        <is>
          <t>지정되지않음</t>
        </is>
      </c>
      <c r="S549" s="3" t="inlineStr">
        <is>
          <t>전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금호리 447-1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25000</v>
      </c>
      <c r="G550" s="4" t="n">
        <v>423</v>
      </c>
      <c r="H550" s="4" t="n">
        <v>128</v>
      </c>
      <c r="I550" s="5" t="n">
        <v>195.3</v>
      </c>
      <c r="J550" s="5" t="n">
        <v>79.09999999999999</v>
      </c>
      <c r="K550" s="3" t="inlineStr">
        <is>
          <t>부강면 금호리 자연취락지구 계획관리 대지</t>
        </is>
      </c>
      <c r="L550" s="6">
        <f>HYPERLINK("https://fin.land.naver.com/articles/2649283317", "매물Link")</f>
        <v/>
      </c>
      <c r="M550" s="6">
        <f>HYPERLINK("https://map.naver.com/p/search/부강면 금호리 447-1", "지도Link")</f>
        <v/>
      </c>
      <c r="N550" s="6">
        <f>HYPERLINK("http://www.eum.go.kr/web/ar/lu/luLandDet.jsp?pnu=3611033028104470001&amp;isNoScr=script&amp;mode=search", "토지이음")</f>
        <v/>
      </c>
      <c r="O550" s="3" t="inlineStr">
        <is>
          <t>스카이</t>
        </is>
      </c>
      <c r="P550" s="4" t="n">
        <v>1</v>
      </c>
      <c r="Q550" s="4" t="n">
        <v>523.4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세로한면(가)</t>
        </is>
      </c>
    </row>
    <row r="551">
      <c r="A551" s="3" t="inlineStr">
        <is>
          <t>부강면 금호리 613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50000</v>
      </c>
      <c r="G551" s="4" t="n">
        <v>679</v>
      </c>
      <c r="H551" s="4" t="n">
        <v>205</v>
      </c>
      <c r="I551" s="5" t="n">
        <v>243.9</v>
      </c>
      <c r="J551" s="5" t="n">
        <v>88</v>
      </c>
      <c r="K551" s="3" t="inlineStr">
        <is>
          <t>주택, 텃밭, 카페 추천</t>
        </is>
      </c>
      <c r="L551" s="6">
        <f>HYPERLINK("https://fin.land.naver.com/articles/2647424368", "매물Link")</f>
        <v/>
      </c>
      <c r="M551" s="6">
        <f>HYPERLINK("https://map.naver.com/p/search/부강면 금호리 613", "지도Link")</f>
        <v/>
      </c>
      <c r="N551" s="6">
        <f>HYPERLINK("http://www.eum.go.kr/web/ar/lu/luLandDet.jsp?pnu=3611033028106130000&amp;isNoScr=script&amp;mode=search", "토지이음")</f>
        <v/>
      </c>
      <c r="O551" s="3" t="inlineStr">
        <is>
          <t>황제</t>
        </is>
      </c>
      <c r="P551" s="4" t="n">
        <v>1</v>
      </c>
      <c r="Q551" s="4" t="n">
        <v>679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금호리 614-1</t>
        </is>
      </c>
      <c r="B552" s="3" t="inlineStr">
        <is>
          <t>보전관리지역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180000</v>
      </c>
      <c r="G552" s="4" t="n">
        <v>7235</v>
      </c>
      <c r="H552" s="4" t="n">
        <v>2189</v>
      </c>
      <c r="I552" s="5" t="n">
        <v>82.2</v>
      </c>
      <c r="J552" s="5" t="n">
        <v>4.9</v>
      </c>
      <c r="K552" s="3" t="inlineStr">
        <is>
          <t>개발가능한 임야</t>
        </is>
      </c>
      <c r="L552" s="6">
        <f>HYPERLINK("https://fin.land.naver.com/articles/2647807421", "매물Link")</f>
        <v/>
      </c>
      <c r="M552" s="6">
        <f>HYPERLINK("https://map.naver.com/p/search/부강면 금호리 614-1", "지도Link")</f>
        <v/>
      </c>
      <c r="N552" s="6">
        <f>HYPERLINK("http://www.eum.go.kr/web/ar/lu/luLandDet.jsp?pnu=3611033028106140001&amp;isNoScr=script&amp;mode=search", "토지이음")</f>
        <v/>
      </c>
      <c r="O552" s="3" t="inlineStr">
        <is>
          <t>골든타임</t>
        </is>
      </c>
      <c r="P552" s="4" t="n">
        <v>1</v>
      </c>
      <c r="Q552" s="4" t="n">
        <v>6576</v>
      </c>
      <c r="R552" s="3" t="inlineStr">
        <is>
          <t>지정되지않음</t>
        </is>
      </c>
      <c r="S552" s="3" t="inlineStr">
        <is>
          <t>자연림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맹지</t>
        </is>
      </c>
    </row>
    <row r="553">
      <c r="A553" s="3" t="inlineStr">
        <is>
          <t>부강면 금호리 652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40000</v>
      </c>
      <c r="G553" s="4" t="n">
        <v>525</v>
      </c>
      <c r="H553" s="4" t="n">
        <v>159</v>
      </c>
      <c r="I553" s="5" t="n">
        <v>251.6</v>
      </c>
      <c r="J553" s="5" t="n">
        <v>92.5</v>
      </c>
      <c r="K553" s="3" t="inlineStr">
        <is>
          <t>세종시 부강면 금호리  토지 매매</t>
        </is>
      </c>
      <c r="L553" s="6">
        <f>HYPERLINK("https://fin.land.naver.com/articles/2650695624", "매물Link")</f>
        <v/>
      </c>
      <c r="M553" s="6">
        <f>HYPERLINK("https://map.naver.com/p/search/부강면 금호리 652", "지도Link")</f>
        <v/>
      </c>
      <c r="N553" s="6">
        <f>HYPERLINK("http://www.eum.go.kr/web/ar/lu/luLandDet.jsp?pnu=3611033028106520000&amp;isNoScr=script&amp;mode=search", "토지이음")</f>
        <v/>
      </c>
      <c r="O553" s="3" t="inlineStr">
        <is>
          <t>세종행복한</t>
        </is>
      </c>
      <c r="P553" s="4" t="n">
        <v>1</v>
      </c>
      <c r="Q553" s="4" t="n">
        <v>403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부강면 금호리 700-17</t>
        </is>
      </c>
      <c r="B554" s="3" t="inlineStr">
        <is>
          <t>계획관리지역</t>
        </is>
      </c>
      <c r="C554" s="3" t="inlineStr">
        <is>
          <t>잡종지</t>
        </is>
      </c>
      <c r="D554" s="3" t="inlineStr">
        <is>
          <t>잡종지</t>
        </is>
      </c>
      <c r="E554" s="3" t="inlineStr">
        <is>
          <t>매매</t>
        </is>
      </c>
      <c r="F554" s="4" t="n">
        <v>80000</v>
      </c>
      <c r="G554" s="4" t="n">
        <v>660</v>
      </c>
      <c r="H554" s="4" t="n">
        <v>200</v>
      </c>
      <c r="I554" s="5" t="n">
        <v>400</v>
      </c>
      <c r="J554" s="5" t="n">
        <v>112.4</v>
      </c>
      <c r="K554" s="3" t="inlineStr">
        <is>
          <t>2차선 대로변 계획관리.5생활권 대학부지10분이내거리</t>
        </is>
      </c>
      <c r="L554" s="6">
        <f>HYPERLINK("https://fin.land.naver.com/articles/2649065861", "매물Link")</f>
        <v/>
      </c>
      <c r="M554" s="6">
        <f>HYPERLINK("https://map.naver.com/p/search/부강면 금호리 700-17", "지도Link")</f>
        <v/>
      </c>
      <c r="N554" s="6">
        <f>HYPERLINK("http://www.eum.go.kr/web/ar/lu/luLandDet.jsp?pnu=3611033028107000017&amp;isNoScr=script&amp;mode=search", "토지이음")</f>
        <v/>
      </c>
      <c r="O554" s="3" t="inlineStr">
        <is>
          <t>황금나무</t>
        </is>
      </c>
      <c r="P554" s="4" t="n">
        <v>1</v>
      </c>
      <c r="Q554" s="4" t="n">
        <v>660</v>
      </c>
      <c r="R554" s="3" t="inlineStr">
        <is>
          <t>지정되지않음</t>
        </is>
      </c>
      <c r="S554" s="3" t="inlineStr">
        <is>
          <t>공업용</t>
        </is>
      </c>
      <c r="T554" s="3" t="inlineStr">
        <is>
          <t>평지</t>
        </is>
      </c>
      <c r="U554" s="3" t="inlineStr">
        <is>
          <t>가로장방</t>
        </is>
      </c>
      <c r="V554" s="3" t="inlineStr">
        <is>
          <t>소로한면</t>
        </is>
      </c>
    </row>
    <row r="555">
      <c r="A555" s="3" t="inlineStr">
        <is>
          <t>부강면 금호리 708-2</t>
        </is>
      </c>
      <c r="B555" s="3" t="inlineStr">
        <is>
          <t>계획관리지역</t>
        </is>
      </c>
      <c r="C555" s="3" t="inlineStr">
        <is>
          <t>임야</t>
        </is>
      </c>
      <c r="D555" s="3" t="inlineStr">
        <is>
          <t>전</t>
        </is>
      </c>
      <c r="E555" s="3" t="inlineStr">
        <is>
          <t>매매</t>
        </is>
      </c>
      <c r="F555" s="4" t="n">
        <v>52400</v>
      </c>
      <c r="G555" s="4" t="n">
        <v>867</v>
      </c>
      <c r="H555" s="4" t="n">
        <v>262</v>
      </c>
      <c r="I555" s="5" t="n">
        <v>200</v>
      </c>
      <c r="J555" s="5" t="n">
        <v>59.7</v>
      </c>
      <c r="K555" s="3" t="inlineStr">
        <is>
          <t>nan</t>
        </is>
      </c>
      <c r="L555" s="6">
        <f>HYPERLINK("https://fin.land.naver.com/articles/2649528902", "매물Link")</f>
        <v/>
      </c>
      <c r="M555" s="6">
        <f>HYPERLINK("https://map.naver.com/p/search/부강면 금호리 708-2", "지도Link")</f>
        <v/>
      </c>
      <c r="N555" s="6">
        <f>HYPERLINK("http://www.eum.go.kr/web/ar/lu/luLandDet.jsp?pnu=3611033028107080002&amp;isNoScr=script&amp;mode=search", "토지이음")</f>
        <v/>
      </c>
      <c r="O555" s="3" t="inlineStr">
        <is>
          <t>경남아너스빌</t>
        </is>
      </c>
      <c r="P555" s="4" t="n">
        <v>1</v>
      </c>
      <c r="Q555" s="4" t="n">
        <v>434</v>
      </c>
      <c r="R555" s="3" t="inlineStr">
        <is>
          <t>지정되지않음</t>
        </is>
      </c>
      <c r="S555" s="3" t="inlineStr">
        <is>
          <t>전기타</t>
        </is>
      </c>
      <c r="T555" s="3" t="inlineStr">
        <is>
          <t>평지</t>
        </is>
      </c>
      <c r="U555" s="3" t="inlineStr">
        <is>
          <t>가로장방</t>
        </is>
      </c>
      <c r="V555" s="3" t="inlineStr">
        <is>
          <t>소로한면</t>
        </is>
      </c>
    </row>
    <row r="556">
      <c r="A556" s="3" t="inlineStr">
        <is>
          <t>부강면 금호리 712-16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35000</v>
      </c>
      <c r="G556" s="4" t="n">
        <v>379</v>
      </c>
      <c r="H556" s="4" t="n">
        <v>115</v>
      </c>
      <c r="I556" s="5" t="n">
        <v>304.3</v>
      </c>
      <c r="J556" s="5" t="n">
        <v>94.5</v>
      </c>
      <c r="K556" s="3" t="inlineStr">
        <is>
          <t>남청주IC 자동차로 약17분거리10km</t>
        </is>
      </c>
      <c r="L556" s="6">
        <f>HYPERLINK("https://fin.land.naver.com/articles/2648088822", "매물Link")</f>
        <v/>
      </c>
      <c r="M556" s="6">
        <f>HYPERLINK("https://map.naver.com/p/search/부강면 금호리 712-16", "지도Link")</f>
        <v/>
      </c>
      <c r="N556" s="6">
        <f>HYPERLINK("http://www.eum.go.kr/web/ar/lu/luLandDet.jsp?pnu=3611033028107120016&amp;isNoScr=script&amp;mode=search", "토지이음")</f>
        <v/>
      </c>
      <c r="O556" s="3" t="inlineStr">
        <is>
          <t>지장고</t>
        </is>
      </c>
      <c r="P556" s="4" t="n">
        <v>1</v>
      </c>
      <c r="Q556" s="4" t="n">
        <v>379</v>
      </c>
      <c r="R556" s="3" t="inlineStr">
        <is>
          <t>지정되지않음</t>
        </is>
      </c>
      <c r="S556" s="3" t="inlineStr">
        <is>
          <t>단독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부강면 금호리 712-16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35000</v>
      </c>
      <c r="G557" s="4" t="n">
        <v>379</v>
      </c>
      <c r="H557" s="4" t="n">
        <v>115</v>
      </c>
      <c r="I557" s="5" t="n">
        <v>304.3</v>
      </c>
      <c r="J557" s="5" t="n">
        <v>94.5</v>
      </c>
      <c r="K557" s="3" t="inlineStr">
        <is>
          <t>세종시7분거리, 산단밀집지, 주택 리모델링해서 사용,또는 공방, 쉼터사용</t>
        </is>
      </c>
      <c r="L557" s="6">
        <f>HYPERLINK("https://fin.land.naver.com/articles/2646197212", "매물Link")</f>
        <v/>
      </c>
      <c r="M557" s="6">
        <f>HYPERLINK("https://map.naver.com/p/search/부강면 금호리 712-16", "지도Link")</f>
        <v/>
      </c>
      <c r="N557" s="6">
        <f>HYPERLINK("http://www.eum.go.kr/web/ar/lu/luLandDet.jsp?pnu=3611033028107120016&amp;isNoScr=script&amp;mode=search", "토지이음")</f>
        <v/>
      </c>
      <c r="O557" s="3" t="inlineStr">
        <is>
          <t>세종복댕이</t>
        </is>
      </c>
      <c r="P557" s="4" t="n">
        <v>1</v>
      </c>
      <c r="Q557" s="4" t="n">
        <v>379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세로한면(가)</t>
        </is>
      </c>
    </row>
    <row r="558">
      <c r="A558" s="3" t="inlineStr">
        <is>
          <t>부강면 금호리 712-16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35000</v>
      </c>
      <c r="G558" s="4" t="n">
        <v>379</v>
      </c>
      <c r="H558" s="4" t="n">
        <v>115</v>
      </c>
      <c r="I558" s="5" t="n">
        <v>304.3</v>
      </c>
      <c r="J558" s="5" t="n">
        <v>94.5</v>
      </c>
      <c r="K558" s="3" t="inlineStr">
        <is>
          <t>계획관리자연취락 대지 및 기존주택, 산단세종오송 접근 우수</t>
        </is>
      </c>
      <c r="L558" s="6">
        <f>HYPERLINK("https://fin.land.naver.com/articles/2650898603", "매물Link")</f>
        <v/>
      </c>
      <c r="M558" s="6">
        <f>HYPERLINK("https://map.naver.com/p/search/부강면 금호리 712-16", "지도Link")</f>
        <v/>
      </c>
      <c r="N558" s="6">
        <f>HYPERLINK("http://www.eum.go.kr/web/ar/lu/luLandDet.jsp?pnu=3611033028107120016&amp;isNoScr=script&amp;mode=search", "토지이음")</f>
        <v/>
      </c>
      <c r="O558" s="3" t="inlineStr">
        <is>
          <t>세종소담황금</t>
        </is>
      </c>
      <c r="P558" s="4" t="n">
        <v>1</v>
      </c>
      <c r="Q558" s="4" t="n">
        <v>379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731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174600</v>
      </c>
      <c r="G559" s="4" t="n">
        <v>2885</v>
      </c>
      <c r="H559" s="4" t="n">
        <v>873</v>
      </c>
      <c r="I559" s="5" t="n">
        <v>200</v>
      </c>
      <c r="J559" s="5" t="n">
        <v>64.59999999999999</v>
      </c>
      <c r="K559" s="3" t="inlineStr">
        <is>
          <t>세종시 부강면 산업단지 인근 시세보다 저렴한 토지 매매</t>
        </is>
      </c>
      <c r="L559" s="6">
        <f>HYPERLINK("https://fin.land.naver.com/articles/2649751521", "매물Link")</f>
        <v/>
      </c>
      <c r="M559" s="6">
        <f>HYPERLINK("https://map.naver.com/p/search/부강면 금호리 731", "지도Link")</f>
        <v/>
      </c>
      <c r="N559" s="6">
        <f>HYPERLINK("http://www.eum.go.kr/web/ar/lu/luLandDet.jsp?pnu=3611033028107310000&amp;isNoScr=script&amp;mode=search", "토지이음")</f>
        <v/>
      </c>
      <c r="O559" s="3" t="inlineStr">
        <is>
          <t>뉴스카이</t>
        </is>
      </c>
      <c r="P559" s="4" t="n">
        <v>1</v>
      </c>
      <c r="Q559" s="4" t="n">
        <v>1274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부강면 금호리 산10-1</t>
        </is>
      </c>
      <c r="B560" s="3" t="inlineStr">
        <is>
          <t>생산관리지역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30000</v>
      </c>
      <c r="G560" s="4" t="n">
        <v>992</v>
      </c>
      <c r="H560" s="4" t="n">
        <v>300</v>
      </c>
      <c r="I560" s="5" t="n">
        <v>100</v>
      </c>
      <c r="J560" s="5" t="n">
        <v>5.4</v>
      </c>
      <c r="K560" s="3" t="inlineStr">
        <is>
          <t>nan</t>
        </is>
      </c>
      <c r="L560" s="6">
        <f>HYPERLINK("https://fin.land.naver.com/articles/2651583522", "매물Link")</f>
        <v/>
      </c>
      <c r="M560" s="6">
        <f>HYPERLINK("https://map.naver.com/p/search/부강면 금호리 산10-1", "지도Link")</f>
        <v/>
      </c>
      <c r="N560" s="6">
        <f>HYPERLINK("http://www.eum.go.kr/web/ar/lu/luLandDet.jsp?pnu=3611033028200100001&amp;isNoScr=script&amp;mode=search", "토지이음")</f>
        <v/>
      </c>
      <c r="O560" s="3" t="inlineStr">
        <is>
          <t>세종몽땅</t>
        </is>
      </c>
      <c r="P560" s="4" t="n">
        <v>1</v>
      </c>
      <c r="Q560" s="4" t="n">
        <v>992</v>
      </c>
      <c r="R560" s="3" t="inlineStr">
        <is>
          <t>지정되지않음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사다리형</t>
        </is>
      </c>
      <c r="V560" s="3" t="inlineStr">
        <is>
          <t>맹지</t>
        </is>
      </c>
    </row>
    <row r="561">
      <c r="A561" s="3" t="inlineStr">
        <is>
          <t>부강면 금호리 산46-4</t>
        </is>
      </c>
      <c r="B561" s="3" t="inlineStr">
        <is>
          <t>보전관리지역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65000</v>
      </c>
      <c r="G561" s="4" t="n">
        <v>4247</v>
      </c>
      <c r="H561" s="4" t="n">
        <v>1285</v>
      </c>
      <c r="I561" s="5" t="n">
        <v>50.6</v>
      </c>
      <c r="J561" s="5" t="n">
        <v>6</v>
      </c>
      <c r="K561" s="3" t="inlineStr">
        <is>
          <t>부강면 금호리는 4생활권에서 5분거리, 금호교건너면 바로앞 금강임.</t>
        </is>
      </c>
      <c r="L561" s="6">
        <f>HYPERLINK("https://fin.land.naver.com/articles/2647579496", "매물Link")</f>
        <v/>
      </c>
      <c r="M561" s="6">
        <f>HYPERLINK("https://map.naver.com/p/search/부강면 금호리 산46-4", "지도Link")</f>
        <v/>
      </c>
      <c r="N561" s="6">
        <f>HYPERLINK("http://www.eum.go.kr/web/ar/lu/luLandDet.jsp?pnu=3611033028200460004&amp;isNoScr=script&amp;mode=search", "토지이음")</f>
        <v/>
      </c>
      <c r="O561" s="3" t="inlineStr">
        <is>
          <t>꿈드림</t>
        </is>
      </c>
      <c r="P561" s="4" t="n">
        <v>1</v>
      </c>
      <c r="Q561" s="4" t="n">
        <v>1653</v>
      </c>
      <c r="R561" s="3" t="inlineStr">
        <is>
          <t>계획관리지역</t>
        </is>
      </c>
      <c r="S561" s="3" t="inlineStr">
        <is>
          <t>자연림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맹지</t>
        </is>
      </c>
    </row>
    <row r="562">
      <c r="A562" s="3" t="inlineStr">
        <is>
          <t>부강면 노호리 24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250000</v>
      </c>
      <c r="G562" s="4" t="n">
        <v>13113</v>
      </c>
      <c r="H562" s="4" t="n">
        <v>3967</v>
      </c>
      <c r="I562" s="5" t="n">
        <v>63</v>
      </c>
      <c r="J562" s="5" t="n">
        <v>23.2</v>
      </c>
      <c r="K562" s="3" t="inlineStr">
        <is>
          <t>공장,창고 건축 가능, 도로 접함</t>
        </is>
      </c>
      <c r="L562" s="6">
        <f>HYPERLINK("https://fin.land.naver.com/articles/2646886887", "매물Link")</f>
        <v/>
      </c>
      <c r="M562" s="6">
        <f>HYPERLINK("https://map.naver.com/p/search/부강면 노호리 24", "지도Link")</f>
        <v/>
      </c>
      <c r="N562" s="6">
        <f>HYPERLINK("http://www.eum.go.kr/web/ar/lu/luLandDet.jsp?pnu=3611033027100240000&amp;isNoScr=script&amp;mode=search", "토지이음")</f>
        <v/>
      </c>
      <c r="O562" s="3" t="inlineStr">
        <is>
          <t>나릿재슬기로운</t>
        </is>
      </c>
      <c r="P562" s="4" t="n">
        <v>1</v>
      </c>
      <c r="Q562" s="4" t="n">
        <v>2278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노호리 287</t>
        </is>
      </c>
      <c r="B563" s="3" t="inlineStr">
        <is>
          <t>계획관리지역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38400</v>
      </c>
      <c r="G563" s="4" t="n">
        <v>2118</v>
      </c>
      <c r="H563" s="4" t="n">
        <v>641</v>
      </c>
      <c r="I563" s="5" t="n">
        <v>59.9</v>
      </c>
      <c r="J563" s="5" t="n">
        <v>21.8</v>
      </c>
      <c r="K563" s="3" t="inlineStr">
        <is>
          <t>세종특별자치시 부강면 노호리 계획관리지역 답 2118㎡ 토지매매</t>
        </is>
      </c>
      <c r="L563" s="6">
        <f>HYPERLINK("https://fin.land.naver.com/articles/2648116519", "매물Link")</f>
        <v/>
      </c>
      <c r="M563" s="6">
        <f>HYPERLINK("https://map.naver.com/p/search/부강면 노호리 287", "지도Link")</f>
        <v/>
      </c>
      <c r="N563" s="6">
        <f>HYPERLINK("http://www.eum.go.kr/web/ar/lu/luLandDet.jsp?pnu=3611033027102870000&amp;isNoScr=script&amp;mode=search", "토지이음")</f>
        <v/>
      </c>
      <c r="O563" s="3" t="inlineStr">
        <is>
          <t>진행</t>
        </is>
      </c>
      <c r="P563" s="4" t="n">
        <v>1</v>
      </c>
      <c r="Q563" s="4" t="n">
        <v>2118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부강면 노호리 297</t>
        </is>
      </c>
      <c r="B564" s="3" t="inlineStr">
        <is>
          <t>계획관리지역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23000</v>
      </c>
      <c r="G564" s="4" t="n">
        <v>1302</v>
      </c>
      <c r="H564" s="4" t="n">
        <v>394</v>
      </c>
      <c r="I564" s="5" t="n">
        <v>58.4</v>
      </c>
      <c r="J564" s="5" t="n">
        <v>21.4</v>
      </c>
      <c r="K564" s="3" t="inlineStr">
        <is>
          <t>계획관리 정남향의 토지 전원주택부지로 적극추천 주말농장하면서 투자로</t>
        </is>
      </c>
      <c r="L564" s="6">
        <f>HYPERLINK("https://fin.land.naver.com/articles/2649097737", "매물Link")</f>
        <v/>
      </c>
      <c r="M564" s="6">
        <f>HYPERLINK("https://map.naver.com/p/search/부강면 노호리 297", "지도Link")</f>
        <v/>
      </c>
      <c r="N564" s="6">
        <f>HYPERLINK("http://www.eum.go.kr/web/ar/lu/luLandDet.jsp?pnu=3611033027102970000&amp;isNoScr=script&amp;mode=search", "토지이음")</f>
        <v/>
      </c>
      <c r="O564" s="3" t="inlineStr">
        <is>
          <t>대전토지로무소</t>
        </is>
      </c>
      <c r="P564" s="4" t="n">
        <v>1</v>
      </c>
      <c r="Q564" s="4" t="n">
        <v>1302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완경사</t>
        </is>
      </c>
      <c r="U564" s="3" t="inlineStr">
        <is>
          <t>가로장방</t>
        </is>
      </c>
      <c r="V564" s="3" t="inlineStr">
        <is>
          <t>세로한면(가)</t>
        </is>
      </c>
    </row>
    <row r="565">
      <c r="A565" s="3" t="inlineStr">
        <is>
          <t>부강면 노호리 334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155000</v>
      </c>
      <c r="G565" s="4" t="n">
        <v>3254</v>
      </c>
      <c r="H565" s="4" t="n">
        <v>984</v>
      </c>
      <c r="I565" s="5" t="n">
        <v>157.5</v>
      </c>
      <c r="J565" s="5" t="n">
        <v>40.6</v>
      </c>
      <c r="K565" s="3" t="inlineStr">
        <is>
          <t>세종 인근 접근성 좋은 부강면 노호리 전원주택지 매매,남향</t>
        </is>
      </c>
      <c r="L565" s="6">
        <f>HYPERLINK("https://fin.land.naver.com/articles/2648864117", "매물Link")</f>
        <v/>
      </c>
      <c r="M565" s="6">
        <f>HYPERLINK("https://map.naver.com/p/search/부강면 노호리 334", "지도Link")</f>
        <v/>
      </c>
      <c r="N565" s="6">
        <f>HYPERLINK("http://www.eum.go.kr/web/ar/lu/luLandDet.jsp?pnu=3611033027103340000&amp;isNoScr=script&amp;mode=search", "토지이음")</f>
        <v/>
      </c>
      <c r="O565" s="3" t="inlineStr">
        <is>
          <t>천재원</t>
        </is>
      </c>
      <c r="P565" s="4" t="n">
        <v>1</v>
      </c>
      <c r="Q565" s="4" t="n">
        <v>939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부강면 노호리 356-1</t>
        </is>
      </c>
      <c r="B566" s="3" t="inlineStr">
        <is>
          <t>생산관리지역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71200</v>
      </c>
      <c r="G566" s="4" t="n">
        <v>3920</v>
      </c>
      <c r="H566" s="4" t="n">
        <v>1186</v>
      </c>
      <c r="I566" s="5" t="n">
        <v>60</v>
      </c>
      <c r="J566" s="5" t="n">
        <v>25.8</v>
      </c>
      <c r="K566" s="3" t="inlineStr">
        <is>
          <t>부강 매포역에서 차량 3분 마을 인접, 전원주택, 세컨하우스 수요많음</t>
        </is>
      </c>
      <c r="L566" s="6">
        <f>HYPERLINK("https://fin.land.naver.com/articles/2649098611", "매물Link")</f>
        <v/>
      </c>
      <c r="M566" s="6">
        <f>HYPERLINK("https://map.naver.com/p/search/부강면 노호리 356-1", "지도Link")</f>
        <v/>
      </c>
      <c r="N566" s="6">
        <f>HYPERLINK("http://www.eum.go.kr/web/ar/lu/luLandDet.jsp?pnu=3611033027103560001&amp;isNoScr=script&amp;mode=search", "토지이음")</f>
        <v/>
      </c>
      <c r="O566" s="3" t="inlineStr">
        <is>
          <t>114</t>
        </is>
      </c>
      <c r="P566" s="4" t="n">
        <v>1</v>
      </c>
      <c r="Q566" s="4" t="n">
        <v>2446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노호리 356-1</t>
        </is>
      </c>
      <c r="B567" s="3" t="inlineStr">
        <is>
          <t>생산관리지역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72000</v>
      </c>
      <c r="G567" s="4" t="n">
        <v>3963</v>
      </c>
      <c r="H567" s="4" t="n">
        <v>1199</v>
      </c>
      <c r="I567" s="5" t="n">
        <v>60.1</v>
      </c>
      <c r="J567" s="5" t="n">
        <v>25.8</v>
      </c>
      <c r="K567" s="3" t="inlineStr">
        <is>
          <t>부강면노호리 생산관리지역 마을인접 가격조정가능</t>
        </is>
      </c>
      <c r="L567" s="6">
        <f>HYPERLINK("https://fin.land.naver.com/articles/2649144191", "매물Link")</f>
        <v/>
      </c>
      <c r="M567" s="6">
        <f>HYPERLINK("https://map.naver.com/p/search/부강면 노호리 356-1", "지도Link")</f>
        <v/>
      </c>
      <c r="N567" s="6">
        <f>HYPERLINK("http://www.eum.go.kr/web/ar/lu/luLandDet.jsp?pnu=3611033027103560001&amp;isNoScr=script&amp;mode=search", "토지이음")</f>
        <v/>
      </c>
      <c r="O567" s="3" t="inlineStr">
        <is>
          <t>고운동리치세종</t>
        </is>
      </c>
      <c r="P567" s="4" t="n">
        <v>1</v>
      </c>
      <c r="Q567" s="4" t="n">
        <v>2446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노호리 356-1</t>
        </is>
      </c>
      <c r="B568" s="3" t="inlineStr">
        <is>
          <t>생산관리지역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72000</v>
      </c>
      <c r="G568" s="4" t="n">
        <v>3963</v>
      </c>
      <c r="H568" s="4" t="n">
        <v>1199</v>
      </c>
      <c r="I568" s="5" t="n">
        <v>60.1</v>
      </c>
      <c r="J568" s="5" t="n">
        <v>25.8</v>
      </c>
      <c r="K568" s="3" t="inlineStr">
        <is>
          <t>부강면 노호리 도로접한 토지매매.</t>
        </is>
      </c>
      <c r="L568" s="6">
        <f>HYPERLINK("https://fin.land.naver.com/articles/2647631268", "매물Link")</f>
        <v/>
      </c>
      <c r="M568" s="6">
        <f>HYPERLINK("https://map.naver.com/p/search/부강면 노호리 356-1", "지도Link")</f>
        <v/>
      </c>
      <c r="N568" s="6">
        <f>HYPERLINK("http://www.eum.go.kr/web/ar/lu/luLandDet.jsp?pnu=3611033027103560001&amp;isNoScr=script&amp;mode=search", "토지이음")</f>
        <v/>
      </c>
      <c r="O568" s="3" t="inlineStr">
        <is>
          <t>방서에이스</t>
        </is>
      </c>
      <c r="P568" s="4" t="n">
        <v>1</v>
      </c>
      <c r="Q568" s="4" t="n">
        <v>2446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부강면 노호리 356-1</t>
        </is>
      </c>
      <c r="B569" s="3" t="inlineStr">
        <is>
          <t>생산관리지역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71930</v>
      </c>
      <c r="G569" s="4" t="n">
        <v>3963</v>
      </c>
      <c r="H569" s="4" t="n">
        <v>1199</v>
      </c>
      <c r="I569" s="5" t="n">
        <v>60</v>
      </c>
      <c r="J569" s="5" t="n">
        <v>25.8</v>
      </c>
      <c r="K569" s="3" t="inlineStr">
        <is>
          <t>매포역 인근 금강 변, 국도 인접 생산관리지역, 개발호재 많은 투자 물건</t>
        </is>
      </c>
      <c r="L569" s="6">
        <f>HYPERLINK("https://fin.land.naver.com/articles/2650180451", "매물Link")</f>
        <v/>
      </c>
      <c r="M569" s="6">
        <f>HYPERLINK("https://map.naver.com/p/search/부강면 노호리 356-1", "지도Link")</f>
        <v/>
      </c>
      <c r="N569" s="6">
        <f>HYPERLINK("http://www.eum.go.kr/web/ar/lu/luLandDet.jsp?pnu=3611033027103560001&amp;isNoScr=script&amp;mode=search", "토지이음")</f>
        <v/>
      </c>
      <c r="O569" s="3" t="inlineStr">
        <is>
          <t>오송3산단  사무소</t>
        </is>
      </c>
      <c r="P569" s="4" t="n">
        <v>1</v>
      </c>
      <c r="Q569" s="4" t="n">
        <v>2446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노호리 55-3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23000</v>
      </c>
      <c r="G570" s="4" t="n">
        <v>1336</v>
      </c>
      <c r="H570" s="4" t="n">
        <v>404</v>
      </c>
      <c r="I570" s="5" t="n">
        <v>56.9</v>
      </c>
      <c r="J570" s="5" t="n">
        <v>38.5</v>
      </c>
      <c r="K570" s="3" t="inlineStr">
        <is>
          <t>부강면 노호리에 있는 계획관리지역의 지목이 대지입니다.</t>
        </is>
      </c>
      <c r="L570" s="6">
        <f>HYPERLINK("https://fin.land.naver.com/articles/2650952485", "매물Link")</f>
        <v/>
      </c>
      <c r="M570" s="6">
        <f>HYPERLINK("https://map.naver.com/p/search/부강면 노호리 55-3", "지도Link")</f>
        <v/>
      </c>
      <c r="N570" s="6">
        <f>HYPERLINK("http://www.eum.go.kr/web/ar/lu/luLandDet.jsp?pnu=3611033027100550003&amp;isNoScr=script&amp;mode=search", "토지이음")</f>
        <v/>
      </c>
      <c r="O570" s="3" t="inlineStr">
        <is>
          <t>스마일세종</t>
        </is>
      </c>
      <c r="P570" s="4" t="n">
        <v>1</v>
      </c>
      <c r="Q570" s="4" t="n">
        <v>1336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노호리 63-4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62000</v>
      </c>
      <c r="G571" s="4" t="n">
        <v>1351</v>
      </c>
      <c r="H571" s="4" t="n">
        <v>409</v>
      </c>
      <c r="I571" s="5" t="n">
        <v>151.6</v>
      </c>
      <c r="J571" s="5" t="n">
        <v>43.4</v>
      </c>
      <c r="K571" s="3" t="inlineStr">
        <is>
          <t>계획관리 토지, 지목대지,답 단독주택</t>
        </is>
      </c>
      <c r="L571" s="6">
        <f>HYPERLINK("https://fin.land.naver.com/articles/2648813381", "매물Link")</f>
        <v/>
      </c>
      <c r="M571" s="6">
        <f>HYPERLINK("https://map.naver.com/p/search/부강면 노호리 63-4", "지도Link")</f>
        <v/>
      </c>
      <c r="N571" s="6">
        <f>HYPERLINK("http://www.eum.go.kr/web/ar/lu/luLandDet.jsp?pnu=3611033027100630004&amp;isNoScr=script&amp;mode=search", "토지이음")</f>
        <v/>
      </c>
      <c r="O571" s="3" t="inlineStr">
        <is>
          <t>세종대박</t>
        </is>
      </c>
      <c r="P571" s="4" t="n">
        <v>1</v>
      </c>
      <c r="Q571" s="4" t="n">
        <v>655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노호리 산66-16</t>
        </is>
      </c>
      <c r="B572" s="3" t="inlineStr">
        <is>
          <t>계획관리지역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49000</v>
      </c>
      <c r="G572" s="4" t="n">
        <v>2813</v>
      </c>
      <c r="H572" s="4" t="n">
        <v>851</v>
      </c>
      <c r="I572" s="5" t="n">
        <v>57.6</v>
      </c>
      <c r="J572" s="5" t="n">
        <v>5.1</v>
      </c>
      <c r="K572" s="3" t="inlineStr">
        <is>
          <t>계획관리지역 최고의 전원주택부지 인접지역이 개발호재가 많아 미래가치있음</t>
        </is>
      </c>
      <c r="L572" s="6">
        <f>HYPERLINK("https://fin.land.naver.com/articles/2647636976", "매물Link")</f>
        <v/>
      </c>
      <c r="M572" s="6">
        <f>HYPERLINK("https://map.naver.com/p/search/부강면 노호리 산66-16", "지도Link")</f>
        <v/>
      </c>
      <c r="N572" s="6">
        <f>HYPERLINK("http://www.eum.go.kr/web/ar/lu/luLandDet.jsp?pnu=3611033027200660016&amp;isNoScr=script&amp;mode=search", "토지이음")</f>
        <v/>
      </c>
      <c r="O572" s="3" t="inlineStr">
        <is>
          <t>대전토지로무소</t>
        </is>
      </c>
      <c r="P572" s="4" t="n">
        <v>1</v>
      </c>
      <c r="Q572" s="4" t="n">
        <v>2813</v>
      </c>
      <c r="R572" s="3" t="inlineStr">
        <is>
          <t>지정되지않음</t>
        </is>
      </c>
      <c r="S572" s="3" t="inlineStr">
        <is>
          <t>자연림</t>
        </is>
      </c>
      <c r="T572" s="3" t="inlineStr">
        <is>
          <t>급경사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부강면 등곡리 112-1</t>
        </is>
      </c>
      <c r="B573" s="3" t="inlineStr">
        <is>
          <t>계획관리지역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28900</v>
      </c>
      <c r="G573" s="4" t="n">
        <v>832</v>
      </c>
      <c r="H573" s="4" t="n">
        <v>252</v>
      </c>
      <c r="I573" s="5" t="n">
        <v>114.7</v>
      </c>
      <c r="J573" s="5" t="n">
        <v>24.5</v>
      </c>
      <c r="K573" s="3" t="inlineStr">
        <is>
          <t>7m포장도로에접함,땅모양좋은토지,투자용및전원주택지추천</t>
        </is>
      </c>
      <c r="L573" s="6">
        <f>HYPERLINK("https://fin.land.naver.com/articles/2650813413", "매물Link")</f>
        <v/>
      </c>
      <c r="M573" s="6">
        <f>HYPERLINK("https://map.naver.com/p/search/부강면 등곡리 112-1", "지도Link")</f>
        <v/>
      </c>
      <c r="N573" s="6">
        <f>HYPERLINK("http://www.eum.go.kr/web/ar/lu/luLandDet.jsp?pnu=3611033026101120001&amp;isNoScr=script&amp;mode=search", "토지이음")</f>
        <v/>
      </c>
      <c r="O573" s="3" t="inlineStr">
        <is>
          <t>타이밍</t>
        </is>
      </c>
      <c r="P573" s="4" t="n">
        <v>1</v>
      </c>
      <c r="Q573" s="4" t="n">
        <v>833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등곡리 178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16500</v>
      </c>
      <c r="G574" s="4" t="n">
        <v>681</v>
      </c>
      <c r="H574" s="4" t="n">
        <v>206</v>
      </c>
      <c r="I574" s="5" t="n">
        <v>80.09999999999999</v>
      </c>
      <c r="J574" s="5" t="n">
        <v>36.8</v>
      </c>
      <c r="K574" s="3" t="inlineStr">
        <is>
          <t>나대지</t>
        </is>
      </c>
      <c r="L574" s="6">
        <f>HYPERLINK("https://fin.land.naver.com/articles/2647745236", "매물Link")</f>
        <v/>
      </c>
      <c r="M574" s="6">
        <f>HYPERLINK("https://map.naver.com/p/search/부강면 등곡리 178", "지도Link")</f>
        <v/>
      </c>
      <c r="N574" s="6">
        <f>HYPERLINK("http://www.eum.go.kr/web/ar/lu/luLandDet.jsp?pnu=3611033026101780000&amp;isNoScr=script&amp;mode=search", "토지이음")</f>
        <v/>
      </c>
      <c r="O574" s="3" t="inlineStr">
        <is>
          <t>다산</t>
        </is>
      </c>
      <c r="P574" s="4" t="n">
        <v>1</v>
      </c>
      <c r="Q574" s="4" t="n">
        <v>681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등곡리 55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19000</v>
      </c>
      <c r="G575" s="4" t="n">
        <v>1835</v>
      </c>
      <c r="H575" s="4" t="n">
        <v>555</v>
      </c>
      <c r="I575" s="5" t="n">
        <v>34.2</v>
      </c>
      <c r="J575" s="5" t="n">
        <v>18.8</v>
      </c>
      <c r="K575" s="3" t="inlineStr">
        <is>
          <t>접근성좋고 주말농장이나 전원주택 용지로도좋음.</t>
        </is>
      </c>
      <c r="L575" s="6">
        <f>HYPERLINK("https://fin.land.naver.com/articles/2650849101", "매물Link")</f>
        <v/>
      </c>
      <c r="M575" s="6">
        <f>HYPERLINK("https://map.naver.com/p/search/부강면 등곡리 55", "지도Link")</f>
        <v/>
      </c>
      <c r="N575" s="6">
        <f>HYPERLINK("http://www.eum.go.kr/web/ar/lu/luLandDet.jsp?pnu=3611033026100550000&amp;isNoScr=script&amp;mode=search", "토지이음")</f>
        <v/>
      </c>
      <c r="O575" s="3" t="inlineStr">
        <is>
          <t>오투그린1</t>
        </is>
      </c>
      <c r="P575" s="4" t="n">
        <v>1</v>
      </c>
      <c r="Q575" s="4" t="n">
        <v>1835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맹지</t>
        </is>
      </c>
    </row>
    <row r="576">
      <c r="A576" s="3" t="inlineStr">
        <is>
          <t>부강면 문곡리 1060-3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25000</v>
      </c>
      <c r="G576" s="4" t="n">
        <v>323</v>
      </c>
      <c r="H576" s="4" t="n">
        <v>98</v>
      </c>
      <c r="I576" s="5" t="n">
        <v>255.1</v>
      </c>
      <c r="J576" s="5" t="n">
        <v>92.40000000000001</v>
      </c>
      <c r="K576" s="3" t="inlineStr">
        <is>
          <t>대지 토지 매매</t>
        </is>
      </c>
      <c r="L576" s="6">
        <f>HYPERLINK("https://fin.land.naver.com/articles/2647503458", "매물Link")</f>
        <v/>
      </c>
      <c r="M576" s="6">
        <f>HYPERLINK("https://map.naver.com/p/search/부강면 문곡리 1060-3", "지도Link")</f>
        <v/>
      </c>
      <c r="N576" s="6">
        <f>HYPERLINK("http://www.eum.go.kr/web/ar/lu/luLandDet.jsp?pnu=3611033025110600003&amp;isNoScr=script&amp;mode=search", "토지이음")</f>
        <v/>
      </c>
      <c r="O576" s="3" t="inlineStr">
        <is>
          <t>주식회사넥서스</t>
        </is>
      </c>
      <c r="P576" s="4" t="n">
        <v>1</v>
      </c>
      <c r="Q576" s="4" t="n">
        <v>323</v>
      </c>
      <c r="R576" s="3" t="inlineStr">
        <is>
          <t>지정되지않음</t>
        </is>
      </c>
      <c r="S576" s="3" t="inlineStr">
        <is>
          <t>주거기타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부강면 문곡리 1064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410000</v>
      </c>
      <c r="G577" s="4" t="n">
        <v>5026</v>
      </c>
      <c r="H577" s="4" t="n">
        <v>1520</v>
      </c>
      <c r="I577" s="5" t="n">
        <v>269.7</v>
      </c>
      <c r="J577" s="5" t="n">
        <v>71.2</v>
      </c>
      <c r="K577" s="3" t="inlineStr">
        <is>
          <t>남청주IC와 가까워 물류센터나 공장으로 추천,2차선에 접한계획관리지역</t>
        </is>
      </c>
      <c r="L577" s="6">
        <f>HYPERLINK("https://fin.land.naver.com/articles/2651154873", "매물Link")</f>
        <v/>
      </c>
      <c r="M577" s="6">
        <f>HYPERLINK("https://map.naver.com/p/search/부강면 문곡리 1064", "지도Link")</f>
        <v/>
      </c>
      <c r="N577" s="6">
        <f>HYPERLINK("http://www.eum.go.kr/web/ar/lu/luLandDet.jsp?pnu=3611033025110640000&amp;isNoScr=script&amp;mode=search", "토지이음")</f>
        <v/>
      </c>
      <c r="O577" s="3" t="inlineStr">
        <is>
          <t>(주)미르</t>
        </is>
      </c>
      <c r="P577" s="4" t="n">
        <v>2</v>
      </c>
      <c r="Q577" s="4" t="n">
        <v>4344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부강면 문곡리 1064-1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159000</v>
      </c>
      <c r="G578" s="4" t="n">
        <v>1752</v>
      </c>
      <c r="H578" s="4" t="n">
        <v>530</v>
      </c>
      <c r="I578" s="5" t="n">
        <v>300</v>
      </c>
      <c r="J578" s="5" t="n">
        <v>70.40000000000001</v>
      </c>
      <c r="K578" s="3" t="inlineStr">
        <is>
          <t>세종과 남청주IC 도로 인근에 위치하여 진출입이 용이한 곳</t>
        </is>
      </c>
      <c r="L578" s="6">
        <f>HYPERLINK("https://fin.land.naver.com/articles/2651115525", "매물Link")</f>
        <v/>
      </c>
      <c r="M578" s="6">
        <f>HYPERLINK("https://map.naver.com/p/search/부강면 문곡리 1064-1", "지도Link")</f>
        <v/>
      </c>
      <c r="N578" s="6">
        <f>HYPERLINK("http://www.eum.go.kr/web/ar/lu/luLandDet.jsp?pnu=3611033025110640001&amp;isNoScr=script&amp;mode=search", "토지이음")</f>
        <v/>
      </c>
      <c r="O578" s="3" t="inlineStr">
        <is>
          <t>(주)미르</t>
        </is>
      </c>
      <c r="P578" s="4" t="n">
        <v>1</v>
      </c>
      <c r="Q578" s="4" t="n">
        <v>200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부강면 문곡리 1066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159000</v>
      </c>
      <c r="G579" s="4" t="n">
        <v>1752</v>
      </c>
      <c r="H579" s="4" t="n">
        <v>530</v>
      </c>
      <c r="I579" s="5" t="n">
        <v>300</v>
      </c>
      <c r="J579" s="5" t="n">
        <v>95.2</v>
      </c>
      <c r="K579" s="3" t="inlineStr">
        <is>
          <t>공장,창고로 추천,남청주IC 5분거리,대형차량 진출입 편리</t>
        </is>
      </c>
      <c r="L579" s="6">
        <f>HYPERLINK("https://fin.land.naver.com/articles/2647505310", "매물Link")</f>
        <v/>
      </c>
      <c r="M579" s="6">
        <f>HYPERLINK("https://map.naver.com/p/search/부강면 문곡리 1066", "지도Link")</f>
        <v/>
      </c>
      <c r="N579" s="6">
        <f>HYPERLINK("http://www.eum.go.kr/web/ar/lu/luLandDet.jsp?pnu=3611033025110660000&amp;isNoScr=script&amp;mode=search", "토지이음")</f>
        <v/>
      </c>
      <c r="O579" s="3" t="inlineStr">
        <is>
          <t>금화랜드</t>
        </is>
      </c>
      <c r="P579" s="4" t="n">
        <v>1</v>
      </c>
      <c r="Q579" s="4" t="n">
        <v>1616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소로한면</t>
        </is>
      </c>
    </row>
    <row r="580">
      <c r="A580" s="3" t="inlineStr">
        <is>
          <t>부강면 문곡리 114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500000</v>
      </c>
      <c r="G580" s="4" t="n">
        <v>8992</v>
      </c>
      <c r="H580" s="4" t="n">
        <v>2720</v>
      </c>
      <c r="I580" s="5" t="n">
        <v>183.8</v>
      </c>
      <c r="J580" s="5" t="n">
        <v>55.3</v>
      </c>
      <c r="K580" s="3" t="inlineStr">
        <is>
          <t>2차선 도로와 연결로 대형차 진출입이 편리, 남청주IC인근에 위치</t>
        </is>
      </c>
      <c r="L580" s="6">
        <f>HYPERLINK("https://fin.land.naver.com/articles/2651013918", "매물Link")</f>
        <v/>
      </c>
      <c r="M580" s="6">
        <f>HYPERLINK("https://map.naver.com/p/search/부강면 문곡리 114", "지도Link")</f>
        <v/>
      </c>
      <c r="N580" s="6">
        <f>HYPERLINK("http://www.eum.go.kr/web/ar/lu/luLandDet.jsp?pnu=3611033025101140000&amp;isNoScr=script&amp;mode=search", "토지이음")</f>
        <v/>
      </c>
      <c r="O580" s="3" t="inlineStr">
        <is>
          <t>(주)미르</t>
        </is>
      </c>
      <c r="P580" s="4" t="n">
        <v>1</v>
      </c>
      <c r="Q580" s="4" t="n">
        <v>2435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부강면 문곡리 240-1</t>
        </is>
      </c>
      <c r="B581" s="3" t="inlineStr">
        <is>
          <t>보전관리지역</t>
        </is>
      </c>
      <c r="C581" s="3" t="inlineStr">
        <is>
          <t>임야</t>
        </is>
      </c>
      <c r="D581" s="3" t="inlineStr">
        <is>
          <t>임야</t>
        </is>
      </c>
      <c r="E581" s="3" t="inlineStr">
        <is>
          <t>매매</t>
        </is>
      </c>
      <c r="F581" s="4" t="n">
        <v>130000</v>
      </c>
      <c r="G581" s="4" t="n">
        <v>1470</v>
      </c>
      <c r="H581" s="4" t="n">
        <v>445</v>
      </c>
      <c r="I581" s="5" t="n">
        <v>292.1</v>
      </c>
      <c r="J581" s="5" t="n">
        <v>46.1</v>
      </c>
      <c r="K581" s="3" t="inlineStr">
        <is>
          <t>1층단독한옥주택 준공완료,일괄매매,친환경 힐링하실분,뻥뷰</t>
        </is>
      </c>
      <c r="L581" s="6">
        <f>HYPERLINK("https://fin.land.naver.com/articles/2650882939", "매물Link")</f>
        <v/>
      </c>
      <c r="M581" s="6">
        <f>HYPERLINK("https://map.naver.com/p/search/부강면 문곡리 240-1", "지도Link")</f>
        <v/>
      </c>
      <c r="N581" s="6">
        <f>HYPERLINK("http://www.eum.go.kr/web/ar/lu/luLandDet.jsp?pnu=3611033025102400001&amp;isNoScr=script&amp;mode=search", "토지이음")</f>
        <v/>
      </c>
      <c r="O581" s="3" t="inlineStr">
        <is>
          <t>힐스테이트행복</t>
        </is>
      </c>
      <c r="P581" s="4" t="n">
        <v>1</v>
      </c>
      <c r="Q581" s="4" t="n">
        <v>1470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문곡리 364</t>
        </is>
      </c>
      <c r="B582" s="3" t="inlineStr">
        <is>
          <t>계획관리지역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32000</v>
      </c>
      <c r="G582" s="4" t="n">
        <v>966</v>
      </c>
      <c r="H582" s="4" t="n">
        <v>292</v>
      </c>
      <c r="I582" s="5" t="n">
        <v>109.6</v>
      </c>
      <c r="J582" s="5" t="n">
        <v>36.1</v>
      </c>
      <c r="K582" s="3" t="inlineStr">
        <is>
          <t>부강면 문곡리 2차선 도로옆 토지, 세레니티cc 진입로, 건축가능</t>
        </is>
      </c>
      <c r="L582" s="6">
        <f>HYPERLINK("https://fin.land.naver.com/articles/2647851904", "매물Link")</f>
        <v/>
      </c>
      <c r="M582" s="6">
        <f>HYPERLINK("https://map.naver.com/p/search/부강면 문곡리 364", "지도Link")</f>
        <v/>
      </c>
      <c r="N582" s="6">
        <f>HYPERLINK("http://www.eum.go.kr/web/ar/lu/luLandDet.jsp?pnu=3611033025103640000&amp;isNoScr=script&amp;mode=search", "토지이음")</f>
        <v/>
      </c>
      <c r="O582" s="3" t="inlineStr">
        <is>
          <t>스카이</t>
        </is>
      </c>
      <c r="P582" s="4" t="n">
        <v>1</v>
      </c>
      <c r="Q582" s="4" t="n">
        <v>966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부강면 문곡리 364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30000</v>
      </c>
      <c r="G583" s="4" t="n">
        <v>966</v>
      </c>
      <c r="H583" s="4" t="n">
        <v>292</v>
      </c>
      <c r="I583" s="5" t="n">
        <v>102.7</v>
      </c>
      <c r="J583" s="5" t="n">
        <v>36.1</v>
      </c>
      <c r="K583" s="3" t="inlineStr">
        <is>
          <t>계획관리지역 주목</t>
        </is>
      </c>
      <c r="L583" s="6">
        <f>HYPERLINK("https://fin.land.naver.com/articles/2649735022", "매물Link")</f>
        <v/>
      </c>
      <c r="M583" s="6">
        <f>HYPERLINK("https://map.naver.com/p/search/부강면 문곡리 364", "지도Link")</f>
        <v/>
      </c>
      <c r="N583" s="6">
        <f>HYPERLINK("http://www.eum.go.kr/web/ar/lu/luLandDet.jsp?pnu=3611033025103640000&amp;isNoScr=script&amp;mode=search", "토지이음")</f>
        <v/>
      </c>
      <c r="O583" s="3" t="inlineStr">
        <is>
          <t>세종몽땅</t>
        </is>
      </c>
      <c r="P583" s="4" t="n">
        <v>1</v>
      </c>
      <c r="Q583" s="4" t="n">
        <v>966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소로한면</t>
        </is>
      </c>
    </row>
    <row r="584">
      <c r="A584" s="3" t="inlineStr">
        <is>
          <t>부강면 문곡리 370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14000</v>
      </c>
      <c r="G584" s="4" t="n">
        <v>592</v>
      </c>
      <c r="H584" s="4" t="n">
        <v>179</v>
      </c>
      <c r="I584" s="5" t="n">
        <v>78.2</v>
      </c>
      <c r="J584" s="5" t="n">
        <v>28.1</v>
      </c>
      <c r="K584" s="3" t="inlineStr">
        <is>
          <t>문곡리 대국터, 계획관리지역, 성장관리계획구역, 매매가 협의 가능</t>
        </is>
      </c>
      <c r="L584" s="6">
        <f>HYPERLINK("https://fin.land.naver.com/articles/2650784515", "매물Link")</f>
        <v/>
      </c>
      <c r="M584" s="6">
        <f>HYPERLINK("https://map.naver.com/p/search/부강면 문곡리 370", "지도Link")</f>
        <v/>
      </c>
      <c r="N584" s="6">
        <f>HYPERLINK("http://www.eum.go.kr/web/ar/lu/luLandDet.jsp?pnu=3611033025103700000&amp;isNoScr=script&amp;mode=search", "토지이음")</f>
        <v/>
      </c>
      <c r="O584" s="3" t="inlineStr">
        <is>
          <t>탑</t>
        </is>
      </c>
      <c r="P584" s="4" t="n">
        <v>1</v>
      </c>
      <c r="Q584" s="4" t="n">
        <v>592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가로장방</t>
        </is>
      </c>
      <c r="V584" s="3" t="inlineStr">
        <is>
          <t>맹지</t>
        </is>
      </c>
    </row>
    <row r="585">
      <c r="A585" s="3" t="inlineStr">
        <is>
          <t>부강면 문곡리 384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대</t>
        </is>
      </c>
      <c r="E585" s="3" t="inlineStr">
        <is>
          <t>매매</t>
        </is>
      </c>
      <c r="F585" s="4" t="n">
        <v>130000</v>
      </c>
      <c r="G585" s="4" t="n">
        <v>1656</v>
      </c>
      <c r="H585" s="4" t="n">
        <v>501</v>
      </c>
      <c r="I585" s="5" t="n">
        <v>259.5</v>
      </c>
      <c r="J585" s="5" t="n">
        <v>55.6</v>
      </c>
      <c r="K585" s="3" t="inlineStr">
        <is>
          <t>남청주IC 2분거리,대로변 접한 토지로 광고효과,대형차량 진출입 편리</t>
        </is>
      </c>
      <c r="L585" s="6">
        <f>HYPERLINK("https://fin.land.naver.com/articles/2648918435", "매물Link")</f>
        <v/>
      </c>
      <c r="M585" s="6">
        <f>HYPERLINK("https://map.naver.com/p/search/부강면 문곡리 384", "지도Link")</f>
        <v/>
      </c>
      <c r="N585" s="6">
        <f>HYPERLINK("http://www.eum.go.kr/web/ar/lu/luLandDet.jsp?pnu=3611033025103840000&amp;isNoScr=script&amp;mode=search", "토지이음")</f>
        <v/>
      </c>
      <c r="O585" s="3" t="inlineStr">
        <is>
          <t>금화랜드</t>
        </is>
      </c>
      <c r="P585" s="4" t="n">
        <v>1</v>
      </c>
      <c r="Q585" s="4" t="n">
        <v>1406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가로장방</t>
        </is>
      </c>
      <c r="V585" s="3" t="inlineStr">
        <is>
          <t>세로한면(가)</t>
        </is>
      </c>
    </row>
    <row r="586">
      <c r="A586" s="3" t="inlineStr">
        <is>
          <t>부강면 문곡리 437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공장용지</t>
        </is>
      </c>
      <c r="E586" s="3" t="inlineStr">
        <is>
          <t>매매</t>
        </is>
      </c>
      <c r="F586" s="4" t="n">
        <v>95000</v>
      </c>
      <c r="G586" s="4" t="n">
        <v>1652</v>
      </c>
      <c r="H586" s="4" t="n">
        <v>500</v>
      </c>
      <c r="I586" s="5" t="n">
        <v>190</v>
      </c>
      <c r="J586" s="5" t="n">
        <v>82</v>
      </c>
      <c r="K586" s="3" t="inlineStr">
        <is>
          <t>공장등록 가능한 공장 용지, 남청주 IC 5분 거리, 대형차 진출입 용이</t>
        </is>
      </c>
      <c r="L586" s="6">
        <f>HYPERLINK("https://fin.land.naver.com/articles/2647644287", "매물Link")</f>
        <v/>
      </c>
      <c r="M586" s="6">
        <f>HYPERLINK("https://map.naver.com/p/search/부강면 문곡리 437", "지도Link")</f>
        <v/>
      </c>
      <c r="N586" s="6">
        <f>HYPERLINK("http://www.eum.go.kr/web/ar/lu/luLandDet.jsp?pnu=3611033025104370000&amp;isNoScr=script&amp;mode=search", "토지이음")</f>
        <v/>
      </c>
      <c r="O586" s="3" t="inlineStr">
        <is>
          <t>에이스</t>
        </is>
      </c>
      <c r="P586" s="4" t="n">
        <v>1</v>
      </c>
      <c r="Q586" s="4" t="n">
        <v>3358</v>
      </c>
      <c r="R586" s="3" t="inlineStr">
        <is>
          <t>지정되지않음</t>
        </is>
      </c>
      <c r="S586" s="3" t="inlineStr">
        <is>
          <t>공업용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문곡리 446</t>
        </is>
      </c>
      <c r="B587" s="3" t="inlineStr">
        <is>
          <t>계획관리지역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28700</v>
      </c>
      <c r="G587" s="4" t="n">
        <v>1355</v>
      </c>
      <c r="H587" s="4" t="n">
        <v>410</v>
      </c>
      <c r="I587" s="5" t="n">
        <v>70</v>
      </c>
      <c r="J587" s="5" t="n">
        <v>27.7</v>
      </c>
      <c r="K587" s="3" t="inlineStr">
        <is>
          <t>계획관리지역 토지 매매</t>
        </is>
      </c>
      <c r="L587" s="6">
        <f>HYPERLINK("https://fin.land.naver.com/articles/2651646118", "매물Link")</f>
        <v/>
      </c>
      <c r="M587" s="6">
        <f>HYPERLINK("https://map.naver.com/p/search/부강면 문곡리 446", "지도Link")</f>
        <v/>
      </c>
      <c r="N587" s="6">
        <f>HYPERLINK("http://www.eum.go.kr/web/ar/lu/luLandDet.jsp?pnu=3611033025104460000&amp;isNoScr=script&amp;mode=search", "토지이음")</f>
        <v/>
      </c>
      <c r="O587" s="3" t="inlineStr">
        <is>
          <t>THE행복</t>
        </is>
      </c>
      <c r="P587" s="4" t="n">
        <v>1</v>
      </c>
      <c r="Q587" s="4" t="n">
        <v>226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부강면 문곡리 726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100000</v>
      </c>
      <c r="G588" s="4" t="n">
        <v>1639</v>
      </c>
      <c r="H588" s="4" t="n">
        <v>496</v>
      </c>
      <c r="I588" s="5" t="n">
        <v>201.6</v>
      </c>
      <c r="J588" s="5" t="n">
        <v>96.2</v>
      </c>
      <c r="K588" s="3" t="inlineStr">
        <is>
          <t>대로옆  진출입 편리한 계획관리지역 답</t>
        </is>
      </c>
      <c r="L588" s="6">
        <f>HYPERLINK("https://fin.land.naver.com/articles/2649293430", "매물Link")</f>
        <v/>
      </c>
      <c r="M588" s="6">
        <f>HYPERLINK("https://map.naver.com/p/search/부강면 문곡리 726", "지도Link")</f>
        <v/>
      </c>
      <c r="N588" s="6">
        <f>HYPERLINK("http://www.eum.go.kr/web/ar/lu/luLandDet.jsp?pnu=3611033025107260000&amp;isNoScr=script&amp;mode=search", "토지이음")</f>
        <v/>
      </c>
      <c r="O588" s="3" t="inlineStr">
        <is>
          <t>해밀마을공간</t>
        </is>
      </c>
      <c r="P588" s="4" t="n">
        <v>1</v>
      </c>
      <c r="Q588" s="4" t="n">
        <v>1639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소로한면</t>
        </is>
      </c>
    </row>
    <row r="589">
      <c r="A589" s="3" t="inlineStr">
        <is>
          <t>부강면 문곡리 802</t>
        </is>
      </c>
      <c r="B589" s="3" t="inlineStr">
        <is>
          <t>생산관리지역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40000</v>
      </c>
      <c r="G589" s="4" t="n">
        <v>2079</v>
      </c>
      <c r="H589" s="4" t="n">
        <v>629</v>
      </c>
      <c r="I589" s="5" t="n">
        <v>63.6</v>
      </c>
      <c r="J589" s="5" t="n">
        <v>44.2</v>
      </c>
      <c r="K589" s="3" t="inlineStr">
        <is>
          <t>nan</t>
        </is>
      </c>
      <c r="L589" s="6">
        <f>HYPERLINK("https://fin.land.naver.com/articles/2651247437", "매물Link")</f>
        <v/>
      </c>
      <c r="M589" s="6">
        <f>HYPERLINK("https://map.naver.com/p/search/부강면 문곡리 802", "지도Link")</f>
        <v/>
      </c>
      <c r="N589" s="6">
        <f>HYPERLINK("http://www.eum.go.kr/web/ar/lu/luLandDet.jsp?pnu=3611033025108020000&amp;isNoScr=script&amp;mode=search", "토지이음")</f>
        <v/>
      </c>
      <c r="O589" s="3" t="inlineStr">
        <is>
          <t>대웅</t>
        </is>
      </c>
      <c r="P589" s="4" t="n">
        <v>1</v>
      </c>
      <c r="Q589" s="4" t="n">
        <v>1061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부강면 문곡리 802</t>
        </is>
      </c>
      <c r="B590" s="3" t="inlineStr">
        <is>
          <t>생산관리지역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37000</v>
      </c>
      <c r="G590" s="4" t="n">
        <v>2079</v>
      </c>
      <c r="H590" s="4" t="n">
        <v>629</v>
      </c>
      <c r="I590" s="5" t="n">
        <v>58.8</v>
      </c>
      <c r="J590" s="5" t="n">
        <v>44.2</v>
      </c>
      <c r="K590" s="3" t="inlineStr">
        <is>
          <t>nan</t>
        </is>
      </c>
      <c r="L590" s="6">
        <f>HYPERLINK("https://fin.land.naver.com/articles/2649292434", "매물Link")</f>
        <v/>
      </c>
      <c r="M590" s="6">
        <f>HYPERLINK("https://map.naver.com/p/search/부강면 문곡리 802", "지도Link")</f>
        <v/>
      </c>
      <c r="N590" s="6">
        <f>HYPERLINK("http://www.eum.go.kr/web/ar/lu/luLandDet.jsp?pnu=3611033025108020000&amp;isNoScr=script&amp;mode=search", "토지이음")</f>
        <v/>
      </c>
      <c r="O590" s="3" t="inlineStr">
        <is>
          <t>갤러리</t>
        </is>
      </c>
      <c r="P590" s="4" t="n">
        <v>1</v>
      </c>
      <c r="Q590" s="4" t="n">
        <v>1061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세로한면(불)</t>
        </is>
      </c>
    </row>
    <row r="591">
      <c r="A591" s="3" t="inlineStr">
        <is>
          <t>부강면 문곡리 81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전</t>
        </is>
      </c>
      <c r="E591" s="3" t="inlineStr">
        <is>
          <t>매매</t>
        </is>
      </c>
      <c r="F591" s="4" t="n">
        <v>41000</v>
      </c>
      <c r="G591" s="4" t="n">
        <v>1038</v>
      </c>
      <c r="H591" s="4" t="n">
        <v>314</v>
      </c>
      <c r="I591" s="5" t="n">
        <v>130.6</v>
      </c>
      <c r="J591" s="5" t="n">
        <v>29.9</v>
      </c>
      <c r="K591" s="3" t="inlineStr">
        <is>
          <t>2차선 도로옆으로 남청주 IC 3km</t>
        </is>
      </c>
      <c r="L591" s="6">
        <f>HYPERLINK("https://fin.land.naver.com/articles/2651423441", "매물Link")</f>
        <v/>
      </c>
      <c r="M591" s="6">
        <f>HYPERLINK("https://map.naver.com/p/search/부강면 문곡리 81", "지도Link")</f>
        <v/>
      </c>
      <c r="N591" s="6">
        <f>HYPERLINK("http://www.eum.go.kr/web/ar/lu/luLandDet.jsp?pnu=3611033025100810000&amp;isNoScr=script&amp;mode=search", "토지이음")</f>
        <v/>
      </c>
      <c r="O591" s="3" t="inlineStr">
        <is>
          <t>대웅</t>
        </is>
      </c>
      <c r="P591" s="4" t="n">
        <v>1</v>
      </c>
      <c r="Q591" s="4" t="n">
        <v>635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문곡리 836-2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대</t>
        </is>
      </c>
      <c r="E592" s="3" t="inlineStr">
        <is>
          <t>매매</t>
        </is>
      </c>
      <c r="F592" s="4" t="n">
        <v>50000</v>
      </c>
      <c r="G592" s="4" t="n">
        <v>1815</v>
      </c>
      <c r="H592" s="4" t="n">
        <v>549</v>
      </c>
      <c r="I592" s="5" t="n">
        <v>91.09999999999999</v>
      </c>
      <c r="J592" s="5" t="n">
        <v>25.9</v>
      </c>
      <c r="K592" s="3" t="inlineStr">
        <is>
          <t>계획관리지역,  세종에서 10분이내거리</t>
        </is>
      </c>
      <c r="L592" s="6">
        <f>HYPERLINK("https://fin.land.naver.com/articles/2649059214", "매물Link")</f>
        <v/>
      </c>
      <c r="M592" s="6">
        <f>HYPERLINK("https://map.naver.com/p/search/부강면 문곡리 836-2", "지도Link")</f>
        <v/>
      </c>
      <c r="N592" s="6">
        <f>HYPERLINK("http://www.eum.go.kr/web/ar/lu/luLandDet.jsp?pnu=3611033025108360002&amp;isNoScr=script&amp;mode=search", "토지이음")</f>
        <v/>
      </c>
      <c r="O592" s="3" t="inlineStr">
        <is>
          <t>이담</t>
        </is>
      </c>
      <c r="P592" s="4" t="n">
        <v>1</v>
      </c>
      <c r="Q592" s="4" t="n">
        <v>1815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가로장방</t>
        </is>
      </c>
      <c r="V592" s="3" t="inlineStr">
        <is>
          <t>세로한면(가)</t>
        </is>
      </c>
    </row>
    <row r="593">
      <c r="A593" s="3" t="inlineStr">
        <is>
          <t>부강면 문곡리 836-2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55000</v>
      </c>
      <c r="G593" s="4" t="n">
        <v>1815</v>
      </c>
      <c r="H593" s="4" t="n">
        <v>549</v>
      </c>
      <c r="I593" s="5" t="n">
        <v>100.2</v>
      </c>
      <c r="J593" s="5" t="n">
        <v>25.9</v>
      </c>
      <c r="K593" s="3" t="inlineStr">
        <is>
          <t>세종시 부강면 문곡리  토지 매매</t>
        </is>
      </c>
      <c r="L593" s="6">
        <f>HYPERLINK("https://fin.land.naver.com/articles/2647497030", "매물Link")</f>
        <v/>
      </c>
      <c r="M593" s="6">
        <f>HYPERLINK("https://map.naver.com/p/search/부강면 문곡리 836-2", "지도Link")</f>
        <v/>
      </c>
      <c r="N593" s="6">
        <f>HYPERLINK("http://www.eum.go.kr/web/ar/lu/luLandDet.jsp?pnu=3611033025108360002&amp;isNoScr=script&amp;mode=search", "토지이음")</f>
        <v/>
      </c>
      <c r="O593" s="3" t="inlineStr">
        <is>
          <t>주식회사넥서스</t>
        </is>
      </c>
      <c r="P593" s="4" t="n">
        <v>1</v>
      </c>
      <c r="Q593" s="4" t="n">
        <v>1815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문곡리 901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123000</v>
      </c>
      <c r="G594" s="4" t="n">
        <v>2710</v>
      </c>
      <c r="H594" s="4" t="n">
        <v>820</v>
      </c>
      <c r="I594" s="5" t="n">
        <v>150</v>
      </c>
      <c r="J594" s="5" t="n">
        <v>22.5</v>
      </c>
      <c r="K594" s="3" t="inlineStr">
        <is>
          <t>도로에 접한 계획관리 토지공장허가득함</t>
        </is>
      </c>
      <c r="L594" s="6">
        <f>HYPERLINK("https://fin.land.naver.com/articles/2650858523", "매물Link")</f>
        <v/>
      </c>
      <c r="M594" s="6">
        <f>HYPERLINK("https://map.naver.com/p/search/부강면 문곡리 901", "지도Link")</f>
        <v/>
      </c>
      <c r="N594" s="6">
        <f>HYPERLINK("http://www.eum.go.kr/web/ar/lu/luLandDet.jsp?pnu=3611033025109010000&amp;isNoScr=script&amp;mode=search", "토지이음")</f>
        <v/>
      </c>
      <c r="O594" s="3" t="inlineStr">
        <is>
          <t>세종대박</t>
        </is>
      </c>
      <c r="P594" s="4" t="n">
        <v>1</v>
      </c>
      <c r="Q594" s="4" t="n">
        <v>2147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부강면 문곡리 902-1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98800</v>
      </c>
      <c r="G595" s="4" t="n">
        <v>2334</v>
      </c>
      <c r="H595" s="4" t="n">
        <v>706</v>
      </c>
      <c r="I595" s="5" t="n">
        <v>139.9</v>
      </c>
      <c r="J595" s="5" t="n">
        <v>24.7</v>
      </c>
      <c r="K595" s="3" t="inlineStr">
        <is>
          <t>투자,공장,창고,주택용지 계획관리토지분할매매가능</t>
        </is>
      </c>
      <c r="L595" s="6">
        <f>HYPERLINK("https://fin.land.naver.com/articles/2648813377", "매물Link")</f>
        <v/>
      </c>
      <c r="M595" s="6">
        <f>HYPERLINK("https://map.naver.com/p/search/부강면 문곡리 902-1", "지도Link")</f>
        <v/>
      </c>
      <c r="N595" s="6">
        <f>HYPERLINK("http://www.eum.go.kr/web/ar/lu/luLandDet.jsp?pnu=3611033025109020001&amp;isNoScr=script&amp;mode=search", "토지이음")</f>
        <v/>
      </c>
      <c r="O595" s="3" t="inlineStr">
        <is>
          <t>세종대박</t>
        </is>
      </c>
      <c r="P595" s="4" t="n">
        <v>3</v>
      </c>
      <c r="Q595" s="4" t="n">
        <v>2334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문곡리 903-3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136000</v>
      </c>
      <c r="G596" s="4" t="n">
        <v>3505</v>
      </c>
      <c r="H596" s="4" t="n">
        <v>1060</v>
      </c>
      <c r="I596" s="5" t="n">
        <v>128.3</v>
      </c>
      <c r="J596" s="5" t="n">
        <v>22.5</v>
      </c>
      <c r="K596" s="3" t="inlineStr">
        <is>
          <t>즉시 건축 가능한 공장 및 창고부지 계획관리지역 남청주 IC인근</t>
        </is>
      </c>
      <c r="L596" s="6">
        <f>HYPERLINK("https://fin.land.naver.com/articles/2646279919", "매물Link")</f>
        <v/>
      </c>
      <c r="M596" s="6">
        <f>HYPERLINK("https://map.naver.com/p/search/부강면 문곡리 903-3", "지도Link")</f>
        <v/>
      </c>
      <c r="N596" s="6">
        <f>HYPERLINK("http://www.eum.go.kr/web/ar/lu/luLandDet.jsp?pnu=3611033025109030003&amp;isNoScr=script&amp;mode=search", "토지이음")</f>
        <v/>
      </c>
      <c r="O596" s="3" t="inlineStr">
        <is>
          <t>대전토지로무소</t>
        </is>
      </c>
      <c r="P596" s="4" t="n">
        <v>1</v>
      </c>
      <c r="Q596" s="4" t="n">
        <v>3505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부강면 문곡리 903-3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136000</v>
      </c>
      <c r="G597" s="4" t="n">
        <v>3505</v>
      </c>
      <c r="H597" s="4" t="n">
        <v>1060</v>
      </c>
      <c r="I597" s="5" t="n">
        <v>128.3</v>
      </c>
      <c r="J597" s="5" t="n">
        <v>22.5</v>
      </c>
      <c r="K597" s="3" t="inlineStr">
        <is>
          <t>남청주IC와 가까워 물류센터,공장 추천,계획관리지역의 토지</t>
        </is>
      </c>
      <c r="L597" s="6">
        <f>HYPERLINK("https://fin.land.naver.com/articles/2649253784", "매물Link")</f>
        <v/>
      </c>
      <c r="M597" s="6">
        <f>HYPERLINK("https://map.naver.com/p/search/부강면 문곡리 903-3", "지도Link")</f>
        <v/>
      </c>
      <c r="N597" s="6">
        <f>HYPERLINK("http://www.eum.go.kr/web/ar/lu/luLandDet.jsp?pnu=3611033025109030003&amp;isNoScr=script&amp;mode=search", "토지이음")</f>
        <v/>
      </c>
      <c r="O597" s="3" t="inlineStr">
        <is>
          <t>(주)미르</t>
        </is>
      </c>
      <c r="P597" s="4" t="n">
        <v>1</v>
      </c>
      <c r="Q597" s="4" t="n">
        <v>3505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918-1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250000</v>
      </c>
      <c r="G598" s="4" t="n">
        <v>2991</v>
      </c>
      <c r="H598" s="4" t="n">
        <v>905</v>
      </c>
      <c r="I598" s="5" t="n">
        <v>276.2</v>
      </c>
      <c r="J598" s="5" t="n">
        <v>96.2</v>
      </c>
      <c r="K598" s="3" t="inlineStr">
        <is>
          <t>조율가능 2차선변 진입로넓음 토지모양 평탄화 컨디션최상</t>
        </is>
      </c>
      <c r="L598" s="6">
        <f>HYPERLINK("https://fin.land.naver.com/articles/2647126182", "매물Link")</f>
        <v/>
      </c>
      <c r="M598" s="6">
        <f>HYPERLINK("https://map.naver.com/p/search/부강면 문곡리 918-1", "지도Link")</f>
        <v/>
      </c>
      <c r="N598" s="6">
        <f>HYPERLINK("http://www.eum.go.kr/web/ar/lu/luLandDet.jsp?pnu=3611033025109180001&amp;isNoScr=script&amp;mode=search", "토지이음")</f>
        <v/>
      </c>
      <c r="O598" s="3" t="inlineStr">
        <is>
          <t>세종스타</t>
        </is>
      </c>
      <c r="P598" s="4" t="n">
        <v>1</v>
      </c>
      <c r="Q598" s="4" t="n">
        <v>2063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소로한면</t>
        </is>
      </c>
    </row>
    <row r="599">
      <c r="A599" s="3" t="inlineStr">
        <is>
          <t>부강면 문곡리 산73-8</t>
        </is>
      </c>
      <c r="B599" s="3" t="inlineStr">
        <is>
          <t>보전관리지역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67000</v>
      </c>
      <c r="G599" s="4" t="n">
        <v>4426</v>
      </c>
      <c r="H599" s="4" t="n">
        <v>1339</v>
      </c>
      <c r="I599" s="5" t="n">
        <v>50</v>
      </c>
      <c r="J599" s="5" t="n">
        <v>5.8</v>
      </c>
      <c r="K599" s="3" t="inlineStr">
        <is>
          <t>도로확보조건이며, 정남향의 토지로 주택개발이나 투자 추천</t>
        </is>
      </c>
      <c r="L599" s="6">
        <f>HYPERLINK("https://fin.land.naver.com/articles/2648262020", "매물Link")</f>
        <v/>
      </c>
      <c r="M599" s="6">
        <f>HYPERLINK("https://map.naver.com/p/search/부강면 문곡리 산73-8", "지도Link")</f>
        <v/>
      </c>
      <c r="N599" s="6">
        <f>HYPERLINK("http://www.eum.go.kr/web/ar/lu/luLandDet.jsp?pnu=3611033025200730008&amp;isNoScr=script&amp;mode=search", "토지이음")</f>
        <v/>
      </c>
      <c r="O599" s="3" t="inlineStr">
        <is>
          <t>연동스카이</t>
        </is>
      </c>
      <c r="P599" s="4" t="n">
        <v>1</v>
      </c>
      <c r="Q599" s="4" t="n">
        <v>3426</v>
      </c>
      <c r="R599" s="3" t="inlineStr">
        <is>
          <t>지정되지않음</t>
        </is>
      </c>
      <c r="S599" s="3" t="inlineStr">
        <is>
          <t>자연림</t>
        </is>
      </c>
      <c r="T599" s="3" t="inlineStr">
        <is>
          <t>완경사</t>
        </is>
      </c>
      <c r="U599" s="3" t="inlineStr">
        <is>
          <t>정방형</t>
        </is>
      </c>
      <c r="V599" s="3" t="inlineStr">
        <is>
          <t>맹지</t>
        </is>
      </c>
    </row>
    <row r="600">
      <c r="A600" s="3" t="inlineStr">
        <is>
          <t>부강면 부강리 1003-3</t>
        </is>
      </c>
      <c r="B600" s="3" t="inlineStr">
        <is>
          <t>제1종일반주거지역</t>
        </is>
      </c>
      <c r="C600" s="3" t="inlineStr">
        <is>
          <t>잡종지</t>
        </is>
      </c>
      <c r="D600" s="3" t="inlineStr">
        <is>
          <t>잡종지</t>
        </is>
      </c>
      <c r="E600" s="3" t="inlineStr">
        <is>
          <t>월세</t>
        </is>
      </c>
      <c r="F600" s="4" t="n">
        <v>3000</v>
      </c>
      <c r="G600" s="4" t="n">
        <v>2345</v>
      </c>
      <c r="H600" s="4" t="n">
        <v>709</v>
      </c>
      <c r="I600" s="5" t="n">
        <v>0.4</v>
      </c>
      <c r="J600" s="5" t="n">
        <v>291.4</v>
      </c>
      <c r="K600" s="3" t="inlineStr">
        <is>
          <t>2차선도로에서 진입 대형화물차도 진입가능합니다.</t>
        </is>
      </c>
      <c r="L600" s="6">
        <f>HYPERLINK("https://fin.land.naver.com/articles/2651013568", "매물Link")</f>
        <v/>
      </c>
      <c r="M600" s="6">
        <f>HYPERLINK("https://map.naver.com/p/search/부강면 부강리 1003-3", "지도Link")</f>
        <v/>
      </c>
      <c r="N600" s="6">
        <f>HYPERLINK("http://www.eum.go.kr/web/ar/lu/luLandDet.jsp?pnu=3611033021110030003&amp;isNoScr=script&amp;mode=search", "토지이음")</f>
        <v/>
      </c>
      <c r="O600" s="3" t="inlineStr">
        <is>
          <t>연동스카이</t>
        </is>
      </c>
      <c r="P600" s="4" t="n">
        <v>1</v>
      </c>
      <c r="Q600" s="4" t="n">
        <v>1494</v>
      </c>
      <c r="R600" s="3" t="inlineStr">
        <is>
          <t>지정되지않음</t>
        </is>
      </c>
      <c r="S600" s="3" t="inlineStr">
        <is>
          <t>상업용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소로한면</t>
        </is>
      </c>
    </row>
    <row r="601">
      <c r="A601" s="3" t="inlineStr">
        <is>
          <t>부강면 부강리 1046-4</t>
        </is>
      </c>
      <c r="B601" s="3" t="inlineStr">
        <is>
          <t>자연녹지지역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100000</v>
      </c>
      <c r="G601" s="4" t="n">
        <v>1501</v>
      </c>
      <c r="H601" s="4" t="n">
        <v>454</v>
      </c>
      <c r="I601" s="5" t="n">
        <v>220.3</v>
      </c>
      <c r="J601" s="5" t="n">
        <v>80.09999999999999</v>
      </c>
      <c r="K601" s="3" t="inlineStr">
        <is>
          <t>부강리 도시지역 자역녹지 대지와 전 2필지로 정비소나 애완카페등으로 이용</t>
        </is>
      </c>
      <c r="L601" s="6">
        <f>HYPERLINK("https://fin.land.naver.com/articles/2645998383", "매물Link")</f>
        <v/>
      </c>
      <c r="M601" s="6">
        <f>HYPERLINK("https://map.naver.com/p/search/부강면 부강리 1046-4", "지도Link")</f>
        <v/>
      </c>
      <c r="N601" s="6">
        <f>HYPERLINK("http://www.eum.go.kr/web/ar/lu/luLandDet.jsp?pnu=3611033021110460004&amp;isNoScr=script&amp;mode=search", "토지이음")</f>
        <v/>
      </c>
      <c r="O601" s="3" t="inlineStr">
        <is>
          <t>스마일세종</t>
        </is>
      </c>
      <c r="P601" s="4" t="n">
        <v>1</v>
      </c>
      <c r="Q601" s="4" t="n">
        <v>1007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세로한면(불)</t>
        </is>
      </c>
    </row>
    <row r="602">
      <c r="A602" s="3" t="inlineStr">
        <is>
          <t>부강면 부강리 1060-4</t>
        </is>
      </c>
      <c r="B602" s="3" t="inlineStr">
        <is>
          <t>자연녹지지역</t>
        </is>
      </c>
      <c r="C602" s="3" t="inlineStr">
        <is>
          <t>주차장</t>
        </is>
      </c>
      <c r="D602" s="3" t="inlineStr">
        <is>
          <t>주차장</t>
        </is>
      </c>
      <c r="E602" s="3" t="inlineStr">
        <is>
          <t>월세</t>
        </is>
      </c>
      <c r="F602" s="4" t="n">
        <v>1000</v>
      </c>
      <c r="G602" s="4" t="n">
        <v>1024</v>
      </c>
      <c r="H602" s="4" t="n">
        <v>310</v>
      </c>
      <c r="I602" s="5" t="n">
        <v>0.4</v>
      </c>
      <c r="J602" s="5" t="n">
        <v>62.8</v>
      </c>
      <c r="K602" s="3" t="inlineStr">
        <is>
          <t>버스 .대형차 차고지 사용하실분 환영 (사무실용도 27㎡)포함임</t>
        </is>
      </c>
      <c r="L602" s="6">
        <f>HYPERLINK("https://fin.land.naver.com/articles/2646976829", "매물Link")</f>
        <v/>
      </c>
      <c r="M602" s="6">
        <f>HYPERLINK("https://map.naver.com/p/search/부강면 부강리 1060-4", "지도Link")</f>
        <v/>
      </c>
      <c r="N602" s="6">
        <f>HYPERLINK("http://www.eum.go.kr/web/ar/lu/luLandDet.jsp?pnu=3611033021110600004&amp;isNoScr=script&amp;mode=search", "토지이음")</f>
        <v/>
      </c>
      <c r="O602" s="3" t="inlineStr">
        <is>
          <t>대박</t>
        </is>
      </c>
      <c r="P602" s="4" t="n">
        <v>1</v>
      </c>
      <c r="Q602" s="4" t="n">
        <v>1024</v>
      </c>
      <c r="R602" s="3" t="inlineStr">
        <is>
          <t>지정되지않음</t>
        </is>
      </c>
      <c r="S602" s="3" t="inlineStr">
        <is>
          <t>전기타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부강면 부강리 113-2</t>
        </is>
      </c>
      <c r="B603" s="3" t="inlineStr">
        <is>
          <t>제2종일반주거지역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35000</v>
      </c>
      <c r="G603" s="4" t="n">
        <v>233</v>
      </c>
      <c r="H603" s="4" t="n">
        <v>70</v>
      </c>
      <c r="I603" s="5" t="n">
        <v>500</v>
      </c>
      <c r="J603" s="5" t="n">
        <v>190.6</v>
      </c>
      <c r="K603" s="3" t="inlineStr">
        <is>
          <t>5생활권 분양시작으로 인한 원투룸이 부족한상태이므로 다가구부지추천</t>
        </is>
      </c>
      <c r="L603" s="6">
        <f>HYPERLINK("https://fin.land.naver.com/articles/2648254762", "매물Link")</f>
        <v/>
      </c>
      <c r="M603" s="6">
        <f>HYPERLINK("https://map.naver.com/p/search/부강면 부강리 113-2", "지도Link")</f>
        <v/>
      </c>
      <c r="N603" s="6">
        <f>HYPERLINK("http://www.eum.go.kr/web/ar/lu/luLandDet.jsp?pnu=3611033021101130002&amp;isNoScr=script&amp;mode=search", "토지이음")</f>
        <v/>
      </c>
      <c r="O603" s="3" t="inlineStr">
        <is>
          <t>연동스카이</t>
        </is>
      </c>
      <c r="P603" s="4" t="n">
        <v>1</v>
      </c>
      <c r="Q603" s="4" t="n">
        <v>233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부강면 부강리 1215-2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58000</v>
      </c>
      <c r="G604" s="4" t="n">
        <v>766</v>
      </c>
      <c r="H604" s="4" t="n">
        <v>232</v>
      </c>
      <c r="I604" s="5" t="n">
        <v>250</v>
      </c>
      <c r="J604" s="5" t="n">
        <v>40</v>
      </c>
      <c r="K604" s="3" t="inlineStr">
        <is>
          <t>대토추천, 세로한면불토지</t>
        </is>
      </c>
      <c r="L604" s="6">
        <f>HYPERLINK("https://fin.land.naver.com/articles/2650179837", "매물Link")</f>
        <v/>
      </c>
      <c r="M604" s="6">
        <f>HYPERLINK("https://map.naver.com/p/search/부강면 부강리 1215-2", "지도Link")</f>
        <v/>
      </c>
      <c r="N604" s="6">
        <f>HYPERLINK("http://www.eum.go.kr/web/ar/lu/luLandDet.jsp?pnu=3611033021112150002&amp;isNoScr=script&amp;mode=search", "토지이음")</f>
        <v/>
      </c>
      <c r="O604" s="3" t="inlineStr">
        <is>
          <t>연동스카이</t>
        </is>
      </c>
      <c r="P604" s="4" t="n">
        <v>1</v>
      </c>
      <c r="Q604" s="4" t="n">
        <v>766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부강리 1230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170000</v>
      </c>
      <c r="G605" s="4" t="n">
        <v>2365</v>
      </c>
      <c r="H605" s="4" t="n">
        <v>715</v>
      </c>
      <c r="I605" s="5" t="n">
        <v>237.8</v>
      </c>
      <c r="J605" s="5" t="n">
        <v>37.7</v>
      </c>
      <c r="K605" s="3" t="inlineStr">
        <is>
          <t>계획관리지역, 농막, 비닐하우스, 성토완료, 지하수있음</t>
        </is>
      </c>
      <c r="L605" s="6">
        <f>HYPERLINK("https://fin.land.naver.com/articles/2648785151", "매물Link")</f>
        <v/>
      </c>
      <c r="M605" s="6">
        <f>HYPERLINK("https://map.naver.com/p/search/부강면 부강리 1230", "지도Link")</f>
        <v/>
      </c>
      <c r="N605" s="6">
        <f>HYPERLINK("http://www.eum.go.kr/web/ar/lu/luLandDet.jsp?pnu=3611033021112300000&amp;isNoScr=script&amp;mode=search", "토지이음")</f>
        <v/>
      </c>
      <c r="O605" s="3" t="inlineStr">
        <is>
          <t>이담</t>
        </is>
      </c>
      <c r="P605" s="4" t="n">
        <v>1</v>
      </c>
      <c r="Q605" s="4" t="n">
        <v>2365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맹지</t>
        </is>
      </c>
    </row>
    <row r="606">
      <c r="A606" s="3" t="inlineStr">
        <is>
          <t>부강면 부강리 1252</t>
        </is>
      </c>
      <c r="B606" s="3" t="inlineStr">
        <is>
          <t>계획관리지역</t>
        </is>
      </c>
      <c r="C606" s="3" t="inlineStr">
        <is>
          <t>잡종지</t>
        </is>
      </c>
      <c r="D606" s="3" t="inlineStr">
        <is>
          <t>잡종지</t>
        </is>
      </c>
      <c r="E606" s="3" t="inlineStr">
        <is>
          <t>매매</t>
        </is>
      </c>
      <c r="F606" s="4" t="n">
        <v>1000000</v>
      </c>
      <c r="G606" s="4" t="n">
        <v>8347</v>
      </c>
      <c r="H606" s="4" t="n">
        <v>2525</v>
      </c>
      <c r="I606" s="5" t="n">
        <v>396</v>
      </c>
      <c r="J606" s="5" t="n">
        <v>97.40000000000001</v>
      </c>
      <c r="K606" s="3" t="inlineStr">
        <is>
          <t>세종 부강면 부강리 소재 토지 잡종지라 활용 방향 검토 폭이 넓은 편 계</t>
        </is>
      </c>
      <c r="L606" s="6">
        <f>HYPERLINK("https://fin.land.naver.com/articles/2651604812", "매물Link")</f>
        <v/>
      </c>
      <c r="M606" s="6">
        <f>HYPERLINK("https://map.naver.com/p/search/부강면 부강리 1252", "지도Link")</f>
        <v/>
      </c>
      <c r="N606" s="6">
        <f>HYPERLINK("http://www.eum.go.kr/web/ar/lu/luLandDet.jsp?pnu=3611033021112520000&amp;isNoScr=script&amp;mode=search", "토지이음")</f>
        <v/>
      </c>
      <c r="O606" s="3" t="inlineStr">
        <is>
          <t>세종몽땅</t>
        </is>
      </c>
      <c r="P606" s="4" t="n">
        <v>1</v>
      </c>
      <c r="Q606" s="4" t="n">
        <v>4832</v>
      </c>
      <c r="R606" s="3" t="inlineStr">
        <is>
          <t>지정되지않음</t>
        </is>
      </c>
      <c r="S606" s="3" t="inlineStr">
        <is>
          <t>공업나지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부강리 343-1</t>
        </is>
      </c>
      <c r="B607" s="3" t="inlineStr">
        <is>
          <t>제2종일반주거지역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29500</v>
      </c>
      <c r="G607" s="4" t="n">
        <v>420</v>
      </c>
      <c r="H607" s="4" t="n">
        <v>127</v>
      </c>
      <c r="I607" s="5" t="n">
        <v>232.3</v>
      </c>
      <c r="J607" s="5" t="n">
        <v>94.90000000000001</v>
      </c>
      <c r="K607" s="3" t="inlineStr">
        <is>
          <t>코너각지땅모양예쁜땅,지대가높아확트인조망,행복도시10분이내</t>
        </is>
      </c>
      <c r="L607" s="6">
        <f>HYPERLINK("https://fin.land.naver.com/articles/2651590776", "매물Link")</f>
        <v/>
      </c>
      <c r="M607" s="6">
        <f>HYPERLINK("https://map.naver.com/p/search/부강면 부강리 343-1", "지도Link")</f>
        <v/>
      </c>
      <c r="N607" s="6">
        <f>HYPERLINK("http://www.eum.go.kr/web/ar/lu/luLandDet.jsp?pnu=3611033021103430001&amp;isNoScr=script&amp;mode=search", "토지이음")</f>
        <v/>
      </c>
      <c r="O607" s="3" t="inlineStr">
        <is>
          <t>타이밍</t>
        </is>
      </c>
      <c r="P607" s="4" t="n">
        <v>1</v>
      </c>
      <c r="Q607" s="4" t="n">
        <v>420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세로한면(가)</t>
        </is>
      </c>
    </row>
    <row r="608">
      <c r="A608" s="3" t="inlineStr">
        <is>
          <t>부강면 부강리 386</t>
        </is>
      </c>
      <c r="B608" s="3" t="inlineStr">
        <is>
          <t>제2종일반주거지역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50000</v>
      </c>
      <c r="G608" s="4" t="n">
        <v>664</v>
      </c>
      <c r="H608" s="4" t="n">
        <v>201</v>
      </c>
      <c r="I608" s="5" t="n">
        <v>248.8</v>
      </c>
      <c r="J608" s="5" t="n">
        <v>110</v>
      </c>
      <c r="K608" s="3" t="inlineStr">
        <is>
          <t>5생활권 인근  주택  유통 할수 있고 미래 투자가치  좋은대지.</t>
        </is>
      </c>
      <c r="L608" s="6">
        <f>HYPERLINK("https://fin.land.naver.com/articles/2647755692", "매물Link")</f>
        <v/>
      </c>
      <c r="M608" s="6">
        <f>HYPERLINK("https://map.naver.com/p/search/부강면 부강리 386", "지도Link")</f>
        <v/>
      </c>
      <c r="N608" s="6">
        <f>HYPERLINK("http://www.eum.go.kr/web/ar/lu/luLandDet.jsp?pnu=3611033021103860000&amp;isNoScr=script&amp;mode=search", "토지이음")</f>
        <v/>
      </c>
      <c r="O608" s="3" t="inlineStr">
        <is>
          <t>강남뜰</t>
        </is>
      </c>
      <c r="P608" s="4" t="n">
        <v>1</v>
      </c>
      <c r="Q608" s="4" t="n">
        <v>664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평지</t>
        </is>
      </c>
      <c r="U608" s="3" t="inlineStr">
        <is>
          <t>사다리형</t>
        </is>
      </c>
      <c r="V608" s="3" t="inlineStr">
        <is>
          <t>세로한면(가)</t>
        </is>
      </c>
    </row>
    <row r="609">
      <c r="A609" s="3" t="inlineStr">
        <is>
          <t>부강면 부강리 446-13</t>
        </is>
      </c>
      <c r="B609" s="3" t="inlineStr">
        <is>
          <t>일반상업지역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140000</v>
      </c>
      <c r="G609" s="4" t="n">
        <v>522</v>
      </c>
      <c r="H609" s="4" t="n">
        <v>158</v>
      </c>
      <c r="I609" s="5" t="n">
        <v>886.1</v>
      </c>
      <c r="J609" s="5" t="n">
        <v>502.5</v>
      </c>
      <c r="K609" s="3" t="inlineStr">
        <is>
          <t>추천.  현재 식당 운영 입지좋은 위치 상업시설 짓기 좋은 곳</t>
        </is>
      </c>
      <c r="L609" s="6">
        <f>HYPERLINK("https://fin.land.naver.com/articles/2646737506", "매물Link")</f>
        <v/>
      </c>
      <c r="M609" s="6">
        <f>HYPERLINK("https://map.naver.com/p/search/부강면 부강리 446-13", "지도Link")</f>
        <v/>
      </c>
      <c r="N609" s="6">
        <f>HYPERLINK("http://www.eum.go.kr/web/ar/lu/luLandDet.jsp?pnu=3611033021104460013&amp;isNoScr=script&amp;mode=search", "토지이음")</f>
        <v/>
      </c>
      <c r="O609" s="3" t="inlineStr">
        <is>
          <t>한강롯데(단지내)</t>
        </is>
      </c>
      <c r="P609" s="4" t="n">
        <v>1</v>
      </c>
      <c r="Q609" s="4" t="n">
        <v>522</v>
      </c>
      <c r="R609" s="3" t="inlineStr">
        <is>
          <t>지정되지않음</t>
        </is>
      </c>
      <c r="S609" s="3" t="inlineStr">
        <is>
          <t>상업용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소로각지</t>
        </is>
      </c>
    </row>
    <row r="610">
      <c r="A610" s="3" t="inlineStr">
        <is>
          <t>부강면 부강리 457-3</t>
        </is>
      </c>
      <c r="B610" s="3" t="inlineStr">
        <is>
          <t>일반상업지역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95000</v>
      </c>
      <c r="G610" s="4" t="n">
        <v>767</v>
      </c>
      <c r="H610" s="4" t="n">
        <v>232</v>
      </c>
      <c r="I610" s="5" t="n">
        <v>409.5</v>
      </c>
      <c r="J610" s="5" t="n">
        <v>311.3</v>
      </c>
      <c r="K610" s="3" t="inlineStr">
        <is>
          <t>일반상업지역내, 부강역까지 도보 이동가능</t>
        </is>
      </c>
      <c r="L610" s="6">
        <f>HYPERLINK("https://fin.land.naver.com/articles/2651146294", "매물Link")</f>
        <v/>
      </c>
      <c r="M610" s="6">
        <f>HYPERLINK("https://map.naver.com/p/search/부강면 부강리 457-3", "지도Link")</f>
        <v/>
      </c>
      <c r="N610" s="6">
        <f>HYPERLINK("http://www.eum.go.kr/web/ar/lu/luLandDet.jsp?pnu=3611033021104570003&amp;isNoScr=script&amp;mode=search", "토지이음")</f>
        <v/>
      </c>
      <c r="O610" s="3" t="inlineStr">
        <is>
          <t>(주)미르</t>
        </is>
      </c>
      <c r="P610" s="4" t="n">
        <v>2</v>
      </c>
      <c r="Q610" s="4" t="n">
        <v>767</v>
      </c>
      <c r="R610" s="3" t="inlineStr">
        <is>
          <t>지정되지않음</t>
        </is>
      </c>
      <c r="S610" s="3" t="inlineStr">
        <is>
          <t>단독</t>
        </is>
      </c>
      <c r="T610" s="3" t="inlineStr">
        <is>
          <t>평지</t>
        </is>
      </c>
      <c r="U610" s="3" t="inlineStr">
        <is>
          <t>사다리형</t>
        </is>
      </c>
      <c r="V610" s="3" t="inlineStr">
        <is>
          <t>소로한면</t>
        </is>
      </c>
    </row>
    <row r="611">
      <c r="A611" s="3" t="inlineStr">
        <is>
          <t>부강면 부강리 486-3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68000</v>
      </c>
      <c r="G611" s="4" t="n">
        <v>545</v>
      </c>
      <c r="H611" s="4" t="n">
        <v>165</v>
      </c>
      <c r="I611" s="5" t="n">
        <v>412.1</v>
      </c>
      <c r="J611" s="5" t="n">
        <v>204.5</v>
      </c>
      <c r="K611" s="3" t="inlineStr">
        <is>
          <t>부강초등학교 인근에 있는 일반주거지역으로 다가구주택 부지로 좋은 대지</t>
        </is>
      </c>
      <c r="L611" s="6">
        <f>HYPERLINK("https://fin.land.naver.com/articles/2651241494", "매물Link")</f>
        <v/>
      </c>
      <c r="M611" s="6">
        <f>HYPERLINK("https://map.naver.com/p/search/부강면 부강리 486-3", "지도Link")</f>
        <v/>
      </c>
      <c r="N611" s="6">
        <f>HYPERLINK("http://www.eum.go.kr/web/ar/lu/luLandDet.jsp?pnu=3611033021104860003&amp;isNoScr=script&amp;mode=search", "토지이음")</f>
        <v/>
      </c>
      <c r="O611" s="3" t="inlineStr">
        <is>
          <t>스마일세종</t>
        </is>
      </c>
      <c r="P611" s="4" t="n">
        <v>1</v>
      </c>
      <c r="Q611" s="4" t="n">
        <v>545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소로한면</t>
        </is>
      </c>
    </row>
    <row r="612">
      <c r="A612" s="3" t="inlineStr">
        <is>
          <t>부강면 부강리 580-1</t>
        </is>
      </c>
      <c r="B612" s="3" t="inlineStr">
        <is>
          <t>일반공업지역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320000</v>
      </c>
      <c r="G612" s="4" t="n">
        <v>3808</v>
      </c>
      <c r="H612" s="4" t="n">
        <v>1152</v>
      </c>
      <c r="I612" s="5" t="n">
        <v>277.8</v>
      </c>
      <c r="J612" s="5" t="n">
        <v>40.9</v>
      </c>
      <c r="K612" s="3" t="inlineStr">
        <is>
          <t>nan</t>
        </is>
      </c>
      <c r="L612" s="6">
        <f>HYPERLINK("https://fin.land.naver.com/articles/2647077993", "매물Link")</f>
        <v/>
      </c>
      <c r="M612" s="6">
        <f>HYPERLINK("https://map.naver.com/p/search/부강면 부강리 580-1", "지도Link")</f>
        <v/>
      </c>
      <c r="N612" s="6">
        <f>HYPERLINK("http://www.eum.go.kr/web/ar/lu/luLandDet.jsp?pnu=3611033021105800001&amp;isNoScr=script&amp;mode=search", "토지이음")</f>
        <v/>
      </c>
      <c r="O612" s="3" t="inlineStr">
        <is>
          <t>박프로TV</t>
        </is>
      </c>
      <c r="P612" s="4" t="n">
        <v>1</v>
      </c>
      <c r="Q612" s="4" t="n">
        <v>3127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세로한면(불)</t>
        </is>
      </c>
    </row>
    <row r="613">
      <c r="A613" s="3" t="inlineStr">
        <is>
          <t>부강면 부강리 580-1</t>
        </is>
      </c>
      <c r="B613" s="3" t="inlineStr">
        <is>
          <t>일반공업지역</t>
        </is>
      </c>
      <c r="C613" s="3" t="inlineStr">
        <is>
          <t>답</t>
        </is>
      </c>
      <c r="D613" s="3" t="inlineStr">
        <is>
          <t>공장용지</t>
        </is>
      </c>
      <c r="E613" s="3" t="inlineStr">
        <is>
          <t>매매</t>
        </is>
      </c>
      <c r="F613" s="4" t="n">
        <v>346000</v>
      </c>
      <c r="G613" s="4" t="n">
        <v>3808</v>
      </c>
      <c r="H613" s="4" t="n">
        <v>1152</v>
      </c>
      <c r="I613" s="5" t="n">
        <v>300.3</v>
      </c>
      <c r="J613" s="5" t="n">
        <v>40.9</v>
      </c>
      <c r="K613" s="3" t="inlineStr">
        <is>
          <t>입지 좋은 접근성 최상의 토지, 대로 2류 착공 예정, 가격 상승 기대</t>
        </is>
      </c>
      <c r="L613" s="6">
        <f>HYPERLINK("https://fin.land.naver.com/articles/2651106962", "매물Link")</f>
        <v/>
      </c>
      <c r="M613" s="6">
        <f>HYPERLINK("https://map.naver.com/p/search/부강면 부강리 580-1", "지도Link")</f>
        <v/>
      </c>
      <c r="N613" s="6">
        <f>HYPERLINK("http://www.eum.go.kr/web/ar/lu/luLandDet.jsp?pnu=3611033021105800001&amp;isNoScr=script&amp;mode=search", "토지이음")</f>
        <v/>
      </c>
      <c r="O613" s="3" t="inlineStr">
        <is>
          <t>행복한무소</t>
        </is>
      </c>
      <c r="P613" s="4" t="n">
        <v>1</v>
      </c>
      <c r="Q613" s="4" t="n">
        <v>3127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사다리형</t>
        </is>
      </c>
      <c r="V613" s="3" t="inlineStr">
        <is>
          <t>세로한면(불)</t>
        </is>
      </c>
    </row>
    <row r="614">
      <c r="A614" s="3" t="inlineStr">
        <is>
          <t>부강면 부강리 717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66000</v>
      </c>
      <c r="G614" s="4" t="n">
        <v>545</v>
      </c>
      <c r="H614" s="4" t="n">
        <v>165</v>
      </c>
      <c r="I614" s="5" t="n">
        <v>400</v>
      </c>
      <c r="J614" s="5" t="n">
        <v>80.90000000000001</v>
      </c>
      <c r="K614" s="3" t="inlineStr">
        <is>
          <t>다용도로사용가능.현재사무실및창고용건물존재116.64제곱.금강변인접</t>
        </is>
      </c>
      <c r="L614" s="6">
        <f>HYPERLINK("https://fin.land.naver.com/articles/2648371246", "매물Link")</f>
        <v/>
      </c>
      <c r="M614" s="6">
        <f>HYPERLINK("https://map.naver.com/p/search/부강면 부강리 717", "지도Link")</f>
        <v/>
      </c>
      <c r="N614" s="6">
        <f>HYPERLINK("http://www.eum.go.kr/web/ar/lu/luLandDet.jsp?pnu=3611033021107170000&amp;isNoScr=script&amp;mode=search", "토지이음")</f>
        <v/>
      </c>
      <c r="O614" s="3" t="inlineStr">
        <is>
          <t>돈방석</t>
        </is>
      </c>
      <c r="P614" s="4" t="n">
        <v>1</v>
      </c>
      <c r="Q614" s="4" t="n">
        <v>545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세로장방</t>
        </is>
      </c>
      <c r="V614" s="3" t="inlineStr">
        <is>
          <t>세로한면(가)</t>
        </is>
      </c>
    </row>
    <row r="615">
      <c r="A615" s="3" t="inlineStr">
        <is>
          <t>부강면 부강리 745</t>
        </is>
      </c>
      <c r="B615" s="3" t="inlineStr">
        <is>
          <t>계획관리지역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50000</v>
      </c>
      <c r="G615" s="4" t="n">
        <v>1421</v>
      </c>
      <c r="H615" s="4" t="n">
        <v>430</v>
      </c>
      <c r="I615" s="5" t="n">
        <v>116.3</v>
      </c>
      <c r="J615" s="5" t="n">
        <v>36.3</v>
      </c>
      <c r="K615" s="3" t="inlineStr">
        <is>
          <t>세종 부강면 진입로 있는 토지,전기 인입등 투자용 토지</t>
        </is>
      </c>
      <c r="L615" s="6">
        <f>HYPERLINK("https://fin.land.naver.com/articles/2647002431", "매물Link")</f>
        <v/>
      </c>
      <c r="M615" s="6">
        <f>HYPERLINK("https://map.naver.com/p/search/부강면 부강리 745", "지도Link")</f>
        <v/>
      </c>
      <c r="N615" s="6">
        <f>HYPERLINK("http://www.eum.go.kr/web/ar/lu/luLandDet.jsp?pnu=3611033021107450000&amp;isNoScr=script&amp;mode=search", "토지이음")</f>
        <v/>
      </c>
      <c r="O615" s="3" t="inlineStr">
        <is>
          <t>민트</t>
        </is>
      </c>
      <c r="P615" s="4" t="n">
        <v>1</v>
      </c>
      <c r="Q615" s="4" t="n">
        <v>1421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세로한면(불)</t>
        </is>
      </c>
    </row>
    <row r="616">
      <c r="A616" s="3" t="inlineStr">
        <is>
          <t>부강면 부강리 758</t>
        </is>
      </c>
      <c r="B616" s="3" t="inlineStr">
        <is>
          <t>계획관리지역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28000</v>
      </c>
      <c r="G616" s="4" t="n">
        <v>634</v>
      </c>
      <c r="H616" s="4" t="n">
        <v>192</v>
      </c>
      <c r="I616" s="5" t="n">
        <v>145.8</v>
      </c>
      <c r="J616" s="5" t="n">
        <v>40.8</v>
      </c>
      <c r="K616" s="3" t="inlineStr">
        <is>
          <t>도로 인접</t>
        </is>
      </c>
      <c r="L616" s="6">
        <f>HYPERLINK("https://fin.land.naver.com/articles/2648271909", "매물Link")</f>
        <v/>
      </c>
      <c r="M616" s="6">
        <f>HYPERLINK("https://map.naver.com/p/search/부강면 부강리 758", "지도Link")</f>
        <v/>
      </c>
      <c r="N616" s="6">
        <f>HYPERLINK("http://www.eum.go.kr/web/ar/lu/luLandDet.jsp?pnu=3611033021107580000&amp;isNoScr=script&amp;mode=search", "토지이음")</f>
        <v/>
      </c>
      <c r="O616" s="3" t="inlineStr">
        <is>
          <t>세종제일1</t>
        </is>
      </c>
      <c r="P616" s="4" t="n">
        <v>2</v>
      </c>
      <c r="Q616" s="4" t="n">
        <v>631</v>
      </c>
      <c r="R616" s="3" t="inlineStr">
        <is>
          <t>지정되지않음</t>
        </is>
      </c>
      <c r="S616" s="3" t="inlineStr">
        <is>
          <t>전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825-4</t>
        </is>
      </c>
      <c r="B617" s="3" t="inlineStr">
        <is>
          <t>생산녹지지역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45000</v>
      </c>
      <c r="G617" s="4" t="n">
        <v>1337</v>
      </c>
      <c r="H617" s="4" t="n">
        <v>404</v>
      </c>
      <c r="I617" s="5" t="n">
        <v>111.4</v>
      </c>
      <c r="J617" s="5" t="n">
        <v>30.9</v>
      </c>
      <c r="K617" s="3" t="inlineStr">
        <is>
          <t>급매,가격협의가능, 대토 또는 투자로 추천</t>
        </is>
      </c>
      <c r="L617" s="6">
        <f>HYPERLINK("https://fin.land.naver.com/articles/2646090614", "매물Link")</f>
        <v/>
      </c>
      <c r="M617" s="6">
        <f>HYPERLINK("https://map.naver.com/p/search/부강면 부강리 825-4", "지도Link")</f>
        <v/>
      </c>
      <c r="N617" s="6">
        <f>HYPERLINK("http://www.eum.go.kr/web/ar/lu/luLandDet.jsp?pnu=3611033021108250004&amp;isNoScr=script&amp;mode=search", "토지이음")</f>
        <v/>
      </c>
      <c r="O617" s="3" t="inlineStr">
        <is>
          <t>담뜰</t>
        </is>
      </c>
      <c r="P617" s="4" t="n">
        <v>1</v>
      </c>
      <c r="Q617" s="4" t="n">
        <v>1337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맹지</t>
        </is>
      </c>
    </row>
    <row r="618">
      <c r="A618" s="3" t="inlineStr">
        <is>
          <t>부강면 부강리 885</t>
        </is>
      </c>
      <c r="B618" s="3" t="inlineStr">
        <is>
          <t>생산녹지지역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279000</v>
      </c>
      <c r="G618" s="4" t="n">
        <v>3075</v>
      </c>
      <c r="H618" s="4" t="n">
        <v>930</v>
      </c>
      <c r="I618" s="5" t="n">
        <v>300</v>
      </c>
      <c r="J618" s="5" t="n">
        <v>34.4</v>
      </c>
      <c r="K618" s="3" t="inlineStr">
        <is>
          <t>도시지역,2차선접,땅모양좋아요</t>
        </is>
      </c>
      <c r="L618" s="6">
        <f>HYPERLINK("https://fin.land.naver.com/articles/2650425544", "매물Link")</f>
        <v/>
      </c>
      <c r="M618" s="6">
        <f>HYPERLINK("https://map.naver.com/p/search/부강면 부강리 885", "지도Link")</f>
        <v/>
      </c>
      <c r="N618" s="6">
        <f>HYPERLINK("http://www.eum.go.kr/web/ar/lu/luLandDet.jsp?pnu=3611033021108850000&amp;isNoScr=script&amp;mode=search", "토지이음")</f>
        <v/>
      </c>
      <c r="O618" s="3" t="inlineStr">
        <is>
          <t>힐스테이트행복</t>
        </is>
      </c>
      <c r="P618" s="4" t="n">
        <v>1</v>
      </c>
      <c r="Q618" s="4" t="n">
        <v>833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세로한면(불)</t>
        </is>
      </c>
    </row>
    <row r="619">
      <c r="A619" s="3" t="inlineStr">
        <is>
          <t>부강면 부강리 894</t>
        </is>
      </c>
      <c r="B619" s="3" t="inlineStr">
        <is>
          <t>생산녹지지역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28000</v>
      </c>
      <c r="G619" s="4" t="n">
        <v>733</v>
      </c>
      <c r="H619" s="4" t="n">
        <v>222</v>
      </c>
      <c r="I619" s="5" t="n">
        <v>126.1</v>
      </c>
      <c r="J619" s="5" t="n">
        <v>40.9</v>
      </c>
      <c r="K619" s="3" t="inlineStr">
        <is>
          <t>소액으로 투자할수있는 가격저렴한 작은토지로 최상</t>
        </is>
      </c>
      <c r="L619" s="6">
        <f>HYPERLINK("https://fin.land.naver.com/articles/2650178056", "매물Link")</f>
        <v/>
      </c>
      <c r="M619" s="6">
        <f>HYPERLINK("https://map.naver.com/p/search/부강면 부강리 894", "지도Link")</f>
        <v/>
      </c>
      <c r="N619" s="6">
        <f>HYPERLINK("http://www.eum.go.kr/web/ar/lu/luLandDet.jsp?pnu=3611033021108940000&amp;isNoScr=script&amp;mode=search", "토지이음")</f>
        <v/>
      </c>
      <c r="O619" s="3" t="inlineStr">
        <is>
          <t>연동스카이</t>
        </is>
      </c>
      <c r="P619" s="4" t="n">
        <v>1</v>
      </c>
      <c r="Q619" s="4" t="n">
        <v>735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가로장방</t>
        </is>
      </c>
      <c r="V619" s="3" t="inlineStr">
        <is>
          <t>세로한면(불)</t>
        </is>
      </c>
    </row>
    <row r="620">
      <c r="A620" s="3" t="inlineStr">
        <is>
          <t>부강면 부강리 933-7</t>
        </is>
      </c>
      <c r="B620" s="3" t="inlineStr">
        <is>
          <t>생산녹지지역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85000</v>
      </c>
      <c r="G620" s="4" t="n">
        <v>697</v>
      </c>
      <c r="H620" s="4" t="n">
        <v>211</v>
      </c>
      <c r="I620" s="5" t="n">
        <v>402.8</v>
      </c>
      <c r="J620" s="5" t="n">
        <v>53.1</v>
      </c>
      <c r="K620" s="3" t="inlineStr">
        <is>
          <t>nan</t>
        </is>
      </c>
      <c r="L620" s="6">
        <f>HYPERLINK("https://fin.land.naver.com/articles/2649292999", "매물Link")</f>
        <v/>
      </c>
      <c r="M620" s="6">
        <f>HYPERLINK("https://map.naver.com/p/search/부강면 부강리 933-7", "지도Link")</f>
        <v/>
      </c>
      <c r="N620" s="6">
        <f>HYPERLINK("http://www.eum.go.kr/web/ar/lu/luLandDet.jsp?pnu=3611033021109330007&amp;isNoScr=script&amp;mode=search", "토지이음")</f>
        <v/>
      </c>
      <c r="O620" s="3" t="inlineStr">
        <is>
          <t>해밀마을공간</t>
        </is>
      </c>
      <c r="P620" s="4" t="n">
        <v>1</v>
      </c>
      <c r="Q620" s="4" t="n">
        <v>696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중로한면</t>
        </is>
      </c>
    </row>
    <row r="621">
      <c r="A621" s="3" t="inlineStr">
        <is>
          <t>부강면 부강리 951</t>
        </is>
      </c>
      <c r="B621" s="3" t="inlineStr">
        <is>
          <t>제2종일반주거지역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35000</v>
      </c>
      <c r="G621" s="4" t="n">
        <v>288</v>
      </c>
      <c r="H621" s="4" t="n">
        <v>87</v>
      </c>
      <c r="I621" s="5" t="n">
        <v>402.3</v>
      </c>
      <c r="J621" s="5" t="n">
        <v>172.3</v>
      </c>
      <c r="K621" s="3" t="inlineStr">
        <is>
          <t>급매, 절충가능한 다가구 주택 부지로 적합한 제2종일반주거지역의 토지</t>
        </is>
      </c>
      <c r="L621" s="6">
        <f>HYPERLINK("https://fin.land.naver.com/articles/2647476137", "매물Link")</f>
        <v/>
      </c>
      <c r="M621" s="6">
        <f>HYPERLINK("https://map.naver.com/p/search/부강면 부강리 951", "지도Link")</f>
        <v/>
      </c>
      <c r="N621" s="6">
        <f>HYPERLINK("http://www.eum.go.kr/web/ar/lu/luLandDet.jsp?pnu=3611033021109510000&amp;isNoScr=script&amp;mode=search", "토지이음")</f>
        <v/>
      </c>
      <c r="O621" s="3" t="inlineStr">
        <is>
          <t>스마일세종</t>
        </is>
      </c>
      <c r="P621" s="4" t="n">
        <v>1</v>
      </c>
      <c r="Q621" s="4" t="n">
        <v>288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부강리 955-1</t>
        </is>
      </c>
      <c r="B622" s="3" t="inlineStr">
        <is>
          <t>생산녹지지역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85000</v>
      </c>
      <c r="G622" s="4" t="n">
        <v>1002</v>
      </c>
      <c r="H622" s="4" t="n">
        <v>303</v>
      </c>
      <c r="I622" s="5" t="n">
        <v>280.5</v>
      </c>
      <c r="J622" s="5" t="n">
        <v>50.6</v>
      </c>
      <c r="K622" s="3" t="inlineStr">
        <is>
          <t>nan</t>
        </is>
      </c>
      <c r="L622" s="6">
        <f>HYPERLINK("https://fin.land.naver.com/articles/2650177835", "매물Link")</f>
        <v/>
      </c>
      <c r="M622" s="6">
        <f>HYPERLINK("https://map.naver.com/p/search/부강면 부강리 955-1", "지도Link")</f>
        <v/>
      </c>
      <c r="N622" s="6">
        <f>HYPERLINK("http://www.eum.go.kr/web/ar/lu/luLandDet.jsp?pnu=3611033021109550001&amp;isNoScr=script&amp;mode=search", "토지이음")</f>
        <v/>
      </c>
      <c r="O622" s="3" t="inlineStr">
        <is>
          <t>연동스카이</t>
        </is>
      </c>
      <c r="P622" s="4" t="n">
        <v>1</v>
      </c>
      <c r="Q622" s="4" t="n">
        <v>1002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중로한면</t>
        </is>
      </c>
    </row>
    <row r="623">
      <c r="A623" s="3" t="inlineStr">
        <is>
          <t>부강면 부강리 961-1</t>
        </is>
      </c>
      <c r="B623" s="3" t="inlineStr">
        <is>
          <t>제2종일반주거지역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200000</v>
      </c>
      <c r="G623" s="4" t="n">
        <v>1220</v>
      </c>
      <c r="H623" s="4" t="n">
        <v>369</v>
      </c>
      <c r="I623" s="5" t="n">
        <v>542</v>
      </c>
      <c r="J623" s="5" t="n">
        <v>172.3</v>
      </c>
      <c r="K623" s="3" t="inlineStr">
        <is>
          <t>부강리 제2종일반주거지역으로 다가구 주택을 지으면 수익율 좋은 토지입니다</t>
        </is>
      </c>
      <c r="L623" s="6">
        <f>HYPERLINK("https://fin.land.naver.com/articles/2646322612", "매물Link")</f>
        <v/>
      </c>
      <c r="M623" s="6">
        <f>HYPERLINK("https://map.naver.com/p/search/부강면 부강리 961-1", "지도Link")</f>
        <v/>
      </c>
      <c r="N623" s="6">
        <f>HYPERLINK("http://www.eum.go.kr/web/ar/lu/luLandDet.jsp?pnu=3611033021109610001&amp;isNoScr=script&amp;mode=search", "토지이음")</f>
        <v/>
      </c>
      <c r="O623" s="3" t="inlineStr">
        <is>
          <t>스마일세종</t>
        </is>
      </c>
      <c r="P623" s="4" t="n">
        <v>1</v>
      </c>
      <c r="Q623" s="4" t="n">
        <v>1049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부강면 부강리 967-4</t>
        </is>
      </c>
      <c r="B624" s="3" t="inlineStr">
        <is>
          <t>제2종일반주거지역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120000</v>
      </c>
      <c r="G624" s="4" t="n">
        <v>990</v>
      </c>
      <c r="H624" s="4" t="n">
        <v>299</v>
      </c>
      <c r="I624" s="5" t="n">
        <v>401.3</v>
      </c>
      <c r="J624" s="5" t="n">
        <v>179.6</v>
      </c>
      <c r="K624" s="3" t="inlineStr">
        <is>
          <t>nan</t>
        </is>
      </c>
      <c r="L624" s="6">
        <f>HYPERLINK("https://fin.land.naver.com/articles/2647515151", "매물Link")</f>
        <v/>
      </c>
      <c r="M624" s="6">
        <f>HYPERLINK("https://map.naver.com/p/search/부강면 부강리 967-4", "지도Link")</f>
        <v/>
      </c>
      <c r="N624" s="6">
        <f>HYPERLINK("http://www.eum.go.kr/web/ar/lu/luLandDet.jsp?pnu=3611033021109670004&amp;isNoScr=script&amp;mode=search", "토지이음")</f>
        <v/>
      </c>
      <c r="O624" s="3" t="inlineStr">
        <is>
          <t>안성대로</t>
        </is>
      </c>
      <c r="P624" s="4" t="n">
        <v>1</v>
      </c>
      <c r="Q624" s="4" t="n">
        <v>990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부강리 973-26</t>
        </is>
      </c>
      <c r="B625" s="3" t="inlineStr">
        <is>
          <t>제2종일반주거지역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40000</v>
      </c>
      <c r="G625" s="4" t="n">
        <v>331</v>
      </c>
      <c r="H625" s="4" t="n">
        <v>100</v>
      </c>
      <c r="I625" s="5" t="n">
        <v>400</v>
      </c>
      <c r="J625" s="5" t="n">
        <v>179.6</v>
      </c>
      <c r="K625" s="3" t="inlineStr">
        <is>
          <t>8미터 계획도로접한 2종일반주거 다가구,상가 건축가능 오배수연결완료됨</t>
        </is>
      </c>
      <c r="L625" s="6">
        <f>HYPERLINK("https://fin.land.naver.com/articles/2646745570", "매물Link")</f>
        <v/>
      </c>
      <c r="M625" s="6">
        <f>HYPERLINK("https://map.naver.com/p/search/부강면 부강리 973-26", "지도Link")</f>
        <v/>
      </c>
      <c r="N625" s="6">
        <f>HYPERLINK("http://www.eum.go.kr/web/ar/lu/luLandDet.jsp?pnu=3611033021109730026&amp;isNoScr=script&amp;mode=search", "토지이음")</f>
        <v/>
      </c>
      <c r="O625" s="3" t="inlineStr">
        <is>
          <t>향기나는방</t>
        </is>
      </c>
      <c r="P625" s="4" t="n">
        <v>1</v>
      </c>
      <c r="Q625" s="4" t="n">
        <v>311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부강면 부강리 973-3</t>
        </is>
      </c>
      <c r="B626" s="3" t="inlineStr">
        <is>
          <t>제2종일반주거지역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35000</v>
      </c>
      <c r="G626" s="4" t="n">
        <v>263</v>
      </c>
      <c r="H626" s="4" t="n">
        <v>80</v>
      </c>
      <c r="I626" s="5" t="n">
        <v>437.5</v>
      </c>
      <c r="J626" s="5" t="n">
        <v>179.6</v>
      </c>
      <c r="K626" s="3" t="inlineStr">
        <is>
          <t>8미터 계획도로접한 2종일반주거 다가구,상가 건축가능 오배수연결완료됨</t>
        </is>
      </c>
      <c r="L626" s="6">
        <f>HYPERLINK("https://fin.land.naver.com/articles/2646745166", "매물Link")</f>
        <v/>
      </c>
      <c r="M626" s="6">
        <f>HYPERLINK("https://map.naver.com/p/search/부강면 부강리 973-3", "지도Link")</f>
        <v/>
      </c>
      <c r="N626" s="6">
        <f>HYPERLINK("http://www.eum.go.kr/web/ar/lu/luLandDet.jsp?pnu=3611033021109730003&amp;isNoScr=script&amp;mode=search", "토지이음")</f>
        <v/>
      </c>
      <c r="O626" s="3" t="inlineStr">
        <is>
          <t>향기나는방</t>
        </is>
      </c>
      <c r="P626" s="4" t="n">
        <v>1</v>
      </c>
      <c r="Q626" s="4" t="n">
        <v>263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사다리형</t>
        </is>
      </c>
      <c r="V626" s="3" t="inlineStr">
        <is>
          <t>세로한면(가)</t>
        </is>
      </c>
    </row>
    <row r="627">
      <c r="A627" s="3" t="inlineStr">
        <is>
          <t>부강면 산수리 128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42500</v>
      </c>
      <c r="G627" s="4" t="n">
        <v>934</v>
      </c>
      <c r="H627" s="4" t="n">
        <v>283</v>
      </c>
      <c r="I627" s="5" t="n">
        <v>150.2</v>
      </c>
      <c r="J627" s="5" t="n">
        <v>53.5</v>
      </c>
      <c r="K627" s="3" t="inlineStr">
        <is>
          <t>계획관리 대지 전원주택용 투자처로 추천</t>
        </is>
      </c>
      <c r="L627" s="6">
        <f>HYPERLINK("https://fin.land.naver.com/articles/2647087633", "매물Link")</f>
        <v/>
      </c>
      <c r="M627" s="6">
        <f>HYPERLINK("https://map.naver.com/p/search/부강면 산수리 128", "지도Link")</f>
        <v/>
      </c>
      <c r="N627" s="6">
        <f>HYPERLINK("http://www.eum.go.kr/web/ar/lu/luLandDet.jsp?pnu=3611033023101280000&amp;isNoScr=script&amp;mode=search", "토지이음")</f>
        <v/>
      </c>
      <c r="O627" s="3" t="inlineStr">
        <is>
          <t>뉴엘리트탑</t>
        </is>
      </c>
      <c r="P627" s="4" t="n">
        <v>1</v>
      </c>
      <c r="Q627" s="4" t="n">
        <v>934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산수리 207</t>
        </is>
      </c>
      <c r="B628" s="3" t="inlineStr">
        <is>
          <t>계획관리지역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38000</v>
      </c>
      <c r="G628" s="4" t="n">
        <v>943</v>
      </c>
      <c r="H628" s="4" t="n">
        <v>285</v>
      </c>
      <c r="I628" s="5" t="n">
        <v>133.3</v>
      </c>
      <c r="J628" s="5" t="n">
        <v>32.8</v>
      </c>
      <c r="K628" s="3" t="inlineStr">
        <is>
          <t>계획관리 투자 또는 전원생활 최적지로 강력 추천</t>
        </is>
      </c>
      <c r="L628" s="6">
        <f>HYPERLINK("https://fin.land.naver.com/articles/2648544454", "매물Link")</f>
        <v/>
      </c>
      <c r="M628" s="6">
        <f>HYPERLINK("https://map.naver.com/p/search/부강면 산수리 207", "지도Link")</f>
        <v/>
      </c>
      <c r="N628" s="6">
        <f>HYPERLINK("http://www.eum.go.kr/web/ar/lu/luLandDet.jsp?pnu=3611033023102070000&amp;isNoScr=script&amp;mode=search", "토지이음")</f>
        <v/>
      </c>
      <c r="O628" s="3" t="inlineStr">
        <is>
          <t>뉴엘리트탑</t>
        </is>
      </c>
      <c r="P628" s="4" t="n">
        <v>1</v>
      </c>
      <c r="Q628" s="4" t="n">
        <v>943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세로각지(불)</t>
        </is>
      </c>
    </row>
    <row r="629">
      <c r="A629" s="3" t="inlineStr">
        <is>
          <t>부강면 산수리 243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100000</v>
      </c>
      <c r="G629" s="4" t="n">
        <v>5421</v>
      </c>
      <c r="H629" s="4" t="n">
        <v>1640</v>
      </c>
      <c r="I629" s="5" t="n">
        <v>61</v>
      </c>
      <c r="J629" s="5" t="n">
        <v>64.59999999999999</v>
      </c>
      <c r="K629" s="3" t="inlineStr">
        <is>
          <t>주택허가축사경작지 일괄, 축산승계귀농농장 추천</t>
        </is>
      </c>
      <c r="L629" s="6">
        <f>HYPERLINK("https://fin.land.naver.com/articles/2649836388", "매물Link")</f>
        <v/>
      </c>
      <c r="M629" s="6">
        <f>HYPERLINK("https://map.naver.com/p/search/부강면 산수리 243", "지도Link")</f>
        <v/>
      </c>
      <c r="N629" s="6">
        <f>HYPERLINK("http://www.eum.go.kr/web/ar/lu/luLandDet.jsp?pnu=3611033023102430000&amp;isNoScr=script&amp;mode=search", "토지이음")</f>
        <v/>
      </c>
      <c r="O629" s="3" t="inlineStr">
        <is>
          <t>세종소담황금</t>
        </is>
      </c>
      <c r="P629" s="4" t="n">
        <v>1</v>
      </c>
      <c r="Q629" s="4" t="n">
        <v>660</v>
      </c>
      <c r="R629" s="3" t="inlineStr">
        <is>
          <t>지정되지않음</t>
        </is>
      </c>
      <c r="S629" s="3" t="inlineStr">
        <is>
          <t>단독</t>
        </is>
      </c>
      <c r="T629" s="3" t="inlineStr">
        <is>
          <t>평지</t>
        </is>
      </c>
      <c r="U629" s="3" t="inlineStr">
        <is>
          <t>가로장방</t>
        </is>
      </c>
      <c r="V629" s="3" t="inlineStr">
        <is>
          <t>세로한면(가)</t>
        </is>
      </c>
    </row>
    <row r="630">
      <c r="A630" s="3" t="inlineStr">
        <is>
          <t>부강면 산수리 243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100000</v>
      </c>
      <c r="G630" s="4" t="n">
        <v>5421</v>
      </c>
      <c r="H630" s="4" t="n">
        <v>1640</v>
      </c>
      <c r="I630" s="5" t="n">
        <v>61</v>
      </c>
      <c r="J630" s="5" t="n">
        <v>64.59999999999999</v>
      </c>
      <c r="K630" s="3" t="inlineStr">
        <is>
          <t>세종시 부강면 주택, 축사·부속시설, 전 사통팔달 교통,계획관리알짜 급매</t>
        </is>
      </c>
      <c r="L630" s="6">
        <f>HYPERLINK("https://fin.land.naver.com/articles/2650006026", "매물Link")</f>
        <v/>
      </c>
      <c r="M630" s="6">
        <f>HYPERLINK("https://map.naver.com/p/search/부강면 산수리 243", "지도Link")</f>
        <v/>
      </c>
      <c r="N630" s="6">
        <f>HYPERLINK("http://www.eum.go.kr/web/ar/lu/luLandDet.jsp?pnu=3611033023102430000&amp;isNoScr=script&amp;mode=search", "토지이음")</f>
        <v/>
      </c>
      <c r="O630" s="3" t="inlineStr">
        <is>
          <t>세종</t>
        </is>
      </c>
      <c r="P630" s="4" t="n">
        <v>2</v>
      </c>
      <c r="Q630" s="4" t="n">
        <v>660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평지</t>
        </is>
      </c>
      <c r="U630" s="3" t="inlineStr">
        <is>
          <t>가로장방</t>
        </is>
      </c>
      <c r="V630" s="3" t="inlineStr">
        <is>
          <t>세로한면(가)</t>
        </is>
      </c>
    </row>
    <row r="631">
      <c r="A631" s="3" t="inlineStr">
        <is>
          <t>부강면 산수리 243-2</t>
        </is>
      </c>
      <c r="B631" s="3" t="inlineStr">
        <is>
          <t>계획관리지역</t>
        </is>
      </c>
      <c r="C631" s="3" t="inlineStr">
        <is>
          <t>목장용지</t>
        </is>
      </c>
      <c r="D631" s="3" t="inlineStr">
        <is>
          <t>목장용지</t>
        </is>
      </c>
      <c r="E631" s="3" t="inlineStr">
        <is>
          <t>매매</t>
        </is>
      </c>
      <c r="F631" s="4" t="n">
        <v>100000</v>
      </c>
      <c r="G631" s="4" t="n">
        <v>5429</v>
      </c>
      <c r="H631" s="4" t="n">
        <v>1642</v>
      </c>
      <c r="I631" s="5" t="n">
        <v>60.9</v>
      </c>
      <c r="J631" s="5" t="n">
        <v>33.6</v>
      </c>
      <c r="K631" s="3" t="inlineStr">
        <is>
          <t>세종시 부강면 목장용지, 단독주택, 전으로 구성된 4필지 통매매가 10억</t>
        </is>
      </c>
      <c r="L631" s="6">
        <f>HYPERLINK("https://fin.land.naver.com/articles/2650228512", "매물Link")</f>
        <v/>
      </c>
      <c r="M631" s="6">
        <f>HYPERLINK("https://map.naver.com/p/search/부강면 산수리 243-2", "지도Link")</f>
        <v/>
      </c>
      <c r="N631" s="6">
        <f>HYPERLINK("http://www.eum.go.kr/web/ar/lu/luLandDet.jsp?pnu=3611033023102430002&amp;isNoScr=script&amp;mode=search", "토지이음")</f>
        <v/>
      </c>
      <c r="O631" s="3" t="inlineStr">
        <is>
          <t>5프로</t>
        </is>
      </c>
      <c r="P631" s="4" t="n">
        <v>1</v>
      </c>
      <c r="Q631" s="4" t="n">
        <v>2503</v>
      </c>
      <c r="R631" s="3" t="inlineStr">
        <is>
          <t>지정되지않음</t>
        </is>
      </c>
      <c r="S631" s="3" t="inlineStr">
        <is>
          <t>전축사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산수리 243-2</t>
        </is>
      </c>
      <c r="B632" s="3" t="inlineStr">
        <is>
          <t>계획관리지역</t>
        </is>
      </c>
      <c r="C632" s="3" t="inlineStr">
        <is>
          <t>목장용지</t>
        </is>
      </c>
      <c r="D632" s="3" t="inlineStr">
        <is>
          <t>목장용지</t>
        </is>
      </c>
      <c r="E632" s="3" t="inlineStr">
        <is>
          <t>매매</t>
        </is>
      </c>
      <c r="F632" s="4" t="n">
        <v>147600</v>
      </c>
      <c r="G632" s="4" t="n">
        <v>5421</v>
      </c>
      <c r="H632" s="4" t="n">
        <v>1640</v>
      </c>
      <c r="I632" s="5" t="n">
        <v>90</v>
      </c>
      <c r="J632" s="5" t="n">
        <v>33.6</v>
      </c>
      <c r="K632" s="3" t="inlineStr">
        <is>
          <t>투자유망 세종관내 목장, 주택등 매매</t>
        </is>
      </c>
      <c r="L632" s="6">
        <f>HYPERLINK("https://fin.land.naver.com/articles/2648634114", "매물Link")</f>
        <v/>
      </c>
      <c r="M632" s="6">
        <f>HYPERLINK("https://map.naver.com/p/search/부강면 산수리 243-2", "지도Link")</f>
        <v/>
      </c>
      <c r="N632" s="6">
        <f>HYPERLINK("http://www.eum.go.kr/web/ar/lu/luLandDet.jsp?pnu=3611033023102430002&amp;isNoScr=script&amp;mode=search", "토지이음")</f>
        <v/>
      </c>
      <c r="O632" s="3" t="inlineStr">
        <is>
          <t>대하</t>
        </is>
      </c>
      <c r="P632" s="4" t="n">
        <v>1</v>
      </c>
      <c r="Q632" s="4" t="n">
        <v>2503</v>
      </c>
      <c r="R632" s="3" t="inlineStr">
        <is>
          <t>지정되지않음</t>
        </is>
      </c>
      <c r="S632" s="3" t="inlineStr">
        <is>
          <t>전축사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산수리 35-7</t>
        </is>
      </c>
      <c r="B633" s="3" t="inlineStr">
        <is>
          <t>농림지역</t>
        </is>
      </c>
      <c r="C633" s="3" t="inlineStr">
        <is>
          <t>창고용지</t>
        </is>
      </c>
      <c r="D633" s="3" t="inlineStr">
        <is>
          <t>창고용지</t>
        </is>
      </c>
      <c r="E633" s="3" t="inlineStr">
        <is>
          <t>매매</t>
        </is>
      </c>
      <c r="F633" s="4" t="n">
        <v>56000</v>
      </c>
      <c r="G633" s="4" t="n">
        <v>1237</v>
      </c>
      <c r="H633" s="4" t="n">
        <v>374</v>
      </c>
      <c r="I633" s="5" t="n">
        <v>149.7</v>
      </c>
      <c r="J633" s="5" t="n">
        <v>24.3</v>
      </c>
      <c r="K633" s="3" t="inlineStr">
        <is>
          <t>농림지역, 현 창고 ,산수삼거리 인접, 창고, 편의점, 소매, 고물상추천</t>
        </is>
      </c>
      <c r="L633" s="6">
        <f>HYPERLINK("https://fin.land.naver.com/articles/2650412987", "매물Link")</f>
        <v/>
      </c>
      <c r="M633" s="6">
        <f>HYPERLINK("https://map.naver.com/p/search/부강면 산수리 35-7", "지도Link")</f>
        <v/>
      </c>
      <c r="N633" s="6">
        <f>HYPERLINK("http://www.eum.go.kr/web/ar/lu/luLandDet.jsp?pnu=3611033023100350007&amp;isNoScr=script&amp;mode=search", "토지이음")</f>
        <v/>
      </c>
      <c r="O633" s="3" t="inlineStr">
        <is>
          <t>청주모충사모1/2LH트릴로채명성</t>
        </is>
      </c>
      <c r="P633" s="4" t="n">
        <v>1</v>
      </c>
      <c r="Q633" s="4" t="n">
        <v>1237</v>
      </c>
      <c r="R633" s="3" t="inlineStr">
        <is>
          <t>지정되지않음</t>
        </is>
      </c>
      <c r="S633" s="3" t="inlineStr">
        <is>
          <t>전창고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소로한면</t>
        </is>
      </c>
    </row>
    <row r="634">
      <c r="A634" s="3" t="inlineStr">
        <is>
          <t>부강면 산수리 366</t>
        </is>
      </c>
      <c r="B634" s="3" t="inlineStr">
        <is>
          <t>농림지역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40000</v>
      </c>
      <c r="G634" s="4" t="n">
        <v>3719</v>
      </c>
      <c r="H634" s="4" t="n">
        <v>1125</v>
      </c>
      <c r="I634" s="5" t="n">
        <v>35.6</v>
      </c>
      <c r="J634" s="5" t="n">
        <v>17.6</v>
      </c>
      <c r="K634" s="3" t="inlineStr">
        <is>
          <t>nan</t>
        </is>
      </c>
      <c r="L634" s="6">
        <f>HYPERLINK("https://fin.land.naver.com/articles/2649606859", "매물Link")</f>
        <v/>
      </c>
      <c r="M634" s="6">
        <f>HYPERLINK("https://map.naver.com/p/search/부강면 산수리 366", "지도Link")</f>
        <v/>
      </c>
      <c r="N634" s="6">
        <f>HYPERLINK("http://www.eum.go.kr/web/ar/lu/luLandDet.jsp?pnu=3611033023103660000&amp;isNoScr=script&amp;mode=search", "토지이음")</f>
        <v/>
      </c>
      <c r="O634" s="3" t="inlineStr">
        <is>
          <t>행복가득한</t>
        </is>
      </c>
      <c r="P634" s="4" t="n">
        <v>1</v>
      </c>
      <c r="Q634" s="4" t="n">
        <v>3719.7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세로한면(불)</t>
        </is>
      </c>
    </row>
    <row r="635">
      <c r="A635" s="3" t="inlineStr">
        <is>
          <t>부강면 산수리 397</t>
        </is>
      </c>
      <c r="B635" s="3" t="inlineStr">
        <is>
          <t>농림지역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31000</v>
      </c>
      <c r="G635" s="4" t="n">
        <v>3650</v>
      </c>
      <c r="H635" s="4" t="n">
        <v>1104</v>
      </c>
      <c r="I635" s="5" t="n">
        <v>28.1</v>
      </c>
      <c r="J635" s="5" t="n">
        <v>18</v>
      </c>
      <c r="K635" s="3" t="inlineStr">
        <is>
          <t>농지 급매  세종시 농지 매도합니다. 대토 추천</t>
        </is>
      </c>
      <c r="L635" s="6">
        <f>HYPERLINK("https://fin.land.naver.com/articles/2649906361", "매물Link")</f>
        <v/>
      </c>
      <c r="M635" s="6">
        <f>HYPERLINK("https://map.naver.com/p/search/부강면 산수리 397", "지도Link")</f>
        <v/>
      </c>
      <c r="N635" s="6">
        <f>HYPERLINK("http://www.eum.go.kr/web/ar/lu/luLandDet.jsp?pnu=3611033023103970000&amp;isNoScr=script&amp;mode=search", "토지이음")</f>
        <v/>
      </c>
      <c r="O635" s="3" t="inlineStr">
        <is>
          <t>미스터홈즈강남지사</t>
        </is>
      </c>
      <c r="P635" s="4" t="n">
        <v>1</v>
      </c>
      <c r="Q635" s="4" t="n">
        <v>3650.9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사다리형</t>
        </is>
      </c>
      <c r="V635" s="3" t="inlineStr">
        <is>
          <t>세로한면(가)</t>
        </is>
      </c>
    </row>
    <row r="636">
      <c r="A636" s="3" t="inlineStr">
        <is>
          <t>부강면 산수리 539</t>
        </is>
      </c>
      <c r="B636" s="3" t="inlineStr">
        <is>
          <t>농림지역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40000</v>
      </c>
      <c r="G636" s="4" t="n">
        <v>2201</v>
      </c>
      <c r="H636" s="4" t="n">
        <v>666</v>
      </c>
      <c r="I636" s="5" t="n">
        <v>60.1</v>
      </c>
      <c r="J636" s="5" t="n">
        <v>17.9</v>
      </c>
      <c r="K636" s="3" t="inlineStr">
        <is>
          <t>세종시 부강면에 위치한 토지 매매</t>
        </is>
      </c>
      <c r="L636" s="6">
        <f>HYPERLINK("https://fin.land.naver.com/articles/2647590296", "매물Link")</f>
        <v/>
      </c>
      <c r="M636" s="6">
        <f>HYPERLINK("https://map.naver.com/p/search/부강면 산수리 539", "지도Link")</f>
        <v/>
      </c>
      <c r="N636" s="6">
        <f>HYPERLINK("http://www.eum.go.kr/web/ar/lu/luLandDet.jsp?pnu=3611033023105390000&amp;isNoScr=script&amp;mode=search", "토지이음")</f>
        <v/>
      </c>
      <c r="O636" s="3" t="inlineStr">
        <is>
          <t>대지</t>
        </is>
      </c>
      <c r="P636" s="4" t="n">
        <v>1</v>
      </c>
      <c r="Q636" s="4" t="n">
        <v>2201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세로한면(가)</t>
        </is>
      </c>
    </row>
    <row r="637">
      <c r="A637" s="3" t="inlineStr">
        <is>
          <t>부강면 산수리 92-2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대</t>
        </is>
      </c>
      <c r="E637" s="3" t="inlineStr">
        <is>
          <t>매매</t>
        </is>
      </c>
      <c r="F637" s="4" t="n">
        <v>35000</v>
      </c>
      <c r="G637" s="4" t="n">
        <v>1352</v>
      </c>
      <c r="H637" s="4" t="n">
        <v>409</v>
      </c>
      <c r="I637" s="5" t="n">
        <v>85.59999999999999</v>
      </c>
      <c r="J637" s="5" t="n">
        <v>37.2</v>
      </c>
      <c r="K637" s="3" t="inlineStr">
        <is>
          <t>산수리 계획관리지역 대지 전 매매</t>
        </is>
      </c>
      <c r="L637" s="6">
        <f>HYPERLINK("https://fin.land.naver.com/articles/2646598391", "매물Link")</f>
        <v/>
      </c>
      <c r="M637" s="6">
        <f>HYPERLINK("https://map.naver.com/p/search/부강면 산수리 92-2", "지도Link")</f>
        <v/>
      </c>
      <c r="N637" s="6">
        <f>HYPERLINK("http://www.eum.go.kr/web/ar/lu/luLandDet.jsp?pnu=3611033023100920002&amp;isNoScr=script&amp;mode=search", "토지이음")</f>
        <v/>
      </c>
      <c r="O637" s="3" t="inlineStr">
        <is>
          <t>진성</t>
        </is>
      </c>
      <c r="P637" s="4" t="n">
        <v>1</v>
      </c>
      <c r="Q637" s="4" t="n">
        <v>939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118-11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16000</v>
      </c>
      <c r="G638" s="4" t="n">
        <v>155</v>
      </c>
      <c r="H638" s="4" t="n">
        <v>47</v>
      </c>
      <c r="I638" s="5" t="n">
        <v>340.4</v>
      </c>
      <c r="J638" s="5" t="n">
        <v>53.8</v>
      </c>
      <c r="K638" s="3" t="inlineStr">
        <is>
          <t>nan</t>
        </is>
      </c>
      <c r="L638" s="6">
        <f>HYPERLINK("https://fin.land.naver.com/articles/2647287235", "매물Link")</f>
        <v/>
      </c>
      <c r="M638" s="6">
        <f>HYPERLINK("https://map.naver.com/p/search/부강면 행산리 118-11", "지도Link")</f>
        <v/>
      </c>
      <c r="N638" s="6">
        <f>HYPERLINK("http://www.eum.go.kr/web/ar/lu/luLandDet.jsp?pnu=3611033022101180011&amp;isNoScr=script&amp;mode=search", "토지이음")</f>
        <v/>
      </c>
      <c r="O638" s="3" t="inlineStr">
        <is>
          <t>세종제일1</t>
        </is>
      </c>
      <c r="P638" s="4" t="n">
        <v>1</v>
      </c>
      <c r="Q638" s="4" t="n">
        <v>155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행산리 141-11</t>
        </is>
      </c>
      <c r="B639" s="3" t="inlineStr">
        <is>
          <t>계획관리지역</t>
        </is>
      </c>
      <c r="C639" s="3" t="inlineStr">
        <is>
          <t>전</t>
        </is>
      </c>
      <c r="D639" s="3" t="inlineStr">
        <is>
          <t>전</t>
        </is>
      </c>
      <c r="E639" s="3" t="inlineStr">
        <is>
          <t>매매</t>
        </is>
      </c>
      <c r="F639" s="4" t="n">
        <v>33900</v>
      </c>
      <c r="G639" s="4" t="n">
        <v>1130</v>
      </c>
      <c r="H639" s="4" t="n">
        <v>342</v>
      </c>
      <c r="I639" s="5" t="n">
        <v>99.09999999999999</v>
      </c>
      <c r="J639" s="5" t="n">
        <v>25</v>
      </c>
      <c r="K639" s="3" t="inlineStr">
        <is>
          <t>농사짓는 도로 인접</t>
        </is>
      </c>
      <c r="L639" s="6">
        <f>HYPERLINK("https://fin.land.naver.com/articles/2647287581", "매물Link")</f>
        <v/>
      </c>
      <c r="M639" s="6">
        <f>HYPERLINK("https://map.naver.com/p/search/부강면 행산리 141-11", "지도Link")</f>
        <v/>
      </c>
      <c r="N639" s="6">
        <f>HYPERLINK("http://www.eum.go.kr/web/ar/lu/luLandDet.jsp?pnu=3611033022101410011&amp;isNoScr=script&amp;mode=search", "토지이음")</f>
        <v/>
      </c>
      <c r="O639" s="3" t="inlineStr">
        <is>
          <t>세종제일1</t>
        </is>
      </c>
      <c r="P639" s="4" t="n">
        <v>1</v>
      </c>
      <c r="Q639" s="4" t="n">
        <v>1130</v>
      </c>
      <c r="R639" s="3" t="inlineStr">
        <is>
          <t>지정되지않음</t>
        </is>
      </c>
      <c r="S639" s="3" t="inlineStr">
        <is>
          <t>전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맹지</t>
        </is>
      </c>
    </row>
    <row r="640">
      <c r="A640" s="3" t="inlineStr">
        <is>
          <t>부강면 행산리 162-3</t>
        </is>
      </c>
      <c r="B640" s="3" t="inlineStr">
        <is>
          <t>계획관리지역</t>
        </is>
      </c>
      <c r="C640" s="3" t="inlineStr">
        <is>
          <t>과수원</t>
        </is>
      </c>
      <c r="D640" s="3" t="inlineStr">
        <is>
          <t>과수원</t>
        </is>
      </c>
      <c r="E640" s="3" t="inlineStr">
        <is>
          <t>매매</t>
        </is>
      </c>
      <c r="F640" s="4" t="n">
        <v>526000</v>
      </c>
      <c r="G640" s="4" t="n">
        <v>11751</v>
      </c>
      <c r="H640" s="4" t="n">
        <v>3555</v>
      </c>
      <c r="I640" s="5" t="n">
        <v>148</v>
      </c>
      <c r="J640" s="5" t="n">
        <v>41.2</v>
      </c>
      <c r="K640" s="3" t="inlineStr">
        <is>
          <t>세종시 부근에서 공장부지로 최상</t>
        </is>
      </c>
      <c r="L640" s="6">
        <f>HYPERLINK("https://fin.land.naver.com/articles/2646866931", "매물Link")</f>
        <v/>
      </c>
      <c r="M640" s="6">
        <f>HYPERLINK("https://map.naver.com/p/search/부강면 행산리 162-3", "지도Link")</f>
        <v/>
      </c>
      <c r="N640" s="6">
        <f>HYPERLINK("http://www.eum.go.kr/web/ar/lu/luLandDet.jsp?pnu=3611033022101620003&amp;isNoScr=script&amp;mode=search", "토지이음")</f>
        <v/>
      </c>
      <c r="O640" s="3" t="inlineStr">
        <is>
          <t>금화</t>
        </is>
      </c>
      <c r="P640" s="4" t="n">
        <v>1</v>
      </c>
      <c r="Q640" s="4" t="n">
        <v>8024</v>
      </c>
      <c r="R640" s="3" t="inlineStr">
        <is>
          <t>지정되지않음</t>
        </is>
      </c>
      <c r="S640" s="3" t="inlineStr">
        <is>
          <t>과수원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소로한면</t>
        </is>
      </c>
    </row>
    <row r="641">
      <c r="A641" s="3" t="inlineStr">
        <is>
          <t>부강면 행산리 163</t>
        </is>
      </c>
      <c r="B641" s="3" t="inlineStr">
        <is>
          <t>계획관리지역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33000</v>
      </c>
      <c r="G641" s="4" t="n">
        <v>1359</v>
      </c>
      <c r="H641" s="4" t="n">
        <v>411</v>
      </c>
      <c r="I641" s="5" t="n">
        <v>80.3</v>
      </c>
      <c r="J641" s="5" t="n">
        <v>38</v>
      </c>
      <c r="K641" s="3" t="inlineStr">
        <is>
          <t>청주전용도로 부근의 작고 아담한 계획관리 토지</t>
        </is>
      </c>
      <c r="L641" s="6">
        <f>HYPERLINK("https://fin.land.naver.com/articles/2650177374", "매물Link")</f>
        <v/>
      </c>
      <c r="M641" s="6">
        <f>HYPERLINK("https://map.naver.com/p/search/부강면 행산리 163", "지도Link")</f>
        <v/>
      </c>
      <c r="N641" s="6">
        <f>HYPERLINK("http://www.eum.go.kr/web/ar/lu/luLandDet.jsp?pnu=3611033022101630000&amp;isNoScr=script&amp;mode=search", "토지이음")</f>
        <v/>
      </c>
      <c r="O641" s="3" t="inlineStr">
        <is>
          <t>연동스카이</t>
        </is>
      </c>
      <c r="P641" s="4" t="n">
        <v>2</v>
      </c>
      <c r="Q641" s="4" t="n">
        <v>1359</v>
      </c>
      <c r="R641" s="3" t="inlineStr">
        <is>
          <t>농림지역</t>
        </is>
      </c>
      <c r="S641" s="3" t="inlineStr">
        <is>
          <t>전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223</t>
        </is>
      </c>
      <c r="B642" s="3" t="inlineStr">
        <is>
          <t>계획관리지역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64000</v>
      </c>
      <c r="G642" s="4" t="n">
        <v>3034</v>
      </c>
      <c r="H642" s="4" t="n">
        <v>918</v>
      </c>
      <c r="I642" s="5" t="n">
        <v>69.7</v>
      </c>
      <c r="J642" s="5" t="n">
        <v>26.8</v>
      </c>
      <c r="K642" s="3" t="inlineStr">
        <is>
          <t>2차선 도로에서 30m 떨어진 계획관리토지로 공장이나 창고추천</t>
        </is>
      </c>
      <c r="L642" s="6">
        <f>HYPERLINK("https://fin.land.naver.com/articles/2648255658", "매물Link")</f>
        <v/>
      </c>
      <c r="M642" s="6">
        <f>HYPERLINK("https://map.naver.com/p/search/부강면 행산리 223", "지도Link")</f>
        <v/>
      </c>
      <c r="N642" s="6">
        <f>HYPERLINK("http://www.eum.go.kr/web/ar/lu/luLandDet.jsp?pnu=3611033022102230000&amp;isNoScr=script&amp;mode=search", "토지이음")</f>
        <v/>
      </c>
      <c r="O642" s="3" t="inlineStr">
        <is>
          <t>연동스카이</t>
        </is>
      </c>
      <c r="P642" s="4" t="n">
        <v>1</v>
      </c>
      <c r="Q642" s="4" t="n">
        <v>2066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세로한면(불)</t>
        </is>
      </c>
    </row>
    <row r="643">
      <c r="A643" s="3" t="inlineStr">
        <is>
          <t>부강면 행산리 224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85000</v>
      </c>
      <c r="G643" s="4" t="n">
        <v>1660</v>
      </c>
      <c r="H643" s="4" t="n">
        <v>502</v>
      </c>
      <c r="I643" s="5" t="n">
        <v>169.3</v>
      </c>
      <c r="J643" s="5" t="n">
        <v>34.1</v>
      </c>
      <c r="K643" s="3" t="inlineStr">
        <is>
          <t>세종시 부강면 행산리 2차선 도로변  토지 매매</t>
        </is>
      </c>
      <c r="L643" s="6">
        <f>HYPERLINK("https://fin.land.naver.com/articles/2650697330", "매물Link")</f>
        <v/>
      </c>
      <c r="M643" s="6">
        <f>HYPERLINK("https://map.naver.com/p/search/부강면 행산리 224", "지도Link")</f>
        <v/>
      </c>
      <c r="N643" s="6">
        <f>HYPERLINK("http://www.eum.go.kr/web/ar/lu/luLandDet.jsp?pnu=3611033022102240000&amp;isNoScr=script&amp;mode=search", "토지이음")</f>
        <v/>
      </c>
      <c r="O643" s="3" t="inlineStr">
        <is>
          <t>세종행복한</t>
        </is>
      </c>
      <c r="P643" s="4" t="n">
        <v>1</v>
      </c>
      <c r="Q643" s="4" t="n">
        <v>1660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소로한면</t>
        </is>
      </c>
    </row>
    <row r="644">
      <c r="A644" s="3" t="inlineStr">
        <is>
          <t>부강면 행산리 296</t>
        </is>
      </c>
      <c r="B644" s="3" t="inlineStr">
        <is>
          <t>계획관리지역</t>
        </is>
      </c>
      <c r="C644" s="3" t="inlineStr">
        <is>
          <t>목장용지</t>
        </is>
      </c>
      <c r="D644" s="3" t="inlineStr">
        <is>
          <t>목장용지</t>
        </is>
      </c>
      <c r="E644" s="3" t="inlineStr">
        <is>
          <t>매매</t>
        </is>
      </c>
      <c r="F644" s="4" t="n">
        <v>196500</v>
      </c>
      <c r="G644" s="4" t="n">
        <v>2713</v>
      </c>
      <c r="H644" s="4" t="n">
        <v>821</v>
      </c>
      <c r="I644" s="5" t="n">
        <v>239.3</v>
      </c>
      <c r="J644" s="5" t="n">
        <v>71.5</v>
      </c>
      <c r="K644" s="3" t="inlineStr">
        <is>
          <t>부강면 계획관리지역 목장용지, 토지 5,143.4제곱미터 매매</t>
        </is>
      </c>
      <c r="L644" s="6">
        <f>HYPERLINK("https://fin.land.naver.com/articles/2648919249", "매물Link")</f>
        <v/>
      </c>
      <c r="M644" s="6">
        <f>HYPERLINK("https://map.naver.com/p/search/부강면 행산리 296", "지도Link")</f>
        <v/>
      </c>
      <c r="N644" s="6">
        <f>HYPERLINK("http://www.eum.go.kr/web/ar/lu/luLandDet.jsp?pnu=3611033022102960000&amp;isNoScr=script&amp;mode=search", "토지이음")</f>
        <v/>
      </c>
      <c r="O644" s="3" t="inlineStr">
        <is>
          <t>진행</t>
        </is>
      </c>
      <c r="P644" s="4" t="n">
        <v>2</v>
      </c>
      <c r="Q644" s="4" t="n">
        <v>2713</v>
      </c>
      <c r="R644" s="3" t="inlineStr">
        <is>
          <t>지정되지않음</t>
        </is>
      </c>
      <c r="S644" s="3" t="inlineStr">
        <is>
          <t>단독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소로한면</t>
        </is>
      </c>
    </row>
    <row r="645">
      <c r="A645" s="3" t="inlineStr">
        <is>
          <t>부강면 행산리 389</t>
        </is>
      </c>
      <c r="B645" s="3" t="inlineStr">
        <is>
          <t>계획관리지역</t>
        </is>
      </c>
      <c r="C645" s="3" t="inlineStr">
        <is>
          <t>과수원</t>
        </is>
      </c>
      <c r="D645" s="3" t="inlineStr">
        <is>
          <t>과수원</t>
        </is>
      </c>
      <c r="E645" s="3" t="inlineStr">
        <is>
          <t>매매</t>
        </is>
      </c>
      <c r="F645" s="4" t="n">
        <v>90000</v>
      </c>
      <c r="G645" s="4" t="n">
        <v>2998</v>
      </c>
      <c r="H645" s="4" t="n">
        <v>907</v>
      </c>
      <c r="I645" s="5" t="n">
        <v>99.2</v>
      </c>
      <c r="J645" s="5" t="n">
        <v>24.8</v>
      </c>
      <c r="K645" s="3" t="inlineStr">
        <is>
          <t>세종시 부강면 5생활권 10분거리 각 3필지(149, 235, 522)</t>
        </is>
      </c>
      <c r="L645" s="6">
        <f>HYPERLINK("https://fin.land.naver.com/articles/2649158860", "매물Link")</f>
        <v/>
      </c>
      <c r="M645" s="6">
        <f>HYPERLINK("https://map.naver.com/p/search/부강면 행산리 389", "지도Link")</f>
        <v/>
      </c>
      <c r="N645" s="6">
        <f>HYPERLINK("http://www.eum.go.kr/web/ar/lu/luLandDet.jsp?pnu=3611033022103890000&amp;isNoScr=script&amp;mode=search", "토지이음")</f>
        <v/>
      </c>
      <c r="O645" s="3" t="inlineStr">
        <is>
          <t>오송k랜드</t>
        </is>
      </c>
      <c r="P645" s="4" t="n">
        <v>1</v>
      </c>
      <c r="Q645" s="4" t="n">
        <v>1725</v>
      </c>
      <c r="R645" s="3" t="inlineStr">
        <is>
          <t>지정되지않음</t>
        </is>
      </c>
      <c r="S645" s="3" t="inlineStr">
        <is>
          <t>과수원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389</t>
        </is>
      </c>
      <c r="B646" s="3" t="inlineStr">
        <is>
          <t>계획관리지역</t>
        </is>
      </c>
      <c r="C646" s="3" t="inlineStr">
        <is>
          <t>과수원</t>
        </is>
      </c>
      <c r="D646" s="3" t="inlineStr">
        <is>
          <t>과수원</t>
        </is>
      </c>
      <c r="E646" s="3" t="inlineStr">
        <is>
          <t>매매</t>
        </is>
      </c>
      <c r="F646" s="4" t="n">
        <v>52200</v>
      </c>
      <c r="G646" s="4" t="n">
        <v>1725</v>
      </c>
      <c r="H646" s="4" t="n">
        <v>522</v>
      </c>
      <c r="I646" s="5" t="n">
        <v>100</v>
      </c>
      <c r="J646" s="5" t="n">
        <v>24.8</v>
      </c>
      <c r="K646" s="3" t="inlineStr">
        <is>
          <t>자연취락지구 포함 전원주택 귀촌형 부지 검토</t>
        </is>
      </c>
      <c r="L646" s="6">
        <f>HYPERLINK("https://fin.land.naver.com/articles/2648843558", "매물Link")</f>
        <v/>
      </c>
      <c r="M646" s="6">
        <f>HYPERLINK("https://map.naver.com/p/search/부강면 행산리 389", "지도Link")</f>
        <v/>
      </c>
      <c r="N646" s="6">
        <f>HYPERLINK("http://www.eum.go.kr/web/ar/lu/luLandDet.jsp?pnu=3611033022103890000&amp;isNoScr=script&amp;mode=search", "토지이음")</f>
        <v/>
      </c>
      <c r="O646" s="3" t="inlineStr">
        <is>
          <t>세종소담황금</t>
        </is>
      </c>
      <c r="P646" s="4" t="n">
        <v>1</v>
      </c>
      <c r="Q646" s="4" t="n">
        <v>1725</v>
      </c>
      <c r="R646" s="3" t="inlineStr">
        <is>
          <t>지정되지않음</t>
        </is>
      </c>
      <c r="S646" s="3" t="inlineStr">
        <is>
          <t>과수원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부강면 행산리 389</t>
        </is>
      </c>
      <c r="B647" s="3" t="inlineStr">
        <is>
          <t>계획관리지역</t>
        </is>
      </c>
      <c r="C647" s="3" t="inlineStr">
        <is>
          <t>과수원</t>
        </is>
      </c>
      <c r="D647" s="3" t="inlineStr">
        <is>
          <t>과수원</t>
        </is>
      </c>
      <c r="E647" s="3" t="inlineStr">
        <is>
          <t>매매</t>
        </is>
      </c>
      <c r="F647" s="4" t="n">
        <v>52000</v>
      </c>
      <c r="G647" s="4" t="n">
        <v>1725</v>
      </c>
      <c r="H647" s="4" t="n">
        <v>522</v>
      </c>
      <c r="I647" s="5" t="n">
        <v>99.59999999999999</v>
      </c>
      <c r="J647" s="5" t="n">
        <v>24.8</v>
      </c>
      <c r="K647" s="3" t="inlineStr">
        <is>
          <t>급매,도로접한 계획관리지역,다용도 사용목적 가능,투자용 추천</t>
        </is>
      </c>
      <c r="L647" s="6">
        <f>HYPERLINK("https://fin.land.naver.com/articles/2649493659", "매물Link")</f>
        <v/>
      </c>
      <c r="M647" s="6">
        <f>HYPERLINK("https://map.naver.com/p/search/부강면 행산리 389", "지도Link")</f>
        <v/>
      </c>
      <c r="N647" s="6">
        <f>HYPERLINK("http://www.eum.go.kr/web/ar/lu/luLandDet.jsp?pnu=3611033022103890000&amp;isNoScr=script&amp;mode=search", "토지이음")</f>
        <v/>
      </c>
      <c r="O647" s="3" t="inlineStr">
        <is>
          <t>고운맘</t>
        </is>
      </c>
      <c r="P647" s="4" t="n">
        <v>1</v>
      </c>
      <c r="Q647" s="4" t="n">
        <v>1725</v>
      </c>
      <c r="R647" s="3" t="inlineStr">
        <is>
          <t>지정되지않음</t>
        </is>
      </c>
      <c r="S647" s="3" t="inlineStr">
        <is>
          <t>과수원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행산리 389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52000</v>
      </c>
      <c r="G648" s="4" t="n">
        <v>1725</v>
      </c>
      <c r="H648" s="4" t="n">
        <v>522</v>
      </c>
      <c r="I648" s="5" t="n">
        <v>99.59999999999999</v>
      </c>
      <c r="J648" s="5" t="n">
        <v>24.8</v>
      </c>
      <c r="K648" s="3" t="inlineStr">
        <is>
          <t>계획관리지역의 과수원으로 전기 및 인터넷, 상수도 배수시설이 완비된 토지</t>
        </is>
      </c>
      <c r="L648" s="6">
        <f>HYPERLINK("https://fin.land.naver.com/articles/2649861654", "매물Link")</f>
        <v/>
      </c>
      <c r="M648" s="6">
        <f>HYPERLINK("https://map.naver.com/p/search/부강면 행산리 389", "지도Link")</f>
        <v/>
      </c>
      <c r="N648" s="6">
        <f>HYPERLINK("http://www.eum.go.kr/web/ar/lu/luLandDet.jsp?pnu=3611033022103890000&amp;isNoScr=script&amp;mode=search", "토지이음")</f>
        <v/>
      </c>
      <c r="O648" s="3" t="inlineStr">
        <is>
          <t>스마일세종</t>
        </is>
      </c>
      <c r="P648" s="4" t="n">
        <v>2</v>
      </c>
      <c r="Q648" s="4" t="n">
        <v>1725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부강면 행산리 389-3</t>
        </is>
      </c>
      <c r="B649" s="3" t="inlineStr">
        <is>
          <t>계획관리지역</t>
        </is>
      </c>
      <c r="C649" s="3" t="inlineStr">
        <is>
          <t>과수원</t>
        </is>
      </c>
      <c r="D649" s="3" t="inlineStr">
        <is>
          <t>과수원</t>
        </is>
      </c>
      <c r="E649" s="3" t="inlineStr">
        <is>
          <t>매매</t>
        </is>
      </c>
      <c r="F649" s="4" t="n">
        <v>38500</v>
      </c>
      <c r="G649" s="4" t="n">
        <v>1273</v>
      </c>
      <c r="H649" s="4" t="n">
        <v>385</v>
      </c>
      <c r="I649" s="5" t="n">
        <v>100</v>
      </c>
      <c r="J649" s="5" t="n">
        <v>24.8</v>
      </c>
      <c r="K649" s="3" t="inlineStr">
        <is>
          <t>감나무 블루베리 등이 식재되어 5생활권 5분거리 과수원</t>
        </is>
      </c>
      <c r="L649" s="6">
        <f>HYPERLINK("https://fin.land.naver.com/articles/2646808438", "매물Link")</f>
        <v/>
      </c>
      <c r="M649" s="6">
        <f>HYPERLINK("https://map.naver.com/p/search/부강면 행산리 389-3", "지도Link")</f>
        <v/>
      </c>
      <c r="N649" s="6">
        <f>HYPERLINK("http://www.eum.go.kr/web/ar/lu/luLandDet.jsp?pnu=3611033022103890003&amp;isNoScr=script&amp;mode=search", "토지이음")</f>
        <v/>
      </c>
      <c r="O649" s="3" t="inlineStr">
        <is>
          <t>지성</t>
        </is>
      </c>
      <c r="P649" s="4" t="n">
        <v>1</v>
      </c>
      <c r="Q649" s="4" t="n">
        <v>779</v>
      </c>
      <c r="R649" s="3" t="inlineStr">
        <is>
          <t>지정되지않음</t>
        </is>
      </c>
      <c r="S649" s="3" t="inlineStr">
        <is>
          <t>과수원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389-3</t>
        </is>
      </c>
      <c r="B650" s="3" t="inlineStr">
        <is>
          <t>계획관리지역</t>
        </is>
      </c>
      <c r="C650" s="3" t="inlineStr">
        <is>
          <t>과수원</t>
        </is>
      </c>
      <c r="D650" s="3" t="inlineStr">
        <is>
          <t>과수원</t>
        </is>
      </c>
      <c r="E650" s="3" t="inlineStr">
        <is>
          <t>매매</t>
        </is>
      </c>
      <c r="F650" s="4" t="n">
        <v>23600</v>
      </c>
      <c r="G650" s="4" t="n">
        <v>779</v>
      </c>
      <c r="H650" s="4" t="n">
        <v>236</v>
      </c>
      <c r="I650" s="5" t="n">
        <v>100</v>
      </c>
      <c r="J650" s="5" t="n">
        <v>24.8</v>
      </c>
      <c r="K650" s="3" t="inlineStr">
        <is>
          <t>계획관리지역의 과수원으로 농촌 체류형 쉼터나 공방 및 전원주택지로 좋은</t>
        </is>
      </c>
      <c r="L650" s="6">
        <f>HYPERLINK("https://fin.land.naver.com/articles/2650242112", "매물Link")</f>
        <v/>
      </c>
      <c r="M650" s="6">
        <f>HYPERLINK("https://map.naver.com/p/search/부강면 행산리 389-3", "지도Link")</f>
        <v/>
      </c>
      <c r="N650" s="6">
        <f>HYPERLINK("http://www.eum.go.kr/web/ar/lu/luLandDet.jsp?pnu=3611033022103890003&amp;isNoScr=script&amp;mode=search", "토지이음")</f>
        <v/>
      </c>
      <c r="O650" s="3" t="inlineStr">
        <is>
          <t>스마일세종</t>
        </is>
      </c>
      <c r="P650" s="4" t="n">
        <v>1</v>
      </c>
      <c r="Q650" s="4" t="n">
        <v>779</v>
      </c>
      <c r="R650" s="3" t="inlineStr">
        <is>
          <t>지정되지않음</t>
        </is>
      </c>
      <c r="S650" s="3" t="inlineStr">
        <is>
          <t>과수원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행산리 389-3</t>
        </is>
      </c>
      <c r="B651" s="3" t="inlineStr">
        <is>
          <t>계획관리지역</t>
        </is>
      </c>
      <c r="C651" s="3" t="inlineStr">
        <is>
          <t>과수원</t>
        </is>
      </c>
      <c r="D651" s="3" t="inlineStr">
        <is>
          <t>과수원</t>
        </is>
      </c>
      <c r="E651" s="3" t="inlineStr">
        <is>
          <t>매매</t>
        </is>
      </c>
      <c r="F651" s="4" t="n">
        <v>23600</v>
      </c>
      <c r="G651" s="4" t="n">
        <v>779</v>
      </c>
      <c r="H651" s="4" t="n">
        <v>236</v>
      </c>
      <c r="I651" s="5" t="n">
        <v>100</v>
      </c>
      <c r="J651" s="5" t="n">
        <v>24.8</v>
      </c>
      <c r="K651" s="3" t="inlineStr">
        <is>
          <t>급매,도로접한 계획관리지역,다용도 사용목적 가능,투자용 추천</t>
        </is>
      </c>
      <c r="L651" s="6">
        <f>HYPERLINK("https://fin.land.naver.com/articles/2649114293", "매물Link")</f>
        <v/>
      </c>
      <c r="M651" s="6">
        <f>HYPERLINK("https://map.naver.com/p/search/부강면 행산리 389-3", "지도Link")</f>
        <v/>
      </c>
      <c r="N651" s="6">
        <f>HYPERLINK("http://www.eum.go.kr/web/ar/lu/luLandDet.jsp?pnu=3611033022103890003&amp;isNoScr=script&amp;mode=search", "토지이음")</f>
        <v/>
      </c>
      <c r="O651" s="3" t="inlineStr">
        <is>
          <t>고운맘</t>
        </is>
      </c>
      <c r="P651" s="4" t="n">
        <v>1</v>
      </c>
      <c r="Q651" s="4" t="n">
        <v>779</v>
      </c>
      <c r="R651" s="3" t="inlineStr">
        <is>
          <t>지정되지않음</t>
        </is>
      </c>
      <c r="S651" s="3" t="inlineStr">
        <is>
          <t>과수원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세로한면(가)</t>
        </is>
      </c>
    </row>
    <row r="652">
      <c r="A652" s="3" t="inlineStr">
        <is>
          <t>부강면 행산리 389-4</t>
        </is>
      </c>
      <c r="B652" s="3" t="inlineStr">
        <is>
          <t>계획관리지역</t>
        </is>
      </c>
      <c r="C652" s="3" t="inlineStr">
        <is>
          <t>과수원</t>
        </is>
      </c>
      <c r="D652" s="3" t="inlineStr">
        <is>
          <t>과수원</t>
        </is>
      </c>
      <c r="E652" s="3" t="inlineStr">
        <is>
          <t>매매</t>
        </is>
      </c>
      <c r="F652" s="4" t="n">
        <v>15000</v>
      </c>
      <c r="G652" s="4" t="n">
        <v>494</v>
      </c>
      <c r="H652" s="4" t="n">
        <v>149</v>
      </c>
      <c r="I652" s="5" t="n">
        <v>100.7</v>
      </c>
      <c r="J652" s="5" t="n">
        <v>24.8</v>
      </c>
      <c r="K652" s="3" t="inlineStr">
        <is>
          <t>1억대토 5생활권 5분거리 행산리 과수원 매매</t>
        </is>
      </c>
      <c r="L652" s="6">
        <f>HYPERLINK("https://fin.land.naver.com/articles/2651268533", "매물Link")</f>
        <v/>
      </c>
      <c r="M652" s="6">
        <f>HYPERLINK("https://map.naver.com/p/search/부강면 행산리 389-4", "지도Link")</f>
        <v/>
      </c>
      <c r="N652" s="6">
        <f>HYPERLINK("http://www.eum.go.kr/web/ar/lu/luLandDet.jsp?pnu=3611033022103890004&amp;isNoScr=script&amp;mode=search", "토지이음")</f>
        <v/>
      </c>
      <c r="O652" s="3" t="inlineStr">
        <is>
          <t>지성</t>
        </is>
      </c>
      <c r="P652" s="4" t="n">
        <v>4</v>
      </c>
      <c r="Q652" s="4" t="n">
        <v>494</v>
      </c>
      <c r="R652" s="3" t="inlineStr">
        <is>
          <t>지정되지않음</t>
        </is>
      </c>
      <c r="S652" s="3" t="inlineStr">
        <is>
          <t>과수원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부강면 행산리 389-4</t>
        </is>
      </c>
      <c r="B653" s="3" t="inlineStr">
        <is>
          <t>계획관리지역</t>
        </is>
      </c>
      <c r="C653" s="3" t="inlineStr">
        <is>
          <t>과수원</t>
        </is>
      </c>
      <c r="D653" s="3" t="inlineStr">
        <is>
          <t>과수원</t>
        </is>
      </c>
      <c r="E653" s="3" t="inlineStr">
        <is>
          <t>매매</t>
        </is>
      </c>
      <c r="F653" s="4" t="n">
        <v>15000</v>
      </c>
      <c r="G653" s="4" t="n">
        <v>494</v>
      </c>
      <c r="H653" s="4" t="n">
        <v>149</v>
      </c>
      <c r="I653" s="5" t="n">
        <v>100.7</v>
      </c>
      <c r="J653" s="5" t="n">
        <v>24.8</v>
      </c>
      <c r="K653" s="3" t="inlineStr">
        <is>
          <t>급매,도로접한 계획관리지역,다용도 사용목적 가능,투자용 추천</t>
        </is>
      </c>
      <c r="L653" s="6">
        <f>HYPERLINK("https://fin.land.naver.com/articles/2649114004", "매물Link")</f>
        <v/>
      </c>
      <c r="M653" s="6">
        <f>HYPERLINK("https://map.naver.com/p/search/부강면 행산리 389-4", "지도Link")</f>
        <v/>
      </c>
      <c r="N653" s="6">
        <f>HYPERLINK("http://www.eum.go.kr/web/ar/lu/luLandDet.jsp?pnu=3611033022103890004&amp;isNoScr=script&amp;mode=search", "토지이음")</f>
        <v/>
      </c>
      <c r="O653" s="3" t="inlineStr">
        <is>
          <t>고운맘</t>
        </is>
      </c>
      <c r="P653" s="4" t="n">
        <v>1</v>
      </c>
      <c r="Q653" s="4" t="n">
        <v>494</v>
      </c>
      <c r="R653" s="3" t="inlineStr">
        <is>
          <t>지정되지않음</t>
        </is>
      </c>
      <c r="S653" s="3" t="inlineStr">
        <is>
          <t>과수원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행산리 393</t>
        </is>
      </c>
      <c r="B654" s="3" t="inlineStr">
        <is>
          <t>계획관리지역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82000</v>
      </c>
      <c r="G654" s="4" t="n">
        <v>8984</v>
      </c>
      <c r="H654" s="4" t="n">
        <v>2718</v>
      </c>
      <c r="I654" s="5" t="n">
        <v>30.2</v>
      </c>
      <c r="J654" s="5" t="n">
        <v>19.6</v>
      </c>
      <c r="K654" s="3" t="inlineStr">
        <is>
          <t>nan</t>
        </is>
      </c>
      <c r="L654" s="6">
        <f>HYPERLINK("https://fin.land.naver.com/articles/2650179359", "매물Link")</f>
        <v/>
      </c>
      <c r="M654" s="6">
        <f>HYPERLINK("https://map.naver.com/p/search/부강면 행산리 393", "지도Link")</f>
        <v/>
      </c>
      <c r="N654" s="6">
        <f>HYPERLINK("http://www.eum.go.kr/web/ar/lu/luLandDet.jsp?pnu=3611033022103930000&amp;isNoScr=script&amp;mode=search", "토지이음")</f>
        <v/>
      </c>
      <c r="O654" s="3" t="inlineStr">
        <is>
          <t>연동스카이</t>
        </is>
      </c>
      <c r="P654" s="4" t="n">
        <v>1</v>
      </c>
      <c r="Q654" s="4" t="n">
        <v>3269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행산리 447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24750</v>
      </c>
      <c r="G655" s="4" t="n">
        <v>1490</v>
      </c>
      <c r="H655" s="4" t="n">
        <v>451</v>
      </c>
      <c r="I655" s="5" t="n">
        <v>54.9</v>
      </c>
      <c r="J655" s="5" t="n">
        <v>18.3</v>
      </c>
      <c r="K655" s="3" t="inlineStr">
        <is>
          <t>넓은 면적의 농지를 찾는 실수요자 추천 영농 목적 토지</t>
        </is>
      </c>
      <c r="L655" s="6">
        <f>HYPERLINK("https://fin.land.naver.com/articles/2651606501", "매물Link")</f>
        <v/>
      </c>
      <c r="M655" s="6">
        <f>HYPERLINK("https://map.naver.com/p/search/부강면 행산리 447", "지도Link")</f>
        <v/>
      </c>
      <c r="N655" s="6">
        <f>HYPERLINK("http://www.eum.go.kr/web/ar/lu/luLandDet.jsp?pnu=3611033022104470000&amp;isNoScr=script&amp;mode=search", "토지이음")</f>
        <v/>
      </c>
      <c r="O655" s="3" t="inlineStr">
        <is>
          <t>세종몽땅</t>
        </is>
      </c>
      <c r="P655" s="4" t="n">
        <v>2</v>
      </c>
      <c r="Q655" s="4" t="n">
        <v>1490.7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세로장방</t>
        </is>
      </c>
      <c r="V655" s="3" t="inlineStr">
        <is>
          <t>세로한면(가)</t>
        </is>
      </c>
    </row>
    <row r="656">
      <c r="A656" s="3" t="inlineStr">
        <is>
          <t>부강면 행산리 447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24800</v>
      </c>
      <c r="G656" s="4" t="n">
        <v>1491</v>
      </c>
      <c r="H656" s="4" t="n">
        <v>451</v>
      </c>
      <c r="I656" s="5" t="n">
        <v>55</v>
      </c>
      <c r="J656" s="5" t="n">
        <v>18.3</v>
      </c>
      <c r="K656" s="3" t="inlineStr">
        <is>
          <t>매매가 할인2,200만원 대토농지</t>
        </is>
      </c>
      <c r="L656" s="6">
        <f>HYPERLINK("https://fin.land.naver.com/articles/2651396371", "매물Link")</f>
        <v/>
      </c>
      <c r="M656" s="6">
        <f>HYPERLINK("https://map.naver.com/p/search/부강면 행산리 447", "지도Link")</f>
        <v/>
      </c>
      <c r="N656" s="6">
        <f>HYPERLINK("http://www.eum.go.kr/web/ar/lu/luLandDet.jsp?pnu=3611033022104470000&amp;isNoScr=script&amp;mode=search", "토지이음")</f>
        <v/>
      </c>
      <c r="O656" s="3" t="inlineStr">
        <is>
          <t>로데오상가</t>
        </is>
      </c>
      <c r="P656" s="4" t="n">
        <v>1</v>
      </c>
      <c r="Q656" s="4" t="n">
        <v>1490.7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세로한면(가)</t>
        </is>
      </c>
    </row>
    <row r="657">
      <c r="A657" s="3" t="inlineStr">
        <is>
          <t>부강면 행산리 448</t>
        </is>
      </c>
      <c r="B657" s="3" t="inlineStr">
        <is>
          <t>농림지역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129600</v>
      </c>
      <c r="G657" s="4" t="n">
        <v>7791</v>
      </c>
      <c r="H657" s="4" t="n">
        <v>2357</v>
      </c>
      <c r="I657" s="5" t="n">
        <v>55</v>
      </c>
      <c r="J657" s="5" t="n">
        <v>18.3</v>
      </c>
      <c r="K657" s="3" t="inlineStr">
        <is>
          <t>행산리 농림지역 대토 농지 논 답</t>
        </is>
      </c>
      <c r="L657" s="6">
        <f>HYPERLINK("https://fin.land.naver.com/articles/2651396542", "매물Link")</f>
        <v/>
      </c>
      <c r="M657" s="6">
        <f>HYPERLINK("https://map.naver.com/p/search/부강면 행산리 448", "지도Link")</f>
        <v/>
      </c>
      <c r="N657" s="6">
        <f>HYPERLINK("http://www.eum.go.kr/web/ar/lu/luLandDet.jsp?pnu=3611033022104480000&amp;isNoScr=script&amp;mode=search", "토지이음")</f>
        <v/>
      </c>
      <c r="O657" s="3" t="inlineStr">
        <is>
          <t>로데오상가</t>
        </is>
      </c>
      <c r="P657" s="4" t="n">
        <v>2</v>
      </c>
      <c r="Q657" s="4" t="n">
        <v>7790.7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세로한면(가)</t>
        </is>
      </c>
    </row>
    <row r="658">
      <c r="A658" s="3" t="inlineStr">
        <is>
          <t>부강면 행산리 448</t>
        </is>
      </c>
      <c r="B658" s="3" t="inlineStr">
        <is>
          <t>농림지역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280000</v>
      </c>
      <c r="G658" s="4" t="n">
        <v>9281</v>
      </c>
      <c r="H658" s="4" t="n">
        <v>2808</v>
      </c>
      <c r="I658" s="5" t="n">
        <v>99.7</v>
      </c>
      <c r="J658" s="5" t="n">
        <v>18.3</v>
      </c>
      <c r="K658" s="3" t="inlineStr">
        <is>
          <t>2차선도로접하고 인근각종개발예정으로 투자용최적</t>
        </is>
      </c>
      <c r="L658" s="6">
        <f>HYPERLINK("https://fin.land.naver.com/articles/2651042297", "매물Link")</f>
        <v/>
      </c>
      <c r="M658" s="6">
        <f>HYPERLINK("https://map.naver.com/p/search/부강면 행산리 448", "지도Link")</f>
        <v/>
      </c>
      <c r="N658" s="6">
        <f>HYPERLINK("http://www.eum.go.kr/web/ar/lu/luLandDet.jsp?pnu=3611033022104480000&amp;isNoScr=script&amp;mode=search", "토지이음")</f>
        <v/>
      </c>
      <c r="O658" s="3" t="inlineStr">
        <is>
          <t>원내</t>
        </is>
      </c>
      <c r="P658" s="4" t="n">
        <v>3</v>
      </c>
      <c r="Q658" s="4" t="n">
        <v>7790.7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세로한면(가)</t>
        </is>
      </c>
    </row>
    <row r="659">
      <c r="A659" s="3" t="inlineStr">
        <is>
          <t>부강면 행산리 448</t>
        </is>
      </c>
      <c r="B659" s="3" t="inlineStr">
        <is>
          <t>농림지역</t>
        </is>
      </c>
      <c r="C659" s="3" t="inlineStr">
        <is>
          <t>답</t>
        </is>
      </c>
      <c r="D659" s="3" t="inlineStr">
        <is>
          <t>답</t>
        </is>
      </c>
      <c r="E659" s="3" t="inlineStr">
        <is>
          <t>매매</t>
        </is>
      </c>
      <c r="F659" s="4" t="n">
        <v>129600</v>
      </c>
      <c r="G659" s="4" t="n">
        <v>7790</v>
      </c>
      <c r="H659" s="4" t="n">
        <v>2356</v>
      </c>
      <c r="I659" s="5" t="n">
        <v>55</v>
      </c>
      <c r="J659" s="5" t="n">
        <v>18.3</v>
      </c>
      <c r="K659" s="3" t="inlineStr">
        <is>
          <t>대면적 농지</t>
        </is>
      </c>
      <c r="L659" s="6">
        <f>HYPERLINK("https://fin.land.naver.com/articles/2651603362", "매물Link")</f>
        <v/>
      </c>
      <c r="M659" s="6">
        <f>HYPERLINK("https://map.naver.com/p/search/부강면 행산리 448", "지도Link")</f>
        <v/>
      </c>
      <c r="N659" s="6">
        <f>HYPERLINK("http://www.eum.go.kr/web/ar/lu/luLandDet.jsp?pnu=3611033022104480000&amp;isNoScr=script&amp;mode=search", "토지이음")</f>
        <v/>
      </c>
      <c r="O659" s="3" t="inlineStr">
        <is>
          <t>세종몽땅</t>
        </is>
      </c>
      <c r="P659" s="4" t="n">
        <v>4</v>
      </c>
      <c r="Q659" s="4" t="n">
        <v>7790.7</v>
      </c>
      <c r="R659" s="3" t="inlineStr">
        <is>
          <t>지정되지않음</t>
        </is>
      </c>
      <c r="S659" s="3" t="inlineStr">
        <is>
          <t>답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세로한면(가)</t>
        </is>
      </c>
    </row>
    <row r="660">
      <c r="A660" s="3" t="inlineStr">
        <is>
          <t>부강면 행산리 552</t>
        </is>
      </c>
      <c r="B660" s="3" t="inlineStr">
        <is>
          <t>농림지역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38000</v>
      </c>
      <c r="G660" s="4" t="n">
        <v>2853</v>
      </c>
      <c r="H660" s="4" t="n">
        <v>863</v>
      </c>
      <c r="I660" s="5" t="n">
        <v>44</v>
      </c>
      <c r="J660" s="5" t="n">
        <v>16.9</v>
      </c>
      <c r="K660" s="3" t="inlineStr">
        <is>
          <t>급매물 입니다 평당 45만원 입니다.</t>
        </is>
      </c>
      <c r="L660" s="6">
        <f>HYPERLINK("https://fin.land.naver.com/articles/2649632999", "매물Link")</f>
        <v/>
      </c>
      <c r="M660" s="6">
        <f>HYPERLINK("https://map.naver.com/p/search/부강면 행산리 552", "지도Link")</f>
        <v/>
      </c>
      <c r="N660" s="6">
        <f>HYPERLINK("http://www.eum.go.kr/web/ar/lu/luLandDet.jsp?pnu=3611033022105520000&amp;isNoScr=script&amp;mode=search", "토지이음")</f>
        <v/>
      </c>
      <c r="O660" s="3" t="inlineStr">
        <is>
          <t>승미</t>
        </is>
      </c>
      <c r="P660" s="4" t="n">
        <v>2</v>
      </c>
      <c r="Q660" s="4" t="n">
        <v>2853.3</v>
      </c>
      <c r="R660" s="3" t="inlineStr">
        <is>
          <t>지정되지않음</t>
        </is>
      </c>
      <c r="S660" s="3" t="inlineStr">
        <is>
          <t>답</t>
        </is>
      </c>
      <c r="T660" s="3" t="inlineStr">
        <is>
          <t>평지</t>
        </is>
      </c>
      <c r="U660" s="3" t="inlineStr">
        <is>
          <t>세로장방</t>
        </is>
      </c>
      <c r="V660" s="3" t="inlineStr">
        <is>
          <t>세로한면(가)</t>
        </is>
      </c>
    </row>
    <row r="661">
      <c r="A661" s="3" t="inlineStr">
        <is>
          <t>부강면 행산리 615</t>
        </is>
      </c>
      <c r="B661" s="3" t="inlineStr">
        <is>
          <t>농림지역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57600</v>
      </c>
      <c r="G661" s="4" t="n">
        <v>1871</v>
      </c>
      <c r="H661" s="4" t="n">
        <v>566</v>
      </c>
      <c r="I661" s="5" t="n">
        <v>101.8</v>
      </c>
      <c r="J661" s="5" t="n">
        <v>18.1</v>
      </c>
      <c r="K661" s="3" t="inlineStr">
        <is>
          <t>급매 아스콘 포장도로에 길게 접한 농림지역의 답으로 농업용 창고나 투자용</t>
        </is>
      </c>
      <c r="L661" s="6">
        <f>HYPERLINK("https://fin.land.naver.com/articles/2650731936", "매물Link")</f>
        <v/>
      </c>
      <c r="M661" s="6">
        <f>HYPERLINK("https://map.naver.com/p/search/부강면 행산리 615", "지도Link")</f>
        <v/>
      </c>
      <c r="N661" s="6">
        <f>HYPERLINK("http://www.eum.go.kr/web/ar/lu/luLandDet.jsp?pnu=3611033022106150000&amp;isNoScr=script&amp;mode=search", "토지이음")</f>
        <v/>
      </c>
      <c r="O661" s="3" t="inlineStr">
        <is>
          <t>스마일세종</t>
        </is>
      </c>
      <c r="P661" s="4" t="n">
        <v>5</v>
      </c>
      <c r="Q661" s="4" t="n">
        <v>1871.1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세로한면(가)</t>
        </is>
      </c>
    </row>
    <row r="662">
      <c r="A662" s="3" t="inlineStr">
        <is>
          <t>부강면 행산리 615</t>
        </is>
      </c>
      <c r="B662" s="3" t="inlineStr">
        <is>
          <t>농림지역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57000</v>
      </c>
      <c r="G662" s="4" t="n">
        <v>1871</v>
      </c>
      <c r="H662" s="4" t="n">
        <v>566</v>
      </c>
      <c r="I662" s="5" t="n">
        <v>100.7</v>
      </c>
      <c r="J662" s="5" t="n">
        <v>18.1</v>
      </c>
      <c r="K662" s="3" t="inlineStr">
        <is>
          <t>농업인주택 및 경작용 토지매매</t>
        </is>
      </c>
      <c r="L662" s="6">
        <f>HYPERLINK("https://fin.land.naver.com/articles/2646698782", "매물Link")</f>
        <v/>
      </c>
      <c r="M662" s="6">
        <f>HYPERLINK("https://map.naver.com/p/search/부강면 행산리 615", "지도Link")</f>
        <v/>
      </c>
      <c r="N662" s="6">
        <f>HYPERLINK("http://www.eum.go.kr/web/ar/lu/luLandDet.jsp?pnu=3611033022106150000&amp;isNoScr=script&amp;mode=search", "토지이음")</f>
        <v/>
      </c>
      <c r="O662" s="3" t="inlineStr">
        <is>
          <t>광장</t>
        </is>
      </c>
      <c r="P662" s="4" t="n">
        <v>1</v>
      </c>
      <c r="Q662" s="4" t="n">
        <v>1871.1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세로한면(가)</t>
        </is>
      </c>
    </row>
    <row r="663">
      <c r="A663" s="3" t="inlineStr">
        <is>
          <t>부강면 행산리 산65</t>
        </is>
      </c>
      <c r="B663" s="3" t="inlineStr">
        <is>
          <t>보전관리지역</t>
        </is>
      </c>
      <c r="C663" s="3" t="inlineStr">
        <is>
          <t>임야</t>
        </is>
      </c>
      <c r="D663" s="3" t="inlineStr">
        <is>
          <t>임야</t>
        </is>
      </c>
      <c r="E663" s="3" t="inlineStr">
        <is>
          <t>매매</t>
        </is>
      </c>
      <c r="F663" s="4" t="n">
        <v>18300</v>
      </c>
      <c r="G663" s="4" t="n">
        <v>6236</v>
      </c>
      <c r="H663" s="4" t="n">
        <v>1886</v>
      </c>
      <c r="I663" s="5" t="n">
        <v>9.699999999999999</v>
      </c>
      <c r="J663" s="5" t="n">
        <v>2.6</v>
      </c>
      <c r="K663" s="3" t="inlineStr">
        <is>
          <t>현황도로 접, 뽕나무 등 식재, 자연인  이나 휴식용공간으로 추천</t>
        </is>
      </c>
      <c r="L663" s="6">
        <f>HYPERLINK("https://fin.land.naver.com/articles/2649547090", "매물Link")</f>
        <v/>
      </c>
      <c r="M663" s="6">
        <f>HYPERLINK("https://map.naver.com/p/search/부강면 행산리 산65", "지도Link")</f>
        <v/>
      </c>
      <c r="N663" s="6">
        <f>HYPERLINK("http://www.eum.go.kr/web/ar/lu/luLandDet.jsp?pnu=3611033022200650000&amp;isNoScr=script&amp;mode=search", "토지이음")</f>
        <v/>
      </c>
      <c r="O663" s="3" t="inlineStr">
        <is>
          <t>박단아사사무소</t>
        </is>
      </c>
      <c r="P663" s="4" t="n">
        <v>1</v>
      </c>
      <c r="Q663" s="4" t="n">
        <v>6236</v>
      </c>
      <c r="R663" s="3" t="inlineStr">
        <is>
          <t>지정되지않음</t>
        </is>
      </c>
      <c r="S663" s="3" t="inlineStr">
        <is>
          <t>자연림</t>
        </is>
      </c>
      <c r="T663" s="3" t="inlineStr">
        <is>
          <t>완경사</t>
        </is>
      </c>
      <c r="U663" s="3" t="inlineStr">
        <is>
          <t>부정형</t>
        </is>
      </c>
      <c r="V663" s="3" t="inlineStr">
        <is>
          <t>맹지</t>
        </is>
      </c>
    </row>
    <row r="664">
      <c r="A664" s="3" t="inlineStr">
        <is>
          <t>아름동 1037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65000</v>
      </c>
      <c r="G664" s="4" t="n">
        <v>331</v>
      </c>
      <c r="H664" s="4" t="n">
        <v>100</v>
      </c>
      <c r="I664" s="5" t="n">
        <v>650</v>
      </c>
      <c r="J664" s="5" t="n">
        <v>335.5</v>
      </c>
      <c r="K664" s="3" t="inlineStr">
        <is>
          <t>전용100.5p, 국제고인근, 아름동 단독주택지</t>
        </is>
      </c>
      <c r="L664" s="6">
        <f>HYPERLINK("https://fin.land.naver.com/articles/2646694903", "매물Link")</f>
        <v/>
      </c>
      <c r="M664" s="6">
        <f>HYPERLINK("https://map.naver.com/p/search/아름동 1037", "지도Link")</f>
        <v/>
      </c>
      <c r="N664" s="6">
        <f>HYPERLINK("http://www.eum.go.kr/web/ar/lu/luLandDet.jsp?pnu=3611011300110370000&amp;isNoScr=script&amp;mode=search",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331.9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소로한면</t>
        </is>
      </c>
    </row>
    <row r="665">
      <c r="A665" s="3" t="inlineStr">
        <is>
          <t>아름동 1037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65000</v>
      </c>
      <c r="G665" s="4" t="n">
        <v>331</v>
      </c>
      <c r="H665" s="4" t="n">
        <v>100</v>
      </c>
      <c r="I665" s="5" t="n">
        <v>650</v>
      </c>
      <c r="J665" s="5" t="n">
        <v>335.5</v>
      </c>
      <c r="K665" s="3" t="inlineStr">
        <is>
          <t>총 100.5p, 위치좋은 아름동 단독주택지 토지</t>
        </is>
      </c>
      <c r="L665" s="6">
        <f>HYPERLINK("https://fin.land.naver.com/articles/2649022307", "매물Link")</f>
        <v/>
      </c>
      <c r="M665" s="6">
        <f>HYPERLINK("https://map.naver.com/p/search/아름동 1037", "지도Link")</f>
        <v/>
      </c>
      <c r="N665" s="6">
        <f>HYPERLINK("http://www.eum.go.kr/web/ar/lu/luLandDet.jsp?pnu=3611011300110370000&amp;isNoScr=script&amp;mode=search",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331.9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소로한면</t>
        </is>
      </c>
    </row>
    <row r="666">
      <c r="A666" s="3" t="inlineStr">
        <is>
          <t>아름동 1049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83000</v>
      </c>
      <c r="G666" s="4" t="n">
        <v>363</v>
      </c>
      <c r="H666" s="4" t="n">
        <v>110</v>
      </c>
      <c r="I666" s="5" t="n">
        <v>754.5</v>
      </c>
      <c r="J666" s="5" t="n">
        <v>366.6</v>
      </c>
      <c r="K666" s="3" t="inlineStr">
        <is>
          <t>코너각지, 위치와 접근성 좋은 전원주택지</t>
        </is>
      </c>
      <c r="L666" s="6">
        <f>HYPERLINK("https://fin.land.naver.com/articles/2648804023", "매물Link")</f>
        <v/>
      </c>
      <c r="M666" s="6">
        <f>HYPERLINK("https://map.naver.com/p/search/아름동 1049", "지도Link")</f>
        <v/>
      </c>
      <c r="N666" s="6">
        <f>HYPERLINK("http://www.eum.go.kr/web/ar/lu/luLandDet.jsp?pnu=3611011300110490000&amp;isNoScr=script&amp;mode=search", "토지이음")</f>
        <v/>
      </c>
      <c r="O666" s="3" t="inlineStr">
        <is>
          <t>부엉이</t>
        </is>
      </c>
      <c r="P666" s="4" t="n">
        <v>1</v>
      </c>
      <c r="Q666" s="4" t="n">
        <v>363.6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사다리형</t>
        </is>
      </c>
      <c r="V666" s="3" t="inlineStr">
        <is>
          <t>소로각지</t>
        </is>
      </c>
    </row>
    <row r="667">
      <c r="A667" s="3" t="inlineStr">
        <is>
          <t>아름동 1079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65000</v>
      </c>
      <c r="G667" s="4" t="n">
        <v>357</v>
      </c>
      <c r="H667" s="4" t="n">
        <v>108</v>
      </c>
      <c r="I667" s="5" t="n">
        <v>601.9</v>
      </c>
      <c r="J667" s="5" t="n">
        <v>353.1</v>
      </c>
      <c r="K667" s="3" t="inlineStr">
        <is>
          <t>위치최상 벙커주차장가능 언덕 탁트인시야</t>
        </is>
      </c>
      <c r="L667" s="6">
        <f>HYPERLINK("https://fin.land.naver.com/articles/2648042320", "매물Link")</f>
        <v/>
      </c>
      <c r="M667" s="6">
        <f>HYPERLINK("https://map.naver.com/p/search/아름동 1079", "지도Link")</f>
        <v/>
      </c>
      <c r="N667" s="6">
        <f>HYPERLINK("http://www.eum.go.kr/web/ar/lu/luLandDet.jsp?pnu=3611011300110790000&amp;isNoScr=script&amp;mode=search",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357.1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소로한면</t>
        </is>
      </c>
    </row>
    <row r="668">
      <c r="A668" s="3" t="inlineStr">
        <is>
          <t>아름동 1116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83000</v>
      </c>
      <c r="G668" s="4" t="n">
        <v>359</v>
      </c>
      <c r="H668" s="4" t="n">
        <v>109</v>
      </c>
      <c r="I668" s="5" t="n">
        <v>761.5</v>
      </c>
      <c r="J668" s="5" t="n">
        <v>373.9</v>
      </c>
      <c r="K668" s="3" t="inlineStr">
        <is>
          <t>총 108.9p, 사거리코너 위치좋은 입지</t>
        </is>
      </c>
      <c r="L668" s="6">
        <f>HYPERLINK("https://fin.land.naver.com/articles/2647422006", "매물Link")</f>
        <v/>
      </c>
      <c r="M668" s="6">
        <f>HYPERLINK("https://map.naver.com/p/search/아름동 1116", "지도Link")</f>
        <v/>
      </c>
      <c r="N668" s="6">
        <f>HYPERLINK("http://www.eum.go.kr/web/ar/lu/luLandDet.jsp?pnu=3611011300111160000&amp;isNoScr=script&amp;mode=search",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359.5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소로각지</t>
        </is>
      </c>
    </row>
    <row r="669">
      <c r="A669" s="3" t="inlineStr">
        <is>
          <t>아름동 1116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83000</v>
      </c>
      <c r="G669" s="4" t="n">
        <v>359</v>
      </c>
      <c r="H669" s="4" t="n">
        <v>109</v>
      </c>
      <c r="I669" s="5" t="n">
        <v>761.5</v>
      </c>
      <c r="J669" s="5" t="n">
        <v>373.9</v>
      </c>
      <c r="K669" s="3" t="inlineStr">
        <is>
          <t>108.9p, 사거리 코너자리, 아름동 최고입지</t>
        </is>
      </c>
      <c r="L669" s="6">
        <f>HYPERLINK("https://fin.land.naver.com/articles/2648835394", "매물Link")</f>
        <v/>
      </c>
      <c r="M669" s="6">
        <f>HYPERLINK("https://map.naver.com/p/search/아름동 1116", "지도Link")</f>
        <v/>
      </c>
      <c r="N669" s="6">
        <f>HYPERLINK("http://www.eum.go.kr/web/ar/lu/luLandDet.jsp?pnu=3611011300111160000&amp;isNoScr=script&amp;mode=search", "토지이음")</f>
        <v/>
      </c>
      <c r="O669" s="3" t="inlineStr">
        <is>
          <t>세종무지개</t>
        </is>
      </c>
      <c r="P669" s="4" t="n">
        <v>1</v>
      </c>
      <c r="Q669" s="4" t="n">
        <v>359.5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소로각지</t>
        </is>
      </c>
    </row>
    <row r="670">
      <c r="A670" s="3" t="inlineStr">
        <is>
          <t>아름동 1121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60000</v>
      </c>
      <c r="G670" s="4" t="n">
        <v>355</v>
      </c>
      <c r="H670" s="4" t="n">
        <v>107</v>
      </c>
      <c r="I670" s="5" t="n">
        <v>560.7</v>
      </c>
      <c r="J670" s="5" t="n">
        <v>373.9</v>
      </c>
      <c r="K670" s="3" t="inlineStr">
        <is>
          <t>공원옆 큰평수 추가조율가능</t>
        </is>
      </c>
      <c r="L670" s="6">
        <f>HYPERLINK("https://fin.land.naver.com/articles/2646401136", "매물Link")</f>
        <v/>
      </c>
      <c r="M670" s="6">
        <f>HYPERLINK("https://map.naver.com/p/search/아름동 1121", "지도Link")</f>
        <v/>
      </c>
      <c r="N670" s="6">
        <f>HYPERLINK("http://www.eum.go.kr/web/ar/lu/luLandDet.jsp?pnu=3611011300111210000&amp;isNoScr=script&amp;mode=search",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355.4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소로각지</t>
        </is>
      </c>
    </row>
    <row r="671">
      <c r="A671" s="3" t="inlineStr">
        <is>
          <t>아름동 1142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52000</v>
      </c>
      <c r="G671" s="4" t="n">
        <v>321</v>
      </c>
      <c r="H671" s="4" t="n">
        <v>97</v>
      </c>
      <c r="I671" s="5" t="n">
        <v>536.1</v>
      </c>
      <c r="J671" s="5" t="n">
        <v>356.4</v>
      </c>
      <c r="K671" s="3" t="inlineStr">
        <is>
          <t>충대병원 인근 가격 좋은 토지, 조율도 가능</t>
        </is>
      </c>
      <c r="L671" s="6">
        <f>HYPERLINK("https://fin.land.naver.com/articles/2650429475", "매물Link")</f>
        <v/>
      </c>
      <c r="M671" s="6">
        <f>HYPERLINK("https://map.naver.com/p/search/아름동 1142", "지도Link")</f>
        <v/>
      </c>
      <c r="N671" s="6">
        <f>HYPERLINK("http://www.eum.go.kr/web/ar/lu/luLandDet.jsp?pnu=3611011300111420000&amp;isNoScr=script&amp;mode=search",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321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소로한면</t>
        </is>
      </c>
    </row>
    <row r="672">
      <c r="A672" s="3" t="inlineStr">
        <is>
          <t>아름동 1142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52000</v>
      </c>
      <c r="G672" s="4" t="n">
        <v>321</v>
      </c>
      <c r="H672" s="4" t="n">
        <v>97</v>
      </c>
      <c r="I672" s="5" t="n">
        <v>536.1</v>
      </c>
      <c r="J672" s="5" t="n">
        <v>356.4</v>
      </c>
      <c r="K672" s="3" t="inlineStr">
        <is>
          <t>급매 추가조율가능 입지좋은 충대병원인근</t>
        </is>
      </c>
      <c r="L672" s="6">
        <f>HYPERLINK("https://fin.land.naver.com/articles/2651133638", "매물Link")</f>
        <v/>
      </c>
      <c r="M672" s="6">
        <f>HYPERLINK("https://map.naver.com/p/search/아름동 1142", "지도Link")</f>
        <v/>
      </c>
      <c r="N672" s="6">
        <f>HYPERLINK("http://www.eum.go.kr/web/ar/lu/luLandDet.jsp?pnu=3611011300111420000&amp;isNoScr=script&amp;mode=search", "토지이음")</f>
        <v/>
      </c>
      <c r="O672" s="3" t="inlineStr">
        <is>
          <t>세종스타</t>
        </is>
      </c>
      <c r="P672" s="4" t="n">
        <v>1</v>
      </c>
      <c r="Q672" s="4" t="n">
        <v>321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소로한면</t>
        </is>
      </c>
    </row>
    <row r="673">
      <c r="A673" s="3" t="inlineStr">
        <is>
          <t>아름동 1142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52000</v>
      </c>
      <c r="G673" s="4" t="n">
        <v>321</v>
      </c>
      <c r="H673" s="4" t="n">
        <v>97</v>
      </c>
      <c r="I673" s="5" t="n">
        <v>536.1</v>
      </c>
      <c r="J673" s="5" t="n">
        <v>356.4</v>
      </c>
      <c r="K673" s="3" t="inlineStr">
        <is>
          <t>97.6p, 충대병원 인근 토지 급매, 조율도가능</t>
        </is>
      </c>
      <c r="L673" s="6">
        <f>HYPERLINK("https://fin.land.naver.com/articles/2647420786", "매물Link")</f>
        <v/>
      </c>
      <c r="M673" s="6">
        <f>HYPERLINK("https://map.naver.com/p/search/아름동 1142", "지도Link")</f>
        <v/>
      </c>
      <c r="N673" s="6">
        <f>HYPERLINK("http://www.eum.go.kr/web/ar/lu/luLandDet.jsp?pnu=3611011300111420000&amp;isNoScr=script&amp;mode=search", "토지이음")</f>
        <v/>
      </c>
      <c r="O673" s="3" t="inlineStr">
        <is>
          <t>명진</t>
        </is>
      </c>
      <c r="P673" s="4" t="n">
        <v>1</v>
      </c>
      <c r="Q673" s="4" t="n">
        <v>321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1144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60000</v>
      </c>
      <c r="G674" s="4" t="n">
        <v>348</v>
      </c>
      <c r="H674" s="4" t="n">
        <v>105</v>
      </c>
      <c r="I674" s="5" t="n">
        <v>571.4</v>
      </c>
      <c r="J674" s="5" t="n">
        <v>373.9</v>
      </c>
      <c r="K674" s="3" t="inlineStr">
        <is>
          <t>최상 단독주택 용지, 입지 매우 좋음, 생활 인프라 등 학군 우수 지역</t>
        </is>
      </c>
      <c r="L674" s="6">
        <f>HYPERLINK("https://fin.land.naver.com/articles/2647194933", "매물Link")</f>
        <v/>
      </c>
      <c r="M674" s="6">
        <f>HYPERLINK("https://map.naver.com/p/search/아름동 1144", "지도Link")</f>
        <v/>
      </c>
      <c r="N674" s="6">
        <f>HYPERLINK("http://www.eum.go.kr/web/ar/lu/luLandDet.jsp?pnu=3611011300111440000&amp;isNoScr=script&amp;mode=search", "토지이음")</f>
        <v/>
      </c>
      <c r="O674" s="3" t="inlineStr">
        <is>
          <t>방배탑</t>
        </is>
      </c>
      <c r="P674" s="4" t="n">
        <v>2</v>
      </c>
      <c r="Q674" s="4" t="n">
        <v>348.5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소로각지</t>
        </is>
      </c>
    </row>
    <row r="675">
      <c r="A675" s="3" t="inlineStr">
        <is>
          <t>아름동 1154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70000</v>
      </c>
      <c r="G675" s="4" t="n">
        <v>342</v>
      </c>
      <c r="H675" s="4" t="n">
        <v>103</v>
      </c>
      <c r="I675" s="5" t="n">
        <v>679.6</v>
      </c>
      <c r="J675" s="5" t="n">
        <v>356.4</v>
      </c>
      <c r="K675" s="3" t="inlineStr">
        <is>
          <t>야산을 품은 아름동 단독주택지</t>
        </is>
      </c>
      <c r="L675" s="6">
        <f>HYPERLINK("https://fin.land.naver.com/articles/2647620395", "매물Link")</f>
        <v/>
      </c>
      <c r="M675" s="6">
        <f>HYPERLINK("https://map.naver.com/p/search/아름동 1154", "지도Link")</f>
        <v/>
      </c>
      <c r="N675" s="6">
        <f>HYPERLINK("http://www.eum.go.kr/web/ar/lu/luLandDet.jsp?pnu=3611011300111540000&amp;isNoScr=script&amp;mode=search", "토지이음")</f>
        <v/>
      </c>
      <c r="O675" s="3" t="inlineStr">
        <is>
          <t>킹세종</t>
        </is>
      </c>
      <c r="P675" s="4" t="n">
        <v>2</v>
      </c>
      <c r="Q675" s="4" t="n">
        <v>342.4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소로한면</t>
        </is>
      </c>
    </row>
    <row r="676">
      <c r="A676" s="3" t="inlineStr">
        <is>
          <t>아름동 1160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71000</v>
      </c>
      <c r="G676" s="4" t="n">
        <v>365</v>
      </c>
      <c r="H676" s="4" t="n">
        <v>110</v>
      </c>
      <c r="I676" s="5" t="n">
        <v>645.5</v>
      </c>
      <c r="J676" s="5" t="n">
        <v>402.6</v>
      </c>
      <c r="K676" s="3" t="inlineStr">
        <is>
          <t>nan</t>
        </is>
      </c>
      <c r="L676" s="6">
        <f>HYPERLINK("https://fin.land.naver.com/articles/2649329264", "매물Link")</f>
        <v/>
      </c>
      <c r="M676" s="6">
        <f>HYPERLINK("https://map.naver.com/p/search/아름동 1160", "지도Link")</f>
        <v/>
      </c>
      <c r="N676" s="6">
        <f>HYPERLINK("http://www.eum.go.kr/web/ar/lu/luLandDet.jsp?pnu=3611011300111600000&amp;isNoScr=script&amp;mode=search", "토지이음")</f>
        <v/>
      </c>
      <c r="O676" s="3" t="inlineStr">
        <is>
          <t>국제</t>
        </is>
      </c>
      <c r="P676" s="4" t="n">
        <v>1</v>
      </c>
      <c r="Q676" s="4" t="n">
        <v>365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중로각지</t>
        </is>
      </c>
    </row>
    <row r="677">
      <c r="A677" s="3" t="inlineStr">
        <is>
          <t>아름동 1163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180000</v>
      </c>
      <c r="G677" s="4" t="n">
        <v>293</v>
      </c>
      <c r="H677" s="4" t="n">
        <v>89</v>
      </c>
      <c r="I677" s="5" t="n">
        <v>2022.5</v>
      </c>
      <c r="J677" s="5" t="n">
        <v>734.2</v>
      </c>
      <c r="K677" s="3" t="inlineStr">
        <is>
          <t>충대병원 인접한 아름동 근생용지, 약국위치로 좋아요</t>
        </is>
      </c>
      <c r="L677" s="6">
        <f>HYPERLINK("https://fin.land.naver.com/articles/2650939008", "매물Link")</f>
        <v/>
      </c>
      <c r="M677" s="6">
        <f>HYPERLINK("https://map.naver.com/p/search/아름동 1163", "지도Link")</f>
        <v/>
      </c>
      <c r="N677" s="6">
        <f>HYPERLINK("http://www.eum.go.kr/web/ar/lu/luLandDet.jsp?pnu=3611011300111630000&amp;isNoScr=script&amp;mode=search", "토지이음")</f>
        <v/>
      </c>
      <c r="O677" s="3" t="inlineStr">
        <is>
          <t>OK세종 사무소</t>
        </is>
      </c>
      <c r="P677" s="4" t="n">
        <v>1</v>
      </c>
      <c r="Q677" s="4" t="n">
        <v>293.7</v>
      </c>
      <c r="R677" s="3" t="inlineStr">
        <is>
          <t>지정되지않음</t>
        </is>
      </c>
      <c r="S677" s="3" t="inlineStr">
        <is>
          <t>상업용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소로각지</t>
        </is>
      </c>
    </row>
    <row r="678">
      <c r="A678" s="3" t="inlineStr">
        <is>
          <t>아름동 1182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150000</v>
      </c>
      <c r="G678" s="4" t="n">
        <v>317</v>
      </c>
      <c r="H678" s="4" t="n">
        <v>96</v>
      </c>
      <c r="I678" s="5" t="n">
        <v>1562.5</v>
      </c>
      <c r="J678" s="5" t="n">
        <v>756.7</v>
      </c>
      <c r="K678" s="3" t="inlineStr">
        <is>
          <t>근생용지, 도로변 광고효과 및 상권우수, 조율가능</t>
        </is>
      </c>
      <c r="L678" s="6">
        <f>HYPERLINK("https://fin.land.naver.com/articles/2651035239", "매물Link")</f>
        <v/>
      </c>
      <c r="M678" s="6">
        <f>HYPERLINK("https://map.naver.com/p/search/아름동 1182", "지도Link")</f>
        <v/>
      </c>
      <c r="N678" s="6">
        <f>HYPERLINK("http://www.eum.go.kr/web/ar/lu/luLandDet.jsp?pnu=3611011300111820000&amp;isNoScr=script&amp;mode=search", "토지이음")</f>
        <v/>
      </c>
      <c r="O678" s="3" t="inlineStr">
        <is>
          <t>한방</t>
        </is>
      </c>
      <c r="P678" s="4" t="n">
        <v>2</v>
      </c>
      <c r="Q678" s="4" t="n">
        <v>317.1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1183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150000</v>
      </c>
      <c r="G679" s="4" t="n">
        <v>317</v>
      </c>
      <c r="H679" s="4" t="n">
        <v>96</v>
      </c>
      <c r="I679" s="5" t="n">
        <v>1562.5</v>
      </c>
      <c r="J679" s="5" t="n">
        <v>724</v>
      </c>
      <c r="K679" s="3" t="inlineStr">
        <is>
          <t>96.1p, 근생용지, 도로변 위치 굿, 건축허가완료</t>
        </is>
      </c>
      <c r="L679" s="6">
        <f>HYPERLINK("https://fin.land.naver.com/articles/2647421008", "매물Link")</f>
        <v/>
      </c>
      <c r="M679" s="6">
        <f>HYPERLINK("https://map.naver.com/p/search/아름동 1183", "지도Link")</f>
        <v/>
      </c>
      <c r="N679" s="6">
        <f>HYPERLINK("http://www.eum.go.kr/web/ar/lu/luLandDet.jsp?pnu=3611011300111830000&amp;isNoScr=script&amp;mode=search", "토지이음")</f>
        <v/>
      </c>
      <c r="O679" s="3" t="inlineStr">
        <is>
          <t>명진</t>
        </is>
      </c>
      <c r="P679" s="4" t="n">
        <v>1</v>
      </c>
      <c r="Q679" s="4" t="n">
        <v>317.2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1183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150000</v>
      </c>
      <c r="G680" s="4" t="n">
        <v>317</v>
      </c>
      <c r="H680" s="4" t="n">
        <v>96</v>
      </c>
      <c r="I680" s="5" t="n">
        <v>1562.5</v>
      </c>
      <c r="J680" s="5" t="n">
        <v>724</v>
      </c>
      <c r="K680" s="3" t="inlineStr">
        <is>
          <t>아름동 대로변 근생용지, 96.1p</t>
        </is>
      </c>
      <c r="L680" s="6">
        <f>HYPERLINK("https://fin.land.naver.com/articles/2646696611", "매물Link")</f>
        <v/>
      </c>
      <c r="M680" s="6">
        <f>HYPERLINK("https://map.naver.com/p/search/아름동 1183", "지도Link")</f>
        <v/>
      </c>
      <c r="N680" s="6">
        <f>HYPERLINK("http://www.eum.go.kr/web/ar/lu/luLandDet.jsp?pnu=3611011300111830000&amp;isNoScr=script&amp;mode=search",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317.2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1183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145000</v>
      </c>
      <c r="G681" s="4" t="n">
        <v>317</v>
      </c>
      <c r="H681" s="4" t="n">
        <v>96</v>
      </c>
      <c r="I681" s="5" t="n">
        <v>1510.4</v>
      </c>
      <c r="J681" s="5" t="n">
        <v>724</v>
      </c>
      <c r="K681" s="3" t="inlineStr">
        <is>
          <t>근린생활시설 용지로서 대단위 아파트 전면에 위치하여 최고의 상권</t>
        </is>
      </c>
      <c r="L681" s="6">
        <f>HYPERLINK("https://fin.land.naver.com/articles/2646095737", "매물Link")</f>
        <v/>
      </c>
      <c r="M681" s="6">
        <f>HYPERLINK("https://map.naver.com/p/search/아름동 1183", "지도Link")</f>
        <v/>
      </c>
      <c r="N681" s="6">
        <f>HYPERLINK("http://www.eum.go.kr/web/ar/lu/luLandDet.jsp?pnu=3611011300111830000&amp;isNoScr=script&amp;mode=search", "토지이음")</f>
        <v/>
      </c>
      <c r="O681" s="3" t="inlineStr">
        <is>
          <t>대우마을</t>
        </is>
      </c>
      <c r="P681" s="4" t="n">
        <v>1</v>
      </c>
      <c r="Q681" s="4" t="n">
        <v>317.2</v>
      </c>
      <c r="R681" s="3" t="inlineStr">
        <is>
          <t>지정되지않음</t>
        </is>
      </c>
      <c r="S681" s="3" t="inlineStr">
        <is>
          <t>상업용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1191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75000</v>
      </c>
      <c r="G682" s="4" t="n">
        <v>360</v>
      </c>
      <c r="H682" s="4" t="n">
        <v>109</v>
      </c>
      <c r="I682" s="5" t="n">
        <v>688.1</v>
      </c>
      <c r="J682" s="5" t="n">
        <v>349.4</v>
      </c>
      <c r="K682" s="3" t="inlineStr">
        <is>
          <t>급매 남향 코너각지 조율가능 옆필지 연접매매가능</t>
        </is>
      </c>
      <c r="L682" s="6">
        <f>HYPERLINK("https://fin.land.naver.com/articles/2649375248", "매물Link")</f>
        <v/>
      </c>
      <c r="M682" s="6">
        <f>HYPERLINK("https://map.naver.com/p/search/아름동 1191", "지도Link")</f>
        <v/>
      </c>
      <c r="N682" s="6">
        <f>HYPERLINK("http://www.eum.go.kr/web/ar/lu/luLandDet.jsp?pnu=3611011300111910000&amp;isNoScr=script&amp;mode=search", "토지이음")</f>
        <v/>
      </c>
      <c r="O682" s="3" t="inlineStr">
        <is>
          <t>세종스타</t>
        </is>
      </c>
      <c r="P682" s="4" t="n">
        <v>1</v>
      </c>
      <c r="Q682" s="4" t="n">
        <v>360.6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아름동 1191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75000</v>
      </c>
      <c r="G683" s="4" t="n">
        <v>360</v>
      </c>
      <c r="H683" s="4" t="n">
        <v>109</v>
      </c>
      <c r="I683" s="5" t="n">
        <v>688.1</v>
      </c>
      <c r="J683" s="5" t="n">
        <v>349.4</v>
      </c>
      <c r="K683" s="3" t="inlineStr">
        <is>
          <t>사거리 코너입지 최고, 조율도 가능</t>
        </is>
      </c>
      <c r="L683" s="6">
        <f>HYPERLINK("https://fin.land.naver.com/articles/2648832400", "매물Link")</f>
        <v/>
      </c>
      <c r="M683" s="6">
        <f>HYPERLINK("https://map.naver.com/p/search/아름동 1191", "지도Link")</f>
        <v/>
      </c>
      <c r="N683" s="6">
        <f>HYPERLINK("http://www.eum.go.kr/web/ar/lu/luLandDet.jsp?pnu=3611011300111910000&amp;isNoScr=script&amp;mode=search",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360.6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소로각지</t>
        </is>
      </c>
    </row>
    <row r="684">
      <c r="A684" s="3" t="inlineStr">
        <is>
          <t>아름동 1191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75000</v>
      </c>
      <c r="G684" s="4" t="n">
        <v>360</v>
      </c>
      <c r="H684" s="4" t="n">
        <v>109</v>
      </c>
      <c r="I684" s="5" t="n">
        <v>688.1</v>
      </c>
      <c r="J684" s="5" t="n">
        <v>349.4</v>
      </c>
      <c r="K684" s="3" t="inlineStr">
        <is>
          <t>총 109.3p, 사거리코너자리, 충대병원 인접 토지</t>
        </is>
      </c>
      <c r="L684" s="6">
        <f>HYPERLINK("https://fin.land.naver.com/articles/2648139112", "매물Link")</f>
        <v/>
      </c>
      <c r="M684" s="6">
        <f>HYPERLINK("https://map.naver.com/p/search/아름동 1191", "지도Link")</f>
        <v/>
      </c>
      <c r="N684" s="6">
        <f>HYPERLINK("http://www.eum.go.kr/web/ar/lu/luLandDet.jsp?pnu=3611011300111910000&amp;isNoScr=script&amp;mode=search",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360.6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아름동 1192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70000</v>
      </c>
      <c r="G685" s="4" t="n">
        <v>374</v>
      </c>
      <c r="H685" s="4" t="n">
        <v>113</v>
      </c>
      <c r="I685" s="5" t="n">
        <v>619.5</v>
      </c>
      <c r="J685" s="5" t="n">
        <v>349.4</v>
      </c>
      <c r="K685" s="3" t="inlineStr">
        <is>
          <t>조율가능 남향 코너각지 산조망 옆토지와 통매매 가능</t>
        </is>
      </c>
      <c r="L685" s="6">
        <f>HYPERLINK("https://fin.land.naver.com/articles/2647145431", "매물Link")</f>
        <v/>
      </c>
      <c r="M685" s="6">
        <f>HYPERLINK("https://map.naver.com/p/search/아름동 1192", "지도Link")</f>
        <v/>
      </c>
      <c r="N685" s="6">
        <f>HYPERLINK("http://www.eum.go.kr/web/ar/lu/luLandDet.jsp?pnu=3611011300111920000&amp;isNoScr=script&amp;mode=search",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374.8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소로각지</t>
        </is>
      </c>
    </row>
    <row r="686">
      <c r="A686" s="3" t="inlineStr">
        <is>
          <t>아름동 1193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80000</v>
      </c>
      <c r="G686" s="4" t="n">
        <v>374</v>
      </c>
      <c r="H686" s="4" t="n">
        <v>113</v>
      </c>
      <c r="I686" s="5" t="n">
        <v>708</v>
      </c>
      <c r="J686" s="5" t="n">
        <v>335.2</v>
      </c>
      <c r="K686" s="3" t="inlineStr">
        <is>
          <t>충남대학병원 근접,양방향도로 접,아파트단지 주변 택지</t>
        </is>
      </c>
      <c r="L686" s="6">
        <f>HYPERLINK("https://fin.land.naver.com/articles/2649459551", "매물Link")</f>
        <v/>
      </c>
      <c r="M686" s="6">
        <f>HYPERLINK("https://map.naver.com/p/search/아름동 1193", "지도Link")</f>
        <v/>
      </c>
      <c r="N686" s="6">
        <f>HYPERLINK("http://www.eum.go.kr/web/ar/lu/luLandDet.jsp?pnu=3611011300111930000&amp;isNoScr=script&amp;mode=search", "토지이음")</f>
        <v/>
      </c>
      <c r="O686" s="3" t="inlineStr">
        <is>
          <t>해밀마을공간</t>
        </is>
      </c>
      <c r="P686" s="4" t="n">
        <v>2</v>
      </c>
      <c r="Q686" s="4" t="n">
        <v>374.7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1204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60000</v>
      </c>
      <c r="G687" s="4" t="n">
        <v>308</v>
      </c>
      <c r="H687" s="4" t="n">
        <v>93</v>
      </c>
      <c r="I687" s="5" t="n">
        <v>645.2</v>
      </c>
      <c r="J687" s="5" t="n">
        <v>349.4</v>
      </c>
      <c r="K687" s="3" t="inlineStr">
        <is>
          <t>코너,대단지인접,충남대병원도보5분,조율가능</t>
        </is>
      </c>
      <c r="L687" s="6">
        <f>HYPERLINK("https://fin.land.naver.com/articles/2650482125", "매물Link")</f>
        <v/>
      </c>
      <c r="M687" s="6">
        <f>HYPERLINK("https://map.naver.com/p/search/아름동 1204", "지도Link")</f>
        <v/>
      </c>
      <c r="N687" s="6">
        <f>HYPERLINK("http://www.eum.go.kr/web/ar/lu/luLandDet.jsp?pnu=3611011300112040000&amp;isNoScr=script&amp;mode=search", "토지이음")</f>
        <v/>
      </c>
      <c r="O687" s="3" t="inlineStr">
        <is>
          <t>똑똑</t>
        </is>
      </c>
      <c r="P687" s="4" t="n">
        <v>2</v>
      </c>
      <c r="Q687" s="4" t="n">
        <v>308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1231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60000</v>
      </c>
      <c r="G688" s="4" t="n">
        <v>365</v>
      </c>
      <c r="H688" s="4" t="n">
        <v>110</v>
      </c>
      <c r="I688" s="5" t="n">
        <v>545.5</v>
      </c>
      <c r="J688" s="5" t="n">
        <v>343.1</v>
      </c>
      <c r="K688" s="3" t="inlineStr">
        <is>
          <t>급매 추가조율가능 귀한큰평형 아름초도보3분 학원가도보5분 충대병원10분</t>
        </is>
      </c>
      <c r="L688" s="6">
        <f>HYPERLINK("https://fin.land.naver.com/articles/2649375287", "매물Link")</f>
        <v/>
      </c>
      <c r="M688" s="6">
        <f>HYPERLINK("https://map.naver.com/p/search/아름동 1231", "지도Link")</f>
        <v/>
      </c>
      <c r="N688" s="6">
        <f>HYPERLINK("http://www.eum.go.kr/web/ar/lu/luLandDet.jsp?pnu=3611011300112310000&amp;isNoScr=script&amp;mode=search", "토지이음")</f>
        <v/>
      </c>
      <c r="O688" s="3" t="inlineStr">
        <is>
          <t>세종스타</t>
        </is>
      </c>
      <c r="P688" s="4" t="n">
        <v>3</v>
      </c>
      <c r="Q688" s="4" t="n">
        <v>365.4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1231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60000</v>
      </c>
      <c r="G689" s="4" t="n">
        <v>365</v>
      </c>
      <c r="H689" s="4" t="n">
        <v>110</v>
      </c>
      <c r="I689" s="5" t="n">
        <v>545.5</v>
      </c>
      <c r="J689" s="5" t="n">
        <v>343.1</v>
      </c>
      <c r="K689" s="3" t="inlineStr">
        <is>
          <t>급매, 110.7p, 아름초인접, 범지기10단지인근</t>
        </is>
      </c>
      <c r="L689" s="6">
        <f>HYPERLINK("https://fin.land.naver.com/articles/2648905337", "매물Link")</f>
        <v/>
      </c>
      <c r="M689" s="6">
        <f>HYPERLINK("https://map.naver.com/p/search/아름동 1231", "지도Link")</f>
        <v/>
      </c>
      <c r="N689" s="6">
        <f>HYPERLINK("http://www.eum.go.kr/web/ar/lu/luLandDet.jsp?pnu=3611011300112310000&amp;isNoScr=script&amp;mode=search",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365.4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1231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365</v>
      </c>
      <c r="H690" s="4" t="n">
        <v>110</v>
      </c>
      <c r="I690" s="5" t="n">
        <v>545.5</v>
      </c>
      <c r="J690" s="5" t="n">
        <v>343.1</v>
      </c>
      <c r="K690" s="3" t="inlineStr">
        <is>
          <t>총 110.7p, 아파트 단지 옆, 아름초 인근, 위치좋고 가격좋은 토지</t>
        </is>
      </c>
      <c r="L690" s="6">
        <f>HYPERLINK("https://fin.land.naver.com/articles/2646690367", "매물Link")</f>
        <v/>
      </c>
      <c r="M690" s="6">
        <f>HYPERLINK("https://map.naver.com/p/search/아름동 1231", "지도Link")</f>
        <v/>
      </c>
      <c r="N690" s="6">
        <f>HYPERLINK("http://www.eum.go.kr/web/ar/lu/luLandDet.jsp?pnu=3611011300112310000&amp;isNoScr=script&amp;mode=search",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365.4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1256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70000</v>
      </c>
      <c r="G691" s="4" t="n">
        <v>353</v>
      </c>
      <c r="H691" s="4" t="n">
        <v>107</v>
      </c>
      <c r="I691" s="5" t="n">
        <v>654.2</v>
      </c>
      <c r="J691" s="5" t="n">
        <v>343.1</v>
      </c>
      <c r="K691" s="3" t="inlineStr">
        <is>
          <t>초등학교인접, 대단지 맞은편 아름동 단독주택</t>
        </is>
      </c>
      <c r="L691" s="6">
        <f>HYPERLINK("https://fin.land.naver.com/articles/2650427506", "매물Link")</f>
        <v/>
      </c>
      <c r="M691" s="6">
        <f>HYPERLINK("https://map.naver.com/p/search/아름동 1256", "지도Link")</f>
        <v/>
      </c>
      <c r="N691" s="6">
        <f>HYPERLINK("http://www.eum.go.kr/web/ar/lu/luLandDet.jsp?pnu=3611011300112560000&amp;isNoScr=script&amp;mode=search",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354.3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1365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52000</v>
      </c>
      <c r="G692" s="4" t="n">
        <v>342</v>
      </c>
      <c r="H692" s="4" t="n">
        <v>103</v>
      </c>
      <c r="I692" s="5" t="n">
        <v>504.9</v>
      </c>
      <c r="J692" s="5" t="n">
        <v>380.5</v>
      </c>
      <c r="K692" s="3" t="inlineStr">
        <is>
          <t>103.7p, 삼거리 코너자리, 왼쪽 토지 활용도 높은 좋은 위치</t>
        </is>
      </c>
      <c r="L692" s="6">
        <f>HYPERLINK("https://fin.land.naver.com/articles/2648904182", "매물Link")</f>
        <v/>
      </c>
      <c r="M692" s="6">
        <f>HYPERLINK("https://map.naver.com/p/search/아름동 1365", "지도Link")</f>
        <v/>
      </c>
      <c r="N692" s="6">
        <f>HYPERLINK("http://www.eum.go.kr/web/ar/lu/luLandDet.jsp?pnu=3611011300113650000&amp;isNoScr=script&amp;mode=search",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342.1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중로각지</t>
        </is>
      </c>
    </row>
    <row r="693">
      <c r="A693" s="3" t="inlineStr">
        <is>
          <t>아름동 1365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52000</v>
      </c>
      <c r="G693" s="4" t="n">
        <v>342</v>
      </c>
      <c r="H693" s="4" t="n">
        <v>103</v>
      </c>
      <c r="I693" s="5" t="n">
        <v>504.9</v>
      </c>
      <c r="J693" s="5" t="n">
        <v>380.5</v>
      </c>
      <c r="K693" s="3" t="inlineStr">
        <is>
          <t>코너각지,아름동학원가인접,상가이용편리,초등학교인접</t>
        </is>
      </c>
      <c r="L693" s="6">
        <f>HYPERLINK("https://fin.land.naver.com/articles/2650959697", "매물Link")</f>
        <v/>
      </c>
      <c r="M693" s="6">
        <f>HYPERLINK("https://map.naver.com/p/search/아름동 1365", "지도Link")</f>
        <v/>
      </c>
      <c r="N693" s="6">
        <f>HYPERLINK("http://www.eum.go.kr/web/ar/lu/luLandDet.jsp?pnu=3611011300113650000&amp;isNoScr=script&amp;mode=search", "토지이음")</f>
        <v/>
      </c>
      <c r="O693" s="3" t="inlineStr">
        <is>
          <t>똑똑</t>
        </is>
      </c>
      <c r="P693" s="4" t="n">
        <v>2</v>
      </c>
      <c r="Q693" s="4" t="n">
        <v>342.1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중로각지</t>
        </is>
      </c>
    </row>
    <row r="694">
      <c r="A694" s="3" t="inlineStr">
        <is>
          <t>아름동 1365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342</v>
      </c>
      <c r="H694" s="4" t="n">
        <v>103</v>
      </c>
      <c r="I694" s="5" t="n">
        <v>504.9</v>
      </c>
      <c r="J694" s="5" t="n">
        <v>380.5</v>
      </c>
      <c r="K694" s="3" t="inlineStr">
        <is>
          <t>총 103.7p, 아름동 삼거리 코너, 아파트 단지 근처</t>
        </is>
      </c>
      <c r="L694" s="6">
        <f>HYPERLINK("https://fin.land.naver.com/articles/2646696239", "매물Link")</f>
        <v/>
      </c>
      <c r="M694" s="6">
        <f>HYPERLINK("https://map.naver.com/p/search/아름동 1365", "지도Link")</f>
        <v/>
      </c>
      <c r="N694" s="6">
        <f>HYPERLINK("http://www.eum.go.kr/web/ar/lu/luLandDet.jsp?pnu=3611011300113650000&amp;isNoScr=script&amp;mode=search",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342.1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중로각지</t>
        </is>
      </c>
    </row>
    <row r="695">
      <c r="A695" s="3" t="inlineStr">
        <is>
          <t>아름동 1370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60000</v>
      </c>
      <c r="G695" s="4" t="n">
        <v>365</v>
      </c>
      <c r="H695" s="4" t="n">
        <v>110</v>
      </c>
      <c r="I695" s="5" t="n">
        <v>545.5</v>
      </c>
      <c r="J695" s="5" t="n">
        <v>338.2</v>
      </c>
      <c r="K695" s="3" t="inlineStr">
        <is>
          <t>4단지 맞은편, 단독주택 토지 매매</t>
        </is>
      </c>
      <c r="L695" s="6">
        <f>HYPERLINK("https://fin.land.naver.com/articles/2649878133", "매물Link")</f>
        <v/>
      </c>
      <c r="M695" s="6">
        <f>HYPERLINK("https://map.naver.com/p/search/아름동 1370", "지도Link")</f>
        <v/>
      </c>
      <c r="N695" s="6">
        <f>HYPERLINK("http://www.eum.go.kr/web/ar/lu/luLandDet.jsp?pnu=3611011300113700000&amp;isNoScr=script&amp;mode=search", "토지이음")</f>
        <v/>
      </c>
      <c r="O695" s="3" t="inlineStr">
        <is>
          <t>명진</t>
        </is>
      </c>
      <c r="P695" s="4" t="n">
        <v>1</v>
      </c>
      <c r="Q695" s="4" t="n">
        <v>365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1370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66000</v>
      </c>
      <c r="G696" s="4" t="n">
        <v>365</v>
      </c>
      <c r="H696" s="4" t="n">
        <v>110</v>
      </c>
      <c r="I696" s="5" t="n">
        <v>600</v>
      </c>
      <c r="J696" s="5" t="n">
        <v>338.2</v>
      </c>
      <c r="K696" s="3" t="inlineStr">
        <is>
          <t>(급매) 단독주택 건축을 고려하시면 추천합니다.</t>
        </is>
      </c>
      <c r="L696" s="6">
        <f>HYPERLINK("https://fin.land.naver.com/articles/2650054888", "매물Link")</f>
        <v/>
      </c>
      <c r="M696" s="6">
        <f>HYPERLINK("https://map.naver.com/p/search/아름동 1370", "지도Link")</f>
        <v/>
      </c>
      <c r="N696" s="6">
        <f>HYPERLINK("http://www.eum.go.kr/web/ar/lu/luLandDet.jsp?pnu=3611011300113700000&amp;isNoScr=script&amp;mode=search", "토지이음")</f>
        <v/>
      </c>
      <c r="O696" s="3" t="inlineStr">
        <is>
          <t>리치빌아주</t>
        </is>
      </c>
      <c r="P696" s="4" t="n">
        <v>1</v>
      </c>
      <c r="Q696" s="4" t="n">
        <v>365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소로한면</t>
        </is>
      </c>
    </row>
    <row r="697">
      <c r="A697" s="3" t="inlineStr">
        <is>
          <t>아름동 1370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363</v>
      </c>
      <c r="H697" s="4" t="n">
        <v>110</v>
      </c>
      <c r="I697" s="5" t="n">
        <v>545.5</v>
      </c>
      <c r="J697" s="5" t="n">
        <v>338.2</v>
      </c>
      <c r="K697" s="3" t="inlineStr">
        <is>
          <t>아름동 단독주택 토지매매, 위치 좋은 자리</t>
        </is>
      </c>
      <c r="L697" s="6">
        <f>HYPERLINK("https://fin.land.naver.com/articles/2649577908", "매물Link")</f>
        <v/>
      </c>
      <c r="M697" s="6">
        <f>HYPERLINK("https://map.naver.com/p/search/아름동 1370", "지도Link")</f>
        <v/>
      </c>
      <c r="N697" s="6">
        <f>HYPERLINK("http://www.eum.go.kr/web/ar/lu/luLandDet.jsp?pnu=3611011300113700000&amp;isNoScr=script&amp;mode=search",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1380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45000</v>
      </c>
      <c r="G698" s="4" t="n">
        <v>300</v>
      </c>
      <c r="H698" s="4" t="n">
        <v>91</v>
      </c>
      <c r="I698" s="5" t="n">
        <v>494.5</v>
      </c>
      <c r="J698" s="5" t="n">
        <v>352.4</v>
      </c>
      <c r="K698" s="3" t="inlineStr">
        <is>
          <t>저렴한 전원주택지 구입하기 좋은 택지 입니다.</t>
        </is>
      </c>
      <c r="L698" s="6">
        <f>HYPERLINK("https://fin.land.naver.com/articles/2651202283", "매물Link")</f>
        <v/>
      </c>
      <c r="M698" s="6">
        <f>HYPERLINK("https://map.naver.com/p/search/아름동 1380", "지도Link")</f>
        <v/>
      </c>
      <c r="N698" s="6">
        <f>HYPERLINK("http://www.eum.go.kr/web/ar/lu/luLandDet.jsp?pnu=3611011300113800000&amp;isNoScr=script&amp;mode=search", "토지이음")</f>
        <v/>
      </c>
      <c r="O698" s="3" t="inlineStr">
        <is>
          <t>사계절</t>
        </is>
      </c>
      <c r="P698" s="4" t="n">
        <v>12</v>
      </c>
      <c r="Q698" s="4" t="n">
        <v>300.2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세로장방</t>
        </is>
      </c>
      <c r="V698" s="3" t="inlineStr">
        <is>
          <t>소로각지</t>
        </is>
      </c>
    </row>
    <row r="699">
      <c r="A699" s="3" t="inlineStr">
        <is>
          <t>아름동 1380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45000</v>
      </c>
      <c r="G699" s="4" t="n">
        <v>300</v>
      </c>
      <c r="H699" s="4" t="n">
        <v>91</v>
      </c>
      <c r="I699" s="5" t="n">
        <v>494.5</v>
      </c>
      <c r="J699" s="5" t="n">
        <v>352.4</v>
      </c>
      <c r="K699" s="3" t="inlineStr">
        <is>
          <t>급매, 총 91p, 삼거리코너, 아파트 단지 밑</t>
        </is>
      </c>
      <c r="L699" s="6">
        <f>HYPERLINK("https://fin.land.naver.com/articles/2646695404", "매물Link")</f>
        <v/>
      </c>
      <c r="M699" s="6">
        <f>HYPERLINK("https://map.naver.com/p/search/아름동 1380", "지도Link")</f>
        <v/>
      </c>
      <c r="N699" s="6">
        <f>HYPERLINK("http://www.eum.go.kr/web/ar/lu/luLandDet.jsp?pnu=3611011300113800000&amp;isNoScr=script&amp;mode=search", "토지이음")</f>
        <v/>
      </c>
      <c r="O699" s="3" t="inlineStr">
        <is>
          <t>세종무지개</t>
        </is>
      </c>
      <c r="P699" s="4" t="n">
        <v>1</v>
      </c>
      <c r="Q699" s="4" t="n">
        <v>300.2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소로각지</t>
        </is>
      </c>
    </row>
    <row r="700">
      <c r="A700" s="3" t="inlineStr">
        <is>
          <t>아름동 1380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45000</v>
      </c>
      <c r="G700" s="4" t="n">
        <v>300</v>
      </c>
      <c r="H700" s="4" t="n">
        <v>91</v>
      </c>
      <c r="I700" s="5" t="n">
        <v>494.5</v>
      </c>
      <c r="J700" s="5" t="n">
        <v>352.4</v>
      </c>
      <c r="K700" s="3" t="inlineStr">
        <is>
          <t>아름동 11단지 아파트 앞 단독주택지 토지.</t>
        </is>
      </c>
      <c r="L700" s="6">
        <f>HYPERLINK("https://fin.land.naver.com/articles/2646521764", "매물Link")</f>
        <v/>
      </c>
      <c r="M700" s="6">
        <f>HYPERLINK("https://map.naver.com/p/search/아름동 1380", "지도Link")</f>
        <v/>
      </c>
      <c r="N700" s="6">
        <f>HYPERLINK("http://www.eum.go.kr/web/ar/lu/luLandDet.jsp?pnu=3611011300113800000&amp;isNoScr=script&amp;mode=search", "토지이음")</f>
        <v/>
      </c>
      <c r="O700" s="3" t="inlineStr">
        <is>
          <t>다정현대</t>
        </is>
      </c>
      <c r="P700" s="4" t="n">
        <v>2</v>
      </c>
      <c r="Q700" s="4" t="n">
        <v>300.2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1380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45000</v>
      </c>
      <c r="G701" s="4" t="n">
        <v>300</v>
      </c>
      <c r="H701" s="4" t="n">
        <v>91</v>
      </c>
      <c r="I701" s="5" t="n">
        <v>494.5</v>
      </c>
      <c r="J701" s="5" t="n">
        <v>352.4</v>
      </c>
      <c r="K701" s="3" t="inlineStr">
        <is>
          <t>초중고 학군 좋고 근린공원 낀 인기 주택단지</t>
        </is>
      </c>
      <c r="L701" s="6">
        <f>HYPERLINK("https://fin.land.naver.com/articles/2646537172", "매물Link")</f>
        <v/>
      </c>
      <c r="M701" s="6">
        <f>HYPERLINK("https://map.naver.com/p/search/아름동 1380", "지도Link")</f>
        <v/>
      </c>
      <c r="N701" s="6">
        <f>HYPERLINK("http://www.eum.go.kr/web/ar/lu/luLandDet.jsp?pnu=3611011300113800000&amp;isNoScr=script&amp;mode=search", "토지이음")</f>
        <v/>
      </c>
      <c r="O701" s="3" t="inlineStr">
        <is>
          <t>현대탑</t>
        </is>
      </c>
      <c r="P701" s="4" t="n">
        <v>1</v>
      </c>
      <c r="Q701" s="4" t="n">
        <v>300.2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소로각지</t>
        </is>
      </c>
    </row>
    <row r="702">
      <c r="A702" s="3" t="inlineStr">
        <is>
          <t>아름동 1380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45000</v>
      </c>
      <c r="G702" s="4" t="n">
        <v>300</v>
      </c>
      <c r="H702" s="4" t="n">
        <v>91</v>
      </c>
      <c r="I702" s="5" t="n">
        <v>494.5</v>
      </c>
      <c r="J702" s="5" t="n">
        <v>352.4</v>
      </c>
      <c r="K702" s="3" t="inlineStr">
        <is>
          <t>D8중 최저가.네고 가능.초,중,고 가깝고,마트.교통까지 편리</t>
        </is>
      </c>
      <c r="L702" s="6">
        <f>HYPERLINK("https://fin.land.naver.com/articles/2650707273", "매물Link")</f>
        <v/>
      </c>
      <c r="M702" s="6">
        <f>HYPERLINK("https://map.naver.com/p/search/아름동 1380", "지도Link")</f>
        <v/>
      </c>
      <c r="N702" s="6">
        <f>HYPERLINK("http://www.eum.go.kr/web/ar/lu/luLandDet.jsp?pnu=3611011300113800000&amp;isNoScr=script&amp;mode=search", "토지이음")</f>
        <v/>
      </c>
      <c r="O702" s="3" t="inlineStr">
        <is>
          <t>수자인</t>
        </is>
      </c>
      <c r="P702" s="4" t="n">
        <v>1</v>
      </c>
      <c r="Q702" s="4" t="n">
        <v>300.2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소로각지</t>
        </is>
      </c>
    </row>
    <row r="703">
      <c r="A703" s="3" t="inlineStr">
        <is>
          <t>아름동 1380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45000</v>
      </c>
      <c r="G703" s="4" t="n">
        <v>300</v>
      </c>
      <c r="H703" s="4" t="n">
        <v>91</v>
      </c>
      <c r="I703" s="5" t="n">
        <v>494.5</v>
      </c>
      <c r="J703" s="5" t="n">
        <v>352.4</v>
      </c>
      <c r="K703" s="3" t="inlineStr">
        <is>
          <t>아름동 영무예다음아파트 앞에 위치,하루종일 햇볕 받을수 있는 곳,주택지</t>
        </is>
      </c>
      <c r="L703" s="6">
        <f>HYPERLINK("https://fin.land.naver.com/articles/2648233324", "매물Link")</f>
        <v/>
      </c>
      <c r="M703" s="6">
        <f>HYPERLINK("https://map.naver.com/p/search/아름동 1380", "지도Link")</f>
        <v/>
      </c>
      <c r="N703" s="6">
        <f>HYPERLINK("http://www.eum.go.kr/web/ar/lu/luLandDet.jsp?pnu=3611011300113800000&amp;isNoScr=script&amp;mode=search", "토지이음")</f>
        <v/>
      </c>
      <c r="O703" s="3" t="inlineStr">
        <is>
          <t>세종지원</t>
        </is>
      </c>
      <c r="P703" s="4" t="n">
        <v>1</v>
      </c>
      <c r="Q703" s="4" t="n">
        <v>300.2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소로각지</t>
        </is>
      </c>
    </row>
    <row r="704">
      <c r="A704" s="3" t="inlineStr">
        <is>
          <t>아름동 1380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45000</v>
      </c>
      <c r="G704" s="4" t="n">
        <v>300</v>
      </c>
      <c r="H704" s="4" t="n">
        <v>91</v>
      </c>
      <c r="I704" s="5" t="n">
        <v>494.5</v>
      </c>
      <c r="J704" s="5" t="n">
        <v>352.4</v>
      </c>
      <c r="K704" s="3" t="inlineStr">
        <is>
          <t>급매 아름동학원가, 상권이용편리로얄택지, 금액조율가능, 추천매매</t>
        </is>
      </c>
      <c r="L704" s="6">
        <f>HYPERLINK("https://fin.land.naver.com/articles/2650559948", "매물Link")</f>
        <v/>
      </c>
      <c r="M704" s="6">
        <f>HYPERLINK("https://map.naver.com/p/search/아름동 1380", "지도Link")</f>
        <v/>
      </c>
      <c r="N704" s="6">
        <f>HYPERLINK("http://www.eum.go.kr/web/ar/lu/luLandDet.jsp?pnu=3611011300113800000&amp;isNoScr=script&amp;mode=search", "토지이음")</f>
        <v/>
      </c>
      <c r="O704" s="3" t="inlineStr">
        <is>
          <t>한방</t>
        </is>
      </c>
      <c r="P704" s="4" t="n">
        <v>1</v>
      </c>
      <c r="Q704" s="4" t="n">
        <v>300.2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소로각지</t>
        </is>
      </c>
    </row>
    <row r="705">
      <c r="A705" s="3" t="inlineStr">
        <is>
          <t>아름동 1380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45000</v>
      </c>
      <c r="G705" s="4" t="n">
        <v>300</v>
      </c>
      <c r="H705" s="4" t="n">
        <v>91</v>
      </c>
      <c r="I705" s="5" t="n">
        <v>494.5</v>
      </c>
      <c r="J705" s="5" t="n">
        <v>352.4</v>
      </c>
      <c r="K705" s="3" t="inlineStr">
        <is>
          <t>총 91p, 삼거리 코너, 단지 인접, 급매</t>
        </is>
      </c>
      <c r="L705" s="6">
        <f>HYPERLINK("https://fin.land.naver.com/articles/2648138484", "매물Link")</f>
        <v/>
      </c>
      <c r="M705" s="6">
        <f>HYPERLINK("https://map.naver.com/p/search/아름동 1380", "지도Link")</f>
        <v/>
      </c>
      <c r="N705" s="6">
        <f>HYPERLINK("http://www.eum.go.kr/web/ar/lu/luLandDet.jsp?pnu=3611011300113800000&amp;isNoScr=script&amp;mode=search", "토지이음")</f>
        <v/>
      </c>
      <c r="O705" s="3" t="inlineStr">
        <is>
          <t>명진</t>
        </is>
      </c>
      <c r="P705" s="4" t="n">
        <v>1</v>
      </c>
      <c r="Q705" s="4" t="n">
        <v>300.2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소로각지</t>
        </is>
      </c>
    </row>
    <row r="706">
      <c r="A706" s="3" t="inlineStr">
        <is>
          <t>아름동 1380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45000</v>
      </c>
      <c r="G706" s="4" t="n">
        <v>300</v>
      </c>
      <c r="H706" s="4" t="n">
        <v>91</v>
      </c>
      <c r="I706" s="5" t="n">
        <v>494.5</v>
      </c>
      <c r="J706" s="5" t="n">
        <v>352.4</v>
      </c>
      <c r="K706" s="3" t="inlineStr">
        <is>
          <t>급매, 학교, 편의시설, 정부청사 가까워 생활편리, 보행도로접 코너각지</t>
        </is>
      </c>
      <c r="L706" s="6">
        <f>HYPERLINK("https://fin.land.naver.com/articles/2649697166", "매물Link")</f>
        <v/>
      </c>
      <c r="M706" s="6">
        <f>HYPERLINK("https://map.naver.com/p/search/아름동 1380", "지도Link")</f>
        <v/>
      </c>
      <c r="N706" s="6">
        <f>HYPERLINK("http://www.eum.go.kr/web/ar/lu/luLandDet.jsp?pnu=3611011300113800000&amp;isNoScr=script&amp;mode=search", "토지이음")</f>
        <v/>
      </c>
      <c r="O706" s="3" t="inlineStr">
        <is>
          <t>온뜰</t>
        </is>
      </c>
      <c r="P706" s="4" t="n">
        <v>1</v>
      </c>
      <c r="Q706" s="4" t="n">
        <v>300.2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소로각지</t>
        </is>
      </c>
    </row>
    <row r="707">
      <c r="A707" s="3" t="inlineStr">
        <is>
          <t>아름동 1392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60000</v>
      </c>
      <c r="G707" s="4" t="n">
        <v>304</v>
      </c>
      <c r="H707" s="4" t="n">
        <v>92</v>
      </c>
      <c r="I707" s="5" t="n">
        <v>652.2</v>
      </c>
      <c r="J707" s="5" t="n">
        <v>352.4</v>
      </c>
      <c r="K707" s="3" t="inlineStr">
        <is>
          <t>학원가와 가까운 입지의 코너 토지 급매매</t>
        </is>
      </c>
      <c r="L707" s="6">
        <f>HYPERLINK("https://fin.land.naver.com/articles/2651281497", "매물Link")</f>
        <v/>
      </c>
      <c r="M707" s="6">
        <f>HYPERLINK("https://map.naver.com/p/search/아름동 1392", "지도Link")</f>
        <v/>
      </c>
      <c r="N707" s="6">
        <f>HYPERLINK("http://www.eum.go.kr/web/ar/lu/luLandDet.jsp?pnu=3611011300113920000&amp;isNoScr=script&amp;mode=search", "토지이음")</f>
        <v/>
      </c>
      <c r="O707" s="3" t="inlineStr">
        <is>
          <t>킹세종</t>
        </is>
      </c>
      <c r="P707" s="4" t="n">
        <v>1</v>
      </c>
      <c r="Q707" s="4" t="n">
        <v>304.3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1411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82000</v>
      </c>
      <c r="G708" s="4" t="n">
        <v>304</v>
      </c>
      <c r="H708" s="4" t="n">
        <v>92</v>
      </c>
      <c r="I708" s="5" t="n">
        <v>891.3</v>
      </c>
      <c r="J708" s="5" t="n">
        <v>338.2</v>
      </c>
      <c r="K708" s="3" t="inlineStr">
        <is>
          <t>네모 반듯한 토지로 생활 편리하고,교통,쾌적함을 갖춘 대지.</t>
        </is>
      </c>
      <c r="L708" s="6">
        <f>HYPERLINK("https://fin.land.naver.com/articles/2646513921", "매물Link")</f>
        <v/>
      </c>
      <c r="M708" s="6">
        <f>HYPERLINK("https://map.naver.com/p/search/아름동 1411", "지도Link")</f>
        <v/>
      </c>
      <c r="N708" s="6">
        <f>HYPERLINK("http://www.eum.go.kr/web/ar/lu/luLandDet.jsp?pnu=3611011300114110000&amp;isNoScr=script&amp;mode=search", "토지이음")</f>
        <v/>
      </c>
      <c r="O708" s="3" t="inlineStr">
        <is>
          <t>수자인</t>
        </is>
      </c>
      <c r="P708" s="4" t="n">
        <v>1</v>
      </c>
      <c r="Q708" s="4" t="n">
        <v>304.1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아름동 1418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55000</v>
      </c>
      <c r="G709" s="4" t="n">
        <v>303</v>
      </c>
      <c r="H709" s="4" t="n">
        <v>92</v>
      </c>
      <c r="I709" s="5" t="n">
        <v>597.8</v>
      </c>
      <c r="J709" s="5" t="n">
        <v>352.4</v>
      </c>
      <c r="K709" s="3" t="inlineStr">
        <is>
          <t>92.1p, 초급매, 가격조율가능, 코너최고자리</t>
        </is>
      </c>
      <c r="L709" s="6">
        <f>HYPERLINK("https://fin.land.naver.com/articles/2649024607", "매물Link")</f>
        <v/>
      </c>
      <c r="M709" s="6">
        <f>HYPERLINK("https://map.naver.com/p/search/아름동 1418", "지도Link")</f>
        <v/>
      </c>
      <c r="N709" s="6">
        <f>HYPERLINK("http://www.eum.go.kr/web/ar/lu/luLandDet.jsp?pnu=3611011300114180000&amp;isNoScr=script&amp;mode=search", "토지이음")</f>
        <v/>
      </c>
      <c r="O709" s="3" t="inlineStr">
        <is>
          <t>명진</t>
        </is>
      </c>
      <c r="P709" s="4" t="n">
        <v>1</v>
      </c>
      <c r="Q709" s="4" t="n">
        <v>303.9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소로각지</t>
        </is>
      </c>
    </row>
    <row r="710">
      <c r="A710" s="3" t="inlineStr">
        <is>
          <t>아름동 1418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55000</v>
      </c>
      <c r="G710" s="4" t="n">
        <v>303</v>
      </c>
      <c r="H710" s="4" t="n">
        <v>92</v>
      </c>
      <c r="I710" s="5" t="n">
        <v>597.8</v>
      </c>
      <c r="J710" s="5" t="n">
        <v>352.4</v>
      </c>
      <c r="K710" s="3" t="inlineStr">
        <is>
          <t>아름동 최상의 택지,학군,상권,충남대병원 생활권 편리,밀마루전망대  인근</t>
        </is>
      </c>
      <c r="L710" s="6">
        <f>HYPERLINK("https://fin.land.naver.com/articles/2647931377", "매물Link")</f>
        <v/>
      </c>
      <c r="M710" s="6">
        <f>HYPERLINK("https://map.naver.com/p/search/아름동 1418", "지도Link")</f>
        <v/>
      </c>
      <c r="N710" s="6">
        <f>HYPERLINK("http://www.eum.go.kr/web/ar/lu/luLandDet.jsp?pnu=3611011300114180000&amp;isNoScr=script&amp;mode=search", "토지이음")</f>
        <v/>
      </c>
      <c r="O710" s="3" t="inlineStr">
        <is>
          <t>고운맘</t>
        </is>
      </c>
      <c r="P710" s="4" t="n">
        <v>1</v>
      </c>
      <c r="Q710" s="4" t="n">
        <v>303.9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1418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55000</v>
      </c>
      <c r="G711" s="4" t="n">
        <v>303</v>
      </c>
      <c r="H711" s="4" t="n">
        <v>92</v>
      </c>
      <c r="I711" s="5" t="n">
        <v>597.8</v>
      </c>
      <c r="J711" s="5" t="n">
        <v>352.4</v>
      </c>
      <c r="K711" s="3" t="inlineStr">
        <is>
          <t>코너각지 홈플러스인근 아름동학원가 인접 조율가능</t>
        </is>
      </c>
      <c r="L711" s="6">
        <f>HYPERLINK("https://fin.land.naver.com/articles/2648615417", "매물Link")</f>
        <v/>
      </c>
      <c r="M711" s="6">
        <f>HYPERLINK("https://map.naver.com/p/search/아름동 1418", "지도Link")</f>
        <v/>
      </c>
      <c r="N711" s="6">
        <f>HYPERLINK("http://www.eum.go.kr/web/ar/lu/luLandDet.jsp?pnu=3611011300114180000&amp;isNoScr=script&amp;mode=search", "토지이음")</f>
        <v/>
      </c>
      <c r="O711" s="3" t="inlineStr">
        <is>
          <t>세종스타</t>
        </is>
      </c>
      <c r="P711" s="4" t="n">
        <v>1</v>
      </c>
      <c r="Q711" s="4" t="n">
        <v>303.9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소로각지</t>
        </is>
      </c>
    </row>
    <row r="712">
      <c r="A712" s="3" t="inlineStr">
        <is>
          <t>아름동 1420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70000</v>
      </c>
      <c r="G712" s="4" t="n">
        <v>303</v>
      </c>
      <c r="H712" s="4" t="n">
        <v>92</v>
      </c>
      <c r="I712" s="5" t="n">
        <v>760.9</v>
      </c>
      <c r="J712" s="5" t="n">
        <v>338.2</v>
      </c>
      <c r="K712" s="3" t="inlineStr">
        <is>
          <t>92.1p, 단지 바로 옆, 아름동 단독주택지</t>
        </is>
      </c>
      <c r="L712" s="6">
        <f>HYPERLINK("https://fin.land.naver.com/articles/2649008450", "매물Link")</f>
        <v/>
      </c>
      <c r="M712" s="6">
        <f>HYPERLINK("https://map.naver.com/p/search/아름동 1420", "지도Link")</f>
        <v/>
      </c>
      <c r="N712" s="6">
        <f>HYPERLINK("http://www.eum.go.kr/web/ar/lu/luLandDet.jsp?pnu=3611011300114200000&amp;isNoScr=script&amp;mode=search", "토지이음")</f>
        <v/>
      </c>
      <c r="O712" s="3" t="inlineStr">
        <is>
          <t>명진</t>
        </is>
      </c>
      <c r="P712" s="4" t="n">
        <v>1</v>
      </c>
      <c r="Q712" s="4" t="n">
        <v>303.9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소로한면</t>
        </is>
      </c>
    </row>
    <row r="713">
      <c r="A713" s="3" t="inlineStr">
        <is>
          <t>아름동 1443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65000</v>
      </c>
      <c r="G713" s="4" t="n">
        <v>344</v>
      </c>
      <c r="H713" s="4" t="n">
        <v>104</v>
      </c>
      <c r="I713" s="5" t="n">
        <v>625</v>
      </c>
      <c r="J713" s="5" t="n">
        <v>338.2</v>
      </c>
      <c r="K713" s="3" t="inlineStr">
        <is>
          <t>단독주택지.대지</t>
        </is>
      </c>
      <c r="L713" s="6">
        <f>HYPERLINK("https://fin.land.naver.com/articles/2651582608", "매물Link")</f>
        <v/>
      </c>
      <c r="M713" s="6">
        <f>HYPERLINK("https://map.naver.com/p/search/아름동 1443", "지도Link")</f>
        <v/>
      </c>
      <c r="N713" s="6">
        <f>HYPERLINK("http://www.eum.go.kr/web/ar/lu/luLandDet.jsp?pnu=3611011300114430000&amp;isNoScr=script&amp;mode=search", "토지이음")</f>
        <v/>
      </c>
      <c r="O713" s="3" t="inlineStr">
        <is>
          <t>세종몽땅</t>
        </is>
      </c>
      <c r="P713" s="4" t="n">
        <v>1</v>
      </c>
      <c r="Q713" s="4" t="n">
        <v>344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아름동 1443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65000</v>
      </c>
      <c r="G714" s="4" t="n">
        <v>344</v>
      </c>
      <c r="H714" s="4" t="n">
        <v>104</v>
      </c>
      <c r="I714" s="5" t="n">
        <v>625</v>
      </c>
      <c r="J714" s="5" t="n">
        <v>338.2</v>
      </c>
      <c r="K714" s="3" t="inlineStr">
        <is>
          <t>접근성 좋은 아름동 택지</t>
        </is>
      </c>
      <c r="L714" s="6">
        <f>HYPERLINK("https://fin.land.naver.com/articles/2646824248", "매물Link")</f>
        <v/>
      </c>
      <c r="M714" s="6">
        <f>HYPERLINK("https://map.naver.com/p/search/아름동 1443", "지도Link")</f>
        <v/>
      </c>
      <c r="N714" s="6">
        <f>HYPERLINK("http://www.eum.go.kr/web/ar/lu/luLandDet.jsp?pnu=3611011300114430000&amp;isNoScr=script&amp;mode=search", "토지이음")</f>
        <v/>
      </c>
      <c r="O714" s="3" t="inlineStr">
        <is>
          <t>강아지풀</t>
        </is>
      </c>
      <c r="P714" s="4" t="n">
        <v>1</v>
      </c>
      <c r="Q714" s="4" t="n">
        <v>344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아름동 1452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55000</v>
      </c>
      <c r="G715" s="4" t="n">
        <v>319</v>
      </c>
      <c r="H715" s="4" t="n">
        <v>96</v>
      </c>
      <c r="I715" s="5" t="n">
        <v>572.9</v>
      </c>
      <c r="J715" s="5" t="n">
        <v>334.5</v>
      </c>
      <c r="K715" s="3" t="inlineStr">
        <is>
          <t>96.7p, 단지 맞은편, 사거리 코너자리</t>
        </is>
      </c>
      <c r="L715" s="6">
        <f>HYPERLINK("https://fin.land.naver.com/articles/2647425590", "매물Link")</f>
        <v/>
      </c>
      <c r="M715" s="6">
        <f>HYPERLINK("https://map.naver.com/p/search/아름동 1452", "지도Link")</f>
        <v/>
      </c>
      <c r="N715" s="6">
        <f>HYPERLINK("http://www.eum.go.kr/web/ar/lu/luLandDet.jsp?pnu=3611011300114520000&amp;isNoScr=script&amp;mode=search", "토지이음")</f>
        <v/>
      </c>
      <c r="O715" s="3" t="inlineStr">
        <is>
          <t>세종무지개</t>
        </is>
      </c>
      <c r="P715" s="4" t="n">
        <v>1</v>
      </c>
      <c r="Q715" s="4" t="n">
        <v>319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아름동 815</t>
        </is>
      </c>
      <c r="B716" s="3" t="inlineStr">
        <is>
          <t>제2종일반주거지역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120000</v>
      </c>
      <c r="G716" s="4" t="n">
        <v>500</v>
      </c>
      <c r="H716" s="4" t="n">
        <v>151</v>
      </c>
      <c r="I716" s="5" t="n">
        <v>794.7</v>
      </c>
      <c r="J716" s="5" t="n">
        <v>172.1</v>
      </c>
      <c r="K716" s="3" t="inlineStr">
        <is>
          <t>데이터센터, 방송국 사옥부지, 조율가능, 정보통신업 추천</t>
        </is>
      </c>
      <c r="L716" s="6">
        <f>HYPERLINK("https://fin.land.naver.com/articles/2647424416", "매물Link")</f>
        <v/>
      </c>
      <c r="M716" s="6">
        <f>HYPERLINK("https://map.naver.com/p/search/아름동 815", "지도Link")</f>
        <v/>
      </c>
      <c r="N716" s="6">
        <f>HYPERLINK("http://www.eum.go.kr/web/ar/lu/luLandDet.jsp?pnu=3611011300108150000&amp;isNoScr=script&amp;mode=search",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500</v>
      </c>
      <c r="R716" s="3" t="inlineStr">
        <is>
          <t>지정되지않음</t>
        </is>
      </c>
      <c r="S716" s="3" t="inlineStr">
        <is>
          <t>도로등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지정되지않음</t>
        </is>
      </c>
    </row>
    <row r="717">
      <c r="A717" s="3" t="inlineStr">
        <is>
          <t>아름동 815</t>
        </is>
      </c>
      <c r="B717" s="3" t="inlineStr">
        <is>
          <t>제2종일반주거지역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120000</v>
      </c>
      <c r="G717" s="4" t="n">
        <v>500</v>
      </c>
      <c r="H717" s="4" t="n">
        <v>151</v>
      </c>
      <c r="I717" s="5" t="n">
        <v>794.7</v>
      </c>
      <c r="J717" s="5" t="n">
        <v>172.1</v>
      </c>
      <c r="K717" s="3" t="inlineStr">
        <is>
          <t>조율가능 도심 데이터센터 사옥 방송국 통신사 데이터센터 출판사 프로그래밍</t>
        </is>
      </c>
      <c r="L717" s="6">
        <f>HYPERLINK("https://fin.land.naver.com/articles/2649619371", "매물Link")</f>
        <v/>
      </c>
      <c r="M717" s="6">
        <f>HYPERLINK("https://map.naver.com/p/search/아름동 815", "지도Link")</f>
        <v/>
      </c>
      <c r="N717" s="6">
        <f>HYPERLINK("http://www.eum.go.kr/web/ar/lu/luLandDet.jsp?pnu=3611011300108150000&amp;isNoScr=script&amp;mode=search", "토지이음")</f>
        <v/>
      </c>
      <c r="O717" s="3" t="inlineStr">
        <is>
          <t>세종스타</t>
        </is>
      </c>
      <c r="P717" s="4" t="n">
        <v>2</v>
      </c>
      <c r="Q717" s="4" t="n">
        <v>500</v>
      </c>
      <c r="R717" s="3" t="inlineStr">
        <is>
          <t>지정되지않음</t>
        </is>
      </c>
      <c r="S717" s="3" t="inlineStr">
        <is>
          <t>도로등</t>
        </is>
      </c>
      <c r="T717" s="3" t="inlineStr">
        <is>
          <t>평지</t>
        </is>
      </c>
      <c r="U717" s="3" t="inlineStr">
        <is>
          <t>부정형</t>
        </is>
      </c>
      <c r="V717" s="3" t="inlineStr">
        <is>
          <t>지정되지않음</t>
        </is>
      </c>
    </row>
    <row r="718">
      <c r="A718" s="3" t="inlineStr">
        <is>
          <t>아름동 815</t>
        </is>
      </c>
      <c r="B718" s="3" t="inlineStr">
        <is>
          <t>제2종일반주거지역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120000</v>
      </c>
      <c r="G718" s="4" t="n">
        <v>500</v>
      </c>
      <c r="H718" s="4" t="n">
        <v>151</v>
      </c>
      <c r="I718" s="5" t="n">
        <v>794.7</v>
      </c>
      <c r="J718" s="5" t="n">
        <v>172.1</v>
      </c>
      <c r="K718" s="3" t="inlineStr">
        <is>
          <t>151.5p, 데이터센터, 방송관련 사옥 추천, 조율가능, 입지좋은 토지</t>
        </is>
      </c>
      <c r="L718" s="6">
        <f>HYPERLINK("https://fin.land.naver.com/articles/2649023062", "매물Link")</f>
        <v/>
      </c>
      <c r="M718" s="6">
        <f>HYPERLINK("https://map.naver.com/p/search/아름동 815", "지도Link")</f>
        <v/>
      </c>
      <c r="N718" s="6">
        <f>HYPERLINK("http://www.eum.go.kr/web/ar/lu/luLandDet.jsp?pnu=3611011300108150000&amp;isNoScr=script&amp;mode=search",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500</v>
      </c>
      <c r="R718" s="3" t="inlineStr">
        <is>
          <t>지정되지않음</t>
        </is>
      </c>
      <c r="S718" s="3" t="inlineStr">
        <is>
          <t>도로등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지정되지않음</t>
        </is>
      </c>
    </row>
    <row r="719">
      <c r="A719" s="3" t="inlineStr">
        <is>
          <t>아름동 826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65000</v>
      </c>
      <c r="G719" s="4" t="n">
        <v>305</v>
      </c>
      <c r="H719" s="4" t="n">
        <v>92</v>
      </c>
      <c r="I719" s="5" t="n">
        <v>706.5</v>
      </c>
      <c r="J719" s="5" t="n">
        <v>339.5</v>
      </c>
      <c r="K719" s="3" t="inlineStr">
        <is>
          <t>아름동 국제고 인근, 입지좋은 단독주택 토지매매</t>
        </is>
      </c>
      <c r="L719" s="6">
        <f>HYPERLINK("https://fin.land.naver.com/articles/2648188007", "매물Link")</f>
        <v/>
      </c>
      <c r="M719" s="6">
        <f>HYPERLINK("https://map.naver.com/p/search/아름동 826", "지도Link")</f>
        <v/>
      </c>
      <c r="N719" s="6">
        <f>HYPERLINK("http://www.eum.go.kr/web/ar/lu/luLandDet.jsp?pnu=3611011300108260000&amp;isNoScr=script&amp;mode=search", "토지이음")</f>
        <v/>
      </c>
      <c r="O719" s="3" t="inlineStr">
        <is>
          <t>명진</t>
        </is>
      </c>
      <c r="P719" s="4" t="n">
        <v>1</v>
      </c>
      <c r="Q719" s="4" t="n">
        <v>305.5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소로한면</t>
        </is>
      </c>
    </row>
    <row r="720">
      <c r="A720" s="3" t="inlineStr">
        <is>
          <t>아름동 826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65000</v>
      </c>
      <c r="G720" s="4" t="n">
        <v>305</v>
      </c>
      <c r="H720" s="4" t="n">
        <v>92</v>
      </c>
      <c r="I720" s="5" t="n">
        <v>706.5</v>
      </c>
      <c r="J720" s="5" t="n">
        <v>339.5</v>
      </c>
      <c r="K720" s="3" t="inlineStr">
        <is>
          <t>국제고 인근, 충대병원 가까운 아름동 단독주택 토지매매</t>
        </is>
      </c>
      <c r="L720" s="6">
        <f>HYPERLINK("https://fin.land.naver.com/articles/2646695052", "매물Link")</f>
        <v/>
      </c>
      <c r="M720" s="6">
        <f>HYPERLINK("https://map.naver.com/p/search/아름동 826", "지도Link")</f>
        <v/>
      </c>
      <c r="N720" s="6">
        <f>HYPERLINK("http://www.eum.go.kr/web/ar/lu/luLandDet.jsp?pnu=3611011300108260000&amp;isNoScr=script&amp;mode=search",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305.5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소로한면</t>
        </is>
      </c>
    </row>
    <row r="721">
      <c r="A721" s="3" t="inlineStr">
        <is>
          <t>아름동 847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347</v>
      </c>
      <c r="H721" s="4" t="n">
        <v>105</v>
      </c>
      <c r="I721" s="5" t="n">
        <v>619</v>
      </c>
      <c r="J721" s="5" t="n">
        <v>339.8</v>
      </c>
      <c r="K721" s="3" t="inlineStr">
        <is>
          <t>급매, 땅모양 방향 최적의 위치, 추천매매</t>
        </is>
      </c>
      <c r="L721" s="6">
        <f>HYPERLINK("https://fin.land.naver.com/articles/2648795212", "매물Link")</f>
        <v/>
      </c>
      <c r="M721" s="6">
        <f>HYPERLINK("https://map.naver.com/p/search/아름동 847", "지도Link")</f>
        <v/>
      </c>
      <c r="N721" s="6">
        <f>HYPERLINK("http://www.eum.go.kr/web/ar/lu/luLandDet.jsp?pnu=3611011300108470000&amp;isNoScr=script&amp;mode=search", "토지이음")</f>
        <v/>
      </c>
      <c r="O721" s="3" t="inlineStr">
        <is>
          <t>한림신화</t>
        </is>
      </c>
      <c r="P721" s="4" t="n">
        <v>1</v>
      </c>
      <c r="Q721" s="4" t="n">
        <v>346.5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863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80000</v>
      </c>
      <c r="G722" s="4" t="n">
        <v>316</v>
      </c>
      <c r="H722" s="4" t="n">
        <v>96</v>
      </c>
      <c r="I722" s="5" t="n">
        <v>833.3</v>
      </c>
      <c r="J722" s="5" t="n">
        <v>339.8</v>
      </c>
      <c r="K722" s="3" t="inlineStr">
        <is>
          <t>세종 국제고, 영재고, 충대병원, 공원인접한 살기 좋은 동네 택지</t>
        </is>
      </c>
      <c r="L722" s="6">
        <f>HYPERLINK("https://fin.land.naver.com/articles/2650958863", "매물Link")</f>
        <v/>
      </c>
      <c r="M722" s="6">
        <f>HYPERLINK("https://map.naver.com/p/search/아름동 863", "지도Link")</f>
        <v/>
      </c>
      <c r="N722" s="6">
        <f>HYPERLINK("http://www.eum.go.kr/web/ar/lu/luLandDet.jsp?pnu=3611011300108630000&amp;isNoScr=script&amp;mode=search", "토지이음")</f>
        <v/>
      </c>
      <c r="O722" s="3" t="inlineStr">
        <is>
          <t>새롬삼둥이</t>
        </is>
      </c>
      <c r="P722" s="4" t="n">
        <v>2</v>
      </c>
      <c r="Q722" s="4" t="n">
        <v>316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874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70000</v>
      </c>
      <c r="G723" s="4" t="n">
        <v>340</v>
      </c>
      <c r="H723" s="4" t="n">
        <v>103</v>
      </c>
      <c r="I723" s="5" t="n">
        <v>679.6</v>
      </c>
      <c r="J723" s="5" t="n">
        <v>339.5</v>
      </c>
      <c r="K723" s="3" t="inlineStr">
        <is>
          <t>103p, 충대병원인근, 아름동 입지좋은 토지</t>
        </is>
      </c>
      <c r="L723" s="6">
        <f>HYPERLINK("https://fin.land.naver.com/articles/2648832833", "매물Link")</f>
        <v/>
      </c>
      <c r="M723" s="6">
        <f>HYPERLINK("https://map.naver.com/p/search/아름동 874", "지도Link")</f>
        <v/>
      </c>
      <c r="N723" s="6">
        <f>HYPERLINK("http://www.eum.go.kr/web/ar/lu/luLandDet.jsp?pnu=3611011300108740000&amp;isNoScr=script&amp;mode=search", "토지이음")</f>
        <v/>
      </c>
      <c r="O723" s="3" t="inlineStr">
        <is>
          <t>세종무지개</t>
        </is>
      </c>
      <c r="P723" s="4" t="n">
        <v>1</v>
      </c>
      <c r="Q723" s="4" t="n">
        <v>340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소로한면</t>
        </is>
      </c>
    </row>
    <row r="724">
      <c r="A724" s="3" t="inlineStr">
        <is>
          <t>아름동 879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321</v>
      </c>
      <c r="H724" s="4" t="n">
        <v>97</v>
      </c>
      <c r="I724" s="5" t="n">
        <v>618.6</v>
      </c>
      <c r="J724" s="5" t="n">
        <v>339.8</v>
      </c>
      <c r="K724" s="3" t="inlineStr">
        <is>
          <t>아름동 국제고주변 저렴한 단돋주택지</t>
        </is>
      </c>
      <c r="L724" s="6">
        <f>HYPERLINK("https://fin.land.naver.com/articles/2650955283", "매물Link")</f>
        <v/>
      </c>
      <c r="M724" s="6">
        <f>HYPERLINK("https://map.naver.com/p/search/아름동 879", "지도Link")</f>
        <v/>
      </c>
      <c r="N724" s="6">
        <f>HYPERLINK("http://www.eum.go.kr/web/ar/lu/luLandDet.jsp?pnu=3611011300108790000&amp;isNoScr=script&amp;mode=search", "토지이음")</f>
        <v/>
      </c>
      <c r="O724" s="3" t="inlineStr">
        <is>
          <t>세종나라</t>
        </is>
      </c>
      <c r="P724" s="4" t="n">
        <v>1</v>
      </c>
      <c r="Q724" s="4" t="n">
        <v>321.9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879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59000</v>
      </c>
      <c r="G725" s="4" t="n">
        <v>321</v>
      </c>
      <c r="H725" s="4" t="n">
        <v>97</v>
      </c>
      <c r="I725" s="5" t="n">
        <v>608.2</v>
      </c>
      <c r="J725" s="5" t="n">
        <v>339.8</v>
      </c>
      <c r="K725" s="3" t="inlineStr">
        <is>
          <t>급매 ,아름동 최상 택지,충남대병원 인접 생활권 편리,어린이공원접</t>
        </is>
      </c>
      <c r="L725" s="6">
        <f>HYPERLINK("https://fin.land.naver.com/articles/2650851626", "매물Link")</f>
        <v/>
      </c>
      <c r="M725" s="6">
        <f>HYPERLINK("https://map.naver.com/p/search/아름동 879", "지도Link")</f>
        <v/>
      </c>
      <c r="N725" s="6">
        <f>HYPERLINK("http://www.eum.go.kr/web/ar/lu/luLandDet.jsp?pnu=3611011300108790000&amp;isNoScr=script&amp;mode=search", "토지이음")</f>
        <v/>
      </c>
      <c r="O725" s="3" t="inlineStr">
        <is>
          <t>고운맘</t>
        </is>
      </c>
      <c r="P725" s="4" t="n">
        <v>1</v>
      </c>
      <c r="Q725" s="4" t="n">
        <v>321.9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881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74000</v>
      </c>
      <c r="G726" s="4" t="n">
        <v>326</v>
      </c>
      <c r="H726" s="4" t="n">
        <v>99</v>
      </c>
      <c r="I726" s="5" t="n">
        <v>747.5</v>
      </c>
      <c r="J726" s="5" t="n">
        <v>339.8</v>
      </c>
      <c r="K726" s="3" t="inlineStr">
        <is>
          <t>입출입이 편리한 단독주택지입니다.</t>
        </is>
      </c>
      <c r="L726" s="6">
        <f>HYPERLINK("https://fin.land.naver.com/articles/2646607893", "매물Link")</f>
        <v/>
      </c>
      <c r="M726" s="6">
        <f>HYPERLINK("https://map.naver.com/p/search/아름동 881", "지도Link")</f>
        <v/>
      </c>
      <c r="N726" s="6">
        <f>HYPERLINK("http://www.eum.go.kr/web/ar/lu/luLandDet.jsp?pnu=3611011300108810000&amp;isNoScr=script&amp;mode=search", "토지이음")</f>
        <v/>
      </c>
      <c r="O726" s="3" t="inlineStr">
        <is>
          <t>아름</t>
        </is>
      </c>
      <c r="P726" s="4" t="n">
        <v>1</v>
      </c>
      <c r="Q726" s="4" t="n">
        <v>326.2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914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80000</v>
      </c>
      <c r="G727" s="4" t="n">
        <v>318</v>
      </c>
      <c r="H727" s="4" t="n">
        <v>96</v>
      </c>
      <c r="I727" s="5" t="n">
        <v>833.3</v>
      </c>
      <c r="J727" s="5" t="n">
        <v>330.6</v>
      </c>
      <c r="K727" s="3" t="inlineStr">
        <is>
          <t>네모 반듯한 예쁜 토지.국제고,영재고 인근.햇볕 잘 드는 최고의 토지.</t>
        </is>
      </c>
      <c r="L727" s="6">
        <f>HYPERLINK("https://fin.land.naver.com/articles/2650707732", "매물Link")</f>
        <v/>
      </c>
      <c r="M727" s="6">
        <f>HYPERLINK("https://map.naver.com/p/search/아름동 914", "지도Link")</f>
        <v/>
      </c>
      <c r="N727" s="6">
        <f>HYPERLINK("http://www.eum.go.kr/web/ar/lu/luLandDet.jsp?pnu=3611011300109140000&amp;isNoScr=script&amp;mode=search", "토지이음")</f>
        <v/>
      </c>
      <c r="O727" s="3" t="inlineStr">
        <is>
          <t>수자인</t>
        </is>
      </c>
      <c r="P727" s="4" t="n">
        <v>1</v>
      </c>
      <c r="Q727" s="4" t="n">
        <v>318.7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925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82000</v>
      </c>
      <c r="G728" s="4" t="n">
        <v>298</v>
      </c>
      <c r="H728" s="4" t="n">
        <v>90</v>
      </c>
      <c r="I728" s="5" t="n">
        <v>911.1</v>
      </c>
      <c r="J728" s="5" t="n">
        <v>339.8</v>
      </c>
      <c r="K728" s="3" t="inlineStr">
        <is>
          <t>국제고인근 위치좋은 코너각지, 공원인접,보행로연결</t>
        </is>
      </c>
      <c r="L728" s="6">
        <f>HYPERLINK("https://fin.land.naver.com/articles/2650825128", "매물Link")</f>
        <v/>
      </c>
      <c r="M728" s="6">
        <f>HYPERLINK("https://map.naver.com/p/search/아름동 925", "지도Link")</f>
        <v/>
      </c>
      <c r="N728" s="6">
        <f>HYPERLINK("http://www.eum.go.kr/web/ar/lu/luLandDet.jsp?pnu=3611011300109250000&amp;isNoScr=script&amp;mode=search", "토지이음")</f>
        <v/>
      </c>
      <c r="O728" s="3" t="inlineStr">
        <is>
          <t>똑똑</t>
        </is>
      </c>
      <c r="P728" s="4" t="n">
        <v>1</v>
      </c>
      <c r="Q728" s="4" t="n">
        <v>298.9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소로한면</t>
        </is>
      </c>
    </row>
    <row r="729">
      <c r="A729" s="3" t="inlineStr">
        <is>
          <t>아름동 925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82000</v>
      </c>
      <c r="G729" s="4" t="n">
        <v>298</v>
      </c>
      <c r="H729" s="4" t="n">
        <v>90</v>
      </c>
      <c r="I729" s="5" t="n">
        <v>911.1</v>
      </c>
      <c r="J729" s="5" t="n">
        <v>339.8</v>
      </c>
      <c r="K729" s="3" t="inlineStr">
        <is>
          <t>90.6p, 국제고 인근, 공원인접, 조율가능</t>
        </is>
      </c>
      <c r="L729" s="6">
        <f>HYPERLINK("https://fin.land.naver.com/articles/2650427336", "매물Link")</f>
        <v/>
      </c>
      <c r="M729" s="6">
        <f>HYPERLINK("https://map.naver.com/p/search/아름동 925", "지도Link")</f>
        <v/>
      </c>
      <c r="N729" s="6">
        <f>HYPERLINK("http://www.eum.go.kr/web/ar/lu/luLandDet.jsp?pnu=3611011300109250000&amp;isNoScr=script&amp;mode=search",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298.9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소로한면</t>
        </is>
      </c>
    </row>
    <row r="730">
      <c r="A730" s="3" t="inlineStr">
        <is>
          <t>아름동 929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63000</v>
      </c>
      <c r="G730" s="4" t="n">
        <v>299</v>
      </c>
      <c r="H730" s="4" t="n">
        <v>90</v>
      </c>
      <c r="I730" s="5" t="n">
        <v>700</v>
      </c>
      <c r="J730" s="5" t="n">
        <v>339.8</v>
      </c>
      <c r="K730" s="3" t="inlineStr">
        <is>
          <t>90.6p, 국제고, 충남대병원 인근 아름동 단독주택지</t>
        </is>
      </c>
      <c r="L730" s="6">
        <f>HYPERLINK("https://fin.land.naver.com/articles/2648905732", "매물Link")</f>
        <v/>
      </c>
      <c r="M730" s="6">
        <f>HYPERLINK("https://map.naver.com/p/search/아름동 929", "지도Link")</f>
        <v/>
      </c>
      <c r="N730" s="6">
        <f>HYPERLINK("http://www.eum.go.kr/web/ar/lu/luLandDet.jsp?pnu=3611011300109290000&amp;isNoScr=script&amp;mode=search",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299.1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소로한면</t>
        </is>
      </c>
    </row>
    <row r="731">
      <c r="A731" s="3" t="inlineStr">
        <is>
          <t>아름동 929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63000</v>
      </c>
      <c r="G731" s="4" t="n">
        <v>299</v>
      </c>
      <c r="H731" s="4" t="n">
        <v>90</v>
      </c>
      <c r="I731" s="5" t="n">
        <v>700</v>
      </c>
      <c r="J731" s="5" t="n">
        <v>339.8</v>
      </c>
      <c r="K731" s="3" t="inlineStr">
        <is>
          <t>총 90.6p, 국제고인근 단독주택 토지매매</t>
        </is>
      </c>
      <c r="L731" s="6">
        <f>HYPERLINK("https://fin.land.naver.com/articles/2646693683", "매물Link")</f>
        <v/>
      </c>
      <c r="M731" s="6">
        <f>HYPERLINK("https://map.naver.com/p/search/아름동 929", "지도Link")</f>
        <v/>
      </c>
      <c r="N731" s="6">
        <f>HYPERLINK("http://www.eum.go.kr/web/ar/lu/luLandDet.jsp?pnu=3611011300109290000&amp;isNoScr=script&amp;mode=search",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299.1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소로한면</t>
        </is>
      </c>
    </row>
    <row r="732">
      <c r="A732" s="3" t="inlineStr">
        <is>
          <t>아름동 929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63000</v>
      </c>
      <c r="G732" s="4" t="n">
        <v>299</v>
      </c>
      <c r="H732" s="4" t="n">
        <v>90</v>
      </c>
      <c r="I732" s="5" t="n">
        <v>700</v>
      </c>
      <c r="J732" s="5" t="n">
        <v>339.8</v>
      </c>
      <c r="K732" s="3" t="inlineStr">
        <is>
          <t>급매매,앞,뒤 양면도로 접한  토지</t>
        </is>
      </c>
      <c r="L732" s="6">
        <f>HYPERLINK("https://fin.land.naver.com/articles/2649757754", "매물Link")</f>
        <v/>
      </c>
      <c r="M732" s="6">
        <f>HYPERLINK("https://map.naver.com/p/search/아름동 929", "지도Link")</f>
        <v/>
      </c>
      <c r="N732" s="6">
        <f>HYPERLINK("http://www.eum.go.kr/web/ar/lu/luLandDet.jsp?pnu=3611011300109290000&amp;isNoScr=script&amp;mode=search", "토지이음")</f>
        <v/>
      </c>
      <c r="O732" s="3" t="inlineStr">
        <is>
          <t>킹세종</t>
        </is>
      </c>
      <c r="P732" s="4" t="n">
        <v>1</v>
      </c>
      <c r="Q732" s="4" t="n">
        <v>299.1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961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65000</v>
      </c>
      <c r="G733" s="4" t="n">
        <v>299</v>
      </c>
      <c r="H733" s="4" t="n">
        <v>90</v>
      </c>
      <c r="I733" s="5" t="n">
        <v>722.2</v>
      </c>
      <c r="J733" s="5" t="n">
        <v>344.5</v>
      </c>
      <c r="K733" s="3" t="inlineStr">
        <is>
          <t>삼거리 코너, 아름동 입지 좋은 단독주택지</t>
        </is>
      </c>
      <c r="L733" s="6">
        <f>HYPERLINK("https://fin.land.naver.com/articles/2647424901", "매물Link")</f>
        <v/>
      </c>
      <c r="M733" s="6">
        <f>HYPERLINK("https://map.naver.com/p/search/아름동 961", "지도Link")</f>
        <v/>
      </c>
      <c r="N733" s="6">
        <f>HYPERLINK("http://www.eum.go.kr/web/ar/lu/luLandDet.jsp?pnu=3611011300109610000&amp;isNoScr=script&amp;mode=search",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299.1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소로각지</t>
        </is>
      </c>
    </row>
    <row r="734">
      <c r="A734" s="3" t="inlineStr">
        <is>
          <t>아름동 962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51000</v>
      </c>
      <c r="G734" s="4" t="n">
        <v>300</v>
      </c>
      <c r="H734" s="4" t="n">
        <v>91</v>
      </c>
      <c r="I734" s="5" t="n">
        <v>560.4</v>
      </c>
      <c r="J734" s="5" t="n">
        <v>330.6</v>
      </c>
      <c r="K734" s="3" t="inlineStr">
        <is>
          <t>급매토지입니다. 도심속 전원주택지</t>
        </is>
      </c>
      <c r="L734" s="6">
        <f>HYPERLINK("https://fin.land.naver.com/articles/2646906071", "매물Link")</f>
        <v/>
      </c>
      <c r="M734" s="6">
        <f>HYPERLINK("https://map.naver.com/p/search/아름동 962", "지도Link")</f>
        <v/>
      </c>
      <c r="N734" s="6">
        <f>HYPERLINK("http://www.eum.go.kr/web/ar/lu/luLandDet.jsp?pnu=3611011300109620000&amp;isNoScr=script&amp;mode=search", "토지이음")</f>
        <v/>
      </c>
      <c r="O734" s="3" t="inlineStr">
        <is>
          <t>장원</t>
        </is>
      </c>
      <c r="P734" s="4" t="n">
        <v>1</v>
      </c>
      <c r="Q734" s="4" t="n">
        <v>300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963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60000</v>
      </c>
      <c r="G735" s="4" t="n">
        <v>298</v>
      </c>
      <c r="H735" s="4" t="n">
        <v>90</v>
      </c>
      <c r="I735" s="5" t="n">
        <v>666.7</v>
      </c>
      <c r="J735" s="5" t="n">
        <v>330.6</v>
      </c>
      <c r="K735" s="3" t="inlineStr">
        <is>
          <t>언덕형 지대높음 채광 개방감 좋음 조율가능</t>
        </is>
      </c>
      <c r="L735" s="6">
        <f>HYPERLINK("https://fin.land.naver.com/articles/2651114707", "매물Link")</f>
        <v/>
      </c>
      <c r="M735" s="6">
        <f>HYPERLINK("https://map.naver.com/p/search/아름동 963", "지도Link")</f>
        <v/>
      </c>
      <c r="N735" s="6">
        <f>HYPERLINK("http://www.eum.go.kr/web/ar/lu/luLandDet.jsp?pnu=3611011300109630000&amp;isNoScr=script&amp;mode=search", "토지이음")</f>
        <v/>
      </c>
      <c r="O735" s="3" t="inlineStr">
        <is>
          <t>세종스타</t>
        </is>
      </c>
      <c r="P735" s="4" t="n">
        <v>1</v>
      </c>
      <c r="Q735" s="4" t="n">
        <v>298.9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963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60000</v>
      </c>
      <c r="G736" s="4" t="n">
        <v>298</v>
      </c>
      <c r="H736" s="4" t="n">
        <v>90</v>
      </c>
      <c r="I736" s="5" t="n">
        <v>666.7</v>
      </c>
      <c r="J736" s="5" t="n">
        <v>330.6</v>
      </c>
      <c r="K736" s="3" t="inlineStr">
        <is>
          <t>조율가능, 급매, 아름동 위치좋은 단독주택지</t>
        </is>
      </c>
      <c r="L736" s="6">
        <f>HYPERLINK("https://fin.land.naver.com/articles/2649873097", "매물Link")</f>
        <v/>
      </c>
      <c r="M736" s="6">
        <f>HYPERLINK("https://map.naver.com/p/search/아름동 963", "지도Link")</f>
        <v/>
      </c>
      <c r="N736" s="6">
        <f>HYPERLINK("http://www.eum.go.kr/web/ar/lu/luLandDet.jsp?pnu=3611011300109630000&amp;isNoScr=script&amp;mode=search",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298.9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963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60000</v>
      </c>
      <c r="G737" s="4" t="n">
        <v>298</v>
      </c>
      <c r="H737" s="4" t="n">
        <v>90</v>
      </c>
      <c r="I737" s="5" t="n">
        <v>666.7</v>
      </c>
      <c r="J737" s="5" t="n">
        <v>330.6</v>
      </c>
      <c r="K737" s="3" t="inlineStr">
        <is>
          <t>급매,전원주택지로 충대병원 인접, 교통 및 학군 편리한 생활권</t>
        </is>
      </c>
      <c r="L737" s="6">
        <f>HYPERLINK("https://fin.land.naver.com/articles/2650851379", "매물Link")</f>
        <v/>
      </c>
      <c r="M737" s="6">
        <f>HYPERLINK("https://map.naver.com/p/search/아름동 963", "지도Link")</f>
        <v/>
      </c>
      <c r="N737" s="6">
        <f>HYPERLINK("http://www.eum.go.kr/web/ar/lu/luLandDet.jsp?pnu=3611011300109630000&amp;isNoScr=script&amp;mode=search", "토지이음")</f>
        <v/>
      </c>
      <c r="O737" s="3" t="inlineStr">
        <is>
          <t>고운맘</t>
        </is>
      </c>
      <c r="P737" s="4" t="n">
        <v>1</v>
      </c>
      <c r="Q737" s="4" t="n">
        <v>298.9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소로한면</t>
        </is>
      </c>
    </row>
    <row r="738">
      <c r="A738" s="3" t="inlineStr">
        <is>
          <t>아름동 964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77000</v>
      </c>
      <c r="G738" s="4" t="n">
        <v>298</v>
      </c>
      <c r="H738" s="4" t="n">
        <v>90</v>
      </c>
      <c r="I738" s="5" t="n">
        <v>855.6</v>
      </c>
      <c r="J738" s="5" t="n">
        <v>344.5</v>
      </c>
      <c r="K738" s="3" t="inlineStr">
        <is>
          <t>국제고인근.코너각지. 충대병원인접. 위치,교통 편리한 지역.조정가능</t>
        </is>
      </c>
      <c r="L738" s="6">
        <f>HYPERLINK("https://fin.land.naver.com/articles/2646141675", "매물Link")</f>
        <v/>
      </c>
      <c r="M738" s="6">
        <f>HYPERLINK("https://map.naver.com/p/search/아름동 964", "지도Link")</f>
        <v/>
      </c>
      <c r="N738" s="6">
        <f>HYPERLINK("http://www.eum.go.kr/web/ar/lu/luLandDet.jsp?pnu=3611011300109640000&amp;isNoScr=script&amp;mode=search", "토지이음")</f>
        <v/>
      </c>
      <c r="O738" s="3" t="inlineStr">
        <is>
          <t>새롬삼둥이</t>
        </is>
      </c>
      <c r="P738" s="4" t="n">
        <v>1</v>
      </c>
      <c r="Q738" s="4" t="n">
        <v>298.9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964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77000</v>
      </c>
      <c r="G739" s="4" t="n">
        <v>298</v>
      </c>
      <c r="H739" s="4" t="n">
        <v>90</v>
      </c>
      <c r="I739" s="5" t="n">
        <v>855.6</v>
      </c>
      <c r="J739" s="5" t="n">
        <v>344.5</v>
      </c>
      <c r="K739" s="3" t="inlineStr">
        <is>
          <t>총 90.6p, 조율가능, 아름동 단독주택지, 국제고 인근</t>
        </is>
      </c>
      <c r="L739" s="6">
        <f>HYPERLINK("https://fin.land.naver.com/articles/2646692307", "매물Link")</f>
        <v/>
      </c>
      <c r="M739" s="6">
        <f>HYPERLINK("https://map.naver.com/p/search/아름동 964", "지도Link")</f>
        <v/>
      </c>
      <c r="N739" s="6">
        <f>HYPERLINK("http://www.eum.go.kr/web/ar/lu/luLandDet.jsp?pnu=3611011300109640000&amp;isNoScr=script&amp;mode=search", "토지이음")</f>
        <v/>
      </c>
      <c r="O739" s="3" t="inlineStr">
        <is>
          <t>세종무지개</t>
        </is>
      </c>
      <c r="P739" s="4" t="n">
        <v>1</v>
      </c>
      <c r="Q739" s="4" t="n">
        <v>298.9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소로각지</t>
        </is>
      </c>
    </row>
    <row r="740">
      <c r="A740" s="3" t="inlineStr">
        <is>
          <t>아름동 964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77000</v>
      </c>
      <c r="G740" s="4" t="n">
        <v>298</v>
      </c>
      <c r="H740" s="4" t="n">
        <v>90</v>
      </c>
      <c r="I740" s="5" t="n">
        <v>855.6</v>
      </c>
      <c r="J740" s="5" t="n">
        <v>344.5</v>
      </c>
      <c r="K740" s="3" t="inlineStr">
        <is>
          <t>총 90.6p, 사거리 코너 입지, 가격 최대 조율가능</t>
        </is>
      </c>
      <c r="L740" s="6">
        <f>HYPERLINK("https://fin.land.naver.com/articles/2647421860", "매물Link")</f>
        <v/>
      </c>
      <c r="M740" s="6">
        <f>HYPERLINK("https://map.naver.com/p/search/아름동 964", "지도Link")</f>
        <v/>
      </c>
      <c r="N740" s="6">
        <f>HYPERLINK("http://www.eum.go.kr/web/ar/lu/luLandDet.jsp?pnu=3611011300109640000&amp;isNoScr=script&amp;mode=search", "토지이음")</f>
        <v/>
      </c>
      <c r="O740" s="3" t="inlineStr">
        <is>
          <t>명진</t>
        </is>
      </c>
      <c r="P740" s="4" t="n">
        <v>1</v>
      </c>
      <c r="Q740" s="4" t="n">
        <v>298.9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소로각지</t>
        </is>
      </c>
    </row>
    <row r="741">
      <c r="A741" s="3" t="inlineStr">
        <is>
          <t>아름동 966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85000</v>
      </c>
      <c r="G741" s="4" t="n">
        <v>353</v>
      </c>
      <c r="H741" s="4" t="n">
        <v>107</v>
      </c>
      <c r="I741" s="5" t="n">
        <v>794.4</v>
      </c>
      <c r="J741" s="5" t="n">
        <v>330.6</v>
      </c>
      <c r="K741" s="3" t="inlineStr">
        <is>
          <t>국제고, 영재고, 충대병원인근, IC인접 107.2p</t>
        </is>
      </c>
      <c r="L741" s="6">
        <f>HYPERLINK("https://fin.land.naver.com/articles/2646690781", "매물Link")</f>
        <v/>
      </c>
      <c r="M741" s="6">
        <f>HYPERLINK("https://map.naver.com/p/search/아름동 966", "지도Link")</f>
        <v/>
      </c>
      <c r="N741" s="6">
        <f>HYPERLINK("http://www.eum.go.kr/web/ar/lu/luLandDet.jsp?pnu=3611011300109660000&amp;isNoScr=script&amp;mode=search",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353.6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소로한면</t>
        </is>
      </c>
    </row>
    <row r="742">
      <c r="A742" s="3" t="inlineStr">
        <is>
          <t>아름동 966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85000</v>
      </c>
      <c r="G742" s="4" t="n">
        <v>353</v>
      </c>
      <c r="H742" s="4" t="n">
        <v>107</v>
      </c>
      <c r="I742" s="5" t="n">
        <v>794.4</v>
      </c>
      <c r="J742" s="5" t="n">
        <v>330.6</v>
      </c>
      <c r="K742" s="3" t="inlineStr">
        <is>
          <t>총 107.2p, 국제고, 충남대병원인근</t>
        </is>
      </c>
      <c r="L742" s="6">
        <f>HYPERLINK("https://fin.land.naver.com/articles/2648127229", "매물Link")</f>
        <v/>
      </c>
      <c r="M742" s="6">
        <f>HYPERLINK("https://map.naver.com/p/search/아름동 966", "지도Link")</f>
        <v/>
      </c>
      <c r="N742" s="6">
        <f>HYPERLINK("http://www.eum.go.kr/web/ar/lu/luLandDet.jsp?pnu=3611011300109660000&amp;isNoScr=script&amp;mode=search",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353.6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소로한면</t>
        </is>
      </c>
    </row>
    <row r="743">
      <c r="A743" s="3" t="inlineStr">
        <is>
          <t>아름동 971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79560</v>
      </c>
      <c r="G743" s="4" t="n">
        <v>308</v>
      </c>
      <c r="H743" s="4" t="n">
        <v>93</v>
      </c>
      <c r="I743" s="5" t="n">
        <v>855.5</v>
      </c>
      <c r="J743" s="5" t="n">
        <v>330.6</v>
      </c>
      <c r="K743" s="3" t="inlineStr">
        <is>
          <t>공원앞, 충대병원, 국제고 인근, 아름동 단독주택지</t>
        </is>
      </c>
      <c r="L743" s="6">
        <f>HYPERLINK("https://fin.land.naver.com/articles/2650427802", "매물Link")</f>
        <v/>
      </c>
      <c r="M743" s="6">
        <f>HYPERLINK("https://map.naver.com/p/search/아름동 971", "지도Link")</f>
        <v/>
      </c>
      <c r="N743" s="6">
        <f>HYPERLINK("http://www.eum.go.kr/web/ar/lu/luLandDet.jsp?pnu=3611011300109710000&amp;isNoScr=script&amp;mode=search",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308.9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994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75000</v>
      </c>
      <c r="G744" s="4" t="n">
        <v>324</v>
      </c>
      <c r="H744" s="4" t="n">
        <v>98</v>
      </c>
      <c r="I744" s="5" t="n">
        <v>765.3</v>
      </c>
      <c r="J744" s="5" t="n">
        <v>335.5</v>
      </c>
      <c r="K744" s="3" t="inlineStr">
        <is>
          <t>급매 최상단 뻥조망 위치최상 벙커주차장가능</t>
        </is>
      </c>
      <c r="L744" s="6">
        <f>HYPERLINK("https://fin.land.naver.com/articles/2651086404", "매물Link")</f>
        <v/>
      </c>
      <c r="M744" s="6">
        <f>HYPERLINK("https://map.naver.com/p/search/아름동 994", "지도Link")</f>
        <v/>
      </c>
      <c r="N744" s="6">
        <f>HYPERLINK("http://www.eum.go.kr/web/ar/lu/luLandDet.jsp?pnu=3611011300109940000&amp;isNoScr=script&amp;mode=search", "토지이음")</f>
        <v/>
      </c>
      <c r="O744" s="3" t="inlineStr">
        <is>
          <t>세종스타</t>
        </is>
      </c>
      <c r="P744" s="4" t="n">
        <v>1</v>
      </c>
      <c r="Q744" s="4" t="n">
        <v>324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연동면 내판리 10-1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36000</v>
      </c>
      <c r="G745" s="4" t="n">
        <v>329</v>
      </c>
      <c r="H745" s="4" t="n">
        <v>100</v>
      </c>
      <c r="I745" s="5" t="n">
        <v>360</v>
      </c>
      <c r="J745" s="5" t="n">
        <v>106.7</v>
      </c>
      <c r="K745" s="3" t="inlineStr">
        <is>
          <t>nan</t>
        </is>
      </c>
      <c r="L745" s="6">
        <f>HYPERLINK("https://fin.land.naver.com/articles/2649512630", "매물Link")</f>
        <v/>
      </c>
      <c r="M745" s="6">
        <f>HYPERLINK("https://map.naver.com/p/search/연동면 내판리 10-1", "지도Link")</f>
        <v/>
      </c>
      <c r="N745" s="6">
        <f>HYPERLINK("http://www.eum.go.kr/web/ar/lu/luLandDet.jsp?pnu=3611032021100100001&amp;isNoScr=script&amp;mode=search", "토지이음")</f>
        <v/>
      </c>
      <c r="O745" s="3" t="inlineStr">
        <is>
          <t>세종지평</t>
        </is>
      </c>
      <c r="P745" s="4" t="n">
        <v>1</v>
      </c>
      <c r="Q745" s="4" t="n">
        <v>330</v>
      </c>
      <c r="R745" s="3" t="inlineStr">
        <is>
          <t>지정되지않음</t>
        </is>
      </c>
      <c r="S745" s="3" t="inlineStr">
        <is>
          <t>단독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세로한면(가)</t>
        </is>
      </c>
    </row>
    <row r="746">
      <c r="A746" s="3" t="inlineStr">
        <is>
          <t>연동면 내판리 10-1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36000</v>
      </c>
      <c r="G746" s="4" t="n">
        <v>330</v>
      </c>
      <c r="H746" s="4" t="n">
        <v>100</v>
      </c>
      <c r="I746" s="5" t="n">
        <v>360</v>
      </c>
      <c r="J746" s="5" t="n">
        <v>106.7</v>
      </c>
      <c r="K746" s="3" t="inlineStr">
        <is>
          <t>세종 내판리 토지 매매.지목 대지구단위계획구역</t>
        </is>
      </c>
      <c r="L746" s="6">
        <f>HYPERLINK("https://fin.land.naver.com/articles/2648747196", "매물Link")</f>
        <v/>
      </c>
      <c r="M746" s="6">
        <f>HYPERLINK("https://map.naver.com/p/search/연동면 내판리 10-1", "지도Link")</f>
        <v/>
      </c>
      <c r="N746" s="6">
        <f>HYPERLINK("http://www.eum.go.kr/web/ar/lu/luLandDet.jsp?pnu=3611032021100100001&amp;isNoScr=script&amp;mode=search", "토지이음")</f>
        <v/>
      </c>
      <c r="O746" s="3" t="inlineStr">
        <is>
          <t>세종몽땅</t>
        </is>
      </c>
      <c r="P746" s="4" t="n">
        <v>1</v>
      </c>
      <c r="Q746" s="4" t="n">
        <v>330</v>
      </c>
      <c r="R746" s="3" t="inlineStr">
        <is>
          <t>지정되지않음</t>
        </is>
      </c>
      <c r="S746" s="3" t="inlineStr">
        <is>
          <t>단독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연동면 내판리 10-8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24500</v>
      </c>
      <c r="G747" s="4" t="n">
        <v>230</v>
      </c>
      <c r="H747" s="4" t="n">
        <v>70</v>
      </c>
      <c r="I747" s="5" t="n">
        <v>350</v>
      </c>
      <c r="J747" s="5" t="n">
        <v>94.90000000000001</v>
      </c>
      <c r="K747" s="3" t="inlineStr">
        <is>
          <t>계획관리지역,대지</t>
        </is>
      </c>
      <c r="L747" s="6">
        <f>HYPERLINK("https://fin.land.naver.com/articles/2646007806", "매물Link")</f>
        <v/>
      </c>
      <c r="M747" s="6">
        <f>HYPERLINK("https://map.naver.com/p/search/연동면 내판리 10-8", "지도Link")</f>
        <v/>
      </c>
      <c r="N747" s="6">
        <f>HYPERLINK("http://www.eum.go.kr/web/ar/lu/luLandDet.jsp?pnu=3611032021100100008&amp;isNoScr=script&amp;mode=search", "토지이음")</f>
        <v/>
      </c>
      <c r="O747" s="3" t="inlineStr">
        <is>
          <t>세종대박</t>
        </is>
      </c>
      <c r="P747" s="4" t="n">
        <v>1</v>
      </c>
      <c r="Q747" s="4" t="n">
        <v>191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완경사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연동면 내판리 104</t>
        </is>
      </c>
      <c r="B748" s="3" t="inlineStr">
        <is>
          <t>계획관리지역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67000</v>
      </c>
      <c r="G748" s="4" t="n">
        <v>2767</v>
      </c>
      <c r="H748" s="4" t="n">
        <v>837</v>
      </c>
      <c r="I748" s="5" t="n">
        <v>80</v>
      </c>
      <c r="J748" s="5" t="n">
        <v>36.2</v>
      </c>
      <c r="K748" s="3" t="inlineStr">
        <is>
          <t>계확관리 아파트건설 호재가 있는  토지 중학교 옆위치 조율가능</t>
        </is>
      </c>
      <c r="L748" s="6">
        <f>HYPERLINK("https://fin.land.naver.com/articles/2647958085", "매물Link")</f>
        <v/>
      </c>
      <c r="M748" s="6">
        <f>HYPERLINK("https://map.naver.com/p/search/연동면 내판리 104", "지도Link")</f>
        <v/>
      </c>
      <c r="N748" s="6">
        <f>HYPERLINK("http://www.eum.go.kr/web/ar/lu/luLandDet.jsp?pnu=3611032021101040000&amp;isNoScr=script&amp;mode=search", "토지이음")</f>
        <v/>
      </c>
      <c r="O748" s="3" t="inlineStr">
        <is>
          <t>도안부자</t>
        </is>
      </c>
      <c r="P748" s="4" t="n">
        <v>1</v>
      </c>
      <c r="Q748" s="4" t="n">
        <v>2767</v>
      </c>
      <c r="R748" s="3" t="inlineStr">
        <is>
          <t>지정되지않음</t>
        </is>
      </c>
      <c r="S748" s="3" t="inlineStr">
        <is>
          <t>전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맹지</t>
        </is>
      </c>
    </row>
    <row r="749">
      <c r="A749" s="3" t="inlineStr">
        <is>
          <t>연동면 내판리 254</t>
        </is>
      </c>
      <c r="B749" s="3" t="inlineStr">
        <is>
          <t>계획관리지역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65000</v>
      </c>
      <c r="G749" s="4" t="n">
        <v>1884</v>
      </c>
      <c r="H749" s="4" t="n">
        <v>570</v>
      </c>
      <c r="I749" s="5" t="n">
        <v>114</v>
      </c>
      <c r="J749" s="5" t="n">
        <v>65.8</v>
      </c>
      <c r="K749" s="3" t="inlineStr">
        <is>
          <t>실 570. 행정중심복합도시 수혜지역 매매. 대통령집무실이전유력지 호재</t>
        </is>
      </c>
      <c r="L749" s="6">
        <f>HYPERLINK("https://fin.land.naver.com/articles/2646173827", "매물Link")</f>
        <v/>
      </c>
      <c r="M749" s="6">
        <f>HYPERLINK("https://map.naver.com/p/search/연동면 내판리 254", "지도Link")</f>
        <v/>
      </c>
      <c r="N749" s="6">
        <f>HYPERLINK("http://www.eum.go.kr/web/ar/lu/luLandDet.jsp?pnu=3611032021102540000&amp;isNoScr=script&amp;mode=search", "토지이음")</f>
        <v/>
      </c>
      <c r="O749" s="3" t="inlineStr">
        <is>
          <t>길</t>
        </is>
      </c>
      <c r="P749" s="4" t="n">
        <v>1</v>
      </c>
      <c r="Q749" s="4" t="n">
        <v>1884</v>
      </c>
      <c r="R749" s="3" t="inlineStr">
        <is>
          <t>지정되지않음</t>
        </is>
      </c>
      <c r="S749" s="3" t="inlineStr">
        <is>
          <t>전</t>
        </is>
      </c>
      <c r="T749" s="3" t="inlineStr">
        <is>
          <t>완경사</t>
        </is>
      </c>
      <c r="U749" s="3" t="inlineStr">
        <is>
          <t>사다리형</t>
        </is>
      </c>
      <c r="V749" s="3" t="inlineStr">
        <is>
          <t>맹지</t>
        </is>
      </c>
    </row>
    <row r="750">
      <c r="A750" s="3" t="inlineStr">
        <is>
          <t>연동면 내판리 337-1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191664</v>
      </c>
      <c r="G750" s="4" t="n">
        <v>1152</v>
      </c>
      <c r="H750" s="4" t="n">
        <v>348</v>
      </c>
      <c r="I750" s="5" t="n">
        <v>550.8</v>
      </c>
      <c r="J750" s="5" t="n">
        <v>112.8</v>
      </c>
      <c r="K750" s="3" t="inlineStr">
        <is>
          <t>명학산업단지 근처 6미터 도로접 투자용</t>
        </is>
      </c>
      <c r="L750" s="6">
        <f>HYPERLINK("https://fin.land.naver.com/articles/2648009779", "매물Link")</f>
        <v/>
      </c>
      <c r="M750" s="6">
        <f>HYPERLINK("https://map.naver.com/p/search/연동면 내판리 337-1", "지도Link")</f>
        <v/>
      </c>
      <c r="N750" s="6">
        <f>HYPERLINK("http://www.eum.go.kr/web/ar/lu/luLandDet.jsp?pnu=3611032021103370001&amp;isNoScr=script&amp;mode=search", "토지이음")</f>
        <v/>
      </c>
      <c r="O750" s="3" t="inlineStr">
        <is>
          <t>도안재벌</t>
        </is>
      </c>
      <c r="P750" s="4" t="n">
        <v>1</v>
      </c>
      <c r="Q750" s="4" t="n">
        <v>1152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연동면 내판리 337-42</t>
        </is>
      </c>
      <c r="B751" s="3" t="inlineStr">
        <is>
          <t>보전관리지역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50000</v>
      </c>
      <c r="G751" s="4" t="n">
        <v>330</v>
      </c>
      <c r="H751" s="4" t="n">
        <v>100</v>
      </c>
      <c r="I751" s="5" t="n">
        <v>500</v>
      </c>
      <c r="J751" s="5" t="n">
        <v>84.8</v>
      </c>
      <c r="K751" s="3" t="inlineStr">
        <is>
          <t>5생활권, 삼성전기투자지 근접,기반시설완비,모듈러주택홍보관협업가능</t>
        </is>
      </c>
      <c r="L751" s="6">
        <f>HYPERLINK("https://fin.land.naver.com/articles/2647328962", "매물Link")</f>
        <v/>
      </c>
      <c r="M751" s="6">
        <f>HYPERLINK("https://map.naver.com/p/search/연동면 내판리 337-42", "지도Link")</f>
        <v/>
      </c>
      <c r="N751" s="6">
        <f>HYPERLINK("http://www.eum.go.kr/web/ar/lu/luLandDet.jsp?pnu=3611032021103370042&amp;isNoScr=script&amp;mode=search", "토지이음")</f>
        <v/>
      </c>
      <c r="O751" s="3" t="inlineStr">
        <is>
          <t>수</t>
        </is>
      </c>
      <c r="P751" s="4" t="n">
        <v>1</v>
      </c>
      <c r="Q751" s="4" t="n">
        <v>660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세로한면(가)</t>
        </is>
      </c>
    </row>
    <row r="752">
      <c r="A752" s="3" t="inlineStr">
        <is>
          <t>연동면 내판리 337-8</t>
        </is>
      </c>
      <c r="B752" s="3" t="inlineStr">
        <is>
          <t>계획관리지역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133100</v>
      </c>
      <c r="G752" s="4" t="n">
        <v>800</v>
      </c>
      <c r="H752" s="4" t="n">
        <v>242</v>
      </c>
      <c r="I752" s="5" t="n">
        <v>550</v>
      </c>
      <c r="J752" s="5" t="n">
        <v>183.9</v>
      </c>
      <c r="K752" s="3" t="inlineStr">
        <is>
          <t>명학산업단지 근처 6미터 도로접 투자용</t>
        </is>
      </c>
      <c r="L752" s="6">
        <f>HYPERLINK("https://fin.land.naver.com/articles/2648008487", "매물Link")</f>
        <v/>
      </c>
      <c r="M752" s="6">
        <f>HYPERLINK("https://map.naver.com/p/search/연동면 내판리 337-8", "지도Link")</f>
        <v/>
      </c>
      <c r="N752" s="6">
        <f>HYPERLINK("http://www.eum.go.kr/web/ar/lu/luLandDet.jsp?pnu=3611032021103370008&amp;isNoScr=script&amp;mode=search", "토지이음")</f>
        <v/>
      </c>
      <c r="O752" s="3" t="inlineStr">
        <is>
          <t>도안재벌</t>
        </is>
      </c>
      <c r="P752" s="4" t="n">
        <v>1</v>
      </c>
      <c r="Q752" s="4" t="n">
        <v>800</v>
      </c>
      <c r="R752" s="3" t="inlineStr">
        <is>
          <t>지정되지않음</t>
        </is>
      </c>
      <c r="S752" s="3" t="inlineStr">
        <is>
          <t>상업용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세로한면(가)</t>
        </is>
      </c>
    </row>
    <row r="753">
      <c r="A753" s="3" t="inlineStr">
        <is>
          <t>연동면 내판리 35-5</t>
        </is>
      </c>
      <c r="B753" s="3" t="inlineStr">
        <is>
          <t>계획관리지역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210000</v>
      </c>
      <c r="G753" s="4" t="n">
        <v>5683</v>
      </c>
      <c r="H753" s="4" t="n">
        <v>1719</v>
      </c>
      <c r="I753" s="5" t="n">
        <v>122.2</v>
      </c>
      <c r="J753" s="5" t="n">
        <v>41.8</v>
      </c>
      <c r="K753" s="3" t="inlineStr">
        <is>
          <t>시세보다 저렴한  최상의 위치로  계획관리 토지로 용도다양</t>
        </is>
      </c>
      <c r="L753" s="6">
        <f>HYPERLINK("https://fin.land.naver.com/articles/2651026655", "매물Link")</f>
        <v/>
      </c>
      <c r="M753" s="6">
        <f>HYPERLINK("https://map.naver.com/p/search/연동면 내판리 35-5", "지도Link")</f>
        <v/>
      </c>
      <c r="N753" s="6">
        <f>HYPERLINK("http://www.eum.go.kr/web/ar/lu/luLandDet.jsp?pnu=3611032021100350005&amp;isNoScr=script&amp;mode=search", "토지이음")</f>
        <v/>
      </c>
      <c r="O753" s="3" t="inlineStr">
        <is>
          <t>연동스카이</t>
        </is>
      </c>
      <c r="P753" s="4" t="n">
        <v>1</v>
      </c>
      <c r="Q753" s="4" t="n">
        <v>5683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연동면 내판리 35-5</t>
        </is>
      </c>
      <c r="B754" s="3" t="inlineStr">
        <is>
          <t>계획관리지역</t>
        </is>
      </c>
      <c r="C754" s="3" t="inlineStr">
        <is>
          <t>임야</t>
        </is>
      </c>
      <c r="D754" s="3" t="inlineStr">
        <is>
          <t>임야</t>
        </is>
      </c>
      <c r="E754" s="3" t="inlineStr">
        <is>
          <t>매매</t>
        </is>
      </c>
      <c r="F754" s="4" t="n">
        <v>220000</v>
      </c>
      <c r="G754" s="4" t="n">
        <v>5683</v>
      </c>
      <c r="H754" s="4" t="n">
        <v>1719</v>
      </c>
      <c r="I754" s="5" t="n">
        <v>128</v>
      </c>
      <c r="J754" s="5" t="n">
        <v>41.8</v>
      </c>
      <c r="K754" s="3" t="inlineStr">
        <is>
          <t>급매 시세보다 저렴한 토지 추천매물입니다</t>
        </is>
      </c>
      <c r="L754" s="6">
        <f>HYPERLINK("https://fin.land.naver.com/articles/2649005969", "매물Link")</f>
        <v/>
      </c>
      <c r="M754" s="6">
        <f>HYPERLINK("https://map.naver.com/p/search/연동면 내판리 35-5", "지도Link")</f>
        <v/>
      </c>
      <c r="N754" s="6">
        <f>HYPERLINK("http://www.eum.go.kr/web/ar/lu/luLandDet.jsp?pnu=3611032021100350005&amp;isNoScr=script&amp;mode=search", "토지이음")</f>
        <v/>
      </c>
      <c r="O754" s="3" t="inlineStr">
        <is>
          <t>세종푸르지오</t>
        </is>
      </c>
      <c r="P754" s="4" t="n">
        <v>1</v>
      </c>
      <c r="Q754" s="4" t="n">
        <v>5683</v>
      </c>
      <c r="R754" s="3" t="inlineStr">
        <is>
          <t>지정되지않음</t>
        </is>
      </c>
      <c r="S754" s="3" t="inlineStr">
        <is>
          <t>자연림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35-5</t>
        </is>
      </c>
      <c r="B755" s="3" t="inlineStr">
        <is>
          <t>계획관리지역</t>
        </is>
      </c>
      <c r="C755" s="3" t="inlineStr">
        <is>
          <t>임야</t>
        </is>
      </c>
      <c r="D755" s="3" t="inlineStr">
        <is>
          <t>임야</t>
        </is>
      </c>
      <c r="E755" s="3" t="inlineStr">
        <is>
          <t>매매</t>
        </is>
      </c>
      <c r="F755" s="4" t="n">
        <v>217000</v>
      </c>
      <c r="G755" s="4" t="n">
        <v>5683</v>
      </c>
      <c r="H755" s="4" t="n">
        <v>1719</v>
      </c>
      <c r="I755" s="5" t="n">
        <v>126.2</v>
      </c>
      <c r="J755" s="5" t="n">
        <v>41.8</v>
      </c>
      <c r="K755" s="3" t="inlineStr">
        <is>
          <t>계획관리지역 건축부지 시세이하가격</t>
        </is>
      </c>
      <c r="L755" s="6">
        <f>HYPERLINK("https://fin.land.naver.com/articles/2650899167", "매물Link")</f>
        <v/>
      </c>
      <c r="M755" s="6">
        <f>HYPERLINK("https://map.naver.com/p/search/연동면 내판리 35-5", "지도Link")</f>
        <v/>
      </c>
      <c r="N755" s="6">
        <f>HYPERLINK("http://www.eum.go.kr/web/ar/lu/luLandDet.jsp?pnu=3611032021100350005&amp;isNoScr=script&amp;mode=search", "토지이음")</f>
        <v/>
      </c>
      <c r="O755" s="3" t="inlineStr">
        <is>
          <t>(주)경진컨설팅</t>
        </is>
      </c>
      <c r="P755" s="4" t="n">
        <v>1</v>
      </c>
      <c r="Q755" s="4" t="n">
        <v>5683</v>
      </c>
      <c r="R755" s="3" t="inlineStr">
        <is>
          <t>지정되지않음</t>
        </is>
      </c>
      <c r="S755" s="3" t="inlineStr">
        <is>
          <t>자연림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연동면 내판리 365-5</t>
        </is>
      </c>
      <c r="B756" s="3" t="inlineStr">
        <is>
          <t>계획관리지역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80000</v>
      </c>
      <c r="G756" s="4" t="n">
        <v>664</v>
      </c>
      <c r="H756" s="4" t="n">
        <v>201</v>
      </c>
      <c r="I756" s="5" t="n">
        <v>398</v>
      </c>
      <c r="J756" s="5" t="n">
        <v>95</v>
      </c>
      <c r="K756" s="3" t="inlineStr">
        <is>
          <t>세종시 5생활권 스마트시티 300m 7,500세대 아파트 호재 중심</t>
        </is>
      </c>
      <c r="L756" s="6">
        <f>HYPERLINK("https://fin.land.naver.com/articles/2648068490", "매물Link")</f>
        <v/>
      </c>
      <c r="M756" s="6">
        <f>HYPERLINK("https://map.naver.com/p/search/연동면 내판리 365-5", "지도Link")</f>
        <v/>
      </c>
      <c r="N756" s="6">
        <f>HYPERLINK("http://www.eum.go.kr/web/ar/lu/luLandDet.jsp?pnu=3611032021103650005&amp;isNoScr=script&amp;mode=search", "토지이음")</f>
        <v/>
      </c>
      <c r="O756" s="3" t="inlineStr">
        <is>
          <t>찬스</t>
        </is>
      </c>
      <c r="P756" s="4" t="n">
        <v>1</v>
      </c>
      <c r="Q756" s="4" t="n">
        <v>473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연동면 내판리 415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59000</v>
      </c>
      <c r="G757" s="4" t="n">
        <v>1636</v>
      </c>
      <c r="H757" s="4" t="n">
        <v>495</v>
      </c>
      <c r="I757" s="5" t="n">
        <v>119.2</v>
      </c>
      <c r="J757" s="5" t="n">
        <v>52.7</v>
      </c>
      <c r="K757" s="3" t="inlineStr">
        <is>
          <t>nan</t>
        </is>
      </c>
      <c r="L757" s="6">
        <f>HYPERLINK("https://fin.land.naver.com/articles/2649336628", "매물Link")</f>
        <v/>
      </c>
      <c r="M757" s="6">
        <f>HYPERLINK("https://map.naver.com/p/search/연동면 내판리 415", "지도Link")</f>
        <v/>
      </c>
      <c r="N757" s="6">
        <f>HYPERLINK("http://www.eum.go.kr/web/ar/lu/luLandDet.jsp?pnu=3611032021104150000&amp;isNoScr=script&amp;mode=search", "토지이음")</f>
        <v/>
      </c>
      <c r="O757" s="3" t="inlineStr">
        <is>
          <t>둔산가온</t>
        </is>
      </c>
      <c r="P757" s="4" t="n">
        <v>1</v>
      </c>
      <c r="Q757" s="4" t="n">
        <v>1636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내판리 418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234600</v>
      </c>
      <c r="G758" s="4" t="n">
        <v>2585</v>
      </c>
      <c r="H758" s="4" t="n">
        <v>782</v>
      </c>
      <c r="I758" s="5" t="n">
        <v>300</v>
      </c>
      <c r="J758" s="5" t="n">
        <v>74.09999999999999</v>
      </c>
      <c r="K758" s="3" t="inlineStr">
        <is>
          <t>투자와 실사용 모두 적합,인프라 근접</t>
        </is>
      </c>
      <c r="L758" s="6">
        <f>HYPERLINK("https://fin.land.naver.com/articles/2650476322", "매물Link")</f>
        <v/>
      </c>
      <c r="M758" s="6">
        <f>HYPERLINK("https://map.naver.com/p/search/연동면 내판리 418", "지도Link")</f>
        <v/>
      </c>
      <c r="N758" s="6">
        <f>HYPERLINK("http://www.eum.go.kr/web/ar/lu/luLandDet.jsp?pnu=3611032021104180000&amp;isNoScr=script&amp;mode=search", "토지이음")</f>
        <v/>
      </c>
      <c r="O758" s="3" t="inlineStr">
        <is>
          <t>가치잇는</t>
        </is>
      </c>
      <c r="P758" s="4" t="n">
        <v>1</v>
      </c>
      <c r="Q758" s="4" t="n">
        <v>2585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세로각지(가)</t>
        </is>
      </c>
    </row>
    <row r="759">
      <c r="A759" s="3" t="inlineStr">
        <is>
          <t>연동면 내판리 419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115500</v>
      </c>
      <c r="G759" s="4" t="n">
        <v>1273</v>
      </c>
      <c r="H759" s="4" t="n">
        <v>385</v>
      </c>
      <c r="I759" s="5" t="n">
        <v>300</v>
      </c>
      <c r="J759" s="5" t="n">
        <v>63.7</v>
      </c>
      <c r="K759" s="3" t="inlineStr">
        <is>
          <t>세종 생활권 가까워 투자가치와 활용도 높은 토지</t>
        </is>
      </c>
      <c r="L759" s="6">
        <f>HYPERLINK("https://fin.land.naver.com/articles/2650478669", "매물Link")</f>
        <v/>
      </c>
      <c r="M759" s="6">
        <f>HYPERLINK("https://map.naver.com/p/search/연동면 내판리 419", "지도Link")</f>
        <v/>
      </c>
      <c r="N759" s="6">
        <f>HYPERLINK("http://www.eum.go.kr/web/ar/lu/luLandDet.jsp?pnu=3611032021104190000&amp;isNoScr=script&amp;mode=search", "토지이음")</f>
        <v/>
      </c>
      <c r="O759" s="3" t="inlineStr">
        <is>
          <t>가치잇는</t>
        </is>
      </c>
      <c r="P759" s="4" t="n">
        <v>1</v>
      </c>
      <c r="Q759" s="4" t="n">
        <v>1273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세로한면(불)</t>
        </is>
      </c>
    </row>
    <row r="760">
      <c r="A760" s="3" t="inlineStr">
        <is>
          <t>연동면 내판리 422</t>
        </is>
      </c>
      <c r="B760" s="3" t="inlineStr">
        <is>
          <t>계획관리지역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169000</v>
      </c>
      <c r="G760" s="4" t="n">
        <v>1603</v>
      </c>
      <c r="H760" s="4" t="n">
        <v>485</v>
      </c>
      <c r="I760" s="5" t="n">
        <v>348.5</v>
      </c>
      <c r="J760" s="5" t="n">
        <v>60.3</v>
      </c>
      <c r="K760" s="3" t="inlineStr">
        <is>
          <t>내판리 도로변 계획관리지역 답</t>
        </is>
      </c>
      <c r="L760" s="6">
        <f>HYPERLINK("https://fin.land.naver.com/articles/2650438078", "매물Link")</f>
        <v/>
      </c>
      <c r="M760" s="6">
        <f>HYPERLINK("https://map.naver.com/p/search/연동면 내판리 422", "지도Link")</f>
        <v/>
      </c>
      <c r="N760" s="6">
        <f>HYPERLINK("http://www.eum.go.kr/web/ar/lu/luLandDet.jsp?pnu=3611032021104220000&amp;isNoScr=script&amp;mode=search", "토지이음")</f>
        <v/>
      </c>
      <c r="O760" s="3" t="inlineStr">
        <is>
          <t>세종천지</t>
        </is>
      </c>
      <c r="P760" s="4" t="n">
        <v>1</v>
      </c>
      <c r="Q760" s="4" t="n">
        <v>1603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세로한면(가)</t>
        </is>
      </c>
    </row>
    <row r="761">
      <c r="A761" s="3" t="inlineStr">
        <is>
          <t>연동면 내판리 50-3</t>
        </is>
      </c>
      <c r="B761" s="3" t="inlineStr">
        <is>
          <t>계획관리지역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180000</v>
      </c>
      <c r="G761" s="4" t="n">
        <v>2406</v>
      </c>
      <c r="H761" s="4" t="n">
        <v>728</v>
      </c>
      <c r="I761" s="5" t="n">
        <v>247.3</v>
      </c>
      <c r="J761" s="5" t="n">
        <v>76.5</v>
      </c>
      <c r="K761" s="3" t="inlineStr">
        <is>
          <t>2차선 도로에 접해있는 계획관리 농지</t>
        </is>
      </c>
      <c r="L761" s="6">
        <f>HYPERLINK("https://fin.land.naver.com/articles/2648780268", "매물Link")</f>
        <v/>
      </c>
      <c r="M761" s="6">
        <f>HYPERLINK("https://map.naver.com/p/search/연동면 내판리 50-3", "지도Link")</f>
        <v/>
      </c>
      <c r="N761" s="6">
        <f>HYPERLINK("http://www.eum.go.kr/web/ar/lu/luLandDet.jsp?pnu=3611032021100500003&amp;isNoScr=script&amp;mode=search", "토지이음")</f>
        <v/>
      </c>
      <c r="O761" s="3" t="inlineStr">
        <is>
          <t>오송랜드</t>
        </is>
      </c>
      <c r="P761" s="4" t="n">
        <v>1</v>
      </c>
      <c r="Q761" s="4" t="n">
        <v>1188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세로한면(가)</t>
        </is>
      </c>
    </row>
    <row r="762">
      <c r="A762" s="3" t="inlineStr">
        <is>
          <t>연동면 내판리 572-1</t>
        </is>
      </c>
      <c r="B762" s="3" t="inlineStr">
        <is>
          <t>계획관리지역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12000</v>
      </c>
      <c r="G762" s="4" t="n">
        <v>97</v>
      </c>
      <c r="H762" s="4" t="n">
        <v>29</v>
      </c>
      <c r="I762" s="5" t="n">
        <v>413.8</v>
      </c>
      <c r="J762" s="5" t="n">
        <v>63.2</v>
      </c>
      <c r="K762" s="3" t="inlineStr">
        <is>
          <t>세종시5생활권주변지역 위치좋은 매물</t>
        </is>
      </c>
      <c r="L762" s="6">
        <f>HYPERLINK("https://fin.land.naver.com/articles/2647918059", "매물Link")</f>
        <v/>
      </c>
      <c r="M762" s="6">
        <f>HYPERLINK("https://map.naver.com/p/search/연동면 내판리 572-1", "지도Link")</f>
        <v/>
      </c>
      <c r="N762" s="6">
        <f>HYPERLINK("http://www.eum.go.kr/web/ar/lu/luLandDet.jsp?pnu=3611032021105720001&amp;isNoScr=script&amp;mode=search", "토지이음")</f>
        <v/>
      </c>
      <c r="O762" s="3" t="inlineStr">
        <is>
          <t>대박</t>
        </is>
      </c>
      <c r="P762" s="4" t="n">
        <v>1</v>
      </c>
      <c r="Q762" s="4" t="n">
        <v>97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63-1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60000</v>
      </c>
      <c r="G763" s="4" t="n">
        <v>640</v>
      </c>
      <c r="H763" s="4" t="n">
        <v>194</v>
      </c>
      <c r="I763" s="5" t="n">
        <v>309.3</v>
      </c>
      <c r="J763" s="5" t="n">
        <v>71.5</v>
      </c>
      <c r="K763" s="3" t="inlineStr">
        <is>
          <t>농업용창고있음.도로에 접해있는 땅으로 접근성 좋습니다.</t>
        </is>
      </c>
      <c r="L763" s="6">
        <f>HYPERLINK("https://fin.land.naver.com/articles/2650744703", "매물Link")</f>
        <v/>
      </c>
      <c r="M763" s="6">
        <f>HYPERLINK("https://map.naver.com/p/search/연동면 내판리 63-1", "지도Link")</f>
        <v/>
      </c>
      <c r="N763" s="6">
        <f>HYPERLINK("http://www.eum.go.kr/web/ar/lu/luLandDet.jsp?pnu=3611032021100630001&amp;isNoScr=script&amp;mode=search", "토지이음")</f>
        <v/>
      </c>
      <c r="O763" s="3" t="inlineStr">
        <is>
          <t>복수자이</t>
        </is>
      </c>
      <c r="P763" s="4" t="n">
        <v>1</v>
      </c>
      <c r="Q763" s="4" t="n">
        <v>640</v>
      </c>
      <c r="R763" s="3" t="inlineStr">
        <is>
          <t>지정되지않음</t>
        </is>
      </c>
      <c r="S763" s="3" t="inlineStr">
        <is>
          <t>답기타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소로한면</t>
        </is>
      </c>
    </row>
    <row r="764">
      <c r="A764" s="3" t="inlineStr">
        <is>
          <t>연동면 내판리 64-1</t>
        </is>
      </c>
      <c r="B764" s="3" t="inlineStr">
        <is>
          <t>계획관리지역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88000</v>
      </c>
      <c r="G764" s="4" t="n">
        <v>1167</v>
      </c>
      <c r="H764" s="4" t="n">
        <v>353</v>
      </c>
      <c r="I764" s="5" t="n">
        <v>249.3</v>
      </c>
      <c r="J764" s="5" t="n">
        <v>83.3</v>
      </c>
      <c r="K764" s="3" t="inlineStr">
        <is>
          <t>급매, 계획관리지역,성장관리계획구역 도로접</t>
        </is>
      </c>
      <c r="L764" s="6">
        <f>HYPERLINK("https://fin.land.naver.com/articles/2646558474", "매물Link")</f>
        <v/>
      </c>
      <c r="M764" s="6">
        <f>HYPERLINK("https://map.naver.com/p/search/연동면 내판리 64-1", "지도Link")</f>
        <v/>
      </c>
      <c r="N764" s="6">
        <f>HYPERLINK("http://www.eum.go.kr/web/ar/lu/luLandDet.jsp?pnu=3611032021100640001&amp;isNoScr=script&amp;mode=search", "토지이음")</f>
        <v/>
      </c>
      <c r="O764" s="3" t="inlineStr">
        <is>
          <t>굿모닝한라</t>
        </is>
      </c>
      <c r="P764" s="4" t="n">
        <v>1</v>
      </c>
      <c r="Q764" s="4" t="n">
        <v>1167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소로한면</t>
        </is>
      </c>
    </row>
    <row r="765">
      <c r="A765" s="3" t="inlineStr">
        <is>
          <t>연동면 내판리 65-1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280000</v>
      </c>
      <c r="G765" s="4" t="n">
        <v>1428</v>
      </c>
      <c r="H765" s="4" t="n">
        <v>432</v>
      </c>
      <c r="I765" s="5" t="n">
        <v>648.1</v>
      </c>
      <c r="J765" s="5" t="n">
        <v>83.3</v>
      </c>
      <c r="K765" s="3" t="inlineStr">
        <is>
          <t>세종5생활권 2차도로 접도 계획관리 토지 매매</t>
        </is>
      </c>
      <c r="L765" s="6">
        <f>HYPERLINK("https://fin.land.naver.com/articles/2649688971", "매물Link")</f>
        <v/>
      </c>
      <c r="M765" s="6">
        <f>HYPERLINK("https://map.naver.com/p/search/연동면 내판리 65-1", "지도Link")</f>
        <v/>
      </c>
      <c r="N765" s="6">
        <f>HYPERLINK("http://www.eum.go.kr/web/ar/lu/luLandDet.jsp?pnu=3611032021100650001&amp;isNoScr=script&amp;mode=search", "토지이음")</f>
        <v/>
      </c>
      <c r="O765" s="3" t="inlineStr">
        <is>
          <t>행운</t>
        </is>
      </c>
      <c r="P765" s="4" t="n">
        <v>1</v>
      </c>
      <c r="Q765" s="4" t="n">
        <v>1468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소로한면</t>
        </is>
      </c>
    </row>
    <row r="766">
      <c r="A766" s="3" t="inlineStr">
        <is>
          <t>연동면 내판리 65-1</t>
        </is>
      </c>
      <c r="B766" s="3" t="inlineStr">
        <is>
          <t>계획관리지역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149000</v>
      </c>
      <c r="G766" s="4" t="n">
        <v>2635</v>
      </c>
      <c r="H766" s="4" t="n">
        <v>797</v>
      </c>
      <c r="I766" s="5" t="n">
        <v>187</v>
      </c>
      <c r="J766" s="5" t="n">
        <v>83.3</v>
      </c>
      <c r="K766" s="3" t="inlineStr">
        <is>
          <t>급매,계획관리구역,성장관리계획구역</t>
        </is>
      </c>
      <c r="L766" s="6">
        <f>HYPERLINK("https://fin.land.naver.com/articles/2646558266", "매물Link")</f>
        <v/>
      </c>
      <c r="M766" s="6">
        <f>HYPERLINK("https://map.naver.com/p/search/연동면 내판리 65-1", "지도Link")</f>
        <v/>
      </c>
      <c r="N766" s="6">
        <f>HYPERLINK("http://www.eum.go.kr/web/ar/lu/luLandDet.jsp?pnu=3611032021100650001&amp;isNoScr=script&amp;mode=search", "토지이음")</f>
        <v/>
      </c>
      <c r="O766" s="3" t="inlineStr">
        <is>
          <t>굿모닝한라</t>
        </is>
      </c>
      <c r="P766" s="4" t="n">
        <v>1</v>
      </c>
      <c r="Q766" s="4" t="n">
        <v>1468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연동면 내판리 산2</t>
        </is>
      </c>
      <c r="B767" s="3" t="inlineStr">
        <is>
          <t>계획관리지역</t>
        </is>
      </c>
      <c r="C767" s="3" t="inlineStr">
        <is>
          <t>임야</t>
        </is>
      </c>
      <c r="D767" s="3" t="inlineStr">
        <is>
          <t>임야</t>
        </is>
      </c>
      <c r="E767" s="3" t="inlineStr">
        <is>
          <t>매매</t>
        </is>
      </c>
      <c r="F767" s="4" t="n">
        <v>100000</v>
      </c>
      <c r="G767" s="4" t="n">
        <v>1587</v>
      </c>
      <c r="H767" s="4" t="n">
        <v>480</v>
      </c>
      <c r="I767" s="5" t="n">
        <v>208.3</v>
      </c>
      <c r="J767" s="5" t="n">
        <v>36.2</v>
      </c>
      <c r="K767" s="3" t="inlineStr">
        <is>
          <t>계획관리,도시계획도로접,지구단위계획구역,땅모양좋음,조정가</t>
        </is>
      </c>
      <c r="L767" s="6">
        <f>HYPERLINK("https://fin.land.naver.com/articles/2650882718", "매물Link")</f>
        <v/>
      </c>
      <c r="M767" s="6">
        <f>HYPERLINK("https://map.naver.com/p/search/연동면 내판리 산2", "지도Link")</f>
        <v/>
      </c>
      <c r="N767" s="6">
        <f>HYPERLINK("http://www.eum.go.kr/web/ar/lu/luLandDet.jsp?pnu=3611032021200020000&amp;isNoScr=script&amp;mode=search", "토지이음")</f>
        <v/>
      </c>
      <c r="O767" s="3" t="inlineStr">
        <is>
          <t>힐스테이트행복</t>
        </is>
      </c>
      <c r="P767" s="4" t="n">
        <v>1</v>
      </c>
      <c r="Q767" s="4" t="n">
        <v>1587</v>
      </c>
      <c r="R767" s="3" t="inlineStr">
        <is>
          <t>지정되지않음</t>
        </is>
      </c>
      <c r="S767" s="3" t="inlineStr">
        <is>
          <t>자연림</t>
        </is>
      </c>
      <c r="T767" s="3" t="inlineStr">
        <is>
          <t>완경사</t>
        </is>
      </c>
      <c r="U767" s="3" t="inlineStr">
        <is>
          <t>가로장방</t>
        </is>
      </c>
      <c r="V767" s="3" t="inlineStr">
        <is>
          <t>세로각지(가)</t>
        </is>
      </c>
    </row>
    <row r="768">
      <c r="A768" s="3" t="inlineStr">
        <is>
          <t>연동면 노송리 221</t>
        </is>
      </c>
      <c r="B768" s="3" t="inlineStr">
        <is>
          <t>계획관리지역</t>
        </is>
      </c>
      <c r="C768" s="3" t="inlineStr"/>
      <c r="D768" s="3" t="inlineStr">
        <is>
          <t>과수원</t>
        </is>
      </c>
      <c r="E768" s="3" t="inlineStr">
        <is>
          <t>매매</t>
        </is>
      </c>
      <c r="F768" s="4" t="n">
        <v>86000</v>
      </c>
      <c r="G768" s="4" t="n">
        <v>2364</v>
      </c>
      <c r="H768" s="4" t="n">
        <v>715</v>
      </c>
      <c r="I768" s="5" t="n">
        <v>120.3</v>
      </c>
      <c r="J768" s="5" t="n">
        <v>39.5</v>
      </c>
      <c r="K768" s="3" t="inlineStr">
        <is>
          <t>연동면 노송리 저렴한 계획관리 토지, 도로접, 투자 추천</t>
        </is>
      </c>
      <c r="L768" s="6">
        <f>HYPERLINK("https://fin.land.naver.com/articles/2646421693", "매물Link")</f>
        <v/>
      </c>
      <c r="M768" s="6">
        <f>HYPERLINK("https://map.naver.com/p/search/연동면 노송리 221", "지도Link")</f>
        <v/>
      </c>
      <c r="N768" s="6">
        <f>HYPERLINK("http://www.eum.go.kr/web/ar/lu/luLandDet.jsp?pnu=3611032025102210000&amp;isNoScr=script&amp;mode=search", "토지이음")</f>
        <v/>
      </c>
      <c r="O768" s="3" t="inlineStr">
        <is>
          <t>스카이</t>
        </is>
      </c>
      <c r="P768" s="4" t="n">
        <v>1</v>
      </c>
      <c r="Q768" s="4" t="n">
        <v>0</v>
      </c>
      <c r="R768" s="3" t="inlineStr">
        <is>
          <t>지정되지않음</t>
        </is>
      </c>
      <c r="S768" s="3" t="inlineStr">
        <is>
          <t>과수원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연동면 노송리 234-1</t>
        </is>
      </c>
      <c r="B769" s="3" t="inlineStr">
        <is>
          <t>계획관리지역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17800</v>
      </c>
      <c r="G769" s="4" t="n">
        <v>283</v>
      </c>
      <c r="H769" s="4" t="n">
        <v>86</v>
      </c>
      <c r="I769" s="5" t="n">
        <v>207</v>
      </c>
      <c r="J769" s="5" t="n">
        <v>73.40000000000001</v>
      </c>
      <c r="K769" s="3" t="inlineStr">
        <is>
          <t>nan</t>
        </is>
      </c>
      <c r="L769" s="6">
        <f>HYPERLINK("https://fin.land.naver.com/articles/2647747743", "매물Link")</f>
        <v/>
      </c>
      <c r="M769" s="6">
        <f>HYPERLINK("https://map.naver.com/p/search/연동면 노송리 234-1", "지도Link")</f>
        <v/>
      </c>
      <c r="N769" s="6">
        <f>HYPERLINK("http://www.eum.go.kr/web/ar/lu/luLandDet.jsp?pnu=3611032025102340001&amp;isNoScr=script&amp;mode=search", "토지이음")</f>
        <v/>
      </c>
      <c r="O769" s="3" t="inlineStr">
        <is>
          <t>다산</t>
        </is>
      </c>
      <c r="P769" s="4" t="n">
        <v>1</v>
      </c>
      <c r="Q769" s="4" t="n">
        <v>283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세로한면(가)</t>
        </is>
      </c>
    </row>
    <row r="770">
      <c r="A770" s="3" t="inlineStr">
        <is>
          <t>연동면 노송리 24</t>
        </is>
      </c>
      <c r="B770" s="3" t="inlineStr">
        <is>
          <t>계획관리지역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12600</v>
      </c>
      <c r="G770" s="4" t="n">
        <v>417</v>
      </c>
      <c r="H770" s="4" t="n">
        <v>126</v>
      </c>
      <c r="I770" s="5" t="n">
        <v>100</v>
      </c>
      <c r="J770" s="5" t="n">
        <v>65</v>
      </c>
      <c r="K770" s="3" t="inlineStr">
        <is>
          <t>지대가 높아 남향으로 집을 지으면 조망이 좋은 계획관리지역의 대지입니다</t>
        </is>
      </c>
      <c r="L770" s="6">
        <f>HYPERLINK("https://fin.land.naver.com/articles/2646324086", "매물Link")</f>
        <v/>
      </c>
      <c r="M770" s="6">
        <f>HYPERLINK("https://map.naver.com/p/search/연동면 노송리 24", "지도Link")</f>
        <v/>
      </c>
      <c r="N770" s="6">
        <f>HYPERLINK("http://www.eum.go.kr/web/ar/lu/luLandDet.jsp?pnu=3611032025100240000&amp;isNoScr=script&amp;mode=search", "토지이음")</f>
        <v/>
      </c>
      <c r="O770" s="3" t="inlineStr">
        <is>
          <t>스마일세종</t>
        </is>
      </c>
      <c r="P770" s="4" t="n">
        <v>1</v>
      </c>
      <c r="Q770" s="4" t="n">
        <v>179</v>
      </c>
      <c r="R770" s="3" t="inlineStr">
        <is>
          <t>지정되지않음</t>
        </is>
      </c>
      <c r="S770" s="3" t="inlineStr">
        <is>
          <t>단독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연동면 노송리 246-2</t>
        </is>
      </c>
      <c r="B771" s="3" t="inlineStr">
        <is>
          <t>계획관리지역</t>
        </is>
      </c>
      <c r="C771" s="3" t="inlineStr">
        <is>
          <t>과수원</t>
        </is>
      </c>
      <c r="D771" s="3" t="inlineStr">
        <is>
          <t>전</t>
        </is>
      </c>
      <c r="E771" s="3" t="inlineStr">
        <is>
          <t>매매</t>
        </is>
      </c>
      <c r="F771" s="4" t="n">
        <v>92000</v>
      </c>
      <c r="G771" s="4" t="n">
        <v>2034</v>
      </c>
      <c r="H771" s="4" t="n">
        <v>615</v>
      </c>
      <c r="I771" s="5" t="n">
        <v>149.6</v>
      </c>
      <c r="J771" s="5" t="n">
        <v>46.3</v>
      </c>
      <c r="K771" s="3" t="inlineStr">
        <is>
          <t>연접된 2필지 토지로 지목은 전, 과수원으로 구성됨</t>
        </is>
      </c>
      <c r="L771" s="6">
        <f>HYPERLINK("https://fin.land.naver.com/articles/2650782555", "매물Link")</f>
        <v/>
      </c>
      <c r="M771" s="6">
        <f>HYPERLINK("https://map.naver.com/p/search/연동면 노송리 246-2", "지도Link")</f>
        <v/>
      </c>
      <c r="N771" s="6">
        <f>HYPERLINK("http://www.eum.go.kr/web/ar/lu/luLandDet.jsp?pnu=3611032025102460002&amp;isNoScr=script&amp;mode=search", "토지이음")</f>
        <v/>
      </c>
      <c r="O771" s="3" t="inlineStr">
        <is>
          <t>탑</t>
        </is>
      </c>
      <c r="P771" s="4" t="n">
        <v>1</v>
      </c>
      <c r="Q771" s="4" t="n">
        <v>1090</v>
      </c>
      <c r="R771" s="3" t="inlineStr">
        <is>
          <t>지정되지않음</t>
        </is>
      </c>
      <c r="S771" s="3" t="inlineStr">
        <is>
          <t>과수원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노송리 275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39500</v>
      </c>
      <c r="G772" s="4" t="n">
        <v>724</v>
      </c>
      <c r="H772" s="4" t="n">
        <v>219</v>
      </c>
      <c r="I772" s="5" t="n">
        <v>180.4</v>
      </c>
      <c r="J772" s="5" t="n">
        <v>67.7</v>
      </c>
      <c r="K772" s="3" t="inlineStr">
        <is>
          <t>매매가 조절가능,집 짓고 텃밭하기 좋은 땅</t>
        </is>
      </c>
      <c r="L772" s="6">
        <f>HYPERLINK("https://fin.land.naver.com/articles/2651247824", "매물Link")</f>
        <v/>
      </c>
      <c r="M772" s="6">
        <f>HYPERLINK("https://map.naver.com/p/search/연동면 노송리 275", "지도Link")</f>
        <v/>
      </c>
      <c r="N772" s="6">
        <f>HYPERLINK("http://www.eum.go.kr/web/ar/lu/luLandDet.jsp?pnu=3611032025102750000&amp;isNoScr=script&amp;mode=search", "토지이음")</f>
        <v/>
      </c>
      <c r="O772" s="3" t="inlineStr">
        <is>
          <t>엘리프단지내대표</t>
        </is>
      </c>
      <c r="P772" s="4" t="n">
        <v>1</v>
      </c>
      <c r="Q772" s="4" t="n">
        <v>724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정방형</t>
        </is>
      </c>
      <c r="V772" s="3" t="inlineStr">
        <is>
          <t>세로한면(가)</t>
        </is>
      </c>
    </row>
    <row r="773">
      <c r="A773" s="3" t="inlineStr">
        <is>
          <t>연동면 노송리 28-6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35000</v>
      </c>
      <c r="G773" s="4" t="n">
        <v>465</v>
      </c>
      <c r="H773" s="4" t="n">
        <v>141</v>
      </c>
      <c r="I773" s="5" t="n">
        <v>248.2</v>
      </c>
      <c r="J773" s="5" t="n">
        <v>68.40000000000001</v>
      </c>
      <c r="K773" s="3" t="inlineStr">
        <is>
          <t>바로 건축할수 있는 나대지,3미터 포장도로 진입가능</t>
        </is>
      </c>
      <c r="L773" s="6">
        <f>HYPERLINK("https://fin.land.naver.com/articles/2648645998", "매물Link")</f>
        <v/>
      </c>
      <c r="M773" s="6">
        <f>HYPERLINK("https://map.naver.com/p/search/연동면 노송리 28-6", "지도Link")</f>
        <v/>
      </c>
      <c r="N773" s="6">
        <f>HYPERLINK("http://www.eum.go.kr/web/ar/lu/luLandDet.jsp?pnu=3611032025100280006&amp;isNoScr=script&amp;mode=search", "토지이음")</f>
        <v/>
      </c>
      <c r="O773" s="3" t="inlineStr">
        <is>
          <t>보람최고</t>
        </is>
      </c>
      <c r="P773" s="4" t="n">
        <v>2</v>
      </c>
      <c r="Q773" s="4" t="n">
        <v>465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완경사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노송리 302-1</t>
        </is>
      </c>
      <c r="B774" s="3" t="inlineStr">
        <is>
          <t>계획관리지역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162000</v>
      </c>
      <c r="G774" s="4" t="n">
        <v>1983</v>
      </c>
      <c r="H774" s="4" t="n">
        <v>600</v>
      </c>
      <c r="I774" s="5" t="n">
        <v>270</v>
      </c>
      <c r="J774" s="5" t="n">
        <v>13.9</v>
      </c>
      <c r="K774" s="3" t="inlineStr">
        <is>
          <t>계획관리 투자용으로도 좋아요</t>
        </is>
      </c>
      <c r="L774" s="6">
        <f>HYPERLINK("https://fin.land.naver.com/articles/2648188622", "매물Link")</f>
        <v/>
      </c>
      <c r="M774" s="6">
        <f>HYPERLINK("https://map.naver.com/p/search/연동면 노송리 302-1", "지도Link")</f>
        <v/>
      </c>
      <c r="N774" s="6">
        <f>HYPERLINK("http://www.eum.go.kr/web/ar/lu/luLandDet.jsp?pnu=3611032025103020001&amp;isNoScr=script&amp;mode=search", "토지이음")</f>
        <v/>
      </c>
      <c r="O774" s="3" t="inlineStr">
        <is>
          <t>가치잇는</t>
        </is>
      </c>
      <c r="P774" s="4" t="n">
        <v>1</v>
      </c>
      <c r="Q774" s="4" t="n">
        <v>30</v>
      </c>
      <c r="R774" s="3" t="inlineStr">
        <is>
          <t>지정되지않음</t>
        </is>
      </c>
      <c r="S774" s="3" t="inlineStr">
        <is>
          <t>도로등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지정되지않음</t>
        </is>
      </c>
    </row>
    <row r="775">
      <c r="A775" s="3" t="inlineStr">
        <is>
          <t>연동면 노송리 310-10</t>
        </is>
      </c>
      <c r="B775" s="3" t="inlineStr">
        <is>
          <t>계획관리지역</t>
        </is>
      </c>
      <c r="C775" s="3" t="inlineStr">
        <is>
          <t>임야</t>
        </is>
      </c>
      <c r="D775" s="3" t="inlineStr">
        <is>
          <t>임야</t>
        </is>
      </c>
      <c r="E775" s="3" t="inlineStr">
        <is>
          <t>매매</t>
        </is>
      </c>
      <c r="F775" s="4" t="n">
        <v>45000</v>
      </c>
      <c r="G775" s="4" t="n">
        <v>616</v>
      </c>
      <c r="H775" s="4" t="n">
        <v>186</v>
      </c>
      <c r="I775" s="5" t="n">
        <v>241.9</v>
      </c>
      <c r="J775" s="5" t="n">
        <v>18.9</v>
      </c>
      <c r="K775" s="3" t="inlineStr">
        <is>
          <t>투자용으로 좋아요.</t>
        </is>
      </c>
      <c r="L775" s="6">
        <f>HYPERLINK("https://fin.land.naver.com/articles/2650453793", "매물Link")</f>
        <v/>
      </c>
      <c r="M775" s="6">
        <f>HYPERLINK("https://map.naver.com/p/search/연동면 노송리 310-10", "지도Link")</f>
        <v/>
      </c>
      <c r="N775" s="6">
        <f>HYPERLINK("http://www.eum.go.kr/web/ar/lu/luLandDet.jsp?pnu=3611032025103100010&amp;isNoScr=script&amp;mode=search", "토지이음")</f>
        <v/>
      </c>
      <c r="O775" s="3" t="inlineStr">
        <is>
          <t>고운동리치세종</t>
        </is>
      </c>
      <c r="P775" s="4" t="n">
        <v>1</v>
      </c>
      <c r="Q775" s="4" t="n">
        <v>616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연동면 노송리 329-5</t>
        </is>
      </c>
      <c r="B776" s="3" t="inlineStr">
        <is>
          <t>계획관리지역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23000</v>
      </c>
      <c r="G776" s="4" t="n">
        <v>254</v>
      </c>
      <c r="H776" s="4" t="n">
        <v>77</v>
      </c>
      <c r="I776" s="5" t="n">
        <v>298.7</v>
      </c>
      <c r="J776" s="5" t="n">
        <v>47.2</v>
      </c>
      <c r="K776" s="3" t="inlineStr">
        <is>
          <t>2차선 도로에 접함, 건축허가 득함</t>
        </is>
      </c>
      <c r="L776" s="6">
        <f>HYPERLINK("https://fin.land.naver.com/articles/2649582469", "매물Link")</f>
        <v/>
      </c>
      <c r="M776" s="6">
        <f>HYPERLINK("https://map.naver.com/p/search/연동면 노송리 329-5", "지도Link")</f>
        <v/>
      </c>
      <c r="N776" s="6">
        <f>HYPERLINK("http://www.eum.go.kr/web/ar/lu/luLandDet.jsp?pnu=3611032025103290005&amp;isNoScr=script&amp;mode=search", "토지이음")</f>
        <v/>
      </c>
      <c r="O776" s="3" t="inlineStr">
        <is>
          <t>제이</t>
        </is>
      </c>
      <c r="P776" s="4" t="n">
        <v>1</v>
      </c>
      <c r="Q776" s="4" t="n">
        <v>254</v>
      </c>
      <c r="R776" s="3" t="inlineStr">
        <is>
          <t>지정되지않음</t>
        </is>
      </c>
      <c r="S776" s="3" t="inlineStr">
        <is>
          <t>과수원</t>
        </is>
      </c>
      <c r="T776" s="3" t="inlineStr">
        <is>
          <t>완경사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연동면 노송리 384</t>
        </is>
      </c>
      <c r="B777" s="3" t="inlineStr">
        <is>
          <t>계획관리지역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104400</v>
      </c>
      <c r="G777" s="4" t="n">
        <v>2876</v>
      </c>
      <c r="H777" s="4" t="n">
        <v>870</v>
      </c>
      <c r="I777" s="5" t="n">
        <v>120</v>
      </c>
      <c r="J777" s="5" t="n">
        <v>32.8</v>
      </c>
      <c r="K777" s="3" t="inlineStr">
        <is>
          <t>연동면 노송리 계획관리 토지, 연동면 소재지 인근</t>
        </is>
      </c>
      <c r="L777" s="6">
        <f>HYPERLINK("https://fin.land.naver.com/articles/2646008416", "매물Link")</f>
        <v/>
      </c>
      <c r="M777" s="6">
        <f>HYPERLINK("https://map.naver.com/p/search/연동면 노송리 384", "지도Link")</f>
        <v/>
      </c>
      <c r="N777" s="6">
        <f>HYPERLINK("http://www.eum.go.kr/web/ar/lu/luLandDet.jsp?pnu=3611032025103840000&amp;isNoScr=script&amp;mode=search", "토지이음")</f>
        <v/>
      </c>
      <c r="O777" s="3" t="inlineStr">
        <is>
          <t>스카이</t>
        </is>
      </c>
      <c r="P777" s="4" t="n">
        <v>1</v>
      </c>
      <c r="Q777" s="4" t="n">
        <v>2876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세로장방</t>
        </is>
      </c>
      <c r="V777" s="3" t="inlineStr">
        <is>
          <t>맹지</t>
        </is>
      </c>
    </row>
    <row r="778">
      <c r="A778" s="3" t="inlineStr">
        <is>
          <t>연동면 노송리 449-1</t>
        </is>
      </c>
      <c r="B778" s="3" t="inlineStr">
        <is>
          <t>계획관리지역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85000</v>
      </c>
      <c r="G778" s="4" t="n">
        <v>2320</v>
      </c>
      <c r="H778" s="4" t="n">
        <v>702</v>
      </c>
      <c r="I778" s="5" t="n">
        <v>121.1</v>
      </c>
      <c r="J778" s="5" t="n">
        <v>34.4</v>
      </c>
      <c r="K778" s="3" t="inlineStr">
        <is>
          <t>세종시 복합물류터미널 인근 2차선 국도변 계획관리 토지</t>
        </is>
      </c>
      <c r="L778" s="6">
        <f>HYPERLINK("https://fin.land.naver.com/articles/2651339680", "매물Link")</f>
        <v/>
      </c>
      <c r="M778" s="6">
        <f>HYPERLINK("https://map.naver.com/p/search/연동면 노송리 449-1", "지도Link")</f>
        <v/>
      </c>
      <c r="N778" s="6">
        <f>HYPERLINK("http://www.eum.go.kr/web/ar/lu/luLandDet.jsp?pnu=3611032025104490001&amp;isNoScr=script&amp;mode=search", "토지이음")</f>
        <v/>
      </c>
      <c r="O778" s="3" t="inlineStr">
        <is>
          <t>오송3산단  사무소</t>
        </is>
      </c>
      <c r="P778" s="4" t="n">
        <v>1</v>
      </c>
      <c r="Q778" s="4" t="n">
        <v>2320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연동면 노송리 50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150000</v>
      </c>
      <c r="G779" s="4" t="n">
        <v>1982</v>
      </c>
      <c r="H779" s="4" t="n">
        <v>600</v>
      </c>
      <c r="I779" s="5" t="n">
        <v>250</v>
      </c>
      <c r="J779" s="5" t="n">
        <v>53.2</v>
      </c>
      <c r="K779" s="3" t="inlineStr">
        <is>
          <t>2차선도로접, 계획관리, 4거리변위치, 산단인근 매매가조절가능</t>
        </is>
      </c>
      <c r="L779" s="6">
        <f>HYPERLINK("https://fin.land.naver.com/articles/2650857996", "매물Link")</f>
        <v/>
      </c>
      <c r="M779" s="6">
        <f>HYPERLINK("https://map.naver.com/p/search/연동면 노송리 50", "지도Link")</f>
        <v/>
      </c>
      <c r="N779" s="6">
        <f>HYPERLINK("http://www.eum.go.kr/web/ar/lu/luLandDet.jsp?pnu=3611032025100500000&amp;isNoScr=script&amp;mode=search", "토지이음")</f>
        <v/>
      </c>
      <c r="O779" s="3" t="inlineStr">
        <is>
          <t>힐스테이트정문</t>
        </is>
      </c>
      <c r="P779" s="4" t="n">
        <v>1</v>
      </c>
      <c r="Q779" s="4" t="n">
        <v>1982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소로한면</t>
        </is>
      </c>
    </row>
    <row r="780">
      <c r="A780" s="3" t="inlineStr">
        <is>
          <t>연동면 노송리 500-1</t>
        </is>
      </c>
      <c r="B780" s="3" t="inlineStr">
        <is>
          <t>농림지역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102400</v>
      </c>
      <c r="G780" s="4" t="n">
        <v>4734</v>
      </c>
      <c r="H780" s="4" t="n">
        <v>1432</v>
      </c>
      <c r="I780" s="5" t="n">
        <v>71.5</v>
      </c>
      <c r="J780" s="5" t="n">
        <v>22.6</v>
      </c>
      <c r="K780" s="3" t="inlineStr">
        <is>
          <t>세종시 연동면 노송리 토지 매매 (답 4,734㎡) 10억 2,100만원</t>
        </is>
      </c>
      <c r="L780" s="6">
        <f>HYPERLINK("https://fin.land.naver.com/articles/2649343302", "매물Link")</f>
        <v/>
      </c>
      <c r="M780" s="6">
        <f>HYPERLINK("https://map.naver.com/p/search/연동면 노송리 500-1", "지도Link")</f>
        <v/>
      </c>
      <c r="N780" s="6">
        <f>HYPERLINK("http://www.eum.go.kr/web/ar/lu/luLandDet.jsp?pnu=3611032025105000001&amp;isNoScr=script&amp;mode=search", "토지이음")</f>
        <v/>
      </c>
      <c r="O780" s="3" t="inlineStr">
        <is>
          <t>세종</t>
        </is>
      </c>
      <c r="P780" s="4" t="n">
        <v>1</v>
      </c>
      <c r="Q780" s="4" t="n">
        <v>4734.6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평지</t>
        </is>
      </c>
      <c r="U780" s="3" t="inlineStr">
        <is>
          <t>세로장방</t>
        </is>
      </c>
      <c r="V780" s="3" t="inlineStr">
        <is>
          <t>세로한면(가)</t>
        </is>
      </c>
    </row>
    <row r="781">
      <c r="A781" s="3" t="inlineStr">
        <is>
          <t>연동면 명학리 101-7</t>
        </is>
      </c>
      <c r="B781" s="3" t="inlineStr">
        <is>
          <t>농림지역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500000</v>
      </c>
      <c r="G781" s="4" t="n">
        <v>3700</v>
      </c>
      <c r="H781" s="4" t="n">
        <v>1119</v>
      </c>
      <c r="I781" s="5" t="n">
        <v>446.8</v>
      </c>
      <c r="J781" s="5" t="n">
        <v>25.1</v>
      </c>
      <c r="K781" s="3" t="inlineStr">
        <is>
          <t>nan</t>
        </is>
      </c>
      <c r="L781" s="6">
        <f>HYPERLINK("https://fin.land.naver.com/articles/2646190272", "매물Link")</f>
        <v/>
      </c>
      <c r="M781" s="6">
        <f>HYPERLINK("https://map.naver.com/p/search/연동면 명학리 101-7", "지도Link")</f>
        <v/>
      </c>
      <c r="N781" s="6">
        <f>HYPERLINK("http://www.eum.go.kr/web/ar/lu/luLandDet.jsp?pnu=3611032023101010007&amp;isNoScr=script&amp;mode=search", "토지이음")</f>
        <v/>
      </c>
      <c r="O781" s="3" t="inlineStr">
        <is>
          <t>세종몽땅</t>
        </is>
      </c>
      <c r="P781" s="4" t="n">
        <v>1</v>
      </c>
      <c r="Q781" s="4" t="n">
        <v>3700</v>
      </c>
      <c r="R781" s="3" t="inlineStr">
        <is>
          <t>보전관리지역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명학리 101-7</t>
        </is>
      </c>
      <c r="B782" s="3" t="inlineStr">
        <is>
          <t>농림지역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100000</v>
      </c>
      <c r="G782" s="4" t="n">
        <v>645</v>
      </c>
      <c r="H782" s="4" t="n">
        <v>195</v>
      </c>
      <c r="I782" s="5" t="n">
        <v>512.8</v>
      </c>
      <c r="J782" s="5" t="n">
        <v>25.1</v>
      </c>
      <c r="K782" s="3" t="inlineStr">
        <is>
          <t>일부 매매,전체 매매 가능,도로변에 위치</t>
        </is>
      </c>
      <c r="L782" s="6">
        <f>HYPERLINK("https://fin.land.naver.com/articles/2649947423", "매물Link")</f>
        <v/>
      </c>
      <c r="M782" s="6">
        <f>HYPERLINK("https://map.naver.com/p/search/연동면 명학리 101-7", "지도Link")</f>
        <v/>
      </c>
      <c r="N782" s="6">
        <f>HYPERLINK("http://www.eum.go.kr/web/ar/lu/luLandDet.jsp?pnu=3611032023101010007&amp;isNoScr=script&amp;mode=search", "토지이음")</f>
        <v/>
      </c>
      <c r="O782" s="3" t="inlineStr">
        <is>
          <t>다산</t>
        </is>
      </c>
      <c r="P782" s="4" t="n">
        <v>1</v>
      </c>
      <c r="Q782" s="4" t="n">
        <v>3700</v>
      </c>
      <c r="R782" s="3" t="inlineStr">
        <is>
          <t>보전관리지역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명학리 101-7</t>
        </is>
      </c>
      <c r="B783" s="3" t="inlineStr">
        <is>
          <t>농림지역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500000</v>
      </c>
      <c r="G783" s="4" t="n">
        <v>3700</v>
      </c>
      <c r="H783" s="4" t="n">
        <v>1119</v>
      </c>
      <c r="I783" s="5" t="n">
        <v>446.8</v>
      </c>
      <c r="J783" s="5" t="n">
        <v>25.1</v>
      </c>
      <c r="K783" s="3" t="inlineStr">
        <is>
          <t>2차선 도로접한 금강이 보이는 지대 높은 토지,분할매매 가능,</t>
        </is>
      </c>
      <c r="L783" s="6">
        <f>HYPERLINK("https://fin.land.naver.com/articles/2648917205", "매물Link")</f>
        <v/>
      </c>
      <c r="M783" s="6">
        <f>HYPERLINK("https://map.naver.com/p/search/연동면 명학리 101-7", "지도Link")</f>
        <v/>
      </c>
      <c r="N783" s="6">
        <f>HYPERLINK("http://www.eum.go.kr/web/ar/lu/luLandDet.jsp?pnu=3611032023101010007&amp;isNoScr=script&amp;mode=search", "토지이음")</f>
        <v/>
      </c>
      <c r="O783" s="3" t="inlineStr">
        <is>
          <t>담뜰</t>
        </is>
      </c>
      <c r="P783" s="4" t="n">
        <v>5</v>
      </c>
      <c r="Q783" s="4" t="n">
        <v>3700</v>
      </c>
      <c r="R783" s="3" t="inlineStr">
        <is>
          <t>보전관리지역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소로한면</t>
        </is>
      </c>
    </row>
    <row r="784">
      <c r="A784" s="3" t="inlineStr">
        <is>
          <t>연동면 명학리 104-7</t>
        </is>
      </c>
      <c r="B784" s="3" t="inlineStr">
        <is>
          <t>농림지역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78400</v>
      </c>
      <c r="G784" s="4" t="n">
        <v>3920</v>
      </c>
      <c r="H784" s="4" t="n">
        <v>1186</v>
      </c>
      <c r="I784" s="5" t="n">
        <v>66.09999999999999</v>
      </c>
      <c r="J784" s="5" t="n">
        <v>4.9</v>
      </c>
      <c r="K784" s="3" t="inlineStr">
        <is>
          <t>금강이 보이는 지대 높은 토지,맹지 탈출 할 수있도록 해드려요</t>
        </is>
      </c>
      <c r="L784" s="6">
        <f>HYPERLINK("https://fin.land.naver.com/articles/2651262867", "매물Link")</f>
        <v/>
      </c>
      <c r="M784" s="6">
        <f>HYPERLINK("https://map.naver.com/p/search/연동면 명학리 104-7", "지도Link")</f>
        <v/>
      </c>
      <c r="N784" s="6">
        <f>HYPERLINK("http://www.eum.go.kr/web/ar/lu/luLandDet.jsp?pnu=3611032023101040007&amp;isNoScr=script&amp;mode=search", "토지이음")</f>
        <v/>
      </c>
      <c r="O784" s="3" t="inlineStr">
        <is>
          <t>담뜰</t>
        </is>
      </c>
      <c r="P784" s="4" t="n">
        <v>1</v>
      </c>
      <c r="Q784" s="4" t="n">
        <v>3920</v>
      </c>
      <c r="R784" s="3" t="inlineStr">
        <is>
          <t>지정되지않음</t>
        </is>
      </c>
      <c r="S784" s="3" t="inlineStr">
        <is>
          <t>자연림</t>
        </is>
      </c>
      <c r="T784" s="3" t="inlineStr">
        <is>
          <t>급경사</t>
        </is>
      </c>
      <c r="U784" s="3" t="inlineStr">
        <is>
          <t>부정형</t>
        </is>
      </c>
      <c r="V784" s="3" t="inlineStr">
        <is>
          <t>맹지</t>
        </is>
      </c>
    </row>
    <row r="785">
      <c r="A785" s="3" t="inlineStr">
        <is>
          <t>연동면 명학리 104-8</t>
        </is>
      </c>
      <c r="B785" s="3" t="inlineStr">
        <is>
          <t>보전관리지역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350000</v>
      </c>
      <c r="G785" s="4" t="n">
        <v>4578</v>
      </c>
      <c r="H785" s="4" t="n">
        <v>1385</v>
      </c>
      <c r="I785" s="5" t="n">
        <v>252.7</v>
      </c>
      <c r="J785" s="5" t="n">
        <v>159.8</v>
      </c>
      <c r="K785" s="3" t="inlineStr">
        <is>
          <t>세종시 금강변 2차선 도로변 토지</t>
        </is>
      </c>
      <c r="L785" s="6">
        <f>HYPERLINK("https://fin.land.naver.com/articles/2646902255", "매물Link")</f>
        <v/>
      </c>
      <c r="M785" s="6">
        <f>HYPERLINK("https://map.naver.com/p/search/연동면 명학리 104-8", "지도Link")</f>
        <v/>
      </c>
      <c r="N785" s="6">
        <f>HYPERLINK("http://www.eum.go.kr/web/ar/lu/luLandDet.jsp?pnu=3611032023101040008&amp;isNoScr=script&amp;mode=search", "토지이음")</f>
        <v/>
      </c>
      <c r="O785" s="3" t="inlineStr">
        <is>
          <t>대유</t>
        </is>
      </c>
      <c r="P785" s="4" t="n">
        <v>1</v>
      </c>
      <c r="Q785" s="4" t="n">
        <v>506</v>
      </c>
      <c r="R785" s="3" t="inlineStr">
        <is>
          <t>지정되지않음</t>
        </is>
      </c>
      <c r="S785" s="3" t="inlineStr">
        <is>
          <t>단독</t>
        </is>
      </c>
      <c r="T785" s="3" t="inlineStr">
        <is>
          <t>완경사</t>
        </is>
      </c>
      <c r="U785" s="3" t="inlineStr">
        <is>
          <t>자루형</t>
        </is>
      </c>
      <c r="V785" s="3" t="inlineStr">
        <is>
          <t>세로한면(가)</t>
        </is>
      </c>
    </row>
    <row r="786">
      <c r="A786" s="3" t="inlineStr">
        <is>
          <t>연동면 명학리 137</t>
        </is>
      </c>
      <c r="B786" s="3" t="inlineStr">
        <is>
          <t>보전관리지역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29700</v>
      </c>
      <c r="G786" s="4" t="n">
        <v>1121</v>
      </c>
      <c r="H786" s="4" t="n">
        <v>339</v>
      </c>
      <c r="I786" s="5" t="n">
        <v>87.59999999999999</v>
      </c>
      <c r="J786" s="5" t="n">
        <v>35.5</v>
      </c>
      <c r="K786" s="3" t="inlineStr">
        <is>
          <t>세종시 연동면 명학리 소형 토지 매매</t>
        </is>
      </c>
      <c r="L786" s="6">
        <f>HYPERLINK("https://fin.land.naver.com/articles/2648763478", "매물Link")</f>
        <v/>
      </c>
      <c r="M786" s="6">
        <f>HYPERLINK("https://map.naver.com/p/search/연동면 명학리 137", "지도Link")</f>
        <v/>
      </c>
      <c r="N786" s="6">
        <f>HYPERLINK("http://www.eum.go.kr/web/ar/lu/luLandDet.jsp?pnu=3611032023101370000&amp;isNoScr=script&amp;mode=search", "토지이음")</f>
        <v/>
      </c>
      <c r="O786" s="3" t="inlineStr">
        <is>
          <t>하이엔드</t>
        </is>
      </c>
      <c r="P786" s="4" t="n">
        <v>1</v>
      </c>
      <c r="Q786" s="4" t="n">
        <v>1121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맹지</t>
        </is>
      </c>
    </row>
    <row r="787">
      <c r="A787" s="3" t="inlineStr">
        <is>
          <t>연동면 명학리 137</t>
        </is>
      </c>
      <c r="B787" s="3" t="inlineStr">
        <is>
          <t>보전관리지역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64400</v>
      </c>
      <c r="G787" s="4" t="n">
        <v>1121</v>
      </c>
      <c r="H787" s="4" t="n">
        <v>339</v>
      </c>
      <c r="I787" s="5" t="n">
        <v>190</v>
      </c>
      <c r="J787" s="5" t="n">
        <v>35.5</v>
      </c>
      <c r="K787" s="3" t="inlineStr">
        <is>
          <t>보전관리, 전</t>
        </is>
      </c>
      <c r="L787" s="6">
        <f>HYPERLINK("https://fin.land.naver.com/articles/2649732862", "매물Link")</f>
        <v/>
      </c>
      <c r="M787" s="6">
        <f>HYPERLINK("https://map.naver.com/p/search/연동면 명학리 137", "지도Link")</f>
        <v/>
      </c>
      <c r="N787" s="6">
        <f>HYPERLINK("http://www.eum.go.kr/web/ar/lu/luLandDet.jsp?pnu=3611032023101370000&amp;isNoScr=script&amp;mode=search", "토지이음")</f>
        <v/>
      </c>
      <c r="O787" s="3" t="inlineStr">
        <is>
          <t>세종몽땅</t>
        </is>
      </c>
      <c r="P787" s="4" t="n">
        <v>1</v>
      </c>
      <c r="Q787" s="4" t="n">
        <v>1121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연동면 명학리 148-3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45000</v>
      </c>
      <c r="G788" s="4" t="n">
        <v>365</v>
      </c>
      <c r="H788" s="4" t="n">
        <v>110</v>
      </c>
      <c r="I788" s="5" t="n">
        <v>409.1</v>
      </c>
      <c r="J788" s="5" t="n">
        <v>113.6</v>
      </c>
      <c r="K788" s="3" t="inlineStr">
        <is>
          <t>2차선 도로변에 있는 대지로 활용도 높음, 5생활권 초인접 투자로 추천</t>
        </is>
      </c>
      <c r="L788" s="6">
        <f>HYPERLINK("https://fin.land.naver.com/articles/2650976147", "매물Link")</f>
        <v/>
      </c>
      <c r="M788" s="6">
        <f>HYPERLINK("https://map.naver.com/p/search/연동면 명학리 148-3", "지도Link")</f>
        <v/>
      </c>
      <c r="N788" s="6">
        <f>HYPERLINK("http://www.eum.go.kr/web/ar/lu/luLandDet.jsp?pnu=3611032023101480003&amp;isNoScr=script&amp;mode=search", "토지이음")</f>
        <v/>
      </c>
      <c r="O788" s="3" t="inlineStr">
        <is>
          <t>샘머리랜드</t>
        </is>
      </c>
      <c r="P788" s="4" t="n">
        <v>1</v>
      </c>
      <c r="Q788" s="4" t="n">
        <v>365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명학리 195-3</t>
        </is>
      </c>
      <c r="B789" s="3" t="inlineStr">
        <is>
          <t>계획관리지역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173000</v>
      </c>
      <c r="G789" s="4" t="n">
        <v>1636</v>
      </c>
      <c r="H789" s="4" t="n">
        <v>495</v>
      </c>
      <c r="I789" s="5" t="n">
        <v>349.5</v>
      </c>
      <c r="J789" s="5" t="n">
        <v>75.90000000000001</v>
      </c>
      <c r="K789" s="3" t="inlineStr">
        <is>
          <t>도로변 계획관리 토지 매매</t>
        </is>
      </c>
      <c r="L789" s="6">
        <f>HYPERLINK("https://fin.land.naver.com/articles/2646722363", "매물Link")</f>
        <v/>
      </c>
      <c r="M789" s="6">
        <f>HYPERLINK("https://map.naver.com/p/search/연동면 명학리 195-3", "지도Link")</f>
        <v/>
      </c>
      <c r="N789" s="6">
        <f>HYPERLINK("http://www.eum.go.kr/web/ar/lu/luLandDet.jsp?pnu=3611032023101950003&amp;isNoScr=script&amp;mode=search", "토지이음")</f>
        <v/>
      </c>
      <c r="O789" s="3" t="inlineStr">
        <is>
          <t>(주)정민근</t>
        </is>
      </c>
      <c r="P789" s="4" t="n">
        <v>1</v>
      </c>
      <c r="Q789" s="4" t="n">
        <v>1636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연동면 명학리 220</t>
        </is>
      </c>
      <c r="B790" s="3" t="inlineStr">
        <is>
          <t>계획관리지역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40000</v>
      </c>
      <c r="G790" s="4" t="n">
        <v>446</v>
      </c>
      <c r="H790" s="4" t="n">
        <v>135</v>
      </c>
      <c r="I790" s="5" t="n">
        <v>296.3</v>
      </c>
      <c r="J790" s="5" t="n">
        <v>98.7</v>
      </c>
      <c r="K790" s="3" t="inlineStr">
        <is>
          <t>nan</t>
        </is>
      </c>
      <c r="L790" s="6">
        <f>HYPERLINK("https://fin.land.naver.com/articles/2648256503", "매물Link")</f>
        <v/>
      </c>
      <c r="M790" s="6">
        <f>HYPERLINK("https://map.naver.com/p/search/연동면 명학리 220", "지도Link")</f>
        <v/>
      </c>
      <c r="N790" s="6">
        <f>HYPERLINK("http://www.eum.go.kr/web/ar/lu/luLandDet.jsp?pnu=3611032023102200000&amp;isNoScr=script&amp;mode=search", "토지이음")</f>
        <v/>
      </c>
      <c r="O790" s="3" t="inlineStr">
        <is>
          <t>연동스카이</t>
        </is>
      </c>
      <c r="P790" s="4" t="n">
        <v>1</v>
      </c>
      <c r="Q790" s="4" t="n">
        <v>446</v>
      </c>
      <c r="R790" s="3" t="inlineStr">
        <is>
          <t>지정되지않음</t>
        </is>
      </c>
      <c r="S790" s="3" t="inlineStr">
        <is>
          <t>단독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명학리 221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38000</v>
      </c>
      <c r="G791" s="4" t="n">
        <v>614</v>
      </c>
      <c r="H791" s="4" t="n">
        <v>186</v>
      </c>
      <c r="I791" s="5" t="n">
        <v>204.3</v>
      </c>
      <c r="J791" s="5" t="n">
        <v>102.5</v>
      </c>
      <c r="K791" s="3" t="inlineStr">
        <is>
          <t>나대지로 공기좋고 전원주택지 최상입니다</t>
        </is>
      </c>
      <c r="L791" s="6">
        <f>HYPERLINK("https://fin.land.naver.com/articles/2650466748", "매물Link")</f>
        <v/>
      </c>
      <c r="M791" s="6">
        <f>HYPERLINK("https://map.naver.com/p/search/연동면 명학리 221", "지도Link")</f>
        <v/>
      </c>
      <c r="N791" s="6">
        <f>HYPERLINK("http://www.eum.go.kr/web/ar/lu/luLandDet.jsp?pnu=3611032023102210000&amp;isNoScr=script&amp;mode=search", "토지이음")</f>
        <v/>
      </c>
      <c r="O791" s="3" t="inlineStr">
        <is>
          <t>청정</t>
        </is>
      </c>
      <c r="P791" s="4" t="n">
        <v>1</v>
      </c>
      <c r="Q791" s="4" t="n">
        <v>616</v>
      </c>
      <c r="R791" s="3" t="inlineStr">
        <is>
          <t>지정되지않음</t>
        </is>
      </c>
      <c r="S791" s="3" t="inlineStr">
        <is>
          <t>단독</t>
        </is>
      </c>
      <c r="T791" s="3" t="inlineStr">
        <is>
          <t>평지</t>
        </is>
      </c>
      <c r="U791" s="3" t="inlineStr">
        <is>
          <t>세로장방</t>
        </is>
      </c>
      <c r="V791" s="3" t="inlineStr">
        <is>
          <t>세로한면(가)</t>
        </is>
      </c>
    </row>
    <row r="792">
      <c r="A792" s="3" t="inlineStr">
        <is>
          <t>연동면 명학리 301-1</t>
        </is>
      </c>
      <c r="B792" s="3" t="inlineStr">
        <is>
          <t>계획관리지역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450000</v>
      </c>
      <c r="G792" s="4" t="n">
        <v>9882</v>
      </c>
      <c r="H792" s="4" t="n">
        <v>2989</v>
      </c>
      <c r="I792" s="5" t="n">
        <v>150.6</v>
      </c>
      <c r="J792" s="5" t="n">
        <v>59.1</v>
      </c>
      <c r="K792" s="3" t="inlineStr">
        <is>
          <t>2차선에서 도로확보하여 사업부지로 추천</t>
        </is>
      </c>
      <c r="L792" s="6">
        <f>HYPERLINK("https://fin.land.naver.com/articles/2651037490", "매물Link")</f>
        <v/>
      </c>
      <c r="M792" s="6">
        <f>HYPERLINK("https://map.naver.com/p/search/연동면 명학리 301-1", "지도Link")</f>
        <v/>
      </c>
      <c r="N792" s="6">
        <f>HYPERLINK("http://www.eum.go.kr/web/ar/lu/luLandDet.jsp?pnu=3611032023103010001&amp;isNoScr=script&amp;mode=search", "토지이음")</f>
        <v/>
      </c>
      <c r="O792" s="3" t="inlineStr">
        <is>
          <t>연동스카이</t>
        </is>
      </c>
      <c r="P792" s="4" t="n">
        <v>1</v>
      </c>
      <c r="Q792" s="4" t="n">
        <v>2645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완경사</t>
        </is>
      </c>
      <c r="U792" s="3" t="inlineStr">
        <is>
          <t>가로장방</t>
        </is>
      </c>
      <c r="V792" s="3" t="inlineStr">
        <is>
          <t>맹지</t>
        </is>
      </c>
    </row>
    <row r="793">
      <c r="A793" s="3" t="inlineStr">
        <is>
          <t>연동면 명학리 307-1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21400</v>
      </c>
      <c r="G793" s="4" t="n">
        <v>236</v>
      </c>
      <c r="H793" s="4" t="n">
        <v>71</v>
      </c>
      <c r="I793" s="5" t="n">
        <v>301.4</v>
      </c>
      <c r="J793" s="5" t="n">
        <v>98.7</v>
      </c>
      <c r="K793" s="3" t="inlineStr">
        <is>
          <t>세종5생활권연접된 소형토지매매21,400만원</t>
        </is>
      </c>
      <c r="L793" s="6">
        <f>HYPERLINK("https://fin.land.naver.com/articles/2647917727", "매물Link")</f>
        <v/>
      </c>
      <c r="M793" s="6">
        <f>HYPERLINK("https://map.naver.com/p/search/연동면 명학리 307-1", "지도Link")</f>
        <v/>
      </c>
      <c r="N793" s="6">
        <f>HYPERLINK("http://www.eum.go.kr/web/ar/lu/luLandDet.jsp?pnu=3611032023103070001&amp;isNoScr=script&amp;mode=search", "토지이음")</f>
        <v/>
      </c>
      <c r="O793" s="3" t="inlineStr">
        <is>
          <t>대박</t>
        </is>
      </c>
      <c r="P793" s="4" t="n">
        <v>1</v>
      </c>
      <c r="Q793" s="4" t="n">
        <v>236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정방형</t>
        </is>
      </c>
      <c r="V793" s="3" t="inlineStr">
        <is>
          <t>세로한면(가)</t>
        </is>
      </c>
    </row>
    <row r="794">
      <c r="A794" s="3" t="inlineStr">
        <is>
          <t>연동면 명학리 363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30000</v>
      </c>
      <c r="G794" s="4" t="n">
        <v>746</v>
      </c>
      <c r="H794" s="4" t="n">
        <v>226</v>
      </c>
      <c r="I794" s="5" t="n">
        <v>132.7</v>
      </c>
      <c r="J794" s="5" t="n">
        <v>45.2</v>
      </c>
      <c r="K794" s="3" t="inlineStr">
        <is>
          <t>도로 인접, 단독주택</t>
        </is>
      </c>
      <c r="L794" s="6">
        <f>HYPERLINK("https://fin.land.naver.com/articles/2648947156", "매물Link")</f>
        <v/>
      </c>
      <c r="M794" s="6">
        <f>HYPERLINK("https://map.naver.com/p/search/연동면 명학리 363", "지도Link")</f>
        <v/>
      </c>
      <c r="N794" s="6">
        <f>HYPERLINK("http://www.eum.go.kr/web/ar/lu/luLandDet.jsp?pnu=3611032023103630000&amp;isNoScr=script&amp;mode=search", "토지이음")</f>
        <v/>
      </c>
      <c r="O794" s="3" t="inlineStr">
        <is>
          <t>세종제일1</t>
        </is>
      </c>
      <c r="P794" s="4" t="n">
        <v>1</v>
      </c>
      <c r="Q794" s="4" t="n">
        <v>746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맹지</t>
        </is>
      </c>
    </row>
    <row r="795">
      <c r="A795" s="3" t="inlineStr">
        <is>
          <t>연동면 명학리 383-8</t>
        </is>
      </c>
      <c r="B795" s="3" t="inlineStr">
        <is>
          <t>보전관리지역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52000</v>
      </c>
      <c r="G795" s="4" t="n">
        <v>655</v>
      </c>
      <c r="H795" s="4" t="n">
        <v>198</v>
      </c>
      <c r="I795" s="5" t="n">
        <v>262.6</v>
      </c>
      <c r="J795" s="5" t="n">
        <v>13</v>
      </c>
      <c r="K795" s="3" t="inlineStr">
        <is>
          <t>세종 연동면 임야 매매｜보전관리지역준보전산지</t>
        </is>
      </c>
      <c r="L795" s="6">
        <f>HYPERLINK("https://fin.land.naver.com/articles/2648299185", "매물Link")</f>
        <v/>
      </c>
      <c r="M795" s="6">
        <f>HYPERLINK("https://map.naver.com/p/search/연동면 명학리 383-8", "지도Link")</f>
        <v/>
      </c>
      <c r="N795" s="6">
        <f>HYPERLINK("http://www.eum.go.kr/web/ar/lu/luLandDet.jsp?pnu=3611032023103830008&amp;isNoScr=script&amp;mode=search", "토지이음")</f>
        <v/>
      </c>
      <c r="O795" s="3" t="inlineStr">
        <is>
          <t>세종몽땅</t>
        </is>
      </c>
      <c r="P795" s="4" t="n">
        <v>1</v>
      </c>
      <c r="Q795" s="4" t="n">
        <v>655</v>
      </c>
      <c r="R795" s="3" t="inlineStr">
        <is>
          <t>지정되지않음</t>
        </is>
      </c>
      <c r="S795" s="3" t="inlineStr">
        <is>
          <t>자연림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연동면 명학리 385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71900</v>
      </c>
      <c r="G796" s="4" t="n">
        <v>720</v>
      </c>
      <c r="H796" s="4" t="n">
        <v>218</v>
      </c>
      <c r="I796" s="5" t="n">
        <v>329.8</v>
      </c>
      <c r="J796" s="5" t="n">
        <v>52.8</v>
      </c>
      <c r="K796" s="3" t="inlineStr">
        <is>
          <t>nan</t>
        </is>
      </c>
      <c r="L796" s="6">
        <f>HYPERLINK("https://fin.land.naver.com/articles/2647746185", "매물Link")</f>
        <v/>
      </c>
      <c r="M796" s="6">
        <f>HYPERLINK("https://map.naver.com/p/search/연동면 명학리 385", "지도Link")</f>
        <v/>
      </c>
      <c r="N796" s="6">
        <f>HYPERLINK("http://www.eum.go.kr/web/ar/lu/luLandDet.jsp?pnu=3611032023103850000&amp;isNoScr=script&amp;mode=search", "토지이음")</f>
        <v/>
      </c>
      <c r="O796" s="3" t="inlineStr">
        <is>
          <t>다산</t>
        </is>
      </c>
      <c r="P796" s="4" t="n">
        <v>1</v>
      </c>
      <c r="Q796" s="4" t="n">
        <v>720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완경사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명학리 385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82460</v>
      </c>
      <c r="G797" s="4" t="n">
        <v>720</v>
      </c>
      <c r="H797" s="4" t="n">
        <v>218</v>
      </c>
      <c r="I797" s="5" t="n">
        <v>378.3</v>
      </c>
      <c r="J797" s="5" t="n">
        <v>52.8</v>
      </c>
      <c r="K797" s="3" t="inlineStr">
        <is>
          <t>명성공인, 명학리 계획관리지역 추천 매물</t>
        </is>
      </c>
      <c r="L797" s="6">
        <f>HYPERLINK("https://fin.land.naver.com/articles/2648045385", "매물Link")</f>
        <v/>
      </c>
      <c r="M797" s="6">
        <f>HYPERLINK("https://map.naver.com/p/search/연동면 명학리 385", "지도Link")</f>
        <v/>
      </c>
      <c r="N797" s="6">
        <f>HYPERLINK("http://www.eum.go.kr/web/ar/lu/luLandDet.jsp?pnu=3611032023103850000&amp;isNoScr=script&amp;mode=search", "토지이음")</f>
        <v/>
      </c>
      <c r="O797" s="3" t="inlineStr">
        <is>
          <t>명성</t>
        </is>
      </c>
      <c r="P797" s="4" t="n">
        <v>1</v>
      </c>
      <c r="Q797" s="4" t="n">
        <v>720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연동면 명학리 389-2</t>
        </is>
      </c>
      <c r="B798" s="3" t="inlineStr">
        <is>
          <t>보전관리지역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27000</v>
      </c>
      <c r="G798" s="4" t="n">
        <v>541</v>
      </c>
      <c r="H798" s="4" t="n">
        <v>164</v>
      </c>
      <c r="I798" s="5" t="n">
        <v>164.6</v>
      </c>
      <c r="J798" s="5" t="n">
        <v>35.6</v>
      </c>
      <c r="K798" s="3" t="inlineStr">
        <is>
          <t>명학리 위치좋고 앞으로 지가 상승이 예상되는 곳 저렴하게 매매</t>
        </is>
      </c>
      <c r="L798" s="6">
        <f>HYPERLINK("https://fin.land.naver.com/articles/2650887541", "매물Link")</f>
        <v/>
      </c>
      <c r="M798" s="6">
        <f>HYPERLINK("https://map.naver.com/p/search/연동면 명학리 389-2", "지도Link")</f>
        <v/>
      </c>
      <c r="N798" s="6">
        <f>HYPERLINK("http://www.eum.go.kr/web/ar/lu/luLandDet.jsp?pnu=3611032023103890002&amp;isNoScr=script&amp;mode=search", "토지이음")</f>
        <v/>
      </c>
      <c r="O798" s="3" t="inlineStr">
        <is>
          <t>효성해링턴오복</t>
        </is>
      </c>
      <c r="P798" s="4" t="n">
        <v>1</v>
      </c>
      <c r="Q798" s="4" t="n">
        <v>541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맹지</t>
        </is>
      </c>
    </row>
    <row r="799">
      <c r="A799" s="3" t="inlineStr">
        <is>
          <t>연동면 명학리 391-12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30000</v>
      </c>
      <c r="G799" s="4" t="n">
        <v>422</v>
      </c>
      <c r="H799" s="4" t="n">
        <v>128</v>
      </c>
      <c r="I799" s="5" t="n">
        <v>234.4</v>
      </c>
      <c r="J799" s="5" t="n">
        <v>50.2</v>
      </c>
      <c r="K799" s="3" t="inlineStr">
        <is>
          <t>소형토지 전원주택지 도로접 남향</t>
        </is>
      </c>
      <c r="L799" s="6">
        <f>HYPERLINK("https://fin.land.naver.com/articles/2650350524", "매물Link")</f>
        <v/>
      </c>
      <c r="M799" s="6">
        <f>HYPERLINK("https://map.naver.com/p/search/연동면 명학리 391-12", "지도Link")</f>
        <v/>
      </c>
      <c r="N799" s="6">
        <f>HYPERLINK("http://www.eum.go.kr/web/ar/lu/luLandDet.jsp?pnu=3611032023103910012&amp;isNoScr=script&amp;mode=search", "토지이음")</f>
        <v/>
      </c>
      <c r="O799" s="3" t="inlineStr">
        <is>
          <t>봄봄</t>
        </is>
      </c>
      <c r="P799" s="4" t="n">
        <v>1</v>
      </c>
      <c r="Q799" s="4" t="n">
        <v>422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명학리 705</t>
        </is>
      </c>
      <c r="B800" s="3" t="inlineStr">
        <is>
          <t>농림지역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49000</v>
      </c>
      <c r="G800" s="4" t="n">
        <v>1076</v>
      </c>
      <c r="H800" s="4" t="n">
        <v>325</v>
      </c>
      <c r="I800" s="5" t="n">
        <v>150.8</v>
      </c>
      <c r="J800" s="5" t="n">
        <v>30.1</v>
      </c>
      <c r="K800" s="3" t="inlineStr">
        <is>
          <t>세종시 연동면 명학리 명학산업단지 인근 농지</t>
        </is>
      </c>
      <c r="L800" s="6">
        <f>HYPERLINK("https://fin.land.naver.com/articles/2648761728", "매물Link")</f>
        <v/>
      </c>
      <c r="M800" s="6">
        <f>HYPERLINK("https://map.naver.com/p/search/연동면 명학리 705", "지도Link")</f>
        <v/>
      </c>
      <c r="N800" s="6">
        <f>HYPERLINK("http://www.eum.go.kr/web/ar/lu/luLandDet.jsp?pnu=3611032023107050000&amp;isNoScr=script&amp;mode=search", "토지이음")</f>
        <v/>
      </c>
      <c r="O800" s="3" t="inlineStr">
        <is>
          <t>하이엔드</t>
        </is>
      </c>
      <c r="P800" s="4" t="n">
        <v>1</v>
      </c>
      <c r="Q800" s="4" t="n">
        <v>1076.6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명학리 714</t>
        </is>
      </c>
      <c r="B801" s="3" t="inlineStr">
        <is>
          <t>농림지역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55000</v>
      </c>
      <c r="G801" s="4" t="n">
        <v>1537</v>
      </c>
      <c r="H801" s="4" t="n">
        <v>465</v>
      </c>
      <c r="I801" s="5" t="n">
        <v>118.3</v>
      </c>
      <c r="J801" s="5" t="n">
        <v>30.2</v>
      </c>
      <c r="K801" s="3" t="inlineStr">
        <is>
          <t>마을초입의 도로접한 농림지로 농업관련업종등 농가주택추천</t>
        </is>
      </c>
      <c r="L801" s="6">
        <f>HYPERLINK("https://fin.land.naver.com/articles/2648261075", "매물Link")</f>
        <v/>
      </c>
      <c r="M801" s="6">
        <f>HYPERLINK("https://map.naver.com/p/search/연동면 명학리 714", "지도Link")</f>
        <v/>
      </c>
      <c r="N801" s="6">
        <f>HYPERLINK("http://www.eum.go.kr/web/ar/lu/luLandDet.jsp?pnu=3611032023107140000&amp;isNoScr=script&amp;mode=search", "토지이음")</f>
        <v/>
      </c>
      <c r="O801" s="3" t="inlineStr">
        <is>
          <t>연동스카이</t>
        </is>
      </c>
      <c r="P801" s="4" t="n">
        <v>1</v>
      </c>
      <c r="Q801" s="4" t="n">
        <v>1538.3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세로장방</t>
        </is>
      </c>
      <c r="V801" s="3" t="inlineStr">
        <is>
          <t>세로한면(가)</t>
        </is>
      </c>
    </row>
    <row r="802">
      <c r="A802" s="3" t="inlineStr">
        <is>
          <t>연동면 명학리 796</t>
        </is>
      </c>
      <c r="B802" s="3" t="inlineStr">
        <is>
          <t>농림지역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36500</v>
      </c>
      <c r="G802" s="4" t="n">
        <v>1996</v>
      </c>
      <c r="H802" s="4" t="n">
        <v>604</v>
      </c>
      <c r="I802" s="5" t="n">
        <v>60.4</v>
      </c>
      <c r="J802" s="5" t="n">
        <v>28.3</v>
      </c>
      <c r="K802" s="3" t="inlineStr">
        <is>
          <t>5생활권 초근접지역의 농지로 대토 및 장기투자 추천</t>
        </is>
      </c>
      <c r="L802" s="6">
        <f>HYPERLINK("https://fin.land.naver.com/articles/2648305360", "매물Link")</f>
        <v/>
      </c>
      <c r="M802" s="6">
        <f>HYPERLINK("https://map.naver.com/p/search/연동면 명학리 796", "지도Link")</f>
        <v/>
      </c>
      <c r="N802" s="6">
        <f>HYPERLINK("http://www.eum.go.kr/web/ar/lu/luLandDet.jsp?pnu=3611032023107960000&amp;isNoScr=script&amp;mode=search", "토지이음")</f>
        <v/>
      </c>
      <c r="O802" s="3" t="inlineStr">
        <is>
          <t>연동스카이</t>
        </is>
      </c>
      <c r="P802" s="4" t="n">
        <v>1</v>
      </c>
      <c r="Q802" s="4" t="n">
        <v>1996.8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명학리 844</t>
        </is>
      </c>
      <c r="B803" s="3" t="inlineStr">
        <is>
          <t>농림지역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20000</v>
      </c>
      <c r="G803" s="4" t="n">
        <v>1319</v>
      </c>
      <c r="H803" s="4" t="n">
        <v>399</v>
      </c>
      <c r="I803" s="5" t="n">
        <v>50.1</v>
      </c>
      <c r="J803" s="5" t="n">
        <v>28.5</v>
      </c>
      <c r="K803" s="3" t="inlineStr">
        <is>
          <t>nan</t>
        </is>
      </c>
      <c r="L803" s="6">
        <f>HYPERLINK("https://fin.land.naver.com/articles/2651581324", "매물Link")</f>
        <v/>
      </c>
      <c r="M803" s="6">
        <f>HYPERLINK("https://map.naver.com/p/search/연동면 명학리 844", "지도Link")</f>
        <v/>
      </c>
      <c r="N803" s="6">
        <f>HYPERLINK("http://www.eum.go.kr/web/ar/lu/luLandDet.jsp?pnu=3611032023108440000&amp;isNoScr=script&amp;mode=search", "토지이음")</f>
        <v/>
      </c>
      <c r="O803" s="3" t="inlineStr">
        <is>
          <t>세종몽땅</t>
        </is>
      </c>
      <c r="P803" s="4" t="n">
        <v>1</v>
      </c>
      <c r="Q803" s="4" t="n">
        <v>1319.4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명학리 844</t>
        </is>
      </c>
      <c r="B804" s="3" t="inlineStr">
        <is>
          <t>농림지역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20000</v>
      </c>
      <c r="G804" s="4" t="n">
        <v>1319</v>
      </c>
      <c r="H804" s="4" t="n">
        <v>399</v>
      </c>
      <c r="I804" s="5" t="n">
        <v>50.1</v>
      </c>
      <c r="J804" s="5" t="n">
        <v>28.5</v>
      </c>
      <c r="K804" s="3" t="inlineStr">
        <is>
          <t>부강역 생활권 평탄 농지, 자경 및 주말농장 검토 적합</t>
        </is>
      </c>
      <c r="L804" s="6">
        <f>HYPERLINK("https://fin.land.naver.com/articles/2650905086", "매물Link")</f>
        <v/>
      </c>
      <c r="M804" s="6">
        <f>HYPERLINK("https://map.naver.com/p/search/연동면 명학리 844", "지도Link")</f>
        <v/>
      </c>
      <c r="N804" s="6">
        <f>HYPERLINK("http://www.eum.go.kr/web/ar/lu/luLandDet.jsp?pnu=3611032023108440000&amp;isNoScr=script&amp;mode=search", "토지이음")</f>
        <v/>
      </c>
      <c r="O804" s="3" t="inlineStr">
        <is>
          <t>세종소담황금</t>
        </is>
      </c>
      <c r="P804" s="4" t="n">
        <v>1</v>
      </c>
      <c r="Q804" s="4" t="n">
        <v>1319.4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평지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명학리 844</t>
        </is>
      </c>
      <c r="B805" s="3" t="inlineStr">
        <is>
          <t>농림지역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20000</v>
      </c>
      <c r="G805" s="4" t="n">
        <v>1319</v>
      </c>
      <c r="H805" s="4" t="n">
        <v>399</v>
      </c>
      <c r="I805" s="5" t="n">
        <v>50.1</v>
      </c>
      <c r="J805" s="5" t="n">
        <v>28.5</v>
      </c>
      <c r="K805" s="3" t="inlineStr">
        <is>
          <t>nan</t>
        </is>
      </c>
      <c r="L805" s="6">
        <f>HYPERLINK("https://fin.land.naver.com/articles/2647688920", "매물Link")</f>
        <v/>
      </c>
      <c r="M805" s="6">
        <f>HYPERLINK("https://map.naver.com/p/search/연동면 명학리 844", "지도Link")</f>
        <v/>
      </c>
      <c r="N805" s="6">
        <f>HYPERLINK("http://www.eum.go.kr/web/ar/lu/luLandDet.jsp?pnu=3611032023108440000&amp;isNoScr=script&amp;mode=search", "토지이음")</f>
        <v/>
      </c>
      <c r="O805" s="3" t="inlineStr">
        <is>
          <t>THE동아</t>
        </is>
      </c>
      <c r="P805" s="4" t="n">
        <v>1</v>
      </c>
      <c r="Q805" s="4" t="n">
        <v>1319.4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955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35000</v>
      </c>
      <c r="G806" s="4" t="n">
        <v>1517</v>
      </c>
      <c r="H806" s="4" t="n">
        <v>459</v>
      </c>
      <c r="I806" s="5" t="n">
        <v>76.3</v>
      </c>
      <c r="J806" s="5" t="n">
        <v>24.3</v>
      </c>
      <c r="K806" s="3" t="inlineStr">
        <is>
          <t>nan</t>
        </is>
      </c>
      <c r="L806" s="6">
        <f>HYPERLINK("https://fin.land.naver.com/articles/2650459668", "매물Link")</f>
        <v/>
      </c>
      <c r="M806" s="6">
        <f>HYPERLINK("https://map.naver.com/p/search/연동면 명학리 955", "지도Link")</f>
        <v/>
      </c>
      <c r="N806" s="6">
        <f>HYPERLINK("http://www.eum.go.kr/web/ar/lu/luLandDet.jsp?pnu=3611032023109550000&amp;isNoScr=script&amp;mode=search", "토지이음")</f>
        <v/>
      </c>
      <c r="O806" s="3" t="inlineStr">
        <is>
          <t>청정</t>
        </is>
      </c>
      <c r="P806" s="4" t="n">
        <v>1</v>
      </c>
      <c r="Q806" s="4" t="n">
        <v>1516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세로한면(가)</t>
        </is>
      </c>
    </row>
    <row r="807">
      <c r="A807" s="3" t="inlineStr">
        <is>
          <t>연동면 문주리 145-2</t>
        </is>
      </c>
      <c r="B807" s="3" t="inlineStr">
        <is>
          <t>계획관리지역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21500</v>
      </c>
      <c r="G807" s="4" t="n">
        <v>284</v>
      </c>
      <c r="H807" s="4" t="n">
        <v>86</v>
      </c>
      <c r="I807" s="5" t="n">
        <v>250</v>
      </c>
      <c r="J807" s="5" t="n">
        <v>68.2</v>
      </c>
      <c r="K807" s="3" t="inlineStr">
        <is>
          <t>급매, 계획관리지역, 도로 접한 형상 좋은 대지입니다.</t>
        </is>
      </c>
      <c r="L807" s="6">
        <f>HYPERLINK("https://fin.land.naver.com/articles/2650811409", "매물Link")</f>
        <v/>
      </c>
      <c r="M807" s="6">
        <f>HYPERLINK("https://map.naver.com/p/search/연동면 문주리 145-2", "지도Link")</f>
        <v/>
      </c>
      <c r="N807" s="6">
        <f>HYPERLINK("http://www.eum.go.kr/web/ar/lu/luLandDet.jsp?pnu=3611032022101450002&amp;isNoScr=script&amp;mode=search", "토지이음")</f>
        <v/>
      </c>
      <c r="O807" s="3" t="inlineStr">
        <is>
          <t>나폴리</t>
        </is>
      </c>
      <c r="P807" s="4" t="n">
        <v>1</v>
      </c>
      <c r="Q807" s="4" t="n">
        <v>284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세로한면(불)</t>
        </is>
      </c>
    </row>
    <row r="808">
      <c r="A808" s="3" t="inlineStr">
        <is>
          <t>연동면 문주리 145-29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20000</v>
      </c>
      <c r="G808" s="4" t="n">
        <v>253</v>
      </c>
      <c r="H808" s="4" t="n">
        <v>77</v>
      </c>
      <c r="I808" s="5" t="n">
        <v>259.7</v>
      </c>
      <c r="J808" s="5" t="n">
        <v>68.2</v>
      </c>
      <c r="K808" s="3" t="inlineStr">
        <is>
          <t>급매, 계획관리지역, 도로 접한 형상 좋은 대지입니다.</t>
        </is>
      </c>
      <c r="L808" s="6">
        <f>HYPERLINK("https://fin.land.naver.com/articles/2650811516", "매물Link")</f>
        <v/>
      </c>
      <c r="M808" s="6">
        <f>HYPERLINK("https://map.naver.com/p/search/연동면 문주리 145-29", "지도Link")</f>
        <v/>
      </c>
      <c r="N808" s="6">
        <f>HYPERLINK("http://www.eum.go.kr/web/ar/lu/luLandDet.jsp?pnu=3611032022101450029&amp;isNoScr=script&amp;mode=search", "토지이음")</f>
        <v/>
      </c>
      <c r="O808" s="3" t="inlineStr">
        <is>
          <t>나폴리</t>
        </is>
      </c>
      <c r="P808" s="4" t="n">
        <v>1</v>
      </c>
      <c r="Q808" s="4" t="n">
        <v>253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세로한면(불)</t>
        </is>
      </c>
    </row>
    <row r="809">
      <c r="A809" s="3" t="inlineStr">
        <is>
          <t>연동면 문주리 956-3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88700</v>
      </c>
      <c r="G809" s="4" t="n">
        <v>2930</v>
      </c>
      <c r="H809" s="4" t="n">
        <v>886</v>
      </c>
      <c r="I809" s="5" t="n">
        <v>100.1</v>
      </c>
      <c r="J809" s="5" t="n">
        <v>24.5</v>
      </c>
      <c r="K809" s="3" t="inlineStr">
        <is>
          <t>구거 통해도로와 접한 농지,바로옆 도로 공사중</t>
        </is>
      </c>
      <c r="L809" s="6">
        <f>HYPERLINK("https://fin.land.naver.com/articles/2648555398", "매물Link")</f>
        <v/>
      </c>
      <c r="M809" s="6">
        <f>HYPERLINK("https://map.naver.com/p/search/연동면 문주리 956-3", "지도Link")</f>
        <v/>
      </c>
      <c r="N809" s="6">
        <f>HYPERLINK("http://www.eum.go.kr/web/ar/lu/luLandDet.jsp?pnu=3611032022109560003&amp;isNoScr=script&amp;mode=search", "토지이음")</f>
        <v/>
      </c>
      <c r="O809" s="3" t="inlineStr">
        <is>
          <t>향기나는방</t>
        </is>
      </c>
      <c r="P809" s="4" t="n">
        <v>1</v>
      </c>
      <c r="Q809" s="4" t="n">
        <v>2930.7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연동면 문주리 967-7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61000</v>
      </c>
      <c r="G810" s="4" t="n">
        <v>2523</v>
      </c>
      <c r="H810" s="4" t="n">
        <v>763</v>
      </c>
      <c r="I810" s="5" t="n">
        <v>79.90000000000001</v>
      </c>
      <c r="J810" s="5" t="n">
        <v>23.5</v>
      </c>
      <c r="K810" s="3" t="inlineStr">
        <is>
          <t>nan</t>
        </is>
      </c>
      <c r="L810" s="6">
        <f>HYPERLINK("https://fin.land.naver.com/articles/2651578350", "매물Link")</f>
        <v/>
      </c>
      <c r="M810" s="6">
        <f>HYPERLINK("https://map.naver.com/p/search/연동면 문주리 967-7", "지도Link")</f>
        <v/>
      </c>
      <c r="N810" s="6">
        <f>HYPERLINK("http://www.eum.go.kr/web/ar/lu/luLandDet.jsp?pnu=3611032022109670007&amp;isNoScr=script&amp;mode=search", "토지이음")</f>
        <v/>
      </c>
      <c r="O810" s="3" t="inlineStr">
        <is>
          <t>세종몽땅</t>
        </is>
      </c>
      <c r="P810" s="4" t="n">
        <v>1</v>
      </c>
      <c r="Q810" s="4" t="n">
        <v>2523.7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세로장방</t>
        </is>
      </c>
      <c r="V810" s="3" t="inlineStr">
        <is>
          <t>세로한면(가)</t>
        </is>
      </c>
    </row>
    <row r="811">
      <c r="A811" s="3" t="inlineStr">
        <is>
          <t>연동면 문주리 968-13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245000</v>
      </c>
      <c r="G811" s="4" t="n">
        <v>7204</v>
      </c>
      <c r="H811" s="4" t="n">
        <v>2179</v>
      </c>
      <c r="I811" s="5" t="n">
        <v>112.4</v>
      </c>
      <c r="J811" s="5" t="n">
        <v>27</v>
      </c>
      <c r="K811" s="3" t="inlineStr">
        <is>
          <t>축사임.</t>
        </is>
      </c>
      <c r="L811" s="6">
        <f>HYPERLINK("https://fin.land.naver.com/articles/2647564865", "매물Link")</f>
        <v/>
      </c>
      <c r="M811" s="6">
        <f>HYPERLINK("https://map.naver.com/p/search/연동면 문주리 968-13", "지도Link")</f>
        <v/>
      </c>
      <c r="N811" s="6">
        <f>HYPERLINK("http://www.eum.go.kr/web/ar/lu/luLandDet.jsp?pnu=3611032022109680013&amp;isNoScr=script&amp;mode=search", "토지이음")</f>
        <v/>
      </c>
      <c r="O811" s="3" t="inlineStr">
        <is>
          <t>햇빛</t>
        </is>
      </c>
      <c r="P811" s="4" t="n">
        <v>1</v>
      </c>
      <c r="Q811" s="4" t="n">
        <v>7204.9</v>
      </c>
      <c r="R811" s="3" t="inlineStr">
        <is>
          <t>지정되지않음</t>
        </is>
      </c>
      <c r="S811" s="3" t="inlineStr">
        <is>
          <t>답축사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세로한면(가)</t>
        </is>
      </c>
    </row>
    <row r="812">
      <c r="A812" s="3" t="inlineStr">
        <is>
          <t>연동면 문주리 980-10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58000</v>
      </c>
      <c r="G812" s="4" t="n">
        <v>2388</v>
      </c>
      <c r="H812" s="4" t="n">
        <v>722</v>
      </c>
      <c r="I812" s="5" t="n">
        <v>80.3</v>
      </c>
      <c r="J812" s="5" t="n">
        <v>23.6</v>
      </c>
      <c r="K812" s="3" t="inlineStr">
        <is>
          <t>농림지역 답 현재 옆필지와 함께 농사중</t>
        </is>
      </c>
      <c r="L812" s="6">
        <f>HYPERLINK("https://fin.land.naver.com/articles/2649908913", "매물Link")</f>
        <v/>
      </c>
      <c r="M812" s="6">
        <f>HYPERLINK("https://map.naver.com/p/search/연동면 문주리 980-10", "지도Link")</f>
        <v/>
      </c>
      <c r="N812" s="6">
        <f>HYPERLINK("http://www.eum.go.kr/web/ar/lu/luLandDet.jsp?pnu=3611032022109800010&amp;isNoScr=script&amp;mode=search", "토지이음")</f>
        <v/>
      </c>
      <c r="O812" s="3" t="inlineStr">
        <is>
          <t>미스터홈즈강남지사</t>
        </is>
      </c>
      <c r="P812" s="4" t="n">
        <v>1</v>
      </c>
      <c r="Q812" s="4" t="n">
        <v>2388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송용리 1025-4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13600</v>
      </c>
      <c r="G813" s="4" t="n">
        <v>998</v>
      </c>
      <c r="H813" s="4" t="n">
        <v>302</v>
      </c>
      <c r="I813" s="5" t="n">
        <v>45</v>
      </c>
      <c r="J813" s="5" t="n">
        <v>24.1</v>
      </c>
      <c r="K813" s="3" t="inlineStr">
        <is>
          <t>가격저렴한 대토 및 장기투자</t>
        </is>
      </c>
      <c r="L813" s="6">
        <f>HYPERLINK("https://fin.land.naver.com/articles/2650179155", "매물Link")</f>
        <v/>
      </c>
      <c r="M813" s="6">
        <f>HYPERLINK("https://map.naver.com/p/search/연동면 송용리 1025-4", "지도Link")</f>
        <v/>
      </c>
      <c r="N813" s="6">
        <f>HYPERLINK("http://www.eum.go.kr/web/ar/lu/luLandDet.jsp?pnu=3611032027110250004&amp;isNoScr=script&amp;mode=search", "토지이음")</f>
        <v/>
      </c>
      <c r="O813" s="3" t="inlineStr">
        <is>
          <t>연동스카이</t>
        </is>
      </c>
      <c r="P813" s="4" t="n">
        <v>2</v>
      </c>
      <c r="Q813" s="4" t="n">
        <v>998.9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세로한면(가)</t>
        </is>
      </c>
    </row>
    <row r="814">
      <c r="A814" s="3" t="inlineStr">
        <is>
          <t>연동면 송용리 1025-4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13600</v>
      </c>
      <c r="G814" s="4" t="n">
        <v>998</v>
      </c>
      <c r="H814" s="4" t="n">
        <v>302</v>
      </c>
      <c r="I814" s="5" t="n">
        <v>45</v>
      </c>
      <c r="J814" s="5" t="n">
        <v>24.1</v>
      </c>
      <c r="K814" s="3" t="inlineStr">
        <is>
          <t>주변 시세대비 아주저렴</t>
        </is>
      </c>
      <c r="L814" s="6">
        <f>HYPERLINK("https://fin.land.naver.com/articles/2648462411", "매물Link")</f>
        <v/>
      </c>
      <c r="M814" s="6">
        <f>HYPERLINK("https://map.naver.com/p/search/연동면 송용리 1025-4", "지도Link")</f>
        <v/>
      </c>
      <c r="N814" s="6">
        <f>HYPERLINK("http://www.eum.go.kr/web/ar/lu/luLandDet.jsp?pnu=3611032027110250004&amp;isNoScr=script&amp;mode=search", "토지이음")</f>
        <v/>
      </c>
      <c r="O814" s="3" t="inlineStr">
        <is>
          <t>세종땅전문</t>
        </is>
      </c>
      <c r="P814" s="4" t="n">
        <v>1</v>
      </c>
      <c r="Q814" s="4" t="n">
        <v>998.9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세로장방</t>
        </is>
      </c>
      <c r="V814" s="3" t="inlineStr">
        <is>
          <t>세로한면(가)</t>
        </is>
      </c>
    </row>
    <row r="815">
      <c r="A815" s="3" t="inlineStr">
        <is>
          <t>연동면 송용리 1030-9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158700</v>
      </c>
      <c r="G815" s="4" t="n">
        <v>8746</v>
      </c>
      <c r="H815" s="4" t="n">
        <v>2646</v>
      </c>
      <c r="I815" s="5" t="n">
        <v>60</v>
      </c>
      <c r="J815" s="5" t="n">
        <v>24.2</v>
      </c>
      <c r="K815" s="3" t="inlineStr">
        <is>
          <t>연동면 송용리 농림지역 대형 토지, 세종시 5생활권 및 오송역 인근</t>
        </is>
      </c>
      <c r="L815" s="6">
        <f>HYPERLINK("https://fin.land.naver.com/articles/2650531778", "매물Link")</f>
        <v/>
      </c>
      <c r="M815" s="6">
        <f>HYPERLINK("https://map.naver.com/p/search/연동면 송용리 1030-9", "지도Link")</f>
        <v/>
      </c>
      <c r="N815" s="6">
        <f>HYPERLINK("http://www.eum.go.kr/web/ar/lu/luLandDet.jsp?pnu=3611032027110300009&amp;isNoScr=script&amp;mode=search", "토지이음")</f>
        <v/>
      </c>
      <c r="O815" s="3" t="inlineStr">
        <is>
          <t>스카이</t>
        </is>
      </c>
      <c r="P815" s="4" t="n">
        <v>1</v>
      </c>
      <c r="Q815" s="4" t="n">
        <v>8746.200000000001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세로장방</t>
        </is>
      </c>
      <c r="V815" s="3" t="inlineStr">
        <is>
          <t>세로각지(가)</t>
        </is>
      </c>
    </row>
    <row r="816">
      <c r="A816" s="3" t="inlineStr">
        <is>
          <t>연동면 송용리 1039-5</t>
        </is>
      </c>
      <c r="B816" s="3" t="inlineStr">
        <is>
          <t>농림지역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66600</v>
      </c>
      <c r="G816" s="4" t="n">
        <v>2749</v>
      </c>
      <c r="H816" s="4" t="n">
        <v>832</v>
      </c>
      <c r="I816" s="5" t="n">
        <v>80</v>
      </c>
      <c r="J816" s="5" t="n">
        <v>24.8</v>
      </c>
      <c r="K816" s="3" t="inlineStr">
        <is>
          <t>투자용</t>
        </is>
      </c>
      <c r="L816" s="6">
        <f>HYPERLINK("https://fin.land.naver.com/articles/2647374045", "매물Link")</f>
        <v/>
      </c>
      <c r="M816" s="6">
        <f>HYPERLINK("https://map.naver.com/p/search/연동면 송용리 1039-5", "지도Link")</f>
        <v/>
      </c>
      <c r="N816" s="6">
        <f>HYPERLINK("http://www.eum.go.kr/web/ar/lu/luLandDet.jsp?pnu=3611032027110390005&amp;isNoScr=script&amp;mode=search", "토지이음")</f>
        <v/>
      </c>
      <c r="O816" s="3" t="inlineStr">
        <is>
          <t>제우스</t>
        </is>
      </c>
      <c r="P816" s="4" t="n">
        <v>1</v>
      </c>
      <c r="Q816" s="4" t="n">
        <v>2749.1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세로장방</t>
        </is>
      </c>
      <c r="V816" s="3" t="inlineStr">
        <is>
          <t>세로한면(가)</t>
        </is>
      </c>
    </row>
    <row r="817">
      <c r="A817" s="3" t="inlineStr">
        <is>
          <t>연동면 송용리 179-2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250000</v>
      </c>
      <c r="G817" s="4" t="n">
        <v>1837</v>
      </c>
      <c r="H817" s="4" t="n">
        <v>556</v>
      </c>
      <c r="I817" s="5" t="n">
        <v>449.6</v>
      </c>
      <c r="J817" s="5" t="n">
        <v>309.9</v>
      </c>
      <c r="K817" s="3" t="inlineStr">
        <is>
          <t>연동면 대형 식당자리 추천</t>
        </is>
      </c>
      <c r="L817" s="6">
        <f>HYPERLINK("https://fin.land.naver.com/articles/2649703500", "매물Link")</f>
        <v/>
      </c>
      <c r="M817" s="6">
        <f>HYPERLINK("https://map.naver.com/p/search/연동면 송용리 179-2", "지도Link")</f>
        <v/>
      </c>
      <c r="N817" s="6">
        <f>HYPERLINK("http://www.eum.go.kr/web/ar/lu/luLandDet.jsp?pnu=3611032027101790002&amp;isNoScr=script&amp;mode=search", "토지이음")</f>
        <v/>
      </c>
      <c r="O817" s="3" t="inlineStr">
        <is>
          <t>강아지풀</t>
        </is>
      </c>
      <c r="P817" s="4" t="n">
        <v>1</v>
      </c>
      <c r="Q817" s="4" t="n">
        <v>1358</v>
      </c>
      <c r="R817" s="3" t="inlineStr">
        <is>
          <t>지정되지않음</t>
        </is>
      </c>
      <c r="S817" s="3" t="inlineStr">
        <is>
          <t>상업용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소로한면</t>
        </is>
      </c>
    </row>
    <row r="818">
      <c r="A818" s="3" t="inlineStr">
        <is>
          <t>연동면 송용리 213-4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70000</v>
      </c>
      <c r="G818" s="4" t="n">
        <v>662</v>
      </c>
      <c r="H818" s="4" t="n">
        <v>200</v>
      </c>
      <c r="I818" s="5" t="n">
        <v>350</v>
      </c>
      <c r="J818" s="5" t="n">
        <v>62</v>
      </c>
      <c r="K818" s="3" t="inlineStr">
        <is>
          <t>계획관리지역으로 8미터이상 도로에 접한 직사각형 토지, 주변환경 좋음</t>
        </is>
      </c>
      <c r="L818" s="6">
        <f>HYPERLINK("https://fin.land.naver.com/articles/2651092741", "매물Link")</f>
        <v/>
      </c>
      <c r="M818" s="6">
        <f>HYPERLINK("https://map.naver.com/p/search/연동면 송용리 213-4", "지도Link")</f>
        <v/>
      </c>
      <c r="N818" s="6">
        <f>HYPERLINK("http://www.eum.go.kr/web/ar/lu/luLandDet.jsp?pnu=3611032027102130004&amp;isNoScr=script&amp;mode=search", "토지이음")</f>
        <v/>
      </c>
      <c r="O818" s="3" t="inlineStr">
        <is>
          <t>가수원</t>
        </is>
      </c>
      <c r="P818" s="4" t="n">
        <v>1</v>
      </c>
      <c r="Q818" s="4" t="n">
        <v>662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연동면 송용리 261-34</t>
        </is>
      </c>
      <c r="B819" s="3" t="inlineStr">
        <is>
          <t>보전관리지역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50000</v>
      </c>
      <c r="G819" s="4" t="n">
        <v>500</v>
      </c>
      <c r="H819" s="4" t="n">
        <v>151</v>
      </c>
      <c r="I819" s="5" t="n">
        <v>331.1</v>
      </c>
      <c r="J819" s="5" t="n">
        <v>118.8</v>
      </c>
      <c r="K819" s="3" t="inlineStr">
        <is>
          <t>계획관리지역,성장관리계획구역,대지,전원주택 용지로 투자가치 좋아요.</t>
        </is>
      </c>
      <c r="L819" s="6">
        <f>HYPERLINK("https://fin.land.naver.com/articles/2649355280", "매물Link")</f>
        <v/>
      </c>
      <c r="M819" s="6">
        <f>HYPERLINK("https://map.naver.com/p/search/연동면 송용리 261-34", "지도Link")</f>
        <v/>
      </c>
      <c r="N819" s="6">
        <f>HYPERLINK("http://www.eum.go.kr/web/ar/lu/luLandDet.jsp?pnu=3611032027102610034&amp;isNoScr=script&amp;mode=search", "토지이음")</f>
        <v/>
      </c>
      <c r="O819" s="3" t="inlineStr">
        <is>
          <t>마마</t>
        </is>
      </c>
      <c r="P819" s="4" t="n">
        <v>1</v>
      </c>
      <c r="Q819" s="4" t="n">
        <v>500</v>
      </c>
      <c r="R819" s="3" t="inlineStr">
        <is>
          <t>지정되지않음</t>
        </is>
      </c>
      <c r="S819" s="3" t="inlineStr">
        <is>
          <t>주상용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연동면 송용리 261-8</t>
        </is>
      </c>
      <c r="B820" s="3" t="inlineStr">
        <is>
          <t>보전관리지역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329000</v>
      </c>
      <c r="G820" s="4" t="n">
        <v>4350</v>
      </c>
      <c r="H820" s="4" t="n">
        <v>1316</v>
      </c>
      <c r="I820" s="5" t="n">
        <v>250</v>
      </c>
      <c r="J820" s="5" t="n">
        <v>121.3</v>
      </c>
      <c r="K820" s="3" t="inlineStr">
        <is>
          <t>nan</t>
        </is>
      </c>
      <c r="L820" s="6">
        <f>HYPERLINK("https://fin.land.naver.com/articles/2647973165", "매물Link")</f>
        <v/>
      </c>
      <c r="M820" s="6">
        <f>HYPERLINK("https://map.naver.com/p/search/연동면 송용리 261-8", "지도Link")</f>
        <v/>
      </c>
      <c r="N820" s="6">
        <f>HYPERLINK("http://www.eum.go.kr/web/ar/lu/luLandDet.jsp?pnu=3611032027102610008&amp;isNoScr=script&amp;mode=search", "토지이음")</f>
        <v/>
      </c>
      <c r="O820" s="3" t="inlineStr">
        <is>
          <t>생명나무</t>
        </is>
      </c>
      <c r="P820" s="4" t="n">
        <v>1</v>
      </c>
      <c r="Q820" s="4" t="n">
        <v>2093</v>
      </c>
      <c r="R820" s="3" t="inlineStr">
        <is>
          <t>지정되지않음</t>
        </is>
      </c>
      <c r="S820" s="3" t="inlineStr">
        <is>
          <t>주상용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연동면 송용리 82-1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56200</v>
      </c>
      <c r="G821" s="4" t="n">
        <v>1095</v>
      </c>
      <c r="H821" s="4" t="n">
        <v>331</v>
      </c>
      <c r="I821" s="5" t="n">
        <v>169.8</v>
      </c>
      <c r="J821" s="5" t="n">
        <v>37.1</v>
      </c>
      <c r="K821" s="3" t="inlineStr">
        <is>
          <t>nan</t>
        </is>
      </c>
      <c r="L821" s="6">
        <f>HYPERLINK("https://fin.land.naver.com/articles/2646907874", "매물Link")</f>
        <v/>
      </c>
      <c r="M821" s="6">
        <f>HYPERLINK("https://map.naver.com/p/search/연동면 송용리 82-1", "지도Link")</f>
        <v/>
      </c>
      <c r="N821" s="6">
        <f>HYPERLINK("http://www.eum.go.kr/web/ar/lu/luLandDet.jsp?pnu=3611032027100820001&amp;isNoScr=script&amp;mode=search", "토지이음")</f>
        <v/>
      </c>
      <c r="O821" s="3" t="inlineStr">
        <is>
          <t>장원</t>
        </is>
      </c>
      <c r="P821" s="4" t="n">
        <v>1</v>
      </c>
      <c r="Q821" s="4" t="n">
        <v>1095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맹지</t>
        </is>
      </c>
    </row>
    <row r="822">
      <c r="A822" s="3" t="inlineStr">
        <is>
          <t>연동면 송용리 940-3</t>
        </is>
      </c>
      <c r="B822" s="3" t="inlineStr">
        <is>
          <t>농림지역</t>
        </is>
      </c>
      <c r="C822" s="3" t="inlineStr">
        <is>
          <t>과수원</t>
        </is>
      </c>
      <c r="D822" s="3" t="inlineStr">
        <is>
          <t>과수원</t>
        </is>
      </c>
      <c r="E822" s="3" t="inlineStr">
        <is>
          <t>매매</t>
        </is>
      </c>
      <c r="F822" s="4" t="n">
        <v>18000</v>
      </c>
      <c r="G822" s="4" t="n">
        <v>1381</v>
      </c>
      <c r="H822" s="4" t="n">
        <v>418</v>
      </c>
      <c r="I822" s="5" t="n">
        <v>43.1</v>
      </c>
      <c r="J822" s="5" t="n">
        <v>25.5</v>
      </c>
      <c r="K822" s="3" t="inlineStr">
        <is>
          <t>세종시 토지로 적은 금액으로 투자하기 좋은 곳</t>
        </is>
      </c>
      <c r="L822" s="6">
        <f>HYPERLINK("https://fin.land.naver.com/articles/2651419402", "매물Link")</f>
        <v/>
      </c>
      <c r="M822" s="6">
        <f>HYPERLINK("https://map.naver.com/p/search/연동면 송용리 940-3", "지도Link")</f>
        <v/>
      </c>
      <c r="N822" s="6">
        <f>HYPERLINK("http://www.eum.go.kr/web/ar/lu/luLandDet.jsp?pnu=3611032027109400003&amp;isNoScr=script&amp;mode=search", "토지이음")</f>
        <v/>
      </c>
      <c r="O822" s="3" t="inlineStr">
        <is>
          <t>오송이가</t>
        </is>
      </c>
      <c r="P822" s="4" t="n">
        <v>1</v>
      </c>
      <c r="Q822" s="4" t="n">
        <v>1381.4</v>
      </c>
      <c r="R822" s="3" t="inlineStr">
        <is>
          <t>지정되지않음</t>
        </is>
      </c>
      <c r="S822" s="3" t="inlineStr">
        <is>
          <t>과수원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세로각지(가)</t>
        </is>
      </c>
    </row>
    <row r="823">
      <c r="A823" s="3" t="inlineStr">
        <is>
          <t>연동면 송용리 940-5</t>
        </is>
      </c>
      <c r="B823" s="3" t="inlineStr">
        <is>
          <t>농림지역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71000</v>
      </c>
      <c r="G823" s="4" t="n">
        <v>4848</v>
      </c>
      <c r="H823" s="4" t="n">
        <v>1467</v>
      </c>
      <c r="I823" s="5" t="n">
        <v>48.4</v>
      </c>
      <c r="J823" s="5" t="n">
        <v>24.8</v>
      </c>
      <c r="K823" s="3" t="inlineStr">
        <is>
          <t>예쁜 토지</t>
        </is>
      </c>
      <c r="L823" s="6">
        <f>HYPERLINK("https://fin.land.naver.com/articles/2650920227", "매물Link")</f>
        <v/>
      </c>
      <c r="M823" s="6">
        <f>HYPERLINK("https://map.naver.com/p/search/연동면 송용리 940-5", "지도Link")</f>
        <v/>
      </c>
      <c r="N823" s="6">
        <f>HYPERLINK("http://www.eum.go.kr/web/ar/lu/luLandDet.jsp?pnu=3611032027109400005&amp;isNoScr=script&amp;mode=search", "토지이음")</f>
        <v/>
      </c>
      <c r="O823" s="3" t="inlineStr">
        <is>
          <t>전원비래</t>
        </is>
      </c>
      <c r="P823" s="4" t="n">
        <v>1</v>
      </c>
      <c r="Q823" s="4" t="n">
        <v>4848.2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세로한면(가)</t>
        </is>
      </c>
    </row>
    <row r="824">
      <c r="A824" s="3" t="inlineStr">
        <is>
          <t>연동면 송용리 974-1</t>
        </is>
      </c>
      <c r="B824" s="3" t="inlineStr">
        <is>
          <t>농림지역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75000</v>
      </c>
      <c r="G824" s="4" t="n">
        <v>3828</v>
      </c>
      <c r="H824" s="4" t="n">
        <v>1158</v>
      </c>
      <c r="I824" s="5" t="n">
        <v>64.8</v>
      </c>
      <c r="J824" s="5" t="n">
        <v>24.8</v>
      </c>
      <c r="K824" s="3" t="inlineStr">
        <is>
          <t>양면이 도로에 접해있어 접근성좋으며 농업관련 창고나 공장추천</t>
        </is>
      </c>
      <c r="L824" s="6">
        <f>HYPERLINK("https://fin.land.naver.com/articles/2648263204", "매물Link")</f>
        <v/>
      </c>
      <c r="M824" s="6">
        <f>HYPERLINK("https://map.naver.com/p/search/연동면 송용리 974-1", "지도Link")</f>
        <v/>
      </c>
      <c r="N824" s="6">
        <f>HYPERLINK("http://www.eum.go.kr/web/ar/lu/luLandDet.jsp?pnu=3611032027109740001&amp;isNoScr=script&amp;mode=search", "토지이음")</f>
        <v/>
      </c>
      <c r="O824" s="3" t="inlineStr">
        <is>
          <t>연동스카이</t>
        </is>
      </c>
      <c r="P824" s="4" t="n">
        <v>1</v>
      </c>
      <c r="Q824" s="4" t="n">
        <v>3826.7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세로각지(가)</t>
        </is>
      </c>
    </row>
    <row r="825">
      <c r="A825" s="3" t="inlineStr">
        <is>
          <t>연동면 예양리 25-1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20000</v>
      </c>
      <c r="G825" s="4" t="n">
        <v>248</v>
      </c>
      <c r="H825" s="4" t="n">
        <v>75</v>
      </c>
      <c r="I825" s="5" t="n">
        <v>266.7</v>
      </c>
      <c r="J825" s="5" t="n">
        <v>66.59999999999999</v>
      </c>
      <c r="K825" s="3" t="inlineStr">
        <is>
          <t>건축 및 투자</t>
        </is>
      </c>
      <c r="L825" s="6">
        <f>HYPERLINK("https://fin.land.naver.com/articles/2646278884", "매물Link")</f>
        <v/>
      </c>
      <c r="M825" s="6">
        <f>HYPERLINK("https://map.naver.com/p/search/연동면 예양리 25-1", "지도Link")</f>
        <v/>
      </c>
      <c r="N825" s="6">
        <f>HYPERLINK("http://www.eum.go.kr/web/ar/lu/luLandDet.jsp?pnu=3611032026100250001&amp;isNoScr=script&amp;mode=search", "토지이음")</f>
        <v/>
      </c>
      <c r="O825" s="3" t="inlineStr">
        <is>
          <t>한정호</t>
        </is>
      </c>
      <c r="P825" s="4" t="n">
        <v>1</v>
      </c>
      <c r="Q825" s="4" t="n">
        <v>248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연동면 예양리 47-1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19800</v>
      </c>
      <c r="G826" s="4" t="n">
        <v>247</v>
      </c>
      <c r="H826" s="4" t="n">
        <v>75</v>
      </c>
      <c r="I826" s="5" t="n">
        <v>264</v>
      </c>
      <c r="J826" s="5" t="n">
        <v>69.7</v>
      </c>
      <c r="K826" s="3" t="inlineStr">
        <is>
          <t>건물 있는 토지 매매</t>
        </is>
      </c>
      <c r="L826" s="6">
        <f>HYPERLINK("https://fin.land.naver.com/articles/2651254846", "매물Link")</f>
        <v/>
      </c>
      <c r="M826" s="6">
        <f>HYPERLINK("https://map.naver.com/p/search/연동면 예양리 47-1", "지도Link")</f>
        <v/>
      </c>
      <c r="N826" s="6">
        <f>HYPERLINK("http://www.eum.go.kr/web/ar/lu/luLandDet.jsp?pnu=3611032026100470001&amp;isNoScr=script&amp;mode=search", "토지이음")</f>
        <v/>
      </c>
      <c r="O826" s="3" t="inlineStr">
        <is>
          <t>세종토박이</t>
        </is>
      </c>
      <c r="P826" s="4" t="n">
        <v>1</v>
      </c>
      <c r="Q826" s="4" t="n">
        <v>247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자루형</t>
        </is>
      </c>
      <c r="V826" s="3" t="inlineStr">
        <is>
          <t>세로한면(가)</t>
        </is>
      </c>
    </row>
    <row r="827">
      <c r="A827" s="3" t="inlineStr">
        <is>
          <t>연동면 예양리 66-3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140000</v>
      </c>
      <c r="G827" s="4" t="n">
        <v>2314</v>
      </c>
      <c r="H827" s="4" t="n">
        <v>700</v>
      </c>
      <c r="I827" s="5" t="n">
        <v>200</v>
      </c>
      <c r="J827" s="5" t="n">
        <v>38.3</v>
      </c>
      <c r="K827" s="3" t="inlineStr">
        <is>
          <t>도로접,땅모양좋습니다,조정가</t>
        </is>
      </c>
      <c r="L827" s="6">
        <f>HYPERLINK("https://fin.land.naver.com/articles/2648103367", "매물Link")</f>
        <v/>
      </c>
      <c r="M827" s="6">
        <f>HYPERLINK("https://map.naver.com/p/search/연동면 예양리 66-3", "지도Link")</f>
        <v/>
      </c>
      <c r="N827" s="6">
        <f>HYPERLINK("http://www.eum.go.kr/web/ar/lu/luLandDet.jsp?pnu=3611032026100660003&amp;isNoScr=script&amp;mode=search", "토지이음")</f>
        <v/>
      </c>
      <c r="O827" s="3" t="inlineStr">
        <is>
          <t>힐스테이트행복</t>
        </is>
      </c>
      <c r="P827" s="4" t="n">
        <v>1</v>
      </c>
      <c r="Q827" s="4" t="n">
        <v>2314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연동면 예양리 828-1</t>
        </is>
      </c>
      <c r="B828" s="3" t="inlineStr">
        <is>
          <t>농림지역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60000</v>
      </c>
      <c r="G828" s="4" t="n">
        <v>2913</v>
      </c>
      <c r="H828" s="4" t="n">
        <v>881</v>
      </c>
      <c r="I828" s="5" t="n">
        <v>68.09999999999999</v>
      </c>
      <c r="J828" s="5" t="n">
        <v>23.8</v>
      </c>
      <c r="K828" s="3" t="inlineStr">
        <is>
          <t>대토용,투자적합</t>
        </is>
      </c>
      <c r="L828" s="6">
        <f>HYPERLINK("https://fin.land.naver.com/articles/2647046874", "매물Link")</f>
        <v/>
      </c>
      <c r="M828" s="6">
        <f>HYPERLINK("https://map.naver.com/p/search/연동면 예양리 828-1", "지도Link")</f>
        <v/>
      </c>
      <c r="N828" s="6">
        <f>HYPERLINK("http://www.eum.go.kr/web/ar/lu/luLandDet.jsp?pnu=3611032026108280001&amp;isNoScr=script&amp;mode=search", "토지이음")</f>
        <v/>
      </c>
      <c r="O828" s="3" t="inlineStr">
        <is>
          <t>지원</t>
        </is>
      </c>
      <c r="P828" s="4" t="n">
        <v>1</v>
      </c>
      <c r="Q828" s="4" t="n">
        <v>2913.3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세로장방</t>
        </is>
      </c>
      <c r="V828" s="3" t="inlineStr">
        <is>
          <t>세로각지(가)</t>
        </is>
      </c>
    </row>
    <row r="829">
      <c r="A829" s="3" t="inlineStr">
        <is>
          <t>연동면 예양리 838-2</t>
        </is>
      </c>
      <c r="B829" s="3" t="inlineStr">
        <is>
          <t>농림지역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16400</v>
      </c>
      <c r="G829" s="4" t="n">
        <v>665</v>
      </c>
      <c r="H829" s="4" t="n">
        <v>201</v>
      </c>
      <c r="I829" s="5" t="n">
        <v>81.59999999999999</v>
      </c>
      <c r="J829" s="5" t="n">
        <v>24</v>
      </c>
      <c r="K829" s="3" t="inlineStr">
        <is>
          <t>도로5m,3m접한 코너각지 직사각형,현재 전으로 이용중임.</t>
        </is>
      </c>
      <c r="L829" s="6">
        <f>HYPERLINK("https://fin.land.naver.com/articles/2647235810", "매물Link")</f>
        <v/>
      </c>
      <c r="M829" s="6">
        <f>HYPERLINK("https://map.naver.com/p/search/연동면 예양리 838-2", "지도Link")</f>
        <v/>
      </c>
      <c r="N829" s="6">
        <f>HYPERLINK("http://www.eum.go.kr/web/ar/lu/luLandDet.jsp?pnu=3611032026108380002&amp;isNoScr=script&amp;mode=search", "토지이음")</f>
        <v/>
      </c>
      <c r="O829" s="3" t="inlineStr">
        <is>
          <t>자이호박</t>
        </is>
      </c>
      <c r="P829" s="4" t="n">
        <v>1</v>
      </c>
      <c r="Q829" s="4" t="n">
        <v>665.6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가로장방</t>
        </is>
      </c>
      <c r="V829" s="3" t="inlineStr">
        <is>
          <t>세로한면(가)</t>
        </is>
      </c>
    </row>
    <row r="830">
      <c r="A830" s="3" t="inlineStr">
        <is>
          <t>연동면 예양리 99-5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52800</v>
      </c>
      <c r="G830" s="4" t="n">
        <v>2384</v>
      </c>
      <c r="H830" s="4" t="n">
        <v>721</v>
      </c>
      <c r="I830" s="5" t="n">
        <v>73.2</v>
      </c>
      <c r="J830" s="5" t="n">
        <v>32.9</v>
      </c>
      <c r="K830" s="3" t="inlineStr">
        <is>
          <t>3m 도로접한 계획관리</t>
        </is>
      </c>
      <c r="L830" s="6">
        <f>HYPERLINK("https://fin.land.naver.com/articles/2651242045", "매물Link")</f>
        <v/>
      </c>
      <c r="M830" s="6">
        <f>HYPERLINK("https://map.naver.com/p/search/연동면 예양리 99-5", "지도Link")</f>
        <v/>
      </c>
      <c r="N830" s="6">
        <f>HYPERLINK("http://www.eum.go.kr/web/ar/lu/luLandDet.jsp?pnu=3611032026100990005&amp;isNoScr=script&amp;mode=search", "토지이음")</f>
        <v/>
      </c>
      <c r="O830" s="3" t="inlineStr">
        <is>
          <t>세종땅사랑</t>
        </is>
      </c>
      <c r="P830" s="4" t="n">
        <v>1</v>
      </c>
      <c r="Q830" s="4" t="n">
        <v>2384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연동면 예양리 99-5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52800</v>
      </c>
      <c r="G831" s="4" t="n">
        <v>2384</v>
      </c>
      <c r="H831" s="4" t="n">
        <v>721</v>
      </c>
      <c r="I831" s="5" t="n">
        <v>73.2</v>
      </c>
      <c r="J831" s="5" t="n">
        <v>32.9</v>
      </c>
      <c r="K831" s="3" t="inlineStr">
        <is>
          <t>행정중심복합도시 동측에 위치한 농지</t>
        </is>
      </c>
      <c r="L831" s="6">
        <f>HYPERLINK("https://fin.land.naver.com/articles/2651237783", "매물Link")</f>
        <v/>
      </c>
      <c r="M831" s="6">
        <f>HYPERLINK("https://map.naver.com/p/search/연동면 예양리 99-5", "지도Link")</f>
        <v/>
      </c>
      <c r="N831" s="6">
        <f>HYPERLINK("http://www.eum.go.kr/web/ar/lu/luLandDet.jsp?pnu=3611032026100990005&amp;isNoScr=script&amp;mode=search", "토지이음")</f>
        <v/>
      </c>
      <c r="O831" s="3" t="inlineStr">
        <is>
          <t>세종토박이</t>
        </is>
      </c>
      <c r="P831" s="4" t="n">
        <v>1</v>
      </c>
      <c r="Q831" s="4" t="n">
        <v>2384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응암리 199-1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25000</v>
      </c>
      <c r="G832" s="4" t="n">
        <v>743</v>
      </c>
      <c r="H832" s="4" t="n">
        <v>225</v>
      </c>
      <c r="I832" s="5" t="n">
        <v>111.1</v>
      </c>
      <c r="J832" s="5" t="n">
        <v>57</v>
      </c>
      <c r="K832" s="3" t="inlineStr">
        <is>
          <t>평지,계획관리,대지,도로접,이웃필지 연접가능</t>
        </is>
      </c>
      <c r="L832" s="6">
        <f>HYPERLINK("https://fin.land.naver.com/articles/2648020617", "매물Link")</f>
        <v/>
      </c>
      <c r="M832" s="6">
        <f>HYPERLINK("https://map.naver.com/p/search/연동면 응암리 199-1", "지도Link")</f>
        <v/>
      </c>
      <c r="N832" s="6">
        <f>HYPERLINK("http://www.eum.go.kr/web/ar/lu/luLandDet.jsp?pnu=3611032024101990001&amp;isNoScr=script&amp;mode=search", "토지이음")</f>
        <v/>
      </c>
      <c r="O832" s="3" t="inlineStr">
        <is>
          <t>세종초이스</t>
        </is>
      </c>
      <c r="P832" s="4" t="n">
        <v>1</v>
      </c>
      <c r="Q832" s="4" t="n">
        <v>743</v>
      </c>
      <c r="R832" s="3" t="inlineStr">
        <is>
          <t>지정되지않음</t>
        </is>
      </c>
      <c r="S832" s="3" t="inlineStr">
        <is>
          <t>단독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세로각지(가)</t>
        </is>
      </c>
    </row>
    <row r="833">
      <c r="A833" s="3" t="inlineStr">
        <is>
          <t>연동면 응암리 253-5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47000</v>
      </c>
      <c r="G833" s="4" t="n">
        <v>3158</v>
      </c>
      <c r="H833" s="4" t="n">
        <v>955</v>
      </c>
      <c r="I833" s="5" t="n">
        <v>49.2</v>
      </c>
      <c r="J833" s="5" t="n">
        <v>21.5</v>
      </c>
      <c r="K833" s="3" t="inlineStr">
        <is>
          <t>도로 높이로 성토하여 현재 블루베리 재배 2년차임</t>
        </is>
      </c>
      <c r="L833" s="6">
        <f>HYPERLINK("https://fin.land.naver.com/articles/2649176108", "매물Link")</f>
        <v/>
      </c>
      <c r="M833" s="6">
        <f>HYPERLINK("https://map.naver.com/p/search/연동면 응암리 253-5", "지도Link")</f>
        <v/>
      </c>
      <c r="N833" s="6">
        <f>HYPERLINK("http://www.eum.go.kr/web/ar/lu/luLandDet.jsp?pnu=3611032024102530005&amp;isNoScr=script&amp;mode=search", "토지이음")</f>
        <v/>
      </c>
      <c r="O833" s="3" t="inlineStr">
        <is>
          <t>그래그</t>
        </is>
      </c>
      <c r="P833" s="4" t="n">
        <v>1</v>
      </c>
      <c r="Q833" s="4" t="n">
        <v>3158.4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가로장방</t>
        </is>
      </c>
      <c r="V833" s="3" t="inlineStr">
        <is>
          <t>세로한면(가)</t>
        </is>
      </c>
    </row>
    <row r="834">
      <c r="A834" s="3" t="inlineStr">
        <is>
          <t>연동면 응암리 257-5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22000</v>
      </c>
      <c r="G834" s="4" t="n">
        <v>1822</v>
      </c>
      <c r="H834" s="4" t="n">
        <v>551</v>
      </c>
      <c r="I834" s="5" t="n">
        <v>39.9</v>
      </c>
      <c r="J834" s="5" t="n">
        <v>21</v>
      </c>
      <c r="K834" s="3" t="inlineStr">
        <is>
          <t>nan</t>
        </is>
      </c>
      <c r="L834" s="6">
        <f>HYPERLINK("https://fin.land.naver.com/articles/2647259477", "매물Link")</f>
        <v/>
      </c>
      <c r="M834" s="6">
        <f>HYPERLINK("https://map.naver.com/p/search/연동면 응암리 257-5", "지도Link")</f>
        <v/>
      </c>
      <c r="N834" s="6">
        <f>HYPERLINK("http://www.eum.go.kr/web/ar/lu/luLandDet.jsp?pnu=3611032024102570005&amp;isNoScr=script&amp;mode=search", "토지이음")</f>
        <v/>
      </c>
      <c r="O834" s="3" t="inlineStr">
        <is>
          <t>세종땅전문</t>
        </is>
      </c>
      <c r="P834" s="4" t="n">
        <v>1</v>
      </c>
      <c r="Q834" s="4" t="n">
        <v>1822.2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가로장방</t>
        </is>
      </c>
      <c r="V834" s="3" t="inlineStr">
        <is>
          <t>세로한면(가)</t>
        </is>
      </c>
    </row>
    <row r="835">
      <c r="A835" s="3" t="inlineStr">
        <is>
          <t>연동면 응암리 317</t>
        </is>
      </c>
      <c r="B835" s="3" t="inlineStr">
        <is>
          <t>계획관리지역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250000</v>
      </c>
      <c r="G835" s="4" t="n">
        <v>7500</v>
      </c>
      <c r="H835" s="4" t="n">
        <v>2269</v>
      </c>
      <c r="I835" s="5" t="n">
        <v>110.2</v>
      </c>
      <c r="J835" s="5" t="n">
        <v>34.7</v>
      </c>
      <c r="K835" s="3" t="inlineStr">
        <is>
          <t>1.2차선 도로에서 바로진입 2.남청주IC 7KM소요시간 10분이내</t>
        </is>
      </c>
      <c r="L835" s="6">
        <f>HYPERLINK("https://fin.land.naver.com/articles/2650176467", "매물Link")</f>
        <v/>
      </c>
      <c r="M835" s="6">
        <f>HYPERLINK("https://map.naver.com/p/search/연동면 응암리 317", "지도Link")</f>
        <v/>
      </c>
      <c r="N835" s="6">
        <f>HYPERLINK("http://www.eum.go.kr/web/ar/lu/luLandDet.jsp?pnu=3611032024103170000&amp;isNoScr=script&amp;mode=search",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3700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응암리 479-8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30000</v>
      </c>
      <c r="G836" s="4" t="n">
        <v>2552</v>
      </c>
      <c r="H836" s="4" t="n">
        <v>772</v>
      </c>
      <c r="I836" s="5" t="n">
        <v>38.9</v>
      </c>
      <c r="J836" s="5" t="n">
        <v>22.9</v>
      </c>
      <c r="K836" s="3" t="inlineStr">
        <is>
          <t>저렴한 농지 가격 레고 가능</t>
        </is>
      </c>
      <c r="L836" s="6">
        <f>HYPERLINK("https://fin.land.naver.com/articles/2647259674", "매물Link")</f>
        <v/>
      </c>
      <c r="M836" s="6">
        <f>HYPERLINK("https://map.naver.com/p/search/연동면 응암리 479-8", "지도Link")</f>
        <v/>
      </c>
      <c r="N836" s="6">
        <f>HYPERLINK("http://www.eum.go.kr/web/ar/lu/luLandDet.jsp?pnu=3611032024104790008&amp;isNoScr=script&amp;mode=search", "토지이음")</f>
        <v/>
      </c>
      <c r="O836" s="3" t="inlineStr">
        <is>
          <t>세종땅전문</t>
        </is>
      </c>
      <c r="P836" s="4" t="n">
        <v>1</v>
      </c>
      <c r="Q836" s="4" t="n">
        <v>2551.9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세로장방</t>
        </is>
      </c>
      <c r="V836" s="3" t="inlineStr">
        <is>
          <t>세로한면(가)</t>
        </is>
      </c>
    </row>
    <row r="837">
      <c r="A837" s="3" t="inlineStr">
        <is>
          <t>연동면 응암리 555-1</t>
        </is>
      </c>
      <c r="B837" s="3" t="inlineStr">
        <is>
          <t>계획관리지역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120000</v>
      </c>
      <c r="G837" s="4" t="n">
        <v>2863</v>
      </c>
      <c r="H837" s="4" t="n">
        <v>866</v>
      </c>
      <c r="I837" s="5" t="n">
        <v>138.6</v>
      </c>
      <c r="J837" s="5" t="n">
        <v>55.4</v>
      </c>
      <c r="K837" s="3" t="inlineStr">
        <is>
          <t>계획관리.도로접,투자용,물류교통최상,세종5생활권근접,남청주ic인접</t>
        </is>
      </c>
      <c r="L837" s="6">
        <f>HYPERLINK("https://fin.land.naver.com/articles/2646417745", "매물Link")</f>
        <v/>
      </c>
      <c r="M837" s="6">
        <f>HYPERLINK("https://map.naver.com/p/search/연동면 응암리 555-1", "지도Link")</f>
        <v/>
      </c>
      <c r="N837" s="6">
        <f>HYPERLINK("http://www.eum.go.kr/web/ar/lu/luLandDet.jsp?pnu=3611032024105550001&amp;isNoScr=script&amp;mode=search", "토지이음")</f>
        <v/>
      </c>
      <c r="O837" s="3" t="inlineStr">
        <is>
          <t>옥산제일사무소</t>
        </is>
      </c>
      <c r="P837" s="4" t="n">
        <v>1</v>
      </c>
      <c r="Q837" s="4" t="n">
        <v>2863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연동면 응암리 584-13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100000</v>
      </c>
      <c r="G838" s="4" t="n">
        <v>1429</v>
      </c>
      <c r="H838" s="4" t="n">
        <v>432</v>
      </c>
      <c r="I838" s="5" t="n">
        <v>231.5</v>
      </c>
      <c r="J838" s="5" t="n">
        <v>103.4</v>
      </c>
      <c r="K838" s="3" t="inlineStr">
        <is>
          <t>1. 2차선도로 접한 직사각형토지 급매토지 2. 오송역 남청주IC 1</t>
        </is>
      </c>
      <c r="L838" s="6">
        <f>HYPERLINK("https://fin.land.naver.com/articles/2646950261", "매물Link")</f>
        <v/>
      </c>
      <c r="M838" s="6">
        <f>HYPERLINK("https://map.naver.com/p/search/연동면 응암리 584-13", "지도Link")</f>
        <v/>
      </c>
      <c r="N838" s="6">
        <f>HYPERLINK("http://www.eum.go.kr/web/ar/lu/luLandDet.jsp?pnu=3611032024105840013&amp;isNoScr=script&amp;mode=search", "토지이음")</f>
        <v/>
      </c>
      <c r="O838" s="3" t="inlineStr">
        <is>
          <t>연동스카이</t>
        </is>
      </c>
      <c r="P838" s="4" t="n">
        <v>1</v>
      </c>
      <c r="Q838" s="4" t="n">
        <v>766</v>
      </c>
      <c r="R838" s="3" t="inlineStr">
        <is>
          <t>지정되지않음</t>
        </is>
      </c>
      <c r="S838" s="3" t="inlineStr">
        <is>
          <t>주거기타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소로한면</t>
        </is>
      </c>
    </row>
    <row r="839">
      <c r="A839" s="3" t="inlineStr">
        <is>
          <t>연동면 응암리 584-13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100000</v>
      </c>
      <c r="G839" s="4" t="n">
        <v>1429</v>
      </c>
      <c r="H839" s="4" t="n">
        <v>432</v>
      </c>
      <c r="I839" s="5" t="n">
        <v>231.5</v>
      </c>
      <c r="J839" s="5" t="n">
        <v>103.4</v>
      </c>
      <c r="K839" s="3" t="inlineStr">
        <is>
          <t>2차선도로접  명학산업단지 5생활권 남청주ic 인근</t>
        </is>
      </c>
      <c r="L839" s="6">
        <f>HYPERLINK("https://fin.land.naver.com/articles/2650660360", "매물Link")</f>
        <v/>
      </c>
      <c r="M839" s="6">
        <f>HYPERLINK("https://map.naver.com/p/search/연동면 응암리 584-13", "지도Link")</f>
        <v/>
      </c>
      <c r="N839" s="6">
        <f>HYPERLINK("http://www.eum.go.kr/web/ar/lu/luLandDet.jsp?pnu=3611032024105840013&amp;isNoScr=script&amp;mode=search", "토지이음")</f>
        <v/>
      </c>
      <c r="O839" s="3" t="inlineStr">
        <is>
          <t>세종로또</t>
        </is>
      </c>
      <c r="P839" s="4" t="n">
        <v>1</v>
      </c>
      <c r="Q839" s="4" t="n">
        <v>766</v>
      </c>
      <c r="R839" s="3" t="inlineStr">
        <is>
          <t>지정되지않음</t>
        </is>
      </c>
      <c r="S839" s="3" t="inlineStr">
        <is>
          <t>주거기타</t>
        </is>
      </c>
      <c r="T839" s="3" t="inlineStr">
        <is>
          <t>평지</t>
        </is>
      </c>
      <c r="U839" s="3" t="inlineStr">
        <is>
          <t>사다리형</t>
        </is>
      </c>
      <c r="V839" s="3" t="inlineStr">
        <is>
          <t>소로한면</t>
        </is>
      </c>
    </row>
    <row r="840">
      <c r="A840" s="3" t="inlineStr">
        <is>
          <t>연동면 응암리 584-13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105000</v>
      </c>
      <c r="G840" s="4" t="n">
        <v>1429</v>
      </c>
      <c r="H840" s="4" t="n">
        <v>432</v>
      </c>
      <c r="I840" s="5" t="n">
        <v>243.1</v>
      </c>
      <c r="J840" s="5" t="n">
        <v>103.4</v>
      </c>
      <c r="K840" s="3" t="inlineStr">
        <is>
          <t>2차선 도로접한,대,평지로 땅모양 좋아요,5생활권 및 명학 산업단지 근접</t>
        </is>
      </c>
      <c r="L840" s="6">
        <f>HYPERLINK("https://fin.land.naver.com/articles/2647057768", "매물Link")</f>
        <v/>
      </c>
      <c r="M840" s="6">
        <f>HYPERLINK("https://map.naver.com/p/search/연동면 응암리 584-13", "지도Link")</f>
        <v/>
      </c>
      <c r="N840" s="6">
        <f>HYPERLINK("http://www.eum.go.kr/web/ar/lu/luLandDet.jsp?pnu=3611032024105840013&amp;isNoScr=script&amp;mode=search", "토지이음")</f>
        <v/>
      </c>
      <c r="O840" s="3" t="inlineStr">
        <is>
          <t>해밀탑</t>
        </is>
      </c>
      <c r="P840" s="4" t="n">
        <v>1</v>
      </c>
      <c r="Q840" s="4" t="n">
        <v>766</v>
      </c>
      <c r="R840" s="3" t="inlineStr">
        <is>
          <t>지정되지않음</t>
        </is>
      </c>
      <c r="S840" s="3" t="inlineStr">
        <is>
          <t>주거기타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소로한면</t>
        </is>
      </c>
    </row>
    <row r="841">
      <c r="A841" s="3" t="inlineStr">
        <is>
          <t>연동면 응암리 602-3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27000</v>
      </c>
      <c r="G841" s="4" t="n">
        <v>452</v>
      </c>
      <c r="H841" s="4" t="n">
        <v>137</v>
      </c>
      <c r="I841" s="5" t="n">
        <v>197.1</v>
      </c>
      <c r="J841" s="5" t="n">
        <v>89.90000000000001</v>
      </c>
      <c r="K841" s="3" t="inlineStr">
        <is>
          <t>nan</t>
        </is>
      </c>
      <c r="L841" s="6">
        <f>HYPERLINK("https://fin.land.naver.com/articles/2651560789", "매물Link")</f>
        <v/>
      </c>
      <c r="M841" s="6">
        <f>HYPERLINK("https://map.naver.com/p/search/연동면 응암리 602-3", "지도Link")</f>
        <v/>
      </c>
      <c r="N841" s="6">
        <f>HYPERLINK("http://www.eum.go.kr/web/ar/lu/luLandDet.jsp?pnu=3611032024106020003&amp;isNoScr=script&amp;mode=search", "토지이음")</f>
        <v/>
      </c>
      <c r="O841" s="3" t="inlineStr">
        <is>
          <t>부엉이</t>
        </is>
      </c>
      <c r="P841" s="4" t="n">
        <v>1</v>
      </c>
      <c r="Q841" s="4" t="n">
        <v>188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평지</t>
        </is>
      </c>
      <c r="U841" s="3" t="inlineStr">
        <is>
          <t>세로장방</t>
        </is>
      </c>
      <c r="V841" s="3" t="inlineStr">
        <is>
          <t>세로한면(가)</t>
        </is>
      </c>
    </row>
    <row r="842">
      <c r="A842" s="3" t="inlineStr">
        <is>
          <t>연동면 응암리 694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32000</v>
      </c>
      <c r="G842" s="4" t="n">
        <v>1769</v>
      </c>
      <c r="H842" s="4" t="n">
        <v>535</v>
      </c>
      <c r="I842" s="5" t="n">
        <v>59.8</v>
      </c>
      <c r="J842" s="5" t="n">
        <v>36.4</v>
      </c>
      <c r="K842" s="3" t="inlineStr">
        <is>
          <t>연동면 응암리 계획관리지역</t>
        </is>
      </c>
      <c r="L842" s="6">
        <f>HYPERLINK("https://fin.land.naver.com/articles/2649787914", "매물Link")</f>
        <v/>
      </c>
      <c r="M842" s="6">
        <f>HYPERLINK("https://map.naver.com/p/search/연동면 응암리 694", "지도Link")</f>
        <v/>
      </c>
      <c r="N842" s="6">
        <f>HYPERLINK("http://www.eum.go.kr/web/ar/lu/luLandDet.jsp?pnu=3611032024106940000&amp;isNoScr=script&amp;mode=search", "토지이음")</f>
        <v/>
      </c>
      <c r="O842" s="3" t="inlineStr">
        <is>
          <t>KB세종</t>
        </is>
      </c>
      <c r="P842" s="4" t="n">
        <v>1</v>
      </c>
      <c r="Q842" s="4" t="n">
        <v>1769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연동면 응암리 738-8</t>
        </is>
      </c>
      <c r="B843" s="3" t="inlineStr">
        <is>
          <t>계획관리지역</t>
        </is>
      </c>
      <c r="C843" s="3" t="inlineStr">
        <is>
          <t>주유소용지</t>
        </is>
      </c>
      <c r="D843" s="3" t="inlineStr">
        <is>
          <t>주유소용지</t>
        </is>
      </c>
      <c r="E843" s="3" t="inlineStr">
        <is>
          <t>매매</t>
        </is>
      </c>
      <c r="F843" s="4" t="n">
        <v>370000</v>
      </c>
      <c r="G843" s="4" t="n">
        <v>1420</v>
      </c>
      <c r="H843" s="4" t="n">
        <v>430</v>
      </c>
      <c r="I843" s="5" t="n">
        <v>860.5</v>
      </c>
      <c r="J843" s="5" t="n">
        <v>160</v>
      </c>
      <c r="K843" s="3" t="inlineStr">
        <is>
          <t>행정중심복합도시 진입 방향 건축가능한 나대지</t>
        </is>
      </c>
      <c r="L843" s="6">
        <f>HYPERLINK("https://fin.land.naver.com/articles/2647420850", "매물Link")</f>
        <v/>
      </c>
      <c r="M843" s="6">
        <f>HYPERLINK("https://map.naver.com/p/search/연동면 응암리 738-8", "지도Link")</f>
        <v/>
      </c>
      <c r="N843" s="6">
        <f>HYPERLINK("http://www.eum.go.kr/web/ar/lu/luLandDet.jsp?pnu=3611032024107380008&amp;isNoScr=script&amp;mode=search", "토지이음")</f>
        <v/>
      </c>
      <c r="O843" s="3" t="inlineStr">
        <is>
          <t>남산제일</t>
        </is>
      </c>
      <c r="P843" s="4" t="n">
        <v>1</v>
      </c>
      <c r="Q843" s="4" t="n">
        <v>1420</v>
      </c>
      <c r="R843" s="3" t="inlineStr">
        <is>
          <t>지정되지않음</t>
        </is>
      </c>
      <c r="S843" s="3" t="inlineStr">
        <is>
          <t>상업용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소로한면</t>
        </is>
      </c>
    </row>
    <row r="844">
      <c r="A844" s="3" t="inlineStr">
        <is>
          <t>연동면 응암리 749-2</t>
        </is>
      </c>
      <c r="B844" s="3" t="inlineStr">
        <is>
          <t>계획관리지역</t>
        </is>
      </c>
      <c r="C844" s="3" t="inlineStr">
        <is>
          <t>전</t>
        </is>
      </c>
      <c r="D844" s="3" t="inlineStr">
        <is>
          <t>전</t>
        </is>
      </c>
      <c r="E844" s="3" t="inlineStr">
        <is>
          <t>매매</t>
        </is>
      </c>
      <c r="F844" s="4" t="n">
        <v>147000</v>
      </c>
      <c r="G844" s="4" t="n">
        <v>972</v>
      </c>
      <c r="H844" s="4" t="n">
        <v>294</v>
      </c>
      <c r="I844" s="5" t="n">
        <v>500</v>
      </c>
      <c r="J844" s="5" t="n">
        <v>76.2</v>
      </c>
      <c r="K844" s="3" t="inlineStr">
        <is>
          <t>2차선접,땅모양 굿</t>
        </is>
      </c>
      <c r="L844" s="6">
        <f>HYPERLINK("https://fin.land.naver.com/articles/2649526799", "매물Link")</f>
        <v/>
      </c>
      <c r="M844" s="6">
        <f>HYPERLINK("https://map.naver.com/p/search/연동면 응암리 749-2", "지도Link")</f>
        <v/>
      </c>
      <c r="N844" s="6">
        <f>HYPERLINK("http://www.eum.go.kr/web/ar/lu/luLandDet.jsp?pnu=3611032024107490002&amp;isNoScr=script&amp;mode=search", "토지이음")</f>
        <v/>
      </c>
      <c r="O844" s="3" t="inlineStr">
        <is>
          <t>힐스테이트행복</t>
        </is>
      </c>
      <c r="P844" s="4" t="n">
        <v>1</v>
      </c>
      <c r="Q844" s="4" t="n">
        <v>972</v>
      </c>
      <c r="R844" s="3" t="inlineStr">
        <is>
          <t>지정되지않음</t>
        </is>
      </c>
      <c r="S844" s="3" t="inlineStr">
        <is>
          <t>과수원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소로한면</t>
        </is>
      </c>
    </row>
    <row r="845">
      <c r="A845" s="3" t="inlineStr">
        <is>
          <t>연동면 응암리 752-2</t>
        </is>
      </c>
      <c r="B845" s="3" t="inlineStr">
        <is>
          <t>계획관리지역</t>
        </is>
      </c>
      <c r="C845" s="3" t="inlineStr">
        <is>
          <t>잡종지</t>
        </is>
      </c>
      <c r="D845" s="3" t="inlineStr">
        <is>
          <t>잡종지</t>
        </is>
      </c>
      <c r="E845" s="3" t="inlineStr">
        <is>
          <t>매매</t>
        </is>
      </c>
      <c r="F845" s="4" t="n">
        <v>300000</v>
      </c>
      <c r="G845" s="4" t="n">
        <v>2428</v>
      </c>
      <c r="H845" s="4" t="n">
        <v>734</v>
      </c>
      <c r="I845" s="5" t="n">
        <v>408.7</v>
      </c>
      <c r="J845" s="5" t="n">
        <v>133</v>
      </c>
      <c r="K845" s="3" t="inlineStr">
        <is>
          <t>2차선도로변, 5생활권주변, 카센터,타이어,물류,상가 등 추천</t>
        </is>
      </c>
      <c r="L845" s="6">
        <f>HYPERLINK("https://fin.land.naver.com/articles/2649691502", "매물Link")</f>
        <v/>
      </c>
      <c r="M845" s="6">
        <f>HYPERLINK("https://map.naver.com/p/search/연동면 응암리 752-2", "지도Link")</f>
        <v/>
      </c>
      <c r="N845" s="6">
        <f>HYPERLINK("http://www.eum.go.kr/web/ar/lu/luLandDet.jsp?pnu=3611032024107520002&amp;isNoScr=script&amp;mode=search", "토지이음")</f>
        <v/>
      </c>
      <c r="O845" s="3" t="inlineStr">
        <is>
          <t>세종큰길</t>
        </is>
      </c>
      <c r="P845" s="4" t="n">
        <v>1</v>
      </c>
      <c r="Q845" s="4" t="n">
        <v>628</v>
      </c>
      <c r="R845" s="3" t="inlineStr">
        <is>
          <t>지정되지않음</t>
        </is>
      </c>
      <c r="S845" s="3" t="inlineStr">
        <is>
          <t>주상용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연동면 응암리 871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48800</v>
      </c>
      <c r="G846" s="4" t="n">
        <v>2928</v>
      </c>
      <c r="H846" s="4" t="n">
        <v>886</v>
      </c>
      <c r="I846" s="5" t="n">
        <v>55.1</v>
      </c>
      <c r="J846" s="5" t="n">
        <v>21.7</v>
      </c>
      <c r="K846" s="3" t="inlineStr">
        <is>
          <t>마을부근의 농지로 대토 및 농업관련 업종의 소형공장이나 창고, 주택</t>
        </is>
      </c>
      <c r="L846" s="6">
        <f>HYPERLINK("https://fin.land.naver.com/articles/2648259374", "매물Link")</f>
        <v/>
      </c>
      <c r="M846" s="6">
        <f>HYPERLINK("https://map.naver.com/p/search/연동면 응암리 871", "지도Link")</f>
        <v/>
      </c>
      <c r="N846" s="6">
        <f>HYPERLINK("http://www.eum.go.kr/web/ar/lu/luLandDet.jsp?pnu=3611032024108710000&amp;isNoScr=script&amp;mode=search",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2927.9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가로장방</t>
        </is>
      </c>
      <c r="V846" s="3" t="inlineStr">
        <is>
          <t>세로한면(가)</t>
        </is>
      </c>
    </row>
    <row r="847">
      <c r="A847" s="3" t="inlineStr">
        <is>
          <t>연동면 응암리 산42-6</t>
        </is>
      </c>
      <c r="B847" s="3" t="inlineStr">
        <is>
          <t>계획관리지역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220000</v>
      </c>
      <c r="G847" s="4" t="n">
        <v>5620</v>
      </c>
      <c r="H847" s="4" t="n">
        <v>1700</v>
      </c>
      <c r="I847" s="5" t="n">
        <v>129.4</v>
      </c>
      <c r="J847" s="5" t="n">
        <v>13.1</v>
      </c>
      <c r="K847" s="3" t="inlineStr">
        <is>
          <t>계획관리지역.4미터포장진입도로있음.물류창고용도활용가능.준보전산지.종중임야</t>
        </is>
      </c>
      <c r="L847" s="6">
        <f>HYPERLINK("https://fin.land.naver.com/articles/2650950524", "매물Link")</f>
        <v/>
      </c>
      <c r="M847" s="6">
        <f>HYPERLINK("https://map.naver.com/p/search/연동면 응암리 산42-6", "지도Link")</f>
        <v/>
      </c>
      <c r="N847" s="6">
        <f>HYPERLINK("http://www.eum.go.kr/web/ar/lu/luLandDet.jsp?pnu=3611032024200420006&amp;isNoScr=script&amp;mode=search", "토지이음")</f>
        <v/>
      </c>
      <c r="O847" s="3" t="inlineStr">
        <is>
          <t>돈방석</t>
        </is>
      </c>
      <c r="P847" s="4" t="n">
        <v>1</v>
      </c>
      <c r="Q847" s="4" t="n">
        <v>5620</v>
      </c>
      <c r="R847" s="3" t="inlineStr">
        <is>
          <t>지정되지않음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세로한면(불)</t>
        </is>
      </c>
    </row>
    <row r="848">
      <c r="A848" s="3" t="inlineStr">
        <is>
          <t>연동면 합강리 485-10</t>
        </is>
      </c>
      <c r="B848" s="3" t="inlineStr">
        <is>
          <t>보전관리지역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70000</v>
      </c>
      <c r="G848" s="4" t="n">
        <v>655</v>
      </c>
      <c r="H848" s="4" t="n">
        <v>198</v>
      </c>
      <c r="I848" s="5" t="n">
        <v>353.5</v>
      </c>
      <c r="J848" s="5" t="n">
        <v>165</v>
      </c>
      <c r="K848" s="3" t="inlineStr">
        <is>
          <t>강이 보이는 남향의 최고의 전원주택 부지 급 매매</t>
        </is>
      </c>
      <c r="L848" s="6">
        <f>HYPERLINK("https://fin.land.naver.com/articles/2650228949", "매물Link")</f>
        <v/>
      </c>
      <c r="M848" s="6">
        <f>HYPERLINK("https://map.naver.com/p/search/연동면 합강리 485-10", "지도Link")</f>
        <v/>
      </c>
      <c r="N848" s="6">
        <f>HYPERLINK("http://www.eum.go.kr/web/ar/lu/luLandDet.jsp?pnu=3611032028104850010&amp;isNoScr=script&amp;mode=search", "토지이음")</f>
        <v/>
      </c>
      <c r="O848" s="3" t="inlineStr">
        <is>
          <t>대전토지로무소</t>
        </is>
      </c>
      <c r="P848" s="4" t="n">
        <v>1</v>
      </c>
      <c r="Q848" s="4" t="n">
        <v>414</v>
      </c>
      <c r="R848" s="3" t="inlineStr">
        <is>
          <t>지정되지않음</t>
        </is>
      </c>
      <c r="S848" s="3" t="inlineStr">
        <is>
          <t>주거나지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연동면 합강리 486-41</t>
        </is>
      </c>
      <c r="B849" s="3" t="inlineStr">
        <is>
          <t>농림지역</t>
        </is>
      </c>
      <c r="C849" s="3" t="inlineStr">
        <is>
          <t>임야</t>
        </is>
      </c>
      <c r="D849" s="3" t="inlineStr">
        <is>
          <t>임야</t>
        </is>
      </c>
      <c r="E849" s="3" t="inlineStr">
        <is>
          <t>매매</t>
        </is>
      </c>
      <c r="F849" s="4" t="n">
        <v>110000</v>
      </c>
      <c r="G849" s="4" t="n">
        <v>12036</v>
      </c>
      <c r="H849" s="4" t="n">
        <v>3641</v>
      </c>
      <c r="I849" s="5" t="n">
        <v>30.2</v>
      </c>
      <c r="J849" s="5" t="n">
        <v>6</v>
      </c>
      <c r="K849" s="3" t="inlineStr">
        <is>
          <t>세종시 연동면 합강리 금강 인근 임야 매매</t>
        </is>
      </c>
      <c r="L849" s="6">
        <f>HYPERLINK("https://fin.land.naver.com/articles/2646831517", "매물Link")</f>
        <v/>
      </c>
      <c r="M849" s="6">
        <f>HYPERLINK("https://map.naver.com/p/search/연동면 합강리 486-41", "지도Link")</f>
        <v/>
      </c>
      <c r="N849" s="6">
        <f>HYPERLINK("http://www.eum.go.kr/web/ar/lu/luLandDet.jsp?pnu=3611032028104860041&amp;isNoScr=script&amp;mode=search", "토지이음")</f>
        <v/>
      </c>
      <c r="O849" s="3" t="inlineStr">
        <is>
          <t>뉴스카이</t>
        </is>
      </c>
      <c r="P849" s="4" t="n">
        <v>1</v>
      </c>
      <c r="Q849" s="4" t="n">
        <v>10686</v>
      </c>
      <c r="R849" s="3" t="inlineStr">
        <is>
          <t>보전관리지역</t>
        </is>
      </c>
      <c r="S849" s="3" t="inlineStr">
        <is>
          <t>자연림</t>
        </is>
      </c>
      <c r="T849" s="3" t="inlineStr">
        <is>
          <t>급경사</t>
        </is>
      </c>
      <c r="U849" s="3" t="inlineStr">
        <is>
          <t>부정형</t>
        </is>
      </c>
      <c r="V849" s="3" t="inlineStr">
        <is>
          <t>맹지</t>
        </is>
      </c>
    </row>
    <row r="850">
      <c r="A850" s="3" t="inlineStr">
        <is>
          <t>연동면 합강리 486-41</t>
        </is>
      </c>
      <c r="B850" s="3" t="inlineStr">
        <is>
          <t>농림지역</t>
        </is>
      </c>
      <c r="C850" s="3" t="inlineStr">
        <is>
          <t>임야</t>
        </is>
      </c>
      <c r="D850" s="3" t="inlineStr">
        <is>
          <t>임야</t>
        </is>
      </c>
      <c r="E850" s="3" t="inlineStr">
        <is>
          <t>매매</t>
        </is>
      </c>
      <c r="F850" s="4" t="n">
        <v>73000</v>
      </c>
      <c r="G850" s="4" t="n">
        <v>12036</v>
      </c>
      <c r="H850" s="4" t="n">
        <v>3641</v>
      </c>
      <c r="I850" s="5" t="n">
        <v>20</v>
      </c>
      <c r="J850" s="5" t="n">
        <v>6</v>
      </c>
      <c r="K850" s="3" t="inlineStr">
        <is>
          <t>조망이 좋고 투자가치가 높음, 인근에 비해 가격이 좋음</t>
        </is>
      </c>
      <c r="L850" s="6">
        <f>HYPERLINK("https://fin.land.naver.com/articles/2646827360", "매물Link")</f>
        <v/>
      </c>
      <c r="M850" s="6">
        <f>HYPERLINK("https://map.naver.com/p/search/연동면 합강리 486-41", "지도Link")</f>
        <v/>
      </c>
      <c r="N850" s="6">
        <f>HYPERLINK("http://www.eum.go.kr/web/ar/lu/luLandDet.jsp?pnu=3611032028104860041&amp;isNoScr=script&amp;mode=search", "토지이음")</f>
        <v/>
      </c>
      <c r="O850" s="3" t="inlineStr">
        <is>
          <t>새날</t>
        </is>
      </c>
      <c r="P850" s="4" t="n">
        <v>1</v>
      </c>
      <c r="Q850" s="4" t="n">
        <v>10686</v>
      </c>
      <c r="R850" s="3" t="inlineStr">
        <is>
          <t>보전관리지역</t>
        </is>
      </c>
      <c r="S850" s="3" t="inlineStr">
        <is>
          <t>자연림</t>
        </is>
      </c>
      <c r="T850" s="3" t="inlineStr">
        <is>
          <t>급경사</t>
        </is>
      </c>
      <c r="U850" s="3" t="inlineStr">
        <is>
          <t>부정형</t>
        </is>
      </c>
      <c r="V850" s="3" t="inlineStr">
        <is>
          <t>맹지</t>
        </is>
      </c>
    </row>
    <row r="851">
      <c r="A851" s="3" t="inlineStr">
        <is>
          <t>연동면 합강리 486-41</t>
        </is>
      </c>
      <c r="B851" s="3" t="inlineStr">
        <is>
          <t>농림지역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73000</v>
      </c>
      <c r="G851" s="4" t="n">
        <v>12036</v>
      </c>
      <c r="H851" s="4" t="n">
        <v>3641</v>
      </c>
      <c r="I851" s="5" t="n">
        <v>20</v>
      </c>
      <c r="J851" s="5" t="n">
        <v>6</v>
      </c>
      <c r="K851" s="3" t="inlineStr">
        <is>
          <t>nan</t>
        </is>
      </c>
      <c r="L851" s="6">
        <f>HYPERLINK("https://fin.land.naver.com/articles/2650048011", "매물Link")</f>
        <v/>
      </c>
      <c r="M851" s="6">
        <f>HYPERLINK("https://map.naver.com/p/search/연동면 합강리 486-41", "지도Link")</f>
        <v/>
      </c>
      <c r="N851" s="6">
        <f>HYPERLINK("http://www.eum.go.kr/web/ar/lu/luLandDet.jsp?pnu=3611032028104860041&amp;isNoScr=script&amp;mode=search", "토지이음")</f>
        <v/>
      </c>
      <c r="O851" s="3" t="inlineStr">
        <is>
          <t>하이엔드</t>
        </is>
      </c>
      <c r="P851" s="4" t="n">
        <v>1</v>
      </c>
      <c r="Q851" s="4" t="n">
        <v>10686</v>
      </c>
      <c r="R851" s="3" t="inlineStr">
        <is>
          <t>보전관리지역</t>
        </is>
      </c>
      <c r="S851" s="3" t="inlineStr">
        <is>
          <t>자연림</t>
        </is>
      </c>
      <c r="T851" s="3" t="inlineStr">
        <is>
          <t>급경사</t>
        </is>
      </c>
      <c r="U851" s="3" t="inlineStr">
        <is>
          <t>부정형</t>
        </is>
      </c>
      <c r="V851" s="3" t="inlineStr">
        <is>
          <t>맹지</t>
        </is>
      </c>
    </row>
    <row r="852">
      <c r="A852" s="3" t="inlineStr">
        <is>
          <t>연동면 합강리 490-25</t>
        </is>
      </c>
      <c r="B852" s="3" t="inlineStr">
        <is>
          <t>보전관리지역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85000</v>
      </c>
      <c r="G852" s="4" t="n">
        <v>770</v>
      </c>
      <c r="H852" s="4" t="n">
        <v>233</v>
      </c>
      <c r="I852" s="5" t="n">
        <v>364.8</v>
      </c>
      <c r="J852" s="5" t="n">
        <v>95.90000000000001</v>
      </c>
      <c r="K852" s="3" t="inlineStr">
        <is>
          <t>강가에 별장자리최고입니다</t>
        </is>
      </c>
      <c r="L852" s="6">
        <f>HYPERLINK("https://fin.land.naver.com/articles/2650471325", "매물Link")</f>
        <v/>
      </c>
      <c r="M852" s="6">
        <f>HYPERLINK("https://map.naver.com/p/search/연동면 합강리 490-25", "지도Link")</f>
        <v/>
      </c>
      <c r="N852" s="6">
        <f>HYPERLINK("http://www.eum.go.kr/web/ar/lu/luLandDet.jsp?pnu=3611032028104900025&amp;isNoScr=script&amp;mode=search", "토지이음")</f>
        <v/>
      </c>
      <c r="O852" s="3" t="inlineStr">
        <is>
          <t>청정</t>
        </is>
      </c>
      <c r="P852" s="4" t="n">
        <v>1</v>
      </c>
      <c r="Q852" s="4" t="n">
        <v>769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연동면 합강리 492-4</t>
        </is>
      </c>
      <c r="B853" s="3" t="inlineStr">
        <is>
          <t>보전관리지역</t>
        </is>
      </c>
      <c r="C853" s="3" t="inlineStr">
        <is>
          <t>전</t>
        </is>
      </c>
      <c r="D853" s="3" t="inlineStr">
        <is>
          <t>전</t>
        </is>
      </c>
      <c r="E853" s="3" t="inlineStr">
        <is>
          <t>매매</t>
        </is>
      </c>
      <c r="F853" s="4" t="n">
        <v>770000</v>
      </c>
      <c r="G853" s="4" t="n">
        <v>2308</v>
      </c>
      <c r="H853" s="4" t="n">
        <v>698</v>
      </c>
      <c r="I853" s="5" t="n">
        <v>1103.2</v>
      </c>
      <c r="J853" s="5" t="n">
        <v>107.6</v>
      </c>
      <c r="K853" s="3" t="inlineStr">
        <is>
          <t>카페입지, 좋은 위치, 상수도 전기설비완료, 농막 시설물포함, 가격절충</t>
        </is>
      </c>
      <c r="L853" s="6">
        <f>HYPERLINK("https://fin.land.naver.com/articles/2649498432", "매물Link")</f>
        <v/>
      </c>
      <c r="M853" s="6">
        <f>HYPERLINK("https://map.naver.com/p/search/연동면 합강리 492-4", "지도Link")</f>
        <v/>
      </c>
      <c r="N853" s="6">
        <f>HYPERLINK("http://www.eum.go.kr/web/ar/lu/luLandDet.jsp?pnu=3611032028104920004&amp;isNoScr=script&amp;mode=search", "토지이음")</f>
        <v/>
      </c>
      <c r="O853" s="3" t="inlineStr">
        <is>
          <t>황금힐스테이트</t>
        </is>
      </c>
      <c r="P853" s="4" t="n">
        <v>1</v>
      </c>
      <c r="Q853" s="4" t="n">
        <v>2308</v>
      </c>
      <c r="R853" s="3" t="inlineStr">
        <is>
          <t>지정되지않음</t>
        </is>
      </c>
      <c r="S853" s="3" t="inlineStr">
        <is>
          <t>전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연동면 합강리 500-24</t>
        </is>
      </c>
      <c r="B854" s="3" t="inlineStr">
        <is>
          <t>보전관리지역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98000</v>
      </c>
      <c r="G854" s="4" t="n">
        <v>647</v>
      </c>
      <c r="H854" s="4" t="n">
        <v>196</v>
      </c>
      <c r="I854" s="5" t="n">
        <v>500</v>
      </c>
      <c r="J854" s="5" t="n">
        <v>158.2</v>
      </c>
      <c r="K854" s="3" t="inlineStr">
        <is>
          <t>전망 좋은 주택지</t>
        </is>
      </c>
      <c r="L854" s="6">
        <f>HYPERLINK("https://fin.land.naver.com/articles/2646891086", "매물Link")</f>
        <v/>
      </c>
      <c r="M854" s="6">
        <f>HYPERLINK("https://map.naver.com/p/search/연동면 합강리 500-24", "지도Link")</f>
        <v/>
      </c>
      <c r="N854" s="6">
        <f>HYPERLINK("http://www.eum.go.kr/web/ar/lu/luLandDet.jsp?pnu=3611032028105000024&amp;isNoScr=script&amp;mode=search", "토지이음")</f>
        <v/>
      </c>
      <c r="O854" s="3" t="inlineStr">
        <is>
          <t>강아지풀</t>
        </is>
      </c>
      <c r="P854" s="4" t="n">
        <v>1</v>
      </c>
      <c r="Q854" s="4" t="n">
        <v>647</v>
      </c>
      <c r="R854" s="3" t="inlineStr">
        <is>
          <t>지정되지않음</t>
        </is>
      </c>
      <c r="S854" s="3" t="inlineStr">
        <is>
          <t>단독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연서면 고복리 112-1</t>
        </is>
      </c>
      <c r="B855" s="3" t="inlineStr">
        <is>
          <t>계획관리지역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37500</v>
      </c>
      <c r="G855" s="4" t="n">
        <v>946</v>
      </c>
      <c r="H855" s="4" t="n">
        <v>286</v>
      </c>
      <c r="I855" s="5" t="n">
        <v>131.1</v>
      </c>
      <c r="J855" s="5" t="n">
        <v>66</v>
      </c>
      <c r="K855" s="3" t="inlineStr">
        <is>
          <t>고복리 계획관리지역 대와 전으로 시세보다 저렴한 2필지 일괄매매.</t>
        </is>
      </c>
      <c r="L855" s="6">
        <f>HYPERLINK("https://fin.land.naver.com/articles/2647918884", "매물Link")</f>
        <v/>
      </c>
      <c r="M855" s="6">
        <f>HYPERLINK("https://map.naver.com/p/search/연서면 고복리 112-1", "지도Link")</f>
        <v/>
      </c>
      <c r="N855" s="6">
        <f>HYPERLINK("http://www.eum.go.kr/web/ar/lu/luLandDet.jsp?pnu=3611036024101120001&amp;isNoScr=script&amp;mode=search", "토지이음")</f>
        <v/>
      </c>
      <c r="O855" s="3" t="inlineStr">
        <is>
          <t>세종대장</t>
        </is>
      </c>
      <c r="P855" s="4" t="n">
        <v>1</v>
      </c>
      <c r="Q855" s="4" t="n">
        <v>377</v>
      </c>
      <c r="R855" s="3" t="inlineStr">
        <is>
          <t>지정되지않음</t>
        </is>
      </c>
      <c r="S855" s="3" t="inlineStr">
        <is>
          <t>주거나지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맹지</t>
        </is>
      </c>
    </row>
    <row r="856">
      <c r="A856" s="3" t="inlineStr">
        <is>
          <t>연서면 고복리 174-1</t>
        </is>
      </c>
      <c r="B856" s="3" t="inlineStr">
        <is>
          <t>생산관리지역</t>
        </is>
      </c>
      <c r="C856" s="3" t="inlineStr">
        <is>
          <t>과수원</t>
        </is>
      </c>
      <c r="D856" s="3" t="inlineStr">
        <is>
          <t>과수원</t>
        </is>
      </c>
      <c r="E856" s="3" t="inlineStr">
        <is>
          <t>매매</t>
        </is>
      </c>
      <c r="F856" s="4" t="n">
        <v>8370</v>
      </c>
      <c r="G856" s="4" t="n">
        <v>615</v>
      </c>
      <c r="H856" s="4" t="n">
        <v>186</v>
      </c>
      <c r="I856" s="5" t="n">
        <v>45</v>
      </c>
      <c r="J856" s="5" t="n">
        <v>23.4</v>
      </c>
      <c r="K856" s="3" t="inlineStr">
        <is>
          <t>소액추천매물,주말농장겸 투자용으로 미래가치 까지 가져가세요</t>
        </is>
      </c>
      <c r="L856" s="6">
        <f>HYPERLINK("https://fin.land.naver.com/articles/2646793702", "매물Link")</f>
        <v/>
      </c>
      <c r="M856" s="6">
        <f>HYPERLINK("https://map.naver.com/p/search/연서면 고복리 174-1", "지도Link")</f>
        <v/>
      </c>
      <c r="N856" s="6">
        <f>HYPERLINK("http://www.eum.go.kr/web/ar/lu/luLandDet.jsp?pnu=3611036024101740001&amp;isNoScr=script&amp;mode=search", "토지이음")</f>
        <v/>
      </c>
      <c r="O856" s="3" t="inlineStr">
        <is>
          <t>가치잇는</t>
        </is>
      </c>
      <c r="P856" s="4" t="n">
        <v>4</v>
      </c>
      <c r="Q856" s="4" t="n">
        <v>615</v>
      </c>
      <c r="R856" s="3" t="inlineStr">
        <is>
          <t>지정되지않음</t>
        </is>
      </c>
      <c r="S856" s="3" t="inlineStr">
        <is>
          <t>과수원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맹지</t>
        </is>
      </c>
    </row>
    <row r="857">
      <c r="A857" s="3" t="inlineStr">
        <is>
          <t>연서면 고복리 186-1</t>
        </is>
      </c>
      <c r="B857" s="3" t="inlineStr">
        <is>
          <t>생산관리지역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29000</v>
      </c>
      <c r="G857" s="4" t="n">
        <v>1964</v>
      </c>
      <c r="H857" s="4" t="n">
        <v>594</v>
      </c>
      <c r="I857" s="5" t="n">
        <v>48.8</v>
      </c>
      <c r="J857" s="5" t="n">
        <v>22.6</v>
      </c>
      <c r="K857" s="3" t="inlineStr">
        <is>
          <t>고복저수지 근방 대토또는 과수원으로 경작 추천 ,2필지 일괄매매</t>
        </is>
      </c>
      <c r="L857" s="6">
        <f>HYPERLINK("https://fin.land.naver.com/articles/2647512056", "매물Link")</f>
        <v/>
      </c>
      <c r="M857" s="6">
        <f>HYPERLINK("https://map.naver.com/p/search/연서면 고복리 186-1", "지도Link")</f>
        <v/>
      </c>
      <c r="N857" s="6">
        <f>HYPERLINK("http://www.eum.go.kr/web/ar/lu/luLandDet.jsp?pnu=3611036024101860001&amp;isNoScr=script&amp;mode=search", "토지이음")</f>
        <v/>
      </c>
      <c r="O857" s="3" t="inlineStr">
        <is>
          <t>담뜰</t>
        </is>
      </c>
      <c r="P857" s="4" t="n">
        <v>1</v>
      </c>
      <c r="Q857" s="4" t="n">
        <v>582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연서면 고복리 221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20000</v>
      </c>
      <c r="G858" s="4" t="n">
        <v>521</v>
      </c>
      <c r="H858" s="4" t="n">
        <v>158</v>
      </c>
      <c r="I858" s="5" t="n">
        <v>126.6</v>
      </c>
      <c r="J858" s="5" t="n">
        <v>66.7</v>
      </c>
      <c r="K858" s="3" t="inlineStr">
        <is>
          <t>o토지급매o 고복리 계획관리지역으로 주택과 창고 있는 저렴한 토지</t>
        </is>
      </c>
      <c r="L858" s="6">
        <f>HYPERLINK("https://fin.land.naver.com/articles/2650800982", "매물Link")</f>
        <v/>
      </c>
      <c r="M858" s="6">
        <f>HYPERLINK("https://map.naver.com/p/search/연서면 고복리 221", "지도Link")</f>
        <v/>
      </c>
      <c r="N858" s="6">
        <f>HYPERLINK("http://www.eum.go.kr/web/ar/lu/luLandDet.jsp?pnu=3611036024102210000&amp;isNoScr=script&amp;mode=search", "토지이음")</f>
        <v/>
      </c>
      <c r="O858" s="3" t="inlineStr">
        <is>
          <t>은주</t>
        </is>
      </c>
      <c r="P858" s="4" t="n">
        <v>1</v>
      </c>
      <c r="Q858" s="4" t="n">
        <v>521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세로한면(불)</t>
        </is>
      </c>
    </row>
    <row r="859">
      <c r="A859" s="3" t="inlineStr">
        <is>
          <t>연서면 고복리 221</t>
        </is>
      </c>
      <c r="B859" s="3" t="inlineStr">
        <is>
          <t>계획관리지역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20000</v>
      </c>
      <c r="G859" s="4" t="n">
        <v>521</v>
      </c>
      <c r="H859" s="4" t="n">
        <v>158</v>
      </c>
      <c r="I859" s="5" t="n">
        <v>126.6</v>
      </c>
      <c r="J859" s="5" t="n">
        <v>66.7</v>
      </c>
      <c r="K859" s="3" t="inlineStr">
        <is>
          <t>nan</t>
        </is>
      </c>
      <c r="L859" s="6">
        <f>HYPERLINK("https://fin.land.naver.com/articles/2650838247", "매물Link")</f>
        <v/>
      </c>
      <c r="M859" s="6">
        <f>HYPERLINK("https://map.naver.com/p/search/연서면 고복리 221", "지도Link")</f>
        <v/>
      </c>
      <c r="N859" s="6">
        <f>HYPERLINK("http://www.eum.go.kr/web/ar/lu/luLandDet.jsp?pnu=3611036024102210000&amp;isNoScr=script&amp;mode=search", "토지이음")</f>
        <v/>
      </c>
      <c r="O859" s="3" t="inlineStr">
        <is>
          <t>세종금밭</t>
        </is>
      </c>
      <c r="P859" s="4" t="n">
        <v>1</v>
      </c>
      <c r="Q859" s="4" t="n">
        <v>521</v>
      </c>
      <c r="R859" s="3" t="inlineStr">
        <is>
          <t>지정되지않음</t>
        </is>
      </c>
      <c r="S859" s="3" t="inlineStr">
        <is>
          <t>단독</t>
        </is>
      </c>
      <c r="T859" s="3" t="inlineStr">
        <is>
          <t>평지</t>
        </is>
      </c>
      <c r="U859" s="3" t="inlineStr">
        <is>
          <t>사다리형</t>
        </is>
      </c>
      <c r="V859" s="3" t="inlineStr">
        <is>
          <t>세로한면(불)</t>
        </is>
      </c>
    </row>
    <row r="860">
      <c r="A860" s="3" t="inlineStr">
        <is>
          <t>연서면 고복리 291-3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과수원</t>
        </is>
      </c>
      <c r="E860" s="3" t="inlineStr">
        <is>
          <t>매매</t>
        </is>
      </c>
      <c r="F860" s="4" t="n">
        <v>97000</v>
      </c>
      <c r="G860" s="4" t="n">
        <v>4599</v>
      </c>
      <c r="H860" s="4" t="n">
        <v>1391</v>
      </c>
      <c r="I860" s="5" t="n">
        <v>69.7</v>
      </c>
      <c r="J860" s="5" t="n">
        <v>50.5</v>
      </c>
      <c r="K860" s="3" t="inlineStr">
        <is>
          <t>고복리 계획관리와 생산관리지역으로 지목이 대,과수원,창고시설 일괄급매.</t>
        </is>
      </c>
      <c r="L860" s="6">
        <f>HYPERLINK("https://fin.land.naver.com/articles/2651207214", "매물Link")</f>
        <v/>
      </c>
      <c r="M860" s="6">
        <f>HYPERLINK("https://map.naver.com/p/search/연서면 고복리 291-3", "지도Link")</f>
        <v/>
      </c>
      <c r="N860" s="6">
        <f>HYPERLINK("http://www.eum.go.kr/web/ar/lu/luLandDet.jsp?pnu=3611036024102910003&amp;isNoScr=script&amp;mode=search", "토지이음")</f>
        <v/>
      </c>
      <c r="O860" s="3" t="inlineStr">
        <is>
          <t>세종대장</t>
        </is>
      </c>
      <c r="P860" s="4" t="n">
        <v>1</v>
      </c>
      <c r="Q860" s="4" t="n">
        <v>863</v>
      </c>
      <c r="R860" s="3" t="inlineStr">
        <is>
          <t>생산관리지역</t>
        </is>
      </c>
      <c r="S860" s="3" t="inlineStr">
        <is>
          <t>단독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연서면 고복리 294</t>
        </is>
      </c>
      <c r="B861" s="3" t="inlineStr">
        <is>
          <t>생산관리지역</t>
        </is>
      </c>
      <c r="C861" s="3" t="inlineStr">
        <is>
          <t>과수원</t>
        </is>
      </c>
      <c r="D861" s="3" t="inlineStr">
        <is>
          <t>과수원</t>
        </is>
      </c>
      <c r="E861" s="3" t="inlineStr">
        <is>
          <t>매매</t>
        </is>
      </c>
      <c r="F861" s="4" t="n">
        <v>80000</v>
      </c>
      <c r="G861" s="4" t="n">
        <v>2922</v>
      </c>
      <c r="H861" s="4" t="n">
        <v>884</v>
      </c>
      <c r="I861" s="5" t="n">
        <v>90.5</v>
      </c>
      <c r="J861" s="5" t="n">
        <v>32.5</v>
      </c>
      <c r="K861" s="3" t="inlineStr">
        <is>
          <t>급매, 연서면 고복리 마을포장도로에 접한 생산관리지역 과수원을 급매합니다</t>
        </is>
      </c>
      <c r="L861" s="6">
        <f>HYPERLINK("https://fin.land.naver.com/articles/2647005012", "매물Link")</f>
        <v/>
      </c>
      <c r="M861" s="6">
        <f>HYPERLINK("https://map.naver.com/p/search/연서면 고복리 294", "지도Link")</f>
        <v/>
      </c>
      <c r="N861" s="6">
        <f>HYPERLINK("http://www.eum.go.kr/web/ar/lu/luLandDet.jsp?pnu=3611036024102940000&amp;isNoScr=script&amp;mode=search", "토지이음")</f>
        <v/>
      </c>
      <c r="O861" s="3" t="inlineStr">
        <is>
          <t>스마일세종</t>
        </is>
      </c>
      <c r="P861" s="4" t="n">
        <v>1</v>
      </c>
      <c r="Q861" s="4" t="n">
        <v>2922</v>
      </c>
      <c r="R861" s="3" t="inlineStr">
        <is>
          <t>지정되지않음</t>
        </is>
      </c>
      <c r="S861" s="3" t="inlineStr">
        <is>
          <t>과수원</t>
        </is>
      </c>
      <c r="T861" s="3" t="inlineStr">
        <is>
          <t>평지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연서면 고복리 373</t>
        </is>
      </c>
      <c r="B862" s="3" t="inlineStr">
        <is>
          <t>보전관리지역</t>
        </is>
      </c>
      <c r="C862" s="3" t="inlineStr">
        <is>
          <t>대</t>
        </is>
      </c>
      <c r="D862" s="3" t="inlineStr">
        <is>
          <t>전</t>
        </is>
      </c>
      <c r="E862" s="3" t="inlineStr">
        <is>
          <t>매매</t>
        </is>
      </c>
      <c r="F862" s="4" t="n">
        <v>120000</v>
      </c>
      <c r="G862" s="4" t="n">
        <v>5623</v>
      </c>
      <c r="H862" s="4" t="n">
        <v>1701</v>
      </c>
      <c r="I862" s="5" t="n">
        <v>70.5</v>
      </c>
      <c r="J862" s="5" t="n">
        <v>38.3</v>
      </c>
      <c r="K862" s="3" t="inlineStr">
        <is>
          <t>고복저수지 3분, 조치원 5분 이내.</t>
        </is>
      </c>
      <c r="L862" s="6">
        <f>HYPERLINK("https://fin.land.naver.com/articles/2649922113", "매물Link")</f>
        <v/>
      </c>
      <c r="M862" s="6">
        <f>HYPERLINK("https://map.naver.com/p/search/연서면 고복리 373", "지도Link")</f>
        <v/>
      </c>
      <c r="N862" s="6">
        <f>HYPERLINK("http://www.eum.go.kr/web/ar/lu/luLandDet.jsp?pnu=3611036024103730000&amp;isNoScr=script&amp;mode=search", "토지이음")</f>
        <v/>
      </c>
      <c r="O862" s="3" t="inlineStr">
        <is>
          <t>미스터홈즈강남지사</t>
        </is>
      </c>
      <c r="P862" s="4" t="n">
        <v>1</v>
      </c>
      <c r="Q862" s="4" t="n">
        <v>628</v>
      </c>
      <c r="R862" s="3" t="inlineStr">
        <is>
          <t>지정되지않음</t>
        </is>
      </c>
      <c r="S862" s="3" t="inlineStr">
        <is>
          <t>단독</t>
        </is>
      </c>
      <c r="T862" s="3" t="inlineStr">
        <is>
          <t>완경사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연서면 고복리 395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60000</v>
      </c>
      <c r="G863" s="4" t="n">
        <v>3587</v>
      </c>
      <c r="H863" s="4" t="n">
        <v>1085</v>
      </c>
      <c r="I863" s="5" t="n">
        <v>55.3</v>
      </c>
      <c r="J863" s="5" t="n">
        <v>21.6</v>
      </c>
      <c r="K863" s="3" t="inlineStr">
        <is>
          <t>고복저수지 인근 투자용도로 추천  가격 조율 가능</t>
        </is>
      </c>
      <c r="L863" s="6">
        <f>HYPERLINK("https://fin.land.naver.com/articles/2649200788", "매물Link")</f>
        <v/>
      </c>
      <c r="M863" s="6">
        <f>HYPERLINK("https://map.naver.com/p/search/연서면 고복리 395", "지도Link")</f>
        <v/>
      </c>
      <c r="N863" s="6">
        <f>HYPERLINK("http://www.eum.go.kr/web/ar/lu/luLandDet.jsp?pnu=3611036024103950000&amp;isNoScr=script&amp;mode=search", "토지이음")</f>
        <v/>
      </c>
      <c r="O863" s="3" t="inlineStr">
        <is>
          <t>뉴엘리트탑</t>
        </is>
      </c>
      <c r="P863" s="4" t="n">
        <v>1</v>
      </c>
      <c r="Q863" s="4" t="n">
        <v>3587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맹지</t>
        </is>
      </c>
    </row>
    <row r="864">
      <c r="A864" s="3" t="inlineStr">
        <is>
          <t>연서면 고복리 415-34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54000</v>
      </c>
      <c r="G864" s="4" t="n">
        <v>725</v>
      </c>
      <c r="H864" s="4" t="n">
        <v>219</v>
      </c>
      <c r="I864" s="5" t="n">
        <v>246.6</v>
      </c>
      <c r="J864" s="5" t="n">
        <v>122.9</v>
      </c>
      <c r="K864" s="3" t="inlineStr">
        <is>
          <t>고복저수지 뷰 좋아요</t>
        </is>
      </c>
      <c r="L864" s="6">
        <f>HYPERLINK("https://fin.land.naver.com/articles/2646008035", "매물Link")</f>
        <v/>
      </c>
      <c r="M864" s="6">
        <f>HYPERLINK("https://map.naver.com/p/search/연서면 고복리 415-34", "지도Link")</f>
        <v/>
      </c>
      <c r="N864" s="6">
        <f>HYPERLINK("http://www.eum.go.kr/web/ar/lu/luLandDet.jsp?pnu=3611036024104150034&amp;isNoScr=script&amp;mode=search", "토지이음")</f>
        <v/>
      </c>
      <c r="O864" s="3" t="inlineStr">
        <is>
          <t>세종대박</t>
        </is>
      </c>
      <c r="P864" s="4" t="n">
        <v>1</v>
      </c>
      <c r="Q864" s="4" t="n">
        <v>725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완경사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연서면 고복리 415-54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404000</v>
      </c>
      <c r="G865" s="4" t="n">
        <v>3904</v>
      </c>
      <c r="H865" s="4" t="n">
        <v>1181</v>
      </c>
      <c r="I865" s="5" t="n">
        <v>342.1</v>
      </c>
      <c r="J865" s="5" t="n">
        <v>116.1</v>
      </c>
      <c r="K865" s="3" t="inlineStr">
        <is>
          <t>고복저수지 바로 인접한 토지매매 넓은 면적에 탁트인 전망 매매가격 조절가</t>
        </is>
      </c>
      <c r="L865" s="6">
        <f>HYPERLINK("https://fin.land.naver.com/articles/2647450406", "매물Link")</f>
        <v/>
      </c>
      <c r="M865" s="6">
        <f>HYPERLINK("https://map.naver.com/p/search/연서면 고복리 415-54", "지도Link")</f>
        <v/>
      </c>
      <c r="N865" s="6">
        <f>HYPERLINK("http://www.eum.go.kr/web/ar/lu/luLandDet.jsp?pnu=3611036024104150054&amp;isNoScr=script&amp;mode=search", "토지이음")</f>
        <v/>
      </c>
      <c r="O865" s="3" t="inlineStr">
        <is>
          <t>효성해링턴오복</t>
        </is>
      </c>
      <c r="P865" s="4" t="n">
        <v>1</v>
      </c>
      <c r="Q865" s="4" t="n">
        <v>599</v>
      </c>
      <c r="R865" s="3" t="inlineStr">
        <is>
          <t>지정되지않음</t>
        </is>
      </c>
      <c r="S865" s="3" t="inlineStr">
        <is>
          <t>주거기타</t>
        </is>
      </c>
      <c r="T865" s="3" t="inlineStr">
        <is>
          <t>완경사</t>
        </is>
      </c>
      <c r="U865" s="3" t="inlineStr">
        <is>
          <t>자루형</t>
        </is>
      </c>
      <c r="V865" s="3" t="inlineStr">
        <is>
          <t>세로한면(가)</t>
        </is>
      </c>
    </row>
    <row r="866">
      <c r="A866" s="3" t="inlineStr">
        <is>
          <t>연서면 고복리 42-7</t>
        </is>
      </c>
      <c r="B866" s="3" t="inlineStr">
        <is>
          <t>농림지역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53340</v>
      </c>
      <c r="G866" s="4" t="n">
        <v>2940</v>
      </c>
      <c r="H866" s="4" t="n">
        <v>889</v>
      </c>
      <c r="I866" s="5" t="n">
        <v>60</v>
      </c>
      <c r="J866" s="5" t="n">
        <v>21.1</v>
      </c>
      <c r="K866" s="3" t="inlineStr">
        <is>
          <t>nan</t>
        </is>
      </c>
      <c r="L866" s="6">
        <f>HYPERLINK("https://fin.land.naver.com/articles/2648826287", "매물Link")</f>
        <v/>
      </c>
      <c r="M866" s="6">
        <f>HYPERLINK("https://map.naver.com/p/search/연서면 고복리 42-7", "지도Link")</f>
        <v/>
      </c>
      <c r="N866" s="6">
        <f>HYPERLINK("http://www.eum.go.kr/web/ar/lu/luLandDet.jsp?pnu=3611036024100420007&amp;isNoScr=script&amp;mode=search", "토지이음")</f>
        <v/>
      </c>
      <c r="O866" s="3" t="inlineStr">
        <is>
          <t>푸른들</t>
        </is>
      </c>
      <c r="P866" s="4" t="n">
        <v>1</v>
      </c>
      <c r="Q866" s="4" t="n">
        <v>2940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세로장방</t>
        </is>
      </c>
      <c r="V866" s="3" t="inlineStr">
        <is>
          <t>세로한면(가)</t>
        </is>
      </c>
    </row>
    <row r="867">
      <c r="A867" s="3" t="inlineStr">
        <is>
          <t>연서면 고복리 45-4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70800</v>
      </c>
      <c r="G867" s="4" t="n">
        <v>3900</v>
      </c>
      <c r="H867" s="4" t="n">
        <v>1180</v>
      </c>
      <c r="I867" s="5" t="n">
        <v>60</v>
      </c>
      <c r="J867" s="5" t="n">
        <v>21.1</v>
      </c>
      <c r="K867" s="3" t="inlineStr">
        <is>
          <t>절충가능한 연서면 고복리 농림지역 대토용 토지를 급매합니다</t>
        </is>
      </c>
      <c r="L867" s="6">
        <f>HYPERLINK("https://fin.land.naver.com/articles/2651243984", "매물Link")</f>
        <v/>
      </c>
      <c r="M867" s="6">
        <f>HYPERLINK("https://map.naver.com/p/search/연서면 고복리 45-4", "지도Link")</f>
        <v/>
      </c>
      <c r="N867" s="6">
        <f>HYPERLINK("http://www.eum.go.kr/web/ar/lu/luLandDet.jsp?pnu=3611036024100450004&amp;isNoScr=script&amp;mode=search", "토지이음")</f>
        <v/>
      </c>
      <c r="O867" s="3" t="inlineStr">
        <is>
          <t>스마일세종</t>
        </is>
      </c>
      <c r="P867" s="4" t="n">
        <v>1</v>
      </c>
      <c r="Q867" s="4" t="n">
        <v>2900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세로장방</t>
        </is>
      </c>
      <c r="V867" s="3" t="inlineStr">
        <is>
          <t>세로한면(가)</t>
        </is>
      </c>
    </row>
    <row r="868">
      <c r="A868" s="3" t="inlineStr">
        <is>
          <t>연서면 고복리 46-5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79000</v>
      </c>
      <c r="G868" s="4" t="n">
        <v>2980</v>
      </c>
      <c r="H868" s="4" t="n">
        <v>901</v>
      </c>
      <c r="I868" s="5" t="n">
        <v>87.7</v>
      </c>
      <c r="J868" s="5" t="n">
        <v>21.1</v>
      </c>
      <c r="K868" s="3" t="inlineStr">
        <is>
          <t>nan</t>
        </is>
      </c>
      <c r="L868" s="6">
        <f>HYPERLINK("https://fin.land.naver.com/articles/2646331785", "매물Link")</f>
        <v/>
      </c>
      <c r="M868" s="6">
        <f>HYPERLINK("https://map.naver.com/p/search/연서면 고복리 46-5", "지도Link")</f>
        <v/>
      </c>
      <c r="N868" s="6">
        <f>HYPERLINK("http://www.eum.go.kr/web/ar/lu/luLandDet.jsp?pnu=3611036024100460005&amp;isNoScr=script&amp;mode=search", "토지이음")</f>
        <v/>
      </c>
      <c r="O868" s="3" t="inlineStr">
        <is>
          <t>행운IPARK</t>
        </is>
      </c>
      <c r="P868" s="4" t="n">
        <v>1</v>
      </c>
      <c r="Q868" s="4" t="n">
        <v>2980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세로장방</t>
        </is>
      </c>
      <c r="V868" s="3" t="inlineStr">
        <is>
          <t>세로한면(가)</t>
        </is>
      </c>
    </row>
    <row r="869">
      <c r="A869" s="3" t="inlineStr">
        <is>
          <t>연서면 고복리 469-2</t>
        </is>
      </c>
      <c r="B869" s="3" t="inlineStr">
        <is>
          <t>자연환경보전지역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120000</v>
      </c>
      <c r="G869" s="4" t="n">
        <v>718</v>
      </c>
      <c r="H869" s="4" t="n">
        <v>217</v>
      </c>
      <c r="I869" s="5" t="n">
        <v>553</v>
      </c>
      <c r="J869" s="5" t="n">
        <v>67.8</v>
      </c>
      <c r="K869" s="3" t="inlineStr">
        <is>
          <t>고복저수지 책 박물관 옆</t>
        </is>
      </c>
      <c r="L869" s="6">
        <f>HYPERLINK("https://fin.land.naver.com/articles/2646829683", "매물Link")</f>
        <v/>
      </c>
      <c r="M869" s="6">
        <f>HYPERLINK("https://map.naver.com/p/search/연서면 고복리 469-2", "지도Link")</f>
        <v/>
      </c>
      <c r="N869" s="6">
        <f>HYPERLINK("http://www.eum.go.kr/web/ar/lu/luLandDet.jsp?pnu=3611036024104690002&amp;isNoScr=script&amp;mode=search", "토지이음")</f>
        <v/>
      </c>
      <c r="O869" s="3" t="inlineStr">
        <is>
          <t>새땅</t>
        </is>
      </c>
      <c r="P869" s="4" t="n">
        <v>1</v>
      </c>
      <c r="Q869" s="4" t="n">
        <v>390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평지</t>
        </is>
      </c>
      <c r="U869" s="3" t="inlineStr">
        <is>
          <t>가로장방</t>
        </is>
      </c>
      <c r="V869" s="3" t="inlineStr">
        <is>
          <t>세로한면(불)</t>
        </is>
      </c>
    </row>
    <row r="870">
      <c r="A870" s="3" t="inlineStr">
        <is>
          <t>연서면 고복리 548-3</t>
        </is>
      </c>
      <c r="B870" s="3" t="inlineStr">
        <is>
          <t>보전관리지역</t>
        </is>
      </c>
      <c r="C870" s="3" t="inlineStr">
        <is>
          <t>임야</t>
        </is>
      </c>
      <c r="D870" s="3" t="inlineStr">
        <is>
          <t>임야</t>
        </is>
      </c>
      <c r="E870" s="3" t="inlineStr">
        <is>
          <t>매매</t>
        </is>
      </c>
      <c r="F870" s="4" t="n">
        <v>90000</v>
      </c>
      <c r="G870" s="4" t="n">
        <v>1922</v>
      </c>
      <c r="H870" s="4" t="n">
        <v>581</v>
      </c>
      <c r="I870" s="5" t="n">
        <v>154.9</v>
      </c>
      <c r="J870" s="5" t="n">
        <v>42.1</v>
      </c>
      <c r="K870" s="3" t="inlineStr">
        <is>
          <t>도로지분있음,주변개발가능성많은곳임야.맹지아님.조절가능.연서면고복저수지조망</t>
        </is>
      </c>
      <c r="L870" s="6">
        <f>HYPERLINK("https://fin.land.naver.com/articles/2646411392", "매물Link")</f>
        <v/>
      </c>
      <c r="M870" s="6">
        <f>HYPERLINK("https://map.naver.com/p/search/연서면 고복리 548-3", "지도Link")</f>
        <v/>
      </c>
      <c r="N870" s="6">
        <f>HYPERLINK("http://www.eum.go.kr/web/ar/lu/luLandDet.jsp?pnu=3611036024105480003&amp;isNoScr=script&amp;mode=search", "토지이음")</f>
        <v/>
      </c>
      <c r="O870" s="3" t="inlineStr">
        <is>
          <t>테크노금성</t>
        </is>
      </c>
      <c r="P870" s="4" t="n">
        <v>1</v>
      </c>
      <c r="Q870" s="4" t="n">
        <v>1714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완경사</t>
        </is>
      </c>
      <c r="U870" s="3" t="inlineStr">
        <is>
          <t>가로장방</t>
        </is>
      </c>
      <c r="V870" s="3" t="inlineStr">
        <is>
          <t>세로한면(불)</t>
        </is>
      </c>
    </row>
    <row r="871">
      <c r="A871" s="3" t="inlineStr">
        <is>
          <t>연서면 고복리 556-28</t>
        </is>
      </c>
      <c r="B871" s="3" t="inlineStr">
        <is>
          <t>보전관리지역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184000</v>
      </c>
      <c r="G871" s="4" t="n">
        <v>1520</v>
      </c>
      <c r="H871" s="4" t="n">
        <v>460</v>
      </c>
      <c r="I871" s="5" t="n">
        <v>400</v>
      </c>
      <c r="J871" s="5" t="n">
        <v>119.4</v>
      </c>
      <c r="K871" s="3" t="inlineStr">
        <is>
          <t>2필지 대지와근생건물 일괄매매.고복저수지인접.</t>
        </is>
      </c>
      <c r="L871" s="6">
        <f>HYPERLINK("https://fin.land.naver.com/articles/2646788234", "매물Link")</f>
        <v/>
      </c>
      <c r="M871" s="6">
        <f>HYPERLINK("https://map.naver.com/p/search/연서면 고복리 556-28", "지도Link")</f>
        <v/>
      </c>
      <c r="N871" s="6">
        <f>HYPERLINK("http://www.eum.go.kr/web/ar/lu/luLandDet.jsp?pnu=3611036024105560028&amp;isNoScr=script&amp;mode=search", "토지이음")</f>
        <v/>
      </c>
      <c r="O871" s="3" t="inlineStr">
        <is>
          <t>담뜰</t>
        </is>
      </c>
      <c r="P871" s="4" t="n">
        <v>1</v>
      </c>
      <c r="Q871" s="4" t="n">
        <v>793</v>
      </c>
      <c r="R871" s="3" t="inlineStr">
        <is>
          <t>지정되지않음</t>
        </is>
      </c>
      <c r="S871" s="3" t="inlineStr">
        <is>
          <t>주거기타</t>
        </is>
      </c>
      <c r="T871" s="3" t="inlineStr">
        <is>
          <t>완경사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연서면 고복리 557-4</t>
        </is>
      </c>
      <c r="B872" s="3" t="inlineStr">
        <is>
          <t>보전관리지역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100000</v>
      </c>
      <c r="G872" s="4" t="n">
        <v>2085</v>
      </c>
      <c r="H872" s="4" t="n">
        <v>631</v>
      </c>
      <c r="I872" s="5" t="n">
        <v>158.5</v>
      </c>
      <c r="J872" s="5" t="n">
        <v>50.7</v>
      </c>
      <c r="K872" s="3" t="inlineStr">
        <is>
          <t>저수지 뷰가 최상이며 필요한 평수 만큼 분할 매매도 가능합니다.</t>
        </is>
      </c>
      <c r="L872" s="6">
        <f>HYPERLINK("https://fin.land.naver.com/articles/2649234828", "매물Link")</f>
        <v/>
      </c>
      <c r="M872" s="6">
        <f>HYPERLINK("https://map.naver.com/p/search/연서면 고복리 557-4", "지도Link")</f>
        <v/>
      </c>
      <c r="N872" s="6">
        <f>HYPERLINK("http://www.eum.go.kr/web/ar/lu/luLandDet.jsp?pnu=3611036024105570004&amp;isNoScr=script&amp;mode=search", "토지이음")</f>
        <v/>
      </c>
      <c r="O872" s="3" t="inlineStr">
        <is>
          <t>신흥주공</t>
        </is>
      </c>
      <c r="P872" s="4" t="n">
        <v>1</v>
      </c>
      <c r="Q872" s="4" t="n">
        <v>775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세로한면(가)</t>
        </is>
      </c>
    </row>
    <row r="873">
      <c r="A873" s="3" t="inlineStr">
        <is>
          <t>연서면 고복리 56-10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21000</v>
      </c>
      <c r="G873" s="4" t="n">
        <v>2010</v>
      </c>
      <c r="H873" s="4" t="n">
        <v>608</v>
      </c>
      <c r="I873" s="5" t="n">
        <v>34.5</v>
      </c>
      <c r="J873" s="5" t="n">
        <v>22</v>
      </c>
      <c r="K873" s="3" t="inlineStr">
        <is>
          <t>투자용, 주말 농장용으로 추천 합니다</t>
        </is>
      </c>
      <c r="L873" s="6">
        <f>HYPERLINK("https://fin.land.naver.com/articles/2650856617", "매물Link")</f>
        <v/>
      </c>
      <c r="M873" s="6">
        <f>HYPERLINK("https://map.naver.com/p/search/연서면 고복리 56-10", "지도Link")</f>
        <v/>
      </c>
      <c r="N873" s="6">
        <f>HYPERLINK("http://www.eum.go.kr/web/ar/lu/luLandDet.jsp?pnu=3611036024100560010&amp;isNoScr=script&amp;mode=search", "토지이음")</f>
        <v/>
      </c>
      <c r="O873" s="3" t="inlineStr">
        <is>
          <t>세종대박</t>
        </is>
      </c>
      <c r="P873" s="4" t="n">
        <v>1</v>
      </c>
      <c r="Q873" s="4" t="n">
        <v>2010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세로한면(가)</t>
        </is>
      </c>
    </row>
    <row r="874">
      <c r="A874" s="3" t="inlineStr">
        <is>
          <t>연서면 고복리 589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108000</v>
      </c>
      <c r="G874" s="4" t="n">
        <v>3716</v>
      </c>
      <c r="H874" s="4" t="n">
        <v>1124</v>
      </c>
      <c r="I874" s="5" t="n">
        <v>96.09999999999999</v>
      </c>
      <c r="J874" s="5" t="n">
        <v>42.8</v>
      </c>
      <c r="K874" s="3" t="inlineStr">
        <is>
          <t>대토용, 자경용, 전원주택, 투자용으로 추천.</t>
        </is>
      </c>
      <c r="L874" s="6">
        <f>HYPERLINK("https://fin.land.naver.com/articles/2650165339", "매물Link")</f>
        <v/>
      </c>
      <c r="M874" s="6">
        <f>HYPERLINK("https://map.naver.com/p/search/연서면 고복리 589", "지도Link")</f>
        <v/>
      </c>
      <c r="N874" s="6">
        <f>HYPERLINK("http://www.eum.go.kr/web/ar/lu/luLandDet.jsp?pnu=3611036024105890000&amp;isNoScr=script&amp;mode=search", "토지이음")</f>
        <v/>
      </c>
      <c r="O874" s="3" t="inlineStr">
        <is>
          <t>세종대장</t>
        </is>
      </c>
      <c r="P874" s="4" t="n">
        <v>1</v>
      </c>
      <c r="Q874" s="4" t="n">
        <v>3716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연서면 고복리 97-4</t>
        </is>
      </c>
      <c r="B875" s="3" t="inlineStr">
        <is>
          <t>생산관리지역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118000</v>
      </c>
      <c r="G875" s="4" t="n">
        <v>3905</v>
      </c>
      <c r="H875" s="4" t="n">
        <v>1181</v>
      </c>
      <c r="I875" s="5" t="n">
        <v>99.90000000000001</v>
      </c>
      <c r="J875" s="5" t="n">
        <v>24.4</v>
      </c>
      <c r="K875" s="3" t="inlineStr">
        <is>
          <t>고복저수지 인근의 전원주택지, 3필지</t>
        </is>
      </c>
      <c r="L875" s="6">
        <f>HYPERLINK("https://fin.land.naver.com/articles/2647255708", "매물Link")</f>
        <v/>
      </c>
      <c r="M875" s="6">
        <f>HYPERLINK("https://map.naver.com/p/search/연서면 고복리 97-4", "지도Link")</f>
        <v/>
      </c>
      <c r="N875" s="6">
        <f>HYPERLINK("http://www.eum.go.kr/web/ar/lu/luLandDet.jsp?pnu=3611036024100970004&amp;isNoScr=script&amp;mode=search", "토지이음")</f>
        <v/>
      </c>
      <c r="O875" s="3" t="inlineStr">
        <is>
          <t>세종공감</t>
        </is>
      </c>
      <c r="P875" s="4" t="n">
        <v>1</v>
      </c>
      <c r="Q875" s="4" t="n">
        <v>2787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맹지</t>
        </is>
      </c>
    </row>
    <row r="876">
      <c r="A876" s="3" t="inlineStr">
        <is>
          <t>연서면 고복리 산 3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4300</v>
      </c>
      <c r="G876" s="4" t="n">
        <v>661</v>
      </c>
      <c r="H876" s="4" t="n">
        <v>200</v>
      </c>
      <c r="I876" s="5" t="n">
        <v>21.5</v>
      </c>
      <c r="J876" s="5" t="n">
        <v>5.1</v>
      </c>
      <c r="K876" s="3" t="inlineStr">
        <is>
          <t>세종시 임야 지분 매매</t>
        </is>
      </c>
      <c r="L876" s="6">
        <f>HYPERLINK("https://fin.land.naver.com/articles/2649010337", "매물Link")</f>
        <v/>
      </c>
      <c r="M876" s="6">
        <f>HYPERLINK("https://map.naver.com/p/search/연서면 고복리 산 3", "지도Link")</f>
        <v/>
      </c>
      <c r="N876" s="6">
        <f>HYPERLINK("http://www.eum.go.kr/web/ar/lu/luLandDet.jsp?pnu=3611036024200030000&amp;isNoScr=script&amp;mode=search", "토지이음")</f>
        <v/>
      </c>
      <c r="O876" s="3" t="inlineStr">
        <is>
          <t>최고봉</t>
        </is>
      </c>
      <c r="P876" s="4" t="n">
        <v>1</v>
      </c>
      <c r="Q876" s="4" t="n">
        <v>27769</v>
      </c>
      <c r="R876" s="3" t="inlineStr">
        <is>
          <t>농림지역</t>
        </is>
      </c>
      <c r="S876" s="3" t="inlineStr">
        <is>
          <t>자연림</t>
        </is>
      </c>
      <c r="T876" s="3" t="inlineStr">
        <is>
          <t>급경사</t>
        </is>
      </c>
      <c r="U876" s="3" t="inlineStr">
        <is>
          <t>부정형</t>
        </is>
      </c>
      <c r="V876" s="3" t="inlineStr">
        <is>
          <t>맹지</t>
        </is>
      </c>
    </row>
    <row r="877">
      <c r="A877" s="3" t="inlineStr">
        <is>
          <t>연서면 고복리 산102-1</t>
        </is>
      </c>
      <c r="B877" s="3" t="inlineStr">
        <is>
          <t>농림지역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50000</v>
      </c>
      <c r="G877" s="4" t="n">
        <v>61742</v>
      </c>
      <c r="H877" s="4" t="n">
        <v>18677</v>
      </c>
      <c r="I877" s="5" t="n">
        <v>2.7</v>
      </c>
      <c r="J877" s="5" t="n">
        <v>3.4</v>
      </c>
      <c r="K877" s="3" t="inlineStr">
        <is>
          <t>명성공인, 급매 연서면 임야 추천 매물</t>
        </is>
      </c>
      <c r="L877" s="6">
        <f>HYPERLINK("https://fin.land.naver.com/articles/2650852401", "매물Link")</f>
        <v/>
      </c>
      <c r="M877" s="6">
        <f>HYPERLINK("https://map.naver.com/p/search/연서면 고복리 산102-1", "지도Link")</f>
        <v/>
      </c>
      <c r="N877" s="6">
        <f>HYPERLINK("http://www.eum.go.kr/web/ar/lu/luLandDet.jsp?pnu=3611036024201020001&amp;isNoScr=script&amp;mode=search", "토지이음")</f>
        <v/>
      </c>
      <c r="O877" s="3" t="inlineStr">
        <is>
          <t>명성</t>
        </is>
      </c>
      <c r="P877" s="4" t="n">
        <v>1</v>
      </c>
      <c r="Q877" s="4" t="n">
        <v>61742</v>
      </c>
      <c r="R877" s="3" t="inlineStr">
        <is>
          <t>보전관리지역</t>
        </is>
      </c>
      <c r="S877" s="3" t="inlineStr">
        <is>
          <t>자연림</t>
        </is>
      </c>
      <c r="T877" s="3" t="inlineStr">
        <is>
          <t>급경사</t>
        </is>
      </c>
      <c r="U877" s="3" t="inlineStr">
        <is>
          <t>부정형</t>
        </is>
      </c>
      <c r="V877" s="3" t="inlineStr">
        <is>
          <t>맹지</t>
        </is>
      </c>
    </row>
    <row r="878">
      <c r="A878" s="3" t="inlineStr">
        <is>
          <t>연서면 고복리 산34-6</t>
        </is>
      </c>
      <c r="B878" s="3" t="inlineStr">
        <is>
          <t>보전관리지역</t>
        </is>
      </c>
      <c r="C878" s="3" t="inlineStr">
        <is>
          <t>임야</t>
        </is>
      </c>
      <c r="D878" s="3" t="inlineStr">
        <is>
          <t>임야</t>
        </is>
      </c>
      <c r="E878" s="3" t="inlineStr">
        <is>
          <t>매매</t>
        </is>
      </c>
      <c r="F878" s="4" t="n">
        <v>100000</v>
      </c>
      <c r="G878" s="4" t="n">
        <v>3164</v>
      </c>
      <c r="H878" s="4" t="n">
        <v>957</v>
      </c>
      <c r="I878" s="5" t="n">
        <v>104.5</v>
      </c>
      <c r="J878" s="5" t="n">
        <v>4.2</v>
      </c>
      <c r="K878" s="3" t="inlineStr">
        <is>
          <t>고복저수지가 잘 보이고 포장도로에 접한 경사도 완만한 보전관리지역의 임야</t>
        </is>
      </c>
      <c r="L878" s="6">
        <f>HYPERLINK("https://fin.land.naver.com/articles/2648172406", "매물Link")</f>
        <v/>
      </c>
      <c r="M878" s="6">
        <f>HYPERLINK("https://map.naver.com/p/search/연서면 고복리 산34-6", "지도Link")</f>
        <v/>
      </c>
      <c r="N878" s="6">
        <f>HYPERLINK("http://www.eum.go.kr/web/ar/lu/luLandDet.jsp?pnu=3611036024200340006&amp;isNoScr=script&amp;mode=search",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17717</v>
      </c>
      <c r="R878" s="3" t="inlineStr">
        <is>
          <t>자연환경보전지역</t>
        </is>
      </c>
      <c r="S878" s="3" t="inlineStr">
        <is>
          <t>자연림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맹지</t>
        </is>
      </c>
    </row>
    <row r="879">
      <c r="A879" s="3" t="inlineStr">
        <is>
          <t>연서면 고복리 산96-6</t>
        </is>
      </c>
      <c r="B879" s="3" t="inlineStr">
        <is>
          <t>보전관리지역</t>
        </is>
      </c>
      <c r="C879" s="3" t="inlineStr">
        <is>
          <t>목장용지</t>
        </is>
      </c>
      <c r="D879" s="3" t="inlineStr">
        <is>
          <t>목장용지</t>
        </is>
      </c>
      <c r="E879" s="3" t="inlineStr">
        <is>
          <t>매매</t>
        </is>
      </c>
      <c r="F879" s="4" t="n">
        <v>362000</v>
      </c>
      <c r="G879" s="4" t="n">
        <v>11983</v>
      </c>
      <c r="H879" s="4" t="n">
        <v>3625</v>
      </c>
      <c r="I879" s="5" t="n">
        <v>99.90000000000001</v>
      </c>
      <c r="J879" s="5" t="n">
        <v>10.5</v>
      </c>
      <c r="K879" s="3" t="inlineStr">
        <is>
          <t>절충가능, 경사도가 완만하여 전원주택부지로 개발하기 최적의 토지입니다.</t>
        </is>
      </c>
      <c r="L879" s="6">
        <f>HYPERLINK("https://fin.land.naver.com/articles/2647698471", "매물Link")</f>
        <v/>
      </c>
      <c r="M879" s="6">
        <f>HYPERLINK("https://map.naver.com/p/search/연서면 고복리 산96-6", "지도Link")</f>
        <v/>
      </c>
      <c r="N879" s="6">
        <f>HYPERLINK("http://www.eum.go.kr/web/ar/lu/luLandDet.jsp?pnu=3611036024200960006&amp;isNoScr=script&amp;mode=search", "토지이음")</f>
        <v/>
      </c>
      <c r="O879" s="3" t="inlineStr">
        <is>
          <t>스마일세종</t>
        </is>
      </c>
      <c r="P879" s="4" t="n">
        <v>1</v>
      </c>
      <c r="Q879" s="4" t="n">
        <v>11983</v>
      </c>
      <c r="R879" s="3" t="inlineStr">
        <is>
          <t>지정되지않음</t>
        </is>
      </c>
      <c r="S879" s="3" t="inlineStr">
        <is>
          <t>자연림</t>
        </is>
      </c>
      <c r="T879" s="3" t="inlineStr">
        <is>
          <t>완경사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연서면 국촌리 166-29</t>
        </is>
      </c>
      <c r="B880" s="3" t="inlineStr">
        <is>
          <t>계획관리지역</t>
        </is>
      </c>
      <c r="C880" s="3" t="inlineStr">
        <is>
          <t>임야</t>
        </is>
      </c>
      <c r="D880" s="3" t="inlineStr">
        <is>
          <t>임야</t>
        </is>
      </c>
      <c r="E880" s="3" t="inlineStr">
        <is>
          <t>매매</t>
        </is>
      </c>
      <c r="F880" s="4" t="n">
        <v>222000</v>
      </c>
      <c r="G880" s="4" t="n">
        <v>3183</v>
      </c>
      <c r="H880" s="4" t="n">
        <v>963</v>
      </c>
      <c r="I880" s="5" t="n">
        <v>230.5</v>
      </c>
      <c r="J880" s="5" t="n">
        <v>27.9</v>
      </c>
      <c r="K880" s="3" t="inlineStr">
        <is>
          <t>근린상가 건축허가 득한 스마트국가산업단지 인근의 계획관리지역의 평탄한임야</t>
        </is>
      </c>
      <c r="L880" s="6">
        <f>HYPERLINK("https://fin.land.naver.com/articles/2646257012", "매물Link")</f>
        <v/>
      </c>
      <c r="M880" s="6">
        <f>HYPERLINK("https://map.naver.com/p/search/연서면 국촌리 166-29", "지도Link")</f>
        <v/>
      </c>
      <c r="N880" s="6">
        <f>HYPERLINK("http://www.eum.go.kr/web/ar/lu/luLandDet.jsp?pnu=3611036030101660029&amp;isNoScr=script&amp;mode=search",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2158</v>
      </c>
      <c r="R880" s="3" t="inlineStr">
        <is>
          <t>지정되지않음</t>
        </is>
      </c>
      <c r="S880" s="3" t="inlineStr">
        <is>
          <t>과수원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맹지</t>
        </is>
      </c>
    </row>
    <row r="881">
      <c r="A881" s="3" t="inlineStr">
        <is>
          <t>연서면 국촌리 24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35000</v>
      </c>
      <c r="G881" s="4" t="n">
        <v>1015</v>
      </c>
      <c r="H881" s="4" t="n">
        <v>307</v>
      </c>
      <c r="I881" s="5" t="n">
        <v>114</v>
      </c>
      <c r="J881" s="5" t="n">
        <v>56.4</v>
      </c>
      <c r="K881" s="3" t="inlineStr">
        <is>
          <t>급매,도로접한 계획관리지역,알토란 토지,가격조정가능</t>
        </is>
      </c>
      <c r="L881" s="6">
        <f>HYPERLINK("https://fin.land.naver.com/articles/2651676153", "매물Link")</f>
        <v/>
      </c>
      <c r="M881" s="6">
        <f>HYPERLINK("https://map.naver.com/p/search/연서면 국촌리 24", "지도Link")</f>
        <v/>
      </c>
      <c r="N881" s="6">
        <f>HYPERLINK("http://www.eum.go.kr/web/ar/lu/luLandDet.jsp?pnu=3611036030100240000&amp;isNoScr=script&amp;mode=search", "토지이음")</f>
        <v/>
      </c>
      <c r="O881" s="3" t="inlineStr">
        <is>
          <t>고운맘</t>
        </is>
      </c>
      <c r="P881" s="4" t="n">
        <v>1</v>
      </c>
      <c r="Q881" s="4" t="n">
        <v>1015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자루형</t>
        </is>
      </c>
      <c r="V881" s="3" t="inlineStr">
        <is>
          <t>세로한면(불)</t>
        </is>
      </c>
    </row>
    <row r="882">
      <c r="A882" s="3" t="inlineStr">
        <is>
          <t>연서면 국촌리 24</t>
        </is>
      </c>
      <c r="B882" s="3" t="inlineStr">
        <is>
          <t>계획관리지역</t>
        </is>
      </c>
      <c r="C882" s="3" t="inlineStr">
        <is>
          <t>전</t>
        </is>
      </c>
      <c r="D882" s="3" t="inlineStr">
        <is>
          <t>전</t>
        </is>
      </c>
      <c r="E882" s="3" t="inlineStr">
        <is>
          <t>매매</t>
        </is>
      </c>
      <c r="F882" s="4" t="n">
        <v>35000</v>
      </c>
      <c r="G882" s="4" t="n">
        <v>1015</v>
      </c>
      <c r="H882" s="4" t="n">
        <v>307</v>
      </c>
      <c r="I882" s="5" t="n">
        <v>114</v>
      </c>
      <c r="J882" s="5" t="n">
        <v>56.4</v>
      </c>
      <c r="K882" s="3" t="inlineStr">
        <is>
          <t>스마트국가산업단지와 북세종IC 인근 계획관리지역 토지로 지가상승 예상.</t>
        </is>
      </c>
      <c r="L882" s="6">
        <f>HYPERLINK("https://fin.land.naver.com/articles/2650938722", "매물Link")</f>
        <v/>
      </c>
      <c r="M882" s="6">
        <f>HYPERLINK("https://map.naver.com/p/search/연서면 국촌리 24", "지도Link")</f>
        <v/>
      </c>
      <c r="N882" s="6">
        <f>HYPERLINK("http://www.eum.go.kr/web/ar/lu/luLandDet.jsp?pnu=3611036030100240000&amp;isNoScr=script&amp;mode=search", "토지이음")</f>
        <v/>
      </c>
      <c r="O882" s="3" t="inlineStr">
        <is>
          <t>세종대장</t>
        </is>
      </c>
      <c r="P882" s="4" t="n">
        <v>2</v>
      </c>
      <c r="Q882" s="4" t="n">
        <v>1015</v>
      </c>
      <c r="R882" s="3" t="inlineStr">
        <is>
          <t>지정되지않음</t>
        </is>
      </c>
      <c r="S882" s="3" t="inlineStr">
        <is>
          <t>과수원</t>
        </is>
      </c>
      <c r="T882" s="3" t="inlineStr">
        <is>
          <t>평지</t>
        </is>
      </c>
      <c r="U882" s="3" t="inlineStr">
        <is>
          <t>자루형</t>
        </is>
      </c>
      <c r="V882" s="3" t="inlineStr">
        <is>
          <t>세로한면(불)</t>
        </is>
      </c>
    </row>
    <row r="883">
      <c r="A883" s="3" t="inlineStr">
        <is>
          <t>연서면 국촌리 321-8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26500</v>
      </c>
      <c r="G883" s="4" t="n">
        <v>350</v>
      </c>
      <c r="H883" s="4" t="n">
        <v>106</v>
      </c>
      <c r="I883" s="5" t="n">
        <v>250</v>
      </c>
      <c r="J883" s="5" t="n">
        <v>57.5</v>
      </c>
      <c r="K883" s="3" t="inlineStr">
        <is>
          <t>추천. 세종스마트산단 인접 대지</t>
        </is>
      </c>
      <c r="L883" s="6">
        <f>HYPERLINK("https://fin.land.naver.com/articles/2649193716", "매물Link")</f>
        <v/>
      </c>
      <c r="M883" s="6">
        <f>HYPERLINK("https://map.naver.com/p/search/연서면 국촌리 321-8", "지도Link")</f>
        <v/>
      </c>
      <c r="N883" s="6">
        <f>HYPERLINK("http://www.eum.go.kr/web/ar/lu/luLandDet.jsp?pnu=3611036030103210008&amp;isNoScr=script&amp;mode=search", "토지이음")</f>
        <v/>
      </c>
      <c r="O883" s="3" t="inlineStr">
        <is>
          <t>강아지풀</t>
        </is>
      </c>
      <c r="P883" s="4" t="n">
        <v>1</v>
      </c>
      <c r="Q883" s="4" t="n">
        <v>350</v>
      </c>
      <c r="R883" s="3" t="inlineStr">
        <is>
          <t>지정되지않음</t>
        </is>
      </c>
      <c r="S883" s="3" t="inlineStr">
        <is>
          <t>과수원</t>
        </is>
      </c>
      <c r="T883" s="3" t="inlineStr">
        <is>
          <t>완경사</t>
        </is>
      </c>
      <c r="U883" s="3" t="inlineStr">
        <is>
          <t>가로장방</t>
        </is>
      </c>
      <c r="V883" s="3" t="inlineStr">
        <is>
          <t>세로한면(불)</t>
        </is>
      </c>
    </row>
    <row r="884">
      <c r="A884" s="3" t="inlineStr">
        <is>
          <t>연서면 국촌리 53-4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40000</v>
      </c>
      <c r="G884" s="4" t="n">
        <v>1644</v>
      </c>
      <c r="H884" s="4" t="n">
        <v>497</v>
      </c>
      <c r="I884" s="5" t="n">
        <v>80.5</v>
      </c>
      <c r="J884" s="5" t="n">
        <v>28.8</v>
      </c>
      <c r="K884" s="3" t="inlineStr">
        <is>
          <t>연서면 국촌리 농림지역 토지, 국가산업단지 인근, 대토, 필지별 매매</t>
        </is>
      </c>
      <c r="L884" s="6">
        <f>HYPERLINK("https://fin.land.naver.com/articles/2648714185", "매물Link")</f>
        <v/>
      </c>
      <c r="M884" s="6">
        <f>HYPERLINK("https://map.naver.com/p/search/연서면 국촌리 53-4", "지도Link")</f>
        <v/>
      </c>
      <c r="N884" s="6">
        <f>HYPERLINK("http://www.eum.go.kr/web/ar/lu/luLandDet.jsp?pnu=3611036030100530004&amp;isNoScr=script&amp;mode=search", "토지이음")</f>
        <v/>
      </c>
      <c r="O884" s="3" t="inlineStr">
        <is>
          <t>스카이</t>
        </is>
      </c>
      <c r="P884" s="4" t="n">
        <v>1</v>
      </c>
      <c r="Q884" s="4" t="n">
        <v>1644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연서면 국촌리 53-5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45000</v>
      </c>
      <c r="G885" s="4" t="n">
        <v>1663</v>
      </c>
      <c r="H885" s="4" t="n">
        <v>503</v>
      </c>
      <c r="I885" s="5" t="n">
        <v>89.5</v>
      </c>
      <c r="J885" s="5" t="n">
        <v>28.8</v>
      </c>
      <c r="K885" s="3" t="inlineStr">
        <is>
          <t>대토,투자로 좋은 위치의 토지입니다</t>
        </is>
      </c>
      <c r="L885" s="6">
        <f>HYPERLINK("https://fin.land.naver.com/articles/2650858546", "매물Link")</f>
        <v/>
      </c>
      <c r="M885" s="6">
        <f>HYPERLINK("https://map.naver.com/p/search/연서면 국촌리 53-5", "지도Link")</f>
        <v/>
      </c>
      <c r="N885" s="6">
        <f>HYPERLINK("http://www.eum.go.kr/web/ar/lu/luLandDet.jsp?pnu=3611036030100530005&amp;isNoScr=script&amp;mode=search", "토지이음")</f>
        <v/>
      </c>
      <c r="O885" s="3" t="inlineStr">
        <is>
          <t>세종대박</t>
        </is>
      </c>
      <c r="P885" s="4" t="n">
        <v>1</v>
      </c>
      <c r="Q885" s="4" t="n">
        <v>1663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연서면 국촌리 59-9</t>
        </is>
      </c>
      <c r="B886" s="3" t="inlineStr">
        <is>
          <t>농림지역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62000</v>
      </c>
      <c r="G886" s="4" t="n">
        <v>1964</v>
      </c>
      <c r="H886" s="4" t="n">
        <v>594</v>
      </c>
      <c r="I886" s="5" t="n">
        <v>104.4</v>
      </c>
      <c r="J886" s="5" t="n">
        <v>30</v>
      </c>
      <c r="K886" s="3" t="inlineStr">
        <is>
          <t>세종국가산업단지 연서면 국촌리 토지</t>
        </is>
      </c>
      <c r="L886" s="6">
        <f>HYPERLINK("https://fin.land.naver.com/articles/2646241465", "매물Link")</f>
        <v/>
      </c>
      <c r="M886" s="6">
        <f>HYPERLINK("https://map.naver.com/p/search/연서면 국촌리 59-9", "지도Link")</f>
        <v/>
      </c>
      <c r="N886" s="6">
        <f>HYPERLINK("http://www.eum.go.kr/web/ar/lu/luLandDet.jsp?pnu=3611036030100590009&amp;isNoScr=script&amp;mode=search", "토지이음")</f>
        <v/>
      </c>
      <c r="O886" s="3" t="inlineStr">
        <is>
          <t>지성</t>
        </is>
      </c>
      <c r="P886" s="4" t="n">
        <v>3</v>
      </c>
      <c r="Q886" s="4" t="n">
        <v>1964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가로장방</t>
        </is>
      </c>
      <c r="V886" s="3" t="inlineStr">
        <is>
          <t>세로한면(가)</t>
        </is>
      </c>
    </row>
    <row r="887">
      <c r="A887" s="3" t="inlineStr">
        <is>
          <t>연서면 기룡리 137-1</t>
        </is>
      </c>
      <c r="B887" s="3" t="inlineStr">
        <is>
          <t>계획관리지역</t>
        </is>
      </c>
      <c r="C887" s="3" t="inlineStr">
        <is>
          <t>전</t>
        </is>
      </c>
      <c r="D887" s="3" t="inlineStr">
        <is>
          <t>전</t>
        </is>
      </c>
      <c r="E887" s="3" t="inlineStr">
        <is>
          <t>매매</t>
        </is>
      </c>
      <c r="F887" s="4" t="n">
        <v>31000</v>
      </c>
      <c r="G887" s="4" t="n">
        <v>900</v>
      </c>
      <c r="H887" s="4" t="n">
        <v>272</v>
      </c>
      <c r="I887" s="5" t="n">
        <v>114</v>
      </c>
      <c r="J887" s="5" t="n">
        <v>39.5</v>
      </c>
      <c r="K887" s="3" t="inlineStr">
        <is>
          <t>농업인 아니더라도 주말체험가능, 컨테이너,수도,전기,통신 설치됨.</t>
        </is>
      </c>
      <c r="L887" s="6">
        <f>HYPERLINK("https://fin.land.naver.com/articles/2648906327", "매물Link")</f>
        <v/>
      </c>
      <c r="M887" s="6">
        <f>HYPERLINK("https://map.naver.com/p/search/연서면 기룡리 137-1", "지도Link")</f>
        <v/>
      </c>
      <c r="N887" s="6">
        <f>HYPERLINK("http://www.eum.go.kr/web/ar/lu/luLandDet.jsp?pnu=3611036028101370001&amp;isNoScr=script&amp;mode=search", "토지이음")</f>
        <v/>
      </c>
      <c r="O887" s="3" t="inlineStr">
        <is>
          <t>세종대장</t>
        </is>
      </c>
      <c r="P887" s="4" t="n">
        <v>1</v>
      </c>
      <c r="Q887" s="4" t="n">
        <v>900</v>
      </c>
      <c r="R887" s="3" t="inlineStr">
        <is>
          <t>지정되지않음</t>
        </is>
      </c>
      <c r="S887" s="3" t="inlineStr">
        <is>
          <t>전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연서면 기룡리 137-3</t>
        </is>
      </c>
      <c r="B888" s="3" t="inlineStr">
        <is>
          <t>계획관리지역</t>
        </is>
      </c>
      <c r="C888" s="3" t="inlineStr">
        <is>
          <t>전</t>
        </is>
      </c>
      <c r="D888" s="3" t="inlineStr">
        <is>
          <t>전</t>
        </is>
      </c>
      <c r="E888" s="3" t="inlineStr">
        <is>
          <t>매매</t>
        </is>
      </c>
      <c r="F888" s="4" t="n">
        <v>23000</v>
      </c>
      <c r="G888" s="4" t="n">
        <v>773</v>
      </c>
      <c r="H888" s="4" t="n">
        <v>234</v>
      </c>
      <c r="I888" s="5" t="n">
        <v>98.3</v>
      </c>
      <c r="J888" s="5" t="n">
        <v>39.5</v>
      </c>
      <c r="K888" s="3" t="inlineStr">
        <is>
          <t>국가산단 인근 토지 매매</t>
        </is>
      </c>
      <c r="L888" s="6">
        <f>HYPERLINK("https://fin.land.naver.com/articles/2648030618", "매물Link")</f>
        <v/>
      </c>
      <c r="M888" s="6">
        <f>HYPERLINK("https://map.naver.com/p/search/연서면 기룡리 137-3", "지도Link")</f>
        <v/>
      </c>
      <c r="N888" s="6">
        <f>HYPERLINK("http://www.eum.go.kr/web/ar/lu/luLandDet.jsp?pnu=3611036028101370003&amp;isNoScr=script&amp;mode=search", "토지이음")</f>
        <v/>
      </c>
      <c r="O888" s="3" t="inlineStr">
        <is>
          <t>THE행복</t>
        </is>
      </c>
      <c r="P888" s="4" t="n">
        <v>1</v>
      </c>
      <c r="Q888" s="4" t="n">
        <v>774</v>
      </c>
      <c r="R888" s="3" t="inlineStr">
        <is>
          <t>지정되지않음</t>
        </is>
      </c>
      <c r="S888" s="3" t="inlineStr">
        <is>
          <t>전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연서면 기룡리 141</t>
        </is>
      </c>
      <c r="B889" s="3" t="inlineStr">
        <is>
          <t>생산관리지역</t>
        </is>
      </c>
      <c r="C889" s="3" t="inlineStr">
        <is>
          <t>전</t>
        </is>
      </c>
      <c r="D889" s="3" t="inlineStr">
        <is>
          <t>전</t>
        </is>
      </c>
      <c r="E889" s="3" t="inlineStr">
        <is>
          <t>매매</t>
        </is>
      </c>
      <c r="F889" s="4" t="n">
        <v>42000</v>
      </c>
      <c r="G889" s="4" t="n">
        <v>2122</v>
      </c>
      <c r="H889" s="4" t="n">
        <v>642</v>
      </c>
      <c r="I889" s="5" t="n">
        <v>65.40000000000001</v>
      </c>
      <c r="J889" s="5" t="n">
        <v>23.4</v>
      </c>
      <c r="K889" s="3" t="inlineStr">
        <is>
          <t>스마트 산업단지 인근 토지</t>
        </is>
      </c>
      <c r="L889" s="6">
        <f>HYPERLINK("https://fin.land.naver.com/articles/2650477202", "매물Link")</f>
        <v/>
      </c>
      <c r="M889" s="6">
        <f>HYPERLINK("https://map.naver.com/p/search/연서면 기룡리 141", "지도Link")</f>
        <v/>
      </c>
      <c r="N889" s="6">
        <f>HYPERLINK("http://www.eum.go.kr/web/ar/lu/luLandDet.jsp?pnu=3611036028101410000&amp;isNoScr=script&amp;mode=search", "토지이음")</f>
        <v/>
      </c>
      <c r="O889" s="3" t="inlineStr">
        <is>
          <t>해들일번지</t>
        </is>
      </c>
      <c r="P889" s="4" t="n">
        <v>1</v>
      </c>
      <c r="Q889" s="4" t="n">
        <v>2122</v>
      </c>
      <c r="R889" s="3" t="inlineStr">
        <is>
          <t>지정되지않음</t>
        </is>
      </c>
      <c r="S889" s="3" t="inlineStr">
        <is>
          <t>전기타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기룡리 143</t>
        </is>
      </c>
      <c r="B890" s="3" t="inlineStr">
        <is>
          <t>생산관리지역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40000</v>
      </c>
      <c r="G890" s="4" t="n">
        <v>2023</v>
      </c>
      <c r="H890" s="4" t="n">
        <v>612</v>
      </c>
      <c r="I890" s="5" t="n">
        <v>65.40000000000001</v>
      </c>
      <c r="J890" s="5" t="n">
        <v>23.4</v>
      </c>
      <c r="K890" s="3" t="inlineStr">
        <is>
          <t>지적도상 맹지이지만 구거를 통해 통행 가능함.</t>
        </is>
      </c>
      <c r="L890" s="6">
        <f>HYPERLINK("https://fin.land.naver.com/articles/2646205022", "매물Link")</f>
        <v/>
      </c>
      <c r="M890" s="6">
        <f>HYPERLINK("https://map.naver.com/p/search/연서면 기룡리 143", "지도Link")</f>
        <v/>
      </c>
      <c r="N890" s="6">
        <f>HYPERLINK("http://www.eum.go.kr/web/ar/lu/luLandDet.jsp?pnu=3611036028101430000&amp;isNoScr=script&amp;mode=search", "토지이음")</f>
        <v/>
      </c>
      <c r="O890" s="3" t="inlineStr">
        <is>
          <t>해들일번지</t>
        </is>
      </c>
      <c r="P890" s="4" t="n">
        <v>1</v>
      </c>
      <c r="Q890" s="4" t="n">
        <v>2023</v>
      </c>
      <c r="R890" s="3" t="inlineStr">
        <is>
          <t>지정되지않음</t>
        </is>
      </c>
      <c r="S890" s="3" t="inlineStr">
        <is>
          <t>전기타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연서면 기룡리 156-3</t>
        </is>
      </c>
      <c r="B891" s="3" t="inlineStr">
        <is>
          <t>생산관리지역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13000</v>
      </c>
      <c r="G891" s="4" t="n">
        <v>1158</v>
      </c>
      <c r="H891" s="4" t="n">
        <v>350</v>
      </c>
      <c r="I891" s="5" t="n">
        <v>37.1</v>
      </c>
      <c r="J891" s="5" t="n">
        <v>14.5</v>
      </c>
      <c r="K891" s="3" t="inlineStr">
        <is>
          <t>급매, 토지옆 구거를 이용하여 출입가능</t>
        </is>
      </c>
      <c r="L891" s="6">
        <f>HYPERLINK("https://fin.land.naver.com/articles/2650478075", "매물Link")</f>
        <v/>
      </c>
      <c r="M891" s="6">
        <f>HYPERLINK("https://map.naver.com/p/search/연서면 기룡리 156-3", "지도Link")</f>
        <v/>
      </c>
      <c r="N891" s="6">
        <f>HYPERLINK("http://www.eum.go.kr/web/ar/lu/luLandDet.jsp?pnu=3611036028101560003&amp;isNoScr=script&amp;mode=search", "토지이음")</f>
        <v/>
      </c>
      <c r="O891" s="3" t="inlineStr">
        <is>
          <t>해들일번지</t>
        </is>
      </c>
      <c r="P891" s="4" t="n">
        <v>1</v>
      </c>
      <c r="Q891" s="4" t="n">
        <v>1158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급경사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연서면 기룡리 156-4</t>
        </is>
      </c>
      <c r="B892" s="3" t="inlineStr">
        <is>
          <t>생산관리지역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17000</v>
      </c>
      <c r="G892" s="4" t="n">
        <v>1020</v>
      </c>
      <c r="H892" s="4" t="n">
        <v>309</v>
      </c>
      <c r="I892" s="5" t="n">
        <v>55</v>
      </c>
      <c r="J892" s="5" t="n">
        <v>15</v>
      </c>
      <c r="K892" s="3" t="inlineStr">
        <is>
          <t>급매, 구거 이용하여 출입 가능함</t>
        </is>
      </c>
      <c r="L892" s="6">
        <f>HYPERLINK("https://fin.land.naver.com/articles/2646204251", "매물Link")</f>
        <v/>
      </c>
      <c r="M892" s="6">
        <f>HYPERLINK("https://map.naver.com/p/search/연서면 기룡리 156-4", "지도Link")</f>
        <v/>
      </c>
      <c r="N892" s="6">
        <f>HYPERLINK("http://www.eum.go.kr/web/ar/lu/luLandDet.jsp?pnu=3611036028101560004&amp;isNoScr=script&amp;mode=search", "토지이음")</f>
        <v/>
      </c>
      <c r="O892" s="3" t="inlineStr">
        <is>
          <t>해들일번지</t>
        </is>
      </c>
      <c r="P892" s="4" t="n">
        <v>1</v>
      </c>
      <c r="Q892" s="4" t="n">
        <v>1020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급경사</t>
        </is>
      </c>
      <c r="U892" s="3" t="inlineStr">
        <is>
          <t>부정형</t>
        </is>
      </c>
      <c r="V892" s="3" t="inlineStr">
        <is>
          <t>맹지</t>
        </is>
      </c>
    </row>
    <row r="893">
      <c r="A893" s="3" t="inlineStr">
        <is>
          <t>연서면 기룡리 17</t>
        </is>
      </c>
      <c r="B893" s="3" t="inlineStr">
        <is>
          <t>생산관리지역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63000</v>
      </c>
      <c r="G893" s="4" t="n">
        <v>2314</v>
      </c>
      <c r="H893" s="4" t="n">
        <v>700</v>
      </c>
      <c r="I893" s="5" t="n">
        <v>90</v>
      </c>
      <c r="J893" s="5" t="n">
        <v>30.7</v>
      </c>
      <c r="K893" s="3" t="inlineStr">
        <is>
          <t>연서면 기룡리 생산관리 토지, 도로접, 국가산단 인근</t>
        </is>
      </c>
      <c r="L893" s="6">
        <f>HYPERLINK("https://fin.land.naver.com/articles/2647371400", "매물Link")</f>
        <v/>
      </c>
      <c r="M893" s="6">
        <f>HYPERLINK("https://map.naver.com/p/search/연서면 기룡리 17", "지도Link")</f>
        <v/>
      </c>
      <c r="N893" s="6">
        <f>HYPERLINK("http://www.eum.go.kr/web/ar/lu/luLandDet.jsp?pnu=3611036028100170000&amp;isNoScr=script&amp;mode=search", "토지이음")</f>
        <v/>
      </c>
      <c r="O893" s="3" t="inlineStr">
        <is>
          <t>스카이</t>
        </is>
      </c>
      <c r="P893" s="4" t="n">
        <v>1</v>
      </c>
      <c r="Q893" s="4" t="n">
        <v>2314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연서면 기룡리 170-1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50900</v>
      </c>
      <c r="G894" s="4" t="n">
        <v>1683</v>
      </c>
      <c r="H894" s="4" t="n">
        <v>509</v>
      </c>
      <c r="I894" s="5" t="n">
        <v>100</v>
      </c>
      <c r="J894" s="5" t="n">
        <v>49.5</v>
      </c>
      <c r="K894" s="3" t="inlineStr">
        <is>
          <t>나대지로 텃밭 주택,창고,주말농장 등이 어울리는 기룡리 토지</t>
        </is>
      </c>
      <c r="L894" s="6">
        <f>HYPERLINK("https://fin.land.naver.com/articles/2650397810", "매물Link")</f>
        <v/>
      </c>
      <c r="M894" s="6">
        <f>HYPERLINK("https://map.naver.com/p/search/연서면 기룡리 170-1", "지도Link")</f>
        <v/>
      </c>
      <c r="N894" s="6">
        <f>HYPERLINK("http://www.eum.go.kr/web/ar/lu/luLandDet.jsp?pnu=3611036028101700001&amp;isNoScr=script&amp;mode=search", "토지이음")</f>
        <v/>
      </c>
      <c r="O894" s="3" t="inlineStr">
        <is>
          <t>지성</t>
        </is>
      </c>
      <c r="P894" s="4" t="n">
        <v>1</v>
      </c>
      <c r="Q894" s="4" t="n">
        <v>1683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연서면 기룡리 277-1</t>
        </is>
      </c>
      <c r="B895" s="3" t="inlineStr">
        <is>
          <t>생산관리지역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52000</v>
      </c>
      <c r="G895" s="4" t="n">
        <v>2152</v>
      </c>
      <c r="H895" s="4" t="n">
        <v>651</v>
      </c>
      <c r="I895" s="5" t="n">
        <v>79.90000000000001</v>
      </c>
      <c r="J895" s="5" t="n">
        <v>44</v>
      </c>
      <c r="K895" s="3" t="inlineStr">
        <is>
          <t>기룡리토지매매 가격조정가능</t>
        </is>
      </c>
      <c r="L895" s="6">
        <f>HYPERLINK("https://fin.land.naver.com/articles/2646711689", "매물Link")</f>
        <v/>
      </c>
      <c r="M895" s="6">
        <f>HYPERLINK("https://map.naver.com/p/search/연서면 기룡리 277-1", "지도Link")</f>
        <v/>
      </c>
      <c r="N895" s="6">
        <f>HYPERLINK("http://www.eum.go.kr/web/ar/lu/luLandDet.jsp?pnu=3611036028102770001&amp;isNoScr=script&amp;mode=search", "토지이음")</f>
        <v/>
      </c>
      <c r="O895" s="3" t="inlineStr">
        <is>
          <t>고운동리치세종</t>
        </is>
      </c>
      <c r="P895" s="4" t="n">
        <v>1</v>
      </c>
      <c r="Q895" s="4" t="n">
        <v>2152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332-2</t>
        </is>
      </c>
      <c r="B896" s="3" t="inlineStr">
        <is>
          <t>계획관리지역</t>
        </is>
      </c>
      <c r="C896" s="3" t="inlineStr">
        <is>
          <t>목장용지</t>
        </is>
      </c>
      <c r="D896" s="3" t="inlineStr">
        <is>
          <t>목장용지</t>
        </is>
      </c>
      <c r="E896" s="3" t="inlineStr">
        <is>
          <t>매매</t>
        </is>
      </c>
      <c r="F896" s="4" t="n">
        <v>327000</v>
      </c>
      <c r="G896" s="4" t="n">
        <v>9018</v>
      </c>
      <c r="H896" s="4" t="n">
        <v>2728</v>
      </c>
      <c r="I896" s="5" t="n">
        <v>119.9</v>
      </c>
      <c r="J896" s="5" t="n">
        <v>46.1</v>
      </c>
      <c r="K896" s="3" t="inlineStr">
        <is>
          <t>계획관리지역</t>
        </is>
      </c>
      <c r="L896" s="6">
        <f>HYPERLINK("https://fin.land.naver.com/articles/2648732748", "매물Link")</f>
        <v/>
      </c>
      <c r="M896" s="6">
        <f>HYPERLINK("https://map.naver.com/p/search/연서면 기룡리 332-2", "지도Link")</f>
        <v/>
      </c>
      <c r="N896" s="6">
        <f>HYPERLINK("http://www.eum.go.kr/web/ar/lu/luLandDet.jsp?pnu=3611036028103320002&amp;isNoScr=script&amp;mode=search", "토지이음")</f>
        <v/>
      </c>
      <c r="O896" s="3" t="inlineStr">
        <is>
          <t>다산</t>
        </is>
      </c>
      <c r="P896" s="4" t="n">
        <v>1</v>
      </c>
      <c r="Q896" s="4" t="n">
        <v>9004</v>
      </c>
      <c r="R896" s="3" t="inlineStr">
        <is>
          <t>지정되지않음</t>
        </is>
      </c>
      <c r="S896" s="3" t="inlineStr">
        <is>
          <t>전축사</t>
        </is>
      </c>
      <c r="T896" s="3" t="inlineStr">
        <is>
          <t>완경사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연서면 기룡리 425</t>
        </is>
      </c>
      <c r="B897" s="3" t="inlineStr">
        <is>
          <t>생산관리지역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237860</v>
      </c>
      <c r="G897" s="4" t="n">
        <v>11234</v>
      </c>
      <c r="H897" s="4" t="n">
        <v>3398</v>
      </c>
      <c r="I897" s="5" t="n">
        <v>70</v>
      </c>
      <c r="J897" s="5" t="n">
        <v>30.8</v>
      </c>
      <c r="K897" s="3" t="inlineStr">
        <is>
          <t>여러필지이며 투자및 경작용으로 매우 좋음</t>
        </is>
      </c>
      <c r="L897" s="6">
        <f>HYPERLINK("https://fin.land.naver.com/articles/2648549270", "매물Link")</f>
        <v/>
      </c>
      <c r="M897" s="6">
        <f>HYPERLINK("https://map.naver.com/p/search/연서면 기룡리 425", "지도Link")</f>
        <v/>
      </c>
      <c r="N897" s="6">
        <f>HYPERLINK("http://www.eum.go.kr/web/ar/lu/luLandDet.jsp?pnu=3611036028104250000&amp;isNoScr=script&amp;mode=search", "토지이음")</f>
        <v/>
      </c>
      <c r="O897" s="3" t="inlineStr">
        <is>
          <t>세종리츠</t>
        </is>
      </c>
      <c r="P897" s="4" t="n">
        <v>1</v>
      </c>
      <c r="Q897" s="4" t="n">
        <v>1699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연서면 기룡리 431-1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62500</v>
      </c>
      <c r="G898" s="4" t="n">
        <v>2952</v>
      </c>
      <c r="H898" s="4" t="n">
        <v>893</v>
      </c>
      <c r="I898" s="5" t="n">
        <v>70</v>
      </c>
      <c r="J898" s="5" t="n">
        <v>39.2</v>
      </c>
      <c r="K898" s="3" t="inlineStr">
        <is>
          <t>기룡리 계획관리지역 지목이 전으로 총2필지 일괄로 급매.</t>
        </is>
      </c>
      <c r="L898" s="6">
        <f>HYPERLINK("https://fin.land.naver.com/articles/2651207447", "매물Link")</f>
        <v/>
      </c>
      <c r="M898" s="6">
        <f>HYPERLINK("https://map.naver.com/p/search/연서면 기룡리 431-1", "지도Link")</f>
        <v/>
      </c>
      <c r="N898" s="6">
        <f>HYPERLINK("http://www.eum.go.kr/web/ar/lu/luLandDet.jsp?pnu=3611036028104310001&amp;isNoScr=script&amp;mode=search",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2483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444</t>
        </is>
      </c>
      <c r="B899" s="3" t="inlineStr">
        <is>
          <t>생산관리지역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63000</v>
      </c>
      <c r="G899" s="4" t="n">
        <v>2971</v>
      </c>
      <c r="H899" s="4" t="n">
        <v>899</v>
      </c>
      <c r="I899" s="5" t="n">
        <v>70.09999999999999</v>
      </c>
      <c r="J899" s="5" t="n">
        <v>30.8</v>
      </c>
      <c r="K899" s="3" t="inlineStr">
        <is>
          <t>연서면 기룡리 마을 포장도로에 접한 생산관리지역의 토지 입니다.</t>
        </is>
      </c>
      <c r="L899" s="6">
        <f>HYPERLINK("https://fin.land.naver.com/articles/2647461023", "매물Link")</f>
        <v/>
      </c>
      <c r="M899" s="6">
        <f>HYPERLINK("https://map.naver.com/p/search/연서면 기룡리 444", "지도Link")</f>
        <v/>
      </c>
      <c r="N899" s="6">
        <f>HYPERLINK("http://www.eum.go.kr/web/ar/lu/luLandDet.jsp?pnu=3611036028104440000&amp;isNoScr=script&amp;mode=search", "토지이음")</f>
        <v/>
      </c>
      <c r="O899" s="3" t="inlineStr">
        <is>
          <t>스마일세종</t>
        </is>
      </c>
      <c r="P899" s="4" t="n">
        <v>1</v>
      </c>
      <c r="Q899" s="4" t="n">
        <v>2971</v>
      </c>
      <c r="R899" s="3" t="inlineStr">
        <is>
          <t>지정되지않음</t>
        </is>
      </c>
      <c r="S899" s="3" t="inlineStr">
        <is>
          <t>답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484</t>
        </is>
      </c>
      <c r="B900" s="3" t="inlineStr">
        <is>
          <t>생산관리지역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75000</v>
      </c>
      <c r="G900" s="4" t="n">
        <v>2886</v>
      </c>
      <c r="H900" s="4" t="n">
        <v>873</v>
      </c>
      <c r="I900" s="5" t="n">
        <v>85.90000000000001</v>
      </c>
      <c r="J900" s="5" t="n">
        <v>27.3</v>
      </c>
      <c r="K900" s="3" t="inlineStr">
        <is>
          <t>보상이 시작된 세종국가산단과 인접하여 투자가치가 높음</t>
        </is>
      </c>
      <c r="L900" s="6">
        <f>HYPERLINK("https://fin.land.naver.com/articles/2646696444", "매물Link")</f>
        <v/>
      </c>
      <c r="M900" s="6">
        <f>HYPERLINK("https://map.naver.com/p/search/연서면 기룡리 484", "지도Link")</f>
        <v/>
      </c>
      <c r="N900" s="6">
        <f>HYPERLINK("http://www.eum.go.kr/web/ar/lu/luLandDet.jsp?pnu=3611036028104840000&amp;isNoScr=script&amp;mode=search", "토지이음")</f>
        <v/>
      </c>
      <c r="O900" s="3" t="inlineStr">
        <is>
          <t>가람</t>
        </is>
      </c>
      <c r="P900" s="4" t="n">
        <v>1</v>
      </c>
      <c r="Q900" s="4" t="n">
        <v>2886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연서면 기룡리 51-2</t>
        </is>
      </c>
      <c r="B901" s="3" t="inlineStr">
        <is>
          <t>계획관리지역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21000</v>
      </c>
      <c r="G901" s="4" t="n">
        <v>252</v>
      </c>
      <c r="H901" s="4" t="n">
        <v>76</v>
      </c>
      <c r="I901" s="5" t="n">
        <v>276.3</v>
      </c>
      <c r="J901" s="5" t="n">
        <v>73.2</v>
      </c>
      <c r="K901" s="3" t="inlineStr">
        <is>
          <t>급매 가격조정가능</t>
        </is>
      </c>
      <c r="L901" s="6">
        <f>HYPERLINK("https://fin.land.naver.com/articles/2648261882", "매물Link")</f>
        <v/>
      </c>
      <c r="M901" s="6">
        <f>HYPERLINK("https://map.naver.com/p/search/연서면 기룡리 51-2", "지도Link")</f>
        <v/>
      </c>
      <c r="N901" s="6">
        <f>HYPERLINK("http://www.eum.go.kr/web/ar/lu/luLandDet.jsp?pnu=3611036028100510002&amp;isNoScr=script&amp;mode=search", "토지이음")</f>
        <v/>
      </c>
      <c r="O901" s="3" t="inlineStr">
        <is>
          <t>그래그</t>
        </is>
      </c>
      <c r="P901" s="4" t="n">
        <v>1</v>
      </c>
      <c r="Q901" s="4" t="n">
        <v>252</v>
      </c>
      <c r="R901" s="3" t="inlineStr">
        <is>
          <t>지정되지않음</t>
        </is>
      </c>
      <c r="S901" s="3" t="inlineStr">
        <is>
          <t>단독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소로한면</t>
        </is>
      </c>
    </row>
    <row r="902">
      <c r="A902" s="3" t="inlineStr">
        <is>
          <t>연서면 기룡리 52-17</t>
        </is>
      </c>
      <c r="B902" s="3" t="inlineStr">
        <is>
          <t>계획관리지역</t>
        </is>
      </c>
      <c r="C902" s="3" t="inlineStr">
        <is>
          <t>양어장</t>
        </is>
      </c>
      <c r="D902" s="3" t="inlineStr">
        <is>
          <t>양어장</t>
        </is>
      </c>
      <c r="E902" s="3" t="inlineStr">
        <is>
          <t>매매</t>
        </is>
      </c>
      <c r="F902" s="4" t="n">
        <v>21000</v>
      </c>
      <c r="G902" s="4" t="n">
        <v>254</v>
      </c>
      <c r="H902" s="4" t="n">
        <v>77</v>
      </c>
      <c r="I902" s="5" t="n">
        <v>272.7</v>
      </c>
      <c r="J902" s="5" t="n">
        <v>44.4</v>
      </c>
      <c r="K902" s="3" t="inlineStr">
        <is>
          <t>급매 가격조정가능</t>
        </is>
      </c>
      <c r="L902" s="6">
        <f>HYPERLINK("https://fin.land.naver.com/articles/2648261531", "매물Link")</f>
        <v/>
      </c>
      <c r="M902" s="6">
        <f>HYPERLINK("https://map.naver.com/p/search/연서면 기룡리 52-17", "지도Link")</f>
        <v/>
      </c>
      <c r="N902" s="6">
        <f>HYPERLINK("http://www.eum.go.kr/web/ar/lu/luLandDet.jsp?pnu=3611036028100520017&amp;isNoScr=script&amp;mode=search", "토지이음")</f>
        <v/>
      </c>
      <c r="O902" s="3" t="inlineStr">
        <is>
          <t>그래그</t>
        </is>
      </c>
      <c r="P902" s="4" t="n">
        <v>1</v>
      </c>
      <c r="Q902" s="4" t="n">
        <v>254</v>
      </c>
      <c r="R902" s="3" t="inlineStr">
        <is>
          <t>지정되지않음</t>
        </is>
      </c>
      <c r="S902" s="3" t="inlineStr">
        <is>
          <t>전기타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소로한면</t>
        </is>
      </c>
    </row>
    <row r="903">
      <c r="A903" s="3" t="inlineStr">
        <is>
          <t>연서면 기룡리 526-2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전</t>
        </is>
      </c>
      <c r="E903" s="3" t="inlineStr">
        <is>
          <t>매매</t>
        </is>
      </c>
      <c r="F903" s="4" t="n">
        <v>26940</v>
      </c>
      <c r="G903" s="4" t="n">
        <v>1486</v>
      </c>
      <c r="H903" s="4" t="n">
        <v>450</v>
      </c>
      <c r="I903" s="5" t="n">
        <v>59.9</v>
      </c>
      <c r="J903" s="5" t="n">
        <v>28.9</v>
      </c>
      <c r="K903" s="3" t="inlineStr">
        <is>
          <t>기룡리 생산관리지역으로 지목이 전이나 과수원으로 이용중.</t>
        </is>
      </c>
      <c r="L903" s="6">
        <f>HYPERLINK("https://fin.land.naver.com/articles/2651207894", "매물Link")</f>
        <v/>
      </c>
      <c r="M903" s="6">
        <f>HYPERLINK("https://map.naver.com/p/search/연서면 기룡리 526-2", "지도Link")</f>
        <v/>
      </c>
      <c r="N903" s="6">
        <f>HYPERLINK("http://www.eum.go.kr/web/ar/lu/luLandDet.jsp?pnu=3611036028105260002&amp;isNoScr=script&amp;mode=search", "토지이음")</f>
        <v/>
      </c>
      <c r="O903" s="3" t="inlineStr">
        <is>
          <t>세종대장</t>
        </is>
      </c>
      <c r="P903" s="4" t="n">
        <v>2</v>
      </c>
      <c r="Q903" s="4" t="n">
        <v>1486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기룡리 609-1</t>
        </is>
      </c>
      <c r="B904" s="3" t="inlineStr">
        <is>
          <t>생산관리지역</t>
        </is>
      </c>
      <c r="C904" s="3" t="inlineStr">
        <is>
          <t>과수원</t>
        </is>
      </c>
      <c r="D904" s="3" t="inlineStr">
        <is>
          <t>과수원</t>
        </is>
      </c>
      <c r="E904" s="3" t="inlineStr">
        <is>
          <t>매매</t>
        </is>
      </c>
      <c r="F904" s="4" t="n">
        <v>49000</v>
      </c>
      <c r="G904" s="4" t="n">
        <v>1808</v>
      </c>
      <c r="H904" s="4" t="n">
        <v>547</v>
      </c>
      <c r="I904" s="5" t="n">
        <v>89.59999999999999</v>
      </c>
      <c r="J904" s="5" t="n">
        <v>31.2</v>
      </c>
      <c r="K904" s="3" t="inlineStr">
        <is>
          <t>기룡리 전망 좋고 공기 맑은 세컨하우스나 주말쉼터로 투자추천.</t>
        </is>
      </c>
      <c r="L904" s="6">
        <f>HYPERLINK("https://fin.land.naver.com/articles/2649342597", "매물Link")</f>
        <v/>
      </c>
      <c r="M904" s="6">
        <f>HYPERLINK("https://map.naver.com/p/search/연서면 기룡리 609-1", "지도Link")</f>
        <v/>
      </c>
      <c r="N904" s="6">
        <f>HYPERLINK("http://www.eum.go.kr/web/ar/lu/luLandDet.jsp?pnu=3611036028106090001&amp;isNoScr=script&amp;mode=search", "토지이음")</f>
        <v/>
      </c>
      <c r="O904" s="3" t="inlineStr">
        <is>
          <t>세종대장</t>
        </is>
      </c>
      <c r="P904" s="4" t="n">
        <v>1</v>
      </c>
      <c r="Q904" s="4" t="n">
        <v>1808</v>
      </c>
      <c r="R904" s="3" t="inlineStr">
        <is>
          <t>지정되지않음</t>
        </is>
      </c>
      <c r="S904" s="3" t="inlineStr">
        <is>
          <t>과수원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기룡리 651-5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19500</v>
      </c>
      <c r="G905" s="4" t="n">
        <v>364</v>
      </c>
      <c r="H905" s="4" t="n">
        <v>110</v>
      </c>
      <c r="I905" s="5" t="n">
        <v>177.3</v>
      </c>
      <c r="J905" s="5" t="n">
        <v>66.7</v>
      </c>
      <c r="K905" s="3" t="inlineStr">
        <is>
          <t>nan</t>
        </is>
      </c>
      <c r="L905" s="6">
        <f>HYPERLINK("https://fin.land.naver.com/articles/2650531119", "매물Link")</f>
        <v/>
      </c>
      <c r="M905" s="6">
        <f>HYPERLINK("https://map.naver.com/p/search/연서면 기룡리 651-5", "지도Link")</f>
        <v/>
      </c>
      <c r="N905" s="6">
        <f>HYPERLINK("http://www.eum.go.kr/web/ar/lu/luLandDet.jsp?pnu=3611036028106510005&amp;isNoScr=script&amp;mode=search", "토지이음")</f>
        <v/>
      </c>
      <c r="O905" s="3" t="inlineStr">
        <is>
          <t>돈방석</t>
        </is>
      </c>
      <c r="P905" s="4" t="n">
        <v>9</v>
      </c>
      <c r="Q905" s="4" t="n">
        <v>364</v>
      </c>
      <c r="R905" s="3" t="inlineStr">
        <is>
          <t>지정되지않음</t>
        </is>
      </c>
      <c r="S905" s="3" t="inlineStr">
        <is>
          <t>단독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연서면 기룡리 651-5</t>
        </is>
      </c>
      <c r="B906" s="3" t="inlineStr">
        <is>
          <t>계획관리지역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19500</v>
      </c>
      <c r="G906" s="4" t="n">
        <v>483</v>
      </c>
      <c r="H906" s="4" t="n">
        <v>146</v>
      </c>
      <c r="I906" s="5" t="n">
        <v>133.6</v>
      </c>
      <c r="J906" s="5" t="n">
        <v>66.7</v>
      </c>
      <c r="K906" s="3" t="inlineStr">
        <is>
          <t>급매물 마을앞 코너각지 도로접한 대지와 전매매</t>
        </is>
      </c>
      <c r="L906" s="6">
        <f>HYPERLINK("https://fin.land.naver.com/articles/2650172378", "매물Link")</f>
        <v/>
      </c>
      <c r="M906" s="6">
        <f>HYPERLINK("https://map.naver.com/p/search/연서면 기룡리 651-5", "지도Link")</f>
        <v/>
      </c>
      <c r="N906" s="6">
        <f>HYPERLINK("http://www.eum.go.kr/web/ar/lu/luLandDet.jsp?pnu=3611036028106510005&amp;isNoScr=script&amp;mode=search", "토지이음")</f>
        <v/>
      </c>
      <c r="O906" s="3" t="inlineStr">
        <is>
          <t>제이파크</t>
        </is>
      </c>
      <c r="P906" s="4" t="n">
        <v>3</v>
      </c>
      <c r="Q906" s="4" t="n">
        <v>364</v>
      </c>
      <c r="R906" s="3" t="inlineStr">
        <is>
          <t>지정되지않음</t>
        </is>
      </c>
      <c r="S906" s="3" t="inlineStr">
        <is>
          <t>단독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651-5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25000</v>
      </c>
      <c r="G907" s="4" t="n">
        <v>483</v>
      </c>
      <c r="H907" s="4" t="n">
        <v>146</v>
      </c>
      <c r="I907" s="5" t="n">
        <v>171.2</v>
      </c>
      <c r="J907" s="5" t="n">
        <v>66.7</v>
      </c>
      <c r="K907" s="3" t="inlineStr">
        <is>
          <t>nan</t>
        </is>
      </c>
      <c r="L907" s="6">
        <f>HYPERLINK("https://fin.land.naver.com/articles/2647144520", "매물Link")</f>
        <v/>
      </c>
      <c r="M907" s="6">
        <f>HYPERLINK("https://map.naver.com/p/search/연서면 기룡리 651-5", "지도Link")</f>
        <v/>
      </c>
      <c r="N907" s="6">
        <f>HYPERLINK("http://www.eum.go.kr/web/ar/lu/luLandDet.jsp?pnu=3611036028106510005&amp;isNoScr=script&amp;mode=search", "토지이음")</f>
        <v/>
      </c>
      <c r="O907" s="3" t="inlineStr">
        <is>
          <t>문은진</t>
        </is>
      </c>
      <c r="P907" s="4" t="n">
        <v>1</v>
      </c>
      <c r="Q907" s="4" t="n">
        <v>364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기룡리 651-5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19500</v>
      </c>
      <c r="G908" s="4" t="n">
        <v>483</v>
      </c>
      <c r="H908" s="4" t="n">
        <v>146</v>
      </c>
      <c r="I908" s="5" t="n">
        <v>133.6</v>
      </c>
      <c r="J908" s="5" t="n">
        <v>66.7</v>
      </c>
      <c r="K908" s="3" t="inlineStr">
        <is>
          <t>급매매 계획관리 도로접 건축가능 세종 연서 기룡리</t>
        </is>
      </c>
      <c r="L908" s="6">
        <f>HYPERLINK("https://fin.land.naver.com/articles/2649923225", "매물Link")</f>
        <v/>
      </c>
      <c r="M908" s="6">
        <f>HYPERLINK("https://map.naver.com/p/search/연서면 기룡리 651-5", "지도Link")</f>
        <v/>
      </c>
      <c r="N908" s="6">
        <f>HYPERLINK("http://www.eum.go.kr/web/ar/lu/luLandDet.jsp?pnu=3611036028106510005&amp;isNoScr=script&amp;mode=search", "토지이음")</f>
        <v/>
      </c>
      <c r="O908" s="3" t="inlineStr">
        <is>
          <t>명장</t>
        </is>
      </c>
      <c r="P908" s="4" t="n">
        <v>1</v>
      </c>
      <c r="Q908" s="4" t="n">
        <v>364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651-5</t>
        </is>
      </c>
      <c r="B909" s="3" t="inlineStr">
        <is>
          <t>계획관리지역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19500</v>
      </c>
      <c r="G909" s="4" t="n">
        <v>483</v>
      </c>
      <c r="H909" s="4" t="n">
        <v>146</v>
      </c>
      <c r="I909" s="5" t="n">
        <v>133.6</v>
      </c>
      <c r="J909" s="5" t="n">
        <v>66.7</v>
      </c>
      <c r="K909" s="3" t="inlineStr">
        <is>
          <t>기룡리 도로 접한 대지,일부답 세종스마트국가산업단지 개발 등 투자 호재</t>
        </is>
      </c>
      <c r="L909" s="6">
        <f>HYPERLINK("https://fin.land.naver.com/articles/2651109883", "매물Link")</f>
        <v/>
      </c>
      <c r="M909" s="6">
        <f>HYPERLINK("https://map.naver.com/p/search/연서면 기룡리 651-5", "지도Link")</f>
        <v/>
      </c>
      <c r="N909" s="6">
        <f>HYPERLINK("http://www.eum.go.kr/web/ar/lu/luLandDet.jsp?pnu=3611036028106510005&amp;isNoScr=script&amp;mode=search", "토지이음")</f>
        <v/>
      </c>
      <c r="O909" s="3" t="inlineStr">
        <is>
          <t>믿음</t>
        </is>
      </c>
      <c r="P909" s="4" t="n">
        <v>4</v>
      </c>
      <c r="Q909" s="4" t="n">
        <v>364</v>
      </c>
      <c r="R909" s="3" t="inlineStr">
        <is>
          <t>지정되지않음</t>
        </is>
      </c>
      <c r="S909" s="3" t="inlineStr">
        <is>
          <t>단독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651-5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19500</v>
      </c>
      <c r="G910" s="4" t="n">
        <v>483</v>
      </c>
      <c r="H910" s="4" t="n">
        <v>146</v>
      </c>
      <c r="I910" s="5" t="n">
        <v>133.6</v>
      </c>
      <c r="J910" s="5" t="n">
        <v>66.7</v>
      </c>
      <c r="K910" s="3" t="inlineStr">
        <is>
          <t>전망좋은 전원택지및 다용도,투자적지</t>
        </is>
      </c>
      <c r="L910" s="6">
        <f>HYPERLINK("https://fin.land.naver.com/articles/2649946421", "매물Link")</f>
        <v/>
      </c>
      <c r="M910" s="6">
        <f>HYPERLINK("https://map.naver.com/p/search/연서면 기룡리 651-5", "지도Link")</f>
        <v/>
      </c>
      <c r="N910" s="6">
        <f>HYPERLINK("http://www.eum.go.kr/web/ar/lu/luLandDet.jsp?pnu=3611036028106510005&amp;isNoScr=script&amp;mode=search", "토지이음")</f>
        <v/>
      </c>
      <c r="O910" s="3" t="inlineStr">
        <is>
          <t>행복가득한</t>
        </is>
      </c>
      <c r="P910" s="4" t="n">
        <v>1</v>
      </c>
      <c r="Q910" s="4" t="n">
        <v>364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651-5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19500</v>
      </c>
      <c r="G911" s="4" t="n">
        <v>483</v>
      </c>
      <c r="H911" s="4" t="n">
        <v>146</v>
      </c>
      <c r="I911" s="5" t="n">
        <v>133.6</v>
      </c>
      <c r="J911" s="5" t="n">
        <v>66.7</v>
      </c>
      <c r="K911" s="3" t="inlineStr">
        <is>
          <t>급매. 계획관리지역. 포장도로 접. 전원주택,세컨하우스강추. 현,나대지.</t>
        </is>
      </c>
      <c r="L911" s="6">
        <f>HYPERLINK("https://fin.land.naver.com/articles/2650838151", "매물Link")</f>
        <v/>
      </c>
      <c r="M911" s="6">
        <f>HYPERLINK("https://map.naver.com/p/search/연서면 기룡리 651-5", "지도Link")</f>
        <v/>
      </c>
      <c r="N911" s="6">
        <f>HYPERLINK("http://www.eum.go.kr/web/ar/lu/luLandDet.jsp?pnu=3611036028106510005&amp;isNoScr=script&amp;mode=search", "토지이음")</f>
        <v/>
      </c>
      <c r="O911" s="3" t="inlineStr">
        <is>
          <t>리슈빌</t>
        </is>
      </c>
      <c r="P911" s="4" t="n">
        <v>2</v>
      </c>
      <c r="Q911" s="4" t="n">
        <v>364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662-1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29000</v>
      </c>
      <c r="G912" s="4" t="n">
        <v>631</v>
      </c>
      <c r="H912" s="4" t="n">
        <v>191</v>
      </c>
      <c r="I912" s="5" t="n">
        <v>151.8</v>
      </c>
      <c r="J912" s="5" t="n">
        <v>66.7</v>
      </c>
      <c r="K912" s="3" t="inlineStr">
        <is>
          <t>급매,투자추천,나대지</t>
        </is>
      </c>
      <c r="L912" s="6">
        <f>HYPERLINK("https://fin.land.naver.com/articles/2648731146", "매물Link")</f>
        <v/>
      </c>
      <c r="M912" s="6">
        <f>HYPERLINK("https://map.naver.com/p/search/연서면 기룡리 662-1", "지도Link")</f>
        <v/>
      </c>
      <c r="N912" s="6">
        <f>HYPERLINK("http://www.eum.go.kr/web/ar/lu/luLandDet.jsp?pnu=3611036028106620001&amp;isNoScr=script&amp;mode=search", "토지이음")</f>
        <v/>
      </c>
      <c r="O912" s="3" t="inlineStr">
        <is>
          <t>다산</t>
        </is>
      </c>
      <c r="P912" s="4" t="n">
        <v>1</v>
      </c>
      <c r="Q912" s="4" t="n">
        <v>631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기룡리 662-1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29000</v>
      </c>
      <c r="G913" s="4" t="n">
        <v>631</v>
      </c>
      <c r="H913" s="4" t="n">
        <v>191</v>
      </c>
      <c r="I913" s="5" t="n">
        <v>151.8</v>
      </c>
      <c r="J913" s="5" t="n">
        <v>66.7</v>
      </c>
      <c r="K913" s="3" t="inlineStr">
        <is>
          <t>작은 텃밭 건축가능한 대지</t>
        </is>
      </c>
      <c r="L913" s="6">
        <f>HYPERLINK("https://fin.land.naver.com/articles/2651272476", "매물Link")</f>
        <v/>
      </c>
      <c r="M913" s="6">
        <f>HYPERLINK("https://map.naver.com/p/search/연서면 기룡리 662-1", "지도Link")</f>
        <v/>
      </c>
      <c r="N913" s="6">
        <f>HYPERLINK("http://www.eum.go.kr/web/ar/lu/luLandDet.jsp?pnu=3611036028106620001&amp;isNoScr=script&amp;mode=search", "토지이음")</f>
        <v/>
      </c>
      <c r="O913" s="3" t="inlineStr">
        <is>
          <t>지성</t>
        </is>
      </c>
      <c r="P913" s="4" t="n">
        <v>1</v>
      </c>
      <c r="Q913" s="4" t="n">
        <v>631</v>
      </c>
      <c r="R913" s="3" t="inlineStr">
        <is>
          <t>지정되지않음</t>
        </is>
      </c>
      <c r="S913" s="3" t="inlineStr">
        <is>
          <t>단독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연서면 기룡리 692-1</t>
        </is>
      </c>
      <c r="B914" s="3" t="inlineStr">
        <is>
          <t>생산관리지역</t>
        </is>
      </c>
      <c r="C914" s="3" t="inlineStr">
        <is>
          <t>전</t>
        </is>
      </c>
      <c r="D914" s="3" t="inlineStr">
        <is>
          <t>전</t>
        </is>
      </c>
      <c r="E914" s="3" t="inlineStr">
        <is>
          <t>매매</t>
        </is>
      </c>
      <c r="F914" s="4" t="n">
        <v>13000</v>
      </c>
      <c r="G914" s="4" t="n">
        <v>506</v>
      </c>
      <c r="H914" s="4" t="n">
        <v>153</v>
      </c>
      <c r="I914" s="5" t="n">
        <v>85</v>
      </c>
      <c r="J914" s="5" t="n">
        <v>32.1</v>
      </c>
      <c r="K914" s="3" t="inlineStr">
        <is>
          <t>급매, 협의,절충, 도로접, 성장관리계획구역 지목이전으로 입지,인프라 굿</t>
        </is>
      </c>
      <c r="L914" s="6">
        <f>HYPERLINK("https://fin.land.naver.com/articles/2649747414", "매물Link")</f>
        <v/>
      </c>
      <c r="M914" s="6">
        <f>HYPERLINK("https://map.naver.com/p/search/연서면 기룡리 692-1", "지도Link")</f>
        <v/>
      </c>
      <c r="N914" s="6">
        <f>HYPERLINK("http://www.eum.go.kr/web/ar/lu/luLandDet.jsp?pnu=3611036028106920001&amp;isNoScr=script&amp;mode=search", "토지이음")</f>
        <v/>
      </c>
      <c r="O914" s="3" t="inlineStr">
        <is>
          <t>세종한울</t>
        </is>
      </c>
      <c r="P914" s="4" t="n">
        <v>1</v>
      </c>
      <c r="Q914" s="4" t="n">
        <v>506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연서면 기룡리 693-5</t>
        </is>
      </c>
      <c r="B915" s="3" t="inlineStr">
        <is>
          <t>농림지역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30000</v>
      </c>
      <c r="G915" s="4" t="n">
        <v>1253</v>
      </c>
      <c r="H915" s="4" t="n">
        <v>379</v>
      </c>
      <c r="I915" s="5" t="n">
        <v>79.2</v>
      </c>
      <c r="J915" s="5" t="n">
        <v>15.6</v>
      </c>
      <c r="K915" s="3" t="inlineStr">
        <is>
          <t>급매, 협의,절충, 도로접, 전, 농림지역으로 입지, 인프라 굿</t>
        </is>
      </c>
      <c r="L915" s="6">
        <f>HYPERLINK("https://fin.land.naver.com/articles/2649748210", "매물Link")</f>
        <v/>
      </c>
      <c r="M915" s="6">
        <f>HYPERLINK("https://map.naver.com/p/search/연서면 기룡리 693-5", "지도Link")</f>
        <v/>
      </c>
      <c r="N915" s="6">
        <f>HYPERLINK("http://www.eum.go.kr/web/ar/lu/luLandDet.jsp?pnu=3611036028106930005&amp;isNoScr=script&amp;mode=search", "토지이음")</f>
        <v/>
      </c>
      <c r="O915" s="3" t="inlineStr">
        <is>
          <t>세종한울</t>
        </is>
      </c>
      <c r="P915" s="4" t="n">
        <v>1</v>
      </c>
      <c r="Q915" s="4" t="n">
        <v>1253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연서면 기룡리 91-2</t>
        </is>
      </c>
      <c r="B916" s="3" t="inlineStr">
        <is>
          <t>생산관리지역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62000</v>
      </c>
      <c r="G916" s="4" t="n">
        <v>2621</v>
      </c>
      <c r="H916" s="4" t="n">
        <v>793</v>
      </c>
      <c r="I916" s="5" t="n">
        <v>78.2</v>
      </c>
      <c r="J916" s="5" t="n">
        <v>32.1</v>
      </c>
      <c r="K916" s="3" t="inlineStr">
        <is>
          <t>3.3m2당 82만원입니다.</t>
        </is>
      </c>
      <c r="L916" s="6">
        <f>HYPERLINK("https://fin.land.naver.com/articles/2648760077", "매물Link")</f>
        <v/>
      </c>
      <c r="M916" s="6">
        <f>HYPERLINK("https://map.naver.com/p/search/연서면 기룡리 91-2", "지도Link")</f>
        <v/>
      </c>
      <c r="N916" s="6">
        <f>HYPERLINK("http://www.eum.go.kr/web/ar/lu/luLandDet.jsp?pnu=3611036028100910002&amp;isNoScr=script&amp;mode=search", "토지이음")</f>
        <v/>
      </c>
      <c r="O916" s="3" t="inlineStr">
        <is>
          <t>하늘</t>
        </is>
      </c>
      <c r="P916" s="4" t="n">
        <v>1</v>
      </c>
      <c r="Q916" s="4" t="n">
        <v>2621</v>
      </c>
      <c r="R916" s="3" t="inlineStr">
        <is>
          <t>지정되지않음</t>
        </is>
      </c>
      <c r="S916" s="3" t="inlineStr">
        <is>
          <t>과수원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세로한면(불)</t>
        </is>
      </c>
    </row>
    <row r="917">
      <c r="A917" s="3" t="inlineStr">
        <is>
          <t>연서면 기룡리 산126</t>
        </is>
      </c>
      <c r="B917" s="3" t="inlineStr">
        <is>
          <t>농림지역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674000</v>
      </c>
      <c r="G917" s="4" t="n">
        <v>302777</v>
      </c>
      <c r="H917" s="4" t="n">
        <v>91590</v>
      </c>
      <c r="I917" s="5" t="n">
        <v>7.4</v>
      </c>
      <c r="J917" s="5" t="n">
        <v>1.7</v>
      </c>
      <c r="K917" s="3" t="inlineStr">
        <is>
          <t>연서면 기룡리 농림지역 대형 임야 매매, 국가산업단지, 용암JC 인근</t>
        </is>
      </c>
      <c r="L917" s="6">
        <f>HYPERLINK("https://fin.land.naver.com/articles/2647363239", "매물Link")</f>
        <v/>
      </c>
      <c r="M917" s="6">
        <f>HYPERLINK("https://map.naver.com/p/search/연서면 기룡리 산126", "지도Link")</f>
        <v/>
      </c>
      <c r="N917" s="6">
        <f>HYPERLINK("http://www.eum.go.kr/web/ar/lu/luLandDet.jsp?pnu=3611036028201260000&amp;isNoScr=script&amp;mode=search", "토지이음")</f>
        <v/>
      </c>
      <c r="O917" s="3" t="inlineStr">
        <is>
          <t>스카이</t>
        </is>
      </c>
      <c r="P917" s="4" t="n">
        <v>2</v>
      </c>
      <c r="Q917" s="4" t="n">
        <v>302777</v>
      </c>
      <c r="R917" s="3" t="inlineStr">
        <is>
          <t>보전관리지역</t>
        </is>
      </c>
      <c r="S917" s="3" t="inlineStr">
        <is>
          <t>자연림</t>
        </is>
      </c>
      <c r="T917" s="3" t="inlineStr">
        <is>
          <t>급경사</t>
        </is>
      </c>
      <c r="U917" s="3" t="inlineStr">
        <is>
          <t>부정형</t>
        </is>
      </c>
      <c r="V917" s="3" t="inlineStr">
        <is>
          <t>세로한면(불)</t>
        </is>
      </c>
    </row>
    <row r="918">
      <c r="A918" s="3" t="inlineStr">
        <is>
          <t>연서면 기룡리 산154-1</t>
        </is>
      </c>
      <c r="B918" s="3" t="inlineStr">
        <is>
          <t>농림지역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340000</v>
      </c>
      <c r="G918" s="4" t="n">
        <v>72545</v>
      </c>
      <c r="H918" s="4" t="n">
        <v>21945</v>
      </c>
      <c r="I918" s="5" t="n">
        <v>15.5</v>
      </c>
      <c r="J918" s="5" t="n">
        <v>1.8</v>
      </c>
      <c r="K918" s="3" t="inlineStr">
        <is>
          <t>nan</t>
        </is>
      </c>
      <c r="L918" s="6">
        <f>HYPERLINK("https://fin.land.naver.com/articles/2647129054", "매물Link")</f>
        <v/>
      </c>
      <c r="M918" s="6">
        <f>HYPERLINK("https://map.naver.com/p/search/연서면 기룡리 산154-1", "지도Link")</f>
        <v/>
      </c>
      <c r="N918" s="6">
        <f>HYPERLINK("http://www.eum.go.kr/web/ar/lu/luLandDet.jsp?pnu=3611036028201540001&amp;isNoScr=script&amp;mode=search", "토지이음")</f>
        <v/>
      </c>
      <c r="O918" s="3" t="inlineStr">
        <is>
          <t>다온</t>
        </is>
      </c>
      <c r="P918" s="4" t="n">
        <v>1</v>
      </c>
      <c r="Q918" s="4" t="n">
        <v>27296</v>
      </c>
      <c r="R918" s="3" t="inlineStr">
        <is>
          <t>보전관리지역</t>
        </is>
      </c>
      <c r="S918" s="3" t="inlineStr">
        <is>
          <t>자연림</t>
        </is>
      </c>
      <c r="T918" s="3" t="inlineStr">
        <is>
          <t>급경사</t>
        </is>
      </c>
      <c r="U918" s="3" t="inlineStr">
        <is>
          <t>부정형</t>
        </is>
      </c>
      <c r="V918" s="3" t="inlineStr">
        <is>
          <t>맹지</t>
        </is>
      </c>
    </row>
    <row r="919">
      <c r="A919" s="3" t="inlineStr">
        <is>
          <t>연서면 기룡리 산26</t>
        </is>
      </c>
      <c r="B919" s="3" t="inlineStr">
        <is>
          <t>농림지역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1800</v>
      </c>
      <c r="G919" s="4" t="n">
        <v>330</v>
      </c>
      <c r="H919" s="4" t="n">
        <v>100</v>
      </c>
      <c r="I919" s="5" t="n">
        <v>18</v>
      </c>
      <c r="J919" s="5" t="n">
        <v>1.7</v>
      </c>
      <c r="K919" s="3" t="inlineStr">
        <is>
          <t>세종인접. 지분등기된 소액투자용 토지.보전관리 임야</t>
        </is>
      </c>
      <c r="L919" s="6">
        <f>HYPERLINK("https://fin.land.naver.com/articles/2651284977", "매물Link")</f>
        <v/>
      </c>
      <c r="M919" s="6">
        <f>HYPERLINK("https://map.naver.com/p/search/연서면 기룡리 산26", "지도Link")</f>
        <v/>
      </c>
      <c r="N919" s="6">
        <f>HYPERLINK("http://www.eum.go.kr/web/ar/lu/luLandDet.jsp?pnu=3611036028200260000&amp;isNoScr=script&amp;mode=search", "토지이음")</f>
        <v/>
      </c>
      <c r="O919" s="3" t="inlineStr">
        <is>
          <t>테크노114</t>
        </is>
      </c>
      <c r="P919" s="4" t="n">
        <v>1</v>
      </c>
      <c r="Q919" s="4" t="n">
        <v>41653</v>
      </c>
      <c r="R919" s="3" t="inlineStr">
        <is>
          <t>보전관리지역</t>
        </is>
      </c>
      <c r="S919" s="3" t="inlineStr">
        <is>
          <t>자연림</t>
        </is>
      </c>
      <c r="T919" s="3" t="inlineStr">
        <is>
          <t>급경사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연서면 봉암리 102-8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70116</v>
      </c>
      <c r="G920" s="4" t="n">
        <v>1783</v>
      </c>
      <c r="H920" s="4" t="n">
        <v>539</v>
      </c>
      <c r="I920" s="5" t="n">
        <v>130.1</v>
      </c>
      <c r="J920" s="5" t="n">
        <v>30.9</v>
      </c>
      <c r="K920" s="3" t="inlineStr">
        <is>
          <t>농업용창고부지,농수산공장용지 추천</t>
        </is>
      </c>
      <c r="L920" s="6">
        <f>HYPERLINK("https://fin.land.naver.com/articles/2650866717", "매물Link")</f>
        <v/>
      </c>
      <c r="M920" s="6">
        <f>HYPERLINK("https://map.naver.com/p/search/연서면 봉암리 102-8", "지도Link")</f>
        <v/>
      </c>
      <c r="N920" s="6">
        <f>HYPERLINK("http://www.eum.go.kr/web/ar/lu/luLandDet.jsp?pnu=3611036033101020008&amp;isNoScr=script&amp;mode=search", "토지이음")</f>
        <v/>
      </c>
      <c r="O920" s="3" t="inlineStr">
        <is>
          <t>서생과상인</t>
        </is>
      </c>
      <c r="P920" s="4" t="n">
        <v>2</v>
      </c>
      <c r="Q920" s="4" t="n">
        <v>1783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세로한면(가)</t>
        </is>
      </c>
    </row>
    <row r="921">
      <c r="A921" s="3" t="inlineStr">
        <is>
          <t>연서면 봉암리 214-13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38000</v>
      </c>
      <c r="G921" s="4" t="n">
        <v>125</v>
      </c>
      <c r="H921" s="4" t="n">
        <v>38</v>
      </c>
      <c r="I921" s="5" t="n">
        <v>1000</v>
      </c>
      <c r="J921" s="5" t="n">
        <v>341.8</v>
      </c>
      <c r="K921" s="3" t="inlineStr">
        <is>
          <t>봉암리 상가 밀집지역 핵심   대지 매매</t>
        </is>
      </c>
      <c r="L921" s="6">
        <f>HYPERLINK("https://fin.land.naver.com/articles/2650096965", "매물Link")</f>
        <v/>
      </c>
      <c r="M921" s="6">
        <f>HYPERLINK("https://map.naver.com/p/search/연서면 봉암리 214-13", "지도Link")</f>
        <v/>
      </c>
      <c r="N921" s="6">
        <f>HYPERLINK("http://www.eum.go.kr/web/ar/lu/luLandDet.jsp?pnu=3611036033102140013&amp;isNoScr=script&amp;mode=search", "토지이음")</f>
        <v/>
      </c>
      <c r="O921" s="3" t="inlineStr">
        <is>
          <t>해들삼성</t>
        </is>
      </c>
      <c r="P921" s="4" t="n">
        <v>2</v>
      </c>
      <c r="Q921" s="4" t="n">
        <v>125</v>
      </c>
      <c r="R921" s="3" t="inlineStr">
        <is>
          <t>지정되지않음</t>
        </is>
      </c>
      <c r="S921" s="3" t="inlineStr">
        <is>
          <t>상업용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소로한면</t>
        </is>
      </c>
    </row>
    <row r="922">
      <c r="A922" s="3" t="inlineStr">
        <is>
          <t>연서면 봉암리 230-60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120000</v>
      </c>
      <c r="G922" s="4" t="n">
        <v>796</v>
      </c>
      <c r="H922" s="4" t="n">
        <v>241</v>
      </c>
      <c r="I922" s="5" t="n">
        <v>497.9</v>
      </c>
      <c r="J922" s="5" t="n">
        <v>88.8</v>
      </c>
      <c r="K922" s="3" t="inlineStr">
        <is>
          <t>8차선 BRT 도로 근접, 와촌리 국가산단 근교, 세종시의 가장 중심지.</t>
        </is>
      </c>
      <c r="L922" s="6">
        <f>HYPERLINK("https://fin.land.naver.com/articles/2647588359", "매물Link")</f>
        <v/>
      </c>
      <c r="M922" s="6">
        <f>HYPERLINK("https://map.naver.com/p/search/연서면 봉암리 230-60", "지도Link")</f>
        <v/>
      </c>
      <c r="N922" s="6">
        <f>HYPERLINK("http://www.eum.go.kr/web/ar/lu/luLandDet.jsp?pnu=3611036033102300060&amp;isNoScr=script&amp;mode=search", "토지이음")</f>
        <v/>
      </c>
      <c r="O922" s="3" t="inlineStr">
        <is>
          <t>꿈드림</t>
        </is>
      </c>
      <c r="P922" s="4" t="n">
        <v>1</v>
      </c>
      <c r="Q922" s="4" t="n">
        <v>661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연서면 봉암리 232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220000</v>
      </c>
      <c r="G923" s="4" t="n">
        <v>661</v>
      </c>
      <c r="H923" s="4" t="n">
        <v>200</v>
      </c>
      <c r="I923" s="5" t="n">
        <v>1100</v>
      </c>
      <c r="J923" s="5" t="n">
        <v>228.2</v>
      </c>
      <c r="K923" s="3" t="inlineStr">
        <is>
          <t>급매</t>
        </is>
      </c>
      <c r="L923" s="6">
        <f>HYPERLINK("https://fin.land.naver.com/articles/2648100817", "매물Link")</f>
        <v/>
      </c>
      <c r="M923" s="6">
        <f>HYPERLINK("https://map.naver.com/p/search/연서면 봉암리 232", "지도Link")</f>
        <v/>
      </c>
      <c r="N923" s="6">
        <f>HYPERLINK("http://www.eum.go.kr/web/ar/lu/luLandDet.jsp?pnu=3611036033102320000&amp;isNoScr=script&amp;mode=search", "토지이음")</f>
        <v/>
      </c>
      <c r="O923" s="3" t="inlineStr">
        <is>
          <t>세종공주제일</t>
        </is>
      </c>
      <c r="P923" s="4" t="n">
        <v>1</v>
      </c>
      <c r="Q923" s="4" t="n">
        <v>369</v>
      </c>
      <c r="R923" s="3" t="inlineStr">
        <is>
          <t>지정되지않음</t>
        </is>
      </c>
      <c r="S923" s="3" t="inlineStr">
        <is>
          <t>업무용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중로한면</t>
        </is>
      </c>
    </row>
    <row r="924">
      <c r="A924" s="3" t="inlineStr">
        <is>
          <t>연서면 봉암리 234-43</t>
        </is>
      </c>
      <c r="B924" s="3" t="inlineStr">
        <is>
          <t>계획관리지역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210000</v>
      </c>
      <c r="G924" s="4" t="n">
        <v>671</v>
      </c>
      <c r="H924" s="4" t="n">
        <v>203</v>
      </c>
      <c r="I924" s="5" t="n">
        <v>1034.5</v>
      </c>
      <c r="J924" s="5" t="n">
        <v>145.8</v>
      </c>
      <c r="K924" s="3" t="inlineStr">
        <is>
          <t>광고효과최상, 투자효가높은지역 추천</t>
        </is>
      </c>
      <c r="L924" s="6">
        <f>HYPERLINK("https://fin.land.naver.com/articles/2646690318", "매물Link")</f>
        <v/>
      </c>
      <c r="M924" s="6">
        <f>HYPERLINK("https://map.naver.com/p/search/연서면 봉암리 234-43", "지도Link")</f>
        <v/>
      </c>
      <c r="N924" s="6">
        <f>HYPERLINK("http://www.eum.go.kr/web/ar/lu/luLandDet.jsp?pnu=3611036033102340043&amp;isNoScr=script&amp;mode=search", "토지이음")</f>
        <v/>
      </c>
      <c r="O924" s="3" t="inlineStr">
        <is>
          <t>대박</t>
        </is>
      </c>
      <c r="P924" s="4" t="n">
        <v>1</v>
      </c>
      <c r="Q924" s="4" t="n">
        <v>186</v>
      </c>
      <c r="R924" s="3" t="inlineStr">
        <is>
          <t>지정되지않음</t>
        </is>
      </c>
      <c r="S924" s="3" t="inlineStr">
        <is>
          <t>주거나지</t>
        </is>
      </c>
      <c r="T924" s="3" t="inlineStr">
        <is>
          <t>완경사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연서면 봉암리 245-5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32000</v>
      </c>
      <c r="G925" s="4" t="n">
        <v>305</v>
      </c>
      <c r="H925" s="4" t="n">
        <v>92</v>
      </c>
      <c r="I925" s="5" t="n">
        <v>347.8</v>
      </c>
      <c r="J925" s="5" t="n">
        <v>125.7</v>
      </c>
      <c r="K925" s="3" t="inlineStr">
        <is>
          <t>현재 주거나지 상태이며 주택부지로 적합</t>
        </is>
      </c>
      <c r="L925" s="6">
        <f>HYPERLINK("https://fin.land.naver.com/articles/2651207456", "매물Link")</f>
        <v/>
      </c>
      <c r="M925" s="6">
        <f>HYPERLINK("https://map.naver.com/p/search/연서면 봉암리 245-5", "지도Link")</f>
        <v/>
      </c>
      <c r="N925" s="6">
        <f>HYPERLINK("http://www.eum.go.kr/web/ar/lu/luLandDet.jsp?pnu=3611036033102450005&amp;isNoScr=script&amp;mode=search", "토지이음")</f>
        <v/>
      </c>
      <c r="O925" s="3" t="inlineStr">
        <is>
          <t>엘지에스케이</t>
        </is>
      </c>
      <c r="P925" s="4" t="n">
        <v>1</v>
      </c>
      <c r="Q925" s="4" t="n">
        <v>305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자루형</t>
        </is>
      </c>
      <c r="V925" s="3" t="inlineStr">
        <is>
          <t>세로한면(가)</t>
        </is>
      </c>
    </row>
    <row r="926">
      <c r="A926" s="3" t="inlineStr">
        <is>
          <t>연서면 봉암리 427-12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78000</v>
      </c>
      <c r="G926" s="4" t="n">
        <v>569</v>
      </c>
      <c r="H926" s="4" t="n">
        <v>172</v>
      </c>
      <c r="I926" s="5" t="n">
        <v>453.5</v>
      </c>
      <c r="J926" s="5" t="n">
        <v>134</v>
      </c>
      <c r="K926" s="3" t="inlineStr">
        <is>
          <t>계획관리지역 ,주택있는 대지</t>
        </is>
      </c>
      <c r="L926" s="6">
        <f>HYPERLINK("https://fin.land.naver.com/articles/2648106375", "매물Link")</f>
        <v/>
      </c>
      <c r="M926" s="6">
        <f>HYPERLINK("https://map.naver.com/p/search/연서면 봉암리 427-12", "지도Link")</f>
        <v/>
      </c>
      <c r="N926" s="6">
        <f>HYPERLINK("http://www.eum.go.kr/web/ar/lu/luLandDet.jsp?pnu=3611036033104270012&amp;isNoScr=script&amp;mode=search", "토지이음")</f>
        <v/>
      </c>
      <c r="O926" s="3" t="inlineStr">
        <is>
          <t>마메종</t>
        </is>
      </c>
      <c r="P926" s="4" t="n">
        <v>1</v>
      </c>
      <c r="Q926" s="4" t="n">
        <v>569.8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사다리형</t>
        </is>
      </c>
      <c r="V926" s="3" t="inlineStr">
        <is>
          <t>세로한면(가)</t>
        </is>
      </c>
    </row>
    <row r="927">
      <c r="A927" s="3" t="inlineStr">
        <is>
          <t>연서면 봉암리 448</t>
        </is>
      </c>
      <c r="B927" s="3" t="inlineStr">
        <is>
          <t>계획관리지역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13200</v>
      </c>
      <c r="G927" s="4" t="n">
        <v>132</v>
      </c>
      <c r="H927" s="4" t="n">
        <v>40</v>
      </c>
      <c r="I927" s="5" t="n">
        <v>330</v>
      </c>
      <c r="J927" s="5" t="n">
        <v>122.3</v>
      </c>
      <c r="K927" s="3" t="inlineStr">
        <is>
          <t>계획관리 2차선도로 인근 작은 텃밭 토지</t>
        </is>
      </c>
      <c r="L927" s="6">
        <f>HYPERLINK("https://fin.land.naver.com/articles/2649966247", "매물Link")</f>
        <v/>
      </c>
      <c r="M927" s="6">
        <f>HYPERLINK("https://map.naver.com/p/search/연서면 봉암리 448", "지도Link")</f>
        <v/>
      </c>
      <c r="N927" s="6">
        <f>HYPERLINK("http://www.eum.go.kr/web/ar/lu/luLandDet.jsp?pnu=3611036033104480000&amp;isNoScr=script&amp;mode=search", "토지이음")</f>
        <v/>
      </c>
      <c r="O927" s="3" t="inlineStr">
        <is>
          <t>지성</t>
        </is>
      </c>
      <c r="P927" s="4" t="n">
        <v>1</v>
      </c>
      <c r="Q927" s="4" t="n">
        <v>132.5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봉암리 45</t>
        </is>
      </c>
      <c r="B928" s="3" t="inlineStr">
        <is>
          <t>보전관리지역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670000</v>
      </c>
      <c r="G928" s="4" t="n">
        <v>8848</v>
      </c>
      <c r="H928" s="4" t="n">
        <v>2677</v>
      </c>
      <c r="I928" s="5" t="n">
        <v>250.3</v>
      </c>
      <c r="J928" s="5" t="n">
        <v>22.7</v>
      </c>
      <c r="K928" s="3" t="inlineStr">
        <is>
          <t>1번국도 바로옆 임야  고도제한없어요,</t>
        </is>
      </c>
      <c r="L928" s="6">
        <f>HYPERLINK("https://fin.land.naver.com/articles/2646790913", "매물Link")</f>
        <v/>
      </c>
      <c r="M928" s="6">
        <f>HYPERLINK("https://map.naver.com/p/search/연서면 봉암리 45", "지도Link")</f>
        <v/>
      </c>
      <c r="N928" s="6">
        <f>HYPERLINK("http://www.eum.go.kr/web/ar/lu/luLandDet.jsp?pnu=3611036033100450000&amp;isNoScr=script&amp;mode=search", "토지이음")</f>
        <v/>
      </c>
      <c r="O928" s="3" t="inlineStr">
        <is>
          <t>담뜰</t>
        </is>
      </c>
      <c r="P928" s="4" t="n">
        <v>2</v>
      </c>
      <c r="Q928" s="4" t="n">
        <v>8848</v>
      </c>
      <c r="R928" s="3" t="inlineStr">
        <is>
          <t>지정되지않음</t>
        </is>
      </c>
      <c r="S928" s="3" t="inlineStr">
        <is>
          <t>자연림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중로한면</t>
        </is>
      </c>
    </row>
    <row r="929">
      <c r="A929" s="3" t="inlineStr">
        <is>
          <t>연서면 봉암리 532-2</t>
        </is>
      </c>
      <c r="B929" s="3" t="inlineStr">
        <is>
          <t>계획관리지역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197000</v>
      </c>
      <c r="G929" s="4" t="n">
        <v>1183</v>
      </c>
      <c r="H929" s="4" t="n">
        <v>358</v>
      </c>
      <c r="I929" s="5" t="n">
        <v>550.3</v>
      </c>
      <c r="J929" s="5" t="n">
        <v>99.8</v>
      </c>
      <c r="K929" s="3" t="inlineStr">
        <is>
          <t>연기사거리 인근 건축 가능한 계획관리지역 투자목적 토지 급매매</t>
        </is>
      </c>
      <c r="L929" s="6">
        <f>HYPERLINK("https://fin.land.naver.com/articles/2650452623", "매물Link")</f>
        <v/>
      </c>
      <c r="M929" s="6">
        <f>HYPERLINK("https://map.naver.com/p/search/연서면 봉암리 532-2", "지도Link")</f>
        <v/>
      </c>
      <c r="N929" s="6">
        <f>HYPERLINK("http://www.eum.go.kr/web/ar/lu/luLandDet.jsp?pnu=3611036033105320002&amp;isNoScr=script&amp;mode=search", "토지이음")</f>
        <v/>
      </c>
      <c r="O929" s="3" t="inlineStr">
        <is>
          <t>(주)해뜰터</t>
        </is>
      </c>
      <c r="P929" s="4" t="n">
        <v>1</v>
      </c>
      <c r="Q929" s="4" t="n">
        <v>1183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세로한면(불)</t>
        </is>
      </c>
    </row>
    <row r="930">
      <c r="A930" s="3" t="inlineStr">
        <is>
          <t>연서면 봉암리 579-1</t>
        </is>
      </c>
      <c r="B930" s="3" t="inlineStr">
        <is>
          <t>계획관리지역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48000</v>
      </c>
      <c r="G930" s="4" t="n">
        <v>387</v>
      </c>
      <c r="H930" s="4" t="n">
        <v>117</v>
      </c>
      <c r="I930" s="5" t="n">
        <v>410.3</v>
      </c>
      <c r="J930" s="5" t="n">
        <v>107.9</v>
      </c>
      <c r="K930" s="3" t="inlineStr">
        <is>
          <t>행복도시 인근 나대지 이며 시세대비 저렴한매물</t>
        </is>
      </c>
      <c r="L930" s="6">
        <f>HYPERLINK("https://fin.land.naver.com/articles/2647763887", "매물Link")</f>
        <v/>
      </c>
      <c r="M930" s="6">
        <f>HYPERLINK("https://map.naver.com/p/search/연서면 봉암리 579-1", "지도Link")</f>
        <v/>
      </c>
      <c r="N930" s="6">
        <f>HYPERLINK("http://www.eum.go.kr/web/ar/lu/luLandDet.jsp?pnu=3611036033105790001&amp;isNoScr=script&amp;mode=search", "토지이음")</f>
        <v/>
      </c>
      <c r="O930" s="3" t="inlineStr">
        <is>
          <t>지호주식회사</t>
        </is>
      </c>
      <c r="P930" s="4" t="n">
        <v>1</v>
      </c>
      <c r="Q930" s="4" t="n">
        <v>387</v>
      </c>
      <c r="R930" s="3" t="inlineStr">
        <is>
          <t>지정되지않음</t>
        </is>
      </c>
      <c r="S930" s="3" t="inlineStr">
        <is>
          <t>단독</t>
        </is>
      </c>
      <c r="T930" s="3" t="inlineStr">
        <is>
          <t>완경사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연서면 봉암리 604-3</t>
        </is>
      </c>
      <c r="B931" s="3" t="inlineStr">
        <is>
          <t>계획관리지역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84000</v>
      </c>
      <c r="G931" s="4" t="n">
        <v>1061</v>
      </c>
      <c r="H931" s="4" t="n">
        <v>321</v>
      </c>
      <c r="I931" s="5" t="n">
        <v>261.7</v>
      </c>
      <c r="J931" s="5" t="n">
        <v>149.2</v>
      </c>
      <c r="K931" s="3" t="inlineStr">
        <is>
          <t>주거개발진흥지구, 성장관리계획구역,자연취락지구 정방형 급매</t>
        </is>
      </c>
      <c r="L931" s="6">
        <f>HYPERLINK("https://fin.land.naver.com/articles/2648051486", "매물Link")</f>
        <v/>
      </c>
      <c r="M931" s="6">
        <f>HYPERLINK("https://map.naver.com/p/search/연서면 봉암리 604-3", "지도Link")</f>
        <v/>
      </c>
      <c r="N931" s="6">
        <f>HYPERLINK("http://www.eum.go.kr/web/ar/lu/luLandDet.jsp?pnu=3611036033106040003&amp;isNoScr=script&amp;mode=search", "토지이음")</f>
        <v/>
      </c>
      <c r="O931" s="3" t="inlineStr">
        <is>
          <t>도안재벌</t>
        </is>
      </c>
      <c r="P931" s="4" t="n">
        <v>1</v>
      </c>
      <c r="Q931" s="4" t="n">
        <v>1061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정방형</t>
        </is>
      </c>
      <c r="V931" s="3" t="inlineStr">
        <is>
          <t>세로한면(가)</t>
        </is>
      </c>
    </row>
    <row r="932">
      <c r="A932" s="3" t="inlineStr">
        <is>
          <t>연서면 봉암리 620-22</t>
        </is>
      </c>
      <c r="B932" s="3" t="inlineStr">
        <is>
          <t>계획관리지역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80000</v>
      </c>
      <c r="G932" s="4" t="n">
        <v>524</v>
      </c>
      <c r="H932" s="4" t="n">
        <v>159</v>
      </c>
      <c r="I932" s="5" t="n">
        <v>503.1</v>
      </c>
      <c r="J932" s="5" t="n">
        <v>112.7</v>
      </c>
      <c r="K932" s="3" t="inlineStr">
        <is>
          <t>8차선으로 확장된 BRT 도로와 2차선변.와촌리국가 산단 중심 근교임.</t>
        </is>
      </c>
      <c r="L932" s="6">
        <f>HYPERLINK("https://fin.land.naver.com/articles/2647892832", "매물Link")</f>
        <v/>
      </c>
      <c r="M932" s="6">
        <f>HYPERLINK("https://map.naver.com/p/search/연서면 봉암리 620-22", "지도Link")</f>
        <v/>
      </c>
      <c r="N932" s="6">
        <f>HYPERLINK("http://www.eum.go.kr/web/ar/lu/luLandDet.jsp?pnu=3611036033106200022&amp;isNoScr=script&amp;mode=search", "토지이음")</f>
        <v/>
      </c>
      <c r="O932" s="3" t="inlineStr">
        <is>
          <t>꿈드림</t>
        </is>
      </c>
      <c r="P932" s="4" t="n">
        <v>1</v>
      </c>
      <c r="Q932" s="4" t="n">
        <v>428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657-13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80000</v>
      </c>
      <c r="G933" s="4" t="n">
        <v>1322</v>
      </c>
      <c r="H933" s="4" t="n">
        <v>400</v>
      </c>
      <c r="I933" s="5" t="n">
        <v>200</v>
      </c>
      <c r="J933" s="5" t="n">
        <v>38</v>
      </c>
      <c r="K933" s="3" t="inlineStr">
        <is>
          <t>봉암리 세종스마트산단 초입 2차선인접  위치 좋습니다</t>
        </is>
      </c>
      <c r="L933" s="6">
        <f>HYPERLINK("https://fin.land.naver.com/articles/2648077629", "매물Link")</f>
        <v/>
      </c>
      <c r="M933" s="6">
        <f>HYPERLINK("https://map.naver.com/p/search/연서면 봉암리 657-13", "지도Link")</f>
        <v/>
      </c>
      <c r="N933" s="6">
        <f>HYPERLINK("http://www.eum.go.kr/web/ar/lu/luLandDet.jsp?pnu=3611036033106570013&amp;isNoScr=script&amp;mode=search", "토지이음")</f>
        <v/>
      </c>
      <c r="O933" s="3" t="inlineStr">
        <is>
          <t>OK수</t>
        </is>
      </c>
      <c r="P933" s="4" t="n">
        <v>1</v>
      </c>
      <c r="Q933" s="4" t="n">
        <v>1322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676-10</t>
        </is>
      </c>
      <c r="B934" s="3" t="inlineStr">
        <is>
          <t>계획관리지역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50000</v>
      </c>
      <c r="G934" s="4" t="n">
        <v>330</v>
      </c>
      <c r="H934" s="4" t="n">
        <v>100</v>
      </c>
      <c r="I934" s="5" t="n">
        <v>500</v>
      </c>
      <c r="J934" s="5" t="n">
        <v>75</v>
      </c>
      <c r="K934" s="3" t="inlineStr">
        <is>
          <t>세종스마트국가산업단지 근접, 작은 근생용지나창고부지로 적합</t>
        </is>
      </c>
      <c r="L934" s="6">
        <f>HYPERLINK("https://fin.land.naver.com/articles/2646790177", "매물Link")</f>
        <v/>
      </c>
      <c r="M934" s="6">
        <f>HYPERLINK("https://map.naver.com/p/search/연서면 봉암리 676-10", "지도Link")</f>
        <v/>
      </c>
      <c r="N934" s="6">
        <f>HYPERLINK("http://www.eum.go.kr/web/ar/lu/luLandDet.jsp?pnu=3611036033106760010&amp;isNoScr=script&amp;mode=search", "토지이음")</f>
        <v/>
      </c>
      <c r="O934" s="3" t="inlineStr">
        <is>
          <t>담뜰</t>
        </is>
      </c>
      <c r="P934" s="4" t="n">
        <v>1</v>
      </c>
      <c r="Q934" s="4" t="n">
        <v>331</v>
      </c>
      <c r="R934" s="3" t="inlineStr">
        <is>
          <t>지정되지않음</t>
        </is>
      </c>
      <c r="S934" s="3" t="inlineStr">
        <is>
          <t>전창고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연서면 봉암리 677-2</t>
        </is>
      </c>
      <c r="B935" s="3" t="inlineStr">
        <is>
          <t>계획관리지역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400000</v>
      </c>
      <c r="G935" s="4" t="n">
        <v>2202</v>
      </c>
      <c r="H935" s="4" t="n">
        <v>666</v>
      </c>
      <c r="I935" s="5" t="n">
        <v>600.6</v>
      </c>
      <c r="J935" s="5" t="n">
        <v>116.6</v>
      </c>
      <c r="K935" s="3" t="inlineStr">
        <is>
          <t>세종스마트국가산업단지 근접 도로접근 용이</t>
        </is>
      </c>
      <c r="L935" s="6">
        <f>HYPERLINK("https://fin.land.naver.com/articles/2646904487", "매물Link")</f>
        <v/>
      </c>
      <c r="M935" s="6">
        <f>HYPERLINK("https://map.naver.com/p/search/연서면 봉암리 677-2", "지도Link")</f>
        <v/>
      </c>
      <c r="N935" s="6">
        <f>HYPERLINK("http://www.eum.go.kr/web/ar/lu/luLandDet.jsp?pnu=3611036033106770002&amp;isNoScr=script&amp;mode=search", "토지이음")</f>
        <v/>
      </c>
      <c r="O935" s="3" t="inlineStr">
        <is>
          <t>오송파라곤리치</t>
        </is>
      </c>
      <c r="P935" s="4" t="n">
        <v>1</v>
      </c>
      <c r="Q935" s="4" t="n">
        <v>655</v>
      </c>
      <c r="R935" s="3" t="inlineStr">
        <is>
          <t>지정되지않음</t>
        </is>
      </c>
      <c r="S935" s="3" t="inlineStr">
        <is>
          <t>주거기타</t>
        </is>
      </c>
      <c r="T935" s="3" t="inlineStr">
        <is>
          <t>평지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연서면 봉암리 705-2</t>
        </is>
      </c>
      <c r="B936" s="3" t="inlineStr">
        <is>
          <t>계획관리지역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680000</v>
      </c>
      <c r="G936" s="4" t="n">
        <v>4515</v>
      </c>
      <c r="H936" s="4" t="n">
        <v>1366</v>
      </c>
      <c r="I936" s="5" t="n">
        <v>497.8</v>
      </c>
      <c r="J936" s="5" t="n">
        <v>101.8</v>
      </c>
      <c r="K936" s="3" t="inlineStr">
        <is>
          <t>세종시  제일 핫한 명당지역 시세보다 저렴</t>
        </is>
      </c>
      <c r="L936" s="6">
        <f>HYPERLINK("https://fin.land.naver.com/articles/2648233463", "매물Link")</f>
        <v/>
      </c>
      <c r="M936" s="6">
        <f>HYPERLINK("https://map.naver.com/p/search/연서면 봉암리 705-2", "지도Link")</f>
        <v/>
      </c>
      <c r="N936" s="6">
        <f>HYPERLINK("http://www.eum.go.kr/web/ar/lu/luLandDet.jsp?pnu=3611036033107050002&amp;isNoScr=script&amp;mode=search", "토지이음")</f>
        <v/>
      </c>
      <c r="O936" s="3" t="inlineStr">
        <is>
          <t>엔터수진</t>
        </is>
      </c>
      <c r="P936" s="4" t="n">
        <v>1</v>
      </c>
      <c r="Q936" s="4" t="n">
        <v>665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세로한면(불)</t>
        </is>
      </c>
    </row>
    <row r="937">
      <c r="A937" s="3" t="inlineStr">
        <is>
          <t>연서면 봉암리 828</t>
        </is>
      </c>
      <c r="B937" s="3" t="inlineStr">
        <is>
          <t>농림지역</t>
        </is>
      </c>
      <c r="C937" s="3" t="inlineStr">
        <is>
          <t>전</t>
        </is>
      </c>
      <c r="D937" s="3" t="inlineStr">
        <is>
          <t>답</t>
        </is>
      </c>
      <c r="E937" s="3" t="inlineStr">
        <is>
          <t>매매</t>
        </is>
      </c>
      <c r="F937" s="4" t="n">
        <v>74000</v>
      </c>
      <c r="G937" s="4" t="n">
        <v>2023</v>
      </c>
      <c r="H937" s="4" t="n">
        <v>612</v>
      </c>
      <c r="I937" s="5" t="n">
        <v>120.9</v>
      </c>
      <c r="J937" s="5" t="n">
        <v>28.7</v>
      </c>
      <c r="K937" s="3" t="inlineStr">
        <is>
          <t>하우스시설 사용중인 봉암리 토지 북세종톨게이트 수혜지</t>
        </is>
      </c>
      <c r="L937" s="6">
        <f>HYPERLINK("https://fin.land.naver.com/articles/2650399290", "매물Link")</f>
        <v/>
      </c>
      <c r="M937" s="6">
        <f>HYPERLINK("https://map.naver.com/p/search/연서면 봉암리 828", "지도Link")</f>
        <v/>
      </c>
      <c r="N937" s="6">
        <f>HYPERLINK("http://www.eum.go.kr/web/ar/lu/luLandDet.jsp?pnu=3611036033108280000&amp;isNoScr=script&amp;mode=search", "토지이음")</f>
        <v/>
      </c>
      <c r="O937" s="3" t="inlineStr">
        <is>
          <t>지성</t>
        </is>
      </c>
      <c r="P937" s="4" t="n">
        <v>1</v>
      </c>
      <c r="Q937" s="4" t="n">
        <v>2023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봉암리 947</t>
        </is>
      </c>
      <c r="B938" s="3" t="inlineStr">
        <is>
          <t>농림지역</t>
        </is>
      </c>
      <c r="C938" s="3" t="inlineStr">
        <is>
          <t>전</t>
        </is>
      </c>
      <c r="D938" s="3" t="inlineStr">
        <is>
          <t>답</t>
        </is>
      </c>
      <c r="E938" s="3" t="inlineStr">
        <is>
          <t>매매</t>
        </is>
      </c>
      <c r="F938" s="4" t="n">
        <v>36400</v>
      </c>
      <c r="G938" s="4" t="n">
        <v>1094</v>
      </c>
      <c r="H938" s="4" t="n">
        <v>331</v>
      </c>
      <c r="I938" s="5" t="n">
        <v>110</v>
      </c>
      <c r="J938" s="5" t="n">
        <v>27.6</v>
      </c>
      <c r="K938" s="3" t="inlineStr">
        <is>
          <t>북세종톨게이트 수혜지 봉암리 토지</t>
        </is>
      </c>
      <c r="L938" s="6">
        <f>HYPERLINK("https://fin.land.naver.com/articles/2649964850", "매물Link")</f>
        <v/>
      </c>
      <c r="M938" s="6">
        <f>HYPERLINK("https://map.naver.com/p/search/연서면 봉암리 947", "지도Link")</f>
        <v/>
      </c>
      <c r="N938" s="6">
        <f>HYPERLINK("http://www.eum.go.kr/web/ar/lu/luLandDet.jsp?pnu=3611036033109470000&amp;isNoScr=script&amp;mode=search", "토지이음")</f>
        <v/>
      </c>
      <c r="O938" s="3" t="inlineStr">
        <is>
          <t>지성</t>
        </is>
      </c>
      <c r="P938" s="4" t="n">
        <v>1</v>
      </c>
      <c r="Q938" s="4" t="n">
        <v>1094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봉암리 996</t>
        </is>
      </c>
      <c r="B939" s="3" t="inlineStr">
        <is>
          <t>농림지역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97200</v>
      </c>
      <c r="G939" s="4" t="n">
        <v>3214</v>
      </c>
      <c r="H939" s="4" t="n">
        <v>972</v>
      </c>
      <c r="I939" s="5" t="n">
        <v>100</v>
      </c>
      <c r="J939" s="5" t="n">
        <v>25.6</v>
      </c>
      <c r="K939" s="3" t="inlineStr">
        <is>
          <t>세종 연서면 투자용 토지</t>
        </is>
      </c>
      <c r="L939" s="6">
        <f>HYPERLINK("https://fin.land.naver.com/articles/2646298669", "매물Link")</f>
        <v/>
      </c>
      <c r="M939" s="6">
        <f>HYPERLINK("https://map.naver.com/p/search/연서면 봉암리 996", "지도Link")</f>
        <v/>
      </c>
      <c r="N939" s="6">
        <f>HYPERLINK("http://www.eum.go.kr/web/ar/lu/luLandDet.jsp?pnu=3611036033109960000&amp;isNoScr=script&amp;mode=search", "토지이음")</f>
        <v/>
      </c>
      <c r="O939" s="3" t="inlineStr">
        <is>
          <t>(주)경진컨설팅</t>
        </is>
      </c>
      <c r="P939" s="4" t="n">
        <v>1</v>
      </c>
      <c r="Q939" s="4" t="n">
        <v>3214.4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세로한면(불)</t>
        </is>
      </c>
    </row>
    <row r="940">
      <c r="A940" s="3" t="inlineStr">
        <is>
          <t>연서면 부동리 108-1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200000</v>
      </c>
      <c r="G940" s="4" t="n">
        <v>3098</v>
      </c>
      <c r="H940" s="4" t="n">
        <v>937</v>
      </c>
      <c r="I940" s="5" t="n">
        <v>213.4</v>
      </c>
      <c r="J940" s="5" t="n">
        <v>68.5</v>
      </c>
      <c r="K940" s="3" t="inlineStr">
        <is>
          <t>국가산단에 근접한토지로 현재전이며 모양이 좋고 2면각지도로에 접함.</t>
        </is>
      </c>
      <c r="L940" s="6">
        <f>HYPERLINK("https://fin.land.naver.com/articles/2650181594", "매물Link")</f>
        <v/>
      </c>
      <c r="M940" s="6">
        <f>HYPERLINK("https://map.naver.com/p/search/연서면 부동리 108-1", "지도Link")</f>
        <v/>
      </c>
      <c r="N940" s="6">
        <f>HYPERLINK("http://www.eum.go.kr/web/ar/lu/luLandDet.jsp?pnu=3611036032101080001&amp;isNoScr=script&amp;mode=search", "토지이음")</f>
        <v/>
      </c>
      <c r="O940" s="3" t="inlineStr">
        <is>
          <t>세종리츠</t>
        </is>
      </c>
      <c r="P940" s="4" t="n">
        <v>1</v>
      </c>
      <c r="Q940" s="4" t="n">
        <v>2943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부동리 255-1</t>
        </is>
      </c>
      <c r="B941" s="3" t="inlineStr">
        <is>
          <t>계획관리지역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280000</v>
      </c>
      <c r="G941" s="4" t="n">
        <v>2645</v>
      </c>
      <c r="H941" s="4" t="n">
        <v>800</v>
      </c>
      <c r="I941" s="5" t="n">
        <v>350</v>
      </c>
      <c r="J941" s="5" t="n">
        <v>82.59999999999999</v>
      </c>
      <c r="K941" s="3" t="inlineStr">
        <is>
          <t>도로접한 근생용지,세종국가산업단지와 조치원일반산업단지 근접</t>
        </is>
      </c>
      <c r="L941" s="6">
        <f>HYPERLINK("https://fin.land.naver.com/articles/2650487993", "매물Link")</f>
        <v/>
      </c>
      <c r="M941" s="6">
        <f>HYPERLINK("https://map.naver.com/p/search/연서면 부동리 255-1", "지도Link")</f>
        <v/>
      </c>
      <c r="N941" s="6">
        <f>HYPERLINK("http://www.eum.go.kr/web/ar/lu/luLandDet.jsp?pnu=3611036032102550001&amp;isNoScr=script&amp;mode=search", "토지이음")</f>
        <v/>
      </c>
      <c r="O941" s="3" t="inlineStr">
        <is>
          <t>세종나라</t>
        </is>
      </c>
      <c r="P941" s="4" t="n">
        <v>1</v>
      </c>
      <c r="Q941" s="4" t="n">
        <v>2448</v>
      </c>
      <c r="R941" s="3" t="inlineStr">
        <is>
          <t>보전관리지역</t>
        </is>
      </c>
      <c r="S941" s="3" t="inlineStr">
        <is>
          <t>전기타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소로각지</t>
        </is>
      </c>
    </row>
    <row r="942">
      <c r="A942" s="3" t="inlineStr">
        <is>
          <t>연서면 부동리 65</t>
        </is>
      </c>
      <c r="B942" s="3" t="inlineStr">
        <is>
          <t>계획관리지역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138000</v>
      </c>
      <c r="G942" s="4" t="n">
        <v>1022</v>
      </c>
      <c r="H942" s="4" t="n">
        <v>309</v>
      </c>
      <c r="I942" s="5" t="n">
        <v>446.6</v>
      </c>
      <c r="J942" s="5" t="n">
        <v>55.8</v>
      </c>
      <c r="K942" s="3" t="inlineStr">
        <is>
          <t>계획관리 전</t>
        </is>
      </c>
      <c r="L942" s="6">
        <f>HYPERLINK("https://fin.land.naver.com/articles/2649731129", "매물Link")</f>
        <v/>
      </c>
      <c r="M942" s="6">
        <f>HYPERLINK("https://map.naver.com/p/search/연서면 부동리 65", "지도Link")</f>
        <v/>
      </c>
      <c r="N942" s="6">
        <f>HYPERLINK("http://www.eum.go.kr/web/ar/lu/luLandDet.jsp?pnu=3611036032100650000&amp;isNoScr=script&amp;mode=search", "토지이음")</f>
        <v/>
      </c>
      <c r="O942" s="3" t="inlineStr">
        <is>
          <t>세종몽땅</t>
        </is>
      </c>
      <c r="P942" s="4" t="n">
        <v>1</v>
      </c>
      <c r="Q942" s="4" t="n">
        <v>1022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연서면 부동리 65</t>
        </is>
      </c>
      <c r="B943" s="3" t="inlineStr">
        <is>
          <t>계획관리지역</t>
        </is>
      </c>
      <c r="C943" s="3" t="inlineStr">
        <is>
          <t>전</t>
        </is>
      </c>
      <c r="D943" s="3" t="inlineStr">
        <is>
          <t>전</t>
        </is>
      </c>
      <c r="E943" s="3" t="inlineStr">
        <is>
          <t>매매</t>
        </is>
      </c>
      <c r="F943" s="4" t="n">
        <v>138000</v>
      </c>
      <c r="G943" s="4" t="n">
        <v>1143</v>
      </c>
      <c r="H943" s="4" t="n">
        <v>346</v>
      </c>
      <c r="I943" s="5" t="n">
        <v>398.8</v>
      </c>
      <c r="J943" s="5" t="n">
        <v>55.8</v>
      </c>
      <c r="K943" s="3" t="inlineStr">
        <is>
          <t>조율가능 국가산단인근 귀한 계획관리 매물</t>
        </is>
      </c>
      <c r="L943" s="6">
        <f>HYPERLINK("https://fin.land.naver.com/articles/2648979075", "매물Link")</f>
        <v/>
      </c>
      <c r="M943" s="6">
        <f>HYPERLINK("https://map.naver.com/p/search/연서면 부동리 65", "지도Link")</f>
        <v/>
      </c>
      <c r="N943" s="6">
        <f>HYPERLINK("http://www.eum.go.kr/web/ar/lu/luLandDet.jsp?pnu=3611036032100650000&amp;isNoScr=script&amp;mode=search", "토지이음")</f>
        <v/>
      </c>
      <c r="O943" s="3" t="inlineStr">
        <is>
          <t>세종스타</t>
        </is>
      </c>
      <c r="P943" s="4" t="n">
        <v>1</v>
      </c>
      <c r="Q943" s="4" t="n">
        <v>1022</v>
      </c>
      <c r="R943" s="3" t="inlineStr">
        <is>
          <t>지정되지않음</t>
        </is>
      </c>
      <c r="S943" s="3" t="inlineStr">
        <is>
          <t>전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연서면 부동리 80-2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39000</v>
      </c>
      <c r="G944" s="4" t="n">
        <v>507</v>
      </c>
      <c r="H944" s="4" t="n">
        <v>153</v>
      </c>
      <c r="I944" s="5" t="n">
        <v>254.9</v>
      </c>
      <c r="J944" s="5" t="n">
        <v>86.40000000000001</v>
      </c>
      <c r="K944" s="3" t="inlineStr">
        <is>
          <t>국가산단인근,조치원산단인근,세종6생활권인근</t>
        </is>
      </c>
      <c r="L944" s="6">
        <f>HYPERLINK("https://fin.land.naver.com/articles/2647073219", "매물Link")</f>
        <v/>
      </c>
      <c r="M944" s="6">
        <f>HYPERLINK("https://map.naver.com/p/search/연서면 부동리 80-2", "지도Link")</f>
        <v/>
      </c>
      <c r="N944" s="6">
        <f>HYPERLINK("http://www.eum.go.kr/web/ar/lu/luLandDet.jsp?pnu=3611036032100800002&amp;isNoScr=script&amp;mode=search", "토지이음")</f>
        <v/>
      </c>
      <c r="O944" s="3" t="inlineStr">
        <is>
          <t>세종강남</t>
        </is>
      </c>
      <c r="P944" s="4" t="n">
        <v>1</v>
      </c>
      <c r="Q944" s="4" t="n">
        <v>507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평지</t>
        </is>
      </c>
      <c r="U944" s="3" t="inlineStr">
        <is>
          <t>사다리형</t>
        </is>
      </c>
      <c r="V944" s="3" t="inlineStr">
        <is>
          <t>세로한면(불)</t>
        </is>
      </c>
    </row>
    <row r="945">
      <c r="A945" s="3" t="inlineStr">
        <is>
          <t>연서면 성제리 100-1</t>
        </is>
      </c>
      <c r="B945" s="3" t="inlineStr">
        <is>
          <t>농림지역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76500</v>
      </c>
      <c r="G945" s="4" t="n">
        <v>2970</v>
      </c>
      <c r="H945" s="4" t="n">
        <v>898</v>
      </c>
      <c r="I945" s="5" t="n">
        <v>85.2</v>
      </c>
      <c r="J945" s="5" t="n">
        <v>26.6</v>
      </c>
      <c r="K945" s="3" t="inlineStr">
        <is>
          <t>연서면 성제리 스마트팜 및 대토, 농업경영체 등록 최적지 추천</t>
        </is>
      </c>
      <c r="L945" s="6">
        <f>HYPERLINK("https://fin.land.naver.com/articles/2651278989", "매물Link")</f>
        <v/>
      </c>
      <c r="M945" s="6">
        <f>HYPERLINK("https://map.naver.com/p/search/연서면 성제리 100-1", "지도Link")</f>
        <v/>
      </c>
      <c r="N945" s="6">
        <f>HYPERLINK("http://www.eum.go.kr/web/ar/lu/luLandDet.jsp?pnu=3611036023101000001&amp;isNoScr=script&amp;mode=search", "토지이음")</f>
        <v/>
      </c>
      <c r="O945" s="3" t="inlineStr">
        <is>
          <t>지성</t>
        </is>
      </c>
      <c r="P945" s="4" t="n">
        <v>1</v>
      </c>
      <c r="Q945" s="4" t="n">
        <v>2970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세로각지(가)</t>
        </is>
      </c>
    </row>
    <row r="946">
      <c r="A946" s="3" t="inlineStr">
        <is>
          <t>연서면 성제리 145-14</t>
        </is>
      </c>
      <c r="B946" s="3" t="inlineStr">
        <is>
          <t>자연녹지지역</t>
        </is>
      </c>
      <c r="C946" s="3" t="inlineStr">
        <is>
          <t>과수원</t>
        </is>
      </c>
      <c r="D946" s="3" t="inlineStr">
        <is>
          <t>과수원</t>
        </is>
      </c>
      <c r="E946" s="3" t="inlineStr">
        <is>
          <t>매매</t>
        </is>
      </c>
      <c r="F946" s="4" t="n">
        <v>205000</v>
      </c>
      <c r="G946" s="4" t="n">
        <v>2806</v>
      </c>
      <c r="H946" s="4" t="n">
        <v>849</v>
      </c>
      <c r="I946" s="5" t="n">
        <v>241.5</v>
      </c>
      <c r="J946" s="5" t="n">
        <v>56</v>
      </c>
      <c r="K946" s="3" t="inlineStr">
        <is>
          <t>국가산단인근 도로변 성장관리구역 과수원</t>
        </is>
      </c>
      <c r="L946" s="6">
        <f>HYPERLINK("https://fin.land.naver.com/articles/2650613233", "매물Link")</f>
        <v/>
      </c>
      <c r="M946" s="6">
        <f>HYPERLINK("https://map.naver.com/p/search/연서면 성제리 145-14", "지도Link")</f>
        <v/>
      </c>
      <c r="N946" s="6">
        <f>HYPERLINK("http://www.eum.go.kr/web/ar/lu/luLandDet.jsp?pnu=3611036023101450014&amp;isNoScr=script&amp;mode=search", "토지이음")</f>
        <v/>
      </c>
      <c r="O946" s="3" t="inlineStr">
        <is>
          <t>THE행복</t>
        </is>
      </c>
      <c r="P946" s="4" t="n">
        <v>1</v>
      </c>
      <c r="Q946" s="4" t="n">
        <v>57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세로한면(가)</t>
        </is>
      </c>
    </row>
    <row r="947">
      <c r="A947" s="3" t="inlineStr">
        <is>
          <t>연서면 성제리 145-14</t>
        </is>
      </c>
      <c r="B947" s="3" t="inlineStr">
        <is>
          <t>자연녹지지역</t>
        </is>
      </c>
      <c r="C947" s="3" t="inlineStr">
        <is>
          <t>과수원</t>
        </is>
      </c>
      <c r="D947" s="3" t="inlineStr">
        <is>
          <t>과수원</t>
        </is>
      </c>
      <c r="E947" s="3" t="inlineStr">
        <is>
          <t>매매</t>
        </is>
      </c>
      <c r="F947" s="4" t="n">
        <v>205000</v>
      </c>
      <c r="G947" s="4" t="n">
        <v>2806</v>
      </c>
      <c r="H947" s="4" t="n">
        <v>849</v>
      </c>
      <c r="I947" s="5" t="n">
        <v>241.5</v>
      </c>
      <c r="J947" s="5" t="n">
        <v>56</v>
      </c>
      <c r="K947" s="3" t="inlineStr">
        <is>
          <t>국가산단인근 도로접한 과수원 매매</t>
        </is>
      </c>
      <c r="L947" s="6">
        <f>HYPERLINK("https://fin.land.naver.com/articles/2647111799", "매물Link")</f>
        <v/>
      </c>
      <c r="M947" s="6">
        <f>HYPERLINK("https://map.naver.com/p/search/연서면 성제리 145-14", "지도Link")</f>
        <v/>
      </c>
      <c r="N947" s="6">
        <f>HYPERLINK("http://www.eum.go.kr/web/ar/lu/luLandDet.jsp?pnu=3611036023101450014&amp;isNoScr=script&amp;mode=search", "토지이음")</f>
        <v/>
      </c>
      <c r="O947" s="3" t="inlineStr">
        <is>
          <t>THE행복</t>
        </is>
      </c>
      <c r="P947" s="4" t="n">
        <v>1</v>
      </c>
      <c r="Q947" s="4" t="n">
        <v>57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평지</t>
        </is>
      </c>
      <c r="U947" s="3" t="inlineStr">
        <is>
          <t>세로장방</t>
        </is>
      </c>
      <c r="V947" s="3" t="inlineStr">
        <is>
          <t>세로한면(가)</t>
        </is>
      </c>
    </row>
    <row r="948">
      <c r="A948" s="3" t="inlineStr">
        <is>
          <t>연서면 성제리 158-6</t>
        </is>
      </c>
      <c r="B948" s="3" t="inlineStr">
        <is>
          <t>자연녹지지역</t>
        </is>
      </c>
      <c r="C948" s="3" t="inlineStr">
        <is>
          <t>창고용지</t>
        </is>
      </c>
      <c r="D948" s="3" t="inlineStr">
        <is>
          <t>창고용지</t>
        </is>
      </c>
      <c r="E948" s="3" t="inlineStr">
        <is>
          <t>매매</t>
        </is>
      </c>
      <c r="F948" s="4" t="n">
        <v>55000</v>
      </c>
      <c r="G948" s="4" t="n">
        <v>850</v>
      </c>
      <c r="H948" s="4" t="n">
        <v>257</v>
      </c>
      <c r="I948" s="5" t="n">
        <v>214</v>
      </c>
      <c r="J948" s="5" t="n">
        <v>63.8</v>
      </c>
      <c r="K948" s="3" t="inlineStr">
        <is>
          <t>포장도로에 접해있는 도시지역 자연녹지지역의 농업용창고 66㎡와 전850㎡</t>
        </is>
      </c>
      <c r="L948" s="6">
        <f>HYPERLINK("https://fin.land.naver.com/articles/2651472582", "매물Link")</f>
        <v/>
      </c>
      <c r="M948" s="6">
        <f>HYPERLINK("https://map.naver.com/p/search/연서면 성제리 158-6", "지도Link")</f>
        <v/>
      </c>
      <c r="N948" s="6">
        <f>HYPERLINK("http://www.eum.go.kr/web/ar/lu/luLandDet.jsp?pnu=3611036023101580006&amp;isNoScr=script&amp;mode=search", "토지이음")</f>
        <v/>
      </c>
      <c r="O948" s="3" t="inlineStr">
        <is>
          <t>스마일세종</t>
        </is>
      </c>
      <c r="P948" s="4" t="n">
        <v>1</v>
      </c>
      <c r="Q948" s="4" t="n">
        <v>440</v>
      </c>
      <c r="R948" s="3" t="inlineStr">
        <is>
          <t>지정되지않음</t>
        </is>
      </c>
      <c r="S948" s="3" t="inlineStr">
        <is>
          <t>전창고</t>
        </is>
      </c>
      <c r="T948" s="3" t="inlineStr">
        <is>
          <t>평지</t>
        </is>
      </c>
      <c r="U948" s="3" t="inlineStr">
        <is>
          <t>세로장방</t>
        </is>
      </c>
      <c r="V948" s="3" t="inlineStr">
        <is>
          <t>세로한면(가)</t>
        </is>
      </c>
    </row>
    <row r="949">
      <c r="A949" s="3" t="inlineStr">
        <is>
          <t>연서면 성제리 186-5</t>
        </is>
      </c>
      <c r="B949" s="3" t="inlineStr">
        <is>
          <t>농림지역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80000</v>
      </c>
      <c r="G949" s="4" t="n">
        <v>2045</v>
      </c>
      <c r="H949" s="4" t="n">
        <v>619</v>
      </c>
      <c r="I949" s="5" t="n">
        <v>129.2</v>
      </c>
      <c r="J949" s="5" t="n">
        <v>27.3</v>
      </c>
      <c r="K949" s="3" t="inlineStr">
        <is>
          <t>2차선 도로접 북세종IC인근</t>
        </is>
      </c>
      <c r="L949" s="6">
        <f>HYPERLINK("https://fin.land.naver.com/articles/2650478349", "매물Link")</f>
        <v/>
      </c>
      <c r="M949" s="6">
        <f>HYPERLINK("https://map.naver.com/p/search/연서면 성제리 186-5", "지도Link")</f>
        <v/>
      </c>
      <c r="N949" s="6">
        <f>HYPERLINK("http://www.eum.go.kr/web/ar/lu/luLandDet.jsp?pnu=3611036023101860005&amp;isNoScr=script&amp;mode=search", "토지이음")</f>
        <v/>
      </c>
      <c r="O949" s="3" t="inlineStr">
        <is>
          <t>가치잇는</t>
        </is>
      </c>
      <c r="P949" s="4" t="n">
        <v>3</v>
      </c>
      <c r="Q949" s="4" t="n">
        <v>2045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세로한면(가)</t>
        </is>
      </c>
    </row>
    <row r="950">
      <c r="A950" s="3" t="inlineStr">
        <is>
          <t>연서면 성제리 186-5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80500</v>
      </c>
      <c r="G950" s="4" t="n">
        <v>2045</v>
      </c>
      <c r="H950" s="4" t="n">
        <v>619</v>
      </c>
      <c r="I950" s="5" t="n">
        <v>130</v>
      </c>
      <c r="J950" s="5" t="n">
        <v>27.3</v>
      </c>
      <c r="K950" s="3" t="inlineStr">
        <is>
          <t>세종시근접 2차선도로접 토지,향후 개발가능성높은 토지입니다.</t>
        </is>
      </c>
      <c r="L950" s="6">
        <f>HYPERLINK("https://fin.land.naver.com/articles/2648033562", "매물Link")</f>
        <v/>
      </c>
      <c r="M950" s="6">
        <f>HYPERLINK("https://map.naver.com/p/search/연서면 성제리 186-5", "지도Link")</f>
        <v/>
      </c>
      <c r="N950" s="6">
        <f>HYPERLINK("http://www.eum.go.kr/web/ar/lu/luLandDet.jsp?pnu=3611036023101860005&amp;isNoScr=script&amp;mode=search", "토지이음")</f>
        <v/>
      </c>
      <c r="O950" s="3" t="inlineStr">
        <is>
          <t>담뜰</t>
        </is>
      </c>
      <c r="P950" s="4" t="n">
        <v>3</v>
      </c>
      <c r="Q950" s="4" t="n">
        <v>2045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세로한면(가)</t>
        </is>
      </c>
    </row>
    <row r="951">
      <c r="A951" s="3" t="inlineStr">
        <is>
          <t>연서면 성제리 186-5</t>
        </is>
      </c>
      <c r="B951" s="3" t="inlineStr">
        <is>
          <t>농림지역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200000</v>
      </c>
      <c r="G951" s="4" t="n">
        <v>5090</v>
      </c>
      <c r="H951" s="4" t="n">
        <v>1540</v>
      </c>
      <c r="I951" s="5" t="n">
        <v>129.9</v>
      </c>
      <c r="J951" s="5" t="n">
        <v>27.3</v>
      </c>
      <c r="K951" s="3" t="inlineStr">
        <is>
          <t>2차선도로접, 개발호재가 강한지역 투자가치최고</t>
        </is>
      </c>
      <c r="L951" s="6">
        <f>HYPERLINK("https://fin.land.naver.com/articles/2651043984", "매물Link")</f>
        <v/>
      </c>
      <c r="M951" s="6">
        <f>HYPERLINK("https://map.naver.com/p/search/연서면 성제리 186-5", "지도Link")</f>
        <v/>
      </c>
      <c r="N951" s="6">
        <f>HYPERLINK("http://www.eum.go.kr/web/ar/lu/luLandDet.jsp?pnu=3611036023101860005&amp;isNoScr=script&amp;mode=search", "토지이음")</f>
        <v/>
      </c>
      <c r="O951" s="3" t="inlineStr">
        <is>
          <t>원내</t>
        </is>
      </c>
      <c r="P951" s="4" t="n">
        <v>2</v>
      </c>
      <c r="Q951" s="4" t="n">
        <v>2045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세로한면(가)</t>
        </is>
      </c>
    </row>
    <row r="952">
      <c r="A952" s="3" t="inlineStr">
        <is>
          <t>연서면 성제리 186-6</t>
        </is>
      </c>
      <c r="B952" s="3" t="inlineStr">
        <is>
          <t>농림지역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119000</v>
      </c>
      <c r="G952" s="4" t="n">
        <v>3045</v>
      </c>
      <c r="H952" s="4" t="n">
        <v>921</v>
      </c>
      <c r="I952" s="5" t="n">
        <v>129.2</v>
      </c>
      <c r="J952" s="5" t="n">
        <v>27.3</v>
      </c>
      <c r="K952" s="3" t="inlineStr">
        <is>
          <t>연서면 성제리 2차선 도로에 접한 투자용 답, 2필지 합해서 매매도 가능</t>
        </is>
      </c>
      <c r="L952" s="6">
        <f>HYPERLINK("https://fin.land.naver.com/articles/2651454310", "매물Link")</f>
        <v/>
      </c>
      <c r="M952" s="6">
        <f>HYPERLINK("https://map.naver.com/p/search/연서면 성제리 186-6", "지도Link")</f>
        <v/>
      </c>
      <c r="N952" s="6">
        <f>HYPERLINK("http://www.eum.go.kr/web/ar/lu/luLandDet.jsp?pnu=3611036023101860006&amp;isNoScr=script&amp;mode=search", "토지이음")</f>
        <v/>
      </c>
      <c r="O952" s="3" t="inlineStr">
        <is>
          <t>스마일세종</t>
        </is>
      </c>
      <c r="P952" s="4" t="n">
        <v>3</v>
      </c>
      <c r="Q952" s="4" t="n">
        <v>3045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세로한면(가)</t>
        </is>
      </c>
    </row>
    <row r="953">
      <c r="A953" s="3" t="inlineStr">
        <is>
          <t>연서면 성제리 186-6</t>
        </is>
      </c>
      <c r="B953" s="3" t="inlineStr">
        <is>
          <t>농림지역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119700</v>
      </c>
      <c r="G953" s="4" t="n">
        <v>3045</v>
      </c>
      <c r="H953" s="4" t="n">
        <v>921</v>
      </c>
      <c r="I953" s="5" t="n">
        <v>130</v>
      </c>
      <c r="J953" s="5" t="n">
        <v>27.3</v>
      </c>
      <c r="K953" s="3" t="inlineStr">
        <is>
          <t>성제리토지 국가산업단지 인근지역 2차선접함</t>
        </is>
      </c>
      <c r="L953" s="6">
        <f>HYPERLINK("https://fin.land.naver.com/articles/2646713188", "매물Link")</f>
        <v/>
      </c>
      <c r="M953" s="6">
        <f>HYPERLINK("https://map.naver.com/p/search/연서면 성제리 186-6", "지도Link")</f>
        <v/>
      </c>
      <c r="N953" s="6">
        <f>HYPERLINK("http://www.eum.go.kr/web/ar/lu/luLandDet.jsp?pnu=3611036023101860006&amp;isNoScr=script&amp;mode=search", "토지이음")</f>
        <v/>
      </c>
      <c r="O953" s="3" t="inlineStr">
        <is>
          <t>빛나</t>
        </is>
      </c>
      <c r="P953" s="4" t="n">
        <v>2</v>
      </c>
      <c r="Q953" s="4" t="n">
        <v>3045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세로한면(가)</t>
        </is>
      </c>
    </row>
    <row r="954">
      <c r="A954" s="3" t="inlineStr">
        <is>
          <t>연서면 성제리 186-6</t>
        </is>
      </c>
      <c r="B954" s="3" t="inlineStr">
        <is>
          <t>농림지역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93000</v>
      </c>
      <c r="G954" s="4" t="n">
        <v>2045</v>
      </c>
      <c r="H954" s="4" t="n">
        <v>619</v>
      </c>
      <c r="I954" s="5" t="n">
        <v>150.2</v>
      </c>
      <c r="J954" s="5" t="n">
        <v>27.3</v>
      </c>
      <c r="K954" s="3" t="inlineStr">
        <is>
          <t>2차선 도로변 토지 매매</t>
        </is>
      </c>
      <c r="L954" s="6">
        <f>HYPERLINK("https://fin.land.naver.com/articles/2647481662", "매물Link")</f>
        <v/>
      </c>
      <c r="M954" s="6">
        <f>HYPERLINK("https://map.naver.com/p/search/연서면 성제리 186-6", "지도Link")</f>
        <v/>
      </c>
      <c r="N954" s="6">
        <f>HYPERLINK("http://www.eum.go.kr/web/ar/lu/luLandDet.jsp?pnu=3611036023101860006&amp;isNoScr=script&amp;mode=search", "토지이음")</f>
        <v/>
      </c>
      <c r="O954" s="3" t="inlineStr">
        <is>
          <t>주식회사넥서스</t>
        </is>
      </c>
      <c r="P954" s="4" t="n">
        <v>1</v>
      </c>
      <c r="Q954" s="4" t="n">
        <v>3045</v>
      </c>
      <c r="R954" s="3" t="inlineStr">
        <is>
          <t>지정되지않음</t>
        </is>
      </c>
      <c r="S954" s="3" t="inlineStr">
        <is>
          <t>답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세로한면(가)</t>
        </is>
      </c>
    </row>
    <row r="955">
      <c r="A955" s="3" t="inlineStr">
        <is>
          <t>연서면 성제리 188-3</t>
        </is>
      </c>
      <c r="B955" s="3" t="inlineStr">
        <is>
          <t>농림지역</t>
        </is>
      </c>
      <c r="C955" s="3" t="inlineStr">
        <is>
          <t>과수원</t>
        </is>
      </c>
      <c r="D955" s="3" t="inlineStr">
        <is>
          <t>과수원</t>
        </is>
      </c>
      <c r="E955" s="3" t="inlineStr">
        <is>
          <t>매매</t>
        </is>
      </c>
      <c r="F955" s="4" t="n">
        <v>69000</v>
      </c>
      <c r="G955" s="4" t="n">
        <v>1535</v>
      </c>
      <c r="H955" s="4" t="n">
        <v>464</v>
      </c>
      <c r="I955" s="5" t="n">
        <v>148.7</v>
      </c>
      <c r="J955" s="5" t="n">
        <v>26.8</v>
      </c>
      <c r="K955" s="3" t="inlineStr">
        <is>
          <t>연서면 성제리 지목이 과수원으로 마을 포장도로에 접해 있어 이용가치 높은</t>
        </is>
      </c>
      <c r="L955" s="6">
        <f>HYPERLINK("https://fin.land.naver.com/articles/2645998585", "매물Link")</f>
        <v/>
      </c>
      <c r="M955" s="6">
        <f>HYPERLINK("https://map.naver.com/p/search/연서면 성제리 188-3", "지도Link")</f>
        <v/>
      </c>
      <c r="N955" s="6">
        <f>HYPERLINK("http://www.eum.go.kr/web/ar/lu/luLandDet.jsp?pnu=3611036023101880003&amp;isNoScr=script&amp;mode=search", "토지이음")</f>
        <v/>
      </c>
      <c r="O955" s="3" t="inlineStr">
        <is>
          <t>스마일세종</t>
        </is>
      </c>
      <c r="P955" s="4" t="n">
        <v>1</v>
      </c>
      <c r="Q955" s="4" t="n">
        <v>1535</v>
      </c>
      <c r="R955" s="3" t="inlineStr">
        <is>
          <t>지정되지않음</t>
        </is>
      </c>
      <c r="S955" s="3" t="inlineStr">
        <is>
          <t>과수원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세로한면(가)</t>
        </is>
      </c>
    </row>
    <row r="956">
      <c r="A956" s="3" t="inlineStr">
        <is>
          <t>연서면 성제리 190-7</t>
        </is>
      </c>
      <c r="B956" s="3" t="inlineStr">
        <is>
          <t>농림지역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71900</v>
      </c>
      <c r="G956" s="4" t="n">
        <v>1980</v>
      </c>
      <c r="H956" s="4" t="n">
        <v>599</v>
      </c>
      <c r="I956" s="5" t="n">
        <v>120</v>
      </c>
      <c r="J956" s="5" t="n">
        <v>26.8</v>
      </c>
      <c r="K956" s="3" t="inlineStr">
        <is>
          <t>포장농로 접한 연서면 평탄 농업용 토지</t>
        </is>
      </c>
      <c r="L956" s="6">
        <f>HYPERLINK("https://fin.land.naver.com/articles/2647424202", "매물Link")</f>
        <v/>
      </c>
      <c r="M956" s="6">
        <f>HYPERLINK("https://map.naver.com/p/search/연서면 성제리 190-7", "지도Link")</f>
        <v/>
      </c>
      <c r="N956" s="6">
        <f>HYPERLINK("http://www.eum.go.kr/web/ar/lu/luLandDet.jsp?pnu=3611036023101900007&amp;isNoScr=script&amp;mode=search", "토지이음")</f>
        <v/>
      </c>
      <c r="O956" s="3" t="inlineStr">
        <is>
          <t>세종소담황금</t>
        </is>
      </c>
      <c r="P956" s="4" t="n">
        <v>1</v>
      </c>
      <c r="Q956" s="4" t="n">
        <v>1980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세로한면(가)</t>
        </is>
      </c>
    </row>
    <row r="957">
      <c r="A957" s="3" t="inlineStr">
        <is>
          <t>연서면 성제리 202-3</t>
        </is>
      </c>
      <c r="B957" s="3" t="inlineStr">
        <is>
          <t>농림지역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54000</v>
      </c>
      <c r="G957" s="4" t="n">
        <v>1790</v>
      </c>
      <c r="H957" s="4" t="n">
        <v>541</v>
      </c>
      <c r="I957" s="5" t="n">
        <v>99.8</v>
      </c>
      <c r="J957" s="5" t="n">
        <v>25</v>
      </c>
      <c r="K957" s="3" t="inlineStr">
        <is>
          <t>국가산단인근,농업 영위하면서 장기적으로는 가치 상승까지 가능</t>
        </is>
      </c>
      <c r="L957" s="6">
        <f>HYPERLINK("https://fin.land.naver.com/articles/2651384693", "매물Link")</f>
        <v/>
      </c>
      <c r="M957" s="6">
        <f>HYPERLINK("https://map.naver.com/p/search/연서면 성제리 202-3", "지도Link")</f>
        <v/>
      </c>
      <c r="N957" s="6">
        <f>HYPERLINK("http://www.eum.go.kr/web/ar/lu/luLandDet.jsp?pnu=3611036023102020003&amp;isNoScr=script&amp;mode=search", "토지이음")</f>
        <v/>
      </c>
      <c r="O957" s="3" t="inlineStr">
        <is>
          <t>가치잇는</t>
        </is>
      </c>
      <c r="P957" s="4" t="n">
        <v>2</v>
      </c>
      <c r="Q957" s="4" t="n">
        <v>1790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세로한면(가)</t>
        </is>
      </c>
    </row>
    <row r="958">
      <c r="A958" s="3" t="inlineStr">
        <is>
          <t>연서면 성제리 217-1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35000</v>
      </c>
      <c r="G958" s="4" t="n">
        <v>1430</v>
      </c>
      <c r="H958" s="4" t="n">
        <v>433</v>
      </c>
      <c r="I958" s="5" t="n">
        <v>80.8</v>
      </c>
      <c r="J958" s="5" t="n">
        <v>25.2</v>
      </c>
      <c r="K958" s="3" t="inlineStr">
        <is>
          <t>도로접한 농지</t>
        </is>
      </c>
      <c r="L958" s="6">
        <f>HYPERLINK("https://fin.land.naver.com/articles/2650856663", "매물Link")</f>
        <v/>
      </c>
      <c r="M958" s="6">
        <f>HYPERLINK("https://map.naver.com/p/search/연서면 성제리 217-1", "지도Link")</f>
        <v/>
      </c>
      <c r="N958" s="6">
        <f>HYPERLINK("http://www.eum.go.kr/web/ar/lu/luLandDet.jsp?pnu=3611036023102170001&amp;isNoScr=script&amp;mode=search", "토지이음")</f>
        <v/>
      </c>
      <c r="O958" s="3" t="inlineStr">
        <is>
          <t>세종대박</t>
        </is>
      </c>
      <c r="P958" s="4" t="n">
        <v>1</v>
      </c>
      <c r="Q958" s="4" t="n">
        <v>1430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성제리 273-5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180000</v>
      </c>
      <c r="G959" s="4" t="n">
        <v>1984</v>
      </c>
      <c r="H959" s="4" t="n">
        <v>600</v>
      </c>
      <c r="I959" s="5" t="n">
        <v>300</v>
      </c>
      <c r="J959" s="5" t="n">
        <v>55.9</v>
      </c>
      <c r="K959" s="3" t="inlineStr">
        <is>
          <t>투자가치 높은 도시지역내 과수원</t>
        </is>
      </c>
      <c r="L959" s="6">
        <f>HYPERLINK("https://fin.land.naver.com/articles/2646007792", "매물Link")</f>
        <v/>
      </c>
      <c r="M959" s="6">
        <f>HYPERLINK("https://map.naver.com/p/search/연서면 성제리 273-5", "지도Link")</f>
        <v/>
      </c>
      <c r="N959" s="6">
        <f>HYPERLINK("http://www.eum.go.kr/web/ar/lu/luLandDet.jsp?pnu=3611036023102730005&amp;isNoScr=script&amp;mode=search", "토지이음")</f>
        <v/>
      </c>
      <c r="O959" s="3" t="inlineStr">
        <is>
          <t>세종대박</t>
        </is>
      </c>
      <c r="P959" s="4" t="n">
        <v>2</v>
      </c>
      <c r="Q959" s="4" t="n">
        <v>1984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완경사</t>
        </is>
      </c>
      <c r="U959" s="3" t="inlineStr">
        <is>
          <t>사다리형</t>
        </is>
      </c>
      <c r="V959" s="3" t="inlineStr">
        <is>
          <t>세로한면(가)</t>
        </is>
      </c>
    </row>
    <row r="960">
      <c r="A960" s="3" t="inlineStr">
        <is>
          <t>연서면 성제리 273-6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180000</v>
      </c>
      <c r="G960" s="4" t="n">
        <v>1984</v>
      </c>
      <c r="H960" s="4" t="n">
        <v>600</v>
      </c>
      <c r="I960" s="5" t="n">
        <v>300</v>
      </c>
      <c r="J960" s="5" t="n">
        <v>55.9</v>
      </c>
      <c r="K960" s="3" t="inlineStr">
        <is>
          <t>미래가치 높은 관리 잘된 투자형 과수원</t>
        </is>
      </c>
      <c r="L960" s="6">
        <f>HYPERLINK("https://fin.land.naver.com/articles/2649629027", "매물Link")</f>
        <v/>
      </c>
      <c r="M960" s="6">
        <f>HYPERLINK("https://map.naver.com/p/search/연서면 성제리 273-6", "지도Link")</f>
        <v/>
      </c>
      <c r="N960" s="6">
        <f>HYPERLINK("http://www.eum.go.kr/web/ar/lu/luLandDet.jsp?pnu=3611036023102730006&amp;isNoScr=script&amp;mode=search", "토지이음")</f>
        <v/>
      </c>
      <c r="O960" s="3" t="inlineStr">
        <is>
          <t>가치잇는</t>
        </is>
      </c>
      <c r="P960" s="4" t="n">
        <v>1</v>
      </c>
      <c r="Q960" s="4" t="n">
        <v>1984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완경사</t>
        </is>
      </c>
      <c r="U960" s="3" t="inlineStr">
        <is>
          <t>사다리형</t>
        </is>
      </c>
      <c r="V960" s="3" t="inlineStr">
        <is>
          <t>세로한면(가)</t>
        </is>
      </c>
    </row>
    <row r="961">
      <c r="A961" s="3" t="inlineStr">
        <is>
          <t>연서면 성제리 273-9</t>
        </is>
      </c>
      <c r="B961" s="3" t="inlineStr">
        <is>
          <t>자연녹지지역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10000</v>
      </c>
      <c r="G961" s="4" t="n">
        <v>330</v>
      </c>
      <c r="H961" s="4" t="n">
        <v>100</v>
      </c>
      <c r="I961" s="5" t="n">
        <v>100</v>
      </c>
      <c r="J961" s="5" t="n">
        <v>39.5</v>
      </c>
      <c r="K961" s="3" t="inlineStr">
        <is>
          <t>nan</t>
        </is>
      </c>
      <c r="L961" s="6">
        <f>HYPERLINK("https://fin.land.naver.com/articles/2651153583", "매물Link")</f>
        <v/>
      </c>
      <c r="M961" s="6">
        <f>HYPERLINK("https://map.naver.com/p/search/연서면 성제리 273-9", "지도Link")</f>
        <v/>
      </c>
      <c r="N961" s="6">
        <f>HYPERLINK("http://www.eum.go.kr/web/ar/lu/luLandDet.jsp?pnu=3611036023102730009&amp;isNoScr=script&amp;mode=search", "토지이음")</f>
        <v/>
      </c>
      <c r="O961" s="3" t="inlineStr">
        <is>
          <t>미스터홈즈강남지사</t>
        </is>
      </c>
      <c r="P961" s="4" t="n">
        <v>1</v>
      </c>
      <c r="Q961" s="4" t="n">
        <v>3485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급경사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성제리 273-9</t>
        </is>
      </c>
      <c r="B962" s="3" t="inlineStr">
        <is>
          <t>자연녹지지역</t>
        </is>
      </c>
      <c r="C962" s="3" t="inlineStr">
        <is>
          <t>과수원</t>
        </is>
      </c>
      <c r="D962" s="3" t="inlineStr">
        <is>
          <t>과수원</t>
        </is>
      </c>
      <c r="E962" s="3" t="inlineStr">
        <is>
          <t>매매</t>
        </is>
      </c>
      <c r="F962" s="4" t="n">
        <v>19000</v>
      </c>
      <c r="G962" s="4" t="n">
        <v>730</v>
      </c>
      <c r="H962" s="4" t="n">
        <v>221</v>
      </c>
      <c r="I962" s="5" t="n">
        <v>86</v>
      </c>
      <c r="J962" s="5" t="n">
        <v>39.5</v>
      </c>
      <c r="K962" s="3" t="inlineStr">
        <is>
          <t>분할매도,실수요와 투자를 동시에.미래가치 충분</t>
        </is>
      </c>
      <c r="L962" s="6">
        <f>HYPERLINK("https://fin.land.naver.com/articles/2650336389", "매물Link")</f>
        <v/>
      </c>
      <c r="M962" s="6">
        <f>HYPERLINK("https://map.naver.com/p/search/연서면 성제리 273-9", "지도Link")</f>
        <v/>
      </c>
      <c r="N962" s="6">
        <f>HYPERLINK("http://www.eum.go.kr/web/ar/lu/luLandDet.jsp?pnu=3611036023102730009&amp;isNoScr=script&amp;mode=search", "토지이음")</f>
        <v/>
      </c>
      <c r="O962" s="3" t="inlineStr">
        <is>
          <t>가치잇는</t>
        </is>
      </c>
      <c r="P962" s="4" t="n">
        <v>2</v>
      </c>
      <c r="Q962" s="4" t="n">
        <v>3485</v>
      </c>
      <c r="R962" s="3" t="inlineStr">
        <is>
          <t>지정되지않음</t>
        </is>
      </c>
      <c r="S962" s="3" t="inlineStr">
        <is>
          <t>과수원</t>
        </is>
      </c>
      <c r="T962" s="3" t="inlineStr">
        <is>
          <t>급경사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성제리 280-9</t>
        </is>
      </c>
      <c r="B963" s="3" t="inlineStr">
        <is>
          <t>자연녹지지역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96000</v>
      </c>
      <c r="G963" s="4" t="n">
        <v>3193</v>
      </c>
      <c r="H963" s="4" t="n">
        <v>966</v>
      </c>
      <c r="I963" s="5" t="n">
        <v>99.40000000000001</v>
      </c>
      <c r="J963" s="5" t="n">
        <v>74.8</v>
      </c>
      <c r="K963" s="3" t="inlineStr">
        <is>
          <t>연서면행정복지센타 인근토지</t>
        </is>
      </c>
      <c r="L963" s="6">
        <f>HYPERLINK("https://fin.land.naver.com/articles/2648029985", "매물Link")</f>
        <v/>
      </c>
      <c r="M963" s="6">
        <f>HYPERLINK("https://map.naver.com/p/search/연서면 성제리 280-9", "지도Link")</f>
        <v/>
      </c>
      <c r="N963" s="6">
        <f>HYPERLINK("http://www.eum.go.kr/web/ar/lu/luLandDet.jsp?pnu=3611036023102800009&amp;isNoScr=script&amp;mode=search", "토지이음")</f>
        <v/>
      </c>
      <c r="O963" s="3" t="inlineStr">
        <is>
          <t>THE행복</t>
        </is>
      </c>
      <c r="P963" s="4" t="n">
        <v>1</v>
      </c>
      <c r="Q963" s="4" t="n">
        <v>2361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사다리형</t>
        </is>
      </c>
      <c r="V963" s="3" t="inlineStr">
        <is>
          <t>세로한면(가)</t>
        </is>
      </c>
    </row>
    <row r="964">
      <c r="A964" s="3" t="inlineStr">
        <is>
          <t>연서면 성제리 346-1</t>
        </is>
      </c>
      <c r="B964" s="3" t="inlineStr">
        <is>
          <t>자연녹지지역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240000</v>
      </c>
      <c r="G964" s="4" t="n">
        <v>1430</v>
      </c>
      <c r="H964" s="4" t="n">
        <v>433</v>
      </c>
      <c r="I964" s="5" t="n">
        <v>554.3</v>
      </c>
      <c r="J964" s="5" t="n">
        <v>260.8</v>
      </c>
      <c r="K964" s="3" t="inlineStr">
        <is>
          <t>토지가 도로 전면에 전부 접해있습니다. 주변 호재 많은 토지</t>
        </is>
      </c>
      <c r="L964" s="6">
        <f>HYPERLINK("https://fin.land.naver.com/articles/2651572889", "매물Link")</f>
        <v/>
      </c>
      <c r="M964" s="6">
        <f>HYPERLINK("https://map.naver.com/p/search/연서면 성제리 346-1", "지도Link")</f>
        <v/>
      </c>
      <c r="N964" s="6">
        <f>HYPERLINK("http://www.eum.go.kr/web/ar/lu/luLandDet.jsp?pnu=3611036023103460001&amp;isNoScr=script&amp;mode=search", "토지이음")</f>
        <v/>
      </c>
      <c r="O964" s="3" t="inlineStr">
        <is>
          <t>여기로</t>
        </is>
      </c>
      <c r="P964" s="4" t="n">
        <v>1</v>
      </c>
      <c r="Q964" s="4" t="n">
        <v>1430</v>
      </c>
      <c r="R964" s="3" t="inlineStr">
        <is>
          <t>지정되지않음</t>
        </is>
      </c>
      <c r="S964" s="3" t="inlineStr">
        <is>
          <t>업무용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소로한면</t>
        </is>
      </c>
    </row>
    <row r="965">
      <c r="A965" s="3" t="inlineStr">
        <is>
          <t>연서면 성제리 446</t>
        </is>
      </c>
      <c r="B965" s="3" t="inlineStr">
        <is>
          <t>자연녹지지역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82250</v>
      </c>
      <c r="G965" s="4" t="n">
        <v>1087</v>
      </c>
      <c r="H965" s="4" t="n">
        <v>329</v>
      </c>
      <c r="I965" s="5" t="n">
        <v>250</v>
      </c>
      <c r="J965" s="5" t="n">
        <v>65.90000000000001</v>
      </c>
      <c r="K965" s="3" t="inlineStr">
        <is>
          <t>집짓기 좋은 정방형 토지 매매</t>
        </is>
      </c>
      <c r="L965" s="6">
        <f>HYPERLINK("https://fin.land.naver.com/articles/2647111574", "매물Link")</f>
        <v/>
      </c>
      <c r="M965" s="6">
        <f>HYPERLINK("https://map.naver.com/p/search/연서면 성제리 446", "지도Link")</f>
        <v/>
      </c>
      <c r="N965" s="6">
        <f>HYPERLINK("http://www.eum.go.kr/web/ar/lu/luLandDet.jsp?pnu=3611036023104460000&amp;isNoScr=script&amp;mode=search", "토지이음")</f>
        <v/>
      </c>
      <c r="O965" s="3" t="inlineStr">
        <is>
          <t>THE행복</t>
        </is>
      </c>
      <c r="P965" s="4" t="n">
        <v>1</v>
      </c>
      <c r="Q965" s="4" t="n">
        <v>1088</v>
      </c>
      <c r="R965" s="3" t="inlineStr">
        <is>
          <t>지정되지않음</t>
        </is>
      </c>
      <c r="S965" s="3" t="inlineStr">
        <is>
          <t>과수원</t>
        </is>
      </c>
      <c r="T965" s="3" t="inlineStr">
        <is>
          <t>평지</t>
        </is>
      </c>
      <c r="U965" s="3" t="inlineStr">
        <is>
          <t>사다리형</t>
        </is>
      </c>
      <c r="V965" s="3" t="inlineStr">
        <is>
          <t>세로한면(가)</t>
        </is>
      </c>
    </row>
    <row r="966">
      <c r="A966" s="3" t="inlineStr">
        <is>
          <t>연서면 성제리 446</t>
        </is>
      </c>
      <c r="B966" s="3" t="inlineStr">
        <is>
          <t>자연녹지지역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80000</v>
      </c>
      <c r="G966" s="4" t="n">
        <v>1087</v>
      </c>
      <c r="H966" s="4" t="n">
        <v>329</v>
      </c>
      <c r="I966" s="5" t="n">
        <v>243.2</v>
      </c>
      <c r="J966" s="5" t="n">
        <v>65.90000000000001</v>
      </c>
      <c r="K966" s="3" t="inlineStr">
        <is>
          <t>국가산단인근  성장관리계획구역</t>
        </is>
      </c>
      <c r="L966" s="6">
        <f>HYPERLINK("https://fin.land.naver.com/articles/2648491546", "매물Link")</f>
        <v/>
      </c>
      <c r="M966" s="6">
        <f>HYPERLINK("https://map.naver.com/p/search/연서면 성제리 446", "지도Link")</f>
        <v/>
      </c>
      <c r="N966" s="6">
        <f>HYPERLINK("http://www.eum.go.kr/web/ar/lu/luLandDet.jsp?pnu=3611036023104460000&amp;isNoScr=script&amp;mode=search", "토지이음")</f>
        <v/>
      </c>
      <c r="O966" s="3" t="inlineStr">
        <is>
          <t>THE행복</t>
        </is>
      </c>
      <c r="P966" s="4" t="n">
        <v>1</v>
      </c>
      <c r="Q966" s="4" t="n">
        <v>1088</v>
      </c>
      <c r="R966" s="3" t="inlineStr">
        <is>
          <t>지정되지않음</t>
        </is>
      </c>
      <c r="S966" s="3" t="inlineStr">
        <is>
          <t>과수원</t>
        </is>
      </c>
      <c r="T966" s="3" t="inlineStr">
        <is>
          <t>평지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성제리 446</t>
        </is>
      </c>
      <c r="B967" s="3" t="inlineStr">
        <is>
          <t>자연녹지지역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80000</v>
      </c>
      <c r="G967" s="4" t="n">
        <v>1088</v>
      </c>
      <c r="H967" s="4" t="n">
        <v>329</v>
      </c>
      <c r="I967" s="5" t="n">
        <v>243.2</v>
      </c>
      <c r="J967" s="5" t="n">
        <v>65.90000000000001</v>
      </c>
      <c r="K967" s="3" t="inlineStr">
        <is>
          <t>코너 도시지역 자연녹지 밭 도심과 가까운 위치</t>
        </is>
      </c>
      <c r="L967" s="6">
        <f>HYPERLINK("https://fin.land.naver.com/articles/2648498507", "매물Link")</f>
        <v/>
      </c>
      <c r="M967" s="6">
        <f>HYPERLINK("https://map.naver.com/p/search/연서면 성제리 446", "지도Link")</f>
        <v/>
      </c>
      <c r="N967" s="6">
        <f>HYPERLINK("http://www.eum.go.kr/web/ar/lu/luLandDet.jsp?pnu=3611036023104460000&amp;isNoScr=script&amp;mode=search", "토지이음")</f>
        <v/>
      </c>
      <c r="O967" s="3" t="inlineStr">
        <is>
          <t>지성</t>
        </is>
      </c>
      <c r="P967" s="4" t="n">
        <v>1</v>
      </c>
      <c r="Q967" s="4" t="n">
        <v>1088</v>
      </c>
      <c r="R967" s="3" t="inlineStr">
        <is>
          <t>지정되지않음</t>
        </is>
      </c>
      <c r="S967" s="3" t="inlineStr">
        <is>
          <t>과수원</t>
        </is>
      </c>
      <c r="T967" s="3" t="inlineStr">
        <is>
          <t>평지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연서면 성제리 446-1</t>
        </is>
      </c>
      <c r="B968" s="3" t="inlineStr">
        <is>
          <t>자연녹지지역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16000</v>
      </c>
      <c r="G968" s="4" t="n">
        <v>330</v>
      </c>
      <c r="H968" s="4" t="n">
        <v>100</v>
      </c>
      <c r="I968" s="5" t="n">
        <v>160</v>
      </c>
      <c r="J968" s="5" t="n">
        <v>56.6</v>
      </c>
      <c r="K968" s="3" t="inlineStr">
        <is>
          <t>자연녹지 작은텃밭 도심 가까운 성제리 토지매매</t>
        </is>
      </c>
      <c r="L968" s="6">
        <f>HYPERLINK("https://fin.land.naver.com/articles/2646241377", "매물Link")</f>
        <v/>
      </c>
      <c r="M968" s="6">
        <f>HYPERLINK("https://map.naver.com/p/search/연서면 성제리 446-1", "지도Link")</f>
        <v/>
      </c>
      <c r="N968" s="6">
        <f>HYPERLINK("http://www.eum.go.kr/web/ar/lu/luLandDet.jsp?pnu=3611036023104460001&amp;isNoScr=script&amp;mode=search", "토지이음")</f>
        <v/>
      </c>
      <c r="O968" s="3" t="inlineStr">
        <is>
          <t>지성</t>
        </is>
      </c>
      <c r="P968" s="4" t="n">
        <v>1</v>
      </c>
      <c r="Q968" s="4" t="n">
        <v>330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맹지</t>
        </is>
      </c>
    </row>
    <row r="969">
      <c r="A969" s="3" t="inlineStr">
        <is>
          <t>연서면 성제리 448-5</t>
        </is>
      </c>
      <c r="B969" s="3" t="inlineStr">
        <is>
          <t>자연녹지지역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25000</v>
      </c>
      <c r="G969" s="4" t="n">
        <v>1213</v>
      </c>
      <c r="H969" s="4" t="n">
        <v>367</v>
      </c>
      <c r="I969" s="5" t="n">
        <v>68.09999999999999</v>
      </c>
      <c r="J969" s="5" t="n">
        <v>53.2</v>
      </c>
      <c r="K969" s="3" t="inlineStr">
        <is>
          <t>국가 산업 단지 근접투자 가치 용 토지</t>
        </is>
      </c>
      <c r="L969" s="6">
        <f>HYPERLINK("https://fin.land.naver.com/articles/2649511861", "매물Link")</f>
        <v/>
      </c>
      <c r="M969" s="6">
        <f>HYPERLINK("https://map.naver.com/p/search/연서면 성제리 448-5", "지도Link")</f>
        <v/>
      </c>
      <c r="N969" s="6">
        <f>HYPERLINK("http://www.eum.go.kr/web/ar/lu/luLandDet.jsp?pnu=3611036023104480005&amp;isNoScr=script&amp;mode=search", "토지이음")</f>
        <v/>
      </c>
      <c r="O969" s="3" t="inlineStr">
        <is>
          <t>현담</t>
        </is>
      </c>
      <c r="P969" s="4" t="n">
        <v>1</v>
      </c>
      <c r="Q969" s="4" t="n">
        <v>1213</v>
      </c>
      <c r="R969" s="3" t="inlineStr">
        <is>
          <t>지정되지않음</t>
        </is>
      </c>
      <c r="S969" s="3" t="inlineStr">
        <is>
          <t>전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성제리 452</t>
        </is>
      </c>
      <c r="B970" s="3" t="inlineStr">
        <is>
          <t>자연녹지지역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76400</v>
      </c>
      <c r="G970" s="4" t="n">
        <v>1259</v>
      </c>
      <c r="H970" s="4" t="n">
        <v>381</v>
      </c>
      <c r="I970" s="5" t="n">
        <v>200.5</v>
      </c>
      <c r="J970" s="5" t="n">
        <v>62.7</v>
      </c>
      <c r="K970" s="3" t="inlineStr">
        <is>
          <t>자연취락지구, 도로접 평탄농지, 전원형 활용 검토 유리</t>
        </is>
      </c>
      <c r="L970" s="6">
        <f>HYPERLINK("https://fin.land.naver.com/articles/2648857594", "매물Link")</f>
        <v/>
      </c>
      <c r="M970" s="6">
        <f>HYPERLINK("https://map.naver.com/p/search/연서면 성제리 452", "지도Link")</f>
        <v/>
      </c>
      <c r="N970" s="6">
        <f>HYPERLINK("http://www.eum.go.kr/web/ar/lu/luLandDet.jsp?pnu=3611036023104520000&amp;isNoScr=script&amp;mode=search", "토지이음")</f>
        <v/>
      </c>
      <c r="O970" s="3" t="inlineStr">
        <is>
          <t>세종소담황금</t>
        </is>
      </c>
      <c r="P970" s="4" t="n">
        <v>1</v>
      </c>
      <c r="Q970" s="4" t="n">
        <v>1261</v>
      </c>
      <c r="R970" s="3" t="inlineStr">
        <is>
          <t>지정되지않음</t>
        </is>
      </c>
      <c r="S970" s="3" t="inlineStr">
        <is>
          <t>과수원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성제리 455-8</t>
        </is>
      </c>
      <c r="B971" s="3" t="inlineStr">
        <is>
          <t>계획관리지역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109000</v>
      </c>
      <c r="G971" s="4" t="n">
        <v>1720</v>
      </c>
      <c r="H971" s="4" t="n">
        <v>520</v>
      </c>
      <c r="I971" s="5" t="n">
        <v>209.6</v>
      </c>
      <c r="J971" s="5" t="n">
        <v>48.9</v>
      </c>
      <c r="K971" s="3" t="inlineStr">
        <is>
          <t>계획관리 과수원배밭매매</t>
        </is>
      </c>
      <c r="L971" s="6">
        <f>HYPERLINK("https://fin.land.naver.com/articles/2648813382", "매물Link")</f>
        <v/>
      </c>
      <c r="M971" s="6">
        <f>HYPERLINK("https://map.naver.com/p/search/연서면 성제리 455-8", "지도Link")</f>
        <v/>
      </c>
      <c r="N971" s="6">
        <f>HYPERLINK("http://www.eum.go.kr/web/ar/lu/luLandDet.jsp?pnu=3611036023104550008&amp;isNoScr=script&amp;mode=search", "토지이음")</f>
        <v/>
      </c>
      <c r="O971" s="3" t="inlineStr">
        <is>
          <t>세종대박</t>
        </is>
      </c>
      <c r="P971" s="4" t="n">
        <v>1</v>
      </c>
      <c r="Q971" s="4" t="n">
        <v>1720</v>
      </c>
      <c r="R971" s="3" t="inlineStr">
        <is>
          <t>보전관리지역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성제리 586-14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112000</v>
      </c>
      <c r="G972" s="4" t="n">
        <v>418</v>
      </c>
      <c r="H972" s="4" t="n">
        <v>126</v>
      </c>
      <c r="I972" s="5" t="n">
        <v>888.9</v>
      </c>
      <c r="J972" s="5" t="n">
        <v>172</v>
      </c>
      <c r="K972" s="3" t="inlineStr">
        <is>
          <t>현재132.16제곱음식점운영.인접2필지병행매매가합1204제곱.코너각지</t>
        </is>
      </c>
      <c r="L972" s="6">
        <f>HYPERLINK("https://fin.land.naver.com/articles/2649411604", "매물Link")</f>
        <v/>
      </c>
      <c r="M972" s="6">
        <f>HYPERLINK("https://map.naver.com/p/search/연서면 성제리 586-14", "지도Link")</f>
        <v/>
      </c>
      <c r="N972" s="6">
        <f>HYPERLINK("http://www.eum.go.kr/web/ar/lu/luLandDet.jsp?pnu=3611036023105860014&amp;isNoScr=script&amp;mode=search", "토지이음")</f>
        <v/>
      </c>
      <c r="O972" s="3" t="inlineStr">
        <is>
          <t>돈방석</t>
        </is>
      </c>
      <c r="P972" s="4" t="n">
        <v>2</v>
      </c>
      <c r="Q972" s="4" t="n">
        <v>418</v>
      </c>
      <c r="R972" s="3" t="inlineStr">
        <is>
          <t>지정되지않음</t>
        </is>
      </c>
      <c r="S972" s="3" t="inlineStr">
        <is>
          <t>주상용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소로각지</t>
        </is>
      </c>
    </row>
    <row r="973">
      <c r="A973" s="3" t="inlineStr">
        <is>
          <t>연서면 성제리 586-14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112000</v>
      </c>
      <c r="G973" s="4" t="n">
        <v>1204</v>
      </c>
      <c r="H973" s="4" t="n">
        <v>364</v>
      </c>
      <c r="I973" s="5" t="n">
        <v>307.7</v>
      </c>
      <c r="J973" s="5" t="n">
        <v>172</v>
      </c>
      <c r="K973" s="3" t="inlineStr">
        <is>
          <t>상가건물있음,  성제네거리코너10m도로접합 계획관리지역 3필지일괄매매</t>
        </is>
      </c>
      <c r="L973" s="6">
        <f>HYPERLINK("https://fin.land.naver.com/articles/2648410546", "매물Link")</f>
        <v/>
      </c>
      <c r="M973" s="6">
        <f>HYPERLINK("https://map.naver.com/p/search/연서면 성제리 586-14", "지도Link")</f>
        <v/>
      </c>
      <c r="N973" s="6">
        <f>HYPERLINK("http://www.eum.go.kr/web/ar/lu/luLandDet.jsp?pnu=3611036023105860014&amp;isNoScr=script&amp;mode=search", "토지이음")</f>
        <v/>
      </c>
      <c r="O973" s="3" t="inlineStr">
        <is>
          <t>길음(02-983-0110)</t>
        </is>
      </c>
      <c r="P973" s="4" t="n">
        <v>1</v>
      </c>
      <c r="Q973" s="4" t="n">
        <v>418</v>
      </c>
      <c r="R973" s="3" t="inlineStr">
        <is>
          <t>지정되지않음</t>
        </is>
      </c>
      <c r="S973" s="3" t="inlineStr">
        <is>
          <t>주상용</t>
        </is>
      </c>
      <c r="T973" s="3" t="inlineStr">
        <is>
          <t>평지</t>
        </is>
      </c>
      <c r="U973" s="3" t="inlineStr">
        <is>
          <t>사다리형</t>
        </is>
      </c>
      <c r="V973" s="3" t="inlineStr">
        <is>
          <t>소로각지</t>
        </is>
      </c>
    </row>
    <row r="974">
      <c r="A974" s="3" t="inlineStr">
        <is>
          <t>연서면 성제리 77-1</t>
        </is>
      </c>
      <c r="B974" s="3" t="inlineStr">
        <is>
          <t>계획관리지역</t>
        </is>
      </c>
      <c r="C974" s="3" t="inlineStr">
        <is>
          <t>답</t>
        </is>
      </c>
      <c r="D974" s="3" t="inlineStr">
        <is>
          <t>답</t>
        </is>
      </c>
      <c r="E974" s="3" t="inlineStr">
        <is>
          <t>매매</t>
        </is>
      </c>
      <c r="F974" s="4" t="n">
        <v>310000</v>
      </c>
      <c r="G974" s="4" t="n">
        <v>5153</v>
      </c>
      <c r="H974" s="4" t="n">
        <v>1559</v>
      </c>
      <c r="I974" s="5" t="n">
        <v>198.8</v>
      </c>
      <c r="J974" s="5" t="n">
        <v>42.9</v>
      </c>
      <c r="K974" s="3" t="inlineStr">
        <is>
          <t>성제리 도로접한 해 잘들어오는 계획관리 토지</t>
        </is>
      </c>
      <c r="L974" s="6">
        <f>HYPERLINK("https://fin.land.naver.com/articles/2648593585", "매물Link")</f>
        <v/>
      </c>
      <c r="M974" s="6">
        <f>HYPERLINK("https://map.naver.com/p/search/연서면 성제리 77-1", "지도Link")</f>
        <v/>
      </c>
      <c r="N974" s="6">
        <f>HYPERLINK("http://www.eum.go.kr/web/ar/lu/luLandDet.jsp?pnu=3611036023100770001&amp;isNoScr=script&amp;mode=search", "토지이음")</f>
        <v/>
      </c>
      <c r="O974" s="3" t="inlineStr">
        <is>
          <t>엄지척</t>
        </is>
      </c>
      <c r="P974" s="4" t="n">
        <v>1</v>
      </c>
      <c r="Q974" s="4" t="n">
        <v>4760</v>
      </c>
      <c r="R974" s="3" t="inlineStr">
        <is>
          <t>지정되지않음</t>
        </is>
      </c>
      <c r="S974" s="3" t="inlineStr">
        <is>
          <t>답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세로한면(불)</t>
        </is>
      </c>
    </row>
    <row r="975">
      <c r="A975" s="3" t="inlineStr">
        <is>
          <t>연서면 성제리 산 28-1</t>
        </is>
      </c>
      <c r="B975" s="3" t="inlineStr">
        <is>
          <t>농림지역</t>
        </is>
      </c>
      <c r="C975" s="3" t="inlineStr">
        <is>
          <t>임야</t>
        </is>
      </c>
      <c r="D975" s="3" t="inlineStr">
        <is>
          <t>임야</t>
        </is>
      </c>
      <c r="E975" s="3" t="inlineStr">
        <is>
          <t>매매</t>
        </is>
      </c>
      <c r="F975" s="4" t="n">
        <v>215000</v>
      </c>
      <c r="G975" s="4" t="n">
        <v>40562</v>
      </c>
      <c r="H975" s="4" t="n">
        <v>12270</v>
      </c>
      <c r="I975" s="5" t="n">
        <v>17.5</v>
      </c>
      <c r="J975" s="5" t="n">
        <v>4.7</v>
      </c>
      <c r="K975" s="3" t="inlineStr">
        <is>
          <t>임야</t>
        </is>
      </c>
      <c r="L975" s="6">
        <f>HYPERLINK("https://fin.land.naver.com/articles/2647749190", "매물Link")</f>
        <v/>
      </c>
      <c r="M975" s="6">
        <f>HYPERLINK("https://map.naver.com/p/search/연서면 성제리 산 28-1", "지도Link")</f>
        <v/>
      </c>
      <c r="N975" s="6">
        <f>HYPERLINK("http://www.eum.go.kr/web/ar/lu/luLandDet.jsp?pnu=3611036023200280001&amp;isNoScr=script&amp;mode=search", "토지이음")</f>
        <v/>
      </c>
      <c r="O975" s="3" t="inlineStr">
        <is>
          <t>다산</t>
        </is>
      </c>
      <c r="P975" s="4" t="n">
        <v>1</v>
      </c>
      <c r="Q975" s="4" t="n">
        <v>40562</v>
      </c>
      <c r="R975" s="3" t="inlineStr">
        <is>
          <t>보전관리지역</t>
        </is>
      </c>
      <c r="S975" s="3" t="inlineStr">
        <is>
          <t>자연림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맹지</t>
        </is>
      </c>
    </row>
    <row r="976">
      <c r="A976" s="3" t="inlineStr">
        <is>
          <t>연서면 신대리 115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35000</v>
      </c>
      <c r="G976" s="4" t="n">
        <v>874</v>
      </c>
      <c r="H976" s="4" t="n">
        <v>264</v>
      </c>
      <c r="I976" s="5" t="n">
        <v>132.6</v>
      </c>
      <c r="J976" s="5" t="n">
        <v>91.59999999999999</v>
      </c>
      <c r="K976" s="3" t="inlineStr">
        <is>
          <t>연서면 신대리 계획관리 대지, 포장도로접, 조치원 국가산단 인근, 저렴</t>
        </is>
      </c>
      <c r="L976" s="6">
        <f>HYPERLINK("https://fin.land.naver.com/articles/2647404519", "매물Link")</f>
        <v/>
      </c>
      <c r="M976" s="6">
        <f>HYPERLINK("https://map.naver.com/p/search/연서면 신대리 115", "지도Link")</f>
        <v/>
      </c>
      <c r="N976" s="6">
        <f>HYPERLINK("http://www.eum.go.kr/web/ar/lu/luLandDet.jsp?pnu=3611036029101150000&amp;isNoScr=script&amp;mode=search", "토지이음")</f>
        <v/>
      </c>
      <c r="O976" s="3" t="inlineStr">
        <is>
          <t>스카이</t>
        </is>
      </c>
      <c r="P976" s="4" t="n">
        <v>1</v>
      </c>
      <c r="Q976" s="4" t="n">
        <v>874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신대리 124</t>
        </is>
      </c>
      <c r="B977" s="3" t="inlineStr">
        <is>
          <t>계획관리지역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120000</v>
      </c>
      <c r="G977" s="4" t="n">
        <v>2324</v>
      </c>
      <c r="H977" s="4" t="n">
        <v>703</v>
      </c>
      <c r="I977" s="5" t="n">
        <v>170.7</v>
      </c>
      <c r="J977" s="5" t="n">
        <v>50.2</v>
      </c>
      <c r="K977" s="3" t="inlineStr">
        <is>
          <t>급매, 대토용, 투자용</t>
        </is>
      </c>
      <c r="L977" s="6">
        <f>HYPERLINK("https://fin.land.naver.com/articles/2648500554", "매물Link")</f>
        <v/>
      </c>
      <c r="M977" s="6">
        <f>HYPERLINK("https://map.naver.com/p/search/연서면 신대리 124", "지도Link")</f>
        <v/>
      </c>
      <c r="N977" s="6">
        <f>HYPERLINK("http://www.eum.go.kr/web/ar/lu/luLandDet.jsp?pnu=3611036029101240000&amp;isNoScr=script&amp;mode=search", "토지이음")</f>
        <v/>
      </c>
      <c r="O977" s="3" t="inlineStr">
        <is>
          <t>고운동리치세종</t>
        </is>
      </c>
      <c r="P977" s="4" t="n">
        <v>1</v>
      </c>
      <c r="Q977" s="4" t="n">
        <v>2324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연서면 신대리 192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163000</v>
      </c>
      <c r="G978" s="4" t="n">
        <v>2569</v>
      </c>
      <c r="H978" s="4" t="n">
        <v>777</v>
      </c>
      <c r="I978" s="5" t="n">
        <v>209.8</v>
      </c>
      <c r="J978" s="5" t="n">
        <v>62</v>
      </c>
      <c r="K978" s="3" t="inlineStr">
        <is>
          <t>계획관리지역, 성장관리구역, 도로접합, 세종국가산단인근</t>
        </is>
      </c>
      <c r="L978" s="6">
        <f>HYPERLINK("https://fin.land.naver.com/articles/2650333044", "매물Link")</f>
        <v/>
      </c>
      <c r="M978" s="6">
        <f>HYPERLINK("https://map.naver.com/p/search/연서면 신대리 192", "지도Link")</f>
        <v/>
      </c>
      <c r="N978" s="6">
        <f>HYPERLINK("http://www.eum.go.kr/web/ar/lu/luLandDet.jsp?pnu=3611036029101920000&amp;isNoScr=script&amp;mode=search", "토지이음")</f>
        <v/>
      </c>
      <c r="O978" s="3" t="inlineStr">
        <is>
          <t>세종일조</t>
        </is>
      </c>
      <c r="P978" s="4" t="n">
        <v>1</v>
      </c>
      <c r="Q978" s="4" t="n">
        <v>2569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소로한면</t>
        </is>
      </c>
    </row>
    <row r="979">
      <c r="A979" s="3" t="inlineStr">
        <is>
          <t>연서면 신대리 320</t>
        </is>
      </c>
      <c r="B979" s="3" t="inlineStr">
        <is>
          <t>생산관리지역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45800</v>
      </c>
      <c r="G979" s="4" t="n">
        <v>2013</v>
      </c>
      <c r="H979" s="4" t="n">
        <v>609</v>
      </c>
      <c r="I979" s="5" t="n">
        <v>75.2</v>
      </c>
      <c r="J979" s="5" t="n">
        <v>23.9</v>
      </c>
      <c r="K979" s="3" t="inlineStr">
        <is>
          <t>투자하기 좋은 토지</t>
        </is>
      </c>
      <c r="L979" s="6">
        <f>HYPERLINK("https://fin.land.naver.com/articles/2646792074", "매물Link")</f>
        <v/>
      </c>
      <c r="M979" s="6">
        <f>HYPERLINK("https://map.naver.com/p/search/연서면 신대리 320", "지도Link")</f>
        <v/>
      </c>
      <c r="N979" s="6">
        <f>HYPERLINK("http://www.eum.go.kr/web/ar/lu/luLandDet.jsp?pnu=3611036029103200000&amp;isNoScr=script&amp;mode=search", "토지이음")</f>
        <v/>
      </c>
      <c r="O979" s="3" t="inlineStr">
        <is>
          <t>이로운 사무소</t>
        </is>
      </c>
      <c r="P979" s="4" t="n">
        <v>1</v>
      </c>
      <c r="Q979" s="4" t="n">
        <v>2013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완경사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신대리 323</t>
        </is>
      </c>
      <c r="B980" s="3" t="inlineStr">
        <is>
          <t>생산관리지역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600000</v>
      </c>
      <c r="G980" s="4" t="n">
        <v>10277</v>
      </c>
      <c r="H980" s="4" t="n">
        <v>3109</v>
      </c>
      <c r="I980" s="5" t="n">
        <v>193</v>
      </c>
      <c r="J980" s="5" t="n">
        <v>22.7</v>
      </c>
      <c r="K980" s="3" t="inlineStr">
        <is>
          <t>귀한 연서면 토지이며 인접한 3필지 일괄 매매.분할매도가능</t>
        </is>
      </c>
      <c r="L980" s="6">
        <f>HYPERLINK("https://fin.land.naver.com/articles/2651569592", "매물Link")</f>
        <v/>
      </c>
      <c r="M980" s="6">
        <f>HYPERLINK("https://map.naver.com/p/search/연서면 신대리 323", "지도Link")</f>
        <v/>
      </c>
      <c r="N980" s="6">
        <f>HYPERLINK("http://www.eum.go.kr/web/ar/lu/luLandDet.jsp?pnu=3611036029103230000&amp;isNoScr=script&amp;mode=search", "토지이음")</f>
        <v/>
      </c>
      <c r="O980" s="3" t="inlineStr">
        <is>
          <t>생생</t>
        </is>
      </c>
      <c r="P980" s="4" t="n">
        <v>1</v>
      </c>
      <c r="Q980" s="4" t="n">
        <v>2188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연서면 신대리 327-5</t>
        </is>
      </c>
      <c r="B981" s="3" t="inlineStr">
        <is>
          <t>생산관리지역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22500</v>
      </c>
      <c r="G981" s="4" t="n">
        <v>941</v>
      </c>
      <c r="H981" s="4" t="n">
        <v>285</v>
      </c>
      <c r="I981" s="5" t="n">
        <v>78.90000000000001</v>
      </c>
      <c r="J981" s="5" t="n">
        <v>17.8</v>
      </c>
      <c r="K981" s="3" t="inlineStr">
        <is>
          <t>국가산단예정지 인접,전원생활과 미래가치를 동시에</t>
        </is>
      </c>
      <c r="L981" s="6">
        <f>HYPERLINK("https://fin.land.naver.com/articles/2648185485", "매물Link")</f>
        <v/>
      </c>
      <c r="M981" s="6">
        <f>HYPERLINK("https://map.naver.com/p/search/연서면 신대리 327-5", "지도Link")</f>
        <v/>
      </c>
      <c r="N981" s="6">
        <f>HYPERLINK("http://www.eum.go.kr/web/ar/lu/luLandDet.jsp?pnu=3611036029103270005&amp;isNoScr=script&amp;mode=search", "토지이음")</f>
        <v/>
      </c>
      <c r="O981" s="3" t="inlineStr">
        <is>
          <t>가치잇는</t>
        </is>
      </c>
      <c r="P981" s="4" t="n">
        <v>1</v>
      </c>
      <c r="Q981" s="4" t="n">
        <v>757</v>
      </c>
      <c r="R981" s="3" t="inlineStr">
        <is>
          <t>지정되지않음</t>
        </is>
      </c>
      <c r="S981" s="3" t="inlineStr">
        <is>
          <t>답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맹지</t>
        </is>
      </c>
    </row>
    <row r="982">
      <c r="A982" s="3" t="inlineStr">
        <is>
          <t>연서면 신대리 365-3</t>
        </is>
      </c>
      <c r="B982" s="3" t="inlineStr">
        <is>
          <t>계획관리지역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58000</v>
      </c>
      <c r="G982" s="4" t="n">
        <v>1927</v>
      </c>
      <c r="H982" s="4" t="n">
        <v>583</v>
      </c>
      <c r="I982" s="5" t="n">
        <v>99.5</v>
      </c>
      <c r="J982" s="5" t="n">
        <v>47.8</v>
      </c>
      <c r="K982" s="3" t="inlineStr">
        <is>
          <t>연서면 신대리에 있는 계획관리지역 대지 3필지를 일괄 매매합니다</t>
        </is>
      </c>
      <c r="L982" s="6">
        <f>HYPERLINK("https://fin.land.naver.com/articles/2650207850", "매물Link")</f>
        <v/>
      </c>
      <c r="M982" s="6">
        <f>HYPERLINK("https://map.naver.com/p/search/연서면 신대리 365-3", "지도Link")</f>
        <v/>
      </c>
      <c r="N982" s="6">
        <f>HYPERLINK("http://www.eum.go.kr/web/ar/lu/luLandDet.jsp?pnu=3611036029103650003&amp;isNoScr=script&amp;mode=search", "토지이음")</f>
        <v/>
      </c>
      <c r="O982" s="3" t="inlineStr">
        <is>
          <t>스마일세종</t>
        </is>
      </c>
      <c r="P982" s="4" t="n">
        <v>1</v>
      </c>
      <c r="Q982" s="4" t="n">
        <v>853</v>
      </c>
      <c r="R982" s="3" t="inlineStr">
        <is>
          <t>지정되지않음</t>
        </is>
      </c>
      <c r="S982" s="3" t="inlineStr">
        <is>
          <t>단독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연서면 신대리 395-10</t>
        </is>
      </c>
      <c r="B983" s="3" t="inlineStr">
        <is>
          <t>보전관리지역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30000</v>
      </c>
      <c r="G983" s="4" t="n">
        <v>720</v>
      </c>
      <c r="H983" s="4" t="n">
        <v>218</v>
      </c>
      <c r="I983" s="5" t="n">
        <v>137.6</v>
      </c>
      <c r="J983" s="5" t="n">
        <v>66.59999999999999</v>
      </c>
      <c r="K983" s="3" t="inlineStr">
        <is>
          <t>고복저수지근처 지목대지 건축 허가 가능.</t>
        </is>
      </c>
      <c r="L983" s="6">
        <f>HYPERLINK("https://fin.land.naver.com/articles/2650858228", "매물Link")</f>
        <v/>
      </c>
      <c r="M983" s="6">
        <f>HYPERLINK("https://map.naver.com/p/search/연서면 신대리 395-10", "지도Link")</f>
        <v/>
      </c>
      <c r="N983" s="6">
        <f>HYPERLINK("http://www.eum.go.kr/web/ar/lu/luLandDet.jsp?pnu=3611036029103950010&amp;isNoScr=script&amp;mode=search", "토지이음")</f>
        <v/>
      </c>
      <c r="O983" s="3" t="inlineStr">
        <is>
          <t>신한국</t>
        </is>
      </c>
      <c r="P983" s="4" t="n">
        <v>1</v>
      </c>
      <c r="Q983" s="4" t="n">
        <v>678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완경사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신대리 395-10</t>
        </is>
      </c>
      <c r="B984" s="3" t="inlineStr">
        <is>
          <t>보전관리지역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29700</v>
      </c>
      <c r="G984" s="4" t="n">
        <v>678</v>
      </c>
      <c r="H984" s="4" t="n">
        <v>205</v>
      </c>
      <c r="I984" s="5" t="n">
        <v>144.9</v>
      </c>
      <c r="J984" s="5" t="n">
        <v>66.59999999999999</v>
      </c>
      <c r="K984" s="3" t="inlineStr">
        <is>
          <t>고복저수지인근 전원주택 단지 교통편리</t>
        </is>
      </c>
      <c r="L984" s="6">
        <f>HYPERLINK("https://fin.land.naver.com/articles/2648855823", "매물Link")</f>
        <v/>
      </c>
      <c r="M984" s="6">
        <f>HYPERLINK("https://map.naver.com/p/search/연서면 신대리 395-10", "지도Link")</f>
        <v/>
      </c>
      <c r="N984" s="6">
        <f>HYPERLINK("http://www.eum.go.kr/web/ar/lu/luLandDet.jsp?pnu=3611036029103950010&amp;isNoScr=script&amp;mode=search", "토지이음")</f>
        <v/>
      </c>
      <c r="O984" s="3" t="inlineStr">
        <is>
          <t>신한국</t>
        </is>
      </c>
      <c r="P984" s="4" t="n">
        <v>1</v>
      </c>
      <c r="Q984" s="4" t="n">
        <v>678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신대리 395-62</t>
        </is>
      </c>
      <c r="B985" s="3" t="inlineStr">
        <is>
          <t>보전관리지역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57250</v>
      </c>
      <c r="G985" s="4" t="n">
        <v>582</v>
      </c>
      <c r="H985" s="4" t="n">
        <v>176</v>
      </c>
      <c r="I985" s="5" t="n">
        <v>325.3</v>
      </c>
      <c r="J985" s="5" t="n">
        <v>66.59999999999999</v>
      </c>
      <c r="K985" s="3" t="inlineStr">
        <is>
          <t>개발 완료된 전원주택지. 즉시 건축 가능. 대지 582  도로 175</t>
        </is>
      </c>
      <c r="L985" s="6">
        <f>HYPERLINK("https://fin.land.naver.com/articles/2651427202", "매물Link")</f>
        <v/>
      </c>
      <c r="M985" s="6">
        <f>HYPERLINK("https://map.naver.com/p/search/연서면 신대리 395-62", "지도Link")</f>
        <v/>
      </c>
      <c r="N985" s="6">
        <f>HYPERLINK("http://www.eum.go.kr/web/ar/lu/luLandDet.jsp?pnu=3611036029103950062&amp;isNoScr=script&amp;mode=search", "토지이음")</f>
        <v/>
      </c>
      <c r="O985" s="3" t="inlineStr">
        <is>
          <t>세종소담114</t>
        </is>
      </c>
      <c r="P985" s="4" t="n">
        <v>2</v>
      </c>
      <c r="Q985" s="4" t="n">
        <v>582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완경사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연서면 신대리 395-62</t>
        </is>
      </c>
      <c r="B986" s="3" t="inlineStr">
        <is>
          <t>보전관리지역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57250</v>
      </c>
      <c r="G986" s="4" t="n">
        <v>757</v>
      </c>
      <c r="H986" s="4" t="n">
        <v>229</v>
      </c>
      <c r="I986" s="5" t="n">
        <v>250</v>
      </c>
      <c r="J986" s="5" t="n">
        <v>66.59999999999999</v>
      </c>
      <c r="K986" s="3" t="inlineStr">
        <is>
          <t>대지 즉시 건축가능 전원주택부지</t>
        </is>
      </c>
      <c r="L986" s="6">
        <f>HYPERLINK("https://fin.land.naver.com/articles/2651395854", "매물Link")</f>
        <v/>
      </c>
      <c r="M986" s="6">
        <f>HYPERLINK("https://map.naver.com/p/search/연서면 신대리 395-62", "지도Link")</f>
        <v/>
      </c>
      <c r="N986" s="6">
        <f>HYPERLINK("http://www.eum.go.kr/web/ar/lu/luLandDet.jsp?pnu=3611036029103950062&amp;isNoScr=script&amp;mode=search", "토지이음")</f>
        <v/>
      </c>
      <c r="O986" s="3" t="inlineStr">
        <is>
          <t>로데오상가</t>
        </is>
      </c>
      <c r="P986" s="4" t="n">
        <v>1</v>
      </c>
      <c r="Q986" s="4" t="n">
        <v>582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완경사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연서면 신대리 412-25</t>
        </is>
      </c>
      <c r="B987" s="3" t="inlineStr">
        <is>
          <t>보전관리지역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26000</v>
      </c>
      <c r="G987" s="4" t="n">
        <v>542</v>
      </c>
      <c r="H987" s="4" t="n">
        <v>164</v>
      </c>
      <c r="I987" s="5" t="n">
        <v>158.5</v>
      </c>
      <c r="J987" s="5" t="n">
        <v>66.59999999999999</v>
      </c>
      <c r="K987" s="3" t="inlineStr">
        <is>
          <t>급매추천. 개발 완료된 전원주택지. 전용 542  도로 120</t>
        </is>
      </c>
      <c r="L987" s="6">
        <f>HYPERLINK("https://fin.land.naver.com/articles/2651427480", "매물Link")</f>
        <v/>
      </c>
      <c r="M987" s="6">
        <f>HYPERLINK("https://map.naver.com/p/search/연서면 신대리 412-25", "지도Link")</f>
        <v/>
      </c>
      <c r="N987" s="6">
        <f>HYPERLINK("http://www.eum.go.kr/web/ar/lu/luLandDet.jsp?pnu=3611036029104120025&amp;isNoScr=script&amp;mode=search", "토지이음")</f>
        <v/>
      </c>
      <c r="O987" s="3" t="inlineStr">
        <is>
          <t>세종소담114</t>
        </is>
      </c>
      <c r="P987" s="4" t="n">
        <v>2</v>
      </c>
      <c r="Q987" s="4" t="n">
        <v>542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완경사</t>
        </is>
      </c>
      <c r="U987" s="3" t="inlineStr">
        <is>
          <t>세로장방</t>
        </is>
      </c>
      <c r="V987" s="3" t="inlineStr">
        <is>
          <t>세로한면(가)</t>
        </is>
      </c>
    </row>
    <row r="988">
      <c r="A988" s="3" t="inlineStr">
        <is>
          <t>연서면 신대리 412-28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24000</v>
      </c>
      <c r="G988" s="4" t="n">
        <v>563</v>
      </c>
      <c r="H988" s="4" t="n">
        <v>170</v>
      </c>
      <c r="I988" s="5" t="n">
        <v>141.2</v>
      </c>
      <c r="J988" s="5" t="n">
        <v>66.59999999999999</v>
      </c>
      <c r="K988" s="3" t="inlineStr">
        <is>
          <t>nan</t>
        </is>
      </c>
      <c r="L988" s="6">
        <f>HYPERLINK("https://fin.land.naver.com/articles/2646534350", "매물Link")</f>
        <v/>
      </c>
      <c r="M988" s="6">
        <f>HYPERLINK("https://map.naver.com/p/search/연서면 신대리 412-28", "지도Link")</f>
        <v/>
      </c>
      <c r="N988" s="6">
        <f>HYPERLINK("http://www.eum.go.kr/web/ar/lu/luLandDet.jsp?pnu=3611036029104120028&amp;isNoScr=script&amp;mode=search", "토지이음")</f>
        <v/>
      </c>
      <c r="O988" s="3" t="inlineStr">
        <is>
          <t>은성</t>
        </is>
      </c>
      <c r="P988" s="4" t="n">
        <v>1</v>
      </c>
      <c r="Q988" s="4" t="n">
        <v>563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완경사</t>
        </is>
      </c>
      <c r="U988" s="3" t="inlineStr">
        <is>
          <t>사다리형</t>
        </is>
      </c>
      <c r="V988" s="3" t="inlineStr">
        <is>
          <t>세로한면(가)</t>
        </is>
      </c>
    </row>
    <row r="989">
      <c r="A989" s="3" t="inlineStr">
        <is>
          <t>연서면 신대리 447-3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20000</v>
      </c>
      <c r="G989" s="4" t="n">
        <v>1316</v>
      </c>
      <c r="H989" s="4" t="n">
        <v>398</v>
      </c>
      <c r="I989" s="5" t="n">
        <v>50.3</v>
      </c>
      <c r="J989" s="5" t="n">
        <v>39.3</v>
      </c>
      <c r="K989" s="3" t="inlineStr">
        <is>
          <t>nan</t>
        </is>
      </c>
      <c r="L989" s="6">
        <f>HYPERLINK("https://fin.land.naver.com/articles/2648596717", "매물Link")</f>
        <v/>
      </c>
      <c r="M989" s="6">
        <f>HYPERLINK("https://map.naver.com/p/search/연서면 신대리 447-3", "지도Link")</f>
        <v/>
      </c>
      <c r="N989" s="6">
        <f>HYPERLINK("http://www.eum.go.kr/web/ar/lu/luLandDet.jsp?pnu=3611036029104470003&amp;isNoScr=script&amp;mode=search", "토지이음")</f>
        <v/>
      </c>
      <c r="O989" s="3" t="inlineStr">
        <is>
          <t>효성</t>
        </is>
      </c>
      <c r="P989" s="4" t="n">
        <v>1</v>
      </c>
      <c r="Q989" s="4" t="n">
        <v>1316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신대리 454-4</t>
        </is>
      </c>
      <c r="B990" s="3" t="inlineStr">
        <is>
          <t>농림지역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31000</v>
      </c>
      <c r="G990" s="4" t="n">
        <v>1121</v>
      </c>
      <c r="H990" s="4" t="n">
        <v>339</v>
      </c>
      <c r="I990" s="5" t="n">
        <v>91.40000000000001</v>
      </c>
      <c r="J990" s="5" t="n">
        <v>22.9</v>
      </c>
      <c r="K990" s="3" t="inlineStr">
        <is>
          <t>고복 저수지와 전원 마을 단지 사이 신대리 토지매매</t>
        </is>
      </c>
      <c r="L990" s="6">
        <f>HYPERLINK("https://fin.land.naver.com/articles/2651085963", "매물Link")</f>
        <v/>
      </c>
      <c r="M990" s="6">
        <f>HYPERLINK("https://map.naver.com/p/search/연서면 신대리 454-4", "지도Link")</f>
        <v/>
      </c>
      <c r="N990" s="6">
        <f>HYPERLINK("http://www.eum.go.kr/web/ar/lu/luLandDet.jsp?pnu=3611036029104540004&amp;isNoScr=script&amp;mode=search", "토지이음")</f>
        <v/>
      </c>
      <c r="O990" s="3" t="inlineStr">
        <is>
          <t>지성</t>
        </is>
      </c>
      <c r="P990" s="4" t="n">
        <v>1</v>
      </c>
      <c r="Q990" s="4" t="n">
        <v>1121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평지</t>
        </is>
      </c>
      <c r="U990" s="3" t="inlineStr">
        <is>
          <t>가로장방</t>
        </is>
      </c>
      <c r="V990" s="3" t="inlineStr">
        <is>
          <t>세로한면(가)</t>
        </is>
      </c>
    </row>
    <row r="991">
      <c r="A991" s="3" t="inlineStr">
        <is>
          <t>연서면 신대리 456-2</t>
        </is>
      </c>
      <c r="B991" s="3" t="inlineStr">
        <is>
          <t>농림지역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39800</v>
      </c>
      <c r="G991" s="4" t="n">
        <v>2632</v>
      </c>
      <c r="H991" s="4" t="n">
        <v>796</v>
      </c>
      <c r="I991" s="5" t="n">
        <v>50</v>
      </c>
      <c r="J991" s="5" t="n">
        <v>22.9</v>
      </c>
      <c r="K991" s="3" t="inlineStr">
        <is>
          <t>nan</t>
        </is>
      </c>
      <c r="L991" s="6">
        <f>HYPERLINK("https://fin.land.naver.com/articles/2648596996", "매물Link")</f>
        <v/>
      </c>
      <c r="M991" s="6">
        <f>HYPERLINK("https://map.naver.com/p/search/연서면 신대리 456-2", "지도Link")</f>
        <v/>
      </c>
      <c r="N991" s="6">
        <f>HYPERLINK("http://www.eum.go.kr/web/ar/lu/luLandDet.jsp?pnu=3611036029104560002&amp;isNoScr=script&amp;mode=search", "토지이음")</f>
        <v/>
      </c>
      <c r="O991" s="3" t="inlineStr">
        <is>
          <t>효성</t>
        </is>
      </c>
      <c r="P991" s="4" t="n">
        <v>1</v>
      </c>
      <c r="Q991" s="4" t="n">
        <v>2632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연서면 신대리 458-1</t>
        </is>
      </c>
      <c r="B992" s="3" t="inlineStr">
        <is>
          <t>보전관리지역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427000</v>
      </c>
      <c r="G992" s="4" t="n">
        <v>10463</v>
      </c>
      <c r="H992" s="4" t="n">
        <v>3165</v>
      </c>
      <c r="I992" s="5" t="n">
        <v>134.9</v>
      </c>
      <c r="J992" s="5" t="n">
        <v>63.8</v>
      </c>
      <c r="K992" s="3" t="inlineStr">
        <is>
          <t>세종 국가산단 인근 가치 상승지역 토지 매매</t>
        </is>
      </c>
      <c r="L992" s="6">
        <f>HYPERLINK("https://fin.land.naver.com/articles/2648383274", "매물Link")</f>
        <v/>
      </c>
      <c r="M992" s="6">
        <f>HYPERLINK("https://map.naver.com/p/search/연서면 신대리 458-1", "지도Link")</f>
        <v/>
      </c>
      <c r="N992" s="6">
        <f>HYPERLINK("http://www.eum.go.kr/web/ar/lu/luLandDet.jsp?pnu=3611036029104580001&amp;isNoScr=script&amp;mode=search", "토지이음")</f>
        <v/>
      </c>
      <c r="O992" s="3" t="inlineStr">
        <is>
          <t>세종비전행정사</t>
        </is>
      </c>
      <c r="P992" s="4" t="n">
        <v>1</v>
      </c>
      <c r="Q992" s="4" t="n">
        <v>4780</v>
      </c>
      <c r="R992" s="3" t="inlineStr">
        <is>
          <t>지정되지않음</t>
        </is>
      </c>
      <c r="S992" s="3" t="inlineStr">
        <is>
          <t>주거기타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신대리 469-44</t>
        </is>
      </c>
      <c r="B993" s="3" t="inlineStr">
        <is>
          <t>계획관리지역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41800</v>
      </c>
      <c r="G993" s="4" t="n">
        <v>540</v>
      </c>
      <c r="H993" s="4" t="n">
        <v>163</v>
      </c>
      <c r="I993" s="5" t="n">
        <v>256.4</v>
      </c>
      <c r="J993" s="5" t="n">
        <v>66</v>
      </c>
      <c r="K993" s="3" t="inlineStr">
        <is>
          <t>남향,전원주택지추천,계획관리,고복저수지인접</t>
        </is>
      </c>
      <c r="L993" s="6">
        <f>HYPERLINK("https://fin.land.naver.com/articles/2647028639", "매물Link")</f>
        <v/>
      </c>
      <c r="M993" s="6">
        <f>HYPERLINK("https://map.naver.com/p/search/연서면 신대리 469-44", "지도Link")</f>
        <v/>
      </c>
      <c r="N993" s="6">
        <f>HYPERLINK("http://www.eum.go.kr/web/ar/lu/luLandDet.jsp?pnu=3611036029104690044&amp;isNoScr=script&amp;mode=search", "토지이음")</f>
        <v/>
      </c>
      <c r="O993" s="3" t="inlineStr">
        <is>
          <t>따뜻한</t>
        </is>
      </c>
      <c r="P993" s="4" t="n">
        <v>1</v>
      </c>
      <c r="Q993" s="4" t="n">
        <v>540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완경사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신대리 49-9</t>
        </is>
      </c>
      <c r="B994" s="3" t="inlineStr">
        <is>
          <t>농림지역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60000</v>
      </c>
      <c r="G994" s="4" t="n">
        <v>2512</v>
      </c>
      <c r="H994" s="4" t="n">
        <v>760</v>
      </c>
      <c r="I994" s="5" t="n">
        <v>78.90000000000001</v>
      </c>
      <c r="J994" s="5" t="n">
        <v>31.4</v>
      </c>
      <c r="K994" s="3" t="inlineStr">
        <is>
          <t>nan</t>
        </is>
      </c>
      <c r="L994" s="6">
        <f>HYPERLINK("https://fin.land.naver.com/articles/2649736710", "매물Link")</f>
        <v/>
      </c>
      <c r="M994" s="6">
        <f>HYPERLINK("https://map.naver.com/p/search/연서면 신대리 49-9", "지도Link")</f>
        <v/>
      </c>
      <c r="N994" s="6">
        <f>HYPERLINK("http://www.eum.go.kr/web/ar/lu/luLandDet.jsp?pnu=3611036029100490009&amp;isNoScr=script&amp;mode=search", "토지이음")</f>
        <v/>
      </c>
      <c r="O994" s="3" t="inlineStr">
        <is>
          <t>세종몽땅</t>
        </is>
      </c>
      <c r="P994" s="4" t="n">
        <v>1</v>
      </c>
      <c r="Q994" s="4" t="n">
        <v>2512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세로한면(가)</t>
        </is>
      </c>
    </row>
    <row r="995">
      <c r="A995" s="3" t="inlineStr">
        <is>
          <t>연서면 신대리 49-9</t>
        </is>
      </c>
      <c r="B995" s="3" t="inlineStr">
        <is>
          <t>농림지역</t>
        </is>
      </c>
      <c r="C995" s="3" t="inlineStr">
        <is>
          <t>답</t>
        </is>
      </c>
      <c r="D995" s="3" t="inlineStr">
        <is>
          <t>대</t>
        </is>
      </c>
      <c r="E995" s="3" t="inlineStr">
        <is>
          <t>매매</t>
        </is>
      </c>
      <c r="F995" s="4" t="n">
        <v>60000</v>
      </c>
      <c r="G995" s="4" t="n">
        <v>2512</v>
      </c>
      <c r="H995" s="4" t="n">
        <v>760</v>
      </c>
      <c r="I995" s="5" t="n">
        <v>78.90000000000001</v>
      </c>
      <c r="J995" s="5" t="n">
        <v>31.4</v>
      </c>
      <c r="K995" s="3" t="inlineStr">
        <is>
          <t>농지 매물 연서면 신대리 2,512㎡ 답 매매</t>
        </is>
      </c>
      <c r="L995" s="6">
        <f>HYPERLINK("https://fin.land.naver.com/articles/2651605840", "매물Link")</f>
        <v/>
      </c>
      <c r="M995" s="6">
        <f>HYPERLINK("https://map.naver.com/p/search/연서면 신대리 49-9", "지도Link")</f>
        <v/>
      </c>
      <c r="N995" s="6">
        <f>HYPERLINK("http://www.eum.go.kr/web/ar/lu/luLandDet.jsp?pnu=3611036029100490009&amp;isNoScr=script&amp;mode=search", "토지이음")</f>
        <v/>
      </c>
      <c r="O995" s="3" t="inlineStr">
        <is>
          <t>세종몽땅</t>
        </is>
      </c>
      <c r="P995" s="4" t="n">
        <v>1</v>
      </c>
      <c r="Q995" s="4" t="n">
        <v>2512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세로한면(가)</t>
        </is>
      </c>
    </row>
    <row r="996">
      <c r="A996" s="3" t="inlineStr">
        <is>
          <t>연서면 신대리 537</t>
        </is>
      </c>
      <c r="B996" s="3" t="inlineStr">
        <is>
          <t>계획관리지역</t>
        </is>
      </c>
      <c r="C996" s="3" t="inlineStr">
        <is>
          <t>전</t>
        </is>
      </c>
      <c r="D996" s="3" t="inlineStr">
        <is>
          <t>대</t>
        </is>
      </c>
      <c r="E996" s="3" t="inlineStr">
        <is>
          <t>매매</t>
        </is>
      </c>
      <c r="F996" s="4" t="n">
        <v>60350</v>
      </c>
      <c r="G996" s="4" t="n">
        <v>1147</v>
      </c>
      <c r="H996" s="4" t="n">
        <v>347</v>
      </c>
      <c r="I996" s="5" t="n">
        <v>173.9</v>
      </c>
      <c r="J996" s="5" t="n">
        <v>38.1</v>
      </c>
      <c r="K996" s="3" t="inlineStr">
        <is>
          <t>2차선도로에 접해있으며 인접 도로 여건이 양호</t>
        </is>
      </c>
      <c r="L996" s="6">
        <f>HYPERLINK("https://fin.land.naver.com/articles/2648621797", "매물Link")</f>
        <v/>
      </c>
      <c r="M996" s="6">
        <f>HYPERLINK("https://map.naver.com/p/search/연서면 신대리 537", "지도Link")</f>
        <v/>
      </c>
      <c r="N996" s="6">
        <f>HYPERLINK("http://www.eum.go.kr/web/ar/lu/luLandDet.jsp?pnu=3611036029105370000&amp;isNoScr=script&amp;mode=search", "토지이음")</f>
        <v/>
      </c>
      <c r="O996" s="3" t="inlineStr">
        <is>
          <t>더KEY</t>
        </is>
      </c>
      <c r="P996" s="4" t="n">
        <v>1</v>
      </c>
      <c r="Q996" s="4" t="n">
        <v>1174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소로한면</t>
        </is>
      </c>
    </row>
    <row r="997">
      <c r="A997" s="3" t="inlineStr">
        <is>
          <t>연서면 신대리 75-1</t>
        </is>
      </c>
      <c r="B997" s="3" t="inlineStr">
        <is>
          <t>농림지역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120000</v>
      </c>
      <c r="G997" s="4" t="n">
        <v>4973</v>
      </c>
      <c r="H997" s="4" t="n">
        <v>1504</v>
      </c>
      <c r="I997" s="5" t="n">
        <v>79.8</v>
      </c>
      <c r="J997" s="5" t="n">
        <v>31.7</v>
      </c>
      <c r="K997" s="3" t="inlineStr">
        <is>
          <t>연서면 국가 산단 인근 2차선접한 토지 급매</t>
        </is>
      </c>
      <c r="L997" s="6">
        <f>HYPERLINK("https://fin.land.naver.com/articles/2648418688", "매물Link")</f>
        <v/>
      </c>
      <c r="M997" s="6">
        <f>HYPERLINK("https://map.naver.com/p/search/연서면 신대리 75-1", "지도Link")</f>
        <v/>
      </c>
      <c r="N997" s="6">
        <f>HYPERLINK("http://www.eum.go.kr/web/ar/lu/luLandDet.jsp?pnu=3611036029100750001&amp;isNoScr=script&amp;mode=search", "토지이음")</f>
        <v/>
      </c>
      <c r="O997" s="3" t="inlineStr">
        <is>
          <t>(주)경진컨설팅</t>
        </is>
      </c>
      <c r="P997" s="4" t="n">
        <v>1</v>
      </c>
      <c r="Q997" s="4" t="n">
        <v>1928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신대리 75-1</t>
        </is>
      </c>
      <c r="B998" s="3" t="inlineStr">
        <is>
          <t>농림지역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43700</v>
      </c>
      <c r="G998" s="4" t="n">
        <v>1928</v>
      </c>
      <c r="H998" s="4" t="n">
        <v>583</v>
      </c>
      <c r="I998" s="5" t="n">
        <v>75</v>
      </c>
      <c r="J998" s="5" t="n">
        <v>31.7</v>
      </c>
      <c r="K998" s="3" t="inlineStr">
        <is>
          <t>2차선 도로에 접해 있는 세종 스마트 산업단지 인근의 투자용 토지</t>
        </is>
      </c>
      <c r="L998" s="6">
        <f>HYPERLINK("https://fin.land.naver.com/articles/2647006031", "매물Link")</f>
        <v/>
      </c>
      <c r="M998" s="6">
        <f>HYPERLINK("https://map.naver.com/p/search/연서면 신대리 75-1", "지도Link")</f>
        <v/>
      </c>
      <c r="N998" s="6">
        <f>HYPERLINK("http://www.eum.go.kr/web/ar/lu/luLandDet.jsp?pnu=3611036029100750001&amp;isNoScr=script&amp;mode=search", "토지이음")</f>
        <v/>
      </c>
      <c r="O998" s="3" t="inlineStr">
        <is>
          <t>스마일세종</t>
        </is>
      </c>
      <c r="P998" s="4" t="n">
        <v>1</v>
      </c>
      <c r="Q998" s="4" t="n">
        <v>1928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75-2</t>
        </is>
      </c>
      <c r="B999" s="3" t="inlineStr">
        <is>
          <t>농림지역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69000</v>
      </c>
      <c r="G999" s="4" t="n">
        <v>3045</v>
      </c>
      <c r="H999" s="4" t="n">
        <v>921</v>
      </c>
      <c r="I999" s="5" t="n">
        <v>74.90000000000001</v>
      </c>
      <c r="J999" s="5" t="n">
        <v>31.7</v>
      </c>
      <c r="K999" s="3" t="inlineStr">
        <is>
          <t>세종 스마트 국가산업단지가 예정 돼 있어 향후 투자가치가 높은 토지입니다</t>
        </is>
      </c>
      <c r="L999" s="6">
        <f>HYPERLINK("https://fin.land.naver.com/articles/2649560776", "매물Link")</f>
        <v/>
      </c>
      <c r="M999" s="6">
        <f>HYPERLINK("https://map.naver.com/p/search/연서면 신대리 75-2", "지도Link")</f>
        <v/>
      </c>
      <c r="N999" s="6">
        <f>HYPERLINK("http://www.eum.go.kr/web/ar/lu/luLandDet.jsp?pnu=3611036029100750002&amp;isNoScr=script&amp;mode=search", "토지이음")</f>
        <v/>
      </c>
      <c r="O999" s="3" t="inlineStr">
        <is>
          <t>스마일세종</t>
        </is>
      </c>
      <c r="P999" s="4" t="n">
        <v>1</v>
      </c>
      <c r="Q999" s="4" t="n">
        <v>3045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세로한면(가)</t>
        </is>
      </c>
    </row>
    <row r="1000">
      <c r="A1000" s="3" t="inlineStr">
        <is>
          <t>연서면 신대리 92-1</t>
        </is>
      </c>
      <c r="B1000" s="3" t="inlineStr">
        <is>
          <t>계획관리지역</t>
        </is>
      </c>
      <c r="C1000" s="3" t="inlineStr">
        <is>
          <t>전</t>
        </is>
      </c>
      <c r="D1000" s="3" t="inlineStr">
        <is>
          <t>전</t>
        </is>
      </c>
      <c r="E1000" s="3" t="inlineStr">
        <is>
          <t>매매</t>
        </is>
      </c>
      <c r="F1000" s="4" t="n">
        <v>54200</v>
      </c>
      <c r="G1000" s="4" t="n">
        <v>896</v>
      </c>
      <c r="H1000" s="4" t="n">
        <v>271</v>
      </c>
      <c r="I1000" s="5" t="n">
        <v>200</v>
      </c>
      <c r="J1000" s="5" t="n">
        <v>55.6</v>
      </c>
      <c r="K1000" s="3" t="inlineStr">
        <is>
          <t>세종국가산단 3km이내 계획관리지역 토지매매</t>
        </is>
      </c>
      <c r="L1000" s="6">
        <f>HYPERLINK("https://fin.land.naver.com/articles/2647596631", "매물Link")</f>
        <v/>
      </c>
      <c r="M1000" s="6">
        <f>HYPERLINK("https://map.naver.com/p/search/연서면 신대리 92-1", "지도Link")</f>
        <v/>
      </c>
      <c r="N1000" s="6">
        <f>HYPERLINK("http://www.eum.go.kr/web/ar/lu/luLandDet.jsp?pnu=3611036029100920001&amp;isNoScr=script&amp;mode=search", "토지이음")</f>
        <v/>
      </c>
      <c r="O1000" s="3" t="inlineStr">
        <is>
          <t>에이스</t>
        </is>
      </c>
      <c r="P1000" s="4" t="n">
        <v>1</v>
      </c>
      <c r="Q1000" s="4" t="n">
        <v>896</v>
      </c>
      <c r="R1000" s="3" t="inlineStr">
        <is>
          <t>지정되지않음</t>
        </is>
      </c>
      <c r="S1000" s="3" t="inlineStr">
        <is>
          <t>전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산19-5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197000</v>
      </c>
      <c r="G1001" s="4" t="n">
        <v>8142</v>
      </c>
      <c r="H1001" s="4" t="n">
        <v>2463</v>
      </c>
      <c r="I1001" s="5" t="n">
        <v>80</v>
      </c>
      <c r="J1001" s="5" t="n">
        <v>4.6</v>
      </c>
      <c r="K1001" s="3" t="inlineStr">
        <is>
          <t>전원주택및다용도</t>
        </is>
      </c>
      <c r="L1001" s="6">
        <f>HYPERLINK("https://fin.land.naver.com/articles/2649186499", "매물Link")</f>
        <v/>
      </c>
      <c r="M1001" s="6">
        <f>HYPERLINK("https://map.naver.com/p/search/연서면 신대리 산19-5", "지도Link")</f>
        <v/>
      </c>
      <c r="N1001" s="6">
        <f>HYPERLINK("http://www.eum.go.kr/web/ar/lu/luLandDet.jsp?pnu=3611036029200190005&amp;isNoScr=script&amp;mode=search", "토지이음")</f>
        <v/>
      </c>
      <c r="O1001" s="3" t="inlineStr">
        <is>
          <t>지성</t>
        </is>
      </c>
      <c r="P1001" s="4" t="n">
        <v>1</v>
      </c>
      <c r="Q1001" s="4" t="n">
        <v>8142</v>
      </c>
      <c r="R1001" s="3" t="inlineStr">
        <is>
          <t>지정되지않음</t>
        </is>
      </c>
      <c r="S1001" s="3" t="inlineStr">
        <is>
          <t>자연림</t>
        </is>
      </c>
      <c r="T1001" s="3" t="inlineStr">
        <is>
          <t>급경사</t>
        </is>
      </c>
      <c r="U1001" s="3" t="inlineStr">
        <is>
          <t>부정형</t>
        </is>
      </c>
      <c r="V1001" s="3" t="inlineStr">
        <is>
          <t>세로한면(불)</t>
        </is>
      </c>
    </row>
    <row r="1002">
      <c r="A1002" s="3" t="inlineStr">
        <is>
          <t>연서면 신대리 산54-1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130000</v>
      </c>
      <c r="G1002" s="4" t="n">
        <v>6171</v>
      </c>
      <c r="H1002" s="4" t="n">
        <v>1867</v>
      </c>
      <c r="I1002" s="5" t="n">
        <v>69.59999999999999</v>
      </c>
      <c r="J1002" s="5" t="n">
        <v>4.7</v>
      </c>
      <c r="K1002" s="3" t="inlineStr">
        <is>
          <t>국가산단옆,취락지구,계획관리포함됨,도로접, 가격조정가.</t>
        </is>
      </c>
      <c r="L1002" s="6">
        <f>HYPERLINK("https://fin.land.naver.com/articles/2649391412", "매물Link")</f>
        <v/>
      </c>
      <c r="M1002" s="6">
        <f>HYPERLINK("https://map.naver.com/p/search/연서면 신대리 산54-1", "지도Link")</f>
        <v/>
      </c>
      <c r="N1002" s="6">
        <f>HYPERLINK("http://www.eum.go.kr/web/ar/lu/luLandDet.jsp?pnu=3611036029200540001&amp;isNoScr=script&amp;mode=search", "토지이음")</f>
        <v/>
      </c>
      <c r="O1002" s="3" t="inlineStr">
        <is>
          <t>카톡</t>
        </is>
      </c>
      <c r="P1002" s="4" t="n">
        <v>1</v>
      </c>
      <c r="Q1002" s="4" t="n">
        <v>5455</v>
      </c>
      <c r="R1002" s="3" t="inlineStr">
        <is>
          <t>계획관리지역</t>
        </is>
      </c>
      <c r="S1002" s="3" t="inlineStr">
        <is>
          <t>자연림</t>
        </is>
      </c>
      <c r="T1002" s="3" t="inlineStr">
        <is>
          <t>급경사</t>
        </is>
      </c>
      <c r="U1002" s="3" t="inlineStr">
        <is>
          <t>부정형</t>
        </is>
      </c>
      <c r="V1002" s="3" t="inlineStr">
        <is>
          <t>세로한면(불)</t>
        </is>
      </c>
    </row>
    <row r="1003">
      <c r="A1003" s="3" t="inlineStr">
        <is>
          <t>연서면 신대리 산64-13</t>
        </is>
      </c>
      <c r="B1003" s="3" t="inlineStr">
        <is>
          <t>계획관리지역</t>
        </is>
      </c>
      <c r="C1003" s="3" t="inlineStr">
        <is>
          <t>임야</t>
        </is>
      </c>
      <c r="D1003" s="3" t="inlineStr">
        <is>
          <t>임야</t>
        </is>
      </c>
      <c r="E1003" s="3" t="inlineStr">
        <is>
          <t>매매</t>
        </is>
      </c>
      <c r="F1003" s="4" t="n">
        <v>185400</v>
      </c>
      <c r="G1003" s="4" t="n">
        <v>3064</v>
      </c>
      <c r="H1003" s="4" t="n">
        <v>927</v>
      </c>
      <c r="I1003" s="5" t="n">
        <v>200</v>
      </c>
      <c r="J1003" s="5" t="n">
        <v>6.6</v>
      </c>
      <c r="K1003" s="3" t="inlineStr">
        <is>
          <t>연서면 신대리 토지 매매</t>
        </is>
      </c>
      <c r="L1003" s="6">
        <f>HYPERLINK("https://fin.land.naver.com/articles/2646756083", "매물Link")</f>
        <v/>
      </c>
      <c r="M1003" s="6">
        <f>HYPERLINK("https://map.naver.com/p/search/연서면 신대리 산64-13", "지도Link")</f>
        <v/>
      </c>
      <c r="N1003" s="6">
        <f>HYPERLINK("http://www.eum.go.kr/web/ar/lu/luLandDet.jsp?pnu=3611036029200640013&amp;isNoScr=script&amp;mode=search", "토지이음")</f>
        <v/>
      </c>
      <c r="O1003" s="3" t="inlineStr">
        <is>
          <t>주식회사넥서스</t>
        </is>
      </c>
      <c r="P1003" s="4" t="n">
        <v>1</v>
      </c>
      <c r="Q1003" s="4" t="n">
        <v>3064</v>
      </c>
      <c r="R1003" s="3" t="inlineStr">
        <is>
          <t>지정되지않음</t>
        </is>
      </c>
      <c r="S1003" s="3" t="inlineStr">
        <is>
          <t>자연림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쌍류리 101-10</t>
        </is>
      </c>
      <c r="B1004" s="3" t="inlineStr">
        <is>
          <t>생산관리지역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16000</v>
      </c>
      <c r="G1004" s="4" t="n">
        <v>413</v>
      </c>
      <c r="H1004" s="4" t="n">
        <v>125</v>
      </c>
      <c r="I1004" s="5" t="n">
        <v>128</v>
      </c>
      <c r="J1004" s="5" t="n">
        <v>31.2</v>
      </c>
      <c r="K1004" s="3" t="inlineStr">
        <is>
          <t>체류형쉼터강추,도로접,국유지사용가,도로지분33제곱별도면적포함가</t>
        </is>
      </c>
      <c r="L1004" s="6">
        <f>HYPERLINK("https://fin.land.naver.com/articles/2648103313", "매물Link")</f>
        <v/>
      </c>
      <c r="M1004" s="6">
        <f>HYPERLINK("https://map.naver.com/p/search/연서면 쌍류리 101-10", "지도Link")</f>
        <v/>
      </c>
      <c r="N1004" s="6">
        <f>HYPERLINK("http://www.eum.go.kr/web/ar/lu/luLandDet.jsp?pnu=3611036026101010010&amp;isNoScr=script&amp;mode=search", "토지이음")</f>
        <v/>
      </c>
      <c r="O1004" s="3" t="inlineStr">
        <is>
          <t>힐스테이트행복</t>
        </is>
      </c>
      <c r="P1004" s="4" t="n">
        <v>1</v>
      </c>
      <c r="Q1004" s="4" t="n">
        <v>413</v>
      </c>
      <c r="R1004" s="3" t="inlineStr">
        <is>
          <t>지정되지않음</t>
        </is>
      </c>
      <c r="S1004" s="3" t="inlineStr">
        <is>
          <t>전기타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쌍류리 101-10</t>
        </is>
      </c>
      <c r="B1005" s="3" t="inlineStr">
        <is>
          <t>생산관리지역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18000</v>
      </c>
      <c r="G1005" s="4" t="n">
        <v>447</v>
      </c>
      <c r="H1005" s="4" t="n">
        <v>135</v>
      </c>
      <c r="I1005" s="5" t="n">
        <v>133.3</v>
      </c>
      <c r="J1005" s="5" t="n">
        <v>31.2</v>
      </c>
      <c r="K1005" s="3" t="inlineStr">
        <is>
          <t>도로지분 포함, 전원생활,귀농,주말농장 검토 가능한 소형 과수원</t>
        </is>
      </c>
      <c r="L1005" s="6">
        <f>HYPERLINK("https://fin.land.naver.com/articles/2646380838", "매물Link")</f>
        <v/>
      </c>
      <c r="M1005" s="6">
        <f>HYPERLINK("https://map.naver.com/p/search/연서면 쌍류리 101-10", "지도Link")</f>
        <v/>
      </c>
      <c r="N1005" s="6">
        <f>HYPERLINK("http://www.eum.go.kr/web/ar/lu/luLandDet.jsp?pnu=3611036026101010010&amp;isNoScr=script&amp;mode=search", "토지이음")</f>
        <v/>
      </c>
      <c r="O1005" s="3" t="inlineStr">
        <is>
          <t>세종소담황금</t>
        </is>
      </c>
      <c r="P1005" s="4" t="n">
        <v>1</v>
      </c>
      <c r="Q1005" s="4" t="n">
        <v>413</v>
      </c>
      <c r="R1005" s="3" t="inlineStr">
        <is>
          <t>지정되지않음</t>
        </is>
      </c>
      <c r="S1005" s="3" t="inlineStr">
        <is>
          <t>전기타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쌍류리 101-15</t>
        </is>
      </c>
      <c r="B1006" s="3" t="inlineStr">
        <is>
          <t>생산관리지역</t>
        </is>
      </c>
      <c r="C1006" s="3" t="inlineStr">
        <is>
          <t>과수원</t>
        </is>
      </c>
      <c r="D1006" s="3" t="inlineStr">
        <is>
          <t>과수원</t>
        </is>
      </c>
      <c r="E1006" s="3" t="inlineStr">
        <is>
          <t>매매</t>
        </is>
      </c>
      <c r="F1006" s="4" t="n">
        <v>20000</v>
      </c>
      <c r="G1006" s="4" t="n">
        <v>417</v>
      </c>
      <c r="H1006" s="4" t="n">
        <v>126</v>
      </c>
      <c r="I1006" s="5" t="n">
        <v>158.7</v>
      </c>
      <c r="J1006" s="5" t="n">
        <v>31.2</v>
      </c>
      <c r="K1006" s="3" t="inlineStr">
        <is>
          <t>고복저수지 끝자락  나만의 힐링 텃밭 조성 가능,  농막, 정화조 있음</t>
        </is>
      </c>
      <c r="L1006" s="6">
        <f>HYPERLINK("https://fin.land.naver.com/articles/2647651356", "매물Link")</f>
        <v/>
      </c>
      <c r="M1006" s="6">
        <f>HYPERLINK("https://map.naver.com/p/search/연서면 쌍류리 101-15", "지도Link")</f>
        <v/>
      </c>
      <c r="N1006" s="6">
        <f>HYPERLINK("http://www.eum.go.kr/web/ar/lu/luLandDet.jsp?pnu=3611036026101010015&amp;isNoScr=script&amp;mode=search", "토지이음")</f>
        <v/>
      </c>
      <c r="O1006" s="3" t="inlineStr">
        <is>
          <t>현담</t>
        </is>
      </c>
      <c r="P1006" s="4" t="n">
        <v>1</v>
      </c>
      <c r="Q1006" s="4" t="n">
        <v>417</v>
      </c>
      <c r="R1006" s="3" t="inlineStr">
        <is>
          <t>지정되지않음</t>
        </is>
      </c>
      <c r="S1006" s="3" t="inlineStr">
        <is>
          <t>전기타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쌍류리 106-1</t>
        </is>
      </c>
      <c r="B1007" s="3" t="inlineStr">
        <is>
          <t>생산관리지역</t>
        </is>
      </c>
      <c r="C1007" s="3" t="inlineStr">
        <is>
          <t>과수원</t>
        </is>
      </c>
      <c r="D1007" s="3" t="inlineStr">
        <is>
          <t>과수원</t>
        </is>
      </c>
      <c r="E1007" s="3" t="inlineStr">
        <is>
          <t>매매</t>
        </is>
      </c>
      <c r="F1007" s="4" t="n">
        <v>56000</v>
      </c>
      <c r="G1007" s="4" t="n">
        <v>1475</v>
      </c>
      <c r="H1007" s="4" t="n">
        <v>446</v>
      </c>
      <c r="I1007" s="5" t="n">
        <v>125.6</v>
      </c>
      <c r="J1007" s="5" t="n">
        <v>31.8</v>
      </c>
      <c r="K1007" s="3" t="inlineStr">
        <is>
          <t>연서면 세종국가산단 인근지, 고복유원지 500m, 2차선 국도 확장 예정</t>
        </is>
      </c>
      <c r="L1007" s="6">
        <f>HYPERLINK("https://fin.land.naver.com/articles/2648088515", "매물Link")</f>
        <v/>
      </c>
      <c r="M1007" s="6">
        <f>HYPERLINK("https://map.naver.com/p/search/연서면 쌍류리 106-1", "지도Link")</f>
        <v/>
      </c>
      <c r="N1007" s="6">
        <f>HYPERLINK("http://www.eum.go.kr/web/ar/lu/luLandDet.jsp?pnu=3611036026101060001&amp;isNoScr=script&amp;mode=search", "토지이음")</f>
        <v/>
      </c>
      <c r="O1007" s="3" t="inlineStr">
        <is>
          <t>오송3산단  사무소</t>
        </is>
      </c>
      <c r="P1007" s="4" t="n">
        <v>1</v>
      </c>
      <c r="Q1007" s="4" t="n">
        <v>747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쌍류리 106-8</t>
        </is>
      </c>
      <c r="B1008" s="3" t="inlineStr">
        <is>
          <t>생산관리지역</t>
        </is>
      </c>
      <c r="C1008" s="3" t="inlineStr">
        <is>
          <t>과수원</t>
        </is>
      </c>
      <c r="D1008" s="3" t="inlineStr">
        <is>
          <t>과수원</t>
        </is>
      </c>
      <c r="E1008" s="3" t="inlineStr">
        <is>
          <t>매매</t>
        </is>
      </c>
      <c r="F1008" s="4" t="n">
        <v>29000</v>
      </c>
      <c r="G1008" s="4" t="n">
        <v>728</v>
      </c>
      <c r="H1008" s="4" t="n">
        <v>220</v>
      </c>
      <c r="I1008" s="5" t="n">
        <v>131.8</v>
      </c>
      <c r="J1008" s="5" t="n">
        <v>31.8</v>
      </c>
      <c r="K1008" s="3" t="inlineStr">
        <is>
          <t>도로접한 과수원</t>
        </is>
      </c>
      <c r="L1008" s="6">
        <f>HYPERLINK("https://fin.land.naver.com/articles/2647652152", "매물Link")</f>
        <v/>
      </c>
      <c r="M1008" s="6">
        <f>HYPERLINK("https://map.naver.com/p/search/연서면 쌍류리 106-8", "지도Link")</f>
        <v/>
      </c>
      <c r="N1008" s="6">
        <f>HYPERLINK("http://www.eum.go.kr/web/ar/lu/luLandDet.jsp?pnu=3611036026101060008&amp;isNoScr=script&amp;mode=search", "토지이음")</f>
        <v/>
      </c>
      <c r="O1008" s="3" t="inlineStr">
        <is>
          <t>현담</t>
        </is>
      </c>
      <c r="P1008" s="4" t="n">
        <v>1</v>
      </c>
      <c r="Q1008" s="4" t="n">
        <v>728</v>
      </c>
      <c r="R1008" s="3" t="inlineStr">
        <is>
          <t>지정되지않음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연서면 쌍류리 116</t>
        </is>
      </c>
      <c r="B1009" s="3" t="inlineStr">
        <is>
          <t>생산관리지역</t>
        </is>
      </c>
      <c r="C1009" s="3" t="inlineStr">
        <is>
          <t>과수원</t>
        </is>
      </c>
      <c r="D1009" s="3" t="inlineStr">
        <is>
          <t>과수원</t>
        </is>
      </c>
      <c r="E1009" s="3" t="inlineStr">
        <is>
          <t>매매</t>
        </is>
      </c>
      <c r="F1009" s="4" t="n">
        <v>23800</v>
      </c>
      <c r="G1009" s="4" t="n">
        <v>1959</v>
      </c>
      <c r="H1009" s="4" t="n">
        <v>593</v>
      </c>
      <c r="I1009" s="5" t="n">
        <v>40.1</v>
      </c>
      <c r="J1009" s="5" t="n">
        <v>25.8</v>
      </c>
      <c r="K1009" s="3" t="inlineStr">
        <is>
          <t>급매. 고복저수지 인근 소액토지</t>
        </is>
      </c>
      <c r="L1009" s="6">
        <f>HYPERLINK("https://fin.land.naver.com/articles/2648767659", "매물Link")</f>
        <v/>
      </c>
      <c r="M1009" s="6">
        <f>HYPERLINK("https://map.naver.com/p/search/연서면 쌍류리 116", "지도Link")</f>
        <v/>
      </c>
      <c r="N1009" s="6">
        <f>HYPERLINK("http://www.eum.go.kr/web/ar/lu/luLandDet.jsp?pnu=3611036026101160000&amp;isNoScr=script&amp;mode=search", "토지이음")</f>
        <v/>
      </c>
      <c r="O1009" s="3" t="inlineStr">
        <is>
          <t>강아지풀</t>
        </is>
      </c>
      <c r="P1009" s="4" t="n">
        <v>1</v>
      </c>
      <c r="Q1009" s="4" t="n">
        <v>1959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맹지</t>
        </is>
      </c>
    </row>
    <row r="1010">
      <c r="A1010" s="3" t="inlineStr">
        <is>
          <t>연서면 쌍류리 117</t>
        </is>
      </c>
      <c r="B1010" s="3" t="inlineStr">
        <is>
          <t>생산관리지역</t>
        </is>
      </c>
      <c r="C1010" s="3" t="inlineStr">
        <is>
          <t>과수원</t>
        </is>
      </c>
      <c r="D1010" s="3" t="inlineStr">
        <is>
          <t>과수원</t>
        </is>
      </c>
      <c r="E1010" s="3" t="inlineStr">
        <is>
          <t>매매</t>
        </is>
      </c>
      <c r="F1010" s="4" t="n">
        <v>49500</v>
      </c>
      <c r="G1010" s="4" t="n">
        <v>1022</v>
      </c>
      <c r="H1010" s="4" t="n">
        <v>309</v>
      </c>
      <c r="I1010" s="5" t="n">
        <v>160.2</v>
      </c>
      <c r="J1010" s="5" t="n">
        <v>46</v>
      </c>
      <c r="K1010" s="3" t="inlineStr">
        <is>
          <t>고복저수지근방 2차 도로접,소하천접한 생산,성장관리계획구역 활용도 굿</t>
        </is>
      </c>
      <c r="L1010" s="6">
        <f>HYPERLINK("https://fin.land.naver.com/articles/2650750823", "매물Link")</f>
        <v/>
      </c>
      <c r="M1010" s="6">
        <f>HYPERLINK("https://map.naver.com/p/search/연서면 쌍류리 117", "지도Link")</f>
        <v/>
      </c>
      <c r="N1010" s="6">
        <f>HYPERLINK("http://www.eum.go.kr/web/ar/lu/luLandDet.jsp?pnu=3611036026101170000&amp;isNoScr=script&amp;mode=search", "토지이음")</f>
        <v/>
      </c>
      <c r="O1010" s="3" t="inlineStr">
        <is>
          <t>가경수</t>
        </is>
      </c>
      <c r="P1010" s="4" t="n">
        <v>1</v>
      </c>
      <c r="Q1010" s="4" t="n">
        <v>1022</v>
      </c>
      <c r="R1010" s="3" t="inlineStr">
        <is>
          <t>지정되지않음</t>
        </is>
      </c>
      <c r="S1010" s="3" t="inlineStr">
        <is>
          <t>과수원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쌍류리 126-3</t>
        </is>
      </c>
      <c r="B1011" s="3" t="inlineStr">
        <is>
          <t>생산관리지역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92000</v>
      </c>
      <c r="G1011" s="4" t="n">
        <v>1909</v>
      </c>
      <c r="H1011" s="4" t="n">
        <v>577</v>
      </c>
      <c r="I1011" s="5" t="n">
        <v>159.4</v>
      </c>
      <c r="J1011" s="5" t="n">
        <v>46.6</v>
      </c>
      <c r="K1011" s="3" t="inlineStr">
        <is>
          <t>신축주택과 넓은 마당 갖춘 고복저수지 생활권</t>
        </is>
      </c>
      <c r="L1011" s="6">
        <f>HYPERLINK("https://fin.land.naver.com/articles/2647850817", "매물Link")</f>
        <v/>
      </c>
      <c r="M1011" s="6">
        <f>HYPERLINK("https://map.naver.com/p/search/연서면 쌍류리 126-3", "지도Link")</f>
        <v/>
      </c>
      <c r="N1011" s="6">
        <f>HYPERLINK("http://www.eum.go.kr/web/ar/lu/luLandDet.jsp?pnu=3611036026101260003&amp;isNoScr=script&amp;mode=search", "토지이음")</f>
        <v/>
      </c>
      <c r="O1011" s="3" t="inlineStr">
        <is>
          <t>세종소담황금</t>
        </is>
      </c>
      <c r="P1011" s="4" t="n">
        <v>1</v>
      </c>
      <c r="Q1011" s="4" t="n">
        <v>683</v>
      </c>
      <c r="R1011" s="3" t="inlineStr">
        <is>
          <t>지정되지않음</t>
        </is>
      </c>
      <c r="S1011" s="3" t="inlineStr">
        <is>
          <t>단독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세로한면(가)</t>
        </is>
      </c>
    </row>
    <row r="1012">
      <c r="A1012" s="3" t="inlineStr">
        <is>
          <t>연서면 쌍류리 164</t>
        </is>
      </c>
      <c r="B1012" s="3" t="inlineStr">
        <is>
          <t>생산관리지역</t>
        </is>
      </c>
      <c r="C1012" s="3" t="inlineStr">
        <is>
          <t>과수원</t>
        </is>
      </c>
      <c r="D1012" s="3" t="inlineStr">
        <is>
          <t>과수원</t>
        </is>
      </c>
      <c r="E1012" s="3" t="inlineStr">
        <is>
          <t>매매</t>
        </is>
      </c>
      <c r="F1012" s="4" t="n">
        <v>35000</v>
      </c>
      <c r="G1012" s="4" t="n">
        <v>1260</v>
      </c>
      <c r="H1012" s="4" t="n">
        <v>381</v>
      </c>
      <c r="I1012" s="5" t="n">
        <v>91.90000000000001</v>
      </c>
      <c r="J1012" s="5" t="n">
        <v>25</v>
      </c>
      <c r="K1012" s="3" t="inlineStr">
        <is>
          <t>nan</t>
        </is>
      </c>
      <c r="L1012" s="6">
        <f>HYPERLINK("https://fin.land.naver.com/articles/2649773331", "매물Link")</f>
        <v/>
      </c>
      <c r="M1012" s="6">
        <f>HYPERLINK("https://map.naver.com/p/search/연서면 쌍류리 164", "지도Link")</f>
        <v/>
      </c>
      <c r="N1012" s="6">
        <f>HYPERLINK("http://www.eum.go.kr/web/ar/lu/luLandDet.jsp?pnu=3611036026101640000&amp;isNoScr=script&amp;mode=search", "토지이음")</f>
        <v/>
      </c>
      <c r="O1012" s="3" t="inlineStr">
        <is>
          <t>세종몽땅</t>
        </is>
      </c>
      <c r="P1012" s="4" t="n">
        <v>1</v>
      </c>
      <c r="Q1012" s="4" t="n">
        <v>1260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세로한면(불)</t>
        </is>
      </c>
    </row>
    <row r="1013">
      <c r="A1013" s="3" t="inlineStr">
        <is>
          <t>연서면 쌍류리 164</t>
        </is>
      </c>
      <c r="B1013" s="3" t="inlineStr">
        <is>
          <t>생산관리지역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35000</v>
      </c>
      <c r="G1013" s="4" t="n">
        <v>1260</v>
      </c>
      <c r="H1013" s="4" t="n">
        <v>381</v>
      </c>
      <c r="I1013" s="5" t="n">
        <v>91.90000000000001</v>
      </c>
      <c r="J1013" s="5" t="n">
        <v>25</v>
      </c>
      <c r="K1013" s="3" t="inlineStr">
        <is>
          <t>세종 연서면 과수원 매매 생산관리지역성장관리계획구역</t>
        </is>
      </c>
      <c r="L1013" s="6">
        <f>HYPERLINK("https://fin.land.naver.com/articles/2651520255", "매물Link")</f>
        <v/>
      </c>
      <c r="M1013" s="6">
        <f>HYPERLINK("https://map.naver.com/p/search/연서면 쌍류리 164", "지도Link")</f>
        <v/>
      </c>
      <c r="N1013" s="6">
        <f>HYPERLINK("http://www.eum.go.kr/web/ar/lu/luLandDet.jsp?pnu=3611036026101640000&amp;isNoScr=script&amp;mode=search", "토지이음")</f>
        <v/>
      </c>
      <c r="O1013" s="3" t="inlineStr">
        <is>
          <t>세종몽땅</t>
        </is>
      </c>
      <c r="P1013" s="4" t="n">
        <v>1</v>
      </c>
      <c r="Q1013" s="4" t="n">
        <v>1260</v>
      </c>
      <c r="R1013" s="3" t="inlineStr">
        <is>
          <t>지정되지않음</t>
        </is>
      </c>
      <c r="S1013" s="3" t="inlineStr">
        <is>
          <t>과수원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세로한면(불)</t>
        </is>
      </c>
    </row>
    <row r="1014">
      <c r="A1014" s="3" t="inlineStr">
        <is>
          <t>연서면 쌍류리 171-3</t>
        </is>
      </c>
      <c r="B1014" s="3" t="inlineStr">
        <is>
          <t>생산관리지역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81000</v>
      </c>
      <c r="G1014" s="4" t="n">
        <v>1978</v>
      </c>
      <c r="H1014" s="4" t="n">
        <v>598</v>
      </c>
      <c r="I1014" s="5" t="n">
        <v>135.5</v>
      </c>
      <c r="J1014" s="5" t="n">
        <v>29.7</v>
      </c>
      <c r="K1014" s="3" t="inlineStr">
        <is>
          <t>규모 있는 영농부지 찾는 분 주목</t>
        </is>
      </c>
      <c r="L1014" s="6">
        <f>HYPERLINK("https://fin.land.naver.com/articles/2649776390", "매물Link")</f>
        <v/>
      </c>
      <c r="M1014" s="6">
        <f>HYPERLINK("https://map.naver.com/p/search/연서면 쌍류리 171-3", "지도Link")</f>
        <v/>
      </c>
      <c r="N1014" s="6">
        <f>HYPERLINK("http://www.eum.go.kr/web/ar/lu/luLandDet.jsp?pnu=3611036026101710003&amp;isNoScr=script&amp;mode=search", "토지이음")</f>
        <v/>
      </c>
      <c r="O1014" s="3" t="inlineStr">
        <is>
          <t>세종몽땅</t>
        </is>
      </c>
      <c r="P1014" s="4" t="n">
        <v>1</v>
      </c>
      <c r="Q1014" s="4" t="n">
        <v>1978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쌍류리 224</t>
        </is>
      </c>
      <c r="B1015" s="3" t="inlineStr">
        <is>
          <t>생산관리지역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110000</v>
      </c>
      <c r="G1015" s="4" t="n">
        <v>3183</v>
      </c>
      <c r="H1015" s="4" t="n">
        <v>963</v>
      </c>
      <c r="I1015" s="5" t="n">
        <v>114.2</v>
      </c>
      <c r="J1015" s="5" t="n">
        <v>35.8</v>
      </c>
      <c r="K1015" s="3" t="inlineStr">
        <is>
          <t>도로접,땅모양좋습니다,성장관리계획구역,조정가</t>
        </is>
      </c>
      <c r="L1015" s="6">
        <f>HYPERLINK("https://fin.land.naver.com/articles/2650425351", "매물Link")</f>
        <v/>
      </c>
      <c r="M1015" s="6">
        <f>HYPERLINK("https://map.naver.com/p/search/연서면 쌍류리 224", "지도Link")</f>
        <v/>
      </c>
      <c r="N1015" s="6">
        <f>HYPERLINK("http://www.eum.go.kr/web/ar/lu/luLandDet.jsp?pnu=3611036026102240000&amp;isNoScr=script&amp;mode=search", "토지이음")</f>
        <v/>
      </c>
      <c r="O1015" s="3" t="inlineStr">
        <is>
          <t>힐스테이트행복</t>
        </is>
      </c>
      <c r="P1015" s="4" t="n">
        <v>1</v>
      </c>
      <c r="Q1015" s="4" t="n">
        <v>3183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쌍류리 227-1</t>
        </is>
      </c>
      <c r="B1016" s="3" t="inlineStr">
        <is>
          <t>생산관리지역</t>
        </is>
      </c>
      <c r="C1016" s="3" t="inlineStr">
        <is>
          <t>과수원</t>
        </is>
      </c>
      <c r="D1016" s="3" t="inlineStr">
        <is>
          <t>과수원</t>
        </is>
      </c>
      <c r="E1016" s="3" t="inlineStr">
        <is>
          <t>매매</t>
        </is>
      </c>
      <c r="F1016" s="4" t="n">
        <v>160000</v>
      </c>
      <c r="G1016" s="4" t="n">
        <v>3530</v>
      </c>
      <c r="H1016" s="4" t="n">
        <v>1068</v>
      </c>
      <c r="I1016" s="5" t="n">
        <v>149.8</v>
      </c>
      <c r="J1016" s="5" t="n">
        <v>37.7</v>
      </c>
      <c r="K1016" s="3" t="inlineStr">
        <is>
          <t>고복저수지인근,2차선접,투자가치좋아요</t>
        </is>
      </c>
      <c r="L1016" s="6">
        <f>HYPERLINK("https://fin.land.naver.com/articles/2650425575", "매물Link")</f>
        <v/>
      </c>
      <c r="M1016" s="6">
        <f>HYPERLINK("https://map.naver.com/p/search/연서면 쌍류리 227-1", "지도Link")</f>
        <v/>
      </c>
      <c r="N1016" s="6">
        <f>HYPERLINK("http://www.eum.go.kr/web/ar/lu/luLandDet.jsp?pnu=3611036026102270001&amp;isNoScr=script&amp;mode=search", "토지이음")</f>
        <v/>
      </c>
      <c r="O1016" s="3" t="inlineStr">
        <is>
          <t>힐스테이트행복</t>
        </is>
      </c>
      <c r="P1016" s="4" t="n">
        <v>1</v>
      </c>
      <c r="Q1016" s="4" t="n">
        <v>3530</v>
      </c>
      <c r="R1016" s="3" t="inlineStr">
        <is>
          <t>지정되지않음</t>
        </is>
      </c>
      <c r="S1016" s="3" t="inlineStr">
        <is>
          <t>과수원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쌍류리 227-1</t>
        </is>
      </c>
      <c r="B1017" s="3" t="inlineStr">
        <is>
          <t>생산관리지역</t>
        </is>
      </c>
      <c r="C1017" s="3" t="inlineStr">
        <is>
          <t>과수원</t>
        </is>
      </c>
      <c r="D1017" s="3" t="inlineStr">
        <is>
          <t>과수원</t>
        </is>
      </c>
      <c r="E1017" s="3" t="inlineStr">
        <is>
          <t>매매</t>
        </is>
      </c>
      <c r="F1017" s="4" t="n">
        <v>39600</v>
      </c>
      <c r="G1017" s="4" t="n">
        <v>1092</v>
      </c>
      <c r="H1017" s="4" t="n">
        <v>330</v>
      </c>
      <c r="I1017" s="5" t="n">
        <v>120</v>
      </c>
      <c r="J1017" s="5" t="n">
        <v>37.7</v>
      </c>
      <c r="K1017" s="3" t="inlineStr">
        <is>
          <t>도로접함 2필지 일괄매매 현재 과수원 미래가치ok</t>
        </is>
      </c>
      <c r="L1017" s="6">
        <f>HYPERLINK("https://fin.land.naver.com/articles/2650582716", "매물Link")</f>
        <v/>
      </c>
      <c r="M1017" s="6">
        <f>HYPERLINK("https://map.naver.com/p/search/연서면 쌍류리 227-1", "지도Link")</f>
        <v/>
      </c>
      <c r="N1017" s="6">
        <f>HYPERLINK("http://www.eum.go.kr/web/ar/lu/luLandDet.jsp?pnu=3611036026102270001&amp;isNoScr=script&amp;mode=search", "토지이음")</f>
        <v/>
      </c>
      <c r="O1017" s="3" t="inlineStr">
        <is>
          <t>신불당</t>
        </is>
      </c>
      <c r="P1017" s="4" t="n">
        <v>1</v>
      </c>
      <c r="Q1017" s="4" t="n">
        <v>3530</v>
      </c>
      <c r="R1017" s="3" t="inlineStr">
        <is>
          <t>지정되지않음</t>
        </is>
      </c>
      <c r="S1017" s="3" t="inlineStr">
        <is>
          <t>과수원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쌍류리 232-1</t>
        </is>
      </c>
      <c r="B1018" s="3" t="inlineStr">
        <is>
          <t>생산관리지역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255000</v>
      </c>
      <c r="G1018" s="4" t="n">
        <v>5702</v>
      </c>
      <c r="H1018" s="4" t="n">
        <v>1725</v>
      </c>
      <c r="I1018" s="5" t="n">
        <v>147.8</v>
      </c>
      <c r="J1018" s="5" t="n">
        <v>28.3</v>
      </c>
      <c r="K1018" s="3" t="inlineStr">
        <is>
          <t>고복저수지인근 토지 매매</t>
        </is>
      </c>
      <c r="L1018" s="6">
        <f>HYPERLINK("https://fin.land.naver.com/articles/2648030320", "매물Link")</f>
        <v/>
      </c>
      <c r="M1018" s="6">
        <f>HYPERLINK("https://map.naver.com/p/search/연서면 쌍류리 232-1", "지도Link")</f>
        <v/>
      </c>
      <c r="N1018" s="6">
        <f>HYPERLINK("http://www.eum.go.kr/web/ar/lu/luLandDet.jsp?pnu=3611036026102320001&amp;isNoScr=script&amp;mode=search", "토지이음")</f>
        <v/>
      </c>
      <c r="O1018" s="3" t="inlineStr">
        <is>
          <t>THE행복</t>
        </is>
      </c>
      <c r="P1018" s="4" t="n">
        <v>1</v>
      </c>
      <c r="Q1018" s="4" t="n">
        <v>5605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연서면 쌍류리 250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전</t>
        </is>
      </c>
      <c r="E1019" s="3" t="inlineStr">
        <is>
          <t>매매</t>
        </is>
      </c>
      <c r="F1019" s="4" t="n">
        <v>80000</v>
      </c>
      <c r="G1019" s="4" t="n">
        <v>2499</v>
      </c>
      <c r="H1019" s="4" t="n">
        <v>756</v>
      </c>
      <c r="I1019" s="5" t="n">
        <v>105.8</v>
      </c>
      <c r="J1019" s="5" t="n">
        <v>37.1</v>
      </c>
      <c r="K1019" s="3" t="inlineStr">
        <is>
          <t>계획관리 양지바른 남향 탁트인 개방감 국가산단 인근으로 투자용추천</t>
        </is>
      </c>
      <c r="L1019" s="6">
        <f>HYPERLINK("https://fin.land.naver.com/articles/2650281221", "매물Link")</f>
        <v/>
      </c>
      <c r="M1019" s="6">
        <f>HYPERLINK("https://map.naver.com/p/search/연서면 쌍류리 250", "지도Link")</f>
        <v/>
      </c>
      <c r="N1019" s="6">
        <f>HYPERLINK("http://www.eum.go.kr/web/ar/lu/luLandDet.jsp?pnu=3611036026102500000&amp;isNoScr=script&amp;mode=search", "토지이음")</f>
        <v/>
      </c>
      <c r="O1019" s="3" t="inlineStr">
        <is>
          <t>더샵엘리프원탑</t>
        </is>
      </c>
      <c r="P1019" s="4" t="n">
        <v>1</v>
      </c>
      <c r="Q1019" s="4" t="n">
        <v>2499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세로한면(가)</t>
        </is>
      </c>
    </row>
    <row r="1020">
      <c r="A1020" s="3" t="inlineStr">
        <is>
          <t>연서면 쌍류리 29-1</t>
        </is>
      </c>
      <c r="B1020" s="3" t="inlineStr">
        <is>
          <t>생산관리지역</t>
        </is>
      </c>
      <c r="C1020" s="3" t="inlineStr">
        <is>
          <t>전</t>
        </is>
      </c>
      <c r="D1020" s="3" t="inlineStr">
        <is>
          <t>전</t>
        </is>
      </c>
      <c r="E1020" s="3" t="inlineStr">
        <is>
          <t>매매</t>
        </is>
      </c>
      <c r="F1020" s="4" t="n">
        <v>38500</v>
      </c>
      <c r="G1020" s="4" t="n">
        <v>1590</v>
      </c>
      <c r="H1020" s="4" t="n">
        <v>481</v>
      </c>
      <c r="I1020" s="5" t="n">
        <v>80</v>
      </c>
      <c r="J1020" s="5" t="n">
        <v>24.9</v>
      </c>
      <c r="K1020" s="3" t="inlineStr">
        <is>
          <t>도로접한 관리지역 토지현과수원</t>
        </is>
      </c>
      <c r="L1020" s="6">
        <f>HYPERLINK("https://fin.land.naver.com/articles/2650858545", "매물Link")</f>
        <v/>
      </c>
      <c r="M1020" s="6">
        <f>HYPERLINK("https://map.naver.com/p/search/연서면 쌍류리 29-1", "지도Link")</f>
        <v/>
      </c>
      <c r="N1020" s="6">
        <f>HYPERLINK("http://www.eum.go.kr/web/ar/lu/luLandDet.jsp?pnu=3611036026100290001&amp;isNoScr=script&amp;mode=search", "토지이음")</f>
        <v/>
      </c>
      <c r="O1020" s="3" t="inlineStr">
        <is>
          <t>세종대박</t>
        </is>
      </c>
      <c r="P1020" s="4" t="n">
        <v>2</v>
      </c>
      <c r="Q1020" s="4" t="n">
        <v>1590</v>
      </c>
      <c r="R1020" s="3" t="inlineStr">
        <is>
          <t>지정되지않음</t>
        </is>
      </c>
      <c r="S1020" s="3" t="inlineStr">
        <is>
          <t>전</t>
        </is>
      </c>
      <c r="T1020" s="3" t="inlineStr">
        <is>
          <t>완경사</t>
        </is>
      </c>
      <c r="U1020" s="3" t="inlineStr">
        <is>
          <t>부정형</t>
        </is>
      </c>
      <c r="V1020" s="3" t="inlineStr">
        <is>
          <t>세로한면(가)</t>
        </is>
      </c>
    </row>
    <row r="1021">
      <c r="A1021" s="3" t="inlineStr">
        <is>
          <t>연서면 쌍류리 333-1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70200</v>
      </c>
      <c r="G1021" s="4" t="n">
        <v>2340</v>
      </c>
      <c r="H1021" s="4" t="n">
        <v>708</v>
      </c>
      <c r="I1021" s="5" t="n">
        <v>99.2</v>
      </c>
      <c r="J1021" s="5" t="n">
        <v>29.4</v>
      </c>
      <c r="K1021" s="3" t="inlineStr">
        <is>
          <t>연서면 쌍류리 2차선변 과수원 매매</t>
        </is>
      </c>
      <c r="L1021" s="6">
        <f>HYPERLINK("https://fin.land.naver.com/articles/2650946339", "매물Link")</f>
        <v/>
      </c>
      <c r="M1021" s="6">
        <f>HYPERLINK("https://map.naver.com/p/search/연서면 쌍류리 333-1", "지도Link")</f>
        <v/>
      </c>
      <c r="N1021" s="6">
        <f>HYPERLINK("http://www.eum.go.kr/web/ar/lu/luLandDet.jsp?pnu=3611036026103330001&amp;isNoScr=script&amp;mode=search", "토지이음")</f>
        <v/>
      </c>
      <c r="O1021" s="3" t="inlineStr">
        <is>
          <t>길운</t>
        </is>
      </c>
      <c r="P1021" s="4" t="n">
        <v>1</v>
      </c>
      <c r="Q1021" s="4" t="n">
        <v>984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부정형</t>
        </is>
      </c>
      <c r="V1021" s="3" t="inlineStr">
        <is>
          <t>소로한면</t>
        </is>
      </c>
    </row>
    <row r="1022">
      <c r="A1022" s="3" t="inlineStr">
        <is>
          <t>연서면 쌍류리 333-1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36500</v>
      </c>
      <c r="G1022" s="4" t="n">
        <v>1334</v>
      </c>
      <c r="H1022" s="4" t="n">
        <v>404</v>
      </c>
      <c r="I1022" s="5" t="n">
        <v>90.3</v>
      </c>
      <c r="J1022" s="5" t="n">
        <v>29.4</v>
      </c>
      <c r="K1022" s="3" t="inlineStr">
        <is>
          <t>하천, 도로접, 포도농원</t>
        </is>
      </c>
      <c r="L1022" s="6">
        <f>HYPERLINK("https://fin.land.naver.com/articles/2650024525", "매물Link")</f>
        <v/>
      </c>
      <c r="M1022" s="6">
        <f>HYPERLINK("https://map.naver.com/p/search/연서면 쌍류리 333-1", "지도Link")</f>
        <v/>
      </c>
      <c r="N1022" s="6">
        <f>HYPERLINK("http://www.eum.go.kr/web/ar/lu/luLandDet.jsp?pnu=3611036026103330001&amp;isNoScr=script&amp;mode=search", "토지이음")</f>
        <v/>
      </c>
      <c r="O1022" s="3" t="inlineStr">
        <is>
          <t>삼보</t>
        </is>
      </c>
      <c r="P1022" s="4" t="n">
        <v>1</v>
      </c>
      <c r="Q1022" s="4" t="n">
        <v>984</v>
      </c>
      <c r="R1022" s="3" t="inlineStr">
        <is>
          <t>지정되지않음</t>
        </is>
      </c>
      <c r="S1022" s="3" t="inlineStr">
        <is>
          <t>답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소로한면</t>
        </is>
      </c>
    </row>
    <row r="1023">
      <c r="A1023" s="3" t="inlineStr">
        <is>
          <t>연서면 쌍류리 333-1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36500</v>
      </c>
      <c r="G1023" s="4" t="n">
        <v>1334</v>
      </c>
      <c r="H1023" s="4" t="n">
        <v>404</v>
      </c>
      <c r="I1023" s="5" t="n">
        <v>90.3</v>
      </c>
      <c r="J1023" s="5" t="n">
        <v>29.4</v>
      </c>
      <c r="K1023" s="3" t="inlineStr">
        <is>
          <t>연서면 쌍류리 2차선변 토지 매매</t>
        </is>
      </c>
      <c r="L1023" s="6">
        <f>HYPERLINK("https://fin.land.naver.com/articles/2649563551", "매물Link")</f>
        <v/>
      </c>
      <c r="M1023" s="6">
        <f>HYPERLINK("https://map.naver.com/p/search/연서면 쌍류리 333-1", "지도Link")</f>
        <v/>
      </c>
      <c r="N1023" s="6">
        <f>HYPERLINK("http://www.eum.go.kr/web/ar/lu/luLandDet.jsp?pnu=3611036026103330001&amp;isNoScr=script&amp;mode=search", "토지이음")</f>
        <v/>
      </c>
      <c r="O1023" s="3" t="inlineStr">
        <is>
          <t>길운</t>
        </is>
      </c>
      <c r="P1023" s="4" t="n">
        <v>1</v>
      </c>
      <c r="Q1023" s="4" t="n">
        <v>984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부정형</t>
        </is>
      </c>
      <c r="V1023" s="3" t="inlineStr">
        <is>
          <t>소로한면</t>
        </is>
      </c>
    </row>
    <row r="1024">
      <c r="A1024" s="3" t="inlineStr">
        <is>
          <t>연서면 쌍류리 340-2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65000</v>
      </c>
      <c r="G1024" s="4" t="n">
        <v>1772</v>
      </c>
      <c r="H1024" s="4" t="n">
        <v>536</v>
      </c>
      <c r="I1024" s="5" t="n">
        <v>121.3</v>
      </c>
      <c r="J1024" s="5" t="n">
        <v>30.1</v>
      </c>
      <c r="K1024" s="3" t="inlineStr">
        <is>
          <t>남향토지 도로 접한 농지 초등학교 인근 전원주택지 추천</t>
        </is>
      </c>
      <c r="L1024" s="6">
        <f>HYPERLINK("https://fin.land.naver.com/articles/2646804144", "매물Link")</f>
        <v/>
      </c>
      <c r="M1024" s="6">
        <f>HYPERLINK("https://map.naver.com/p/search/연서면 쌍류리 340-2", "지도Link")</f>
        <v/>
      </c>
      <c r="N1024" s="6">
        <f>HYPERLINK("http://www.eum.go.kr/web/ar/lu/luLandDet.jsp?pnu=3611036026103400002&amp;isNoScr=script&amp;mode=search", "토지이음")</f>
        <v/>
      </c>
      <c r="O1024" s="3" t="inlineStr">
        <is>
          <t>지성</t>
        </is>
      </c>
      <c r="P1024" s="4" t="n">
        <v>1</v>
      </c>
      <c r="Q1024" s="4" t="n">
        <v>1772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세로장방</t>
        </is>
      </c>
      <c r="V1024" s="3" t="inlineStr">
        <is>
          <t>세로한면(가)</t>
        </is>
      </c>
    </row>
    <row r="1025">
      <c r="A1025" s="3" t="inlineStr">
        <is>
          <t>연서면 쌍류리 419</t>
        </is>
      </c>
      <c r="B1025" s="3" t="inlineStr">
        <is>
          <t>생산관리지역</t>
        </is>
      </c>
      <c r="C1025" s="3" t="inlineStr">
        <is>
          <t>전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196000</v>
      </c>
      <c r="G1025" s="4" t="n">
        <v>6318</v>
      </c>
      <c r="H1025" s="4" t="n">
        <v>1911</v>
      </c>
      <c r="I1025" s="5" t="n">
        <v>102.6</v>
      </c>
      <c r="J1025" s="5" t="n">
        <v>29.8</v>
      </c>
      <c r="K1025" s="3" t="inlineStr">
        <is>
          <t>과수원1필지,임야3필지 일괄매매</t>
        </is>
      </c>
      <c r="L1025" s="6">
        <f>HYPERLINK("https://fin.land.naver.com/articles/2646711526", "매물Link")</f>
        <v/>
      </c>
      <c r="M1025" s="6">
        <f>HYPERLINK("https://map.naver.com/p/search/연서면 쌍류리 419", "지도Link")</f>
        <v/>
      </c>
      <c r="N1025" s="6">
        <f>HYPERLINK("http://www.eum.go.kr/web/ar/lu/luLandDet.jsp?pnu=3611036026104190000&amp;isNoScr=script&amp;mode=search", "토지이음")</f>
        <v/>
      </c>
      <c r="O1025" s="3" t="inlineStr">
        <is>
          <t>빛나</t>
        </is>
      </c>
      <c r="P1025" s="4" t="n">
        <v>1</v>
      </c>
      <c r="Q1025" s="4" t="n">
        <v>711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연서면 쌍류리 42-1</t>
        </is>
      </c>
      <c r="B1026" s="3" t="inlineStr">
        <is>
          <t>생산관리지역</t>
        </is>
      </c>
      <c r="C1026" s="3" t="inlineStr">
        <is>
          <t>과수원</t>
        </is>
      </c>
      <c r="D1026" s="3" t="inlineStr">
        <is>
          <t>과수원</t>
        </is>
      </c>
      <c r="E1026" s="3" t="inlineStr">
        <is>
          <t>매매</t>
        </is>
      </c>
      <c r="F1026" s="4" t="n">
        <v>22900</v>
      </c>
      <c r="G1026" s="4" t="n">
        <v>840</v>
      </c>
      <c r="H1026" s="4" t="n">
        <v>254</v>
      </c>
      <c r="I1026" s="5" t="n">
        <v>90.2</v>
      </c>
      <c r="J1026" s="5" t="n">
        <v>46</v>
      </c>
      <c r="K1026" s="3" t="inlineStr">
        <is>
          <t>도로확장 되는 부분과 96미터 정도로 길게 접한 좁고 길쭉한 토지</t>
        </is>
      </c>
      <c r="L1026" s="6">
        <f>HYPERLINK("https://fin.land.naver.com/articles/2649904522", "매물Link")</f>
        <v/>
      </c>
      <c r="M1026" s="6">
        <f>HYPERLINK("https://map.naver.com/p/search/연서면 쌍류리 42-1", "지도Link")</f>
        <v/>
      </c>
      <c r="N1026" s="6">
        <f>HYPERLINK("http://www.eum.go.kr/web/ar/lu/luLandDet.jsp?pnu=3611036026100420001&amp;isNoScr=script&amp;mode=search", "토지이음")</f>
        <v/>
      </c>
      <c r="O1026" s="3" t="inlineStr">
        <is>
          <t>미스터홈즈강남지사</t>
        </is>
      </c>
      <c r="P1026" s="4" t="n">
        <v>1</v>
      </c>
      <c r="Q1026" s="4" t="n">
        <v>840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소로한면</t>
        </is>
      </c>
    </row>
    <row r="1027">
      <c r="A1027" s="3" t="inlineStr">
        <is>
          <t>연서면 쌍류리 426-2</t>
        </is>
      </c>
      <c r="B1027" s="3" t="inlineStr">
        <is>
          <t>계획관리지역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16000</v>
      </c>
      <c r="G1027" s="4" t="n">
        <v>476</v>
      </c>
      <c r="H1027" s="4" t="n">
        <v>144</v>
      </c>
      <c r="I1027" s="5" t="n">
        <v>111.1</v>
      </c>
      <c r="J1027" s="5" t="n">
        <v>55.4</v>
      </c>
      <c r="K1027" s="3" t="inlineStr">
        <is>
          <t>nan</t>
        </is>
      </c>
      <c r="L1027" s="6">
        <f>HYPERLINK("https://fin.land.naver.com/articles/2649967157", "매물Link")</f>
        <v/>
      </c>
      <c r="M1027" s="6">
        <f>HYPERLINK("https://map.naver.com/p/search/연서면 쌍류리 426-2", "지도Link")</f>
        <v/>
      </c>
      <c r="N1027" s="6">
        <f>HYPERLINK("http://www.eum.go.kr/web/ar/lu/luLandDet.jsp?pnu=3611036026104260002&amp;isNoScr=script&amp;mode=search", "토지이음")</f>
        <v/>
      </c>
      <c r="O1027" s="3" t="inlineStr">
        <is>
          <t>지성</t>
        </is>
      </c>
      <c r="P1027" s="4" t="n">
        <v>1</v>
      </c>
      <c r="Q1027" s="4" t="n">
        <v>476</v>
      </c>
      <c r="R1027" s="3" t="inlineStr">
        <is>
          <t>지정되지않음</t>
        </is>
      </c>
      <c r="S1027" s="3" t="inlineStr">
        <is>
          <t>단독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쌍류리 438-1</t>
        </is>
      </c>
      <c r="B1028" s="3" t="inlineStr">
        <is>
          <t>생산관리지역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210000</v>
      </c>
      <c r="G1028" s="4" t="n">
        <v>11425</v>
      </c>
      <c r="H1028" s="4" t="n">
        <v>3456</v>
      </c>
      <c r="I1028" s="5" t="n">
        <v>60.8</v>
      </c>
      <c r="J1028" s="5" t="n">
        <v>27.4</v>
      </c>
      <c r="K1028" s="3" t="inlineStr">
        <is>
          <t>도로있음, 매매가협의가능, 고복저수지7분거리, 분할가능</t>
        </is>
      </c>
      <c r="L1028" s="6">
        <f>HYPERLINK("https://fin.land.naver.com/articles/2649913709", "매물Link")</f>
        <v/>
      </c>
      <c r="M1028" s="6">
        <f>HYPERLINK("https://map.naver.com/p/search/연서면 쌍류리 438-1", "지도Link")</f>
        <v/>
      </c>
      <c r="N1028" s="6">
        <f>HYPERLINK("http://www.eum.go.kr/web/ar/lu/luLandDet.jsp?pnu=3611036026104380001&amp;isNoScr=script&amp;mode=search", "토지이음")</f>
        <v/>
      </c>
      <c r="O1028" s="3" t="inlineStr">
        <is>
          <t>미스터홈즈강남지사</t>
        </is>
      </c>
      <c r="P1028" s="4" t="n">
        <v>2</v>
      </c>
      <c r="Q1028" s="4" t="n">
        <v>11425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급경사</t>
        </is>
      </c>
      <c r="U1028" s="3" t="inlineStr">
        <is>
          <t>부정형</t>
        </is>
      </c>
      <c r="V1028" s="3" t="inlineStr">
        <is>
          <t>세로각지(가)</t>
        </is>
      </c>
    </row>
    <row r="1029">
      <c r="A1029" s="3" t="inlineStr">
        <is>
          <t>연서면 쌍류리 53</t>
        </is>
      </c>
      <c r="B1029" s="3" t="inlineStr">
        <is>
          <t>생산관리지역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57000</v>
      </c>
      <c r="G1029" s="4" t="n">
        <v>2734</v>
      </c>
      <c r="H1029" s="4" t="n">
        <v>827</v>
      </c>
      <c r="I1029" s="5" t="n">
        <v>68.90000000000001</v>
      </c>
      <c r="J1029" s="5" t="n">
        <v>24.9</v>
      </c>
      <c r="K1029" s="3" t="inlineStr">
        <is>
          <t>명성공인, 전용827, 연서면 생산관리 추천 매물</t>
        </is>
      </c>
      <c r="L1029" s="6">
        <f>HYPERLINK("https://fin.land.naver.com/articles/2650266078", "매물Link")</f>
        <v/>
      </c>
      <c r="M1029" s="6">
        <f>HYPERLINK("https://map.naver.com/p/search/연서면 쌍류리 53", "지도Link")</f>
        <v/>
      </c>
      <c r="N1029" s="6">
        <f>HYPERLINK("http://www.eum.go.kr/web/ar/lu/luLandDet.jsp?pnu=3611036026100530000&amp;isNoScr=script&amp;mode=search", "토지이음")</f>
        <v/>
      </c>
      <c r="O1029" s="3" t="inlineStr">
        <is>
          <t>명성</t>
        </is>
      </c>
      <c r="P1029" s="4" t="n">
        <v>2</v>
      </c>
      <c r="Q1029" s="4" t="n">
        <v>2734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쌍류리 56</t>
        </is>
      </c>
      <c r="B1030" s="3" t="inlineStr">
        <is>
          <t>생산관리지역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27000</v>
      </c>
      <c r="G1030" s="4" t="n">
        <v>1342</v>
      </c>
      <c r="H1030" s="4" t="n">
        <v>406</v>
      </c>
      <c r="I1030" s="5" t="n">
        <v>66.5</v>
      </c>
      <c r="J1030" s="5" t="n">
        <v>22.8</v>
      </c>
      <c r="K1030" s="3" t="inlineStr">
        <is>
          <t>명성공인, 전용406, 연서면 추천 매물</t>
        </is>
      </c>
      <c r="L1030" s="6">
        <f>HYPERLINK("https://fin.land.naver.com/articles/2648045315", "매물Link")</f>
        <v/>
      </c>
      <c r="M1030" s="6">
        <f>HYPERLINK("https://map.naver.com/p/search/연서면 쌍류리 56", "지도Link")</f>
        <v/>
      </c>
      <c r="N1030" s="6">
        <f>HYPERLINK("http://www.eum.go.kr/web/ar/lu/luLandDet.jsp?pnu=3611036026100560000&amp;isNoScr=script&amp;mode=search", "토지이음")</f>
        <v/>
      </c>
      <c r="O1030" s="3" t="inlineStr">
        <is>
          <t>명성</t>
        </is>
      </c>
      <c r="P1030" s="4" t="n">
        <v>1</v>
      </c>
      <c r="Q1030" s="4" t="n">
        <v>1011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세로한면(불)</t>
        </is>
      </c>
    </row>
    <row r="1031">
      <c r="A1031" s="3" t="inlineStr">
        <is>
          <t>연서면 쌍류리 560</t>
        </is>
      </c>
      <c r="B1031" s="3" t="inlineStr">
        <is>
          <t>생산관리지역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31000</v>
      </c>
      <c r="G1031" s="4" t="n">
        <v>1336</v>
      </c>
      <c r="H1031" s="4" t="n">
        <v>404</v>
      </c>
      <c r="I1031" s="5" t="n">
        <v>76.7</v>
      </c>
      <c r="J1031" s="5" t="n">
        <v>24</v>
      </c>
      <c r="K1031" s="3" t="inlineStr">
        <is>
          <t>nan</t>
        </is>
      </c>
      <c r="L1031" s="6">
        <f>HYPERLINK("https://fin.land.naver.com/articles/2647537025", "매물Link")</f>
        <v/>
      </c>
      <c r="M1031" s="6">
        <f>HYPERLINK("https://map.naver.com/p/search/연서면 쌍류리 560", "지도Link")</f>
        <v/>
      </c>
      <c r="N1031" s="6">
        <f>HYPERLINK("http://www.eum.go.kr/web/ar/lu/luLandDet.jsp?pnu=3611036026105600000&amp;isNoScr=script&amp;mode=search", "토지이음")</f>
        <v/>
      </c>
      <c r="O1031" s="3" t="inlineStr">
        <is>
          <t>신태양</t>
        </is>
      </c>
      <c r="P1031" s="4" t="n">
        <v>1</v>
      </c>
      <c r="Q1031" s="4" t="n">
        <v>1336</v>
      </c>
      <c r="R1031" s="3" t="inlineStr">
        <is>
          <t>지정되지않음</t>
        </is>
      </c>
      <c r="S1031" s="3" t="inlineStr">
        <is>
          <t>전기타</t>
        </is>
      </c>
      <c r="T1031" s="3" t="inlineStr">
        <is>
          <t>급경사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쌍류리 564</t>
        </is>
      </c>
      <c r="B1032" s="3" t="inlineStr">
        <is>
          <t>생산관리지역</t>
        </is>
      </c>
      <c r="C1032" s="3" t="inlineStr">
        <is>
          <t>전</t>
        </is>
      </c>
      <c r="D1032" s="3" t="inlineStr">
        <is>
          <t>전</t>
        </is>
      </c>
      <c r="E1032" s="3" t="inlineStr">
        <is>
          <t>매매</t>
        </is>
      </c>
      <c r="F1032" s="4" t="n">
        <v>10000</v>
      </c>
      <c r="G1032" s="4" t="n">
        <v>1127</v>
      </c>
      <c r="H1032" s="4" t="n">
        <v>341</v>
      </c>
      <c r="I1032" s="5" t="n">
        <v>29.3</v>
      </c>
      <c r="J1032" s="5" t="n">
        <v>22</v>
      </c>
      <c r="K1032" s="3" t="inlineStr">
        <is>
          <t>관리지역 토지매매</t>
        </is>
      </c>
      <c r="L1032" s="6">
        <f>HYPERLINK("https://fin.land.naver.com/articles/2648813367", "매물Link")</f>
        <v/>
      </c>
      <c r="M1032" s="6">
        <f>HYPERLINK("https://map.naver.com/p/search/연서면 쌍류리 564", "지도Link")</f>
        <v/>
      </c>
      <c r="N1032" s="6">
        <f>HYPERLINK("http://www.eum.go.kr/web/ar/lu/luLandDet.jsp?pnu=3611036026105640000&amp;isNoScr=script&amp;mode=search", "토지이음")</f>
        <v/>
      </c>
      <c r="O1032" s="3" t="inlineStr">
        <is>
          <t>세종대박</t>
        </is>
      </c>
      <c r="P1032" s="4" t="n">
        <v>1</v>
      </c>
      <c r="Q1032" s="4" t="n">
        <v>1127</v>
      </c>
      <c r="R1032" s="3" t="inlineStr">
        <is>
          <t>지정되지않음</t>
        </is>
      </c>
      <c r="S1032" s="3" t="inlineStr">
        <is>
          <t>전</t>
        </is>
      </c>
      <c r="T1032" s="3" t="inlineStr">
        <is>
          <t>급경사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쌍류리 584-1</t>
        </is>
      </c>
      <c r="B1033" s="3" t="inlineStr">
        <is>
          <t>생산관리지역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19160</v>
      </c>
      <c r="G1033" s="4" t="n">
        <v>1056</v>
      </c>
      <c r="H1033" s="4" t="n">
        <v>319</v>
      </c>
      <c r="I1033" s="5" t="n">
        <v>60.1</v>
      </c>
      <c r="J1033" s="5" t="n">
        <v>28.9</v>
      </c>
      <c r="K1033" s="3" t="inlineStr">
        <is>
          <t>세종시에서 1억원대에 투자할수 있는땅</t>
        </is>
      </c>
      <c r="L1033" s="6">
        <f>HYPERLINK("https://fin.land.naver.com/articles/2647444352", "매물Link")</f>
        <v/>
      </c>
      <c r="M1033" s="6">
        <f>HYPERLINK("https://map.naver.com/p/search/연서면 쌍류리 584-1", "지도Link")</f>
        <v/>
      </c>
      <c r="N1033" s="6">
        <f>HYPERLINK("http://www.eum.go.kr/web/ar/lu/luLandDet.jsp?pnu=3611036026105840001&amp;isNoScr=script&amp;mode=search", "토지이음")</f>
        <v/>
      </c>
      <c r="O1033" s="3" t="inlineStr">
        <is>
          <t>킹</t>
        </is>
      </c>
      <c r="P1033" s="4" t="n">
        <v>1</v>
      </c>
      <c r="Q1033" s="4" t="n">
        <v>1056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완경사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584-3</t>
        </is>
      </c>
      <c r="B1034" s="3" t="inlineStr">
        <is>
          <t>생산관리지역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45000</v>
      </c>
      <c r="G1034" s="4" t="n">
        <v>2463</v>
      </c>
      <c r="H1034" s="4" t="n">
        <v>745</v>
      </c>
      <c r="I1034" s="5" t="n">
        <v>60.4</v>
      </c>
      <c r="J1034" s="5" t="n">
        <v>28.9</v>
      </c>
      <c r="K1034" s="3" t="inlineStr">
        <is>
          <t>쌍류리 저렴한 토지매매</t>
        </is>
      </c>
      <c r="L1034" s="6">
        <f>HYPERLINK("https://fin.land.naver.com/articles/2646861698", "매물Link")</f>
        <v/>
      </c>
      <c r="M1034" s="6">
        <f>HYPERLINK("https://map.naver.com/p/search/연서면 쌍류리 584-3", "지도Link")</f>
        <v/>
      </c>
      <c r="N1034" s="6">
        <f>HYPERLINK("http://www.eum.go.kr/web/ar/lu/luLandDet.jsp?pnu=3611036026105840003&amp;isNoScr=script&amp;mode=search", "토지이음")</f>
        <v/>
      </c>
      <c r="O1034" s="3" t="inlineStr">
        <is>
          <t>세종땅사랑</t>
        </is>
      </c>
      <c r="P1034" s="4" t="n">
        <v>1</v>
      </c>
      <c r="Q1034" s="4" t="n">
        <v>1435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584-3</t>
        </is>
      </c>
      <c r="B1035" s="3" t="inlineStr">
        <is>
          <t>생산관리지역</t>
        </is>
      </c>
      <c r="C1035" s="3" t="inlineStr">
        <is>
          <t>과수원</t>
        </is>
      </c>
      <c r="D1035" s="3" t="inlineStr">
        <is>
          <t>과수원</t>
        </is>
      </c>
      <c r="E1035" s="3" t="inlineStr">
        <is>
          <t>매매</t>
        </is>
      </c>
      <c r="F1035" s="4" t="n">
        <v>49500</v>
      </c>
      <c r="G1035" s="4" t="n">
        <v>2463</v>
      </c>
      <c r="H1035" s="4" t="n">
        <v>745</v>
      </c>
      <c r="I1035" s="5" t="n">
        <v>66.40000000000001</v>
      </c>
      <c r="J1035" s="5" t="n">
        <v>28.9</v>
      </c>
      <c r="K1035" s="3" t="inlineStr">
        <is>
          <t>도로접한 저렴한 토지매매</t>
        </is>
      </c>
      <c r="L1035" s="6">
        <f>HYPERLINK("https://fin.land.naver.com/articles/2651247524", "매물Link")</f>
        <v/>
      </c>
      <c r="M1035" s="6">
        <f>HYPERLINK("https://map.naver.com/p/search/연서면 쌍류리 584-3", "지도Link")</f>
        <v/>
      </c>
      <c r="N1035" s="6">
        <f>HYPERLINK("http://www.eum.go.kr/web/ar/lu/luLandDet.jsp?pnu=3611036026105840003&amp;isNoScr=script&amp;mode=search", "토지이음")</f>
        <v/>
      </c>
      <c r="O1035" s="3" t="inlineStr">
        <is>
          <t>세종토박이</t>
        </is>
      </c>
      <c r="P1035" s="4" t="n">
        <v>1</v>
      </c>
      <c r="Q1035" s="4" t="n">
        <v>1435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598-1</t>
        </is>
      </c>
      <c r="B1036" s="3" t="inlineStr">
        <is>
          <t>생산관리지역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78000</v>
      </c>
      <c r="G1036" s="4" t="n">
        <v>1572</v>
      </c>
      <c r="H1036" s="4" t="n">
        <v>476</v>
      </c>
      <c r="I1036" s="5" t="n">
        <v>163.9</v>
      </c>
      <c r="J1036" s="5" t="n">
        <v>48</v>
      </c>
      <c r="K1036" s="3" t="inlineStr">
        <is>
          <t>2차선 도로 접 하고 있는매물</t>
        </is>
      </c>
      <c r="L1036" s="6">
        <f>HYPERLINK("https://fin.land.naver.com/articles/2647765926", "매물Link")</f>
        <v/>
      </c>
      <c r="M1036" s="6">
        <f>HYPERLINK("https://map.naver.com/p/search/연서면 쌍류리 598-1", "지도Link")</f>
        <v/>
      </c>
      <c r="N1036" s="6">
        <f>HYPERLINK("http://www.eum.go.kr/web/ar/lu/luLandDet.jsp?pnu=3611036026105980001&amp;isNoScr=script&amp;mode=search", "토지이음")</f>
        <v/>
      </c>
      <c r="O1036" s="3" t="inlineStr">
        <is>
          <t>지호주식회사</t>
        </is>
      </c>
      <c r="P1036" s="4" t="n">
        <v>1</v>
      </c>
      <c r="Q1036" s="4" t="n">
        <v>1126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소로각지</t>
        </is>
      </c>
    </row>
    <row r="1037">
      <c r="A1037" s="3" t="inlineStr">
        <is>
          <t>연서면 쌍류리 6-11</t>
        </is>
      </c>
      <c r="B1037" s="3" t="inlineStr">
        <is>
          <t>농림지역</t>
        </is>
      </c>
      <c r="C1037" s="3" t="inlineStr">
        <is>
          <t>임야</t>
        </is>
      </c>
      <c r="D1037" s="3" t="inlineStr">
        <is>
          <t>임야</t>
        </is>
      </c>
      <c r="E1037" s="3" t="inlineStr">
        <is>
          <t>매매</t>
        </is>
      </c>
      <c r="F1037" s="4" t="n">
        <v>46000</v>
      </c>
      <c r="G1037" s="4" t="n">
        <v>6289</v>
      </c>
      <c r="H1037" s="4" t="n">
        <v>1902</v>
      </c>
      <c r="I1037" s="5" t="n">
        <v>24.2</v>
      </c>
      <c r="J1037" s="5" t="n">
        <v>3</v>
      </c>
      <c r="K1037" s="3" t="inlineStr">
        <is>
          <t>연서면 2차선변 야산</t>
        </is>
      </c>
      <c r="L1037" s="6">
        <f>HYPERLINK("https://fin.land.naver.com/articles/2647576378", "매물Link")</f>
        <v/>
      </c>
      <c r="M1037" s="6">
        <f>HYPERLINK("https://map.naver.com/p/search/연서면 쌍류리 6-11", "지도Link")</f>
        <v/>
      </c>
      <c r="N1037" s="6">
        <f>HYPERLINK("http://www.eum.go.kr/web/ar/lu/luLandDet.jsp?pnu=3611036026100060011&amp;isNoScr=script&amp;mode=search", "토지이음")</f>
        <v/>
      </c>
      <c r="O1037" s="3" t="inlineStr">
        <is>
          <t>KB세종</t>
        </is>
      </c>
      <c r="P1037" s="4" t="n">
        <v>1</v>
      </c>
      <c r="Q1037" s="4" t="n">
        <v>6289</v>
      </c>
      <c r="R1037" s="3" t="inlineStr">
        <is>
          <t>보전관리지역</t>
        </is>
      </c>
      <c r="S1037" s="3" t="inlineStr">
        <is>
          <t>자연림</t>
        </is>
      </c>
      <c r="T1037" s="3" t="inlineStr">
        <is>
          <t>급경사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쌍류리 608-4</t>
        </is>
      </c>
      <c r="B1038" s="3" t="inlineStr">
        <is>
          <t>보전관리지역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18000</v>
      </c>
      <c r="G1038" s="4" t="n">
        <v>500</v>
      </c>
      <c r="H1038" s="4" t="n">
        <v>151</v>
      </c>
      <c r="I1038" s="5" t="n">
        <v>119.2</v>
      </c>
      <c r="J1038" s="5" t="n">
        <v>25.4</v>
      </c>
      <c r="K1038" s="3" t="inlineStr">
        <is>
          <t>세종에서 1억원대에 투자할수 있는땅</t>
        </is>
      </c>
      <c r="L1038" s="6">
        <f>HYPERLINK("https://fin.land.naver.com/articles/2647444081", "매물Link")</f>
        <v/>
      </c>
      <c r="M1038" s="6">
        <f>HYPERLINK("https://map.naver.com/p/search/연서면 쌍류리 608-4", "지도Link")</f>
        <v/>
      </c>
      <c r="N1038" s="6">
        <f>HYPERLINK("http://www.eum.go.kr/web/ar/lu/luLandDet.jsp?pnu=3611036026106080004&amp;isNoScr=script&amp;mode=search", "토지이음")</f>
        <v/>
      </c>
      <c r="O1038" s="3" t="inlineStr">
        <is>
          <t>킹</t>
        </is>
      </c>
      <c r="P1038" s="4" t="n">
        <v>1</v>
      </c>
      <c r="Q1038" s="4" t="n">
        <v>500</v>
      </c>
      <c r="R1038" s="3" t="inlineStr">
        <is>
          <t>생산관리지역</t>
        </is>
      </c>
      <c r="S1038" s="3" t="inlineStr">
        <is>
          <t>과수원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세로한면(불)</t>
        </is>
      </c>
    </row>
    <row r="1039">
      <c r="A1039" s="3" t="inlineStr">
        <is>
          <t>연서면 쌍류리 706-99</t>
        </is>
      </c>
      <c r="B1039" s="3" t="inlineStr">
        <is>
          <t>생산관리지역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16300</v>
      </c>
      <c r="G1039" s="4" t="n">
        <v>522</v>
      </c>
      <c r="H1039" s="4" t="n">
        <v>158</v>
      </c>
      <c r="I1039" s="5" t="n">
        <v>103.2</v>
      </c>
      <c r="J1039" s="5" t="n">
        <v>32.8</v>
      </c>
      <c r="K1039" s="3" t="inlineStr">
        <is>
          <t>2차선 도로변의 접근성 좋은 급매 토지</t>
        </is>
      </c>
      <c r="L1039" s="6">
        <f>HYPERLINK("https://fin.land.naver.com/articles/2648746836", "매물Link")</f>
        <v/>
      </c>
      <c r="M1039" s="6">
        <f>HYPERLINK("https://map.naver.com/p/search/연서면 쌍류리 706-99", "지도Link")</f>
        <v/>
      </c>
      <c r="N1039" s="6">
        <f>HYPERLINK("http://www.eum.go.kr/web/ar/lu/luLandDet.jsp?pnu=3611036026107060099&amp;isNoScr=script&amp;mode=search", "토지이음")</f>
        <v/>
      </c>
      <c r="O1039" s="3" t="inlineStr">
        <is>
          <t>용궁</t>
        </is>
      </c>
      <c r="P1039" s="4" t="n">
        <v>1</v>
      </c>
      <c r="Q1039" s="4" t="n">
        <v>314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소로한면</t>
        </is>
      </c>
    </row>
    <row r="1040">
      <c r="A1040" s="3" t="inlineStr">
        <is>
          <t>연서면 쌍류리 706-99</t>
        </is>
      </c>
      <c r="B1040" s="3" t="inlineStr">
        <is>
          <t>생산관리지역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17000</v>
      </c>
      <c r="G1040" s="4" t="n">
        <v>522</v>
      </c>
      <c r="H1040" s="4" t="n">
        <v>158</v>
      </c>
      <c r="I1040" s="5" t="n">
        <v>107.6</v>
      </c>
      <c r="J1040" s="5" t="n">
        <v>32.8</v>
      </c>
      <c r="K1040" s="3" t="inlineStr">
        <is>
          <t>쌍류리 2차선길게 접한 코너각지 위치좋고 저렴한 토지</t>
        </is>
      </c>
      <c r="L1040" s="6">
        <f>HYPERLINK("https://fin.land.naver.com/articles/2651241272", "매물Link")</f>
        <v/>
      </c>
      <c r="M1040" s="6">
        <f>HYPERLINK("https://map.naver.com/p/search/연서면 쌍류리 706-99", "지도Link")</f>
        <v/>
      </c>
      <c r="N1040" s="6">
        <f>HYPERLINK("http://www.eum.go.kr/web/ar/lu/luLandDet.jsp?pnu=3611036026107060099&amp;isNoScr=script&amp;mode=search", "토지이음")</f>
        <v/>
      </c>
      <c r="O1040" s="3" t="inlineStr">
        <is>
          <t>세종땅사랑</t>
        </is>
      </c>
      <c r="P1040" s="4" t="n">
        <v>1</v>
      </c>
      <c r="Q1040" s="4" t="n">
        <v>314</v>
      </c>
      <c r="R1040" s="3" t="inlineStr">
        <is>
          <t>지정되지않음</t>
        </is>
      </c>
      <c r="S1040" s="3" t="inlineStr">
        <is>
          <t>과수원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쌍류리 72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150000</v>
      </c>
      <c r="G1041" s="4" t="n">
        <v>2088</v>
      </c>
      <c r="H1041" s="4" t="n">
        <v>632</v>
      </c>
      <c r="I1041" s="5" t="n">
        <v>237.3</v>
      </c>
      <c r="J1041" s="5" t="n">
        <v>83.09999999999999</v>
      </c>
      <c r="K1041" s="3" t="inlineStr">
        <is>
          <t>인근에서 보기 두문 계획관리 부지</t>
        </is>
      </c>
      <c r="L1041" s="6">
        <f>HYPERLINK("https://fin.land.naver.com/articles/2650344547", "매물Link")</f>
        <v/>
      </c>
      <c r="M1041" s="6">
        <f>HYPERLINK("https://map.naver.com/p/search/연서면 쌍류리 72", "지도Link")</f>
        <v/>
      </c>
      <c r="N1041" s="6">
        <f>HYPERLINK("http://www.eum.go.kr/web/ar/lu/luLandDet.jsp?pnu=3611036026100720000&amp;isNoScr=script&amp;mode=search", "토지이음")</f>
        <v/>
      </c>
      <c r="O1041" s="3" t="inlineStr">
        <is>
          <t>비전</t>
        </is>
      </c>
      <c r="P1041" s="4" t="n">
        <v>1</v>
      </c>
      <c r="Q1041" s="4" t="n">
        <v>650</v>
      </c>
      <c r="R1041" s="3" t="inlineStr">
        <is>
          <t>지정되지않음</t>
        </is>
      </c>
      <c r="S1041" s="3" t="inlineStr">
        <is>
          <t>단독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소로한면</t>
        </is>
      </c>
    </row>
    <row r="1042">
      <c r="A1042" s="3" t="inlineStr">
        <is>
          <t>연서면 쌍류리 94-12</t>
        </is>
      </c>
      <c r="B1042" s="3" t="inlineStr">
        <is>
          <t>생산관리지역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26000</v>
      </c>
      <c r="G1042" s="4" t="n">
        <v>477</v>
      </c>
      <c r="H1042" s="4" t="n">
        <v>144</v>
      </c>
      <c r="I1042" s="5" t="n">
        <v>180.6</v>
      </c>
      <c r="J1042" s="5" t="n">
        <v>30.2</v>
      </c>
      <c r="K1042" s="3" t="inlineStr">
        <is>
          <t>근생 건축허가 및 전기,수도,통신 등 지하와 완료 즉시 신축가능</t>
        </is>
      </c>
      <c r="L1042" s="6">
        <f>HYPERLINK("https://fin.land.naver.com/articles/2649398240", "매물Link")</f>
        <v/>
      </c>
      <c r="M1042" s="6">
        <f>HYPERLINK("https://map.naver.com/p/search/연서면 쌍류리 94-12", "지도Link")</f>
        <v/>
      </c>
      <c r="N1042" s="6">
        <f>HYPERLINK("http://www.eum.go.kr/web/ar/lu/luLandDet.jsp?pnu=3611036026100940012&amp;isNoScr=script&amp;mode=search", "토지이음")</f>
        <v/>
      </c>
      <c r="O1042" s="3" t="inlineStr">
        <is>
          <t>세종나라</t>
        </is>
      </c>
      <c r="P1042" s="4" t="n">
        <v>2</v>
      </c>
      <c r="Q1042" s="4" t="n">
        <v>477</v>
      </c>
      <c r="R1042" s="3" t="inlineStr">
        <is>
          <t>지정되지않음</t>
        </is>
      </c>
      <c r="S1042" s="3" t="inlineStr">
        <is>
          <t>전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쌍류리 94-12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26560</v>
      </c>
      <c r="G1043" s="4" t="n">
        <v>477</v>
      </c>
      <c r="H1043" s="4" t="n">
        <v>144</v>
      </c>
      <c r="I1043" s="5" t="n">
        <v>184.4</v>
      </c>
      <c r="J1043" s="5" t="n">
        <v>30.2</v>
      </c>
      <c r="K1043" s="3" t="inlineStr">
        <is>
          <t>nan</t>
        </is>
      </c>
      <c r="L1043" s="6">
        <f>HYPERLINK("https://fin.land.naver.com/articles/2650436505", "매물Link")</f>
        <v/>
      </c>
      <c r="M1043" s="6">
        <f>HYPERLINK("https://map.naver.com/p/search/연서면 쌍류리 94-12", "지도Link")</f>
        <v/>
      </c>
      <c r="N1043" s="6">
        <f>HYPERLINK("http://www.eum.go.kr/web/ar/lu/luLandDet.jsp?pnu=3611036026100940012&amp;isNoScr=script&amp;mode=search", "토지이음")</f>
        <v/>
      </c>
      <c r="O1043" s="3" t="inlineStr">
        <is>
          <t>세종소담114</t>
        </is>
      </c>
      <c r="P1043" s="4" t="n">
        <v>1</v>
      </c>
      <c r="Q1043" s="4" t="n">
        <v>477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쌍전리 136</t>
        </is>
      </c>
      <c r="B1044" s="3" t="inlineStr">
        <is>
          <t>자연녹지지역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34000</v>
      </c>
      <c r="G1044" s="4" t="n">
        <v>562</v>
      </c>
      <c r="H1044" s="4" t="n">
        <v>170</v>
      </c>
      <c r="I1044" s="5" t="n">
        <v>200</v>
      </c>
      <c r="J1044" s="5" t="n">
        <v>57.1</v>
      </c>
      <c r="K1044" s="3" t="inlineStr">
        <is>
          <t>nan</t>
        </is>
      </c>
      <c r="L1044" s="6">
        <f>HYPERLINK("https://fin.land.naver.com/articles/2646589357", "매물Link")</f>
        <v/>
      </c>
      <c r="M1044" s="6">
        <f>HYPERLINK("https://map.naver.com/p/search/연서면 쌍전리 136", "지도Link")</f>
        <v/>
      </c>
      <c r="N1044" s="6">
        <f>HYPERLINK("http://www.eum.go.kr/web/ar/lu/luLandDet.jsp?pnu=3611036022101360000&amp;isNoScr=script&amp;mode=search", "토지이음")</f>
        <v/>
      </c>
      <c r="O1044" s="3" t="inlineStr">
        <is>
          <t>이순이</t>
        </is>
      </c>
      <c r="P1044" s="4" t="n">
        <v>1</v>
      </c>
      <c r="Q1044" s="4" t="n">
        <v>562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완경사</t>
        </is>
      </c>
      <c r="U1044" s="3" t="inlineStr">
        <is>
          <t>사다리형</t>
        </is>
      </c>
      <c r="V1044" s="3" t="inlineStr">
        <is>
          <t>맹지</t>
        </is>
      </c>
    </row>
    <row r="1045">
      <c r="A1045" s="3" t="inlineStr">
        <is>
          <t>연서면 쌍전리 140-2</t>
        </is>
      </c>
      <c r="B1045" s="3" t="inlineStr">
        <is>
          <t>자연녹지지역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27400</v>
      </c>
      <c r="G1045" s="4" t="n">
        <v>700</v>
      </c>
      <c r="H1045" s="4" t="n">
        <v>212</v>
      </c>
      <c r="I1045" s="5" t="n">
        <v>129.2</v>
      </c>
      <c r="J1045" s="5" t="n">
        <v>55.9</v>
      </c>
      <c r="K1045" s="3" t="inlineStr">
        <is>
          <t>토지거래허가구역에서 제외된 토지. 향후 미래가치가 높은 소액투자로 추천.</t>
        </is>
      </c>
      <c r="L1045" s="6">
        <f>HYPERLINK("https://fin.land.naver.com/articles/2649342650", "매물Link")</f>
        <v/>
      </c>
      <c r="M1045" s="6">
        <f>HYPERLINK("https://map.naver.com/p/search/연서면 쌍전리 140-2", "지도Link")</f>
        <v/>
      </c>
      <c r="N1045" s="6">
        <f>HYPERLINK("http://www.eum.go.kr/web/ar/lu/luLandDet.jsp?pnu=3611036022101400002&amp;isNoScr=script&amp;mode=search", "토지이음")</f>
        <v/>
      </c>
      <c r="O1045" s="3" t="inlineStr">
        <is>
          <t>세종대장</t>
        </is>
      </c>
      <c r="P1045" s="4" t="n">
        <v>2</v>
      </c>
      <c r="Q1045" s="4" t="n">
        <v>510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쌍전리 151</t>
        </is>
      </c>
      <c r="B1046" s="3" t="inlineStr">
        <is>
          <t>자연녹지지역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67730</v>
      </c>
      <c r="G1046" s="4" t="n">
        <v>1722</v>
      </c>
      <c r="H1046" s="4" t="n">
        <v>521</v>
      </c>
      <c r="I1046" s="5" t="n">
        <v>130</v>
      </c>
      <c r="J1046" s="5" t="n">
        <v>59.5</v>
      </c>
      <c r="K1046" s="3" t="inlineStr">
        <is>
          <t>시세 대비 저렴한 물건으로 대토나 주말농장용 농지로 추천</t>
        </is>
      </c>
      <c r="L1046" s="6">
        <f>HYPERLINK("https://fin.land.naver.com/articles/2647392151", "매물Link")</f>
        <v/>
      </c>
      <c r="M1046" s="6">
        <f>HYPERLINK("https://map.naver.com/p/search/연서면 쌍전리 151", "지도Link")</f>
        <v/>
      </c>
      <c r="N1046" s="6">
        <f>HYPERLINK("http://www.eum.go.kr/web/ar/lu/luLandDet.jsp?pnu=3611036022101510000&amp;isNoScr=script&amp;mode=search", "토지이음")</f>
        <v/>
      </c>
      <c r="O1046" s="3" t="inlineStr">
        <is>
          <t>신와촌</t>
        </is>
      </c>
      <c r="P1046" s="4" t="n">
        <v>1</v>
      </c>
      <c r="Q1046" s="4" t="n">
        <v>1722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쌍전리 175-14</t>
        </is>
      </c>
      <c r="B1047" s="3" t="inlineStr">
        <is>
          <t>자연녹지지역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40300</v>
      </c>
      <c r="G1047" s="4" t="n">
        <v>635</v>
      </c>
      <c r="H1047" s="4" t="n">
        <v>192</v>
      </c>
      <c r="I1047" s="5" t="n">
        <v>209.9</v>
      </c>
      <c r="J1047" s="5" t="n">
        <v>66.90000000000001</v>
      </c>
      <c r="K1047" s="3" t="inlineStr">
        <is>
          <t>도심근처 주택지 공방,찻집 등이 어울리는 호재성 좋은 토지</t>
        </is>
      </c>
      <c r="L1047" s="6">
        <f>HYPERLINK("https://fin.land.naver.com/articles/2650398102", "매물Link")</f>
        <v/>
      </c>
      <c r="M1047" s="6">
        <f>HYPERLINK("https://map.naver.com/p/search/연서면 쌍전리 175-14", "지도Link")</f>
        <v/>
      </c>
      <c r="N1047" s="6">
        <f>HYPERLINK("http://www.eum.go.kr/web/ar/lu/luLandDet.jsp?pnu=3611036022101750014&amp;isNoScr=script&amp;mode=search", "토지이음")</f>
        <v/>
      </c>
      <c r="O1047" s="3" t="inlineStr">
        <is>
          <t>지성</t>
        </is>
      </c>
      <c r="P1047" s="4" t="n">
        <v>1</v>
      </c>
      <c r="Q1047" s="4" t="n">
        <v>518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완경사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쌍전리 175-14</t>
        </is>
      </c>
      <c r="B1048" s="3" t="inlineStr">
        <is>
          <t>자연녹지지역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39200</v>
      </c>
      <c r="G1048" s="4" t="n">
        <v>518</v>
      </c>
      <c r="H1048" s="4" t="n">
        <v>157</v>
      </c>
      <c r="I1048" s="5" t="n">
        <v>249.7</v>
      </c>
      <c r="J1048" s="5" t="n">
        <v>66.90000000000001</v>
      </c>
      <c r="K1048" s="3" t="inlineStr">
        <is>
          <t>전원주택단지 최고의 입지  단지조성완료  협의가능  연기군아파트공급호재</t>
        </is>
      </c>
      <c r="L1048" s="6">
        <f>HYPERLINK("https://fin.land.naver.com/articles/2647888422", "매물Link")</f>
        <v/>
      </c>
      <c r="M1048" s="6">
        <f>HYPERLINK("https://map.naver.com/p/search/연서면 쌍전리 175-14", "지도Link")</f>
        <v/>
      </c>
      <c r="N1048" s="6">
        <f>HYPERLINK("http://www.eum.go.kr/web/ar/lu/luLandDet.jsp?pnu=3611036022101750014&amp;isNoScr=script&amp;mode=search", "토지이음")</f>
        <v/>
      </c>
      <c r="O1048" s="3" t="inlineStr">
        <is>
          <t>연세</t>
        </is>
      </c>
      <c r="P1048" s="4" t="n">
        <v>1</v>
      </c>
      <c r="Q1048" s="4" t="n">
        <v>518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완경사</t>
        </is>
      </c>
      <c r="U1048" s="3" t="inlineStr">
        <is>
          <t>사다리형</t>
        </is>
      </c>
      <c r="V1048" s="3" t="inlineStr">
        <is>
          <t>세로한면(가)</t>
        </is>
      </c>
    </row>
    <row r="1049">
      <c r="A1049" s="3" t="inlineStr">
        <is>
          <t>연서면 쌍전리 200-1</t>
        </is>
      </c>
      <c r="B1049" s="3" t="inlineStr">
        <is>
          <t>자연녹지지역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105000</v>
      </c>
      <c r="G1049" s="4" t="n">
        <v>1878</v>
      </c>
      <c r="H1049" s="4" t="n">
        <v>568</v>
      </c>
      <c r="I1049" s="5" t="n">
        <v>184.9</v>
      </c>
      <c r="J1049" s="5" t="n">
        <v>64.5</v>
      </c>
      <c r="K1049" s="3" t="inlineStr">
        <is>
          <t>급매,568P 도로접, 연서면 쌍전리 자연녹지</t>
        </is>
      </c>
      <c r="L1049" s="6">
        <f>HYPERLINK("https://fin.land.naver.com/articles/2646815489", "매물Link")</f>
        <v/>
      </c>
      <c r="M1049" s="6">
        <f>HYPERLINK("https://map.naver.com/p/search/연서면 쌍전리 200-1", "지도Link")</f>
        <v/>
      </c>
      <c r="N1049" s="6">
        <f>HYPERLINK("http://www.eum.go.kr/web/ar/lu/luLandDet.jsp?pnu=3611036022102000001&amp;isNoScr=script&amp;mode=search", "토지이음")</f>
        <v/>
      </c>
      <c r="O1049" s="3" t="inlineStr">
        <is>
          <t>광장</t>
        </is>
      </c>
      <c r="P1049" s="4" t="n">
        <v>1</v>
      </c>
      <c r="Q1049" s="4" t="n">
        <v>1878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세로한면(가)</t>
        </is>
      </c>
    </row>
    <row r="1050">
      <c r="A1050" s="3" t="inlineStr">
        <is>
          <t>연서면 쌍전리 400</t>
        </is>
      </c>
      <c r="B1050" s="3" t="inlineStr">
        <is>
          <t>자연녹지지역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57000</v>
      </c>
      <c r="G1050" s="4" t="n">
        <v>955</v>
      </c>
      <c r="H1050" s="4" t="n">
        <v>289</v>
      </c>
      <c r="I1050" s="5" t="n">
        <v>197.2</v>
      </c>
      <c r="J1050" s="5" t="n">
        <v>59.5</v>
      </c>
      <c r="K1050" s="3" t="inlineStr">
        <is>
          <t>nan</t>
        </is>
      </c>
      <c r="L1050" s="6">
        <f>HYPERLINK("https://fin.land.naver.com/articles/2646589140", "매물Link")</f>
        <v/>
      </c>
      <c r="M1050" s="6">
        <f>HYPERLINK("https://map.naver.com/p/search/연서면 쌍전리 400", "지도Link")</f>
        <v/>
      </c>
      <c r="N1050" s="6">
        <f>HYPERLINK("http://www.eum.go.kr/web/ar/lu/luLandDet.jsp?pnu=3611036022104000000&amp;isNoScr=script&amp;mode=search", "토지이음")</f>
        <v/>
      </c>
      <c r="O1050" s="3" t="inlineStr">
        <is>
          <t>이순이</t>
        </is>
      </c>
      <c r="P1050" s="4" t="n">
        <v>1</v>
      </c>
      <c r="Q1050" s="4" t="n">
        <v>955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세로각지(가)</t>
        </is>
      </c>
    </row>
    <row r="1051">
      <c r="A1051" s="3" t="inlineStr">
        <is>
          <t>연서면 쌍전리 405-4</t>
        </is>
      </c>
      <c r="B1051" s="3" t="inlineStr">
        <is>
          <t>자연녹지지역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81000</v>
      </c>
      <c r="G1051" s="4" t="n">
        <v>1498</v>
      </c>
      <c r="H1051" s="4" t="n">
        <v>453</v>
      </c>
      <c r="I1051" s="5" t="n">
        <v>178.8</v>
      </c>
      <c r="J1051" s="5" t="n">
        <v>24.2</v>
      </c>
      <c r="K1051" s="3" t="inlineStr">
        <is>
          <t>자연녹지 임야 매매</t>
        </is>
      </c>
      <c r="L1051" s="6">
        <f>HYPERLINK("https://fin.land.naver.com/articles/2648813384", "매물Link")</f>
        <v/>
      </c>
      <c r="M1051" s="6">
        <f>HYPERLINK("https://map.naver.com/p/search/연서면 쌍전리 405-4", "지도Link")</f>
        <v/>
      </c>
      <c r="N1051" s="6">
        <f>HYPERLINK("http://www.eum.go.kr/web/ar/lu/luLandDet.jsp?pnu=3611036022104050004&amp;isNoScr=script&amp;mode=search", "토지이음")</f>
        <v/>
      </c>
      <c r="O1051" s="3" t="inlineStr">
        <is>
          <t>세종대박</t>
        </is>
      </c>
      <c r="P1051" s="4" t="n">
        <v>1</v>
      </c>
      <c r="Q1051" s="4" t="n">
        <v>1498</v>
      </c>
      <c r="R1051" s="3" t="inlineStr">
        <is>
          <t>지정되지않음</t>
        </is>
      </c>
      <c r="S1051" s="3" t="inlineStr">
        <is>
          <t>자연림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세로한면(불)</t>
        </is>
      </c>
    </row>
    <row r="1052">
      <c r="A1052" s="3" t="inlineStr">
        <is>
          <t>연서면 쌍전리 407-3</t>
        </is>
      </c>
      <c r="B1052" s="3" t="inlineStr">
        <is>
          <t>자연녹지지역</t>
        </is>
      </c>
      <c r="C1052" s="3" t="inlineStr">
        <is>
          <t>과수원</t>
        </is>
      </c>
      <c r="D1052" s="3" t="inlineStr">
        <is>
          <t>과수원</t>
        </is>
      </c>
      <c r="E1052" s="3" t="inlineStr">
        <is>
          <t>매매</t>
        </is>
      </c>
      <c r="F1052" s="4" t="n">
        <v>83000</v>
      </c>
      <c r="G1052" s="4" t="n">
        <v>1831</v>
      </c>
      <c r="H1052" s="4" t="n">
        <v>554</v>
      </c>
      <c r="I1052" s="5" t="n">
        <v>149.8</v>
      </c>
      <c r="J1052" s="5" t="n">
        <v>50.6</v>
      </c>
      <c r="K1052" s="3" t="inlineStr">
        <is>
          <t>본 토지에진입로가 접하고 있으며세종시에는흔치않 은희소성 이 있는토지임</t>
        </is>
      </c>
      <c r="L1052" s="6">
        <f>HYPERLINK("https://fin.land.naver.com/articles/2648740927", "매물Link")</f>
        <v/>
      </c>
      <c r="M1052" s="6">
        <f>HYPERLINK("https://map.naver.com/p/search/연서면 쌍전리 407-3", "지도Link")</f>
        <v/>
      </c>
      <c r="N1052" s="6">
        <f>HYPERLINK("http://www.eum.go.kr/web/ar/lu/luLandDet.jsp?pnu=3611036022104070003&amp;isNoScr=script&amp;mode=search", "토지이음")</f>
        <v/>
      </c>
      <c r="O1052" s="3" t="inlineStr">
        <is>
          <t>대흥</t>
        </is>
      </c>
      <c r="P1052" s="4" t="n">
        <v>1</v>
      </c>
      <c r="Q1052" s="4" t="n">
        <v>1831</v>
      </c>
      <c r="R1052" s="3" t="inlineStr">
        <is>
          <t>지정되지않음</t>
        </is>
      </c>
      <c r="S1052" s="3" t="inlineStr">
        <is>
          <t>전기타</t>
        </is>
      </c>
      <c r="T1052" s="3" t="inlineStr">
        <is>
          <t>평지</t>
        </is>
      </c>
      <c r="U1052" s="3" t="inlineStr">
        <is>
          <t>자루형</t>
        </is>
      </c>
      <c r="V1052" s="3" t="inlineStr">
        <is>
          <t>맹지</t>
        </is>
      </c>
    </row>
    <row r="1053">
      <c r="A1053" s="3" t="inlineStr">
        <is>
          <t>연서면 쌍전리 419-2</t>
        </is>
      </c>
      <c r="B1053" s="3" t="inlineStr">
        <is>
          <t>자연녹지지역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92500</v>
      </c>
      <c r="G1053" s="4" t="n">
        <v>2043</v>
      </c>
      <c r="H1053" s="4" t="n">
        <v>618</v>
      </c>
      <c r="I1053" s="5" t="n">
        <v>149.7</v>
      </c>
      <c r="J1053" s="5" t="n">
        <v>46.5</v>
      </c>
      <c r="K1053" s="3" t="inlineStr">
        <is>
          <t>급매 지대가 높아 조망이 좋은 전원주택지 및 과수원으로 활용</t>
        </is>
      </c>
      <c r="L1053" s="6">
        <f>HYPERLINK("https://fin.land.naver.com/articles/2649203247", "매물Link")</f>
        <v/>
      </c>
      <c r="M1053" s="6">
        <f>HYPERLINK("https://map.naver.com/p/search/연서면 쌍전리 419-2", "지도Link")</f>
        <v/>
      </c>
      <c r="N1053" s="6">
        <f>HYPERLINK("http://www.eum.go.kr/web/ar/lu/luLandDet.jsp?pnu=3611036022104190002&amp;isNoScr=script&amp;mode=search", "토지이음")</f>
        <v/>
      </c>
      <c r="O1053" s="3" t="inlineStr">
        <is>
          <t>스마일세종</t>
        </is>
      </c>
      <c r="P1053" s="4" t="n">
        <v>1</v>
      </c>
      <c r="Q1053" s="4" t="n">
        <v>2043</v>
      </c>
      <c r="R1053" s="3" t="inlineStr">
        <is>
          <t>지정되지않음</t>
        </is>
      </c>
      <c r="S1053" s="3" t="inlineStr">
        <is>
          <t>전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세로한면(불)</t>
        </is>
      </c>
    </row>
    <row r="1054">
      <c r="A1054" s="3" t="inlineStr">
        <is>
          <t>연서면 쌍전리 433-1</t>
        </is>
      </c>
      <c r="B1054" s="3" t="inlineStr">
        <is>
          <t>자연녹지지역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36000</v>
      </c>
      <c r="G1054" s="4" t="n">
        <v>1230</v>
      </c>
      <c r="H1054" s="4" t="n">
        <v>372</v>
      </c>
      <c r="I1054" s="5" t="n">
        <v>96.8</v>
      </c>
      <c r="J1054" s="5" t="n">
        <v>86.3</v>
      </c>
      <c r="K1054" s="3" t="inlineStr">
        <is>
          <t>nan</t>
        </is>
      </c>
      <c r="L1054" s="6">
        <f>HYPERLINK("https://fin.land.naver.com/articles/2648997031", "매물Link")</f>
        <v/>
      </c>
      <c r="M1054" s="6">
        <f>HYPERLINK("https://map.naver.com/p/search/연서면 쌍전리 433-1", "지도Link")</f>
        <v/>
      </c>
      <c r="N1054" s="6">
        <f>HYPERLINK("http://www.eum.go.kr/web/ar/lu/luLandDet.jsp?pnu=3611036022104330001&amp;isNoScr=script&amp;mode=search", "토지이음")</f>
        <v/>
      </c>
      <c r="O1054" s="3" t="inlineStr">
        <is>
          <t>KB세종</t>
        </is>
      </c>
      <c r="P1054" s="4" t="n">
        <v>1</v>
      </c>
      <c r="Q1054" s="4" t="n">
        <v>1230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쌍전리 463-1</t>
        </is>
      </c>
      <c r="B1055" s="3" t="inlineStr">
        <is>
          <t>계획관리지역</t>
        </is>
      </c>
      <c r="C1055" s="3" t="inlineStr">
        <is>
          <t>전</t>
        </is>
      </c>
      <c r="D1055" s="3" t="inlineStr">
        <is>
          <t>전</t>
        </is>
      </c>
      <c r="E1055" s="3" t="inlineStr">
        <is>
          <t>매매</t>
        </is>
      </c>
      <c r="F1055" s="4" t="n">
        <v>86700</v>
      </c>
      <c r="G1055" s="4" t="n">
        <v>957</v>
      </c>
      <c r="H1055" s="4" t="n">
        <v>289</v>
      </c>
      <c r="I1055" s="5" t="n">
        <v>300</v>
      </c>
      <c r="J1055" s="5" t="n">
        <v>44.1</v>
      </c>
      <c r="K1055" s="3" t="inlineStr">
        <is>
          <t>매매합니다</t>
        </is>
      </c>
      <c r="L1055" s="6">
        <f>HYPERLINK("https://fin.land.naver.com/articles/2649833628", "매물Link")</f>
        <v/>
      </c>
      <c r="M1055" s="6">
        <f>HYPERLINK("https://map.naver.com/p/search/연서면 쌍전리 463-1", "지도Link")</f>
        <v/>
      </c>
      <c r="N1055" s="6">
        <f>HYPERLINK("http://www.eum.go.kr/web/ar/lu/luLandDet.jsp?pnu=3611036022104630001&amp;isNoScr=script&amp;mode=search", "토지이음")</f>
        <v/>
      </c>
      <c r="O1055" s="3" t="inlineStr">
        <is>
          <t>마니</t>
        </is>
      </c>
      <c r="P1055" s="4" t="n">
        <v>1</v>
      </c>
      <c r="Q1055" s="4" t="n">
        <v>957</v>
      </c>
      <c r="R1055" s="3" t="inlineStr">
        <is>
          <t>지정되지않음</t>
        </is>
      </c>
      <c r="S1055" s="3" t="inlineStr">
        <is>
          <t>전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세로한면(불)</t>
        </is>
      </c>
    </row>
    <row r="1056">
      <c r="A1056" s="3" t="inlineStr">
        <is>
          <t>연서면 쌍전리 464-3</t>
        </is>
      </c>
      <c r="B1056" s="3" t="inlineStr">
        <is>
          <t>계획관리지역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135000</v>
      </c>
      <c r="G1056" s="4" t="n">
        <v>2626</v>
      </c>
      <c r="H1056" s="4" t="n">
        <v>794</v>
      </c>
      <c r="I1056" s="5" t="n">
        <v>170</v>
      </c>
      <c r="J1056" s="5" t="n">
        <v>44.1</v>
      </c>
      <c r="K1056" s="3" t="inlineStr">
        <is>
          <t>2차선도로와 본 토지 사이에 국유지가 있어 점용허가를 받아 넓게 사용가능</t>
        </is>
      </c>
      <c r="L1056" s="6">
        <f>HYPERLINK("https://fin.land.naver.com/articles/2648695807", "매물Link")</f>
        <v/>
      </c>
      <c r="M1056" s="6">
        <f>HYPERLINK("https://map.naver.com/p/search/연서면 쌍전리 464-3", "지도Link")</f>
        <v/>
      </c>
      <c r="N1056" s="6">
        <f>HYPERLINK("http://www.eum.go.kr/web/ar/lu/luLandDet.jsp?pnu=3611036022104640003&amp;isNoScr=script&amp;mode=search", "토지이음")</f>
        <v/>
      </c>
      <c r="O1056" s="3" t="inlineStr">
        <is>
          <t>스마일세종</t>
        </is>
      </c>
      <c r="P1056" s="4" t="n">
        <v>1</v>
      </c>
      <c r="Q1056" s="4" t="n">
        <v>2626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세로한면(불)</t>
        </is>
      </c>
    </row>
    <row r="1057">
      <c r="A1057" s="3" t="inlineStr">
        <is>
          <t>연서면 쌍전리 513</t>
        </is>
      </c>
      <c r="B1057" s="3" t="inlineStr">
        <is>
          <t>농림지역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83000</v>
      </c>
      <c r="G1057" s="4" t="n">
        <v>3454</v>
      </c>
      <c r="H1057" s="4" t="n">
        <v>1045</v>
      </c>
      <c r="I1057" s="5" t="n">
        <v>79.40000000000001</v>
      </c>
      <c r="J1057" s="5" t="n">
        <v>27.2</v>
      </c>
      <c r="K1057" s="3" t="inlineStr">
        <is>
          <t>북세종IC 인근 농림지역으로 투자가치 높고 저렴한 가격인 대토로 추천.</t>
        </is>
      </c>
      <c r="L1057" s="6">
        <f>HYPERLINK("https://fin.land.naver.com/articles/2650939648", "매물Link")</f>
        <v/>
      </c>
      <c r="M1057" s="6">
        <f>HYPERLINK("https://map.naver.com/p/search/연서면 쌍전리 513", "지도Link")</f>
        <v/>
      </c>
      <c r="N1057" s="6">
        <f>HYPERLINK("http://www.eum.go.kr/web/ar/lu/luLandDet.jsp?pnu=3611036022105130000&amp;isNoScr=script&amp;mode=search", "토지이음")</f>
        <v/>
      </c>
      <c r="O1057" s="3" t="inlineStr">
        <is>
          <t>세종대장</t>
        </is>
      </c>
      <c r="P1057" s="4" t="n">
        <v>1</v>
      </c>
      <c r="Q1057" s="4" t="n">
        <v>3454.8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세로장방</t>
        </is>
      </c>
      <c r="V1057" s="3" t="inlineStr">
        <is>
          <t>세로한면(가)</t>
        </is>
      </c>
    </row>
    <row r="1058">
      <c r="A1058" s="3" t="inlineStr">
        <is>
          <t>연서면 쌍전리 580</t>
        </is>
      </c>
      <c r="B1058" s="3" t="inlineStr">
        <is>
          <t>농림지역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58000</v>
      </c>
      <c r="G1058" s="4" t="n">
        <v>2557</v>
      </c>
      <c r="H1058" s="4" t="n">
        <v>773</v>
      </c>
      <c r="I1058" s="5" t="n">
        <v>75</v>
      </c>
      <c r="J1058" s="5" t="n">
        <v>28.3</v>
      </c>
      <c r="K1058" s="3" t="inlineStr">
        <is>
          <t>도로접한 농림지역, 인근 북세종IC예정</t>
        </is>
      </c>
      <c r="L1058" s="6">
        <f>HYPERLINK("https://fin.land.naver.com/articles/2648813360", "매물Link")</f>
        <v/>
      </c>
      <c r="M1058" s="6">
        <f>HYPERLINK("https://map.naver.com/p/search/연서면 쌍전리 580", "지도Link")</f>
        <v/>
      </c>
      <c r="N1058" s="6">
        <f>HYPERLINK("http://www.eum.go.kr/web/ar/lu/luLandDet.jsp?pnu=3611036022105800000&amp;isNoScr=script&amp;mode=search", "토지이음")</f>
        <v/>
      </c>
      <c r="O1058" s="3" t="inlineStr">
        <is>
          <t>세종대박</t>
        </is>
      </c>
      <c r="P1058" s="4" t="n">
        <v>1</v>
      </c>
      <c r="Q1058" s="4" t="n">
        <v>2557.2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세로장방</t>
        </is>
      </c>
      <c r="V1058" s="3" t="inlineStr">
        <is>
          <t>세로한면(가)</t>
        </is>
      </c>
    </row>
    <row r="1059">
      <c r="A1059" s="3" t="inlineStr">
        <is>
          <t>연서면 쌍전리 584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126500</v>
      </c>
      <c r="G1059" s="4" t="n">
        <v>5295</v>
      </c>
      <c r="H1059" s="4" t="n">
        <v>1602</v>
      </c>
      <c r="I1059" s="5" t="n">
        <v>79</v>
      </c>
      <c r="J1059" s="5" t="n">
        <v>28.3</v>
      </c>
      <c r="K1059" s="3" t="inlineStr">
        <is>
          <t>nan</t>
        </is>
      </c>
      <c r="L1059" s="6">
        <f>HYPERLINK("https://fin.land.naver.com/articles/2650856719", "매물Link")</f>
        <v/>
      </c>
      <c r="M1059" s="6">
        <f>HYPERLINK("https://map.naver.com/p/search/연서면 쌍전리 584", "지도Link")</f>
        <v/>
      </c>
      <c r="N1059" s="6">
        <f>HYPERLINK("http://www.eum.go.kr/web/ar/lu/luLandDet.jsp?pnu=3611036022105840000&amp;isNoScr=script&amp;mode=search", "토지이음")</f>
        <v/>
      </c>
      <c r="O1059" s="3" t="inlineStr">
        <is>
          <t>지성</t>
        </is>
      </c>
      <c r="P1059" s="4" t="n">
        <v>1</v>
      </c>
      <c r="Q1059" s="4" t="n">
        <v>5295.3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세로장방</t>
        </is>
      </c>
      <c r="V1059" s="3" t="inlineStr">
        <is>
          <t>세로한면(가)</t>
        </is>
      </c>
    </row>
    <row r="1060">
      <c r="A1060" s="3" t="inlineStr">
        <is>
          <t>연서면 쌍전리 619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110000</v>
      </c>
      <c r="G1060" s="4" t="n">
        <v>3607</v>
      </c>
      <c r="H1060" s="4" t="n">
        <v>1091</v>
      </c>
      <c r="I1060" s="5" t="n">
        <v>100.8</v>
      </c>
      <c r="J1060" s="5" t="n">
        <v>30.3</v>
      </c>
      <c r="K1060" s="3" t="inlineStr">
        <is>
          <t>2차선 도로에접한 토지로 현재가보다 매우 저렴하게 나온 매물임.</t>
        </is>
      </c>
      <c r="L1060" s="6">
        <f>HYPERLINK("https://fin.land.naver.com/articles/2648518171", "매물Link")</f>
        <v/>
      </c>
      <c r="M1060" s="6">
        <f>HYPERLINK("https://map.naver.com/p/search/연서면 쌍전리 619", "지도Link")</f>
        <v/>
      </c>
      <c r="N1060" s="6">
        <f>HYPERLINK("http://www.eum.go.kr/web/ar/lu/luLandDet.jsp?pnu=3611036022106190000&amp;isNoScr=script&amp;mode=search", "토지이음")</f>
        <v/>
      </c>
      <c r="O1060" s="3" t="inlineStr">
        <is>
          <t>세종리츠</t>
        </is>
      </c>
      <c r="P1060" s="4" t="n">
        <v>1</v>
      </c>
      <c r="Q1060" s="4" t="n">
        <v>3607.3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소로한면</t>
        </is>
      </c>
    </row>
    <row r="1061">
      <c r="A1061" s="3" t="inlineStr">
        <is>
          <t>연서면 쌍전리 619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120000</v>
      </c>
      <c r="G1061" s="4" t="n">
        <v>3607</v>
      </c>
      <c r="H1061" s="4" t="n">
        <v>1091</v>
      </c>
      <c r="I1061" s="5" t="n">
        <v>110</v>
      </c>
      <c r="J1061" s="5" t="n">
        <v>30.3</v>
      </c>
      <c r="K1061" s="3" t="inlineStr">
        <is>
          <t>도로 접한 코너 답 토지 접근성 우수</t>
        </is>
      </c>
      <c r="L1061" s="6">
        <f>HYPERLINK("https://fin.land.naver.com/articles/2648379661", "매물Link")</f>
        <v/>
      </c>
      <c r="M1061" s="6">
        <f>HYPERLINK("https://map.naver.com/p/search/연서면 쌍전리 619", "지도Link")</f>
        <v/>
      </c>
      <c r="N1061" s="6">
        <f>HYPERLINK("http://www.eum.go.kr/web/ar/lu/luLandDet.jsp?pnu=3611036022106190000&amp;isNoScr=script&amp;mode=search", "토지이음")</f>
        <v/>
      </c>
      <c r="O1061" s="3" t="inlineStr">
        <is>
          <t>몬스터</t>
        </is>
      </c>
      <c r="P1061" s="4" t="n">
        <v>1</v>
      </c>
      <c r="Q1061" s="4" t="n">
        <v>3607.3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소로한면</t>
        </is>
      </c>
    </row>
    <row r="1062">
      <c r="A1062" s="3" t="inlineStr">
        <is>
          <t>연서면 쌍전리 638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103800</v>
      </c>
      <c r="G1062" s="4" t="n">
        <v>3431</v>
      </c>
      <c r="H1062" s="4" t="n">
        <v>1038</v>
      </c>
      <c r="I1062" s="5" t="n">
        <v>100</v>
      </c>
      <c r="J1062" s="5" t="n">
        <v>28.3</v>
      </c>
      <c r="K1062" s="3" t="inlineStr">
        <is>
          <t>쌍전리 2차선도로 가까운 토지 북세종톨게이트 예정지 수혜지</t>
        </is>
      </c>
      <c r="L1062" s="6">
        <f>HYPERLINK("https://fin.land.naver.com/articles/2649964374", "매물Link")</f>
        <v/>
      </c>
      <c r="M1062" s="6">
        <f>HYPERLINK("https://map.naver.com/p/search/연서면 쌍전리 638", "지도Link")</f>
        <v/>
      </c>
      <c r="N1062" s="6">
        <f>HYPERLINK("http://www.eum.go.kr/web/ar/lu/luLandDet.jsp?pnu=3611036022106380000&amp;isNoScr=script&amp;mode=search", "토지이음")</f>
        <v/>
      </c>
      <c r="O1062" s="3" t="inlineStr">
        <is>
          <t>지성</t>
        </is>
      </c>
      <c r="P1062" s="4" t="n">
        <v>1</v>
      </c>
      <c r="Q1062" s="4" t="n">
        <v>3431.4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세로한면(가)</t>
        </is>
      </c>
    </row>
    <row r="1063">
      <c r="A1063" s="3" t="inlineStr">
        <is>
          <t>연서면 쌍전리 654</t>
        </is>
      </c>
      <c r="B1063" s="3" t="inlineStr">
        <is>
          <t>농림지역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132000</v>
      </c>
      <c r="G1063" s="4" t="n">
        <v>3980</v>
      </c>
      <c r="H1063" s="4" t="n">
        <v>1204</v>
      </c>
      <c r="I1063" s="5" t="n">
        <v>109.6</v>
      </c>
      <c r="J1063" s="5" t="n">
        <v>28</v>
      </c>
      <c r="K1063" s="3" t="inlineStr">
        <is>
          <t>도로접한 농림지역 농지. 대토추천</t>
        </is>
      </c>
      <c r="L1063" s="6">
        <f>HYPERLINK("https://fin.land.naver.com/articles/2649890122", "매물Link")</f>
        <v/>
      </c>
      <c r="M1063" s="6">
        <f>HYPERLINK("https://map.naver.com/p/search/연서면 쌍전리 654", "지도Link")</f>
        <v/>
      </c>
      <c r="N1063" s="6">
        <f>HYPERLINK("http://www.eum.go.kr/web/ar/lu/luLandDet.jsp?pnu=3611036022106540000&amp;isNoScr=script&amp;mode=search", "토지이음")</f>
        <v/>
      </c>
      <c r="O1063" s="3" t="inlineStr">
        <is>
          <t>미스터홈즈강남지사</t>
        </is>
      </c>
      <c r="P1063" s="4" t="n">
        <v>1</v>
      </c>
      <c r="Q1063" s="4" t="n">
        <v>3980.6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쌍전리 684</t>
        </is>
      </c>
      <c r="B1064" s="3" t="inlineStr">
        <is>
          <t>농림지역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70000</v>
      </c>
      <c r="G1064" s="4" t="n">
        <v>1016</v>
      </c>
      <c r="H1064" s="4" t="n">
        <v>307</v>
      </c>
      <c r="I1064" s="5" t="n">
        <v>228</v>
      </c>
      <c r="J1064" s="5" t="n">
        <v>30.3</v>
      </c>
      <c r="K1064" s="3" t="inlineStr">
        <is>
          <t>4차선계획도로접.6미터간선도로접.북세종IC예정지앞.도로높이성토작업완료</t>
        </is>
      </c>
      <c r="L1064" s="6">
        <f>HYPERLINK("https://fin.land.naver.com/articles/2650529732", "매물Link")</f>
        <v/>
      </c>
      <c r="M1064" s="6">
        <f>HYPERLINK("https://map.naver.com/p/search/연서면 쌍전리 684", "지도Link")</f>
        <v/>
      </c>
      <c r="N1064" s="6">
        <f>HYPERLINK("http://www.eum.go.kr/web/ar/lu/luLandDet.jsp?pnu=3611036022106840000&amp;isNoScr=script&amp;mode=search", "토지이음")</f>
        <v/>
      </c>
      <c r="O1064" s="3" t="inlineStr">
        <is>
          <t>돈방석</t>
        </is>
      </c>
      <c r="P1064" s="4" t="n">
        <v>7</v>
      </c>
      <c r="Q1064" s="4" t="n">
        <v>1015.5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세로장방</t>
        </is>
      </c>
      <c r="V1064" s="3" t="inlineStr">
        <is>
          <t>소로한면</t>
        </is>
      </c>
    </row>
    <row r="1065">
      <c r="A1065" s="3" t="inlineStr">
        <is>
          <t>연서면 쌍전리 684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70000</v>
      </c>
      <c r="G1065" s="4" t="n">
        <v>1015</v>
      </c>
      <c r="H1065" s="4" t="n">
        <v>307</v>
      </c>
      <c r="I1065" s="5" t="n">
        <v>228</v>
      </c>
      <c r="J1065" s="5" t="n">
        <v>30.3</v>
      </c>
      <c r="K1065" s="3" t="inlineStr">
        <is>
          <t>2차선접,대토강추,투자가치최고</t>
        </is>
      </c>
      <c r="L1065" s="6">
        <f>HYPERLINK("https://fin.land.naver.com/articles/2648102972", "매물Link")</f>
        <v/>
      </c>
      <c r="M1065" s="6">
        <f>HYPERLINK("https://map.naver.com/p/search/연서면 쌍전리 684", "지도Link")</f>
        <v/>
      </c>
      <c r="N1065" s="6">
        <f>HYPERLINK("http://www.eum.go.kr/web/ar/lu/luLandDet.jsp?pnu=3611036022106840000&amp;isNoScr=script&amp;mode=search", "토지이음")</f>
        <v/>
      </c>
      <c r="O1065" s="3" t="inlineStr">
        <is>
          <t>힐스테이트행복</t>
        </is>
      </c>
      <c r="P1065" s="4" t="n">
        <v>2</v>
      </c>
      <c r="Q1065" s="4" t="n">
        <v>1015.5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소로한면</t>
        </is>
      </c>
    </row>
    <row r="1066">
      <c r="A1066" s="3" t="inlineStr">
        <is>
          <t>연서면 쌍전리 684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70000</v>
      </c>
      <c r="G1066" s="4" t="n">
        <v>1016</v>
      </c>
      <c r="H1066" s="4" t="n">
        <v>307</v>
      </c>
      <c r="I1066" s="5" t="n">
        <v>228</v>
      </c>
      <c r="J1066" s="5" t="n">
        <v>30.3</v>
      </c>
      <c r="K1066" s="3" t="inlineStr">
        <is>
          <t>nan</t>
        </is>
      </c>
      <c r="L1066" s="6">
        <f>HYPERLINK("https://fin.land.naver.com/articles/2651396918", "매물Link")</f>
        <v/>
      </c>
      <c r="M1066" s="6">
        <f>HYPERLINK("https://map.naver.com/p/search/연서면 쌍전리 684", "지도Link")</f>
        <v/>
      </c>
      <c r="N1066" s="6">
        <f>HYPERLINK("http://www.eum.go.kr/web/ar/lu/luLandDet.jsp?pnu=3611036022106840000&amp;isNoScr=script&amp;mode=search", "토지이음")</f>
        <v/>
      </c>
      <c r="O1066" s="3" t="inlineStr">
        <is>
          <t>로데오상가</t>
        </is>
      </c>
      <c r="P1066" s="4" t="n">
        <v>1</v>
      </c>
      <c r="Q1066" s="4" t="n">
        <v>1015.5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소로한면</t>
        </is>
      </c>
    </row>
    <row r="1067">
      <c r="A1067" s="3" t="inlineStr">
        <is>
          <t>연서면 쌍전리 78</t>
        </is>
      </c>
      <c r="B1067" s="3" t="inlineStr">
        <is>
          <t>자연녹지지역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24500</v>
      </c>
      <c r="G1067" s="4" t="n">
        <v>324</v>
      </c>
      <c r="H1067" s="4" t="n">
        <v>98</v>
      </c>
      <c r="I1067" s="5" t="n">
        <v>250</v>
      </c>
      <c r="J1067" s="5" t="n">
        <v>106.9</v>
      </c>
      <c r="K1067" s="3" t="inlineStr">
        <is>
          <t>자연녹지, 자연취락지구 내 대지. 현재는 나대지임. 건폐율 60</t>
        </is>
      </c>
      <c r="L1067" s="6">
        <f>HYPERLINK("https://fin.land.naver.com/articles/2649900081", "매물Link")</f>
        <v/>
      </c>
      <c r="M1067" s="6">
        <f>HYPERLINK("https://map.naver.com/p/search/연서면 쌍전리 78", "지도Link")</f>
        <v/>
      </c>
      <c r="N1067" s="6">
        <f>HYPERLINK("http://www.eum.go.kr/web/ar/lu/luLandDet.jsp?pnu=3611036022100780000&amp;isNoScr=script&amp;mode=search", "토지이음")</f>
        <v/>
      </c>
      <c r="O1067" s="3" t="inlineStr">
        <is>
          <t>미스터홈즈강남지사</t>
        </is>
      </c>
      <c r="P1067" s="4" t="n">
        <v>1</v>
      </c>
      <c r="Q1067" s="4" t="n">
        <v>324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연서면 쌍전리 산18-6</t>
        </is>
      </c>
      <c r="B1068" s="3" t="inlineStr">
        <is>
          <t>자연녹지지역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196000</v>
      </c>
      <c r="G1068" s="4" t="n">
        <v>6318</v>
      </c>
      <c r="H1068" s="4" t="n">
        <v>1911</v>
      </c>
      <c r="I1068" s="5" t="n">
        <v>102.6</v>
      </c>
      <c r="J1068" s="5" t="n">
        <v>21.7</v>
      </c>
      <c r="K1068" s="3" t="inlineStr">
        <is>
          <t>연서면 쌍전리 임야와 과수원을 일괄하여 급매로 매매합니다</t>
        </is>
      </c>
      <c r="L1068" s="6">
        <f>HYPERLINK("https://fin.land.naver.com/articles/2649203413", "매물Link")</f>
        <v/>
      </c>
      <c r="M1068" s="6">
        <f>HYPERLINK("https://map.naver.com/p/search/연서면 쌍전리 산18-6", "지도Link")</f>
        <v/>
      </c>
      <c r="N1068" s="6">
        <f>HYPERLINK("http://www.eum.go.kr/web/ar/lu/luLandDet.jsp?pnu=3611036022200180006&amp;isNoScr=script&amp;mode=search", "토지이음")</f>
        <v/>
      </c>
      <c r="O1068" s="3" t="inlineStr">
        <is>
          <t>스마일세종</t>
        </is>
      </c>
      <c r="P1068" s="4" t="n">
        <v>1</v>
      </c>
      <c r="Q1068" s="4" t="n">
        <v>1463</v>
      </c>
      <c r="R1068" s="3" t="inlineStr">
        <is>
          <t>지정되지않음</t>
        </is>
      </c>
      <c r="S1068" s="3" t="inlineStr">
        <is>
          <t>자연림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맹지</t>
        </is>
      </c>
    </row>
    <row r="1069">
      <c r="A1069" s="3" t="inlineStr">
        <is>
          <t>연서면 와촌리 1075</t>
        </is>
      </c>
      <c r="B1069" s="3" t="inlineStr">
        <is>
          <t>보전관리지역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72600</v>
      </c>
      <c r="G1069" s="4" t="n">
        <v>1600</v>
      </c>
      <c r="H1069" s="4" t="n">
        <v>484</v>
      </c>
      <c r="I1069" s="5" t="n">
        <v>150</v>
      </c>
      <c r="J1069" s="5" t="n">
        <v>41.7</v>
      </c>
      <c r="K1069" s="3" t="inlineStr">
        <is>
          <t>주말농장 및 투자용</t>
        </is>
      </c>
      <c r="L1069" s="6">
        <f>HYPERLINK("https://fin.land.naver.com/articles/2647763444", "매물Link")</f>
        <v/>
      </c>
      <c r="M1069" s="6">
        <f>HYPERLINK("https://map.naver.com/p/search/연서면 와촌리 1075", "지도Link")</f>
        <v/>
      </c>
      <c r="N1069" s="6">
        <f>HYPERLINK("http://www.eum.go.kr/web/ar/lu/luLandDet.jsp?pnu=3611036031110750000&amp;isNoScr=script&amp;mode=search", "토지이음")</f>
        <v/>
      </c>
      <c r="O1069" s="3" t="inlineStr">
        <is>
          <t>지호주식회사</t>
        </is>
      </c>
      <c r="P1069" s="4" t="n">
        <v>1</v>
      </c>
      <c r="Q1069" s="4" t="n">
        <v>1600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와촌리 1075</t>
        </is>
      </c>
      <c r="B1070" s="3" t="inlineStr">
        <is>
          <t>보전관리지역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73000</v>
      </c>
      <c r="G1070" s="4" t="n">
        <v>1600</v>
      </c>
      <c r="H1070" s="4" t="n">
        <v>484</v>
      </c>
      <c r="I1070" s="5" t="n">
        <v>150.8</v>
      </c>
      <c r="J1070" s="5" t="n">
        <v>41.7</v>
      </c>
      <c r="K1070" s="3" t="inlineStr">
        <is>
          <t>세종 연서면 와촌리 토지</t>
        </is>
      </c>
      <c r="L1070" s="6">
        <f>HYPERLINK("https://fin.land.naver.com/articles/2649772695", "매물Link")</f>
        <v/>
      </c>
      <c r="M1070" s="6">
        <f>HYPERLINK("https://map.naver.com/p/search/연서면 와촌리 1075", "지도Link")</f>
        <v/>
      </c>
      <c r="N1070" s="6">
        <f>HYPERLINK("http://www.eum.go.kr/web/ar/lu/luLandDet.jsp?pnu=3611036031110750000&amp;isNoScr=script&amp;mode=search",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1600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연서면 와촌리 1092-4</t>
        </is>
      </c>
      <c r="B1071" s="3" t="inlineStr">
        <is>
          <t>계획관리지역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150000</v>
      </c>
      <c r="G1071" s="4" t="n">
        <v>1661</v>
      </c>
      <c r="H1071" s="4" t="n">
        <v>502</v>
      </c>
      <c r="I1071" s="5" t="n">
        <v>298.8</v>
      </c>
      <c r="J1071" s="5" t="n">
        <v>59.2</v>
      </c>
      <c r="K1071" s="3" t="inlineStr">
        <is>
          <t>지방도 접해 있고 다양한 용도로 활용성 높은 투자가치 높은 용지</t>
        </is>
      </c>
      <c r="L1071" s="6">
        <f>HYPERLINK("https://fin.land.naver.com/articles/2649282774", "매물Link")</f>
        <v/>
      </c>
      <c r="M1071" s="6">
        <f>HYPERLINK("https://map.naver.com/p/search/연서면 와촌리 1092-4", "지도Link")</f>
        <v/>
      </c>
      <c r="N1071" s="6">
        <f>HYPERLINK("http://www.eum.go.kr/web/ar/lu/luLandDet.jsp?pnu=3611036031110920004&amp;isNoScr=script&amp;mode=search", "토지이음")</f>
        <v/>
      </c>
      <c r="O1071" s="3" t="inlineStr">
        <is>
          <t>반곡황금더샵</t>
        </is>
      </c>
      <c r="P1071" s="4" t="n">
        <v>1</v>
      </c>
      <c r="Q1071" s="4" t="n">
        <v>1661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연서면 와촌리 1109-1</t>
        </is>
      </c>
      <c r="B1072" s="3" t="inlineStr">
        <is>
          <t>계획관리지역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87000</v>
      </c>
      <c r="G1072" s="4" t="n">
        <v>960</v>
      </c>
      <c r="H1072" s="4" t="n">
        <v>290</v>
      </c>
      <c r="I1072" s="5" t="n">
        <v>300</v>
      </c>
      <c r="J1072" s="5" t="n">
        <v>80.09999999999999</v>
      </c>
      <c r="K1072" s="3" t="inlineStr">
        <is>
          <t>도로접한 근생 건축 가능 토지</t>
        </is>
      </c>
      <c r="L1072" s="6">
        <f>HYPERLINK("https://fin.land.naver.com/articles/2647548610", "매물Link")</f>
        <v/>
      </c>
      <c r="M1072" s="6">
        <f>HYPERLINK("https://map.naver.com/p/search/연서면 와촌리 1109-1", "지도Link")</f>
        <v/>
      </c>
      <c r="N1072" s="6">
        <f>HYPERLINK("http://www.eum.go.kr/web/ar/lu/luLandDet.jsp?pnu=3611036031111090001&amp;isNoScr=script&amp;mode=search", "토지이음")</f>
        <v/>
      </c>
      <c r="O1072" s="3" t="inlineStr">
        <is>
          <t>강우림</t>
        </is>
      </c>
      <c r="P1072" s="4" t="n">
        <v>1</v>
      </c>
      <c r="Q1072" s="4" t="n">
        <v>960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연서면 와촌리 1180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180000</v>
      </c>
      <c r="G1073" s="4" t="n">
        <v>2380</v>
      </c>
      <c r="H1073" s="4" t="n">
        <v>720</v>
      </c>
      <c r="I1073" s="5" t="n">
        <v>250</v>
      </c>
      <c r="J1073" s="5" t="n">
        <v>84.8</v>
      </c>
      <c r="K1073" s="3" t="inlineStr">
        <is>
          <t>세종시 인기지역, 국가산업단지 인근, 현재 축사건물있음 , 투자가치높음</t>
        </is>
      </c>
      <c r="L1073" s="6">
        <f>HYPERLINK("https://fin.land.naver.com/articles/2646426712", "매물Link")</f>
        <v/>
      </c>
      <c r="M1073" s="6">
        <f>HYPERLINK("https://map.naver.com/p/search/연서면 와촌리 1180", "지도Link")</f>
        <v/>
      </c>
      <c r="N1073" s="6">
        <f>HYPERLINK("http://www.eum.go.kr/web/ar/lu/luLandDet.jsp?pnu=3611036031111800000&amp;isNoScr=script&amp;mode=search", "토지이음")</f>
        <v/>
      </c>
      <c r="O1073" s="3" t="inlineStr">
        <is>
          <t>세종특별시</t>
        </is>
      </c>
      <c r="P1073" s="4" t="n">
        <v>1</v>
      </c>
      <c r="Q1073" s="4" t="n">
        <v>2380</v>
      </c>
      <c r="R1073" s="3" t="inlineStr">
        <is>
          <t>지정되지않음</t>
        </is>
      </c>
      <c r="S1073" s="3" t="inlineStr">
        <is>
          <t>주거기타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세로한면(불)</t>
        </is>
      </c>
    </row>
    <row r="1074">
      <c r="A1074" s="3" t="inlineStr">
        <is>
          <t>연서면 와촌리 1180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180000</v>
      </c>
      <c r="G1074" s="4" t="n">
        <v>2380</v>
      </c>
      <c r="H1074" s="4" t="n">
        <v>720</v>
      </c>
      <c r="I1074" s="5" t="n">
        <v>250</v>
      </c>
      <c r="J1074" s="5" t="n">
        <v>84.8</v>
      </c>
      <c r="K1074" s="3" t="inlineStr">
        <is>
          <t>마을 맨 윗쪽 넓은 전원주택지. 현재 전 및 일부 축사</t>
        </is>
      </c>
      <c r="L1074" s="6">
        <f>HYPERLINK("https://fin.land.naver.com/articles/2651423318", "매물Link")</f>
        <v/>
      </c>
      <c r="M1074" s="6">
        <f>HYPERLINK("https://map.naver.com/p/search/연서면 와촌리 1180", "지도Link")</f>
        <v/>
      </c>
      <c r="N1074" s="6">
        <f>HYPERLINK("http://www.eum.go.kr/web/ar/lu/luLandDet.jsp?pnu=3611036031111800000&amp;isNoScr=script&amp;mode=search", "토지이음")</f>
        <v/>
      </c>
      <c r="O1074" s="3" t="inlineStr">
        <is>
          <t>세종소담114</t>
        </is>
      </c>
      <c r="P1074" s="4" t="n">
        <v>1</v>
      </c>
      <c r="Q1074" s="4" t="n">
        <v>2380</v>
      </c>
      <c r="R1074" s="3" t="inlineStr">
        <is>
          <t>지정되지않음</t>
        </is>
      </c>
      <c r="S1074" s="3" t="inlineStr">
        <is>
          <t>주거기타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세로한면(불)</t>
        </is>
      </c>
    </row>
    <row r="1075">
      <c r="A1075" s="3" t="inlineStr">
        <is>
          <t>연서면 와촌리 1182</t>
        </is>
      </c>
      <c r="B1075" s="3" t="inlineStr">
        <is>
          <t>계획관리지역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140000</v>
      </c>
      <c r="G1075" s="4" t="n">
        <v>1689</v>
      </c>
      <c r="H1075" s="4" t="n">
        <v>511</v>
      </c>
      <c r="I1075" s="5" t="n">
        <v>274</v>
      </c>
      <c r="J1075" s="5" t="n">
        <v>85.59999999999999</v>
      </c>
      <c r="K1075" s="3" t="inlineStr">
        <is>
          <t>복숭아 나무 식재 중, 토지모양 굿, 자연취락지구, 성장관리계획구역</t>
        </is>
      </c>
      <c r="L1075" s="6">
        <f>HYPERLINK("https://fin.land.naver.com/articles/2647190456", "매물Link")</f>
        <v/>
      </c>
      <c r="M1075" s="6">
        <f>HYPERLINK("https://map.naver.com/p/search/연서면 와촌리 1182", "지도Link")</f>
        <v/>
      </c>
      <c r="N1075" s="6">
        <f>HYPERLINK("http://www.eum.go.kr/web/ar/lu/luLandDet.jsp?pnu=3611036031111820000&amp;isNoScr=script&amp;mode=search", "토지이음")</f>
        <v/>
      </c>
      <c r="O1075" s="3" t="inlineStr">
        <is>
          <t>올바른</t>
        </is>
      </c>
      <c r="P1075" s="4" t="n">
        <v>1</v>
      </c>
      <c r="Q1075" s="4" t="n">
        <v>1689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세로한면(불)</t>
        </is>
      </c>
    </row>
    <row r="1076">
      <c r="A1076" s="3" t="inlineStr">
        <is>
          <t>연서면 와촌리 1183-1</t>
        </is>
      </c>
      <c r="B1076" s="3" t="inlineStr">
        <is>
          <t>계획관리지역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360000</v>
      </c>
      <c r="G1076" s="4" t="n">
        <v>3769</v>
      </c>
      <c r="H1076" s="4" t="n">
        <v>1140</v>
      </c>
      <c r="I1076" s="5" t="n">
        <v>315.8</v>
      </c>
      <c r="J1076" s="5" t="n">
        <v>76.3</v>
      </c>
      <c r="K1076" s="3" t="inlineStr">
        <is>
          <t>국가산업단지인근 계획관리지역 분할매매도 가능</t>
        </is>
      </c>
      <c r="L1076" s="6">
        <f>HYPERLINK("https://fin.land.naver.com/articles/2651159468", "매물Link")</f>
        <v/>
      </c>
      <c r="M1076" s="6">
        <f>HYPERLINK("https://map.naver.com/p/search/연서면 와촌리 1183-1", "지도Link")</f>
        <v/>
      </c>
      <c r="N1076" s="6">
        <f>HYPERLINK("http://www.eum.go.kr/web/ar/lu/luLandDet.jsp?pnu=3611036031111830001&amp;isNoScr=script&amp;mode=search", "토지이음")</f>
        <v/>
      </c>
      <c r="O1076" s="3" t="inlineStr">
        <is>
          <t>샘터아이파크시티</t>
        </is>
      </c>
      <c r="P1076" s="4" t="n">
        <v>2</v>
      </c>
      <c r="Q1076" s="4" t="n">
        <v>3769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자루형</t>
        </is>
      </c>
      <c r="V1076" s="3" t="inlineStr">
        <is>
          <t>소로한면</t>
        </is>
      </c>
    </row>
    <row r="1077">
      <c r="A1077" s="3" t="inlineStr">
        <is>
          <t>연서면 와촌리 1185-1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240000</v>
      </c>
      <c r="G1077" s="4" t="n">
        <v>2432</v>
      </c>
      <c r="H1077" s="4" t="n">
        <v>736</v>
      </c>
      <c r="I1077" s="5" t="n">
        <v>326.1</v>
      </c>
      <c r="J1077" s="5" t="n">
        <v>77.09999999999999</v>
      </c>
      <c r="K1077" s="3" t="inlineStr">
        <is>
          <t>계획관리, 성장관리 지역, 2차선 도로 바로 옆 토지, 국가산단 5분거리</t>
        </is>
      </c>
      <c r="L1077" s="6">
        <f>HYPERLINK("https://fin.land.naver.com/articles/2647190264", "매물Link")</f>
        <v/>
      </c>
      <c r="M1077" s="6">
        <f>HYPERLINK("https://map.naver.com/p/search/연서면 와촌리 1185-1", "지도Link")</f>
        <v/>
      </c>
      <c r="N1077" s="6">
        <f>HYPERLINK("http://www.eum.go.kr/web/ar/lu/luLandDet.jsp?pnu=3611036031111850001&amp;isNoScr=script&amp;mode=search", "토지이음")</f>
        <v/>
      </c>
      <c r="O1077" s="3" t="inlineStr">
        <is>
          <t>올바른</t>
        </is>
      </c>
      <c r="P1077" s="4" t="n">
        <v>1</v>
      </c>
      <c r="Q1077" s="4" t="n">
        <v>1660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와촌리 172-1</t>
        </is>
      </c>
      <c r="B1078" s="3" t="inlineStr">
        <is>
          <t>계획관리지역</t>
        </is>
      </c>
      <c r="C1078" s="3" t="inlineStr">
        <is>
          <t>과수원</t>
        </is>
      </c>
      <c r="D1078" s="3" t="inlineStr">
        <is>
          <t>과수원</t>
        </is>
      </c>
      <c r="E1078" s="3" t="inlineStr">
        <is>
          <t>매매</t>
        </is>
      </c>
      <c r="F1078" s="4" t="n">
        <v>270000</v>
      </c>
      <c r="G1078" s="4" t="n">
        <v>2749</v>
      </c>
      <c r="H1078" s="4" t="n">
        <v>832</v>
      </c>
      <c r="I1078" s="5" t="n">
        <v>324.5</v>
      </c>
      <c r="J1078" s="5" t="n">
        <v>57.5</v>
      </c>
      <c r="K1078" s="3" t="inlineStr">
        <is>
          <t>세종 스마트 국가산업단지 길건너 발전가능성 높은 귀한 토지 매도</t>
        </is>
      </c>
      <c r="L1078" s="6">
        <f>HYPERLINK("https://fin.land.naver.com/articles/2648901026", "매물Link")</f>
        <v/>
      </c>
      <c r="M1078" s="6">
        <f>HYPERLINK("https://map.naver.com/p/search/연서면 와촌리 172-1", "지도Link")</f>
        <v/>
      </c>
      <c r="N1078" s="6">
        <f>HYPERLINK("http://www.eum.go.kr/web/ar/lu/luLandDet.jsp?pnu=3611036031101720001&amp;isNoScr=script&amp;mode=search", "토지이음")</f>
        <v/>
      </c>
      <c r="O1078" s="3" t="inlineStr">
        <is>
          <t>번영</t>
        </is>
      </c>
      <c r="P1078" s="4" t="n">
        <v>1</v>
      </c>
      <c r="Q1078" s="4" t="n">
        <v>2749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완경사</t>
        </is>
      </c>
      <c r="U1078" s="3" t="inlineStr">
        <is>
          <t>자루형</t>
        </is>
      </c>
      <c r="V1078" s="3" t="inlineStr">
        <is>
          <t>맹지</t>
        </is>
      </c>
    </row>
    <row r="1079">
      <c r="A1079" s="3" t="inlineStr">
        <is>
          <t>연서면 와촌리 314-2</t>
        </is>
      </c>
      <c r="B1079" s="3" t="inlineStr">
        <is>
          <t>계획관리지역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91683</v>
      </c>
      <c r="G1079" s="4" t="n">
        <v>1656</v>
      </c>
      <c r="H1079" s="4" t="n">
        <v>501</v>
      </c>
      <c r="I1079" s="5" t="n">
        <v>183</v>
      </c>
      <c r="J1079" s="5" t="n">
        <v>63.1</v>
      </c>
      <c r="K1079" s="3" t="inlineStr">
        <is>
          <t>와촌리 급매 투자 및 국가산단 보상 대토 강력 추천 계획관리</t>
        </is>
      </c>
      <c r="L1079" s="6">
        <f>HYPERLINK("https://fin.land.naver.com/articles/2646956103", "매물Link")</f>
        <v/>
      </c>
      <c r="M1079" s="6">
        <f>HYPERLINK("https://map.naver.com/p/search/연서면 와촌리 314-2", "지도Link")</f>
        <v/>
      </c>
      <c r="N1079" s="6">
        <f>HYPERLINK("http://www.eum.go.kr/web/ar/lu/luLandDet.jsp?pnu=3611036031103140002&amp;isNoScr=script&amp;mode=search", "토지이음")</f>
        <v/>
      </c>
      <c r="O1079" s="3" t="inlineStr">
        <is>
          <t>연서</t>
        </is>
      </c>
      <c r="P1079" s="4" t="n">
        <v>1</v>
      </c>
      <c r="Q1079" s="4" t="n">
        <v>1656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와촌리 430-9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109500</v>
      </c>
      <c r="G1080" s="4" t="n">
        <v>3017</v>
      </c>
      <c r="H1080" s="4" t="n">
        <v>913</v>
      </c>
      <c r="I1080" s="5" t="n">
        <v>119.9</v>
      </c>
      <c r="J1080" s="5" t="n">
        <v>40.4</v>
      </c>
      <c r="K1080" s="3" t="inlineStr">
        <is>
          <t>세종스마트국가산업단지와 200여m 인근에 있는 투자용 토지입니다</t>
        </is>
      </c>
      <c r="L1080" s="6">
        <f>HYPERLINK("https://fin.land.naver.com/articles/2650738784", "매물Link")</f>
        <v/>
      </c>
      <c r="M1080" s="6">
        <f>HYPERLINK("https://map.naver.com/p/search/연서면 와촌리 430-9", "지도Link")</f>
        <v/>
      </c>
      <c r="N1080" s="6">
        <f>HYPERLINK("http://www.eum.go.kr/web/ar/lu/luLandDet.jsp?pnu=3611036031104300009&amp;isNoScr=script&amp;mode=search", "토지이음")</f>
        <v/>
      </c>
      <c r="O1080" s="3" t="inlineStr">
        <is>
          <t>스마일세종</t>
        </is>
      </c>
      <c r="P1080" s="4" t="n">
        <v>2</v>
      </c>
      <c r="Q1080" s="4" t="n">
        <v>3017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가로장방</t>
        </is>
      </c>
      <c r="V1080" s="3" t="inlineStr">
        <is>
          <t>세로한면(가)</t>
        </is>
      </c>
    </row>
    <row r="1081">
      <c r="A1081" s="3" t="inlineStr">
        <is>
          <t>연서면 와촌리 437-2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33000</v>
      </c>
      <c r="G1081" s="4" t="n">
        <v>1092</v>
      </c>
      <c r="H1081" s="4" t="n">
        <v>330</v>
      </c>
      <c r="I1081" s="5" t="n">
        <v>100</v>
      </c>
      <c r="J1081" s="5" t="n">
        <v>40.8</v>
      </c>
      <c r="K1081" s="3" t="inlineStr">
        <is>
          <t>세종스마트 국가산업단지 옆 와촌리 토지 급매.</t>
        </is>
      </c>
      <c r="L1081" s="6">
        <f>HYPERLINK("https://fin.land.naver.com/articles/2650939358", "매물Link")</f>
        <v/>
      </c>
      <c r="M1081" s="6">
        <f>HYPERLINK("https://map.naver.com/p/search/연서면 와촌리 437-2", "지도Link")</f>
        <v/>
      </c>
      <c r="N1081" s="6">
        <f>HYPERLINK("http://www.eum.go.kr/web/ar/lu/luLandDet.jsp?pnu=3611036031104370002&amp;isNoScr=script&amp;mode=search", "토지이음")</f>
        <v/>
      </c>
      <c r="O1081" s="3" t="inlineStr">
        <is>
          <t>세종대장</t>
        </is>
      </c>
      <c r="P1081" s="4" t="n">
        <v>1</v>
      </c>
      <c r="Q1081" s="4" t="n">
        <v>1092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세로한면(가)</t>
        </is>
      </c>
    </row>
    <row r="1082">
      <c r="A1082" s="3" t="inlineStr">
        <is>
          <t>연서면 와촌리 437-3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150000</v>
      </c>
      <c r="G1082" s="4" t="n">
        <v>2991</v>
      </c>
      <c r="H1082" s="4" t="n">
        <v>905</v>
      </c>
      <c r="I1082" s="5" t="n">
        <v>165.7</v>
      </c>
      <c r="J1082" s="5" t="n">
        <v>40.8</v>
      </c>
      <c r="K1082" s="3" t="inlineStr">
        <is>
          <t>조치원산단 인근 농지. 투자용으로 추천</t>
        </is>
      </c>
      <c r="L1082" s="6">
        <f>HYPERLINK("https://fin.land.naver.com/articles/2650858525", "매물Link")</f>
        <v/>
      </c>
      <c r="M1082" s="6">
        <f>HYPERLINK("https://map.naver.com/p/search/연서면 와촌리 437-3", "지도Link")</f>
        <v/>
      </c>
      <c r="N1082" s="6">
        <f>HYPERLINK("http://www.eum.go.kr/web/ar/lu/luLandDet.jsp?pnu=3611036031104370003&amp;isNoScr=script&amp;mode=search", "토지이음")</f>
        <v/>
      </c>
      <c r="O1082" s="3" t="inlineStr">
        <is>
          <t>세종대박</t>
        </is>
      </c>
      <c r="P1082" s="4" t="n">
        <v>1</v>
      </c>
      <c r="Q1082" s="4" t="n">
        <v>2992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연서면 와촌리 438-3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82000</v>
      </c>
      <c r="G1083" s="4" t="n">
        <v>1687</v>
      </c>
      <c r="H1083" s="4" t="n">
        <v>510</v>
      </c>
      <c r="I1083" s="5" t="n">
        <v>160.8</v>
      </c>
      <c r="J1083" s="5" t="n">
        <v>40.4</v>
      </c>
      <c r="K1083" s="3" t="inlineStr">
        <is>
          <t>성토된 농지, 도로접한 전현황</t>
        </is>
      </c>
      <c r="L1083" s="6">
        <f>HYPERLINK("https://fin.land.naver.com/articles/2648813655", "매물Link")</f>
        <v/>
      </c>
      <c r="M1083" s="6">
        <f>HYPERLINK("https://map.naver.com/p/search/연서면 와촌리 438-3", "지도Link")</f>
        <v/>
      </c>
      <c r="N1083" s="6">
        <f>HYPERLINK("http://www.eum.go.kr/web/ar/lu/luLandDet.jsp?pnu=3611036031104380003&amp;isNoScr=script&amp;mode=search", "토지이음")</f>
        <v/>
      </c>
      <c r="O1083" s="3" t="inlineStr">
        <is>
          <t>세종대박</t>
        </is>
      </c>
      <c r="P1083" s="4" t="n">
        <v>1</v>
      </c>
      <c r="Q1083" s="4" t="n">
        <v>1687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세로한면(가)</t>
        </is>
      </c>
    </row>
    <row r="1084">
      <c r="A1084" s="3" t="inlineStr">
        <is>
          <t>연서면 와촌리 862-3</t>
        </is>
      </c>
      <c r="B1084" s="3" t="inlineStr">
        <is>
          <t>생산관리지역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90000</v>
      </c>
      <c r="G1084" s="4" t="n">
        <v>661</v>
      </c>
      <c r="H1084" s="4" t="n">
        <v>200</v>
      </c>
      <c r="I1084" s="5" t="n">
        <v>450</v>
      </c>
      <c r="J1084" s="5" t="n">
        <v>63.1</v>
      </c>
      <c r="K1084" s="3" t="inlineStr">
        <is>
          <t>연서면 와촌리 와촌보건소 인근 2차선 도로에 접한 농지 분할 매매 합니다</t>
        </is>
      </c>
      <c r="L1084" s="6">
        <f>HYPERLINK("https://fin.land.naver.com/articles/2646999752", "매물Link")</f>
        <v/>
      </c>
      <c r="M1084" s="6">
        <f>HYPERLINK("https://map.naver.com/p/search/연서면 와촌리 862-3", "지도Link")</f>
        <v/>
      </c>
      <c r="N1084" s="6">
        <f>HYPERLINK("http://www.eum.go.kr/web/ar/lu/luLandDet.jsp?pnu=3611036031108620003&amp;isNoScr=script&amp;mode=search", "토지이음")</f>
        <v/>
      </c>
      <c r="O1084" s="3" t="inlineStr">
        <is>
          <t>스마일세종</t>
        </is>
      </c>
      <c r="P1084" s="4" t="n">
        <v>1</v>
      </c>
      <c r="Q1084" s="4" t="n">
        <v>3171</v>
      </c>
      <c r="R1084" s="3" t="inlineStr">
        <is>
          <t>보전관리지역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연서면 와촌리 866-4</t>
        </is>
      </c>
      <c r="B1085" s="3" t="inlineStr">
        <is>
          <t>생산관리지역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40000</v>
      </c>
      <c r="G1085" s="4" t="n">
        <v>662</v>
      </c>
      <c r="H1085" s="4" t="n">
        <v>200</v>
      </c>
      <c r="I1085" s="5" t="n">
        <v>200</v>
      </c>
      <c r="J1085" s="5" t="n">
        <v>60.6</v>
      </c>
      <c r="K1085" s="3" t="inlineStr">
        <is>
          <t>스마트국가산단 인근 생산관리 토지</t>
        </is>
      </c>
      <c r="L1085" s="6">
        <f>HYPERLINK("https://fin.land.naver.com/articles/2649915561", "매물Link")</f>
        <v/>
      </c>
      <c r="M1085" s="6">
        <f>HYPERLINK("https://map.naver.com/p/search/연서면 와촌리 866-4", "지도Link")</f>
        <v/>
      </c>
      <c r="N1085" s="6">
        <f>HYPERLINK("http://www.eum.go.kr/web/ar/lu/luLandDet.jsp?pnu=3611036031108660004&amp;isNoScr=script&amp;mode=search", "토지이음")</f>
        <v/>
      </c>
      <c r="O1085" s="3" t="inlineStr">
        <is>
          <t>미스터홈즈강남지사</t>
        </is>
      </c>
      <c r="P1085" s="4" t="n">
        <v>1</v>
      </c>
      <c r="Q1085" s="4" t="n">
        <v>214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소로한면</t>
        </is>
      </c>
    </row>
    <row r="1086">
      <c r="A1086" s="3" t="inlineStr">
        <is>
          <t>연서면 와촌리 963</t>
        </is>
      </c>
      <c r="B1086" s="3" t="inlineStr">
        <is>
          <t>생산관리지역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943200</v>
      </c>
      <c r="G1086" s="4" t="n">
        <v>15593</v>
      </c>
      <c r="H1086" s="4" t="n">
        <v>4717</v>
      </c>
      <c r="I1086" s="5" t="n">
        <v>200</v>
      </c>
      <c r="J1086" s="5" t="n">
        <v>50.3</v>
      </c>
      <c r="K1086" s="3" t="inlineStr">
        <is>
          <t>국가산업단지 길목, 수혜지역.투자용,상업용,산업용 용도 다양</t>
        </is>
      </c>
      <c r="L1086" s="6">
        <f>HYPERLINK("https://fin.land.naver.com/articles/2651168285", "매물Link")</f>
        <v/>
      </c>
      <c r="M1086" s="6">
        <f>HYPERLINK("https://map.naver.com/p/search/연서면 와촌리 963", "지도Link")</f>
        <v/>
      </c>
      <c r="N1086" s="6">
        <f>HYPERLINK("http://www.eum.go.kr/web/ar/lu/luLandDet.jsp?pnu=3611036031109630000&amp;isNoScr=script&amp;mode=search", "토지이음")</f>
        <v/>
      </c>
      <c r="O1086" s="3" t="inlineStr">
        <is>
          <t>세종시해냄공인</t>
        </is>
      </c>
      <c r="P1086" s="4" t="n">
        <v>1</v>
      </c>
      <c r="Q1086" s="4" t="n">
        <v>2199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와촌리 산112-3</t>
        </is>
      </c>
      <c r="B1087" s="3" t="inlineStr">
        <is>
          <t>농림지역</t>
        </is>
      </c>
      <c r="C1087" s="3" t="inlineStr">
        <is>
          <t>임야</t>
        </is>
      </c>
      <c r="D1087" s="3" t="inlineStr">
        <is>
          <t>임야</t>
        </is>
      </c>
      <c r="E1087" s="3" t="inlineStr">
        <is>
          <t>매매</t>
        </is>
      </c>
      <c r="F1087" s="4" t="n">
        <v>140000</v>
      </c>
      <c r="G1087" s="4" t="n">
        <v>23140</v>
      </c>
      <c r="H1087" s="4" t="n">
        <v>7000</v>
      </c>
      <c r="I1087" s="5" t="n">
        <v>20</v>
      </c>
      <c r="J1087" s="5" t="n">
        <v>3.9</v>
      </c>
      <c r="K1087" s="3" t="inlineStr">
        <is>
          <t>장기투자 개발 하기 좋은 세종시 토지 매매</t>
        </is>
      </c>
      <c r="L1087" s="6">
        <f>HYPERLINK("https://fin.land.naver.com/articles/2646721829", "매물Link")</f>
        <v/>
      </c>
      <c r="M1087" s="6">
        <f>HYPERLINK("https://map.naver.com/p/search/연서면 와촌리 산112-3", "지도Link")</f>
        <v/>
      </c>
      <c r="N1087" s="6">
        <f>HYPERLINK("http://www.eum.go.kr/web/ar/lu/luLandDet.jsp?pnu=3611036031201120003&amp;isNoScr=script&amp;mode=search", "토지이음")</f>
        <v/>
      </c>
      <c r="O1087" s="3" t="inlineStr">
        <is>
          <t>(주)정민근</t>
        </is>
      </c>
      <c r="P1087" s="4" t="n">
        <v>1</v>
      </c>
      <c r="Q1087" s="4" t="n">
        <v>16528</v>
      </c>
      <c r="R1087" s="3" t="inlineStr">
        <is>
          <t>보전관리지역</t>
        </is>
      </c>
      <c r="S1087" s="3" t="inlineStr">
        <is>
          <t>자연림</t>
        </is>
      </c>
      <c r="T1087" s="3" t="inlineStr">
        <is>
          <t>급경사</t>
        </is>
      </c>
      <c r="U1087" s="3" t="inlineStr">
        <is>
          <t>부정형</t>
        </is>
      </c>
      <c r="V1087" s="3" t="inlineStr">
        <is>
          <t>맹지</t>
        </is>
      </c>
    </row>
    <row r="1088">
      <c r="A1088" s="3" t="inlineStr">
        <is>
          <t>연서면 와촌리 산136-2</t>
        </is>
      </c>
      <c r="B1088" s="3" t="inlineStr">
        <is>
          <t>농림지역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5400</v>
      </c>
      <c r="G1088" s="4" t="n">
        <v>2347</v>
      </c>
      <c r="H1088" s="4" t="n">
        <v>710</v>
      </c>
      <c r="I1088" s="5" t="n">
        <v>7.6</v>
      </c>
      <c r="J1088" s="5" t="n">
        <v>3.2</v>
      </c>
      <c r="K1088" s="3" t="inlineStr">
        <is>
          <t>nan</t>
        </is>
      </c>
      <c r="L1088" s="6">
        <f>HYPERLINK("https://fin.land.naver.com/articles/2646485649", "매물Link")</f>
        <v/>
      </c>
      <c r="M1088" s="6">
        <f>HYPERLINK("https://map.naver.com/p/search/연서면 와촌리 산136-2", "지도Link")</f>
        <v/>
      </c>
      <c r="N1088" s="6">
        <f>HYPERLINK("http://www.eum.go.kr/web/ar/lu/luLandDet.jsp?pnu=3611036031201360002&amp;isNoScr=script&amp;mode=search", "토지이음")</f>
        <v/>
      </c>
      <c r="O1088" s="3" t="inlineStr">
        <is>
          <t>땅부자 사무소</t>
        </is>
      </c>
      <c r="P1088" s="4" t="n">
        <v>1</v>
      </c>
      <c r="Q1088" s="4" t="n">
        <v>7041</v>
      </c>
      <c r="R1088" s="3" t="inlineStr">
        <is>
          <t>지정되지않음</t>
        </is>
      </c>
      <c r="S1088" s="3" t="inlineStr">
        <is>
          <t>자연림</t>
        </is>
      </c>
      <c r="T1088" s="3" t="inlineStr">
        <is>
          <t>고지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연서면 와촌리 산209</t>
        </is>
      </c>
      <c r="B1089" s="3" t="inlineStr">
        <is>
          <t>일반공업지역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92000</v>
      </c>
      <c r="G1089" s="4" t="n">
        <v>4670</v>
      </c>
      <c r="H1089" s="4" t="n">
        <v>1413</v>
      </c>
      <c r="I1089" s="5" t="n">
        <v>65.09999999999999</v>
      </c>
      <c r="J1089" s="5" t="n">
        <v>49.3</v>
      </c>
      <c r="K1089" s="3" t="inlineStr">
        <is>
          <t>산업단지 확장을 대비한 토지거래허가구역의 마을 앞 야산으로투자전망 좋음</t>
        </is>
      </c>
      <c r="L1089" s="6">
        <f>HYPERLINK("https://fin.land.naver.com/articles/2650742264", "매물Link")</f>
        <v/>
      </c>
      <c r="M1089" s="6">
        <f>HYPERLINK("https://map.naver.com/p/search/연서면 와촌리 산209", "지도Link")</f>
        <v/>
      </c>
      <c r="N1089" s="6">
        <f>HYPERLINK("http://www.eum.go.kr/web/ar/lu/luLandDet.jsp?pnu=3611036031202090000&amp;isNoScr=script&amp;mode=search", "토지이음")</f>
        <v/>
      </c>
      <c r="O1089" s="3" t="inlineStr">
        <is>
          <t>성실</t>
        </is>
      </c>
      <c r="P1089" s="4" t="n">
        <v>1</v>
      </c>
      <c r="Q1089" s="4" t="n">
        <v>4675</v>
      </c>
      <c r="R1089" s="3" t="inlineStr">
        <is>
          <t>지정되지않음</t>
        </is>
      </c>
      <c r="S1089" s="3" t="inlineStr">
        <is>
          <t>과수원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세로한면(불)</t>
        </is>
      </c>
    </row>
    <row r="1090">
      <c r="A1090" s="3" t="inlineStr">
        <is>
          <t>연서면 와촌리 산96-15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178790</v>
      </c>
      <c r="G1090" s="4" t="n">
        <v>6221</v>
      </c>
      <c r="H1090" s="4" t="n">
        <v>1882</v>
      </c>
      <c r="I1090" s="5" t="n">
        <v>95</v>
      </c>
      <c r="J1090" s="5" t="n">
        <v>5.6</v>
      </c>
      <c r="K1090" s="3" t="inlineStr">
        <is>
          <t>세종국가산업단지 예정지와 근접하며 향후 개발가능성 높은 임야,6생활권인접</t>
        </is>
      </c>
      <c r="L1090" s="6">
        <f>HYPERLINK("https://fin.land.naver.com/articles/2648678203", "매물Link")</f>
        <v/>
      </c>
      <c r="M1090" s="6">
        <f>HYPERLINK("https://map.naver.com/p/search/연서면 와촌리 산96-15", "지도Link")</f>
        <v/>
      </c>
      <c r="N1090" s="6">
        <f>HYPERLINK("http://www.eum.go.kr/web/ar/lu/luLandDet.jsp?pnu=3611036031200960015&amp;isNoScr=script&amp;mode=search", "토지이음")</f>
        <v/>
      </c>
      <c r="O1090" s="3" t="inlineStr">
        <is>
          <t>담뜰</t>
        </is>
      </c>
      <c r="P1090" s="4" t="n">
        <v>1</v>
      </c>
      <c r="Q1090" s="4" t="n">
        <v>6221</v>
      </c>
      <c r="R1090" s="3" t="inlineStr">
        <is>
          <t>지정되지않음</t>
        </is>
      </c>
      <c r="S1090" s="3" t="inlineStr">
        <is>
          <t>자연림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맹지</t>
        </is>
      </c>
    </row>
    <row r="1091">
      <c r="A1091" s="3" t="inlineStr">
        <is>
          <t>연서면 용암리 166-5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304800</v>
      </c>
      <c r="G1091" s="4" t="n">
        <v>869</v>
      </c>
      <c r="H1091" s="4" t="n">
        <v>263</v>
      </c>
      <c r="I1091" s="5" t="n">
        <v>1158.9</v>
      </c>
      <c r="J1091" s="5" t="n">
        <v>220.9</v>
      </c>
      <c r="K1091" s="3" t="inlineStr">
        <is>
          <t>와촌리 국가산업단지와 가까움, 2차선변 주차용이,투자로최고</t>
        </is>
      </c>
      <c r="L1091" s="6">
        <f>HYPERLINK("https://fin.land.naver.com/articles/2647982475", "매물Link")</f>
        <v/>
      </c>
      <c r="M1091" s="6">
        <f>HYPERLINK("https://map.naver.com/p/search/연서면 용암리 166-5", "지도Link")</f>
        <v/>
      </c>
      <c r="N1091" s="6">
        <f>HYPERLINK("http://www.eum.go.kr/web/ar/lu/luLandDet.jsp?pnu=3611036025101660005&amp;isNoScr=script&amp;mode=search", "토지이음")</f>
        <v/>
      </c>
      <c r="O1091" s="3" t="inlineStr">
        <is>
          <t>세종공주제일</t>
        </is>
      </c>
      <c r="P1091" s="4" t="n">
        <v>1</v>
      </c>
      <c r="Q1091" s="4" t="n">
        <v>869</v>
      </c>
      <c r="R1091" s="3" t="inlineStr">
        <is>
          <t>지정되지않음</t>
        </is>
      </c>
      <c r="S1091" s="3" t="inlineStr">
        <is>
          <t>상업용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연서면 용암리 212-11</t>
        </is>
      </c>
      <c r="B1092" s="3" t="inlineStr">
        <is>
          <t>자연환경보전지역</t>
        </is>
      </c>
      <c r="C1092" s="3" t="inlineStr">
        <is>
          <t>과수원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89000</v>
      </c>
      <c r="G1092" s="4" t="n">
        <v>1484</v>
      </c>
      <c r="H1092" s="4" t="n">
        <v>449</v>
      </c>
      <c r="I1092" s="5" t="n">
        <v>198.2</v>
      </c>
      <c r="J1092" s="5" t="n">
        <v>42.3</v>
      </c>
      <c r="K1092" s="3" t="inlineStr">
        <is>
          <t>고복저수지 월하천변 농지. 경치좋은 지역. 서울세종간고속도로인근</t>
        </is>
      </c>
      <c r="L1092" s="6">
        <f>HYPERLINK("https://fin.land.naver.com/articles/2649914984", "매물Link")</f>
        <v/>
      </c>
      <c r="M1092" s="6">
        <f>HYPERLINK("https://map.naver.com/p/search/연서면 용암리 212-11", "지도Link")</f>
        <v/>
      </c>
      <c r="N1092" s="6">
        <f>HYPERLINK("http://www.eum.go.kr/web/ar/lu/luLandDet.jsp?pnu=3611036025102120011&amp;isNoScr=script&amp;mode=search", "토지이음")</f>
        <v/>
      </c>
      <c r="O1092" s="3" t="inlineStr">
        <is>
          <t>미스터홈즈강남지사</t>
        </is>
      </c>
      <c r="P1092" s="4" t="n">
        <v>1</v>
      </c>
      <c r="Q1092" s="4" t="n">
        <v>1484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연서면 용암리 216-5</t>
        </is>
      </c>
      <c r="B1093" s="3" t="inlineStr">
        <is>
          <t>생산관리지역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58000</v>
      </c>
      <c r="G1093" s="4" t="n">
        <v>1059</v>
      </c>
      <c r="H1093" s="4" t="n">
        <v>320</v>
      </c>
      <c r="I1093" s="5" t="n">
        <v>181.2</v>
      </c>
      <c r="J1093" s="5" t="n">
        <v>116.5</v>
      </c>
      <c r="K1093" s="3" t="inlineStr">
        <is>
          <t>급매, 조율도가능, 건축 휴게음식점 가능</t>
        </is>
      </c>
      <c r="L1093" s="6">
        <f>HYPERLINK("https://fin.land.naver.com/articles/2650890760", "매물Link")</f>
        <v/>
      </c>
      <c r="M1093" s="6">
        <f>HYPERLINK("https://map.naver.com/p/search/연서면 용암리 216-5", "지도Link")</f>
        <v/>
      </c>
      <c r="N1093" s="6">
        <f>HYPERLINK("http://www.eum.go.kr/web/ar/lu/luLandDet.jsp?pnu=3611036025102160005&amp;isNoScr=script&amp;mode=search", "토지이음")</f>
        <v/>
      </c>
      <c r="O1093" s="3" t="inlineStr">
        <is>
          <t>세종무지개</t>
        </is>
      </c>
      <c r="P1093" s="4" t="n">
        <v>1</v>
      </c>
      <c r="Q1093" s="4" t="n">
        <v>858</v>
      </c>
      <c r="R1093" s="3" t="inlineStr">
        <is>
          <t>자연환경보전지역</t>
        </is>
      </c>
      <c r="S1093" s="3" t="inlineStr">
        <is>
          <t>주상기타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용암리 225-12</t>
        </is>
      </c>
      <c r="B1094" s="3" t="inlineStr">
        <is>
          <t>농림지역</t>
        </is>
      </c>
      <c r="C1094" s="3" t="inlineStr">
        <is>
          <t>과수원</t>
        </is>
      </c>
      <c r="D1094" s="3" t="inlineStr">
        <is>
          <t>과수원</t>
        </is>
      </c>
      <c r="E1094" s="3" t="inlineStr">
        <is>
          <t>매매</t>
        </is>
      </c>
      <c r="F1094" s="4" t="n">
        <v>151000</v>
      </c>
      <c r="G1094" s="4" t="n">
        <v>6254</v>
      </c>
      <c r="H1094" s="4" t="n">
        <v>1892</v>
      </c>
      <c r="I1094" s="5" t="n">
        <v>79.8</v>
      </c>
      <c r="J1094" s="5" t="n">
        <v>30</v>
      </c>
      <c r="K1094" s="3" t="inlineStr">
        <is>
          <t>고복저수지 인근 용암리 도로접한 농업보호구역 토지 급매.</t>
        </is>
      </c>
      <c r="L1094" s="6">
        <f>HYPERLINK("https://fin.land.naver.com/articles/2648906608", "매물Link")</f>
        <v/>
      </c>
      <c r="M1094" s="6">
        <f>HYPERLINK("https://map.naver.com/p/search/연서면 용암리 225-12", "지도Link")</f>
        <v/>
      </c>
      <c r="N1094" s="6">
        <f>HYPERLINK("http://www.eum.go.kr/web/ar/lu/luLandDet.jsp?pnu=3611036025102250012&amp;isNoScr=script&amp;mode=search", "토지이음")</f>
        <v/>
      </c>
      <c r="O1094" s="3" t="inlineStr">
        <is>
          <t>세종대장</t>
        </is>
      </c>
      <c r="P1094" s="4" t="n">
        <v>1</v>
      </c>
      <c r="Q1094" s="4" t="n">
        <v>3198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용암리 239-11</t>
        </is>
      </c>
      <c r="B1095" s="3" t="inlineStr">
        <is>
          <t>생산관리지역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25000</v>
      </c>
      <c r="G1095" s="4" t="n">
        <v>654</v>
      </c>
      <c r="H1095" s="4" t="n">
        <v>198</v>
      </c>
      <c r="I1095" s="5" t="n">
        <v>126.3</v>
      </c>
      <c r="J1095" s="5" t="n">
        <v>43.2</v>
      </c>
      <c r="K1095" s="3" t="inlineStr">
        <is>
          <t>도로지분포함매매,남향토지.</t>
        </is>
      </c>
      <c r="L1095" s="6">
        <f>HYPERLINK("https://fin.land.naver.com/articles/2649852384", "매물Link")</f>
        <v/>
      </c>
      <c r="M1095" s="6">
        <f>HYPERLINK("https://map.naver.com/p/search/연서면 용암리 239-11", "지도Link")</f>
        <v/>
      </c>
      <c r="N1095" s="6">
        <f>HYPERLINK("http://www.eum.go.kr/web/ar/lu/luLandDet.jsp?pnu=3611036025102390011&amp;isNoScr=script&amp;mode=search", "토지이음")</f>
        <v/>
      </c>
      <c r="O1095" s="3" t="inlineStr">
        <is>
          <t>담뜰</t>
        </is>
      </c>
      <c r="P1095" s="4" t="n">
        <v>1</v>
      </c>
      <c r="Q1095" s="4" t="n">
        <v>577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평지</t>
        </is>
      </c>
      <c r="U1095" s="3" t="inlineStr">
        <is>
          <t>부정형</t>
        </is>
      </c>
      <c r="V1095" s="3" t="inlineStr">
        <is>
          <t>세로한면(불)</t>
        </is>
      </c>
    </row>
    <row r="1096">
      <c r="A1096" s="3" t="inlineStr">
        <is>
          <t>연서면 용암리 245-2</t>
        </is>
      </c>
      <c r="B1096" s="3" t="inlineStr">
        <is>
          <t>농림지역</t>
        </is>
      </c>
      <c r="C1096" s="3" t="inlineStr">
        <is>
          <t>잡종지</t>
        </is>
      </c>
      <c r="D1096" s="3" t="inlineStr">
        <is>
          <t>잡종지</t>
        </is>
      </c>
      <c r="E1096" s="3" t="inlineStr">
        <is>
          <t>매매</t>
        </is>
      </c>
      <c r="F1096" s="4" t="n">
        <v>323000</v>
      </c>
      <c r="G1096" s="4" t="n">
        <v>17797</v>
      </c>
      <c r="H1096" s="4" t="n">
        <v>5384</v>
      </c>
      <c r="I1096" s="5" t="n">
        <v>60</v>
      </c>
      <c r="J1096" s="5" t="n">
        <v>37.9</v>
      </c>
      <c r="K1096" s="3" t="inlineStr">
        <is>
          <t>태양광 시설 및 경사도 없는 야산으로 태양광 시설을 확장할 수 있는 임야</t>
        </is>
      </c>
      <c r="L1096" s="6">
        <f>HYPERLINK("https://fin.land.naver.com/articles/2646127462", "매물Link")</f>
        <v/>
      </c>
      <c r="M1096" s="6">
        <f>HYPERLINK("https://map.naver.com/p/search/연서면 용암리 245-2", "지도Link")</f>
        <v/>
      </c>
      <c r="N1096" s="6">
        <f>HYPERLINK("http://www.eum.go.kr/web/ar/lu/luLandDet.jsp?pnu=3611036025102450002&amp;isNoScr=script&amp;mode=search", "토지이음")</f>
        <v/>
      </c>
      <c r="O1096" s="3" t="inlineStr">
        <is>
          <t>스마일세종</t>
        </is>
      </c>
      <c r="P1096" s="4" t="n">
        <v>1</v>
      </c>
      <c r="Q1096" s="4" t="n">
        <v>4332</v>
      </c>
      <c r="R1096" s="3" t="inlineStr">
        <is>
          <t>지정되지않음</t>
        </is>
      </c>
      <c r="S1096" s="3" t="inlineStr">
        <is>
          <t>태양광발전소부지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용암리 259-1</t>
        </is>
      </c>
      <c r="B1097" s="3" t="inlineStr">
        <is>
          <t>계획관리지역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45000</v>
      </c>
      <c r="G1097" s="4" t="n">
        <v>1305</v>
      </c>
      <c r="H1097" s="4" t="n">
        <v>395</v>
      </c>
      <c r="I1097" s="5" t="n">
        <v>113.9</v>
      </c>
      <c r="J1097" s="5" t="n">
        <v>55.7</v>
      </c>
      <c r="K1097" s="3" t="inlineStr">
        <is>
          <t>연서면 용암리 고복저수지 인근 계획관리 토지, 국가산단 인근</t>
        </is>
      </c>
      <c r="L1097" s="6">
        <f>HYPERLINK("https://fin.land.naver.com/articles/2648394462", "매물Link")</f>
        <v/>
      </c>
      <c r="M1097" s="6">
        <f>HYPERLINK("https://map.naver.com/p/search/연서면 용암리 259-1", "지도Link")</f>
        <v/>
      </c>
      <c r="N1097" s="6">
        <f>HYPERLINK("http://www.eum.go.kr/web/ar/lu/luLandDet.jsp?pnu=3611036025102590001&amp;isNoScr=script&amp;mode=search", "토지이음")</f>
        <v/>
      </c>
      <c r="O1097" s="3" t="inlineStr">
        <is>
          <t>스카이</t>
        </is>
      </c>
      <c r="P1097" s="4" t="n">
        <v>1</v>
      </c>
      <c r="Q1097" s="4" t="n">
        <v>826</v>
      </c>
      <c r="R1097" s="3" t="inlineStr">
        <is>
          <t>지정되지않음</t>
        </is>
      </c>
      <c r="S1097" s="3" t="inlineStr">
        <is>
          <t>과수원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용암리 45-23</t>
        </is>
      </c>
      <c r="B1098" s="3" t="inlineStr">
        <is>
          <t>농림지역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40000</v>
      </c>
      <c r="G1098" s="4" t="n">
        <v>335</v>
      </c>
      <c r="H1098" s="4" t="n">
        <v>101</v>
      </c>
      <c r="I1098" s="5" t="n">
        <v>396</v>
      </c>
      <c r="J1098" s="5" t="n">
        <v>35.7</v>
      </c>
      <c r="K1098" s="3" t="inlineStr">
        <is>
          <t>고복저수지 뷰 도로에접한 저렴한 토지</t>
        </is>
      </c>
      <c r="L1098" s="6">
        <f>HYPERLINK("https://fin.land.naver.com/articles/2650856648", "매물Link")</f>
        <v/>
      </c>
      <c r="M1098" s="6">
        <f>HYPERLINK("https://map.naver.com/p/search/연서면 용암리 45-23", "지도Link")</f>
        <v/>
      </c>
      <c r="N1098" s="6">
        <f>HYPERLINK("http://www.eum.go.kr/web/ar/lu/luLandDet.jsp?pnu=3611036025100450023&amp;isNoScr=script&amp;mode=search",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335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용암리 산28-16</t>
        </is>
      </c>
      <c r="B1099" s="3" t="inlineStr">
        <is>
          <t>농림지역</t>
        </is>
      </c>
      <c r="C1099" s="3" t="inlineStr">
        <is>
          <t>임야</t>
        </is>
      </c>
      <c r="D1099" s="3" t="inlineStr">
        <is>
          <t>임야</t>
        </is>
      </c>
      <c r="E1099" s="3" t="inlineStr">
        <is>
          <t>매매</t>
        </is>
      </c>
      <c r="F1099" s="4" t="n">
        <v>73000</v>
      </c>
      <c r="G1099" s="4" t="n">
        <v>3377</v>
      </c>
      <c r="H1099" s="4" t="n">
        <v>1022</v>
      </c>
      <c r="I1099" s="5" t="n">
        <v>71.40000000000001</v>
      </c>
      <c r="J1099" s="5" t="n">
        <v>2.3</v>
      </c>
      <c r="K1099" s="3" t="inlineStr">
        <is>
          <t>세종 연서면 약 10만평 대규모 토지 통매매｜대단위 부지 찾는 분 주목</t>
        </is>
      </c>
      <c r="L1099" s="6">
        <f>HYPERLINK("https://fin.land.naver.com/articles/2646226640", "매물Link")</f>
        <v/>
      </c>
      <c r="M1099" s="6">
        <f>HYPERLINK("https://map.naver.com/p/search/연서면 용암리 산28-16", "지도Link")</f>
        <v/>
      </c>
      <c r="N1099" s="6">
        <f>HYPERLINK("http://www.eum.go.kr/web/ar/lu/luLandDet.jsp?pnu=3611036025200280016&amp;isNoScr=script&amp;mode=search", "토지이음")</f>
        <v/>
      </c>
      <c r="O1099" s="3" t="inlineStr">
        <is>
          <t>세종몽땅</t>
        </is>
      </c>
      <c r="P1099" s="4" t="n">
        <v>1</v>
      </c>
      <c r="Q1099" s="4" t="n">
        <v>1512</v>
      </c>
      <c r="R1099" s="3" t="inlineStr">
        <is>
          <t>지정되지않음</t>
        </is>
      </c>
      <c r="S1099" s="3" t="inlineStr">
        <is>
          <t>자연림</t>
        </is>
      </c>
      <c r="T1099" s="3" t="inlineStr">
        <is>
          <t>급경사</t>
        </is>
      </c>
      <c r="U1099" s="3" t="inlineStr">
        <is>
          <t>부정형</t>
        </is>
      </c>
      <c r="V1099" s="3" t="inlineStr">
        <is>
          <t>맹지</t>
        </is>
      </c>
    </row>
    <row r="1100">
      <c r="A1100" s="3" t="inlineStr">
        <is>
          <t>연서면 월하리 1035-2</t>
        </is>
      </c>
      <c r="B1100" s="3" t="inlineStr">
        <is>
          <t>자연녹지지역</t>
        </is>
      </c>
      <c r="C1100" s="3" t="inlineStr">
        <is>
          <t>과수원</t>
        </is>
      </c>
      <c r="D1100" s="3" t="inlineStr">
        <is>
          <t>과수원</t>
        </is>
      </c>
      <c r="E1100" s="3" t="inlineStr">
        <is>
          <t>매매</t>
        </is>
      </c>
      <c r="F1100" s="4" t="n">
        <v>176000</v>
      </c>
      <c r="G1100" s="4" t="n">
        <v>1455</v>
      </c>
      <c r="H1100" s="4" t="n">
        <v>440</v>
      </c>
      <c r="I1100" s="5" t="n">
        <v>400</v>
      </c>
      <c r="J1100" s="5" t="n">
        <v>113</v>
      </c>
      <c r="K1100" s="3" t="inlineStr">
        <is>
          <t>연서면 월하리 2차선, 4차선 계획 예정 도로에 접한 투자가치 좋은 급매</t>
        </is>
      </c>
      <c r="L1100" s="6">
        <f>HYPERLINK("https://fin.land.naver.com/articles/2646728467", "매물Link")</f>
        <v/>
      </c>
      <c r="M1100" s="6">
        <f>HYPERLINK("https://map.naver.com/p/search/연서면 월하리 1035-2", "지도Link")</f>
        <v/>
      </c>
      <c r="N1100" s="6">
        <f>HYPERLINK("http://www.eum.go.kr/web/ar/lu/luLandDet.jsp?pnu=3611036021110350002&amp;isNoScr=script&amp;mode=search", "토지이음")</f>
        <v/>
      </c>
      <c r="O1100" s="3" t="inlineStr">
        <is>
          <t>스마일세종</t>
        </is>
      </c>
      <c r="P1100" s="4" t="n">
        <v>1</v>
      </c>
      <c r="Q1100" s="4" t="n">
        <v>1455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월하리 1041</t>
        </is>
      </c>
      <c r="B1101" s="3" t="inlineStr">
        <is>
          <t>자연녹지지역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120000</v>
      </c>
      <c r="G1101" s="4" t="n">
        <v>1597</v>
      </c>
      <c r="H1101" s="4" t="n">
        <v>483</v>
      </c>
      <c r="I1101" s="5" t="n">
        <v>248.4</v>
      </c>
      <c r="J1101" s="5" t="n">
        <v>195.9</v>
      </c>
      <c r="K1101" s="3" t="inlineStr">
        <is>
          <t>월하리 자연녹지지역 저렴한 토지 급매. 포장도로 접함.</t>
        </is>
      </c>
      <c r="L1101" s="6">
        <f>HYPERLINK("https://fin.land.naver.com/articles/2651466882", "매물Link")</f>
        <v/>
      </c>
      <c r="M1101" s="6">
        <f>HYPERLINK("https://map.naver.com/p/search/연서면 월하리 1041", "지도Link")</f>
        <v/>
      </c>
      <c r="N1101" s="6">
        <f>HYPERLINK("http://www.eum.go.kr/web/ar/lu/luLandDet.jsp?pnu=3611036021110410000&amp;isNoScr=script&amp;mode=search", "토지이음")</f>
        <v/>
      </c>
      <c r="O1101" s="3" t="inlineStr">
        <is>
          <t>세종대장</t>
        </is>
      </c>
      <c r="P1101" s="4" t="n">
        <v>1</v>
      </c>
      <c r="Q1101" s="4" t="n">
        <v>1597</v>
      </c>
      <c r="R1101" s="3" t="inlineStr">
        <is>
          <t>지정되지않음</t>
        </is>
      </c>
      <c r="S1101" s="3" t="inlineStr">
        <is>
          <t>답기타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월하리 1055-1</t>
        </is>
      </c>
      <c r="B1102" s="3" t="inlineStr">
        <is>
          <t>자연녹지지역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200000</v>
      </c>
      <c r="G1102" s="4" t="n">
        <v>1653</v>
      </c>
      <c r="H1102" s="4" t="n">
        <v>500</v>
      </c>
      <c r="I1102" s="5" t="n">
        <v>400</v>
      </c>
      <c r="J1102" s="5" t="n">
        <v>96.59999999999999</v>
      </c>
      <c r="K1102" s="3" t="inlineStr">
        <is>
          <t>nan</t>
        </is>
      </c>
      <c r="L1102" s="6">
        <f>HYPERLINK("https://fin.land.naver.com/articles/2649692747", "매물Link")</f>
        <v/>
      </c>
      <c r="M1102" s="6">
        <f>HYPERLINK("https://map.naver.com/p/search/연서면 월하리 1055-1", "지도Link")</f>
        <v/>
      </c>
      <c r="N1102" s="6">
        <f>HYPERLINK("http://www.eum.go.kr/web/ar/lu/luLandDet.jsp?pnu=3611036021110550001&amp;isNoScr=script&amp;mode=search", "토지이음")</f>
        <v/>
      </c>
      <c r="O1102" s="3" t="inlineStr">
        <is>
          <t>온뜰</t>
        </is>
      </c>
      <c r="P1102" s="4" t="n">
        <v>1</v>
      </c>
      <c r="Q1102" s="4" t="n">
        <v>3712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월하리 1055-1</t>
        </is>
      </c>
      <c r="B1103" s="3" t="inlineStr">
        <is>
          <t>자연녹지지역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330000</v>
      </c>
      <c r="G1103" s="4" t="n">
        <v>3712</v>
      </c>
      <c r="H1103" s="4" t="n">
        <v>1123</v>
      </c>
      <c r="I1103" s="5" t="n">
        <v>293.9</v>
      </c>
      <c r="J1103" s="5" t="n">
        <v>96.59999999999999</v>
      </c>
      <c r="K1103" s="3" t="inlineStr">
        <is>
          <t>세종 조치원 공공주택지구 인근 투자용 토지 매매</t>
        </is>
      </c>
      <c r="L1103" s="6">
        <f>HYPERLINK("https://fin.land.naver.com/articles/2649466633", "매물Link")</f>
        <v/>
      </c>
      <c r="M1103" s="6">
        <f>HYPERLINK("https://map.naver.com/p/search/연서면 월하리 1055-1", "지도Link")</f>
        <v/>
      </c>
      <c r="N1103" s="6">
        <f>HYPERLINK("http://www.eum.go.kr/web/ar/lu/luLandDet.jsp?pnu=3611036021110550001&amp;isNoScr=script&amp;mode=search", "토지이음")</f>
        <v/>
      </c>
      <c r="O1103" s="3" t="inlineStr">
        <is>
          <t>(주)해뜰터</t>
        </is>
      </c>
      <c r="P1103" s="4" t="n">
        <v>1</v>
      </c>
      <c r="Q1103" s="4" t="n">
        <v>3712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월하리 1056</t>
        </is>
      </c>
      <c r="B1104" s="3" t="inlineStr">
        <is>
          <t>자연녹지지역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247000</v>
      </c>
      <c r="G1104" s="4" t="n">
        <v>4087</v>
      </c>
      <c r="H1104" s="4" t="n">
        <v>1236</v>
      </c>
      <c r="I1104" s="5" t="n">
        <v>199.8</v>
      </c>
      <c r="J1104" s="5" t="n">
        <v>96.59999999999999</v>
      </c>
      <c r="K1104" s="3" t="inlineStr">
        <is>
          <t>월하리 포장도로 접한 자연녹지지역 밭으로 이용. 총 4필지로 급매.</t>
        </is>
      </c>
      <c r="L1104" s="6">
        <f>HYPERLINK("https://fin.land.naver.com/articles/2649104014", "매물Link")</f>
        <v/>
      </c>
      <c r="M1104" s="6">
        <f>HYPERLINK("https://map.naver.com/p/search/연서면 월하리 1056", "지도Link")</f>
        <v/>
      </c>
      <c r="N1104" s="6">
        <f>HYPERLINK("http://www.eum.go.kr/web/ar/lu/luLandDet.jsp?pnu=3611036021110560000&amp;isNoScr=script&amp;mode=search", "토지이음")</f>
        <v/>
      </c>
      <c r="O1104" s="3" t="inlineStr">
        <is>
          <t>세종대장</t>
        </is>
      </c>
      <c r="P1104" s="4" t="n">
        <v>1</v>
      </c>
      <c r="Q1104" s="4" t="n">
        <v>2086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월하리 1103-51</t>
        </is>
      </c>
      <c r="B1105" s="3" t="inlineStr">
        <is>
          <t>자연녹지지역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150000</v>
      </c>
      <c r="G1105" s="4" t="n">
        <v>3313</v>
      </c>
      <c r="H1105" s="4" t="n">
        <v>1002</v>
      </c>
      <c r="I1105" s="5" t="n">
        <v>149.7</v>
      </c>
      <c r="J1105" s="5" t="n">
        <v>72.2</v>
      </c>
      <c r="K1105" s="3" t="inlineStr">
        <is>
          <t>조치원 공공택지 개발지 인근</t>
        </is>
      </c>
      <c r="L1105" s="6">
        <f>HYPERLINK("https://fin.land.naver.com/articles/2650022169", "매물Link")</f>
        <v/>
      </c>
      <c r="M1105" s="6">
        <f>HYPERLINK("https://map.naver.com/p/search/연서면 월하리 1103-51", "지도Link")</f>
        <v/>
      </c>
      <c r="N1105" s="6">
        <f>HYPERLINK("http://www.eum.go.kr/web/ar/lu/luLandDet.jsp?pnu=3611036021111030051&amp;isNoScr=script&amp;mode=search", "토지이음")</f>
        <v/>
      </c>
      <c r="O1105" s="3" t="inlineStr">
        <is>
          <t>나릿재OK</t>
        </is>
      </c>
      <c r="P1105" s="4" t="n">
        <v>1</v>
      </c>
      <c r="Q1105" s="4" t="n">
        <v>3313</v>
      </c>
      <c r="R1105" s="3" t="inlineStr">
        <is>
          <t>지정되지않음</t>
        </is>
      </c>
      <c r="S1105" s="3" t="inlineStr">
        <is>
          <t>과수원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월하리 1103-54</t>
        </is>
      </c>
      <c r="B1106" s="3" t="inlineStr">
        <is>
          <t>자연녹지지역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180000</v>
      </c>
      <c r="G1106" s="4" t="n">
        <v>1676</v>
      </c>
      <c r="H1106" s="4" t="n">
        <v>507</v>
      </c>
      <c r="I1106" s="5" t="n">
        <v>355</v>
      </c>
      <c r="J1106" s="5" t="n">
        <v>121.8</v>
      </c>
      <c r="K1106" s="3" t="inlineStr">
        <is>
          <t>2차선 도로에 접해 있어 근생 부지로 적합한 도시지역 자연녹지의 과수원</t>
        </is>
      </c>
      <c r="L1106" s="6">
        <f>HYPERLINK("https://fin.land.naver.com/articles/2651465498", "매물Link")</f>
        <v/>
      </c>
      <c r="M1106" s="6">
        <f>HYPERLINK("https://map.naver.com/p/search/연서면 월하리 1103-54", "지도Link")</f>
        <v/>
      </c>
      <c r="N1106" s="6">
        <f>HYPERLINK("http://www.eum.go.kr/web/ar/lu/luLandDet.jsp?pnu=3611036021111030054&amp;isNoScr=script&amp;mode=search",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1676</v>
      </c>
      <c r="R1106" s="3" t="inlineStr">
        <is>
          <t>지정되지않음</t>
        </is>
      </c>
      <c r="S1106" s="3" t="inlineStr">
        <is>
          <t>과수원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월하리 1110-1</t>
        </is>
      </c>
      <c r="B1107" s="3" t="inlineStr">
        <is>
          <t>자연녹지지역</t>
        </is>
      </c>
      <c r="C1107" s="3" t="inlineStr">
        <is>
          <t>전</t>
        </is>
      </c>
      <c r="D1107" s="3" t="inlineStr">
        <is>
          <t>대</t>
        </is>
      </c>
      <c r="E1107" s="3" t="inlineStr">
        <is>
          <t>매매</t>
        </is>
      </c>
      <c r="F1107" s="4" t="n">
        <v>190000</v>
      </c>
      <c r="G1107" s="4" t="n">
        <v>7242</v>
      </c>
      <c r="H1107" s="4" t="n">
        <v>2191</v>
      </c>
      <c r="I1107" s="5" t="n">
        <v>86.7</v>
      </c>
      <c r="J1107" s="5" t="n">
        <v>69.59999999999999</v>
      </c>
      <c r="K1107" s="3" t="inlineStr">
        <is>
          <t>시세저렴 공시지가 연서면 월하리 과수원 및 대지</t>
        </is>
      </c>
      <c r="L1107" s="6">
        <f>HYPERLINK("https://fin.land.naver.com/articles/2649446319", "매물Link")</f>
        <v/>
      </c>
      <c r="M1107" s="6">
        <f>HYPERLINK("https://map.naver.com/p/search/연서면 월하리 1110-1", "지도Link")</f>
        <v/>
      </c>
      <c r="N1107" s="6">
        <f>HYPERLINK("http://www.eum.go.kr/web/ar/lu/luLandDet.jsp?pnu=3611036021111100001&amp;isNoScr=script&amp;mode=search", "토지이음")</f>
        <v/>
      </c>
      <c r="O1107" s="3" t="inlineStr">
        <is>
          <t>명당</t>
        </is>
      </c>
      <c r="P1107" s="4" t="n">
        <v>1</v>
      </c>
      <c r="Q1107" s="4" t="n">
        <v>4326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월하리 1138-4</t>
        </is>
      </c>
      <c r="B1108" s="3" t="inlineStr">
        <is>
          <t>자연녹지지역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68000</v>
      </c>
      <c r="G1108" s="4" t="n">
        <v>1818</v>
      </c>
      <c r="H1108" s="4" t="n">
        <v>550</v>
      </c>
      <c r="I1108" s="5" t="n">
        <v>123.6</v>
      </c>
      <c r="J1108" s="5" t="n">
        <v>69.59999999999999</v>
      </c>
      <c r="K1108" s="3" t="inlineStr">
        <is>
          <t>위치가 좋은 토지</t>
        </is>
      </c>
      <c r="L1108" s="6">
        <f>HYPERLINK("https://fin.land.naver.com/articles/2648555111", "매물Link")</f>
        <v/>
      </c>
      <c r="M1108" s="6">
        <f>HYPERLINK("https://map.naver.com/p/search/연서면 월하리 1138-4", "지도Link")</f>
        <v/>
      </c>
      <c r="N1108" s="6">
        <f>HYPERLINK("http://www.eum.go.kr/web/ar/lu/luLandDet.jsp?pnu=3611036021111380004&amp;isNoScr=script&amp;mode=search", "토지이음")</f>
        <v/>
      </c>
      <c r="O1108" s="3" t="inlineStr">
        <is>
          <t>세종리츠</t>
        </is>
      </c>
      <c r="P1108" s="4" t="n">
        <v>1</v>
      </c>
      <c r="Q1108" s="4" t="n">
        <v>1818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맹지</t>
        </is>
      </c>
    </row>
    <row r="1109">
      <c r="A1109" s="3" t="inlineStr">
        <is>
          <t>연서면 월하리 1153</t>
        </is>
      </c>
      <c r="B1109" s="3" t="inlineStr">
        <is>
          <t>자연녹지지역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27500</v>
      </c>
      <c r="G1109" s="4" t="n">
        <v>828</v>
      </c>
      <c r="H1109" s="4" t="n">
        <v>250</v>
      </c>
      <c r="I1109" s="5" t="n">
        <v>110</v>
      </c>
      <c r="J1109" s="5" t="n">
        <v>113.1</v>
      </c>
      <c r="K1109" s="3" t="inlineStr">
        <is>
          <t>월하리 도시지역 자연녹지의 포장도로에 접한 농촌체류형 쉼터로 적합한 전</t>
        </is>
      </c>
      <c r="L1109" s="6">
        <f>HYPERLINK("https://fin.land.naver.com/articles/2649862201", "매물Link")</f>
        <v/>
      </c>
      <c r="M1109" s="6">
        <f>HYPERLINK("https://map.naver.com/p/search/연서면 월하리 1153", "지도Link")</f>
        <v/>
      </c>
      <c r="N1109" s="6">
        <f>HYPERLINK("http://www.eum.go.kr/web/ar/lu/luLandDet.jsp?pnu=3611036021111530000&amp;isNoScr=script&amp;mode=search", "토지이음")</f>
        <v/>
      </c>
      <c r="O1109" s="3" t="inlineStr">
        <is>
          <t>스마일세종</t>
        </is>
      </c>
      <c r="P1109" s="4" t="n">
        <v>4</v>
      </c>
      <c r="Q1109" s="4" t="n">
        <v>650</v>
      </c>
      <c r="R1109" s="3" t="inlineStr">
        <is>
          <t>지정되지않음</t>
        </is>
      </c>
      <c r="S1109" s="3" t="inlineStr">
        <is>
          <t>전축사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월하리 1153</t>
        </is>
      </c>
      <c r="B1110" s="3" t="inlineStr">
        <is>
          <t>자연녹지지역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27500</v>
      </c>
      <c r="G1110" s="4" t="n">
        <v>826</v>
      </c>
      <c r="H1110" s="4" t="n">
        <v>250</v>
      </c>
      <c r="I1110" s="5" t="n">
        <v>110</v>
      </c>
      <c r="J1110" s="5" t="n">
        <v>113.1</v>
      </c>
      <c r="K1110" s="3" t="inlineStr">
        <is>
          <t>조치원 생활권 인접 도로접 자연녹지 토지</t>
        </is>
      </c>
      <c r="L1110" s="6">
        <f>HYPERLINK("https://fin.land.naver.com/articles/2648855584", "매물Link")</f>
        <v/>
      </c>
      <c r="M1110" s="6">
        <f>HYPERLINK("https://map.naver.com/p/search/연서면 월하리 1153", "지도Link")</f>
        <v/>
      </c>
      <c r="N1110" s="6">
        <f>HYPERLINK("http://www.eum.go.kr/web/ar/lu/luLandDet.jsp?pnu=3611036021111530000&amp;isNoScr=script&amp;mode=search", "토지이음")</f>
        <v/>
      </c>
      <c r="O1110" s="3" t="inlineStr">
        <is>
          <t>세종소담황금</t>
        </is>
      </c>
      <c r="P1110" s="4" t="n">
        <v>1</v>
      </c>
      <c r="Q1110" s="4" t="n">
        <v>650</v>
      </c>
      <c r="R1110" s="3" t="inlineStr">
        <is>
          <t>지정되지않음</t>
        </is>
      </c>
      <c r="S1110" s="3" t="inlineStr">
        <is>
          <t>전축사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월하리 15-1</t>
        </is>
      </c>
      <c r="B1111" s="3" t="inlineStr">
        <is>
          <t>자연녹지지역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20000</v>
      </c>
      <c r="G1111" s="4" t="n">
        <v>407</v>
      </c>
      <c r="H1111" s="4" t="n">
        <v>123</v>
      </c>
      <c r="I1111" s="5" t="n">
        <v>162.6</v>
      </c>
      <c r="J1111" s="5" t="n">
        <v>105.5</v>
      </c>
      <c r="K1111" s="3" t="inlineStr">
        <is>
          <t>nan</t>
        </is>
      </c>
      <c r="L1111" s="6">
        <f>HYPERLINK("https://fin.land.naver.com/articles/2648746259", "매물Link")</f>
        <v/>
      </c>
      <c r="M1111" s="6">
        <f>HYPERLINK("https://map.naver.com/p/search/연서면 월하리 15-1", "지도Link")</f>
        <v/>
      </c>
      <c r="N1111" s="6">
        <f>HYPERLINK("http://www.eum.go.kr/web/ar/lu/luLandDet.jsp?pnu=3611036021100150001&amp;isNoScr=script&amp;mode=search", "토지이음")</f>
        <v/>
      </c>
      <c r="O1111" s="3" t="inlineStr">
        <is>
          <t>용궁</t>
        </is>
      </c>
      <c r="P1111" s="4" t="n">
        <v>2</v>
      </c>
      <c r="Q1111" s="4" t="n">
        <v>407</v>
      </c>
      <c r="R1111" s="3" t="inlineStr">
        <is>
          <t>지정되지않음</t>
        </is>
      </c>
      <c r="S1111" s="3" t="inlineStr">
        <is>
          <t>단독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월하리 25-7</t>
        </is>
      </c>
      <c r="B1112" s="3" t="inlineStr">
        <is>
          <t>자연녹지지역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130000</v>
      </c>
      <c r="G1112" s="4" t="n">
        <v>1615</v>
      </c>
      <c r="H1112" s="4" t="n">
        <v>489</v>
      </c>
      <c r="I1112" s="5" t="n">
        <v>265.8</v>
      </c>
      <c r="J1112" s="5" t="n">
        <v>76.40000000000001</v>
      </c>
      <c r="K1112" s="3" t="inlineStr">
        <is>
          <t>미호강인근,주택부지포함,차도바로옆 금액최대협의</t>
        </is>
      </c>
      <c r="L1112" s="6">
        <f>HYPERLINK("https://fin.land.naver.com/articles/2648051944", "매물Link")</f>
        <v/>
      </c>
      <c r="M1112" s="6">
        <f>HYPERLINK("https://map.naver.com/p/search/연서면 월하리 25-7", "지도Link")</f>
        <v/>
      </c>
      <c r="N1112" s="6">
        <f>HYPERLINK("http://www.eum.go.kr/web/ar/lu/luLandDet.jsp?pnu=3611036021100250007&amp;isNoScr=script&amp;mode=search", "토지이음")</f>
        <v/>
      </c>
      <c r="O1112" s="3" t="inlineStr">
        <is>
          <t>세종새빛</t>
        </is>
      </c>
      <c r="P1112" s="4" t="n">
        <v>1</v>
      </c>
      <c r="Q1112" s="4" t="n">
        <v>1301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월하리 25-7</t>
        </is>
      </c>
      <c r="B1113" s="3" t="inlineStr">
        <is>
          <t>자연녹지지역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130000</v>
      </c>
      <c r="G1113" s="4" t="n">
        <v>1615</v>
      </c>
      <c r="H1113" s="4" t="n">
        <v>489</v>
      </c>
      <c r="I1113" s="5" t="n">
        <v>265.8</v>
      </c>
      <c r="J1113" s="5" t="n">
        <v>76.40000000000001</v>
      </c>
      <c r="K1113" s="3" t="inlineStr">
        <is>
          <t>도시지역내 자연녹지,미호강변 개발가능</t>
        </is>
      </c>
      <c r="L1113" s="6">
        <f>HYPERLINK("https://fin.land.naver.com/articles/2650859611", "매물Link")</f>
        <v/>
      </c>
      <c r="M1113" s="6">
        <f>HYPERLINK("https://map.naver.com/p/search/연서면 월하리 25-7", "지도Link")</f>
        <v/>
      </c>
      <c r="N1113" s="6">
        <f>HYPERLINK("http://www.eum.go.kr/web/ar/lu/luLandDet.jsp?pnu=3611036021100250007&amp;isNoScr=script&amp;mode=search", "토지이음")</f>
        <v/>
      </c>
      <c r="O1113" s="3" t="inlineStr">
        <is>
          <t>세종대박</t>
        </is>
      </c>
      <c r="P1113" s="4" t="n">
        <v>1</v>
      </c>
      <c r="Q1113" s="4" t="n">
        <v>1301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월하리 35-3</t>
        </is>
      </c>
      <c r="B1114" s="3" t="inlineStr">
        <is>
          <t>계획관리지역</t>
        </is>
      </c>
      <c r="C1114" s="3" t="inlineStr">
        <is>
          <t>공장용지</t>
        </is>
      </c>
      <c r="D1114" s="3" t="inlineStr">
        <is>
          <t>공장용지</t>
        </is>
      </c>
      <c r="E1114" s="3" t="inlineStr">
        <is>
          <t>매매</t>
        </is>
      </c>
      <c r="F1114" s="4" t="n">
        <v>69000</v>
      </c>
      <c r="G1114" s="4" t="n">
        <v>987</v>
      </c>
      <c r="H1114" s="4" t="n">
        <v>299</v>
      </c>
      <c r="I1114" s="5" t="n">
        <v>230.8</v>
      </c>
      <c r="J1114" s="5" t="n">
        <v>73.3</v>
      </c>
      <c r="K1114" s="3" t="inlineStr">
        <is>
          <t>공장부지, 299P, 주차6대, 1층 공장 건물 및 부속건물</t>
        </is>
      </c>
      <c r="L1114" s="6">
        <f>HYPERLINK("https://fin.land.naver.com/articles/2650988901", "매물Link")</f>
        <v/>
      </c>
      <c r="M1114" s="6">
        <f>HYPERLINK("https://map.naver.com/p/search/연서면 월하리 35-3", "지도Link")</f>
        <v/>
      </c>
      <c r="N1114" s="6">
        <f>HYPERLINK("http://www.eum.go.kr/web/ar/lu/luLandDet.jsp?pnu=3611036021100350003&amp;isNoScr=script&amp;mode=search", "토지이음")</f>
        <v/>
      </c>
      <c r="O1114" s="3" t="inlineStr">
        <is>
          <t>엄마와딸</t>
        </is>
      </c>
      <c r="P1114" s="4" t="n">
        <v>1</v>
      </c>
      <c r="Q1114" s="4" t="n">
        <v>987</v>
      </c>
      <c r="R1114" s="3" t="inlineStr">
        <is>
          <t>지정되지않음</t>
        </is>
      </c>
      <c r="S1114" s="3" t="inlineStr">
        <is>
          <t>공업용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연서면 월하리 35-7</t>
        </is>
      </c>
      <c r="B1115" s="3" t="inlineStr">
        <is>
          <t>계획관리지역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100000</v>
      </c>
      <c r="G1115" s="4" t="n">
        <v>1077</v>
      </c>
      <c r="H1115" s="4" t="n">
        <v>326</v>
      </c>
      <c r="I1115" s="5" t="n">
        <v>306.7</v>
      </c>
      <c r="J1115" s="5" t="n">
        <v>62.5</v>
      </c>
      <c r="K1115" s="3" t="inlineStr">
        <is>
          <t>미호강이 흐르는 경치 좋은 곳에 카페, 식당  상업용을 추천합니다.</t>
        </is>
      </c>
      <c r="L1115" s="6">
        <f>HYPERLINK("https://fin.land.naver.com/articles/2649621498", "매물Link")</f>
        <v/>
      </c>
      <c r="M1115" s="6">
        <f>HYPERLINK("https://map.naver.com/p/search/연서면 월하리 35-7", "지도Link")</f>
        <v/>
      </c>
      <c r="N1115" s="6">
        <f>HYPERLINK("http://www.eum.go.kr/web/ar/lu/luLandDet.jsp?pnu=3611036021100350007&amp;isNoScr=script&amp;mode=search", "토지이음")</f>
        <v/>
      </c>
      <c r="O1115" s="3" t="inlineStr">
        <is>
          <t>효자</t>
        </is>
      </c>
      <c r="P1115" s="4" t="n">
        <v>1</v>
      </c>
      <c r="Q1115" s="4" t="n">
        <v>1077</v>
      </c>
      <c r="R1115" s="3" t="inlineStr">
        <is>
          <t>지정되지않음</t>
        </is>
      </c>
      <c r="S1115" s="3" t="inlineStr">
        <is>
          <t>주거기타</t>
        </is>
      </c>
      <c r="T1115" s="3" t="inlineStr">
        <is>
          <t>평지</t>
        </is>
      </c>
      <c r="U1115" s="3" t="inlineStr">
        <is>
          <t>자루형</t>
        </is>
      </c>
      <c r="V1115" s="3" t="inlineStr">
        <is>
          <t>세로한면(가)</t>
        </is>
      </c>
    </row>
    <row r="1116">
      <c r="A1116" s="3" t="inlineStr">
        <is>
          <t>연서면 월하리 507-2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320000</v>
      </c>
      <c r="G1116" s="4" t="n">
        <v>2647</v>
      </c>
      <c r="H1116" s="4" t="n">
        <v>801</v>
      </c>
      <c r="I1116" s="5" t="n">
        <v>399.5</v>
      </c>
      <c r="J1116" s="5" t="n">
        <v>264.4</v>
      </c>
      <c r="K1116" s="3" t="inlineStr">
        <is>
          <t>1번 국도에 인접한 근생 및 상업용 토지</t>
        </is>
      </c>
      <c r="L1116" s="6">
        <f>HYPERLINK("https://fin.land.naver.com/articles/2647392720", "매물Link")</f>
        <v/>
      </c>
      <c r="M1116" s="6">
        <f>HYPERLINK("https://map.naver.com/p/search/연서면 월하리 507-2", "지도Link")</f>
        <v/>
      </c>
      <c r="N1116" s="6">
        <f>HYPERLINK("http://www.eum.go.kr/web/ar/lu/luLandDet.jsp?pnu=3611036021105070002&amp;isNoScr=script&amp;mode=search", "토지이음")</f>
        <v/>
      </c>
      <c r="O1116" s="3" t="inlineStr">
        <is>
          <t>신와촌</t>
        </is>
      </c>
      <c r="P1116" s="4" t="n">
        <v>1</v>
      </c>
      <c r="Q1116" s="4" t="n">
        <v>1382</v>
      </c>
      <c r="R1116" s="3" t="inlineStr">
        <is>
          <t>지정되지않음</t>
        </is>
      </c>
      <c r="S1116" s="3" t="inlineStr">
        <is>
          <t>상업용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연서면 월하리 619</t>
        </is>
      </c>
      <c r="B1117" s="3" t="inlineStr">
        <is>
          <t>자연녹지지역</t>
        </is>
      </c>
      <c r="C1117" s="3" t="inlineStr">
        <is>
          <t>주차장</t>
        </is>
      </c>
      <c r="D1117" s="3" t="inlineStr">
        <is>
          <t>주차장</t>
        </is>
      </c>
      <c r="E1117" s="3" t="inlineStr">
        <is>
          <t>매매</t>
        </is>
      </c>
      <c r="F1117" s="4" t="n">
        <v>250000</v>
      </c>
      <c r="G1117" s="4" t="n">
        <v>2400</v>
      </c>
      <c r="H1117" s="4" t="n">
        <v>726</v>
      </c>
      <c r="I1117" s="5" t="n">
        <v>344.4</v>
      </c>
      <c r="J1117" s="5" t="n">
        <v>61.5</v>
      </c>
      <c r="K1117" s="3" t="inlineStr">
        <is>
          <t>명성공인, 월하리, 1번국도 가까운 활용도 좋은 추천 매물</t>
        </is>
      </c>
      <c r="L1117" s="6">
        <f>HYPERLINK("https://fin.land.naver.com/articles/2646316879", "매물Link")</f>
        <v/>
      </c>
      <c r="M1117" s="6">
        <f>HYPERLINK("https://map.naver.com/p/search/연서면 월하리 619", "지도Link")</f>
        <v/>
      </c>
      <c r="N1117" s="6">
        <f>HYPERLINK("http://www.eum.go.kr/web/ar/lu/luLandDet.jsp?pnu=3611036021106190000&amp;isNoScr=script&amp;mode=search", "토지이음")</f>
        <v/>
      </c>
      <c r="O1117" s="3" t="inlineStr">
        <is>
          <t>명성</t>
        </is>
      </c>
      <c r="P1117" s="4" t="n">
        <v>1</v>
      </c>
      <c r="Q1117" s="4" t="n">
        <v>963</v>
      </c>
      <c r="R1117" s="3" t="inlineStr">
        <is>
          <t>지정되지않음</t>
        </is>
      </c>
      <c r="S1117" s="3" t="inlineStr">
        <is>
          <t>주차장등</t>
        </is>
      </c>
      <c r="T1117" s="3" t="inlineStr">
        <is>
          <t>평지</t>
        </is>
      </c>
      <c r="U1117" s="3" t="inlineStr">
        <is>
          <t>사다리형</t>
        </is>
      </c>
      <c r="V1117" s="3" t="inlineStr">
        <is>
          <t>세로한면(가)</t>
        </is>
      </c>
    </row>
    <row r="1118">
      <c r="A1118" s="3" t="inlineStr">
        <is>
          <t>연서면 월하리 619</t>
        </is>
      </c>
      <c r="B1118" s="3" t="inlineStr">
        <is>
          <t>자연녹지지역</t>
        </is>
      </c>
      <c r="C1118" s="3" t="inlineStr">
        <is>
          <t>주차장</t>
        </is>
      </c>
      <c r="D1118" s="3" t="inlineStr">
        <is>
          <t>주차장</t>
        </is>
      </c>
      <c r="E1118" s="3" t="inlineStr">
        <is>
          <t>매매</t>
        </is>
      </c>
      <c r="F1118" s="4" t="n">
        <v>230000</v>
      </c>
      <c r="G1118" s="4" t="n">
        <v>2234</v>
      </c>
      <c r="H1118" s="4" t="n">
        <v>676</v>
      </c>
      <c r="I1118" s="5" t="n">
        <v>340.2</v>
      </c>
      <c r="J1118" s="5" t="n">
        <v>61.5</v>
      </c>
      <c r="K1118" s="3" t="inlineStr">
        <is>
          <t>상가건물건축용</t>
        </is>
      </c>
      <c r="L1118" s="6">
        <f>HYPERLINK("https://fin.land.naver.com/articles/2648552601", "매물Link")</f>
        <v/>
      </c>
      <c r="M1118" s="6">
        <f>HYPERLINK("https://map.naver.com/p/search/연서면 월하리 619", "지도Link")</f>
        <v/>
      </c>
      <c r="N1118" s="6">
        <f>HYPERLINK("http://www.eum.go.kr/web/ar/lu/luLandDet.jsp?pnu=3611036021106190000&amp;isNoScr=script&amp;mode=search", "토지이음")</f>
        <v/>
      </c>
      <c r="O1118" s="3" t="inlineStr">
        <is>
          <t>세종리츠</t>
        </is>
      </c>
      <c r="P1118" s="4" t="n">
        <v>1</v>
      </c>
      <c r="Q1118" s="4" t="n">
        <v>963</v>
      </c>
      <c r="R1118" s="3" t="inlineStr">
        <is>
          <t>지정되지않음</t>
        </is>
      </c>
      <c r="S1118" s="3" t="inlineStr">
        <is>
          <t>주차장등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월하리 658-4</t>
        </is>
      </c>
      <c r="B1119" s="3" t="inlineStr">
        <is>
          <t>계획관리지역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98000</v>
      </c>
      <c r="G1119" s="4" t="n">
        <v>463</v>
      </c>
      <c r="H1119" s="4" t="n">
        <v>140</v>
      </c>
      <c r="I1119" s="5" t="n">
        <v>700</v>
      </c>
      <c r="J1119" s="5" t="n">
        <v>163.7</v>
      </c>
      <c r="K1119" s="3" t="inlineStr">
        <is>
          <t>도로 인접한  활용도 높은  토지 매매</t>
        </is>
      </c>
      <c r="L1119" s="6">
        <f>HYPERLINK("https://fin.land.naver.com/articles/2648014033", "매물Link")</f>
        <v/>
      </c>
      <c r="M1119" s="6">
        <f>HYPERLINK("https://map.naver.com/p/search/연서면 월하리 658-4", "지도Link")</f>
        <v/>
      </c>
      <c r="N1119" s="6">
        <f>HYPERLINK("http://www.eum.go.kr/web/ar/lu/luLandDet.jsp?pnu=3611036021106580004&amp;isNoScr=script&amp;mode=search", "토지이음")</f>
        <v/>
      </c>
      <c r="O1119" s="3" t="inlineStr">
        <is>
          <t>오송2단지창조</t>
        </is>
      </c>
      <c r="P1119" s="4" t="n">
        <v>1</v>
      </c>
      <c r="Q1119" s="4" t="n">
        <v>463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평지</t>
        </is>
      </c>
      <c r="U1119" s="3" t="inlineStr">
        <is>
          <t>사다리형</t>
        </is>
      </c>
      <c r="V1119" s="3" t="inlineStr">
        <is>
          <t>광대로한면</t>
        </is>
      </c>
    </row>
    <row r="1120">
      <c r="A1120" s="3" t="inlineStr">
        <is>
          <t>연서면 월하리 658-8</t>
        </is>
      </c>
      <c r="B1120" s="3" t="inlineStr">
        <is>
          <t>계획관리지역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87500</v>
      </c>
      <c r="G1120" s="4" t="n">
        <v>414</v>
      </c>
      <c r="H1120" s="4" t="n">
        <v>125</v>
      </c>
      <c r="I1120" s="5" t="n">
        <v>700</v>
      </c>
      <c r="J1120" s="5" t="n">
        <v>163.7</v>
      </c>
      <c r="K1120" s="3" t="inlineStr">
        <is>
          <t>대도로변에 위치해 있는 토지 매매</t>
        </is>
      </c>
      <c r="L1120" s="6">
        <f>HYPERLINK("https://fin.land.naver.com/articles/2648014288", "매물Link")</f>
        <v/>
      </c>
      <c r="M1120" s="6">
        <f>HYPERLINK("https://map.naver.com/p/search/연서면 월하리 658-8", "지도Link")</f>
        <v/>
      </c>
      <c r="N1120" s="6">
        <f>HYPERLINK("http://www.eum.go.kr/web/ar/lu/luLandDet.jsp?pnu=3611036021106580008&amp;isNoScr=script&amp;mode=search", "토지이음")</f>
        <v/>
      </c>
      <c r="O1120" s="3" t="inlineStr">
        <is>
          <t>오송2단지창조</t>
        </is>
      </c>
      <c r="P1120" s="4" t="n">
        <v>1</v>
      </c>
      <c r="Q1120" s="4" t="n">
        <v>414</v>
      </c>
      <c r="R1120" s="3" t="inlineStr">
        <is>
          <t>지정되지않음</t>
        </is>
      </c>
      <c r="S1120" s="3" t="inlineStr">
        <is>
          <t>전기타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광대로한면</t>
        </is>
      </c>
    </row>
    <row r="1121">
      <c r="A1121" s="3" t="inlineStr">
        <is>
          <t>연서면 월하리 663-38</t>
        </is>
      </c>
      <c r="B1121" s="3" t="inlineStr">
        <is>
          <t>자연녹지지역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474300</v>
      </c>
      <c r="G1121" s="4" t="n">
        <v>5229</v>
      </c>
      <c r="H1121" s="4" t="n">
        <v>1582</v>
      </c>
      <c r="I1121" s="5" t="n">
        <v>299.8</v>
      </c>
      <c r="J1121" s="5" t="n">
        <v>102.4</v>
      </c>
      <c r="K1121" s="3" t="inlineStr">
        <is>
          <t>위치 좋은 넓은 토지.연락주세요</t>
        </is>
      </c>
      <c r="L1121" s="6">
        <f>HYPERLINK("https://fin.land.naver.com/articles/2648522838", "매물Link")</f>
        <v/>
      </c>
      <c r="M1121" s="6">
        <f>HYPERLINK("https://map.naver.com/p/search/연서면 월하리 663-38", "지도Link")</f>
        <v/>
      </c>
      <c r="N1121" s="6">
        <f>HYPERLINK("http://www.eum.go.kr/web/ar/lu/luLandDet.jsp?pnu=3611036021106630038&amp;isNoScr=script&amp;mode=search", "토지이음")</f>
        <v/>
      </c>
      <c r="O1121" s="3" t="inlineStr">
        <is>
          <t>수자인</t>
        </is>
      </c>
      <c r="P1121" s="4" t="n">
        <v>1</v>
      </c>
      <c r="Q1121" s="4" t="n">
        <v>5222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평지</t>
        </is>
      </c>
      <c r="U1121" s="3" t="inlineStr">
        <is>
          <t>사다리형</t>
        </is>
      </c>
      <c r="V1121" s="3" t="inlineStr">
        <is>
          <t>세로한면(가)</t>
        </is>
      </c>
    </row>
    <row r="1122">
      <c r="A1122" s="3" t="inlineStr">
        <is>
          <t>연서면 월하리 663-38</t>
        </is>
      </c>
      <c r="B1122" s="3" t="inlineStr">
        <is>
          <t>자연녹지지역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474300</v>
      </c>
      <c r="G1122" s="4" t="n">
        <v>5229</v>
      </c>
      <c r="H1122" s="4" t="n">
        <v>1582</v>
      </c>
      <c r="I1122" s="5" t="n">
        <v>299.8</v>
      </c>
      <c r="J1122" s="5" t="n">
        <v>102.4</v>
      </c>
      <c r="K1122" s="3" t="inlineStr">
        <is>
          <t>세종 연서면 월하리 톨게이트예정지인근 시내인근 개발지 도로접 조정가능</t>
        </is>
      </c>
      <c r="L1122" s="6">
        <f>HYPERLINK("https://fin.land.naver.com/articles/2650823939", "매물Link")</f>
        <v/>
      </c>
      <c r="M1122" s="6">
        <f>HYPERLINK("https://map.naver.com/p/search/연서면 월하리 663-38", "지도Link")</f>
        <v/>
      </c>
      <c r="N1122" s="6">
        <f>HYPERLINK("http://www.eum.go.kr/web/ar/lu/luLandDet.jsp?pnu=3611036021106630038&amp;isNoScr=script&amp;mode=search", "토지이음")</f>
        <v/>
      </c>
      <c r="O1122" s="3" t="inlineStr">
        <is>
          <t>MK</t>
        </is>
      </c>
      <c r="P1122" s="4" t="n">
        <v>1</v>
      </c>
      <c r="Q1122" s="4" t="n">
        <v>5222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세로한면(가)</t>
        </is>
      </c>
    </row>
    <row r="1123">
      <c r="A1123" s="3" t="inlineStr">
        <is>
          <t>연서면 월하리 707</t>
        </is>
      </c>
      <c r="B1123" s="3" t="inlineStr">
        <is>
          <t>자연녹지지역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252000</v>
      </c>
      <c r="G1123" s="4" t="n">
        <v>4637</v>
      </c>
      <c r="H1123" s="4" t="n">
        <v>1403</v>
      </c>
      <c r="I1123" s="5" t="n">
        <v>179.6</v>
      </c>
      <c r="J1123" s="5" t="n">
        <v>91.2</v>
      </c>
      <c r="K1123" s="3" t="inlineStr">
        <is>
          <t>코너 2차선에 접하고 향후 4차선 계획도로 예정임. 시세보다 저렴.</t>
        </is>
      </c>
      <c r="L1123" s="6">
        <f>HYPERLINK("https://fin.land.naver.com/articles/2649104055", "매물Link")</f>
        <v/>
      </c>
      <c r="M1123" s="6">
        <f>HYPERLINK("https://map.naver.com/p/search/연서면 월하리 707", "지도Link")</f>
        <v/>
      </c>
      <c r="N1123" s="6">
        <f>HYPERLINK("http://www.eum.go.kr/web/ar/lu/luLandDet.jsp?pnu=3611036021107070000&amp;isNoScr=script&amp;mode=search", "토지이음")</f>
        <v/>
      </c>
      <c r="O1123" s="3" t="inlineStr">
        <is>
          <t>세종대장</t>
        </is>
      </c>
      <c r="P1123" s="4" t="n">
        <v>1</v>
      </c>
      <c r="Q1123" s="4" t="n">
        <v>3838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월하리 794-1</t>
        </is>
      </c>
      <c r="B1124" s="3" t="inlineStr">
        <is>
          <t>자연녹지지역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82000</v>
      </c>
      <c r="G1124" s="4" t="n">
        <v>845</v>
      </c>
      <c r="H1124" s="4" t="n">
        <v>256</v>
      </c>
      <c r="I1124" s="5" t="n">
        <v>320.3</v>
      </c>
      <c r="J1124" s="5" t="n">
        <v>128.3</v>
      </c>
      <c r="K1124" s="3" t="inlineStr">
        <is>
          <t>2차선변,월하리 토지매매.</t>
        </is>
      </c>
      <c r="L1124" s="6">
        <f>HYPERLINK("https://fin.land.naver.com/articles/2651374054", "매물Link")</f>
        <v/>
      </c>
      <c r="M1124" s="6">
        <f>HYPERLINK("https://map.naver.com/p/search/연서면 월하리 794-1", "지도Link")</f>
        <v/>
      </c>
      <c r="N1124" s="6">
        <f>HYPERLINK("http://www.eum.go.kr/web/ar/lu/luLandDet.jsp?pnu=3611036021107940001&amp;isNoScr=script&amp;mode=search", "토지이음")</f>
        <v/>
      </c>
      <c r="O1124" s="3" t="inlineStr">
        <is>
          <t>세종강산</t>
        </is>
      </c>
      <c r="P1124" s="4" t="n">
        <v>1</v>
      </c>
      <c r="Q1124" s="4" t="n">
        <v>845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월하리 818-1</t>
        </is>
      </c>
      <c r="B1125" s="3" t="inlineStr">
        <is>
          <t>자연녹지지역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78000</v>
      </c>
      <c r="G1125" s="4" t="n">
        <v>745</v>
      </c>
      <c r="H1125" s="4" t="n">
        <v>225</v>
      </c>
      <c r="I1125" s="5" t="n">
        <v>346.7</v>
      </c>
      <c r="J1125" s="5" t="n">
        <v>80.3</v>
      </c>
      <c r="K1125" s="3" t="inlineStr">
        <is>
          <t>조치원 월하리 아파트 분양 예정지 근접,개발 투자가치로 좋아요</t>
        </is>
      </c>
      <c r="L1125" s="6">
        <f>HYPERLINK("https://fin.land.naver.com/articles/2651463269", "매물Link")</f>
        <v/>
      </c>
      <c r="M1125" s="6">
        <f>HYPERLINK("https://map.naver.com/p/search/연서면 월하리 818-1", "지도Link")</f>
        <v/>
      </c>
      <c r="N1125" s="6">
        <f>HYPERLINK("http://www.eum.go.kr/web/ar/lu/luLandDet.jsp?pnu=3611036021108180001&amp;isNoScr=script&amp;mode=search", "토지이음")</f>
        <v/>
      </c>
      <c r="O1125" s="3" t="inlineStr">
        <is>
          <t>담뜰</t>
        </is>
      </c>
      <c r="P1125" s="4" t="n">
        <v>1</v>
      </c>
      <c r="Q1125" s="4" t="n">
        <v>745</v>
      </c>
      <c r="R1125" s="3" t="inlineStr">
        <is>
          <t>지정되지않음</t>
        </is>
      </c>
      <c r="S1125" s="3" t="inlineStr">
        <is>
          <t>과수원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889-1</t>
        </is>
      </c>
      <c r="B1126" s="3" t="inlineStr">
        <is>
          <t>자연녹지지역</t>
        </is>
      </c>
      <c r="C1126" s="3" t="inlineStr">
        <is>
          <t>과수원</t>
        </is>
      </c>
      <c r="D1126" s="3" t="inlineStr">
        <is>
          <t>과수원</t>
        </is>
      </c>
      <c r="E1126" s="3" t="inlineStr">
        <is>
          <t>매매</t>
        </is>
      </c>
      <c r="F1126" s="4" t="n">
        <v>442000</v>
      </c>
      <c r="G1126" s="4" t="n">
        <v>5415</v>
      </c>
      <c r="H1126" s="4" t="n">
        <v>1638</v>
      </c>
      <c r="I1126" s="5" t="n">
        <v>269.8</v>
      </c>
      <c r="J1126" s="5" t="n">
        <v>81.3</v>
      </c>
      <c r="K1126" s="3" t="inlineStr">
        <is>
          <t>세종 조치원 공공주택지구 접한 투자용 토지 매매</t>
        </is>
      </c>
      <c r="L1126" s="6">
        <f>HYPERLINK("https://fin.land.naver.com/articles/2650462664", "매물Link")</f>
        <v/>
      </c>
      <c r="M1126" s="6">
        <f>HYPERLINK("https://map.naver.com/p/search/연서면 월하리 889-1", "지도Link")</f>
        <v/>
      </c>
      <c r="N1126" s="6">
        <f>HYPERLINK("http://www.eum.go.kr/web/ar/lu/luLandDet.jsp?pnu=3611036021108890001&amp;isNoScr=script&amp;mode=search", "토지이음")</f>
        <v/>
      </c>
      <c r="O1126" s="3" t="inlineStr">
        <is>
          <t>(주)해뜰터</t>
        </is>
      </c>
      <c r="P1126" s="4" t="n">
        <v>2</v>
      </c>
      <c r="Q1126" s="4" t="n">
        <v>5415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세로한면(불)</t>
        </is>
      </c>
    </row>
    <row r="1127">
      <c r="A1127" s="3" t="inlineStr">
        <is>
          <t>연서면 월하리 892-1</t>
        </is>
      </c>
      <c r="B1127" s="3" t="inlineStr">
        <is>
          <t>자연녹지지역</t>
        </is>
      </c>
      <c r="C1127" s="3" t="inlineStr">
        <is>
          <t>과수원</t>
        </is>
      </c>
      <c r="D1127" s="3" t="inlineStr">
        <is>
          <t>과수원</t>
        </is>
      </c>
      <c r="E1127" s="3" t="inlineStr">
        <is>
          <t>매매</t>
        </is>
      </c>
      <c r="F1127" s="4" t="n">
        <v>305640</v>
      </c>
      <c r="G1127" s="4" t="n">
        <v>2806</v>
      </c>
      <c r="H1127" s="4" t="n">
        <v>849</v>
      </c>
      <c r="I1127" s="5" t="n">
        <v>360</v>
      </c>
      <c r="J1127" s="5" t="n">
        <v>86.40000000000001</v>
      </c>
      <c r="K1127" s="3" t="inlineStr">
        <is>
          <t>공공주택단지 인접토지 매매</t>
        </is>
      </c>
      <c r="L1127" s="6">
        <f>HYPERLINK("https://fin.land.naver.com/articles/2648030210", "매물Link")</f>
        <v/>
      </c>
      <c r="M1127" s="6">
        <f>HYPERLINK("https://map.naver.com/p/search/연서면 월하리 892-1", "지도Link")</f>
        <v/>
      </c>
      <c r="N1127" s="6">
        <f>HYPERLINK("http://www.eum.go.kr/web/ar/lu/luLandDet.jsp?pnu=3611036021108920001&amp;isNoScr=script&amp;mode=search", "토지이음")</f>
        <v/>
      </c>
      <c r="O1127" s="3" t="inlineStr">
        <is>
          <t>THE행복</t>
        </is>
      </c>
      <c r="P1127" s="4" t="n">
        <v>1</v>
      </c>
      <c r="Q1127" s="4" t="n">
        <v>1879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월하리 898</t>
        </is>
      </c>
      <c r="B1128" s="3" t="inlineStr">
        <is>
          <t>자연녹지지역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200000</v>
      </c>
      <c r="G1128" s="4" t="n">
        <v>1652</v>
      </c>
      <c r="H1128" s="4" t="n">
        <v>500</v>
      </c>
      <c r="I1128" s="5" t="n">
        <v>400</v>
      </c>
      <c r="J1128" s="5" t="n">
        <v>100.6</v>
      </c>
      <c r="K1128" s="3" t="inlineStr">
        <is>
          <t>포장도로 접한 답. 조치원 공공주택지구 인근 자연녹지</t>
        </is>
      </c>
      <c r="L1128" s="6">
        <f>HYPERLINK("https://fin.land.naver.com/articles/2648329552", "매물Link")</f>
        <v/>
      </c>
      <c r="M1128" s="6">
        <f>HYPERLINK("https://map.naver.com/p/search/연서면 월하리 898", "지도Link")</f>
        <v/>
      </c>
      <c r="N1128" s="6">
        <f>HYPERLINK("http://www.eum.go.kr/web/ar/lu/luLandDet.jsp?pnu=3611036021108980000&amp;isNoScr=script&amp;mode=search", "토지이음")</f>
        <v/>
      </c>
      <c r="O1128" s="3" t="inlineStr">
        <is>
          <t>미스터홈즈강남지사</t>
        </is>
      </c>
      <c r="P1128" s="4" t="n">
        <v>1</v>
      </c>
      <c r="Q1128" s="4" t="n">
        <v>1084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월하리 960-4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70000</v>
      </c>
      <c r="G1129" s="4" t="n">
        <v>574</v>
      </c>
      <c r="H1129" s="4" t="n">
        <v>174</v>
      </c>
      <c r="I1129" s="5" t="n">
        <v>402.3</v>
      </c>
      <c r="J1129" s="5" t="n">
        <v>208.2</v>
      </c>
      <c r="K1129" s="3" t="inlineStr">
        <is>
          <t>2차선 도로에 접한 3거리 코너각지에 있는 도시지역자연녹지  투자용 토지</t>
        </is>
      </c>
      <c r="L1129" s="6">
        <f>HYPERLINK("https://fin.land.naver.com/articles/2646257545", "매물Link")</f>
        <v/>
      </c>
      <c r="M1129" s="6">
        <f>HYPERLINK("https://map.naver.com/p/search/연서면 월하리 960-4", "지도Link")</f>
        <v/>
      </c>
      <c r="N1129" s="6">
        <f>HYPERLINK("http://www.eum.go.kr/web/ar/lu/luLandDet.jsp?pnu=3611036021109600004&amp;isNoScr=script&amp;mode=search", "토지이음")</f>
        <v/>
      </c>
      <c r="O1129" s="3" t="inlineStr">
        <is>
          <t>스마일세종</t>
        </is>
      </c>
      <c r="P1129" s="4" t="n">
        <v>1</v>
      </c>
      <c r="Q1129" s="4" t="n">
        <v>574</v>
      </c>
      <c r="R1129" s="3" t="inlineStr">
        <is>
          <t>지정되지않음</t>
        </is>
      </c>
      <c r="S1129" s="3" t="inlineStr">
        <is>
          <t>전기타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소로각지</t>
        </is>
      </c>
    </row>
    <row r="1130">
      <c r="A1130" s="3" t="inlineStr">
        <is>
          <t>연서면 월하리 966-14</t>
        </is>
      </c>
      <c r="B1130" s="3" t="inlineStr">
        <is>
          <t>자연녹지지역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29000</v>
      </c>
      <c r="G1130" s="4" t="n">
        <v>384</v>
      </c>
      <c r="H1130" s="4" t="n">
        <v>116</v>
      </c>
      <c r="I1130" s="5" t="n">
        <v>250</v>
      </c>
      <c r="J1130" s="5" t="n">
        <v>102.6</v>
      </c>
      <c r="K1130" s="3" t="inlineStr">
        <is>
          <t>주말농장 및 미래가치 높은 투자형, 토지거래 허가구역</t>
        </is>
      </c>
      <c r="L1130" s="6">
        <f>HYPERLINK("https://fin.land.naver.com/articles/2649406700", "매물Link")</f>
        <v/>
      </c>
      <c r="M1130" s="6">
        <f>HYPERLINK("https://map.naver.com/p/search/연서면 월하리 966-14", "지도Link")</f>
        <v/>
      </c>
      <c r="N1130" s="6">
        <f>HYPERLINK("http://www.eum.go.kr/web/ar/lu/luLandDet.jsp?pnu=3611036021109660014&amp;isNoScr=script&amp;mode=search", "토지이음")</f>
        <v/>
      </c>
      <c r="O1130" s="3" t="inlineStr">
        <is>
          <t>천우</t>
        </is>
      </c>
      <c r="P1130" s="4" t="n">
        <v>1</v>
      </c>
      <c r="Q1130" s="4" t="n">
        <v>384</v>
      </c>
      <c r="R1130" s="3" t="inlineStr">
        <is>
          <t>지정되지않음</t>
        </is>
      </c>
      <c r="S1130" s="3" t="inlineStr">
        <is>
          <t>과수원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월하리 966-3</t>
        </is>
      </c>
      <c r="B1131" s="3" t="inlineStr">
        <is>
          <t>자연녹지지역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110000</v>
      </c>
      <c r="G1131" s="4" t="n">
        <v>981</v>
      </c>
      <c r="H1131" s="4" t="n">
        <v>297</v>
      </c>
      <c r="I1131" s="5" t="n">
        <v>370.4</v>
      </c>
      <c r="J1131" s="5" t="n">
        <v>168.6</v>
      </c>
      <c r="K1131" s="3" t="inlineStr">
        <is>
          <t>실거주, 미래가치 높은 투자형, 토지거래 허가구역</t>
        </is>
      </c>
      <c r="L1131" s="6">
        <f>HYPERLINK("https://fin.land.naver.com/articles/2649406297", "매물Link")</f>
        <v/>
      </c>
      <c r="M1131" s="6">
        <f>HYPERLINK("https://map.naver.com/p/search/연서면 월하리 966-3", "지도Link")</f>
        <v/>
      </c>
      <c r="N1131" s="6">
        <f>HYPERLINK("http://www.eum.go.kr/web/ar/lu/luLandDet.jsp?pnu=3611036021109660003&amp;isNoScr=script&amp;mode=search", "토지이음")</f>
        <v/>
      </c>
      <c r="O1131" s="3" t="inlineStr">
        <is>
          <t>천우</t>
        </is>
      </c>
      <c r="P1131" s="4" t="n">
        <v>1</v>
      </c>
      <c r="Q1131" s="4" t="n">
        <v>639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소로한면</t>
        </is>
      </c>
    </row>
    <row r="1132">
      <c r="A1132" s="3" t="inlineStr">
        <is>
          <t>연서면 월하리 986-3</t>
        </is>
      </c>
      <c r="B1132" s="3" t="inlineStr">
        <is>
          <t>자연녹지지역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168000</v>
      </c>
      <c r="G1132" s="4" t="n">
        <v>1157</v>
      </c>
      <c r="H1132" s="4" t="n">
        <v>350</v>
      </c>
      <c r="I1132" s="5" t="n">
        <v>480</v>
      </c>
      <c r="J1132" s="5" t="n">
        <v>208.4</v>
      </c>
      <c r="K1132" s="3" t="inlineStr">
        <is>
          <t>조치원 서북부 개발지역 근접  농지로 투자용으로도 추천, 포장도로 접함</t>
        </is>
      </c>
      <c r="L1132" s="6">
        <f>HYPERLINK("https://fin.land.naver.com/articles/2647543173", "매물Link")</f>
        <v/>
      </c>
      <c r="M1132" s="6">
        <f>HYPERLINK("https://map.naver.com/p/search/연서면 월하리 986-3", "지도Link")</f>
        <v/>
      </c>
      <c r="N1132" s="6">
        <f>HYPERLINK("http://www.eum.go.kr/web/ar/lu/luLandDet.jsp?pnu=3611036021109860003&amp;isNoScr=script&amp;mode=search", "토지이음")</f>
        <v/>
      </c>
      <c r="O1132" s="3" t="inlineStr">
        <is>
          <t>the다올</t>
        </is>
      </c>
      <c r="P1132" s="4" t="n">
        <v>1</v>
      </c>
      <c r="Q1132" s="4" t="n">
        <v>1157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연서면 월하리 산144-1</t>
        </is>
      </c>
      <c r="B1133" s="3" t="inlineStr">
        <is>
          <t>자연녹지지역</t>
        </is>
      </c>
      <c r="C1133" s="3" t="inlineStr">
        <is>
          <t>임야</t>
        </is>
      </c>
      <c r="D1133" s="3" t="inlineStr">
        <is>
          <t>임야</t>
        </is>
      </c>
      <c r="E1133" s="3" t="inlineStr">
        <is>
          <t>매매</t>
        </is>
      </c>
      <c r="F1133" s="4" t="n">
        <v>860000</v>
      </c>
      <c r="G1133" s="4" t="n">
        <v>22983</v>
      </c>
      <c r="H1133" s="4" t="n">
        <v>6952</v>
      </c>
      <c r="I1133" s="5" t="n">
        <v>123.7</v>
      </c>
      <c r="J1133" s="5" t="n">
        <v>22.5</v>
      </c>
      <c r="K1133" s="3" t="inlineStr">
        <is>
          <t>미호강변 경관좋은 완경사 임야</t>
        </is>
      </c>
      <c r="L1133" s="6">
        <f>HYPERLINK("https://fin.land.naver.com/articles/2646263025", "매물Link")</f>
        <v/>
      </c>
      <c r="M1133" s="6">
        <f>HYPERLINK("https://map.naver.com/p/search/연서면 월하리 산144-1", "지도Link")</f>
        <v/>
      </c>
      <c r="N1133" s="6">
        <f>HYPERLINK("http://www.eum.go.kr/web/ar/lu/luLandDet.jsp?pnu=3611036021201440001&amp;isNoScr=script&amp;mode=search", "토지이음")</f>
        <v/>
      </c>
      <c r="O1133" s="3" t="inlineStr">
        <is>
          <t>번영</t>
        </is>
      </c>
      <c r="P1133" s="4" t="n">
        <v>1</v>
      </c>
      <c r="Q1133" s="4" t="n">
        <v>22641</v>
      </c>
      <c r="R1133" s="3" t="inlineStr">
        <is>
          <t>지정되지않음</t>
        </is>
      </c>
      <c r="S1133" s="3" t="inlineStr">
        <is>
          <t>자연림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월하리 산7-12</t>
        </is>
      </c>
      <c r="B1134" s="3" t="inlineStr">
        <is>
          <t>자연녹지지역</t>
        </is>
      </c>
      <c r="C1134" s="3" t="inlineStr">
        <is>
          <t>임야</t>
        </is>
      </c>
      <c r="D1134" s="3" t="inlineStr">
        <is>
          <t>임야</t>
        </is>
      </c>
      <c r="E1134" s="3" t="inlineStr">
        <is>
          <t>매매</t>
        </is>
      </c>
      <c r="F1134" s="4" t="n">
        <v>15800</v>
      </c>
      <c r="G1134" s="4" t="n">
        <v>660</v>
      </c>
      <c r="H1134" s="4" t="n">
        <v>200</v>
      </c>
      <c r="I1134" s="5" t="n">
        <v>79</v>
      </c>
      <c r="J1134" s="5" t="n">
        <v>21.7</v>
      </c>
      <c r="K1134" s="3" t="inlineStr">
        <is>
          <t>연서면 월하리 도시지역 자연녹지, 경사도 완만한 투 자용 임야입니다</t>
        </is>
      </c>
      <c r="L1134" s="6">
        <f>HYPERLINK("https://fin.land.naver.com/articles/2648168085", "매물Link")</f>
        <v/>
      </c>
      <c r="M1134" s="6">
        <f>HYPERLINK("https://map.naver.com/p/search/연서면 월하리 산7-12", "지도Link")</f>
        <v/>
      </c>
      <c r="N1134" s="6">
        <f>HYPERLINK("http://www.eum.go.kr/web/ar/lu/luLandDet.jsp?pnu=3611036021200070012&amp;isNoScr=script&amp;mode=search", "토지이음")</f>
        <v/>
      </c>
      <c r="O1134" s="3" t="inlineStr">
        <is>
          <t>스마일세종</t>
        </is>
      </c>
      <c r="P1134" s="4" t="n">
        <v>2</v>
      </c>
      <c r="Q1134" s="4" t="n">
        <v>660</v>
      </c>
      <c r="R1134" s="3" t="inlineStr">
        <is>
          <t>지정되지않음</t>
        </is>
      </c>
      <c r="S1134" s="3" t="inlineStr">
        <is>
          <t>자연림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맹지</t>
        </is>
      </c>
    </row>
    <row r="1135">
      <c r="A1135" s="3" t="inlineStr">
        <is>
          <t>연서면 청라리 12</t>
        </is>
      </c>
      <c r="B1135" s="3" t="inlineStr">
        <is>
          <t>생산관리지역</t>
        </is>
      </c>
      <c r="C1135" s="3" t="inlineStr">
        <is>
          <t>과수원</t>
        </is>
      </c>
      <c r="D1135" s="3" t="inlineStr">
        <is>
          <t>과수원</t>
        </is>
      </c>
      <c r="E1135" s="3" t="inlineStr">
        <is>
          <t>매매</t>
        </is>
      </c>
      <c r="F1135" s="4" t="n">
        <v>12000</v>
      </c>
      <c r="G1135" s="4" t="n">
        <v>1838</v>
      </c>
      <c r="H1135" s="4" t="n">
        <v>556</v>
      </c>
      <c r="I1135" s="5" t="n">
        <v>21.6</v>
      </c>
      <c r="J1135" s="5" t="n">
        <v>23.5</v>
      </c>
      <c r="K1135" s="3" t="inlineStr">
        <is>
          <t>연서면 청라리토지 세종국가산업단지인근 싸고 넓은 토지</t>
        </is>
      </c>
      <c r="L1135" s="6">
        <f>HYPERLINK("https://fin.land.naver.com/articles/2646801132", "매물Link")</f>
        <v/>
      </c>
      <c r="M1135" s="6">
        <f>HYPERLINK("https://map.naver.com/p/search/연서면 청라리 12", "지도Link")</f>
        <v/>
      </c>
      <c r="N1135" s="6">
        <f>HYPERLINK("http://www.eum.go.kr/web/ar/lu/luLandDet.jsp?pnu=3611036027100120000&amp;isNoScr=script&amp;mode=search", "토지이음")</f>
        <v/>
      </c>
      <c r="O1135" s="3" t="inlineStr">
        <is>
          <t>지성</t>
        </is>
      </c>
      <c r="P1135" s="4" t="n">
        <v>2</v>
      </c>
      <c r="Q1135" s="4" t="n">
        <v>1838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청라리 127-1</t>
        </is>
      </c>
      <c r="B1136" s="3" t="inlineStr">
        <is>
          <t>생산관리지역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53000</v>
      </c>
      <c r="G1136" s="4" t="n">
        <v>1249</v>
      </c>
      <c r="H1136" s="4" t="n">
        <v>378</v>
      </c>
      <c r="I1136" s="5" t="n">
        <v>140.2</v>
      </c>
      <c r="J1136" s="5" t="n">
        <v>30.6</v>
      </c>
      <c r="K1136" s="3" t="inlineStr">
        <is>
          <t>조용하고 쾌적해서 전원주택지나 체류형 쉼터로 좋은 생산관리지역의 과수원</t>
        </is>
      </c>
      <c r="L1136" s="6">
        <f>HYPERLINK("https://fin.land.naver.com/articles/2650932015", "매물Link")</f>
        <v/>
      </c>
      <c r="M1136" s="6">
        <f>HYPERLINK("https://map.naver.com/p/search/연서면 청라리 127-1", "지도Link")</f>
        <v/>
      </c>
      <c r="N1136" s="6">
        <f>HYPERLINK("http://www.eum.go.kr/web/ar/lu/luLandDet.jsp?pnu=3611036027101270001&amp;isNoScr=script&amp;mode=search", "토지이음")</f>
        <v/>
      </c>
      <c r="O1136" s="3" t="inlineStr">
        <is>
          <t>스마일세종</t>
        </is>
      </c>
      <c r="P1136" s="4" t="n">
        <v>7</v>
      </c>
      <c r="Q1136" s="4" t="n">
        <v>1249</v>
      </c>
      <c r="R1136" s="3" t="inlineStr">
        <is>
          <t>지정되지않음</t>
        </is>
      </c>
      <c r="S1136" s="3" t="inlineStr">
        <is>
          <t>과수원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청라리 127-1</t>
        </is>
      </c>
      <c r="B1137" s="3" t="inlineStr">
        <is>
          <t>생산관리지역</t>
        </is>
      </c>
      <c r="C1137" s="3" t="inlineStr">
        <is>
          <t>과수원</t>
        </is>
      </c>
      <c r="D1137" s="3" t="inlineStr">
        <is>
          <t>과수원</t>
        </is>
      </c>
      <c r="E1137" s="3" t="inlineStr">
        <is>
          <t>매매</t>
        </is>
      </c>
      <c r="F1137" s="4" t="n">
        <v>53000</v>
      </c>
      <c r="G1137" s="4" t="n">
        <v>1249</v>
      </c>
      <c r="H1137" s="4" t="n">
        <v>378</v>
      </c>
      <c r="I1137" s="5" t="n">
        <v>140.2</v>
      </c>
      <c r="J1137" s="5" t="n">
        <v>30.6</v>
      </c>
      <c r="K1137" s="3" t="inlineStr">
        <is>
          <t>l청년l 세종시 투자가치 있는 토지 입니다.</t>
        </is>
      </c>
      <c r="L1137" s="6">
        <f>HYPERLINK("https://fin.land.naver.com/articles/2646721360", "매물Link")</f>
        <v/>
      </c>
      <c r="M1137" s="6">
        <f>HYPERLINK("https://map.naver.com/p/search/연서면 청라리 127-1", "지도Link")</f>
        <v/>
      </c>
      <c r="N1137" s="6">
        <f>HYPERLINK("http://www.eum.go.kr/web/ar/lu/luLandDet.jsp?pnu=3611036027101270001&amp;isNoScr=script&amp;mode=search", "토지이음")</f>
        <v/>
      </c>
      <c r="O1137" s="3" t="inlineStr">
        <is>
          <t>청년사사무소</t>
        </is>
      </c>
      <c r="P1137" s="4" t="n">
        <v>1</v>
      </c>
      <c r="Q1137" s="4" t="n">
        <v>1249</v>
      </c>
      <c r="R1137" s="3" t="inlineStr">
        <is>
          <t>지정되지않음</t>
        </is>
      </c>
      <c r="S1137" s="3" t="inlineStr">
        <is>
          <t>과수원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청라리 127-1</t>
        </is>
      </c>
      <c r="B1138" s="3" t="inlineStr">
        <is>
          <t>생산관리지역</t>
        </is>
      </c>
      <c r="C1138" s="3" t="inlineStr">
        <is>
          <t>과수원</t>
        </is>
      </c>
      <c r="D1138" s="3" t="inlineStr">
        <is>
          <t>과수원</t>
        </is>
      </c>
      <c r="E1138" s="3" t="inlineStr">
        <is>
          <t>매매</t>
        </is>
      </c>
      <c r="F1138" s="4" t="n">
        <v>53000</v>
      </c>
      <c r="G1138" s="4" t="n">
        <v>1249</v>
      </c>
      <c r="H1138" s="4" t="n">
        <v>378</v>
      </c>
      <c r="I1138" s="5" t="n">
        <v>140.2</v>
      </c>
      <c r="J1138" s="5" t="n">
        <v>30.6</v>
      </c>
      <c r="K1138" s="3" t="inlineStr">
        <is>
          <t>포장도로 접한 세종 북부권 전원주택 검토형 토지</t>
        </is>
      </c>
      <c r="L1138" s="6">
        <f>HYPERLINK("https://fin.land.naver.com/articles/2649753980", "매물Link")</f>
        <v/>
      </c>
      <c r="M1138" s="6">
        <f>HYPERLINK("https://map.naver.com/p/search/연서면 청라리 127-1", "지도Link")</f>
        <v/>
      </c>
      <c r="N1138" s="6">
        <f>HYPERLINK("http://www.eum.go.kr/web/ar/lu/luLandDet.jsp?pnu=3611036027101270001&amp;isNoScr=script&amp;mode=search", "토지이음")</f>
        <v/>
      </c>
      <c r="O1138" s="3" t="inlineStr">
        <is>
          <t>세종소담황금</t>
        </is>
      </c>
      <c r="P1138" s="4" t="n">
        <v>1</v>
      </c>
      <c r="Q1138" s="4" t="n">
        <v>1249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연서면 청라리 16</t>
        </is>
      </c>
      <c r="B1139" s="3" t="inlineStr">
        <is>
          <t>생산관리지역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42000</v>
      </c>
      <c r="G1139" s="4" t="n">
        <v>2023</v>
      </c>
      <c r="H1139" s="4" t="n">
        <v>612</v>
      </c>
      <c r="I1139" s="5" t="n">
        <v>68.59999999999999</v>
      </c>
      <c r="J1139" s="5" t="n">
        <v>23.5</v>
      </c>
      <c r="K1139" s="3" t="inlineStr">
        <is>
          <t>풍수지리 최고위치 국가산단 배후지 급매물</t>
        </is>
      </c>
      <c r="L1139" s="6">
        <f>HYPERLINK("https://fin.land.naver.com/articles/2650378739", "매물Link")</f>
        <v/>
      </c>
      <c r="M1139" s="6">
        <f>HYPERLINK("https://map.naver.com/p/search/연서면 청라리 16", "지도Link")</f>
        <v/>
      </c>
      <c r="N1139" s="6">
        <f>HYPERLINK("http://www.eum.go.kr/web/ar/lu/luLandDet.jsp?pnu=3611036027100160000&amp;isNoScr=script&amp;mode=search", "토지이음")</f>
        <v/>
      </c>
      <c r="O1139" s="3" t="inlineStr">
        <is>
          <t>THE행복</t>
        </is>
      </c>
      <c r="P1139" s="4" t="n">
        <v>1</v>
      </c>
      <c r="Q1139" s="4" t="n">
        <v>2023</v>
      </c>
      <c r="R1139" s="3" t="inlineStr">
        <is>
          <t>지정되지않음</t>
        </is>
      </c>
      <c r="S1139" s="3" t="inlineStr">
        <is>
          <t>과수원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연서면 청라리 16</t>
        </is>
      </c>
      <c r="B1140" s="3" t="inlineStr">
        <is>
          <t>생산관리지역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42000</v>
      </c>
      <c r="G1140" s="4" t="n">
        <v>2023</v>
      </c>
      <c r="H1140" s="4" t="n">
        <v>612</v>
      </c>
      <c r="I1140" s="5" t="n">
        <v>68.59999999999999</v>
      </c>
      <c r="J1140" s="5" t="n">
        <v>23.5</v>
      </c>
      <c r="K1140" s="3" t="inlineStr">
        <is>
          <t>차량진입완경사, 고복저수지 6분국가산단 15분권</t>
        </is>
      </c>
      <c r="L1140" s="6">
        <f>HYPERLINK("https://fin.land.naver.com/articles/2650328099", "매물Link")</f>
        <v/>
      </c>
      <c r="M1140" s="6">
        <f>HYPERLINK("https://map.naver.com/p/search/연서면 청라리 16", "지도Link")</f>
        <v/>
      </c>
      <c r="N1140" s="6">
        <f>HYPERLINK("http://www.eum.go.kr/web/ar/lu/luLandDet.jsp?pnu=3611036027100160000&amp;isNoScr=script&amp;mode=search", "토지이음")</f>
        <v/>
      </c>
      <c r="O1140" s="3" t="inlineStr">
        <is>
          <t>세종소담황금</t>
        </is>
      </c>
      <c r="P1140" s="4" t="n">
        <v>1</v>
      </c>
      <c r="Q1140" s="4" t="n">
        <v>2023</v>
      </c>
      <c r="R1140" s="3" t="inlineStr">
        <is>
          <t>지정되지않음</t>
        </is>
      </c>
      <c r="S1140" s="3" t="inlineStr">
        <is>
          <t>과수원</t>
        </is>
      </c>
      <c r="T1140" s="3" t="inlineStr">
        <is>
          <t>완경사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청라리 163-8</t>
        </is>
      </c>
      <c r="B1141" s="3" t="inlineStr">
        <is>
          <t>생산관리지역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31000</v>
      </c>
      <c r="G1141" s="4" t="n">
        <v>778</v>
      </c>
      <c r="H1141" s="4" t="n">
        <v>235</v>
      </c>
      <c r="I1141" s="5" t="n">
        <v>131.9</v>
      </c>
      <c r="J1141" s="5" t="n">
        <v>27</v>
      </c>
      <c r="K1141" s="3" t="inlineStr">
        <is>
          <t>급매  남향  토목공사 완료  조망권 좋음</t>
        </is>
      </c>
      <c r="L1141" s="6">
        <f>HYPERLINK("https://fin.land.naver.com/articles/2648711196", "매물Link")</f>
        <v/>
      </c>
      <c r="M1141" s="6">
        <f>HYPERLINK("https://map.naver.com/p/search/연서면 청라리 163-8", "지도Link")</f>
        <v/>
      </c>
      <c r="N1141" s="6">
        <f>HYPERLINK("http://www.eum.go.kr/web/ar/lu/luLandDet.jsp?pnu=3611036027101630008&amp;isNoScr=script&amp;mode=search", "토지이음")</f>
        <v/>
      </c>
      <c r="O1141" s="3" t="inlineStr">
        <is>
          <t>보람진솔한</t>
        </is>
      </c>
      <c r="P1141" s="4" t="n">
        <v>1</v>
      </c>
      <c r="Q1141" s="4" t="n">
        <v>778</v>
      </c>
      <c r="R1141" s="3" t="inlineStr">
        <is>
          <t>지정되지않음</t>
        </is>
      </c>
      <c r="S1141" s="3" t="inlineStr">
        <is>
          <t>전</t>
        </is>
      </c>
      <c r="T1141" s="3" t="inlineStr">
        <is>
          <t>완경사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연서면 청라리 17-1</t>
        </is>
      </c>
      <c r="B1142" s="3" t="inlineStr">
        <is>
          <t>생산관리지역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44000</v>
      </c>
      <c r="G1142" s="4" t="n">
        <v>1828</v>
      </c>
      <c r="H1142" s="4" t="n">
        <v>553</v>
      </c>
      <c r="I1142" s="5" t="n">
        <v>79.59999999999999</v>
      </c>
      <c r="J1142" s="5" t="n">
        <v>23.5</v>
      </c>
      <c r="K1142" s="3" t="inlineStr">
        <is>
          <t>연서면 청라리에 있는 전원주택도 지을 수 있는 투자용 토지 입니다</t>
        </is>
      </c>
      <c r="L1142" s="6">
        <f>HYPERLINK("https://fin.land.naver.com/articles/2650766989", "매물Link")</f>
        <v/>
      </c>
      <c r="M1142" s="6">
        <f>HYPERLINK("https://map.naver.com/p/search/연서면 청라리 17-1", "지도Link")</f>
        <v/>
      </c>
      <c r="N1142" s="6">
        <f>HYPERLINK("http://www.eum.go.kr/web/ar/lu/luLandDet.jsp?pnu=3611036027100170001&amp;isNoScr=script&amp;mode=search", "토지이음")</f>
        <v/>
      </c>
      <c r="O1142" s="3" t="inlineStr">
        <is>
          <t>스마일세종</t>
        </is>
      </c>
      <c r="P1142" s="4" t="n">
        <v>1</v>
      </c>
      <c r="Q1142" s="4" t="n">
        <v>1729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세로한면(가)</t>
        </is>
      </c>
    </row>
    <row r="1143">
      <c r="A1143" s="3" t="inlineStr">
        <is>
          <t>연서면 청라리 191-1</t>
        </is>
      </c>
      <c r="B1143" s="3" t="inlineStr">
        <is>
          <t>생산관리지역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75000</v>
      </c>
      <c r="G1143" s="4" t="n">
        <v>2096</v>
      </c>
      <c r="H1143" s="4" t="n">
        <v>634</v>
      </c>
      <c r="I1143" s="5" t="n">
        <v>118.3</v>
      </c>
      <c r="J1143" s="5" t="n">
        <v>32.1</v>
      </c>
      <c r="K1143" s="3" t="inlineStr">
        <is>
          <t>생산관리, 도로접함, 대토용, 투자용</t>
        </is>
      </c>
      <c r="L1143" s="6">
        <f>HYPERLINK("https://fin.land.naver.com/articles/2650332745", "매물Link")</f>
        <v/>
      </c>
      <c r="M1143" s="6">
        <f>HYPERLINK("https://map.naver.com/p/search/연서면 청라리 191-1", "지도Link")</f>
        <v/>
      </c>
      <c r="N1143" s="6">
        <f>HYPERLINK("http://www.eum.go.kr/web/ar/lu/luLandDet.jsp?pnu=3611036027101910001&amp;isNoScr=script&amp;mode=search", "토지이음")</f>
        <v/>
      </c>
      <c r="O1143" s="3" t="inlineStr">
        <is>
          <t>세종일조</t>
        </is>
      </c>
      <c r="P1143" s="4" t="n">
        <v>1</v>
      </c>
      <c r="Q1143" s="4" t="n">
        <v>2096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소로한면</t>
        </is>
      </c>
    </row>
    <row r="1144">
      <c r="A1144" s="3" t="inlineStr">
        <is>
          <t>연서면 청라리 261</t>
        </is>
      </c>
      <c r="B1144" s="3" t="inlineStr">
        <is>
          <t>생산관리지역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330000</v>
      </c>
      <c r="G1144" s="4" t="n">
        <v>11198</v>
      </c>
      <c r="H1144" s="4" t="n">
        <v>3387</v>
      </c>
      <c r="I1144" s="5" t="n">
        <v>97.40000000000001</v>
      </c>
      <c r="J1144" s="5" t="n">
        <v>22.9</v>
      </c>
      <c r="K1144" s="3" t="inlineStr">
        <is>
          <t>산업단지개발구역 인근 투자가치 높은 곳입니다.</t>
        </is>
      </c>
      <c r="L1144" s="6">
        <f>HYPERLINK("https://fin.land.naver.com/articles/2646627780", "매물Link")</f>
        <v/>
      </c>
      <c r="M1144" s="6">
        <f>HYPERLINK("https://map.naver.com/p/search/연서면 청라리 261", "지도Link")</f>
        <v/>
      </c>
      <c r="N1144" s="6">
        <f>HYPERLINK("http://www.eum.go.kr/web/ar/lu/luLandDet.jsp?pnu=3611036027102610000&amp;isNoScr=script&amp;mode=search", "토지이음")</f>
        <v/>
      </c>
      <c r="O1144" s="3" t="inlineStr">
        <is>
          <t>노은탑</t>
        </is>
      </c>
      <c r="P1144" s="4" t="n">
        <v>1</v>
      </c>
      <c r="Q1144" s="4" t="n">
        <v>4502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청라리 263</t>
        </is>
      </c>
      <c r="B1145" s="3" t="inlineStr">
        <is>
          <t>생산관리지역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38500</v>
      </c>
      <c r="G1145" s="4" t="n">
        <v>2314</v>
      </c>
      <c r="H1145" s="4" t="n">
        <v>700</v>
      </c>
      <c r="I1145" s="5" t="n">
        <v>55</v>
      </c>
      <c r="J1145" s="5" t="n">
        <v>20.8</v>
      </c>
      <c r="K1145" s="3" t="inlineStr">
        <is>
          <t>연서면 청라리 농지매매</t>
        </is>
      </c>
      <c r="L1145" s="6">
        <f>HYPERLINK("https://fin.land.naver.com/articles/2650941248", "매물Link")</f>
        <v/>
      </c>
      <c r="M1145" s="6">
        <f>HYPERLINK("https://map.naver.com/p/search/연서면 청라리 263", "지도Link")</f>
        <v/>
      </c>
      <c r="N1145" s="6">
        <f>HYPERLINK("http://www.eum.go.kr/web/ar/lu/luLandDet.jsp?pnu=3611036027102630000&amp;isNoScr=script&amp;mode=search", "토지이음")</f>
        <v/>
      </c>
      <c r="O1145" s="3" t="inlineStr">
        <is>
          <t>OK세종 사무소</t>
        </is>
      </c>
      <c r="P1145" s="4" t="n">
        <v>1</v>
      </c>
      <c r="Q1145" s="4" t="n">
        <v>2314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완경사</t>
        </is>
      </c>
      <c r="U1145" s="3" t="inlineStr">
        <is>
          <t>부정형</t>
        </is>
      </c>
      <c r="V1145" s="3" t="inlineStr">
        <is>
          <t>세로한면(불)</t>
        </is>
      </c>
    </row>
    <row r="1146">
      <c r="A1146" s="3" t="inlineStr">
        <is>
          <t>연서면 청라리 420-1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37000</v>
      </c>
      <c r="G1146" s="4" t="n">
        <v>657</v>
      </c>
      <c r="H1146" s="4" t="n">
        <v>199</v>
      </c>
      <c r="I1146" s="5" t="n">
        <v>185.9</v>
      </c>
      <c r="J1146" s="5" t="n">
        <v>56.6</v>
      </c>
      <c r="K1146" s="3" t="inlineStr">
        <is>
          <t>계획관리지역.성장관리계획구역.단독주택있슴</t>
        </is>
      </c>
      <c r="L1146" s="6">
        <f>HYPERLINK("https://fin.land.naver.com/articles/2648373796", "매물Link")</f>
        <v/>
      </c>
      <c r="M1146" s="6">
        <f>HYPERLINK("https://map.naver.com/p/search/연서면 청라리 420-1", "지도Link")</f>
        <v/>
      </c>
      <c r="N1146" s="6">
        <f>HYPERLINK("http://www.eum.go.kr/web/ar/lu/luLandDet.jsp?pnu=3611036027104200001&amp;isNoScr=script&amp;mode=search", "토지이음")</f>
        <v/>
      </c>
      <c r="O1146" s="3" t="inlineStr">
        <is>
          <t>돈방석</t>
        </is>
      </c>
      <c r="P1146" s="4" t="n">
        <v>1</v>
      </c>
      <c r="Q1146" s="4" t="n">
        <v>657.4</v>
      </c>
      <c r="R1146" s="3" t="inlineStr">
        <is>
          <t>지정되지않음</t>
        </is>
      </c>
      <c r="S1146" s="3" t="inlineStr">
        <is>
          <t>단독</t>
        </is>
      </c>
      <c r="T1146" s="3" t="inlineStr">
        <is>
          <t>완경사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청라리 448</t>
        </is>
      </c>
      <c r="B1147" s="3" t="inlineStr">
        <is>
          <t>계획관리지역</t>
        </is>
      </c>
      <c r="C1147" s="3" t="inlineStr">
        <is>
          <t>창고용지</t>
        </is>
      </c>
      <c r="D1147" s="3" t="inlineStr">
        <is>
          <t>대</t>
        </is>
      </c>
      <c r="E1147" s="3" t="inlineStr">
        <is>
          <t>매매</t>
        </is>
      </c>
      <c r="F1147" s="4" t="n">
        <v>425400</v>
      </c>
      <c r="G1147" s="4" t="n">
        <v>7031</v>
      </c>
      <c r="H1147" s="4" t="n">
        <v>2127</v>
      </c>
      <c r="I1147" s="5" t="n">
        <v>200</v>
      </c>
      <c r="J1147" s="5" t="n">
        <v>36.8</v>
      </c>
      <c r="K1147" s="3" t="inlineStr">
        <is>
          <t>2차선도로 접한 토지</t>
        </is>
      </c>
      <c r="L1147" s="6">
        <f>HYPERLINK("https://fin.land.naver.com/articles/2648565269", "매물Link")</f>
        <v/>
      </c>
      <c r="M1147" s="6">
        <f>HYPERLINK("https://map.naver.com/p/search/연서면 청라리 448", "지도Link")</f>
        <v/>
      </c>
      <c r="N1147" s="6">
        <f>HYPERLINK("http://www.eum.go.kr/web/ar/lu/luLandDet.jsp?pnu=3611036027104480000&amp;isNoScr=script&amp;mode=search", "토지이음")</f>
        <v/>
      </c>
      <c r="O1147" s="3" t="inlineStr">
        <is>
          <t>더KEY</t>
        </is>
      </c>
      <c r="P1147" s="4" t="n">
        <v>1</v>
      </c>
      <c r="Q1147" s="4" t="n">
        <v>1158</v>
      </c>
      <c r="R1147" s="3" t="inlineStr">
        <is>
          <t>지정되지않음</t>
        </is>
      </c>
      <c r="S1147" s="3" t="inlineStr">
        <is>
          <t>답기타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연서면 청라리 490</t>
        </is>
      </c>
      <c r="B1148" s="3" t="inlineStr">
        <is>
          <t>보전관리지역</t>
        </is>
      </c>
      <c r="C1148" s="3" t="inlineStr">
        <is>
          <t>답</t>
        </is>
      </c>
      <c r="D1148" s="3" t="inlineStr">
        <is>
          <t>전</t>
        </is>
      </c>
      <c r="E1148" s="3" t="inlineStr">
        <is>
          <t>매매</t>
        </is>
      </c>
      <c r="F1148" s="4" t="n">
        <v>12700</v>
      </c>
      <c r="G1148" s="4" t="n">
        <v>1402</v>
      </c>
      <c r="H1148" s="4" t="n">
        <v>424</v>
      </c>
      <c r="I1148" s="5" t="n">
        <v>30</v>
      </c>
      <c r="J1148" s="5" t="n">
        <v>10.8</v>
      </c>
      <c r="K1148" s="3" t="inlineStr">
        <is>
          <t>절충가능하고 대토용으로 추천드림니다</t>
        </is>
      </c>
      <c r="L1148" s="6">
        <f>HYPERLINK("https://fin.land.naver.com/articles/2649224599", "매물Link")</f>
        <v/>
      </c>
      <c r="M1148" s="6">
        <f>HYPERLINK("https://map.naver.com/p/search/연서면 청라리 490", "지도Link")</f>
        <v/>
      </c>
      <c r="N1148" s="6">
        <f>HYPERLINK("http://www.eum.go.kr/web/ar/lu/luLandDet.jsp?pnu=3611036027104900000&amp;isNoScr=script&amp;mode=search", "토지이음")</f>
        <v/>
      </c>
      <c r="O1148" s="3" t="inlineStr">
        <is>
          <t>스마일세종</t>
        </is>
      </c>
      <c r="P1148" s="4" t="n">
        <v>1</v>
      </c>
      <c r="Q1148" s="4" t="n">
        <v>724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연서면 청라리 490</t>
        </is>
      </c>
      <c r="B1149" s="3" t="inlineStr">
        <is>
          <t>보전관리지역</t>
        </is>
      </c>
      <c r="C1149" s="3" t="inlineStr">
        <is>
          <t>답</t>
        </is>
      </c>
      <c r="D1149" s="3" t="inlineStr">
        <is>
          <t>전</t>
        </is>
      </c>
      <c r="E1149" s="3" t="inlineStr">
        <is>
          <t>매매</t>
        </is>
      </c>
      <c r="F1149" s="4" t="n">
        <v>7000</v>
      </c>
      <c r="G1149" s="4" t="n">
        <v>1401</v>
      </c>
      <c r="H1149" s="4" t="n">
        <v>424</v>
      </c>
      <c r="I1149" s="5" t="n">
        <v>16.5</v>
      </c>
      <c r="J1149" s="5" t="n">
        <v>10.8</v>
      </c>
      <c r="K1149" s="3" t="inlineStr">
        <is>
          <t>급매.과수원추천.보전관리.성장관리계획구역.영농여건불리농지. 대토추천.</t>
        </is>
      </c>
      <c r="L1149" s="6">
        <f>HYPERLINK("https://fin.land.naver.com/articles/2651449309", "매물Link")</f>
        <v/>
      </c>
      <c r="M1149" s="6">
        <f>HYPERLINK("https://map.naver.com/p/search/연서면 청라리 490", "지도Link")</f>
        <v/>
      </c>
      <c r="N1149" s="6">
        <f>HYPERLINK("http://www.eum.go.kr/web/ar/lu/luLandDet.jsp?pnu=3611036027104900000&amp;isNoScr=script&amp;mode=search", "토지이음")</f>
        <v/>
      </c>
      <c r="O1149" s="3" t="inlineStr">
        <is>
          <t>휴튼9단지세교신도시</t>
        </is>
      </c>
      <c r="P1149" s="4" t="n">
        <v>1</v>
      </c>
      <c r="Q1149" s="4" t="n">
        <v>724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연서면 청라리 70</t>
        </is>
      </c>
      <c r="B1150" s="3" t="inlineStr">
        <is>
          <t>계획관리지역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55200</v>
      </c>
      <c r="G1150" s="4" t="n">
        <v>1587</v>
      </c>
      <c r="H1150" s="4" t="n">
        <v>480</v>
      </c>
      <c r="I1150" s="5" t="n">
        <v>115</v>
      </c>
      <c r="J1150" s="5" t="n">
        <v>31.6</v>
      </c>
      <c r="K1150" s="3" t="inlineStr">
        <is>
          <t>국가산업단지 인근 전원주택부지 추천 계획관리 전</t>
        </is>
      </c>
      <c r="L1150" s="6">
        <f>HYPERLINK("https://fin.land.naver.com/articles/2646439538", "매물Link")</f>
        <v/>
      </c>
      <c r="M1150" s="6">
        <f>HYPERLINK("https://map.naver.com/p/search/연서면 청라리 70", "지도Link")</f>
        <v/>
      </c>
      <c r="N1150" s="6">
        <f>HYPERLINK("http://www.eum.go.kr/web/ar/lu/luLandDet.jsp?pnu=3611036027100700000&amp;isNoScr=script&amp;mode=search", "토지이음")</f>
        <v/>
      </c>
      <c r="O1150" s="3" t="inlineStr">
        <is>
          <t>노은탑</t>
        </is>
      </c>
      <c r="P1150" s="4" t="n">
        <v>1</v>
      </c>
      <c r="Q1150" s="4" t="n">
        <v>1587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오송읍 공북리 184-1</t>
        </is>
      </c>
      <c r="B1151" s="3" t="inlineStr">
        <is>
          <t>농림지역</t>
        </is>
      </c>
      <c r="C1151" s="3" t="inlineStr">
        <is>
          <t>잡종지</t>
        </is>
      </c>
      <c r="D1151" s="3" t="inlineStr">
        <is>
          <t>잡종지</t>
        </is>
      </c>
      <c r="E1151" s="3" t="inlineStr">
        <is>
          <t>매매</t>
        </is>
      </c>
      <c r="F1151" s="4" t="n">
        <v>130000</v>
      </c>
      <c r="G1151" s="4" t="n">
        <v>2146</v>
      </c>
      <c r="H1151" s="4" t="n">
        <v>649</v>
      </c>
      <c r="I1151" s="5" t="n">
        <v>200.3</v>
      </c>
      <c r="J1151" s="5" t="n">
        <v>53.7</v>
      </c>
      <c r="K1151" s="3" t="inlineStr">
        <is>
          <t>오송역.산단인접 개발 활용도 좋은 잡종지 토지 매매.2차선 도로접</t>
        </is>
      </c>
      <c r="L1151" s="6">
        <f>HYPERLINK("https://fin.land.naver.com/articles/2650636899", "매물Link")</f>
        <v/>
      </c>
      <c r="M1151" s="6">
        <f>HYPERLINK("https://map.naver.com/p/search/오송읍 공북리 184-1", "지도Link")</f>
        <v/>
      </c>
      <c r="N1151" s="6">
        <f>HYPERLINK("http://www.eum.go.kr/web/ar/lu/luLandDet.jsp?pnu=4311325023101840001&amp;isNoScr=script&amp;mode=search", "토지이음")</f>
        <v/>
      </c>
      <c r="O1151" s="3" t="inlineStr">
        <is>
          <t>삼성사무소</t>
        </is>
      </c>
      <c r="P1151" s="4" t="n">
        <v>1</v>
      </c>
      <c r="Q1151" s="4" t="n">
        <v>746</v>
      </c>
      <c r="R1151" s="3" t="inlineStr">
        <is>
          <t>지정되지않음</t>
        </is>
      </c>
      <c r="S1151" s="3" t="inlineStr">
        <is>
          <t>단독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오송읍 공북리 184-2</t>
        </is>
      </c>
      <c r="B1152" s="3" t="inlineStr">
        <is>
          <t>농림지역</t>
        </is>
      </c>
      <c r="C1152" s="3" t="inlineStr">
        <is>
          <t>잡종지</t>
        </is>
      </c>
      <c r="D1152" s="3" t="inlineStr">
        <is>
          <t>잡종지</t>
        </is>
      </c>
      <c r="E1152" s="3" t="inlineStr">
        <is>
          <t>매매</t>
        </is>
      </c>
      <c r="F1152" s="4" t="n">
        <v>130000</v>
      </c>
      <c r="G1152" s="4" t="n">
        <v>2146</v>
      </c>
      <c r="H1152" s="4" t="n">
        <v>649</v>
      </c>
      <c r="I1152" s="5" t="n">
        <v>200.3</v>
      </c>
      <c r="J1152" s="5" t="n">
        <v>53.7</v>
      </c>
      <c r="K1152" s="3" t="inlineStr">
        <is>
          <t>2차선 도로 접, 서울 세종간 고속도로 오송진입로 1.3km, 투자 적지</t>
        </is>
      </c>
      <c r="L1152" s="6">
        <f>HYPERLINK("https://fin.land.naver.com/articles/2646041698", "매물Link")</f>
        <v/>
      </c>
      <c r="M1152" s="6">
        <f>HYPERLINK("https://map.naver.com/p/search/오송읍 공북리 184-2", "지도Link")</f>
        <v/>
      </c>
      <c r="N1152" s="6">
        <f>HYPERLINK("http://www.eum.go.kr/web/ar/lu/luLandDet.jsp?pnu=4311325023101840002&amp;isNoScr=script&amp;mode=search", "토지이음")</f>
        <v/>
      </c>
      <c r="O1152" s="3" t="inlineStr">
        <is>
          <t>OK파라곤</t>
        </is>
      </c>
      <c r="P1152" s="4" t="n">
        <v>1</v>
      </c>
      <c r="Q1152" s="4" t="n">
        <v>1400</v>
      </c>
      <c r="R1152" s="3" t="inlineStr">
        <is>
          <t>지정되지않음</t>
        </is>
      </c>
      <c r="S1152" s="3" t="inlineStr">
        <is>
          <t>단독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소로한면</t>
        </is>
      </c>
    </row>
    <row r="1153">
      <c r="A1153" s="3" t="inlineStr">
        <is>
          <t>오송읍 공북리 308-1</t>
        </is>
      </c>
      <c r="B1153" s="3" t="inlineStr">
        <is>
          <t>계획관리지역</t>
        </is>
      </c>
      <c r="C1153" s="3" t="inlineStr">
        <is>
          <t>대</t>
        </is>
      </c>
      <c r="D1153" s="3" t="inlineStr">
        <is>
          <t>전</t>
        </is>
      </c>
      <c r="E1153" s="3" t="inlineStr">
        <is>
          <t>매매</t>
        </is>
      </c>
      <c r="F1153" s="4" t="n">
        <v>10720</v>
      </c>
      <c r="G1153" s="4" t="n">
        <v>222</v>
      </c>
      <c r="H1153" s="4" t="n">
        <v>67</v>
      </c>
      <c r="I1153" s="5" t="n">
        <v>160</v>
      </c>
      <c r="J1153" s="5" t="n">
        <v>75.5</v>
      </c>
      <c r="K1153" s="3" t="inlineStr">
        <is>
          <t>공북리 계획관리토지 마을안쪽 국가도로연결됨 저렴소자본 매수가능</t>
        </is>
      </c>
      <c r="L1153" s="6">
        <f>HYPERLINK("https://fin.land.naver.com/articles/2647606151", "매물Link")</f>
        <v/>
      </c>
      <c r="M1153" s="6">
        <f>HYPERLINK("https://map.naver.com/p/search/오송읍 공북리 308-1", "지도Link")</f>
        <v/>
      </c>
      <c r="N1153" s="6">
        <f>HYPERLINK("http://www.eum.go.kr/web/ar/lu/luLandDet.jsp?pnu=4311325023103080001&amp;isNoScr=script&amp;mode=search", "토지이음")</f>
        <v/>
      </c>
      <c r="O1153" s="3" t="inlineStr">
        <is>
          <t>자이원</t>
        </is>
      </c>
      <c r="P1153" s="4" t="n">
        <v>1</v>
      </c>
      <c r="Q1153" s="4" t="n">
        <v>222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오송읍 공북리 308-2</t>
        </is>
      </c>
      <c r="B1154" s="3" t="inlineStr">
        <is>
          <t>계획관리지역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108600</v>
      </c>
      <c r="G1154" s="4" t="n">
        <v>2244</v>
      </c>
      <c r="H1154" s="4" t="n">
        <v>679</v>
      </c>
      <c r="I1154" s="5" t="n">
        <v>159.9</v>
      </c>
      <c r="J1154" s="5" t="n">
        <v>41.3</v>
      </c>
      <c r="K1154" s="3" t="inlineStr">
        <is>
          <t>공북리 계획관리 전 전체 또는 분할 매매 가능</t>
        </is>
      </c>
      <c r="L1154" s="6">
        <f>HYPERLINK("https://fin.land.naver.com/articles/2647606366", "매물Link")</f>
        <v/>
      </c>
      <c r="M1154" s="6">
        <f>HYPERLINK("https://map.naver.com/p/search/오송읍 공북리 308-2", "지도Link")</f>
        <v/>
      </c>
      <c r="N1154" s="6">
        <f>HYPERLINK("http://www.eum.go.kr/web/ar/lu/luLandDet.jsp?pnu=4311325023103080002&amp;isNoScr=script&amp;mode=search", "토지이음")</f>
        <v/>
      </c>
      <c r="O1154" s="3" t="inlineStr">
        <is>
          <t>자이원</t>
        </is>
      </c>
      <c r="P1154" s="4" t="n">
        <v>1</v>
      </c>
      <c r="Q1154" s="4" t="n">
        <v>2244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오송읍 공북리 474</t>
        </is>
      </c>
      <c r="B1155" s="3" t="inlineStr">
        <is>
          <t>농림지역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70000</v>
      </c>
      <c r="G1155" s="4" t="n">
        <v>586</v>
      </c>
      <c r="H1155" s="4" t="n">
        <v>177</v>
      </c>
      <c r="I1155" s="5" t="n">
        <v>395.5</v>
      </c>
      <c r="J1155" s="5" t="n">
        <v>49.7</v>
      </c>
      <c r="K1155" s="3" t="inlineStr">
        <is>
          <t>두필지 매매 미래가치 보고 들어오는 공북리 핵심 토지</t>
        </is>
      </c>
      <c r="L1155" s="6">
        <f>HYPERLINK("https://fin.land.naver.com/articles/2646878581", "매물Link")</f>
        <v/>
      </c>
      <c r="M1155" s="6">
        <f>HYPERLINK("https://map.naver.com/p/search/오송읍 공북리 474", "지도Link")</f>
        <v/>
      </c>
      <c r="N1155" s="6">
        <f>HYPERLINK("http://www.eum.go.kr/web/ar/lu/luLandDet.jsp?pnu=4311325023104740000&amp;isNoScr=script&amp;mode=search", "토지이음")</f>
        <v/>
      </c>
      <c r="O1155" s="3" t="inlineStr">
        <is>
          <t>우영</t>
        </is>
      </c>
      <c r="P1155" s="4" t="n">
        <v>1</v>
      </c>
      <c r="Q1155" s="4" t="n">
        <v>293</v>
      </c>
      <c r="R1155" s="3" t="inlineStr">
        <is>
          <t>지정되지않음</t>
        </is>
      </c>
      <c r="S1155" s="3" t="inlineStr">
        <is>
          <t>단독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오송읍 공북리 568-28</t>
        </is>
      </c>
      <c r="B1156" s="3" t="inlineStr">
        <is>
          <t>계획관리지역</t>
        </is>
      </c>
      <c r="C1156" s="3" t="inlineStr">
        <is>
          <t>잡종지</t>
        </is>
      </c>
      <c r="D1156" s="3" t="inlineStr">
        <is>
          <t>대</t>
        </is>
      </c>
      <c r="E1156" s="3" t="inlineStr">
        <is>
          <t>매매</t>
        </is>
      </c>
      <c r="F1156" s="4" t="n">
        <v>220000</v>
      </c>
      <c r="G1156" s="4" t="n">
        <v>2707</v>
      </c>
      <c r="H1156" s="4" t="n">
        <v>819</v>
      </c>
      <c r="I1156" s="5" t="n">
        <v>268.6</v>
      </c>
      <c r="J1156" s="5" t="n">
        <v>72.2</v>
      </c>
      <c r="K1156" s="3" t="inlineStr">
        <is>
          <t>오송생명과학단지 바로옆,옥산IC인근,전체 계획관리지역,공장 창고 추천</t>
        </is>
      </c>
      <c r="L1156" s="6">
        <f>HYPERLINK("https://fin.land.naver.com/articles/2648182036", "매물Link")</f>
        <v/>
      </c>
      <c r="M1156" s="6">
        <f>HYPERLINK("https://map.naver.com/p/search/오송읍 공북리 568-28", "지도Link")</f>
        <v/>
      </c>
      <c r="N1156" s="6">
        <f>HYPERLINK("http://www.eum.go.kr/web/ar/lu/luLandDet.jsp?pnu=4311325023105680028&amp;isNoScr=script&amp;mode=search", "토지이음")</f>
        <v/>
      </c>
      <c r="O1156" s="3" t="inlineStr">
        <is>
          <t>(주)미르</t>
        </is>
      </c>
      <c r="P1156" s="4" t="n">
        <v>1</v>
      </c>
      <c r="Q1156" s="4" t="n">
        <v>79</v>
      </c>
      <c r="R1156" s="3" t="inlineStr">
        <is>
          <t>지정되지않음</t>
        </is>
      </c>
      <c r="S1156" s="3" t="inlineStr">
        <is>
          <t>주거기타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세로한면(가)</t>
        </is>
      </c>
    </row>
    <row r="1157">
      <c r="A1157" s="3" t="inlineStr">
        <is>
          <t>오송읍 공북리 568-30</t>
        </is>
      </c>
      <c r="B1157" s="3" t="inlineStr">
        <is>
          <t>계획관리지역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220000</v>
      </c>
      <c r="G1157" s="4" t="n">
        <v>2707</v>
      </c>
      <c r="H1157" s="4" t="n">
        <v>819</v>
      </c>
      <c r="I1157" s="5" t="n">
        <v>268.6</v>
      </c>
      <c r="J1157" s="5" t="n">
        <v>72.2</v>
      </c>
      <c r="K1157" s="3" t="inlineStr">
        <is>
          <t>오송생명과학단지 , 오송 화장품산업단지 인근 공장 창고 추천</t>
        </is>
      </c>
      <c r="L1157" s="6">
        <f>HYPERLINK("https://fin.land.naver.com/articles/2646993084", "매물Link")</f>
        <v/>
      </c>
      <c r="M1157" s="6">
        <f>HYPERLINK("https://map.naver.com/p/search/오송읍 공북리 568-30", "지도Link")</f>
        <v/>
      </c>
      <c r="N1157" s="6">
        <f>HYPERLINK("http://www.eum.go.kr/web/ar/lu/luLandDet.jsp?pnu=4311325023105680030&amp;isNoScr=script&amp;mode=search", "토지이음")</f>
        <v/>
      </c>
      <c r="O1157" s="3" t="inlineStr">
        <is>
          <t>더원</t>
        </is>
      </c>
      <c r="P1157" s="4" t="n">
        <v>1</v>
      </c>
      <c r="Q1157" s="4" t="n">
        <v>144</v>
      </c>
      <c r="R1157" s="3" t="inlineStr">
        <is>
          <t>지정되지않음</t>
        </is>
      </c>
      <c r="S1157" s="3" t="inlineStr">
        <is>
          <t>주거기타</t>
        </is>
      </c>
      <c r="T1157" s="3" t="inlineStr">
        <is>
          <t>평지</t>
        </is>
      </c>
      <c r="U1157" s="3" t="inlineStr">
        <is>
          <t>가로장방</t>
        </is>
      </c>
      <c r="V1157" s="3" t="inlineStr">
        <is>
          <t>세로한면(가)</t>
        </is>
      </c>
    </row>
    <row r="1158">
      <c r="A1158" s="3" t="inlineStr">
        <is>
          <t>오송읍 공북리 639-1</t>
        </is>
      </c>
      <c r="B1158" s="3" t="inlineStr">
        <is>
          <t>농림지역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20600</v>
      </c>
      <c r="G1158" s="4" t="n">
        <v>975</v>
      </c>
      <c r="H1158" s="4" t="n">
        <v>295</v>
      </c>
      <c r="I1158" s="5" t="n">
        <v>69.8</v>
      </c>
      <c r="J1158" s="5" t="n">
        <v>21.6</v>
      </c>
      <c r="K1158" s="3" t="inlineStr">
        <is>
          <t>오송역 오송철도클러스터단지인근토지 수도 전기 화장실 컨테이너 설치</t>
        </is>
      </c>
      <c r="L1158" s="6">
        <f>HYPERLINK("https://fin.land.naver.com/articles/2648195920", "매물Link")</f>
        <v/>
      </c>
      <c r="M1158" s="6">
        <f>HYPERLINK("https://map.naver.com/p/search/오송읍 공북리 639-1", "지도Link")</f>
        <v/>
      </c>
      <c r="N1158" s="6">
        <f>HYPERLINK("http://www.eum.go.kr/web/ar/lu/luLandDet.jsp?pnu=4311325023106390001&amp;isNoScr=script&amp;mode=search", "토지이음")</f>
        <v/>
      </c>
      <c r="O1158" s="3" t="inlineStr">
        <is>
          <t>아임</t>
        </is>
      </c>
      <c r="P1158" s="4" t="n">
        <v>2</v>
      </c>
      <c r="Q1158" s="4" t="n">
        <v>975</v>
      </c>
      <c r="R1158" s="3" t="inlineStr">
        <is>
          <t>생산관리지역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오송읍 공북리 산 52-7</t>
        </is>
      </c>
      <c r="B1159" s="3" t="inlineStr">
        <is>
          <t>보전관리지역</t>
        </is>
      </c>
      <c r="C1159" s="3" t="inlineStr">
        <is>
          <t>임야</t>
        </is>
      </c>
      <c r="D1159" s="3" t="inlineStr">
        <is>
          <t>임야</t>
        </is>
      </c>
      <c r="E1159" s="3" t="inlineStr">
        <is>
          <t>매매</t>
        </is>
      </c>
      <c r="F1159" s="4" t="n">
        <v>190000</v>
      </c>
      <c r="G1159" s="4" t="n">
        <v>39425</v>
      </c>
      <c r="H1159" s="4" t="n">
        <v>11926</v>
      </c>
      <c r="I1159" s="5" t="n">
        <v>15.9</v>
      </c>
      <c r="J1159" s="5" t="n">
        <v>3.1</v>
      </c>
      <c r="K1159" s="3" t="inlineStr">
        <is>
          <t>카폐,전원주택 개발 가능여지 있음</t>
        </is>
      </c>
      <c r="L1159" s="6">
        <f>HYPERLINK("https://fin.land.naver.com/articles/2648226259", "매물Link")</f>
        <v/>
      </c>
      <c r="M1159" s="6">
        <f>HYPERLINK("https://map.naver.com/p/search/오송읍 공북리 산 52-7", "지도Link")</f>
        <v/>
      </c>
      <c r="N1159" s="6">
        <f>HYPERLINK("http://www.eum.go.kr/web/ar/lu/luLandDet.jsp?pnu=4311325023200520007&amp;isNoScr=script&amp;mode=search", "토지이음")</f>
        <v/>
      </c>
      <c r="O1159" s="3" t="inlineStr">
        <is>
          <t>조은</t>
        </is>
      </c>
      <c r="P1159" s="4" t="n">
        <v>1</v>
      </c>
      <c r="Q1159" s="4" t="n">
        <v>2791</v>
      </c>
      <c r="R1159" s="3" t="inlineStr">
        <is>
          <t>지정되지않음</t>
        </is>
      </c>
      <c r="S1159" s="3" t="inlineStr">
        <is>
          <t>조림</t>
        </is>
      </c>
      <c r="T1159" s="3" t="inlineStr">
        <is>
          <t>급경사</t>
        </is>
      </c>
      <c r="U1159" s="3" t="inlineStr">
        <is>
          <t>부정형</t>
        </is>
      </c>
      <c r="V1159" s="3" t="inlineStr">
        <is>
          <t>맹지</t>
        </is>
      </c>
    </row>
    <row r="1160">
      <c r="A1160" s="3" t="inlineStr">
        <is>
          <t>오송읍 궁평리 121</t>
        </is>
      </c>
      <c r="B1160" s="3" t="inlineStr">
        <is>
          <t>농림지역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90000</v>
      </c>
      <c r="G1160" s="4" t="n">
        <v>2265</v>
      </c>
      <c r="H1160" s="4" t="n">
        <v>685</v>
      </c>
      <c r="I1160" s="5" t="n">
        <v>131.4</v>
      </c>
      <c r="J1160" s="5" t="n">
        <v>35.7</v>
      </c>
      <c r="K1160" s="3" t="inlineStr">
        <is>
          <t>1산단 남측 포장도로접한 하우스 농지</t>
        </is>
      </c>
      <c r="L1160" s="6">
        <f>HYPERLINK("https://fin.land.naver.com/articles/2649950672", "매물Link")</f>
        <v/>
      </c>
      <c r="M1160" s="6">
        <f>HYPERLINK("https://map.naver.com/p/search/오송읍 궁평리 121", "지도Link")</f>
        <v/>
      </c>
      <c r="N1160" s="6">
        <f>HYPERLINK("http://www.eum.go.kr/web/ar/lu/luLandDet.jsp?pnu=4311325027101210000&amp;isNoScr=script&amp;mode=search", "토지이음")</f>
        <v/>
      </c>
      <c r="O1160" s="3" t="inlineStr">
        <is>
          <t>오송k랜드</t>
        </is>
      </c>
      <c r="P1160" s="4" t="n">
        <v>1</v>
      </c>
      <c r="Q1160" s="4" t="n">
        <v>2265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세로장방</t>
        </is>
      </c>
      <c r="V1160" s="3" t="inlineStr">
        <is>
          <t>세로한면(가)</t>
        </is>
      </c>
    </row>
    <row r="1161">
      <c r="A1161" s="3" t="inlineStr">
        <is>
          <t>오송읍 궁평리 204-8</t>
        </is>
      </c>
      <c r="B1161" s="3" t="inlineStr">
        <is>
          <t>농림지역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95000</v>
      </c>
      <c r="G1161" s="4" t="n">
        <v>2036</v>
      </c>
      <c r="H1161" s="4" t="n">
        <v>616</v>
      </c>
      <c r="I1161" s="5" t="n">
        <v>154.2</v>
      </c>
      <c r="J1161" s="5" t="n">
        <v>27.4</v>
      </c>
      <c r="K1161" s="3" t="inlineStr">
        <is>
          <t>오송읍 투자가치 높은 토지 매매</t>
        </is>
      </c>
      <c r="L1161" s="6">
        <f>HYPERLINK("https://fin.land.naver.com/articles/2647596088", "매물Link")</f>
        <v/>
      </c>
      <c r="M1161" s="6">
        <f>HYPERLINK("https://map.naver.com/p/search/오송읍 궁평리 204-8", "지도Link")</f>
        <v/>
      </c>
      <c r="N1161" s="6">
        <f>HYPERLINK("http://www.eum.go.kr/web/ar/lu/luLandDet.jsp?pnu=4311325027102040008&amp;isNoScr=script&amp;mode=search", "토지이음")</f>
        <v/>
      </c>
      <c r="O1161" s="3" t="inlineStr">
        <is>
          <t>대지</t>
        </is>
      </c>
      <c r="P1161" s="4" t="n">
        <v>1</v>
      </c>
      <c r="Q1161" s="4" t="n">
        <v>2036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세로장방</t>
        </is>
      </c>
      <c r="V1161" s="3" t="inlineStr">
        <is>
          <t>세로한면(가)</t>
        </is>
      </c>
    </row>
    <row r="1162">
      <c r="A1162" s="3" t="inlineStr">
        <is>
          <t>오송읍 궁평리 213-3</t>
        </is>
      </c>
      <c r="B1162" s="3" t="inlineStr">
        <is>
          <t>농림지역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47500</v>
      </c>
      <c r="G1162" s="4" t="n">
        <v>2093</v>
      </c>
      <c r="H1162" s="4" t="n">
        <v>633</v>
      </c>
      <c r="I1162" s="5" t="n">
        <v>75</v>
      </c>
      <c r="J1162" s="5" t="n">
        <v>30</v>
      </c>
      <c r="K1162" s="3" t="inlineStr">
        <is>
          <t>nan</t>
        </is>
      </c>
      <c r="L1162" s="6">
        <f>HYPERLINK("https://fin.land.naver.com/articles/2650456829", "매물Link")</f>
        <v/>
      </c>
      <c r="M1162" s="6">
        <f>HYPERLINK("https://map.naver.com/p/search/오송읍 궁평리 213-3", "지도Link")</f>
        <v/>
      </c>
      <c r="N1162" s="6">
        <f>HYPERLINK("http://www.eum.go.kr/web/ar/lu/luLandDet.jsp?pnu=4311325027102130003&amp;isNoScr=script&amp;mode=search", "토지이음")</f>
        <v/>
      </c>
      <c r="O1162" s="3" t="inlineStr">
        <is>
          <t>OK파라곤</t>
        </is>
      </c>
      <c r="P1162" s="4" t="n">
        <v>1</v>
      </c>
      <c r="Q1162" s="4" t="n">
        <v>2093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오송읍 궁평리 216-6</t>
        </is>
      </c>
      <c r="B1163" s="3" t="inlineStr">
        <is>
          <t>농림지역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90700</v>
      </c>
      <c r="G1163" s="4" t="n">
        <v>3740</v>
      </c>
      <c r="H1163" s="4" t="n">
        <v>1131</v>
      </c>
      <c r="I1163" s="5" t="n">
        <v>80.2</v>
      </c>
      <c r="J1163" s="5" t="n">
        <v>27</v>
      </c>
      <c r="K1163" s="3" t="inlineStr">
        <is>
          <t>궁평리 청주오스코 인근</t>
        </is>
      </c>
      <c r="L1163" s="6">
        <f>HYPERLINK("https://fin.land.naver.com/articles/2647428893", "매물Link")</f>
        <v/>
      </c>
      <c r="M1163" s="6">
        <f>HYPERLINK("https://map.naver.com/p/search/오송읍 궁평리 216-6", "지도Link")</f>
        <v/>
      </c>
      <c r="N1163" s="6">
        <f>HYPERLINK("http://www.eum.go.kr/web/ar/lu/luLandDet.jsp?pnu=4311325027102160006&amp;isNoScr=script&amp;mode=search", "토지이음")</f>
        <v/>
      </c>
      <c r="O1163" s="3" t="inlineStr">
        <is>
          <t>수풀림</t>
        </is>
      </c>
      <c r="P1163" s="4" t="n">
        <v>1</v>
      </c>
      <c r="Q1163" s="4" t="n">
        <v>3743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평지</t>
        </is>
      </c>
      <c r="U1163" s="3" t="inlineStr">
        <is>
          <t>세로장방</t>
        </is>
      </c>
      <c r="V1163" s="3" t="inlineStr">
        <is>
          <t>세로한면(불)</t>
        </is>
      </c>
    </row>
    <row r="1164">
      <c r="A1164" s="3" t="inlineStr">
        <is>
          <t>오송읍 궁평리 217-1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53500</v>
      </c>
      <c r="G1164" s="4" t="n">
        <v>2356</v>
      </c>
      <c r="H1164" s="4" t="n">
        <v>713</v>
      </c>
      <c r="I1164" s="5" t="n">
        <v>75</v>
      </c>
      <c r="J1164" s="5" t="n">
        <v>27</v>
      </c>
      <c r="K1164" s="3" t="inlineStr">
        <is>
          <t>오스코 인근, 영농에 종사하면서 지가 상승 기대되는 농지 투자</t>
        </is>
      </c>
      <c r="L1164" s="6">
        <f>HYPERLINK("https://fin.land.naver.com/articles/2648152740", "매물Link")</f>
        <v/>
      </c>
      <c r="M1164" s="6">
        <f>HYPERLINK("https://map.naver.com/p/search/오송읍 궁평리 217-1", "지도Link")</f>
        <v/>
      </c>
      <c r="N1164" s="6">
        <f>HYPERLINK("http://www.eum.go.kr/web/ar/lu/luLandDet.jsp?pnu=4311325027102170001&amp;isNoScr=script&amp;mode=search", "토지이음")</f>
        <v/>
      </c>
      <c r="O1164" s="3" t="inlineStr">
        <is>
          <t>제이</t>
        </is>
      </c>
      <c r="P1164" s="4" t="n">
        <v>1</v>
      </c>
      <c r="Q1164" s="4" t="n">
        <v>2356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세로한면(불)</t>
        </is>
      </c>
    </row>
    <row r="1165">
      <c r="A1165" s="3" t="inlineStr">
        <is>
          <t>오송읍 궁평리 234-6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136000</v>
      </c>
      <c r="G1165" s="4" t="n">
        <v>3003</v>
      </c>
      <c r="H1165" s="4" t="n">
        <v>908</v>
      </c>
      <c r="I1165" s="5" t="n">
        <v>149.8</v>
      </c>
      <c r="J1165" s="5" t="n">
        <v>37.1</v>
      </c>
      <c r="K1165" s="3" t="inlineStr">
        <is>
          <t>매물특징</t>
        </is>
      </c>
      <c r="L1165" s="6">
        <f>HYPERLINK("https://fin.land.naver.com/articles/2648780208", "매물Link")</f>
        <v/>
      </c>
      <c r="M1165" s="6">
        <f>HYPERLINK("https://map.naver.com/p/search/오송읍 궁평리 234-6", "지도Link")</f>
        <v/>
      </c>
      <c r="N1165" s="6">
        <f>HYPERLINK("http://www.eum.go.kr/web/ar/lu/luLandDet.jsp?pnu=4311325027102340006&amp;isNoScr=script&amp;mode=search", "토지이음")</f>
        <v/>
      </c>
      <c r="O1165" s="3" t="inlineStr">
        <is>
          <t>오송궁평마을</t>
        </is>
      </c>
      <c r="P1165" s="4" t="n">
        <v>1</v>
      </c>
      <c r="Q1165" s="4" t="n">
        <v>3003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오송읍 궁평리 252-9</t>
        </is>
      </c>
      <c r="B1166" s="3" t="inlineStr">
        <is>
          <t>농림지역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160000</v>
      </c>
      <c r="G1166" s="4" t="n">
        <v>2951</v>
      </c>
      <c r="H1166" s="4" t="n">
        <v>893</v>
      </c>
      <c r="I1166" s="5" t="n">
        <v>179.2</v>
      </c>
      <c r="J1166" s="5" t="n">
        <v>63</v>
      </c>
      <c r="K1166" s="3" t="inlineStr">
        <is>
          <t>오송 2역세권 ,환지 예정지</t>
        </is>
      </c>
      <c r="L1166" s="6">
        <f>HYPERLINK("https://fin.land.naver.com/articles/2646725924", "매물Link")</f>
        <v/>
      </c>
      <c r="M1166" s="6">
        <f>HYPERLINK("https://map.naver.com/p/search/오송읍 궁평리 252-9", "지도Link")</f>
        <v/>
      </c>
      <c r="N1166" s="6">
        <f>HYPERLINK("http://www.eum.go.kr/web/ar/lu/luLandDet.jsp?pnu=4311325027102520009&amp;isNoScr=script&amp;mode=search", "토지이음")</f>
        <v/>
      </c>
      <c r="O1166" s="3" t="inlineStr">
        <is>
          <t>오송타운</t>
        </is>
      </c>
      <c r="P1166" s="4" t="n">
        <v>1</v>
      </c>
      <c r="Q1166" s="4" t="n">
        <v>1874</v>
      </c>
      <c r="R1166" s="3" t="inlineStr">
        <is>
          <t>지정되지않음</t>
        </is>
      </c>
      <c r="S1166" s="3" t="inlineStr">
        <is>
          <t>과수원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중로한면</t>
        </is>
      </c>
    </row>
    <row r="1167">
      <c r="A1167" s="3" t="inlineStr">
        <is>
          <t>오송읍 궁평리 259-14</t>
        </is>
      </c>
      <c r="B1167" s="3" t="inlineStr">
        <is>
          <t>계획관리지역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80000</v>
      </c>
      <c r="G1167" s="4" t="n">
        <v>1144</v>
      </c>
      <c r="H1167" s="4" t="n">
        <v>346</v>
      </c>
      <c r="I1167" s="5" t="n">
        <v>231.2</v>
      </c>
      <c r="J1167" s="5" t="n">
        <v>93.90000000000001</v>
      </c>
      <c r="K1167" s="3" t="inlineStr">
        <is>
          <t>오송역 및 오스코 600m, 6차선 지하차도 예정지에 인접한 계획관리토지</t>
        </is>
      </c>
      <c r="L1167" s="6">
        <f>HYPERLINK("https://fin.land.naver.com/articles/2648087819", "매물Link")</f>
        <v/>
      </c>
      <c r="M1167" s="6">
        <f>HYPERLINK("https://map.naver.com/p/search/오송읍 궁평리 259-14", "지도Link")</f>
        <v/>
      </c>
      <c r="N1167" s="6">
        <f>HYPERLINK("http://www.eum.go.kr/web/ar/lu/luLandDet.jsp?pnu=4311325027102590014&amp;isNoScr=script&amp;mode=search", "토지이음")</f>
        <v/>
      </c>
      <c r="O1167" s="3" t="inlineStr">
        <is>
          <t>오송3산단  사무소</t>
        </is>
      </c>
      <c r="P1167" s="4" t="n">
        <v>1</v>
      </c>
      <c r="Q1167" s="4" t="n">
        <v>1144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오송읍 궁평리 259-14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80000</v>
      </c>
      <c r="G1168" s="4" t="n">
        <v>1144</v>
      </c>
      <c r="H1168" s="4" t="n">
        <v>346</v>
      </c>
      <c r="I1168" s="5" t="n">
        <v>231.2</v>
      </c>
      <c r="J1168" s="5" t="n">
        <v>93.90000000000001</v>
      </c>
      <c r="K1168" s="3" t="inlineStr">
        <is>
          <t>오송역 및 오스코 600m, 6차선 지하차도 예정지에 인접한 계획관리토지</t>
        </is>
      </c>
      <c r="L1168" s="6">
        <f>HYPERLINK("https://fin.land.naver.com/articles/2648088525", "매물Link")</f>
        <v/>
      </c>
      <c r="M1168" s="6">
        <f>HYPERLINK("https://map.naver.com/p/search/오송읍 궁평리 259-14", "지도Link")</f>
        <v/>
      </c>
      <c r="N1168" s="6">
        <f>HYPERLINK("http://www.eum.go.kr/web/ar/lu/luLandDet.jsp?pnu=4311325027102590014&amp;isNoScr=script&amp;mode=search", "토지이음")</f>
        <v/>
      </c>
      <c r="O1168" s="3" t="inlineStr">
        <is>
          <t>오송3산단  사무소</t>
        </is>
      </c>
      <c r="P1168" s="4" t="n">
        <v>1</v>
      </c>
      <c r="Q1168" s="4" t="n">
        <v>1144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궁평리 272-3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80000</v>
      </c>
      <c r="G1169" s="4" t="n">
        <v>573</v>
      </c>
      <c r="H1169" s="4" t="n">
        <v>173</v>
      </c>
      <c r="I1169" s="5" t="n">
        <v>462.4</v>
      </c>
      <c r="J1169" s="5" t="n">
        <v>161.2</v>
      </c>
      <c r="K1169" s="3" t="inlineStr">
        <is>
          <t>173땅 오송역세권 미래투자가치우수한 토지</t>
        </is>
      </c>
      <c r="L1169" s="6">
        <f>HYPERLINK("https://fin.land.naver.com/articles/2648360295", "매물Link")</f>
        <v/>
      </c>
      <c r="M1169" s="6">
        <f>HYPERLINK("https://map.naver.com/p/search/오송읍 궁평리 272-3", "지도Link")</f>
        <v/>
      </c>
      <c r="N1169" s="6">
        <f>HYPERLINK("http://www.eum.go.kr/web/ar/lu/luLandDet.jsp?pnu=4311325027102720003&amp;isNoScr=script&amp;mode=search", "토지이음")</f>
        <v/>
      </c>
      <c r="O1169" s="3" t="inlineStr">
        <is>
          <t>하림</t>
        </is>
      </c>
      <c r="P1169" s="4" t="n">
        <v>1</v>
      </c>
      <c r="Q1169" s="4" t="n">
        <v>573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오송읍 궁평리 278-1</t>
        </is>
      </c>
      <c r="B1170" s="3" t="inlineStr">
        <is>
          <t>농림지역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227000</v>
      </c>
      <c r="G1170" s="4" t="n">
        <v>4076</v>
      </c>
      <c r="H1170" s="4" t="n">
        <v>1233</v>
      </c>
      <c r="I1170" s="5" t="n">
        <v>184.1</v>
      </c>
      <c r="J1170" s="5" t="n">
        <v>46.8</v>
      </c>
      <c r="K1170" s="3" t="inlineStr">
        <is>
          <t>매물특징</t>
        </is>
      </c>
      <c r="L1170" s="6">
        <f>HYPERLINK("https://fin.land.naver.com/articles/2648556391", "매물Link")</f>
        <v/>
      </c>
      <c r="M1170" s="6">
        <f>HYPERLINK("https://map.naver.com/p/search/오송읍 궁평리 278-1", "지도Link")</f>
        <v/>
      </c>
      <c r="N1170" s="6">
        <f>HYPERLINK("http://www.eum.go.kr/web/ar/lu/luLandDet.jsp?pnu=4311325027102780001&amp;isNoScr=script&amp;mode=search", "토지이음")</f>
        <v/>
      </c>
      <c r="O1170" s="3" t="inlineStr">
        <is>
          <t>오송궁평마을</t>
        </is>
      </c>
      <c r="P1170" s="4" t="n">
        <v>1</v>
      </c>
      <c r="Q1170" s="4" t="n">
        <v>4076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세로장방</t>
        </is>
      </c>
      <c r="V1170" s="3" t="inlineStr">
        <is>
          <t>세로한면(불)</t>
        </is>
      </c>
    </row>
    <row r="1171">
      <c r="A1171" s="3" t="inlineStr">
        <is>
          <t>오송읍 궁평리 296-3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150000</v>
      </c>
      <c r="G1171" s="4" t="n">
        <v>3967</v>
      </c>
      <c r="H1171" s="4" t="n">
        <v>1200</v>
      </c>
      <c r="I1171" s="5" t="n">
        <v>125</v>
      </c>
      <c r="J1171" s="5" t="n">
        <v>53.7</v>
      </c>
      <c r="K1171" s="3" t="inlineStr">
        <is>
          <t>오송역 인근 장래개발 호재지역 투자용 대토용 조경업 농림관련산업</t>
        </is>
      </c>
      <c r="L1171" s="6">
        <f>HYPERLINK("https://fin.land.naver.com/articles/2646263708", "매물Link")</f>
        <v/>
      </c>
      <c r="M1171" s="6">
        <f>HYPERLINK("https://map.naver.com/p/search/오송읍 궁평리 296-3", "지도Link")</f>
        <v/>
      </c>
      <c r="N1171" s="6">
        <f>HYPERLINK("http://www.eum.go.kr/web/ar/lu/luLandDet.jsp?pnu=4311325027102960003&amp;isNoScr=script&amp;mode=search", "토지이음")</f>
        <v/>
      </c>
      <c r="O1171" s="3" t="inlineStr">
        <is>
          <t>재일합동사무소</t>
        </is>
      </c>
      <c r="P1171" s="4" t="n">
        <v>1</v>
      </c>
      <c r="Q1171" s="4" t="n">
        <v>3967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세로한면(가)</t>
        </is>
      </c>
    </row>
    <row r="1172">
      <c r="A1172" s="3" t="inlineStr">
        <is>
          <t>오송읍 궁평리 303-1</t>
        </is>
      </c>
      <c r="B1172" s="3" t="inlineStr">
        <is>
          <t>농림지역</t>
        </is>
      </c>
      <c r="C1172" s="3" t="inlineStr">
        <is>
          <t>과수원</t>
        </is>
      </c>
      <c r="D1172" s="3" t="inlineStr">
        <is>
          <t>과수원</t>
        </is>
      </c>
      <c r="E1172" s="3" t="inlineStr">
        <is>
          <t>매매</t>
        </is>
      </c>
      <c r="F1172" s="4" t="n">
        <v>105000</v>
      </c>
      <c r="G1172" s="4" t="n">
        <v>1523</v>
      </c>
      <c r="H1172" s="4" t="n">
        <v>461</v>
      </c>
      <c r="I1172" s="5" t="n">
        <v>227.8</v>
      </c>
      <c r="J1172" s="5" t="n">
        <v>63</v>
      </c>
      <c r="K1172" s="3" t="inlineStr">
        <is>
          <t>도로 접한 과수원 부지 매도 오송역 인근 장래 개발 호재 지역</t>
        </is>
      </c>
      <c r="L1172" s="6">
        <f>HYPERLINK("https://fin.land.naver.com/articles/2649497254", "매물Link")</f>
        <v/>
      </c>
      <c r="M1172" s="6">
        <f>HYPERLINK("https://map.naver.com/p/search/오송읍 궁평리 303-1", "지도Link")</f>
        <v/>
      </c>
      <c r="N1172" s="6">
        <f>HYPERLINK("http://www.eum.go.kr/web/ar/lu/luLandDet.jsp?pnu=4311325027103030001&amp;isNoScr=script&amp;mode=search", "토지이음")</f>
        <v/>
      </c>
      <c r="O1172" s="3" t="inlineStr">
        <is>
          <t>오송퍼스트영웅</t>
        </is>
      </c>
      <c r="P1172" s="4" t="n">
        <v>1</v>
      </c>
      <c r="Q1172" s="4" t="n">
        <v>1523</v>
      </c>
      <c r="R1172" s="3" t="inlineStr">
        <is>
          <t>지정되지않음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중로한면</t>
        </is>
      </c>
    </row>
    <row r="1173">
      <c r="A1173" s="3" t="inlineStr">
        <is>
          <t>오송읍 궁평리 61-6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40000</v>
      </c>
      <c r="G1173" s="4" t="n">
        <v>347</v>
      </c>
      <c r="H1173" s="4" t="n">
        <v>105</v>
      </c>
      <c r="I1173" s="5" t="n">
        <v>381</v>
      </c>
      <c r="J1173" s="5" t="n">
        <v>103.6</v>
      </c>
      <c r="K1173" s="3" t="inlineStr">
        <is>
          <t>궁평리 전원주택 지을 토지 매매.</t>
        </is>
      </c>
      <c r="L1173" s="6">
        <f>HYPERLINK("https://fin.land.naver.com/articles/2646658318", "매물Link")</f>
        <v/>
      </c>
      <c r="M1173" s="6">
        <f>HYPERLINK("https://map.naver.com/p/search/오송읍 궁평리 61-6", "지도Link")</f>
        <v/>
      </c>
      <c r="N1173" s="6">
        <f>HYPERLINK("http://www.eum.go.kr/web/ar/lu/luLandDet.jsp?pnu=4311325027100610006&amp;isNoScr=script&amp;mode=search", "토지이음")</f>
        <v/>
      </c>
      <c r="O1173" s="3" t="inlineStr">
        <is>
          <t>대한민국</t>
        </is>
      </c>
      <c r="P1173" s="4" t="n">
        <v>1</v>
      </c>
      <c r="Q1173" s="4" t="n">
        <v>347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오송읍 궁평리 75-1</t>
        </is>
      </c>
      <c r="B1174" s="3" t="inlineStr">
        <is>
          <t>농림지역</t>
        </is>
      </c>
      <c r="C1174" s="3" t="inlineStr">
        <is>
          <t>전</t>
        </is>
      </c>
      <c r="D1174" s="3" t="inlineStr">
        <is>
          <t>답</t>
        </is>
      </c>
      <c r="E1174" s="3" t="inlineStr">
        <is>
          <t>매매</t>
        </is>
      </c>
      <c r="F1174" s="4" t="n">
        <v>31700</v>
      </c>
      <c r="G1174" s="4" t="n">
        <v>614</v>
      </c>
      <c r="H1174" s="4" t="n">
        <v>186</v>
      </c>
      <c r="I1174" s="5" t="n">
        <v>170.4</v>
      </c>
      <c r="J1174" s="5" t="n">
        <v>37.1</v>
      </c>
      <c r="K1174" s="3" t="inlineStr">
        <is>
          <t>투자가치로 적극 추천하는 궁평리 중심 토지</t>
        </is>
      </c>
      <c r="L1174" s="6">
        <f>HYPERLINK("https://fin.land.naver.com/articles/2650824873", "매물Link")</f>
        <v/>
      </c>
      <c r="M1174" s="6">
        <f>HYPERLINK("https://map.naver.com/p/search/오송읍 궁평리 75-1", "지도Link")</f>
        <v/>
      </c>
      <c r="N1174" s="6">
        <f>HYPERLINK("http://www.eum.go.kr/web/ar/lu/luLandDet.jsp?pnu=4311325027100750001&amp;isNoScr=script&amp;mode=search", "토지이음")</f>
        <v/>
      </c>
      <c r="O1174" s="3" t="inlineStr">
        <is>
          <t>국제</t>
        </is>
      </c>
      <c r="P1174" s="4" t="n">
        <v>1</v>
      </c>
      <c r="Q1174" s="4" t="n">
        <v>3078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세로각지(가)</t>
        </is>
      </c>
    </row>
    <row r="1175">
      <c r="A1175" s="3" t="inlineStr">
        <is>
          <t>오송읍 동평리 151-5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23000</v>
      </c>
      <c r="G1175" s="4" t="n">
        <v>271</v>
      </c>
      <c r="H1175" s="4" t="n">
        <v>82</v>
      </c>
      <c r="I1175" s="5" t="n">
        <v>280.5</v>
      </c>
      <c r="J1175" s="5" t="n">
        <v>104.2</v>
      </c>
      <c r="K1175" s="3" t="inlineStr">
        <is>
          <t>국가산단 수용지에 연접한 계획관리 대지, 착한가격의 투자매물</t>
        </is>
      </c>
      <c r="L1175" s="6">
        <f>HYPERLINK("https://fin.land.naver.com/articles/2648088196", "매물Link")</f>
        <v/>
      </c>
      <c r="M1175" s="6">
        <f>HYPERLINK("https://map.naver.com/p/search/오송읍 동평리 151-5", "지도Link")</f>
        <v/>
      </c>
      <c r="N1175" s="6">
        <f>HYPERLINK("http://www.eum.go.kr/web/ar/lu/luLandDet.jsp?pnu=4311325029101510005&amp;isNoScr=script&amp;mode=search", "토지이음")</f>
        <v/>
      </c>
      <c r="O1175" s="3" t="inlineStr">
        <is>
          <t>오송3산단  사무소</t>
        </is>
      </c>
      <c r="P1175" s="4" t="n">
        <v>1</v>
      </c>
      <c r="Q1175" s="4" t="n">
        <v>271</v>
      </c>
      <c r="R1175" s="3" t="inlineStr">
        <is>
          <t>지정되지않음</t>
        </is>
      </c>
      <c r="S1175" s="3" t="inlineStr">
        <is>
          <t>단독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오송읍 동평리 381-13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36000</v>
      </c>
      <c r="G1176" s="4" t="n">
        <v>2070</v>
      </c>
      <c r="H1176" s="4" t="n">
        <v>626</v>
      </c>
      <c r="I1176" s="5" t="n">
        <v>57.5</v>
      </c>
      <c r="J1176" s="5" t="n">
        <v>26.6</v>
      </c>
      <c r="K1176" s="3" t="inlineStr">
        <is>
          <t>오송3산단 수용지에 인접한 추가수용 유력토지, 착한가격의 투자용 매물</t>
        </is>
      </c>
      <c r="L1176" s="6">
        <f>HYPERLINK("https://fin.land.naver.com/articles/2648084687", "매물Link")</f>
        <v/>
      </c>
      <c r="M1176" s="6">
        <f>HYPERLINK("https://map.naver.com/p/search/오송읍 동평리 381-13", "지도Link")</f>
        <v/>
      </c>
      <c r="N1176" s="6">
        <f>HYPERLINK("http://www.eum.go.kr/web/ar/lu/luLandDet.jsp?pnu=4311325029103810013&amp;isNoScr=script&amp;mode=search", "토지이음")</f>
        <v/>
      </c>
      <c r="O1176" s="3" t="inlineStr">
        <is>
          <t>오송3산단  사무소</t>
        </is>
      </c>
      <c r="P1176" s="4" t="n">
        <v>1</v>
      </c>
      <c r="Q1176" s="4" t="n">
        <v>1769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세로한면(불)</t>
        </is>
      </c>
    </row>
    <row r="1177">
      <c r="A1177" s="3" t="inlineStr">
        <is>
          <t>오송읍 만수리 272-3</t>
        </is>
      </c>
      <c r="B1177" s="3" t="inlineStr">
        <is>
          <t>농림지역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36000</v>
      </c>
      <c r="G1177" s="4" t="n">
        <v>1183</v>
      </c>
      <c r="H1177" s="4" t="n">
        <v>358</v>
      </c>
      <c r="I1177" s="5" t="n">
        <v>100.6</v>
      </c>
      <c r="J1177" s="5" t="n">
        <v>35.7</v>
      </c>
      <c r="K1177" s="3" t="inlineStr">
        <is>
          <t>농림지역 답 매도 오송 역세권 ktx  근접  투자 가치 뿜뿜</t>
        </is>
      </c>
      <c r="L1177" s="6">
        <f>HYPERLINK("https://fin.land.naver.com/articles/2648939038", "매물Link")</f>
        <v/>
      </c>
      <c r="M1177" s="6">
        <f>HYPERLINK("https://map.naver.com/p/search/오송읍 만수리 272-3", "지도Link")</f>
        <v/>
      </c>
      <c r="N1177" s="6">
        <f>HYPERLINK("http://www.eum.go.kr/web/ar/lu/luLandDet.jsp?pnu=4311325025102720003&amp;isNoScr=script&amp;mode=search", "토지이음")</f>
        <v/>
      </c>
      <c r="O1177" s="3" t="inlineStr">
        <is>
          <t>오송퍼스트영웅</t>
        </is>
      </c>
      <c r="P1177" s="4" t="n">
        <v>1</v>
      </c>
      <c r="Q1177" s="4" t="n">
        <v>1183</v>
      </c>
      <c r="R1177" s="3" t="inlineStr">
        <is>
          <t>지정되지않음</t>
        </is>
      </c>
      <c r="S1177" s="3" t="inlineStr">
        <is>
          <t>답</t>
        </is>
      </c>
      <c r="T1177" s="3" t="inlineStr">
        <is>
          <t>평지</t>
        </is>
      </c>
      <c r="U1177" s="3" t="inlineStr">
        <is>
          <t>세로장방</t>
        </is>
      </c>
      <c r="V1177" s="3" t="inlineStr">
        <is>
          <t>세로한면(가)</t>
        </is>
      </c>
    </row>
    <row r="1178">
      <c r="A1178" s="3" t="inlineStr">
        <is>
          <t>오송읍 만수리 523</t>
        </is>
      </c>
      <c r="B1178" s="3" t="inlineStr">
        <is>
          <t>일반상업지역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240000</v>
      </c>
      <c r="G1178" s="4" t="n">
        <v>590</v>
      </c>
      <c r="H1178" s="4" t="n">
        <v>178</v>
      </c>
      <c r="I1178" s="5" t="n">
        <v>1348.3</v>
      </c>
      <c r="J1178" s="5" t="n">
        <v>728.3</v>
      </c>
      <c r="K1178" s="3" t="inlineStr">
        <is>
          <t>nan</t>
        </is>
      </c>
      <c r="L1178" s="6">
        <f>HYPERLINK("https://fin.land.naver.com/articles/2646728610", "매물Link")</f>
        <v/>
      </c>
      <c r="M1178" s="6">
        <f>HYPERLINK("https://map.naver.com/p/search/오송읍 만수리 523", "지도Link")</f>
        <v/>
      </c>
      <c r="N1178" s="6">
        <f>HYPERLINK("http://www.eum.go.kr/web/ar/lu/luLandDet.jsp?pnu=4311325025105230000&amp;isNoScr=script&amp;mode=search", "토지이음")</f>
        <v/>
      </c>
      <c r="O1178" s="3" t="inlineStr">
        <is>
          <t>오송타운</t>
        </is>
      </c>
      <c r="P1178" s="4" t="n">
        <v>1</v>
      </c>
      <c r="Q1178" s="4" t="n">
        <v>590.2</v>
      </c>
      <c r="R1178" s="3" t="inlineStr">
        <is>
          <t>지정되지않음</t>
        </is>
      </c>
      <c r="S1178" s="3" t="inlineStr">
        <is>
          <t>상업용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광대소각</t>
        </is>
      </c>
    </row>
    <row r="1179">
      <c r="A1179" s="3" t="inlineStr">
        <is>
          <t>오송읍 만수리 704</t>
        </is>
      </c>
      <c r="B1179" s="3" t="inlineStr">
        <is>
          <t>제1종일반주거지역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70000</v>
      </c>
      <c r="G1179" s="4" t="n">
        <v>263</v>
      </c>
      <c r="H1179" s="4" t="n">
        <v>80</v>
      </c>
      <c r="I1179" s="5" t="n">
        <v>875</v>
      </c>
      <c r="J1179" s="5" t="n">
        <v>229.4</v>
      </c>
      <c r="K1179" s="3" t="inlineStr">
        <is>
          <t>오송역300m역세권   최적의단독주택용지   오송생명과학단지인근</t>
        </is>
      </c>
      <c r="L1179" s="6">
        <f>HYPERLINK("https://fin.land.naver.com/articles/2648270874", "매물Link")</f>
        <v/>
      </c>
      <c r="M1179" s="6">
        <f>HYPERLINK("https://map.naver.com/p/search/오송읍 만수리 704", "지도Link")</f>
        <v/>
      </c>
      <c r="N1179" s="6">
        <f>HYPERLINK("http://www.eum.go.kr/web/ar/lu/luLandDet.jsp?pnu=4311325025107040000&amp;isNoScr=script&amp;mode=search", "토지이음")</f>
        <v/>
      </c>
      <c r="O1179" s="3" t="inlineStr">
        <is>
          <t>연세</t>
        </is>
      </c>
      <c r="P1179" s="4" t="n">
        <v>1</v>
      </c>
      <c r="Q1179" s="4" t="n">
        <v>263.6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평지</t>
        </is>
      </c>
      <c r="U1179" s="3" t="inlineStr">
        <is>
          <t>정방형</t>
        </is>
      </c>
      <c r="V1179" s="3" t="inlineStr">
        <is>
          <t>소로한면</t>
        </is>
      </c>
    </row>
    <row r="1180">
      <c r="A1180" s="3" t="inlineStr">
        <is>
          <t>오송읍 만수리 794</t>
        </is>
      </c>
      <c r="B1180" s="3" t="inlineStr">
        <is>
          <t>제1종일반주거지역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66000</v>
      </c>
      <c r="G1180" s="4" t="n">
        <v>352</v>
      </c>
      <c r="H1180" s="4" t="n">
        <v>106</v>
      </c>
      <c r="I1180" s="5" t="n">
        <v>622.6</v>
      </c>
      <c r="J1180" s="5" t="n">
        <v>241.8</v>
      </c>
      <c r="K1180" s="3" t="inlineStr">
        <is>
          <t>오송역근접300m거리, 완성된 계획도시에 하나 남은 코너 건부지</t>
        </is>
      </c>
      <c r="L1180" s="6">
        <f>HYPERLINK("https://fin.land.naver.com/articles/2647846334", "매물Link")</f>
        <v/>
      </c>
      <c r="M1180" s="6">
        <f>HYPERLINK("https://map.naver.com/p/search/오송읍 만수리 794", "지도Link")</f>
        <v/>
      </c>
      <c r="N1180" s="6">
        <f>HYPERLINK("http://www.eum.go.kr/web/ar/lu/luLandDet.jsp?pnu=4311325025107940000&amp;isNoScr=script&amp;mode=search", "토지이음")</f>
        <v/>
      </c>
      <c r="O1180" s="3" t="inlineStr">
        <is>
          <t>청주더존</t>
        </is>
      </c>
      <c r="P1180" s="4" t="n">
        <v>1</v>
      </c>
      <c r="Q1180" s="4" t="n">
        <v>352.6</v>
      </c>
      <c r="R1180" s="3" t="inlineStr">
        <is>
          <t>지정되지않음</t>
        </is>
      </c>
      <c r="S1180" s="3" t="inlineStr">
        <is>
          <t>주거나지</t>
        </is>
      </c>
      <c r="T1180" s="3" t="inlineStr">
        <is>
          <t>평지</t>
        </is>
      </c>
      <c r="U1180" s="3" t="inlineStr">
        <is>
          <t>정방형</t>
        </is>
      </c>
      <c r="V1180" s="3" t="inlineStr">
        <is>
          <t>소로각지</t>
        </is>
      </c>
    </row>
    <row r="1181">
      <c r="A1181" s="3" t="inlineStr">
        <is>
          <t>오송읍 만수리 939</t>
        </is>
      </c>
      <c r="B1181" s="3" t="inlineStr">
        <is>
          <t>제1종일반주거지역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45000</v>
      </c>
      <c r="G1181" s="4" t="n">
        <v>269</v>
      </c>
      <c r="H1181" s="4" t="n">
        <v>81</v>
      </c>
      <c r="I1181" s="5" t="n">
        <v>555.6</v>
      </c>
      <c r="J1181" s="5" t="n">
        <v>209.3</v>
      </c>
      <c r="K1181" s="3" t="inlineStr">
        <is>
          <t>대도로변 이면도로 위치 좋은 토지입니다</t>
        </is>
      </c>
      <c r="L1181" s="6">
        <f>HYPERLINK("https://fin.land.naver.com/articles/2650305364", "매물Link")</f>
        <v/>
      </c>
      <c r="M1181" s="6">
        <f>HYPERLINK("https://map.naver.com/p/search/오송읍 만수리 939", "지도Link")</f>
        <v/>
      </c>
      <c r="N1181" s="6">
        <f>HYPERLINK("http://www.eum.go.kr/web/ar/lu/luLandDet.jsp?pnu=4311325025109390000&amp;isNoScr=script&amp;mode=search", "토지이음")</f>
        <v/>
      </c>
      <c r="O1181" s="3" t="inlineStr">
        <is>
          <t>스케치</t>
        </is>
      </c>
      <c r="P1181" s="4" t="n">
        <v>1</v>
      </c>
      <c r="Q1181" s="4" t="n">
        <v>268.2</v>
      </c>
      <c r="R1181" s="3" t="inlineStr">
        <is>
          <t>자연녹지지역</t>
        </is>
      </c>
      <c r="S1181" s="3" t="inlineStr">
        <is>
          <t>주상나지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오송읍 봉산리 1124</t>
        </is>
      </c>
      <c r="B1182" s="3" t="inlineStr">
        <is>
          <t>제1종일반주거지역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45000</v>
      </c>
      <c r="G1182" s="4" t="n">
        <v>240</v>
      </c>
      <c r="H1182" s="4" t="n">
        <v>73</v>
      </c>
      <c r="I1182" s="5" t="n">
        <v>616.4</v>
      </c>
      <c r="J1182" s="5" t="n">
        <v>208.1</v>
      </c>
      <c r="K1182" s="3" t="inlineStr">
        <is>
          <t>가격조율 최대한 해볼게요 위치좋은 먹자골목 상권 토지</t>
        </is>
      </c>
      <c r="L1182" s="6">
        <f>HYPERLINK("https://fin.land.naver.com/articles/2646394067", "매물Link")</f>
        <v/>
      </c>
      <c r="M1182" s="6">
        <f>HYPERLINK("https://map.naver.com/p/search/오송읍 봉산리 1124", "지도Link")</f>
        <v/>
      </c>
      <c r="N1182" s="6">
        <f>HYPERLINK("http://www.eum.go.kr/web/ar/lu/luLandDet.jsp?pnu=4311325031111240000&amp;isNoScr=script&amp;mode=search", "토지이음")</f>
        <v/>
      </c>
      <c r="O1182" s="3" t="inlineStr">
        <is>
          <t>복덩이</t>
        </is>
      </c>
      <c r="P1182" s="4" t="n">
        <v>1</v>
      </c>
      <c r="Q1182" s="4" t="n">
        <v>240.6</v>
      </c>
      <c r="R1182" s="3" t="inlineStr">
        <is>
          <t>지정되지않음</t>
        </is>
      </c>
      <c r="S1182" s="3" t="inlineStr">
        <is>
          <t>주거기타</t>
        </is>
      </c>
      <c r="T1182" s="3" t="inlineStr">
        <is>
          <t>평지</t>
        </is>
      </c>
      <c r="U1182" s="3" t="inlineStr">
        <is>
          <t>세로장방</t>
        </is>
      </c>
      <c r="V1182" s="3" t="inlineStr">
        <is>
          <t>소로한면</t>
        </is>
      </c>
    </row>
    <row r="1183">
      <c r="A1183" s="3" t="inlineStr">
        <is>
          <t>오송읍 봉산리 1179</t>
        </is>
      </c>
      <c r="B1183" s="3" t="inlineStr">
        <is>
          <t>제1종일반주거지역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58000</v>
      </c>
      <c r="G1183" s="4" t="n">
        <v>270</v>
      </c>
      <c r="H1183" s="4" t="n">
        <v>82</v>
      </c>
      <c r="I1183" s="5" t="n">
        <v>707.3</v>
      </c>
      <c r="J1183" s="5" t="n">
        <v>206.3</v>
      </c>
      <c r="K1183" s="3" t="inlineStr">
        <is>
          <t>오송2단지 허가득 남향 상가건물 지을 수 있는 토지</t>
        </is>
      </c>
      <c r="L1183" s="6">
        <f>HYPERLINK("https://fin.land.naver.com/articles/2650461950", "매물Link")</f>
        <v/>
      </c>
      <c r="M1183" s="6">
        <f>HYPERLINK("https://map.naver.com/p/search/오송읍 봉산리 1179", "지도Link")</f>
        <v/>
      </c>
      <c r="N1183" s="6">
        <f>HYPERLINK("http://www.eum.go.kr/web/ar/lu/luLandDet.jsp?pnu=4311325031111790000&amp;isNoScr=script&amp;mode=search", "토지이음")</f>
        <v/>
      </c>
      <c r="O1183" s="3" t="inlineStr">
        <is>
          <t>세종오송</t>
        </is>
      </c>
      <c r="P1183" s="4" t="n">
        <v>1</v>
      </c>
      <c r="Q1183" s="4" t="n">
        <v>269.9</v>
      </c>
      <c r="R1183" s="3" t="inlineStr">
        <is>
          <t>지정되지않음</t>
        </is>
      </c>
      <c r="S1183" s="3" t="inlineStr">
        <is>
          <t>주거기타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소로한면</t>
        </is>
      </c>
    </row>
    <row r="1184">
      <c r="A1184" s="3" t="inlineStr">
        <is>
          <t>오송읍 봉산리 1208</t>
        </is>
      </c>
      <c r="B1184" s="3" t="inlineStr">
        <is>
          <t>제1종일반주거지역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50000</v>
      </c>
      <c r="G1184" s="4" t="n">
        <v>264</v>
      </c>
      <c r="H1184" s="4" t="n">
        <v>80</v>
      </c>
      <c r="I1184" s="5" t="n">
        <v>625</v>
      </c>
      <c r="J1184" s="5" t="n">
        <v>206.3</v>
      </c>
      <c r="K1184" s="3" t="inlineStr">
        <is>
          <t>nan</t>
        </is>
      </c>
      <c r="L1184" s="6">
        <f>HYPERLINK("https://fin.land.naver.com/articles/2650507610", "매물Link")</f>
        <v/>
      </c>
      <c r="M1184" s="6">
        <f>HYPERLINK("https://map.naver.com/p/search/오송읍 봉산리 1208", "지도Link")</f>
        <v/>
      </c>
      <c r="N1184" s="6">
        <f>HYPERLINK("http://www.eum.go.kr/web/ar/lu/luLandDet.jsp?pnu=4311325031112080000&amp;isNoScr=script&amp;mode=search", "토지이음")</f>
        <v/>
      </c>
      <c r="O1184" s="3" t="inlineStr">
        <is>
          <t>아임</t>
        </is>
      </c>
      <c r="P1184" s="4" t="n">
        <v>1</v>
      </c>
      <c r="Q1184" s="4" t="n">
        <v>264.6</v>
      </c>
      <c r="R1184" s="3" t="inlineStr">
        <is>
          <t>지정되지않음</t>
        </is>
      </c>
      <c r="S1184" s="3" t="inlineStr">
        <is>
          <t>주거기타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소로한면</t>
        </is>
      </c>
    </row>
    <row r="1185">
      <c r="A1185" s="3" t="inlineStr">
        <is>
          <t>오송읍 봉산리 1209</t>
        </is>
      </c>
      <c r="B1185" s="3" t="inlineStr">
        <is>
          <t>제1종일반주거지역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60000</v>
      </c>
      <c r="G1185" s="4" t="n">
        <v>264</v>
      </c>
      <c r="H1185" s="4" t="n">
        <v>80</v>
      </c>
      <c r="I1185" s="5" t="n">
        <v>750</v>
      </c>
      <c r="J1185" s="5" t="n">
        <v>206.3</v>
      </c>
      <c r="K1185" s="3" t="inlineStr">
        <is>
          <t>오송 2산업단지 준주거지역과 접해있고 상업지역과도 50m정도 떨어져 있음</t>
        </is>
      </c>
      <c r="L1185" s="6">
        <f>HYPERLINK("https://fin.land.naver.com/articles/2650022122", "매물Link")</f>
        <v/>
      </c>
      <c r="M1185" s="6">
        <f>HYPERLINK("https://map.naver.com/p/search/오송읍 봉산리 1209", "지도Link")</f>
        <v/>
      </c>
      <c r="N1185" s="6">
        <f>HYPERLINK("http://www.eum.go.kr/web/ar/lu/luLandDet.jsp?pnu=4311325031112090000&amp;isNoScr=script&amp;mode=search", "토지이음")</f>
        <v/>
      </c>
      <c r="O1185" s="3" t="inlineStr">
        <is>
          <t>스마일세종</t>
        </is>
      </c>
      <c r="P1185" s="4" t="n">
        <v>1</v>
      </c>
      <c r="Q1185" s="4" t="n">
        <v>264.8</v>
      </c>
      <c r="R1185" s="3" t="inlineStr">
        <is>
          <t>지정되지않음</t>
        </is>
      </c>
      <c r="S1185" s="3" t="inlineStr">
        <is>
          <t>주거기타</t>
        </is>
      </c>
      <c r="T1185" s="3" t="inlineStr">
        <is>
          <t>평지</t>
        </is>
      </c>
      <c r="U1185" s="3" t="inlineStr">
        <is>
          <t>세로장방</t>
        </is>
      </c>
      <c r="V1185" s="3" t="inlineStr">
        <is>
          <t>소로한면</t>
        </is>
      </c>
    </row>
    <row r="1186">
      <c r="A1186" s="3" t="inlineStr">
        <is>
          <t>오송읍 봉산리 1276</t>
        </is>
      </c>
      <c r="B1186" s="3" t="inlineStr">
        <is>
          <t>제1종일반주거지역</t>
        </is>
      </c>
      <c r="C1186" s="3" t="inlineStr">
        <is>
          <t>주차장</t>
        </is>
      </c>
      <c r="D1186" s="3" t="inlineStr">
        <is>
          <t>주차장</t>
        </is>
      </c>
      <c r="E1186" s="3" t="inlineStr">
        <is>
          <t>매매</t>
        </is>
      </c>
      <c r="F1186" s="4" t="n">
        <v>165000</v>
      </c>
      <c r="G1186" s="4" t="n">
        <v>1091</v>
      </c>
      <c r="H1186" s="4" t="n">
        <v>330</v>
      </c>
      <c r="I1186" s="5" t="n">
        <v>500</v>
      </c>
      <c r="J1186" s="5" t="n">
        <v>220.4</v>
      </c>
      <c r="K1186" s="3" t="inlineStr">
        <is>
          <t>주차타워와 1층 근생상가 가능한 매력적인 주차장용지</t>
        </is>
      </c>
      <c r="L1186" s="6">
        <f>HYPERLINK("https://fin.land.naver.com/articles/2650859464", "매물Link")</f>
        <v/>
      </c>
      <c r="M1186" s="6">
        <f>HYPERLINK("https://map.naver.com/p/search/오송읍 봉산리 1276", "지도Link")</f>
        <v/>
      </c>
      <c r="N1186" s="6">
        <f>HYPERLINK("http://www.eum.go.kr/web/ar/lu/luLandDet.jsp?pnu=4311325031112760000&amp;isNoScr=script&amp;mode=search", "토지이음")</f>
        <v/>
      </c>
      <c r="O1186" s="3" t="inlineStr">
        <is>
          <t>프로</t>
        </is>
      </c>
      <c r="P1186" s="4" t="n">
        <v>2</v>
      </c>
      <c r="Q1186" s="4" t="n">
        <v>1091.4</v>
      </c>
      <c r="R1186" s="3" t="inlineStr">
        <is>
          <t>지정되지않음</t>
        </is>
      </c>
      <c r="S1186" s="3" t="inlineStr">
        <is>
          <t>주차장등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중로각지</t>
        </is>
      </c>
    </row>
    <row r="1187">
      <c r="A1187" s="3" t="inlineStr">
        <is>
          <t>오송읍 봉산리 1293</t>
        </is>
      </c>
      <c r="B1187" s="3" t="inlineStr">
        <is>
          <t>준주거지역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169000</v>
      </c>
      <c r="G1187" s="4" t="n">
        <v>414</v>
      </c>
      <c r="H1187" s="4" t="n">
        <v>125</v>
      </c>
      <c r="I1187" s="5" t="n">
        <v>1352</v>
      </c>
      <c r="J1187" s="5" t="n">
        <v>624.1</v>
      </c>
      <c r="K1187" s="3" t="inlineStr">
        <is>
          <t>오송2산단으로 배후세력 2만여세대의 준주거지역 근생토지,대로변에 위치</t>
        </is>
      </c>
      <c r="L1187" s="6">
        <f>HYPERLINK("https://fin.land.naver.com/articles/2648188611", "매물Link")</f>
        <v/>
      </c>
      <c r="M1187" s="6">
        <f>HYPERLINK("https://map.naver.com/p/search/오송읍 봉산리 1293", "지도Link")</f>
        <v/>
      </c>
      <c r="N1187" s="6">
        <f>HYPERLINK("http://www.eum.go.kr/web/ar/lu/luLandDet.jsp?pnu=4311325031112930000&amp;isNoScr=script&amp;mode=search", "토지이음")</f>
        <v/>
      </c>
      <c r="O1187" s="3" t="inlineStr">
        <is>
          <t>(주)미르</t>
        </is>
      </c>
      <c r="P1187" s="4" t="n">
        <v>2</v>
      </c>
      <c r="Q1187" s="4" t="n">
        <v>413.5</v>
      </c>
      <c r="R1187" s="3" t="inlineStr">
        <is>
          <t>지정되지않음</t>
        </is>
      </c>
      <c r="S1187" s="3" t="inlineStr">
        <is>
          <t>상업기타</t>
        </is>
      </c>
      <c r="T1187" s="3" t="inlineStr">
        <is>
          <t>평지</t>
        </is>
      </c>
      <c r="U1187" s="3" t="inlineStr">
        <is>
          <t>가로장방</t>
        </is>
      </c>
      <c r="V1187" s="3" t="inlineStr">
        <is>
          <t>중로각지</t>
        </is>
      </c>
    </row>
    <row r="1188">
      <c r="A1188" s="3" t="inlineStr">
        <is>
          <t>오송읍 봉산리 1296</t>
        </is>
      </c>
      <c r="B1188" s="3" t="inlineStr">
        <is>
          <t>준주거지역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162000</v>
      </c>
      <c r="G1188" s="4" t="n">
        <v>411</v>
      </c>
      <c r="H1188" s="4" t="n">
        <v>124</v>
      </c>
      <c r="I1188" s="5" t="n">
        <v>1306.5</v>
      </c>
      <c r="J1188" s="5" t="n">
        <v>624.1</v>
      </c>
      <c r="K1188" s="3" t="inlineStr">
        <is>
          <t>오송역 인근 근생용지 매매, 평당 약 1300만원</t>
        </is>
      </c>
      <c r="L1188" s="6">
        <f>HYPERLINK("https://fin.land.naver.com/articles/2649842662", "매물Link")</f>
        <v/>
      </c>
      <c r="M1188" s="6">
        <f>HYPERLINK("https://map.naver.com/p/search/오송읍 봉산리 1296", "지도Link")</f>
        <v/>
      </c>
      <c r="N1188" s="6">
        <f>HYPERLINK("http://www.eum.go.kr/web/ar/lu/luLandDet.jsp?pnu=4311325031112960000&amp;isNoScr=script&amp;mode=search", "토지이음")</f>
        <v/>
      </c>
      <c r="O1188" s="3" t="inlineStr">
        <is>
          <t>광장</t>
        </is>
      </c>
      <c r="P1188" s="4" t="n">
        <v>1</v>
      </c>
      <c r="Q1188" s="4" t="n">
        <v>411.7</v>
      </c>
      <c r="R1188" s="3" t="inlineStr">
        <is>
          <t>지정되지않음</t>
        </is>
      </c>
      <c r="S1188" s="3" t="inlineStr">
        <is>
          <t>상업기타</t>
        </is>
      </c>
      <c r="T1188" s="3" t="inlineStr">
        <is>
          <t>평지</t>
        </is>
      </c>
      <c r="U1188" s="3" t="inlineStr">
        <is>
          <t>가로장방</t>
        </is>
      </c>
      <c r="V1188" s="3" t="inlineStr">
        <is>
          <t>중로각지</t>
        </is>
      </c>
    </row>
    <row r="1189">
      <c r="A1189" s="3" t="inlineStr">
        <is>
          <t>오송읍 봉산리 1297</t>
        </is>
      </c>
      <c r="B1189" s="3" t="inlineStr">
        <is>
          <t>준주거지역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190000</v>
      </c>
      <c r="G1189" s="4" t="n">
        <v>421</v>
      </c>
      <c r="H1189" s="4" t="n">
        <v>127</v>
      </c>
      <c r="I1189" s="5" t="n">
        <v>1496.1</v>
      </c>
      <c r="J1189" s="5" t="n">
        <v>624.1</v>
      </c>
      <c r="K1189" s="3" t="inlineStr">
        <is>
          <t>코너 근생용지 매매, 평당 약 1500만원</t>
        </is>
      </c>
      <c r="L1189" s="6">
        <f>HYPERLINK("https://fin.land.naver.com/articles/2649842980", "매물Link")</f>
        <v/>
      </c>
      <c r="M1189" s="6">
        <f>HYPERLINK("https://map.naver.com/p/search/오송읍 봉산리 1297", "지도Link")</f>
        <v/>
      </c>
      <c r="N1189" s="6">
        <f>HYPERLINK("http://www.eum.go.kr/web/ar/lu/luLandDet.jsp?pnu=4311325031112970000&amp;isNoScr=script&amp;mode=search", "토지이음")</f>
        <v/>
      </c>
      <c r="O1189" s="3" t="inlineStr">
        <is>
          <t>광장</t>
        </is>
      </c>
      <c r="P1189" s="4" t="n">
        <v>1</v>
      </c>
      <c r="Q1189" s="4" t="n">
        <v>421.4</v>
      </c>
      <c r="R1189" s="3" t="inlineStr">
        <is>
          <t>지정되지않음</t>
        </is>
      </c>
      <c r="S1189" s="3" t="inlineStr">
        <is>
          <t>상업기타</t>
        </is>
      </c>
      <c r="T1189" s="3" t="inlineStr">
        <is>
          <t>평지</t>
        </is>
      </c>
      <c r="U1189" s="3" t="inlineStr">
        <is>
          <t>가로장방</t>
        </is>
      </c>
      <c r="V1189" s="3" t="inlineStr">
        <is>
          <t>중로각지</t>
        </is>
      </c>
    </row>
    <row r="1190">
      <c r="A1190" s="3" t="inlineStr">
        <is>
          <t>오송읍 봉산리 1298</t>
        </is>
      </c>
      <c r="B1190" s="3" t="inlineStr">
        <is>
          <t>일반상업지역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420000</v>
      </c>
      <c r="G1190" s="4" t="n">
        <v>1164</v>
      </c>
      <c r="H1190" s="4" t="n">
        <v>352</v>
      </c>
      <c r="I1190" s="5" t="n">
        <v>1193.2</v>
      </c>
      <c r="J1190" s="5" t="n">
        <v>585.5</v>
      </c>
      <c r="K1190" s="3" t="inlineStr">
        <is>
          <t>삼면 코너각지 소송2산단 오송역주변 상권 010 3022 3841</t>
        </is>
      </c>
      <c r="L1190" s="6">
        <f>HYPERLINK("https://fin.land.naver.com/articles/2651087997", "매물Link")</f>
        <v/>
      </c>
      <c r="M1190" s="6">
        <f>HYPERLINK("https://map.naver.com/p/search/오송읍 봉산리 1298", "지도Link")</f>
        <v/>
      </c>
      <c r="N1190" s="6">
        <f>HYPERLINK("http://www.eum.go.kr/web/ar/lu/luLandDet.jsp?pnu=4311325031112980000&amp;isNoScr=script&amp;mode=search", "토지이음")</f>
        <v/>
      </c>
      <c r="O1190" s="3" t="inlineStr">
        <is>
          <t>세종스타</t>
        </is>
      </c>
      <c r="P1190" s="4" t="n">
        <v>3</v>
      </c>
      <c r="Q1190" s="4" t="n">
        <v>1164.1</v>
      </c>
      <c r="R1190" s="3" t="inlineStr">
        <is>
          <t>지정되지않음</t>
        </is>
      </c>
      <c r="S1190" s="3" t="inlineStr">
        <is>
          <t>상업기타</t>
        </is>
      </c>
      <c r="T1190" s="3" t="inlineStr">
        <is>
          <t>평지</t>
        </is>
      </c>
      <c r="U1190" s="3" t="inlineStr">
        <is>
          <t>가로장방</t>
        </is>
      </c>
      <c r="V1190" s="3" t="inlineStr">
        <is>
          <t>중로각지</t>
        </is>
      </c>
    </row>
    <row r="1191">
      <c r="A1191" s="3" t="inlineStr">
        <is>
          <t>오송읍 봉산리 1301</t>
        </is>
      </c>
      <c r="B1191" s="3" t="inlineStr">
        <is>
          <t>일반상업지역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456000</v>
      </c>
      <c r="G1191" s="4" t="n">
        <v>1115</v>
      </c>
      <c r="H1191" s="4" t="n">
        <v>337</v>
      </c>
      <c r="I1191" s="5" t="n">
        <v>1353.1</v>
      </c>
      <c r="J1191" s="5" t="n">
        <v>618.2</v>
      </c>
      <c r="K1191" s="3" t="inlineStr">
        <is>
          <t>연제 저수지 앞 상업용지 호텔 개발 추천부지</t>
        </is>
      </c>
      <c r="L1191" s="6">
        <f>HYPERLINK("https://fin.land.naver.com/articles/2648717612", "매물Link")</f>
        <v/>
      </c>
      <c r="M1191" s="6">
        <f>HYPERLINK("https://map.naver.com/p/search/오송읍 봉산리 1301", "지도Link")</f>
        <v/>
      </c>
      <c r="N1191" s="6">
        <f>HYPERLINK("http://www.eum.go.kr/web/ar/lu/luLandDet.jsp?pnu=4311325031113010000&amp;isNoScr=script&amp;mode=search", "토지이음")</f>
        <v/>
      </c>
      <c r="O1191" s="3" t="inlineStr">
        <is>
          <t>(주)마이다스역삼센터</t>
        </is>
      </c>
      <c r="P1191" s="4" t="n">
        <v>1</v>
      </c>
      <c r="Q1191" s="4" t="n">
        <v>1115.2</v>
      </c>
      <c r="R1191" s="3" t="inlineStr">
        <is>
          <t>지정되지않음</t>
        </is>
      </c>
      <c r="S1191" s="3" t="inlineStr">
        <is>
          <t>상업기타</t>
        </is>
      </c>
      <c r="T1191" s="3" t="inlineStr">
        <is>
          <t>평지</t>
        </is>
      </c>
      <c r="U1191" s="3" t="inlineStr">
        <is>
          <t>가로장방</t>
        </is>
      </c>
      <c r="V1191" s="3" t="inlineStr">
        <is>
          <t>중로각지</t>
        </is>
      </c>
    </row>
    <row r="1192">
      <c r="A1192" s="3" t="inlineStr">
        <is>
          <t>오송읍 봉산리 1321</t>
        </is>
      </c>
      <c r="B1192" s="3" t="inlineStr">
        <is>
          <t>일반상업지역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460000</v>
      </c>
      <c r="G1192" s="4" t="n">
        <v>1541</v>
      </c>
      <c r="H1192" s="4" t="n">
        <v>466</v>
      </c>
      <c r="I1192" s="5" t="n">
        <v>987.1</v>
      </c>
      <c r="J1192" s="5" t="n">
        <v>550.1</v>
      </c>
      <c r="K1192" s="3" t="inlineStr">
        <is>
          <t>nan</t>
        </is>
      </c>
      <c r="L1192" s="6">
        <f>HYPERLINK("https://fin.land.naver.com/articles/2650862179", "매물Link")</f>
        <v/>
      </c>
      <c r="M1192" s="6">
        <f>HYPERLINK("https://map.naver.com/p/search/오송읍 봉산리 1321", "지도Link")</f>
        <v/>
      </c>
      <c r="N1192" s="6">
        <f>HYPERLINK("http://www.eum.go.kr/web/ar/lu/luLandDet.jsp?pnu=4311325031113210000&amp;isNoScr=script&amp;mode=search", "토지이음")</f>
        <v/>
      </c>
      <c r="O1192" s="3" t="inlineStr">
        <is>
          <t>프로</t>
        </is>
      </c>
      <c r="P1192" s="4" t="n">
        <v>3</v>
      </c>
      <c r="Q1192" s="4" t="n">
        <v>1541.1</v>
      </c>
      <c r="R1192" s="3" t="inlineStr">
        <is>
          <t>지정되지않음</t>
        </is>
      </c>
      <c r="S1192" s="3" t="inlineStr">
        <is>
          <t>상업기타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중로한면</t>
        </is>
      </c>
    </row>
    <row r="1193">
      <c r="A1193" s="3" t="inlineStr">
        <is>
          <t>오송읍 봉산리 1322</t>
        </is>
      </c>
      <c r="B1193" s="3" t="inlineStr">
        <is>
          <t>일반상업지역</t>
        </is>
      </c>
      <c r="C1193" s="3" t="inlineStr">
        <is>
          <t>주차장</t>
        </is>
      </c>
      <c r="D1193" s="3" t="inlineStr">
        <is>
          <t>주차장</t>
        </is>
      </c>
      <c r="E1193" s="3" t="inlineStr">
        <is>
          <t>월세</t>
        </is>
      </c>
      <c r="F1193" s="4" t="n">
        <v>10000</v>
      </c>
      <c r="G1193" s="4" t="n">
        <v>2435</v>
      </c>
      <c r="H1193" s="4" t="n">
        <v>737</v>
      </c>
      <c r="I1193" s="5" t="n">
        <v>2</v>
      </c>
      <c r="J1193" s="5" t="n">
        <v>295.4</v>
      </c>
      <c r="K1193" s="3" t="inlineStr">
        <is>
          <t>nan</t>
        </is>
      </c>
      <c r="L1193" s="6">
        <f>HYPERLINK("https://fin.land.naver.com/articles/2647590994", "매물Link")</f>
        <v/>
      </c>
      <c r="M1193" s="6">
        <f>HYPERLINK("https://map.naver.com/p/search/오송읍 봉산리 1322", "지도Link")</f>
        <v/>
      </c>
      <c r="N1193" s="6">
        <f>HYPERLINK("http://www.eum.go.kr/web/ar/lu/luLandDet.jsp?pnu=4311325031113220000&amp;isNoScr=script&amp;mode=search", "토지이음")</f>
        <v/>
      </c>
      <c r="O1193" s="3" t="inlineStr">
        <is>
          <t>오송메카</t>
        </is>
      </c>
      <c r="P1193" s="4" t="n">
        <v>1</v>
      </c>
      <c r="Q1193" s="4" t="n">
        <v>2435.1</v>
      </c>
      <c r="R1193" s="3" t="inlineStr">
        <is>
          <t>지정되지않음</t>
        </is>
      </c>
      <c r="S1193" s="3" t="inlineStr">
        <is>
          <t>주차장등</t>
        </is>
      </c>
      <c r="T1193" s="3" t="inlineStr">
        <is>
          <t>평지</t>
        </is>
      </c>
      <c r="U1193" s="3" t="inlineStr">
        <is>
          <t>가로장방</t>
        </is>
      </c>
      <c r="V1193" s="3" t="inlineStr">
        <is>
          <t>중로각지</t>
        </is>
      </c>
    </row>
    <row r="1194">
      <c r="A1194" s="3" t="inlineStr">
        <is>
          <t>오송읍 봉산리 1326</t>
        </is>
      </c>
      <c r="B1194" s="3" t="inlineStr">
        <is>
          <t>일반상업지역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500000</v>
      </c>
      <c r="G1194" s="4" t="n">
        <v>889</v>
      </c>
      <c r="H1194" s="4" t="n">
        <v>269</v>
      </c>
      <c r="I1194" s="5" t="n">
        <v>1858.7</v>
      </c>
      <c r="J1194" s="5" t="n">
        <v>719.3</v>
      </c>
      <c r="K1194" s="3" t="inlineStr">
        <is>
          <t>오송역 인근 일반상업지역 숙박업가능 토지매매개발호재 풍부진입도로 완비</t>
        </is>
      </c>
      <c r="L1194" s="6">
        <f>HYPERLINK("https://fin.land.naver.com/articles/2647637551", "매물Link")</f>
        <v/>
      </c>
      <c r="M1194" s="6">
        <f>HYPERLINK("https://map.naver.com/p/search/오송읍 봉산리 1326", "지도Link")</f>
        <v/>
      </c>
      <c r="N1194" s="6">
        <f>HYPERLINK("http://www.eum.go.kr/web/ar/lu/luLandDet.jsp?pnu=4311325031113260000&amp;isNoScr=script&amp;mode=search", "토지이음")</f>
        <v/>
      </c>
      <c r="O1194" s="3" t="inlineStr">
        <is>
          <t>엠즈앤프라퍼티주식회사</t>
        </is>
      </c>
      <c r="P1194" s="4" t="n">
        <v>1</v>
      </c>
      <c r="Q1194" s="4" t="n">
        <v>889.6</v>
      </c>
      <c r="R1194" s="3" t="inlineStr">
        <is>
          <t>지정되지않음</t>
        </is>
      </c>
      <c r="S1194" s="3" t="inlineStr">
        <is>
          <t>상업기타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광대소각</t>
        </is>
      </c>
    </row>
    <row r="1195">
      <c r="A1195" s="3" t="inlineStr">
        <is>
          <t>오송읍 봉산리 1328</t>
        </is>
      </c>
      <c r="B1195" s="3" t="inlineStr">
        <is>
          <t>일반상업지역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598000</v>
      </c>
      <c r="G1195" s="4" t="n">
        <v>859</v>
      </c>
      <c r="H1195" s="4" t="n">
        <v>260</v>
      </c>
      <c r="I1195" s="5" t="n">
        <v>2300</v>
      </c>
      <c r="J1195" s="5" t="n">
        <v>660.2</v>
      </c>
      <c r="K1195" s="3" t="inlineStr">
        <is>
          <t>오송역 초역세권 4거리코너 급매</t>
        </is>
      </c>
      <c r="L1195" s="6">
        <f>HYPERLINK("https://fin.land.naver.com/articles/2648986889", "매물Link")</f>
        <v/>
      </c>
      <c r="M1195" s="6">
        <f>HYPERLINK("https://map.naver.com/p/search/오송읍 봉산리 1328", "지도Link")</f>
        <v/>
      </c>
      <c r="N1195" s="6">
        <f>HYPERLINK("http://www.eum.go.kr/web/ar/lu/luLandDet.jsp?pnu=4311325031113280000&amp;isNoScr=script&amp;mode=search", "토지이음")</f>
        <v/>
      </c>
      <c r="O1195" s="3" t="inlineStr">
        <is>
          <t>하나</t>
        </is>
      </c>
      <c r="P1195" s="4" t="n">
        <v>1</v>
      </c>
      <c r="Q1195" s="4" t="n">
        <v>858.6</v>
      </c>
      <c r="R1195" s="3" t="inlineStr">
        <is>
          <t>지정되지않음</t>
        </is>
      </c>
      <c r="S1195" s="3" t="inlineStr">
        <is>
          <t>상업기타</t>
        </is>
      </c>
      <c r="T1195" s="3" t="inlineStr">
        <is>
          <t>평지</t>
        </is>
      </c>
      <c r="U1195" s="3" t="inlineStr">
        <is>
          <t>가로장방</t>
        </is>
      </c>
      <c r="V1195" s="3" t="inlineStr">
        <is>
          <t>광대소각</t>
        </is>
      </c>
    </row>
    <row r="1196">
      <c r="A1196" s="3" t="inlineStr">
        <is>
          <t>오송읍 봉산리 1344</t>
        </is>
      </c>
      <c r="B1196" s="3" t="inlineStr">
        <is>
          <t>준주거지역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136400</v>
      </c>
      <c r="G1196" s="4" t="n">
        <v>408</v>
      </c>
      <c r="H1196" s="4" t="n">
        <v>123</v>
      </c>
      <c r="I1196" s="5" t="n">
        <v>1108.9</v>
      </c>
      <c r="J1196" s="5" t="n">
        <v>624.1</v>
      </c>
      <c r="K1196" s="3" t="inlineStr">
        <is>
          <t>준주거지역 대지, 상가주택사옥 부지 최적</t>
        </is>
      </c>
      <c r="L1196" s="6">
        <f>HYPERLINK("https://fin.land.naver.com/articles/2648857608", "매물Link")</f>
        <v/>
      </c>
      <c r="M1196" s="6">
        <f>HYPERLINK("https://map.naver.com/p/search/오송읍 봉산리 1344", "지도Link")</f>
        <v/>
      </c>
      <c r="N1196" s="6">
        <f>HYPERLINK("http://www.eum.go.kr/web/ar/lu/luLandDet.jsp?pnu=4311325031113440000&amp;isNoScr=script&amp;mode=search", "토지이음")</f>
        <v/>
      </c>
      <c r="O1196" s="3" t="inlineStr">
        <is>
          <t>반석원무소</t>
        </is>
      </c>
      <c r="P1196" s="4" t="n">
        <v>1</v>
      </c>
      <c r="Q1196" s="4" t="n">
        <v>408.9</v>
      </c>
      <c r="R1196" s="3" t="inlineStr">
        <is>
          <t>지정되지않음</t>
        </is>
      </c>
      <c r="S1196" s="3" t="inlineStr">
        <is>
          <t>상업기타</t>
        </is>
      </c>
      <c r="T1196" s="3" t="inlineStr">
        <is>
          <t>평지</t>
        </is>
      </c>
      <c r="U1196" s="3" t="inlineStr">
        <is>
          <t>가로장방</t>
        </is>
      </c>
      <c r="V1196" s="3" t="inlineStr">
        <is>
          <t>중로각지</t>
        </is>
      </c>
    </row>
    <row r="1197">
      <c r="A1197" s="3" t="inlineStr">
        <is>
          <t>오송읍 봉산리 1367</t>
        </is>
      </c>
      <c r="B1197" s="3" t="inlineStr">
        <is>
          <t>제1종일반주거지역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41500</v>
      </c>
      <c r="G1197" s="4" t="n">
        <v>244</v>
      </c>
      <c r="H1197" s="4" t="n">
        <v>74</v>
      </c>
      <c r="I1197" s="5" t="n">
        <v>560.8</v>
      </c>
      <c r="J1197" s="5" t="n">
        <v>290</v>
      </c>
      <c r="K1197" s="3" t="inlineStr">
        <is>
          <t>급매 오송역 인근 일반주거지역 3거리 코너 각지 위치 좋은 대지입니다</t>
        </is>
      </c>
      <c r="L1197" s="6">
        <f>HYPERLINK("https://fin.land.naver.com/articles/2650741530", "매물Link")</f>
        <v/>
      </c>
      <c r="M1197" s="6">
        <f>HYPERLINK("https://map.naver.com/p/search/오송읍 봉산리 1367", "지도Link")</f>
        <v/>
      </c>
      <c r="N1197" s="6">
        <f>HYPERLINK("http://www.eum.go.kr/web/ar/lu/luLandDet.jsp?pnu=4311325031113670000&amp;isNoScr=script&amp;mode=search", "토지이음")</f>
        <v/>
      </c>
      <c r="O1197" s="3" t="inlineStr">
        <is>
          <t>스마일세종</t>
        </is>
      </c>
      <c r="P1197" s="4" t="n">
        <v>1</v>
      </c>
      <c r="Q1197" s="4" t="n">
        <v>244.4</v>
      </c>
      <c r="R1197" s="3" t="inlineStr">
        <is>
          <t>지정되지않음</t>
        </is>
      </c>
      <c r="S1197" s="3" t="inlineStr">
        <is>
          <t>주상기타</t>
        </is>
      </c>
      <c r="T1197" s="3" t="inlineStr">
        <is>
          <t>평지</t>
        </is>
      </c>
      <c r="U1197" s="3" t="inlineStr">
        <is>
          <t>세로장방</t>
        </is>
      </c>
      <c r="V1197" s="3" t="inlineStr">
        <is>
          <t>소로각지</t>
        </is>
      </c>
    </row>
    <row r="1198">
      <c r="A1198" s="3" t="inlineStr">
        <is>
          <t>오송읍 봉산리 1375</t>
        </is>
      </c>
      <c r="B1198" s="3" t="inlineStr">
        <is>
          <t>제1종일반주거지역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30000</v>
      </c>
      <c r="G1198" s="4" t="n">
        <v>239</v>
      </c>
      <c r="H1198" s="4" t="n">
        <v>72</v>
      </c>
      <c r="I1198" s="5" t="n">
        <v>416.7</v>
      </c>
      <c r="J1198" s="5" t="n">
        <v>207.9</v>
      </c>
      <c r="K1198" s="3" t="inlineStr">
        <is>
          <t>오송역 인근 초 급매 단독주택용지</t>
        </is>
      </c>
      <c r="L1198" s="6">
        <f>HYPERLINK("https://fin.land.naver.com/articles/2649136086", "매물Link")</f>
        <v/>
      </c>
      <c r="M1198" s="6">
        <f>HYPERLINK("https://map.naver.com/p/search/오송읍 봉산리 1375", "지도Link")</f>
        <v/>
      </c>
      <c r="N1198" s="6">
        <f>HYPERLINK("http://www.eum.go.kr/web/ar/lu/luLandDet.jsp?pnu=4311325031113750000&amp;isNoScr=script&amp;mode=search", "토지이음")</f>
        <v/>
      </c>
      <c r="O1198" s="3" t="inlineStr">
        <is>
          <t>청주원</t>
        </is>
      </c>
      <c r="P1198" s="4" t="n">
        <v>2</v>
      </c>
      <c r="Q1198" s="4" t="n">
        <v>239.5</v>
      </c>
      <c r="R1198" s="3" t="inlineStr">
        <is>
          <t>지정되지않음</t>
        </is>
      </c>
      <c r="S1198" s="3" t="inlineStr">
        <is>
          <t>주거기타</t>
        </is>
      </c>
      <c r="T1198" s="3" t="inlineStr">
        <is>
          <t>평지</t>
        </is>
      </c>
      <c r="U1198" s="3" t="inlineStr">
        <is>
          <t>세로장방</t>
        </is>
      </c>
      <c r="V1198" s="3" t="inlineStr">
        <is>
          <t>소로한면</t>
        </is>
      </c>
    </row>
    <row r="1199">
      <c r="A1199" s="3" t="inlineStr">
        <is>
          <t>오송읍 봉산리 1415</t>
        </is>
      </c>
      <c r="B1199" s="3" t="inlineStr">
        <is>
          <t>제1종일반주거지역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42000</v>
      </c>
      <c r="G1199" s="4" t="n">
        <v>244</v>
      </c>
      <c r="H1199" s="4" t="n">
        <v>74</v>
      </c>
      <c r="I1199" s="5" t="n">
        <v>567.6</v>
      </c>
      <c r="J1199" s="5" t="n">
        <v>207.9</v>
      </c>
      <c r="K1199" s="3" t="inlineStr">
        <is>
          <t>오송2산단 상가 주택부지 입니다 남향</t>
        </is>
      </c>
      <c r="L1199" s="6">
        <f>HYPERLINK("https://fin.land.naver.com/articles/2648085242", "매물Link")</f>
        <v/>
      </c>
      <c r="M1199" s="6">
        <f>HYPERLINK("https://map.naver.com/p/search/오송읍 봉산리 1415", "지도Link")</f>
        <v/>
      </c>
      <c r="N1199" s="6">
        <f>HYPERLINK("http://www.eum.go.kr/web/ar/lu/luLandDet.jsp?pnu=4311325031114150000&amp;isNoScr=script&amp;mode=search", "토지이음")</f>
        <v/>
      </c>
      <c r="O1199" s="3" t="inlineStr">
        <is>
          <t>365</t>
        </is>
      </c>
      <c r="P1199" s="4" t="n">
        <v>1</v>
      </c>
      <c r="Q1199" s="4" t="n">
        <v>244</v>
      </c>
      <c r="R1199" s="3" t="inlineStr">
        <is>
          <t>지정되지않음</t>
        </is>
      </c>
      <c r="S1199" s="3" t="inlineStr">
        <is>
          <t>주거기타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오송읍 봉산리 1417</t>
        </is>
      </c>
      <c r="B1200" s="3" t="inlineStr">
        <is>
          <t>제1종일반주거지역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39000</v>
      </c>
      <c r="G1200" s="4" t="n">
        <v>244</v>
      </c>
      <c r="H1200" s="4" t="n">
        <v>74</v>
      </c>
      <c r="I1200" s="5" t="n">
        <v>527</v>
      </c>
      <c r="J1200" s="5" t="n">
        <v>207.9</v>
      </c>
      <c r="K1200" s="3" t="inlineStr">
        <is>
          <t>오송역도보 10여분거리, 오송역대광1차아파트와 근거리, 남향</t>
        </is>
      </c>
      <c r="L1200" s="6">
        <f>HYPERLINK("https://fin.land.naver.com/articles/2648561393", "매물Link")</f>
        <v/>
      </c>
      <c r="M1200" s="6">
        <f>HYPERLINK("https://map.naver.com/p/search/오송읍 봉산리 1417", "지도Link")</f>
        <v/>
      </c>
      <c r="N1200" s="6">
        <f>HYPERLINK("http://www.eum.go.kr/web/ar/lu/luLandDet.jsp?pnu=4311325031114170000&amp;isNoScr=script&amp;mode=search", "토지이음")</f>
        <v/>
      </c>
      <c r="O1200" s="3" t="inlineStr">
        <is>
          <t>서한단지내114</t>
        </is>
      </c>
      <c r="P1200" s="4" t="n">
        <v>2</v>
      </c>
      <c r="Q1200" s="4" t="n">
        <v>244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봉산리 796</t>
        </is>
      </c>
      <c r="B1201" s="3" t="inlineStr">
        <is>
          <t>제1종일반주거지역</t>
        </is>
      </c>
      <c r="C1201" s="3" t="inlineStr">
        <is>
          <t>주차장</t>
        </is>
      </c>
      <c r="D1201" s="3" t="inlineStr">
        <is>
          <t>주차장</t>
        </is>
      </c>
      <c r="E1201" s="3" t="inlineStr">
        <is>
          <t>매매</t>
        </is>
      </c>
      <c r="F1201" s="4" t="n">
        <v>150000</v>
      </c>
      <c r="G1201" s="4" t="n">
        <v>1039</v>
      </c>
      <c r="H1201" s="4" t="n">
        <v>314</v>
      </c>
      <c r="I1201" s="5" t="n">
        <v>477.7</v>
      </c>
      <c r="J1201" s="5" t="n">
        <v>207.4</v>
      </c>
      <c r="K1201" s="3" t="inlineStr">
        <is>
          <t>아파트 학교옆 인프라좋고 편의시설주변 주차장용지로 모든업종가능</t>
        </is>
      </c>
      <c r="L1201" s="6">
        <f>HYPERLINK("https://fin.land.naver.com/articles/2647244026", "매물Link")</f>
        <v/>
      </c>
      <c r="M1201" s="6">
        <f>HYPERLINK("https://map.naver.com/p/search/오송읍 봉산리 796", "지도Link")</f>
        <v/>
      </c>
      <c r="N1201" s="6">
        <f>HYPERLINK("http://www.eum.go.kr/web/ar/lu/luLandDet.jsp?pnu=4311325031107960000&amp;isNoScr=script&amp;mode=search", "토지이음")</f>
        <v/>
      </c>
      <c r="O1201" s="3" t="inlineStr">
        <is>
          <t>하림</t>
        </is>
      </c>
      <c r="P1201" s="4" t="n">
        <v>1</v>
      </c>
      <c r="Q1201" s="4" t="n">
        <v>1039.2</v>
      </c>
      <c r="R1201" s="3" t="inlineStr">
        <is>
          <t>지정되지않음</t>
        </is>
      </c>
      <c r="S1201" s="3" t="inlineStr">
        <is>
          <t>주차장등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중로각지</t>
        </is>
      </c>
    </row>
    <row r="1202">
      <c r="A1202" s="3" t="inlineStr">
        <is>
          <t>오송읍 봉산리 853</t>
        </is>
      </c>
      <c r="B1202" s="3" t="inlineStr">
        <is>
          <t>제1종일반주거지역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45000</v>
      </c>
      <c r="G1202" s="4" t="n">
        <v>276</v>
      </c>
      <c r="H1202" s="4" t="n">
        <v>83</v>
      </c>
      <c r="I1202" s="5" t="n">
        <v>542.2</v>
      </c>
      <c r="J1202" s="5" t="n">
        <v>205.7</v>
      </c>
      <c r="K1202" s="3" t="inlineStr">
        <is>
          <t>솔미초 인근 다가구용 토지 매매</t>
        </is>
      </c>
      <c r="L1202" s="6">
        <f>HYPERLINK("https://fin.land.naver.com/articles/2650364095", "매물Link")</f>
        <v/>
      </c>
      <c r="M1202" s="6">
        <f>HYPERLINK("https://map.naver.com/p/search/오송읍 봉산리 853", "지도Link")</f>
        <v/>
      </c>
      <c r="N1202" s="6">
        <f>HYPERLINK("http://www.eum.go.kr/web/ar/lu/luLandDet.jsp?pnu=4311325031108530000&amp;isNoScr=script&amp;mode=search", "토지이음")</f>
        <v/>
      </c>
      <c r="O1202" s="3" t="inlineStr">
        <is>
          <t>광장</t>
        </is>
      </c>
      <c r="P1202" s="4" t="n">
        <v>1</v>
      </c>
      <c r="Q1202" s="4" t="n">
        <v>276.1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오송읍 봉산리 859</t>
        </is>
      </c>
      <c r="B1203" s="3" t="inlineStr">
        <is>
          <t>제1종일반주거지역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40000</v>
      </c>
      <c r="G1203" s="4" t="n">
        <v>280</v>
      </c>
      <c r="H1203" s="4" t="n">
        <v>85</v>
      </c>
      <c r="I1203" s="5" t="n">
        <v>470.6</v>
      </c>
      <c r="J1203" s="5" t="n">
        <v>205.7</v>
      </c>
      <c r="K1203" s="3" t="inlineStr">
        <is>
          <t>수익율 좋은 다가구주택 건축하여 건물주님 되어보기</t>
        </is>
      </c>
      <c r="L1203" s="6">
        <f>HYPERLINK("https://fin.land.naver.com/articles/2650859358", "매물Link")</f>
        <v/>
      </c>
      <c r="M1203" s="6">
        <f>HYPERLINK("https://map.naver.com/p/search/오송읍 봉산리 859", "지도Link")</f>
        <v/>
      </c>
      <c r="N1203" s="6">
        <f>HYPERLINK("http://www.eum.go.kr/web/ar/lu/luLandDet.jsp?pnu=4311325031108590000&amp;isNoScr=script&amp;mode=search", "토지이음")</f>
        <v/>
      </c>
      <c r="O1203" s="3" t="inlineStr">
        <is>
          <t>프로</t>
        </is>
      </c>
      <c r="P1203" s="4" t="n">
        <v>1</v>
      </c>
      <c r="Q1203" s="4" t="n">
        <v>280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소로한면</t>
        </is>
      </c>
    </row>
    <row r="1204">
      <c r="A1204" s="3" t="inlineStr">
        <is>
          <t>오송읍 봉산리 872</t>
        </is>
      </c>
      <c r="B1204" s="3" t="inlineStr">
        <is>
          <t>제1종일반주거지역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49000</v>
      </c>
      <c r="G1204" s="4" t="n">
        <v>271</v>
      </c>
      <c r="H1204" s="4" t="n">
        <v>82</v>
      </c>
      <c r="I1204" s="5" t="n">
        <v>597.6</v>
      </c>
      <c r="J1204" s="5" t="n">
        <v>236</v>
      </c>
      <c r="K1204" s="3" t="inlineStr">
        <is>
          <t>다가구주택용 대지, 임대세대 구성하기 좋은 면적</t>
        </is>
      </c>
      <c r="L1204" s="6">
        <f>HYPERLINK("https://fin.land.naver.com/articles/2651430081", "매물Link")</f>
        <v/>
      </c>
      <c r="M1204" s="6">
        <f>HYPERLINK("https://map.naver.com/p/search/오송읍 봉산리 872", "지도Link")</f>
        <v/>
      </c>
      <c r="N1204" s="6">
        <f>HYPERLINK("http://www.eum.go.kr/web/ar/lu/luLandDet.jsp?pnu=4311325031108720000&amp;isNoScr=script&amp;mode=search", "토지이음")</f>
        <v/>
      </c>
      <c r="O1204" s="3" t="inlineStr">
        <is>
          <t>광장</t>
        </is>
      </c>
      <c r="P1204" s="4" t="n">
        <v>1</v>
      </c>
      <c r="Q1204" s="4" t="n">
        <v>271.2</v>
      </c>
      <c r="R1204" s="3" t="inlineStr">
        <is>
          <t>지정되지않음</t>
        </is>
      </c>
      <c r="S1204" s="3" t="inlineStr">
        <is>
          <t>주상기타</t>
        </is>
      </c>
      <c r="T1204" s="3" t="inlineStr">
        <is>
          <t>평지</t>
        </is>
      </c>
      <c r="U1204" s="3" t="inlineStr">
        <is>
          <t>세로장방</t>
        </is>
      </c>
      <c r="V1204" s="3" t="inlineStr">
        <is>
          <t>소로한면</t>
        </is>
      </c>
    </row>
    <row r="1205">
      <c r="A1205" s="3" t="inlineStr">
        <is>
          <t>오송읍 봉산리 888</t>
        </is>
      </c>
      <c r="B1205" s="3" t="inlineStr">
        <is>
          <t>제1종일반주거지역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60000</v>
      </c>
      <c r="G1205" s="4" t="n">
        <v>252</v>
      </c>
      <c r="H1205" s="4" t="n">
        <v>76</v>
      </c>
      <c r="I1205" s="5" t="n">
        <v>789.5</v>
      </c>
      <c r="J1205" s="5" t="n">
        <v>291</v>
      </c>
      <c r="K1205" s="3" t="inlineStr">
        <is>
          <t>오송 철도국가산단 수혜 핵심 입지</t>
        </is>
      </c>
      <c r="L1205" s="6">
        <f>HYPERLINK("https://fin.land.naver.com/articles/2648559186", "매물Link")</f>
        <v/>
      </c>
      <c r="M1205" s="6">
        <f>HYPERLINK("https://map.naver.com/p/search/오송읍 봉산리 888", "지도Link")</f>
        <v/>
      </c>
      <c r="N1205" s="6">
        <f>HYPERLINK("http://www.eum.go.kr/web/ar/lu/luLandDet.jsp?pnu=4311325031108880000&amp;isNoScr=script&amp;mode=search", "토지이음")</f>
        <v/>
      </c>
      <c r="O1205" s="3" t="inlineStr">
        <is>
          <t>복덩이</t>
        </is>
      </c>
      <c r="P1205" s="4" t="n">
        <v>1</v>
      </c>
      <c r="Q1205" s="4" t="n">
        <v>252.1</v>
      </c>
      <c r="R1205" s="3" t="inlineStr">
        <is>
          <t>지정되지않음</t>
        </is>
      </c>
      <c r="S1205" s="3" t="inlineStr">
        <is>
          <t>주상기타</t>
        </is>
      </c>
      <c r="T1205" s="3" t="inlineStr">
        <is>
          <t>평지</t>
        </is>
      </c>
      <c r="U1205" s="3" t="inlineStr">
        <is>
          <t>세로장방</t>
        </is>
      </c>
      <c r="V1205" s="3" t="inlineStr">
        <is>
          <t>중로각지</t>
        </is>
      </c>
    </row>
    <row r="1206">
      <c r="A1206" s="3" t="inlineStr">
        <is>
          <t>오송읍 봉산리 949</t>
        </is>
      </c>
      <c r="B1206" s="3" t="inlineStr">
        <is>
          <t>제1종일반주거지역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42000</v>
      </c>
      <c r="G1206" s="4" t="n">
        <v>271</v>
      </c>
      <c r="H1206" s="4" t="n">
        <v>82</v>
      </c>
      <c r="I1206" s="5" t="n">
        <v>512.2</v>
      </c>
      <c r="J1206" s="5" t="n">
        <v>236</v>
      </c>
      <c r="K1206" s="3" t="inlineStr">
        <is>
          <t>공실없는 지역,확보된 임차인,안적정인 임대수익을 누릴수 있어요</t>
        </is>
      </c>
      <c r="L1206" s="6">
        <f>HYPERLINK("https://fin.land.naver.com/articles/2651115581", "매물Link")</f>
        <v/>
      </c>
      <c r="M1206" s="6">
        <f>HYPERLINK("https://map.naver.com/p/search/오송읍 봉산리 949", "지도Link")</f>
        <v/>
      </c>
      <c r="N1206" s="6">
        <f>HYPERLINK("http://www.eum.go.kr/web/ar/lu/luLandDet.jsp?pnu=4311325031109490000&amp;isNoScr=script&amp;mode=search", "토지이음")</f>
        <v/>
      </c>
      <c r="O1206" s="3" t="inlineStr">
        <is>
          <t>오송2단지창조</t>
        </is>
      </c>
      <c r="P1206" s="4" t="n">
        <v>1</v>
      </c>
      <c r="Q1206" s="4" t="n">
        <v>271</v>
      </c>
      <c r="R1206" s="3" t="inlineStr">
        <is>
          <t>지정되지않음</t>
        </is>
      </c>
      <c r="S1206" s="3" t="inlineStr">
        <is>
          <t>주상기타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소로한면</t>
        </is>
      </c>
    </row>
    <row r="1207">
      <c r="A1207" s="3" t="inlineStr">
        <is>
          <t>오송읍 봉산리 978</t>
        </is>
      </c>
      <c r="B1207" s="3" t="inlineStr">
        <is>
          <t>일반상업지역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353000</v>
      </c>
      <c r="G1207" s="4" t="n">
        <v>1295</v>
      </c>
      <c r="H1207" s="4" t="n">
        <v>392</v>
      </c>
      <c r="I1207" s="5" t="n">
        <v>900.5</v>
      </c>
      <c r="J1207" s="5" t="n">
        <v>585.5</v>
      </c>
      <c r="K1207" s="3" t="inlineStr">
        <is>
          <t>오송읍 봉산리 상업용지 매매</t>
        </is>
      </c>
      <c r="L1207" s="6">
        <f>HYPERLINK("https://fin.land.naver.com/articles/2650259873", "매물Link")</f>
        <v/>
      </c>
      <c r="M1207" s="6">
        <f>HYPERLINK("https://map.naver.com/p/search/오송읍 봉산리 978", "지도Link")</f>
        <v/>
      </c>
      <c r="N1207" s="6">
        <f>HYPERLINK("http://www.eum.go.kr/web/ar/lu/luLandDet.jsp?pnu=4311325031109780000&amp;isNoScr=script&amp;mode=search", "토지이음")</f>
        <v/>
      </c>
      <c r="O1207" s="3" t="inlineStr">
        <is>
          <t>일등</t>
        </is>
      </c>
      <c r="P1207" s="4" t="n">
        <v>1</v>
      </c>
      <c r="Q1207" s="4" t="n">
        <v>1295.6</v>
      </c>
      <c r="R1207" s="3" t="inlineStr">
        <is>
          <t>지정되지않음</t>
        </is>
      </c>
      <c r="S1207" s="3" t="inlineStr">
        <is>
          <t>상업기타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중로각지</t>
        </is>
      </c>
    </row>
    <row r="1208">
      <c r="A1208" s="3" t="inlineStr">
        <is>
          <t>오송읍 봉산리 986</t>
        </is>
      </c>
      <c r="B1208" s="3" t="inlineStr">
        <is>
          <t>일반상업지역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347900</v>
      </c>
      <c r="G1208" s="4" t="n">
        <v>821</v>
      </c>
      <c r="H1208" s="4" t="n">
        <v>248</v>
      </c>
      <c r="I1208" s="5" t="n">
        <v>1402.8</v>
      </c>
      <c r="J1208" s="5" t="n">
        <v>585.5</v>
      </c>
      <c r="K1208" s="3" t="inlineStr">
        <is>
          <t>상권 형성 초입, 선점 가능한 상업용지 개발수혜가 기대되는 땅</t>
        </is>
      </c>
      <c r="L1208" s="6">
        <f>HYPERLINK("https://fin.land.naver.com/articles/2646874573", "매물Link")</f>
        <v/>
      </c>
      <c r="M1208" s="6">
        <f>HYPERLINK("https://map.naver.com/p/search/오송읍 봉산리 986", "지도Link")</f>
        <v/>
      </c>
      <c r="N1208" s="6">
        <f>HYPERLINK("http://www.eum.go.kr/web/ar/lu/luLandDet.jsp?pnu=4311325031109860000&amp;isNoScr=script&amp;mode=search", "토지이음")</f>
        <v/>
      </c>
      <c r="O1208" s="3" t="inlineStr">
        <is>
          <t>우영</t>
        </is>
      </c>
      <c r="P1208" s="4" t="n">
        <v>1</v>
      </c>
      <c r="Q1208" s="4" t="n">
        <v>821.6</v>
      </c>
      <c r="R1208" s="3" t="inlineStr">
        <is>
          <t>지정되지않음</t>
        </is>
      </c>
      <c r="S1208" s="3" t="inlineStr">
        <is>
          <t>상업기타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중로각지</t>
        </is>
      </c>
    </row>
    <row r="1209">
      <c r="A1209" s="3" t="inlineStr">
        <is>
          <t>오송읍 상봉리 114-3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25000</v>
      </c>
      <c r="G1209" s="4" t="n">
        <v>602</v>
      </c>
      <c r="H1209" s="4" t="n">
        <v>182</v>
      </c>
      <c r="I1209" s="5" t="n">
        <v>137.4</v>
      </c>
      <c r="J1209" s="5" t="n">
        <v>48.7</v>
      </c>
      <c r="K1209" s="3" t="inlineStr">
        <is>
          <t>오송읍 전원주택지 매매</t>
        </is>
      </c>
      <c r="L1209" s="6">
        <f>HYPERLINK("https://fin.land.naver.com/articles/2648188603", "매물Link")</f>
        <v/>
      </c>
      <c r="M1209" s="6">
        <f>HYPERLINK("https://map.naver.com/p/search/오송읍 상봉리 114-3", "지도Link")</f>
        <v/>
      </c>
      <c r="N1209" s="6">
        <f>HYPERLINK("http://www.eum.go.kr/web/ar/lu/luLandDet.jsp?pnu=4311325033101140003&amp;isNoScr=script&amp;mode=search", "토지이음")</f>
        <v/>
      </c>
      <c r="O1209" s="3" t="inlineStr">
        <is>
          <t>학사</t>
        </is>
      </c>
      <c r="P1209" s="4" t="n">
        <v>1</v>
      </c>
      <c r="Q1209" s="4" t="n">
        <v>602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세로한면(가)</t>
        </is>
      </c>
    </row>
    <row r="1210">
      <c r="A1210" s="3" t="inlineStr">
        <is>
          <t>오송읍 상봉리 210</t>
        </is>
      </c>
      <c r="B1210" s="3" t="inlineStr">
        <is>
          <t>계획관리지역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100000</v>
      </c>
      <c r="G1210" s="4" t="n">
        <v>3298</v>
      </c>
      <c r="H1210" s="4" t="n">
        <v>998</v>
      </c>
      <c r="I1210" s="5" t="n">
        <v>100.2</v>
      </c>
      <c r="J1210" s="5" t="n">
        <v>34.7</v>
      </c>
      <c r="K1210" s="3" t="inlineStr">
        <is>
          <t>계획관리토지 역세권중장기 투자계획으로우수한 토지 공장 카페 창고 실버타운</t>
        </is>
      </c>
      <c r="L1210" s="6">
        <f>HYPERLINK("https://fin.land.naver.com/articles/2649374986", "매물Link")</f>
        <v/>
      </c>
      <c r="M1210" s="6">
        <f>HYPERLINK("https://map.naver.com/p/search/오송읍 상봉리 210", "지도Link")</f>
        <v/>
      </c>
      <c r="N1210" s="6">
        <f>HYPERLINK("http://www.eum.go.kr/web/ar/lu/luLandDet.jsp?pnu=4311325033102100000&amp;isNoScr=script&amp;mode=search", "토지이음")</f>
        <v/>
      </c>
      <c r="O1210" s="3" t="inlineStr">
        <is>
          <t>하림</t>
        </is>
      </c>
      <c r="P1210" s="4" t="n">
        <v>1</v>
      </c>
      <c r="Q1210" s="4" t="n">
        <v>3298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세로각지(가)</t>
        </is>
      </c>
    </row>
    <row r="1211">
      <c r="A1211" s="3" t="inlineStr">
        <is>
          <t>오송읍 상봉리 240-4</t>
        </is>
      </c>
      <c r="B1211" s="3" t="inlineStr">
        <is>
          <t>계획관리지역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200000</v>
      </c>
      <c r="G1211" s="4" t="n">
        <v>1896</v>
      </c>
      <c r="H1211" s="4" t="n">
        <v>574</v>
      </c>
      <c r="I1211" s="5" t="n">
        <v>348.4</v>
      </c>
      <c r="J1211" s="5" t="n">
        <v>45</v>
      </c>
      <c r="K1211" s="3" t="inlineStr">
        <is>
          <t>2차선도로 및 3면이 포장도로에 접한 직사각형 모양의 계획관리지역의 전</t>
        </is>
      </c>
      <c r="L1211" s="6">
        <f>HYPERLINK("https://fin.land.naver.com/articles/2646618646", "매물Link")</f>
        <v/>
      </c>
      <c r="M1211" s="6">
        <f>HYPERLINK("https://map.naver.com/p/search/오송읍 상봉리 240-4", "지도Link")</f>
        <v/>
      </c>
      <c r="N1211" s="6">
        <f>HYPERLINK("http://www.eum.go.kr/web/ar/lu/luLandDet.jsp?pnu=4311325033102400004&amp;isNoScr=script&amp;mode=search", "토지이음")</f>
        <v/>
      </c>
      <c r="O1211" s="3" t="inlineStr">
        <is>
          <t>스마일세종</t>
        </is>
      </c>
      <c r="P1211" s="4" t="n">
        <v>1</v>
      </c>
      <c r="Q1211" s="4" t="n">
        <v>1896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소로한면</t>
        </is>
      </c>
    </row>
    <row r="1212">
      <c r="A1212" s="3" t="inlineStr">
        <is>
          <t>오송읍 상봉리 359-3</t>
        </is>
      </c>
      <c r="B1212" s="3" t="inlineStr">
        <is>
          <t>농림지역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25000</v>
      </c>
      <c r="G1212" s="4" t="n">
        <v>2008</v>
      </c>
      <c r="H1212" s="4" t="n">
        <v>607</v>
      </c>
      <c r="I1212" s="5" t="n">
        <v>41.2</v>
      </c>
      <c r="J1212" s="5" t="n">
        <v>21.5</v>
      </c>
      <c r="K1212" s="3" t="inlineStr">
        <is>
          <t>밴처밸리,오송2산단 차량3분 대토 과수원 농가주택 창고등 추천</t>
        </is>
      </c>
      <c r="L1212" s="6">
        <f>HYPERLINK("https://fin.land.naver.com/articles/2649259041", "매물Link")</f>
        <v/>
      </c>
      <c r="M1212" s="6">
        <f>HYPERLINK("https://map.naver.com/p/search/오송읍 상봉리 359-3", "지도Link")</f>
        <v/>
      </c>
      <c r="N1212" s="6">
        <f>HYPERLINK("http://www.eum.go.kr/web/ar/lu/luLandDet.jsp?pnu=4311325033103590003&amp;isNoScr=script&amp;mode=search", "토지이음")</f>
        <v/>
      </c>
      <c r="O1212" s="3" t="inlineStr">
        <is>
          <t>신안무소</t>
        </is>
      </c>
      <c r="P1212" s="4" t="n">
        <v>1</v>
      </c>
      <c r="Q1212" s="4" t="n">
        <v>2008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세로각지(가)</t>
        </is>
      </c>
    </row>
    <row r="1213">
      <c r="A1213" s="3" t="inlineStr">
        <is>
          <t>오송읍 상봉리 415-1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26000</v>
      </c>
      <c r="G1213" s="4" t="n">
        <v>1230</v>
      </c>
      <c r="H1213" s="4" t="n">
        <v>372</v>
      </c>
      <c r="I1213" s="5" t="n">
        <v>69.90000000000001</v>
      </c>
      <c r="J1213" s="5" t="n">
        <v>22</v>
      </c>
      <c r="K1213" s="3" t="inlineStr">
        <is>
          <t>농림지역, 도로접함, 영농 및 농가주택 가능</t>
        </is>
      </c>
      <c r="L1213" s="6">
        <f>HYPERLINK("https://fin.land.naver.com/articles/2650488027", "매물Link")</f>
        <v/>
      </c>
      <c r="M1213" s="6">
        <f>HYPERLINK("https://map.naver.com/p/search/오송읍 상봉리 415-1", "지도Link")</f>
        <v/>
      </c>
      <c r="N1213" s="6">
        <f>HYPERLINK("http://www.eum.go.kr/web/ar/lu/luLandDet.jsp?pnu=4311325033104150001&amp;isNoScr=script&amp;mode=search", "토지이음")</f>
        <v/>
      </c>
      <c r="O1213" s="3" t="inlineStr">
        <is>
          <t>세종나라</t>
        </is>
      </c>
      <c r="P1213" s="4" t="n">
        <v>10</v>
      </c>
      <c r="Q1213" s="4" t="n">
        <v>1230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세로한면(가)</t>
        </is>
      </c>
    </row>
    <row r="1214">
      <c r="A1214" s="3" t="inlineStr">
        <is>
          <t>오송읍 상봉리 415-1</t>
        </is>
      </c>
      <c r="B1214" s="3" t="inlineStr">
        <is>
          <t>농림지역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26000</v>
      </c>
      <c r="G1214" s="4" t="n">
        <v>1230</v>
      </c>
      <c r="H1214" s="4" t="n">
        <v>372</v>
      </c>
      <c r="I1214" s="5" t="n">
        <v>69.90000000000001</v>
      </c>
      <c r="J1214" s="5" t="n">
        <v>22</v>
      </c>
      <c r="K1214" s="3" t="inlineStr">
        <is>
          <t>매가 조정하여 매2.6억원 오송 산단주변 농림지역 매매</t>
        </is>
      </c>
      <c r="L1214" s="6">
        <f>HYPERLINK("https://fin.land.naver.com/articles/2651395740", "매물Link")</f>
        <v/>
      </c>
      <c r="M1214" s="6">
        <f>HYPERLINK("https://map.naver.com/p/search/오송읍 상봉리 415-1", "지도Link")</f>
        <v/>
      </c>
      <c r="N1214" s="6">
        <f>HYPERLINK("http://www.eum.go.kr/web/ar/lu/luLandDet.jsp?pnu=4311325033104150001&amp;isNoScr=script&amp;mode=search", "토지이음")</f>
        <v/>
      </c>
      <c r="O1214" s="3" t="inlineStr">
        <is>
          <t>로데오상가</t>
        </is>
      </c>
      <c r="P1214" s="4" t="n">
        <v>1</v>
      </c>
      <c r="Q1214" s="4" t="n">
        <v>1230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세로한면(가)</t>
        </is>
      </c>
    </row>
    <row r="1215">
      <c r="A1215" s="3" t="inlineStr">
        <is>
          <t>오송읍 상봉리 98-15</t>
        </is>
      </c>
      <c r="B1215" s="3" t="inlineStr">
        <is>
          <t>생산관리지역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35500</v>
      </c>
      <c r="G1215" s="4" t="n">
        <v>1468</v>
      </c>
      <c r="H1215" s="4" t="n">
        <v>444</v>
      </c>
      <c r="I1215" s="5" t="n">
        <v>80</v>
      </c>
      <c r="J1215" s="5" t="n">
        <v>26.4</v>
      </c>
      <c r="K1215" s="3" t="inlineStr">
        <is>
          <t>신축, 경작, 투자하기 좋은 토지</t>
        </is>
      </c>
      <c r="L1215" s="6">
        <f>HYPERLINK("https://fin.land.naver.com/articles/2650650172", "매물Link")</f>
        <v/>
      </c>
      <c r="M1215" s="6">
        <f>HYPERLINK("https://map.naver.com/p/search/오송읍 상봉리 98-15", "지도Link")</f>
        <v/>
      </c>
      <c r="N1215" s="6">
        <f>HYPERLINK("http://www.eum.go.kr/web/ar/lu/luLandDet.jsp?pnu=4311325033100980015&amp;isNoScr=script&amp;mode=search", "토지이음")</f>
        <v/>
      </c>
      <c r="O1215" s="3" t="inlineStr">
        <is>
          <t>학정</t>
        </is>
      </c>
      <c r="P1215" s="4" t="n">
        <v>1</v>
      </c>
      <c r="Q1215" s="4" t="n">
        <v>1468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세로한면(가)</t>
        </is>
      </c>
    </row>
    <row r="1216">
      <c r="A1216" s="3" t="inlineStr">
        <is>
          <t>오송읍 상정리 149-3</t>
        </is>
      </c>
      <c r="B1216" s="3" t="inlineStr">
        <is>
          <t>농림지역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90000</v>
      </c>
      <c r="G1216" s="4" t="n">
        <v>3028</v>
      </c>
      <c r="H1216" s="4" t="n">
        <v>916</v>
      </c>
      <c r="I1216" s="5" t="n">
        <v>98.3</v>
      </c>
      <c r="J1216" s="5" t="n">
        <v>23</v>
      </c>
      <c r="K1216" s="3" t="inlineStr">
        <is>
          <t>현재 대지660m2, 창고128m2 임대중, 대토,투자추천</t>
        </is>
      </c>
      <c r="L1216" s="6">
        <f>HYPERLINK("https://fin.land.naver.com/articles/2651061331", "매물Link")</f>
        <v/>
      </c>
      <c r="M1216" s="6">
        <f>HYPERLINK("https://map.naver.com/p/search/오송읍 상정리 149-3", "지도Link")</f>
        <v/>
      </c>
      <c r="N1216" s="6">
        <f>HYPERLINK("http://www.eum.go.kr/web/ar/lu/luLandDet.jsp?pnu=4311325022101490003&amp;isNoScr=script&amp;mode=search", "토지이음")</f>
        <v/>
      </c>
      <c r="O1216" s="3" t="inlineStr">
        <is>
          <t>플러스자이합동</t>
        </is>
      </c>
      <c r="P1216" s="4" t="n">
        <v>1</v>
      </c>
      <c r="Q1216" s="4" t="n">
        <v>2368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오송읍 상정리 151-18</t>
        </is>
      </c>
      <c r="B1217" s="3" t="inlineStr">
        <is>
          <t>보전관리지역</t>
        </is>
      </c>
      <c r="C1217" s="3" t="inlineStr">
        <is>
          <t>창고용지</t>
        </is>
      </c>
      <c r="D1217" s="3" t="inlineStr">
        <is>
          <t>창고용지</t>
        </is>
      </c>
      <c r="E1217" s="3" t="inlineStr">
        <is>
          <t>매매</t>
        </is>
      </c>
      <c r="F1217" s="4" t="n">
        <v>40400</v>
      </c>
      <c r="G1217" s="4" t="n">
        <v>666</v>
      </c>
      <c r="H1217" s="4" t="n">
        <v>201</v>
      </c>
      <c r="I1217" s="5" t="n">
        <v>201</v>
      </c>
      <c r="J1217" s="5" t="n">
        <v>70.2</v>
      </c>
      <c r="K1217" s="3" t="inlineStr">
        <is>
          <t>전원주택단지조성된곳 바로인근 화장품단지개발호재</t>
        </is>
      </c>
      <c r="L1217" s="6">
        <f>HYPERLINK("https://fin.land.naver.com/articles/2647609720", "매물Link")</f>
        <v/>
      </c>
      <c r="M1217" s="6">
        <f>HYPERLINK("https://map.naver.com/p/search/오송읍 상정리 151-18", "지도Link")</f>
        <v/>
      </c>
      <c r="N1217" s="6">
        <f>HYPERLINK("http://www.eum.go.kr/web/ar/lu/luLandDet.jsp?pnu=4311325022101510018&amp;isNoScr=script&amp;mode=search", "토지이음")</f>
        <v/>
      </c>
      <c r="O1217" s="3" t="inlineStr">
        <is>
          <t>자이원</t>
        </is>
      </c>
      <c r="P1217" s="4" t="n">
        <v>1</v>
      </c>
      <c r="Q1217" s="4" t="n">
        <v>573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완경사</t>
        </is>
      </c>
      <c r="U1217" s="3" t="inlineStr">
        <is>
          <t>세로장방</t>
        </is>
      </c>
      <c r="V1217" s="3" t="inlineStr">
        <is>
          <t>세로한면(가)</t>
        </is>
      </c>
    </row>
    <row r="1218">
      <c r="A1218" s="3" t="inlineStr">
        <is>
          <t>오송읍 상정리 185-2</t>
        </is>
      </c>
      <c r="B1218" s="3" t="inlineStr">
        <is>
          <t>계획관리지역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61000</v>
      </c>
      <c r="G1218" s="4" t="n">
        <v>1299</v>
      </c>
      <c r="H1218" s="4" t="n">
        <v>393</v>
      </c>
      <c r="I1218" s="5" t="n">
        <v>155.2</v>
      </c>
      <c r="J1218" s="5" t="n">
        <v>38.1</v>
      </c>
      <c r="K1218" s="3" t="inlineStr">
        <is>
          <t>계획관리 화장품단지인근 전원주택개발지 추후공시지가상승예정지 투자적합</t>
        </is>
      </c>
      <c r="L1218" s="6">
        <f>HYPERLINK("https://fin.land.naver.com/articles/2647626107", "매물Link")</f>
        <v/>
      </c>
      <c r="M1218" s="6">
        <f>HYPERLINK("https://map.naver.com/p/search/오송읍 상정리 185-2", "지도Link")</f>
        <v/>
      </c>
      <c r="N1218" s="6">
        <f>HYPERLINK("http://www.eum.go.kr/web/ar/lu/luLandDet.jsp?pnu=4311325022101850002&amp;isNoScr=script&amp;mode=search", "토지이음")</f>
        <v/>
      </c>
      <c r="O1218" s="3" t="inlineStr">
        <is>
          <t>자이원</t>
        </is>
      </c>
      <c r="P1218" s="4" t="n">
        <v>1</v>
      </c>
      <c r="Q1218" s="4" t="n">
        <v>1299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오송읍 상정리 189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130000</v>
      </c>
      <c r="G1219" s="4" t="n">
        <v>1413</v>
      </c>
      <c r="H1219" s="4" t="n">
        <v>427</v>
      </c>
      <c r="I1219" s="5" t="n">
        <v>304.4</v>
      </c>
      <c r="J1219" s="5" t="n">
        <v>84.3</v>
      </c>
      <c r="K1219" s="3" t="inlineStr">
        <is>
          <t>오송읍 2차선 도로접한 계획관리 토지매매</t>
        </is>
      </c>
      <c r="L1219" s="6">
        <f>HYPERLINK("https://fin.land.naver.com/articles/2647592687", "매물Link")</f>
        <v/>
      </c>
      <c r="M1219" s="6">
        <f>HYPERLINK("https://map.naver.com/p/search/오송읍 상정리 189", "지도Link")</f>
        <v/>
      </c>
      <c r="N1219" s="6">
        <f>HYPERLINK("http://www.eum.go.kr/web/ar/lu/luLandDet.jsp?pnu=4311325022101890000&amp;isNoScr=script&amp;mode=search", "토지이음")</f>
        <v/>
      </c>
      <c r="O1219" s="3" t="inlineStr">
        <is>
          <t>대지</t>
        </is>
      </c>
      <c r="P1219" s="4" t="n">
        <v>1</v>
      </c>
      <c r="Q1219" s="4" t="n">
        <v>733</v>
      </c>
      <c r="R1219" s="3" t="inlineStr">
        <is>
          <t>지정되지않음</t>
        </is>
      </c>
      <c r="S1219" s="3" t="inlineStr">
        <is>
          <t>단독</t>
        </is>
      </c>
      <c r="T1219" s="3" t="inlineStr">
        <is>
          <t>평지</t>
        </is>
      </c>
      <c r="U1219" s="3" t="inlineStr">
        <is>
          <t>자루형</t>
        </is>
      </c>
      <c r="V1219" s="3" t="inlineStr">
        <is>
          <t>소로한면</t>
        </is>
      </c>
    </row>
    <row r="1220">
      <c r="A1220" s="3" t="inlineStr">
        <is>
          <t>오송읍 상정리 191-7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86000</v>
      </c>
      <c r="G1220" s="4" t="n">
        <v>1011</v>
      </c>
      <c r="H1220" s="4" t="n">
        <v>306</v>
      </c>
      <c r="I1220" s="5" t="n">
        <v>281</v>
      </c>
      <c r="J1220" s="5" t="n">
        <v>83.59999999999999</v>
      </c>
      <c r="K1220" s="3" t="inlineStr">
        <is>
          <t>2차선 지방도 인접한 계획관리지역의 토지로 근생가능용지</t>
        </is>
      </c>
      <c r="L1220" s="6">
        <f>HYPERLINK("https://fin.land.naver.com/articles/2646745552", "매물Link")</f>
        <v/>
      </c>
      <c r="M1220" s="6">
        <f>HYPERLINK("https://map.naver.com/p/search/오송읍 상정리 191-7", "지도Link")</f>
        <v/>
      </c>
      <c r="N1220" s="6">
        <f>HYPERLINK("http://www.eum.go.kr/web/ar/lu/luLandDet.jsp?pnu=4311325022101910007&amp;isNoScr=script&amp;mode=search", "토지이음")</f>
        <v/>
      </c>
      <c r="O1220" s="3" t="inlineStr">
        <is>
          <t>오송k랜드</t>
        </is>
      </c>
      <c r="P1220" s="4" t="n">
        <v>1</v>
      </c>
      <c r="Q1220" s="4" t="n">
        <v>1011</v>
      </c>
      <c r="R1220" s="3" t="inlineStr">
        <is>
          <t>지정되지않음</t>
        </is>
      </c>
      <c r="S1220" s="3" t="inlineStr">
        <is>
          <t>단독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오송읍 상정리 261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27000</v>
      </c>
      <c r="G1221" s="4" t="n">
        <v>1083</v>
      </c>
      <c r="H1221" s="4" t="n">
        <v>328</v>
      </c>
      <c r="I1221" s="5" t="n">
        <v>82.3</v>
      </c>
      <c r="J1221" s="5" t="n">
        <v>23.3</v>
      </c>
      <c r="K1221" s="3" t="inlineStr">
        <is>
          <t>농림지역</t>
        </is>
      </c>
      <c r="L1221" s="6">
        <f>HYPERLINK("https://fin.land.naver.com/articles/2648107540", "매물Link")</f>
        <v/>
      </c>
      <c r="M1221" s="6">
        <f>HYPERLINK("https://map.naver.com/p/search/오송읍 상정리 261", "지도Link")</f>
        <v/>
      </c>
      <c r="N1221" s="6">
        <f>HYPERLINK("http://www.eum.go.kr/web/ar/lu/luLandDet.jsp?pnu=4311325022102610000&amp;isNoScr=script&amp;mode=search", "토지이음")</f>
        <v/>
      </c>
      <c r="O1221" s="3" t="inlineStr">
        <is>
          <t>수풀림</t>
        </is>
      </c>
      <c r="P1221" s="4" t="n">
        <v>1</v>
      </c>
      <c r="Q1221" s="4" t="n">
        <v>1083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세로한면(가)</t>
        </is>
      </c>
    </row>
    <row r="1222">
      <c r="A1222" s="3" t="inlineStr">
        <is>
          <t>오송읍 상정리 306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42000</v>
      </c>
      <c r="G1222" s="4" t="n">
        <v>1714</v>
      </c>
      <c r="H1222" s="4" t="n">
        <v>518</v>
      </c>
      <c r="I1222" s="5" t="n">
        <v>81.09999999999999</v>
      </c>
      <c r="J1222" s="5" t="n">
        <v>26.1</v>
      </c>
      <c r="K1222" s="3" t="inlineStr">
        <is>
          <t>농림지역 대토권 최적의 입지 농가 주택 가능한 토지 투자가치 뿜뿜</t>
        </is>
      </c>
      <c r="L1222" s="6">
        <f>HYPERLINK("https://fin.land.naver.com/articles/2648907417", "매물Link")</f>
        <v/>
      </c>
      <c r="M1222" s="6">
        <f>HYPERLINK("https://map.naver.com/p/search/오송읍 상정리 306", "지도Link")</f>
        <v/>
      </c>
      <c r="N1222" s="6">
        <f>HYPERLINK("http://www.eum.go.kr/web/ar/lu/luLandDet.jsp?pnu=4311325022103060000&amp;isNoScr=script&amp;mode=search", "토지이음")</f>
        <v/>
      </c>
      <c r="O1222" s="3" t="inlineStr">
        <is>
          <t>오송퍼스트영웅</t>
        </is>
      </c>
      <c r="P1222" s="4" t="n">
        <v>1</v>
      </c>
      <c r="Q1222" s="4" t="n">
        <v>1714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세로한면(불)</t>
        </is>
      </c>
    </row>
    <row r="1223">
      <c r="A1223" s="3" t="inlineStr">
        <is>
          <t>오송읍 상정리 62-2</t>
        </is>
      </c>
      <c r="B1223" s="3" t="inlineStr">
        <is>
          <t>농림지역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58000</v>
      </c>
      <c r="G1223" s="4" t="n">
        <v>647</v>
      </c>
      <c r="H1223" s="4" t="n">
        <v>196</v>
      </c>
      <c r="I1223" s="5" t="n">
        <v>295.9</v>
      </c>
      <c r="J1223" s="5" t="n">
        <v>53.2</v>
      </c>
      <c r="K1223" s="3" t="inlineStr">
        <is>
          <t>농업용 주택부설창고</t>
        </is>
      </c>
      <c r="L1223" s="6">
        <f>HYPERLINK("https://fin.land.naver.com/articles/2650749483", "매물Link")</f>
        <v/>
      </c>
      <c r="M1223" s="6">
        <f>HYPERLINK("https://map.naver.com/p/search/오송읍 상정리 62-2", "지도Link")</f>
        <v/>
      </c>
      <c r="N1223" s="6">
        <f>HYPERLINK("http://www.eum.go.kr/web/ar/lu/luLandDet.jsp?pnu=4311325022100620002&amp;isNoScr=script&amp;mode=search", "토지이음")</f>
        <v/>
      </c>
      <c r="O1223" s="3" t="inlineStr">
        <is>
          <t>현담</t>
        </is>
      </c>
      <c r="P1223" s="4" t="n">
        <v>1</v>
      </c>
      <c r="Q1223" s="4" t="n">
        <v>647</v>
      </c>
      <c r="R1223" s="3" t="inlineStr">
        <is>
          <t>지정되지않음</t>
        </is>
      </c>
      <c r="S1223" s="3" t="inlineStr">
        <is>
          <t>단독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소로한면</t>
        </is>
      </c>
    </row>
    <row r="1224">
      <c r="A1224" s="3" t="inlineStr">
        <is>
          <t>오송읍 상정리 669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36000</v>
      </c>
      <c r="G1224" s="4" t="n">
        <v>507</v>
      </c>
      <c r="H1224" s="4" t="n">
        <v>153</v>
      </c>
      <c r="I1224" s="5" t="n">
        <v>235.3</v>
      </c>
      <c r="J1224" s="5" t="n">
        <v>80.09999999999999</v>
      </c>
      <c r="K1224" s="3" t="inlineStr">
        <is>
          <t>작은주택이 있는 전원주택부지</t>
        </is>
      </c>
      <c r="L1224" s="6">
        <f>HYPERLINK("https://fin.land.naver.com/articles/2649989115", "매물Link")</f>
        <v/>
      </c>
      <c r="M1224" s="6">
        <f>HYPERLINK("https://map.naver.com/p/search/오송읍 상정리 669", "지도Link")</f>
        <v/>
      </c>
      <c r="N1224" s="6">
        <f>HYPERLINK("http://www.eum.go.kr/web/ar/lu/luLandDet.jsp?pnu=4311325022106690000&amp;isNoScr=script&amp;mode=search", "토지이음")</f>
        <v/>
      </c>
      <c r="O1224" s="3" t="inlineStr">
        <is>
          <t>오송2단지창조</t>
        </is>
      </c>
      <c r="P1224" s="4" t="n">
        <v>1</v>
      </c>
      <c r="Q1224" s="4" t="n">
        <v>507.1</v>
      </c>
      <c r="R1224" s="3" t="inlineStr">
        <is>
          <t>지정되지않음</t>
        </is>
      </c>
      <c r="S1224" s="3" t="inlineStr">
        <is>
          <t>주거나지</t>
        </is>
      </c>
      <c r="T1224" s="3" t="inlineStr">
        <is>
          <t>완경사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오송읍 상정리 725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33000</v>
      </c>
      <c r="G1225" s="4" t="n">
        <v>541</v>
      </c>
      <c r="H1225" s="4" t="n">
        <v>164</v>
      </c>
      <c r="I1225" s="5" t="n">
        <v>201.2</v>
      </c>
      <c r="J1225" s="5" t="n">
        <v>80.09999999999999</v>
      </c>
      <c r="K1225" s="3" t="inlineStr">
        <is>
          <t>고급 전원주택 단지 계획관리지역 건폐율60 지역 화장품단지 호재</t>
        </is>
      </c>
      <c r="L1225" s="6">
        <f>HYPERLINK("https://fin.land.naver.com/articles/2649903782", "매물Link")</f>
        <v/>
      </c>
      <c r="M1225" s="6">
        <f>HYPERLINK("https://map.naver.com/p/search/오송읍 상정리 725", "지도Link")</f>
        <v/>
      </c>
      <c r="N1225" s="6">
        <f>HYPERLINK("http://www.eum.go.kr/web/ar/lu/luLandDet.jsp?pnu=4311325022107250000&amp;isNoScr=script&amp;mode=search", "토지이음")</f>
        <v/>
      </c>
      <c r="O1225" s="3" t="inlineStr">
        <is>
          <t>프렌즈</t>
        </is>
      </c>
      <c r="P1225" s="4" t="n">
        <v>1</v>
      </c>
      <c r="Q1225" s="4" t="n">
        <v>541.1</v>
      </c>
      <c r="R1225" s="3" t="inlineStr">
        <is>
          <t>지정되지않음</t>
        </is>
      </c>
      <c r="S1225" s="3" t="inlineStr">
        <is>
          <t>주거나지</t>
        </is>
      </c>
      <c r="T1225" s="3" t="inlineStr">
        <is>
          <t>완경사</t>
        </is>
      </c>
      <c r="U1225" s="3" t="inlineStr">
        <is>
          <t>세로장방</t>
        </is>
      </c>
      <c r="V1225" s="3" t="inlineStr">
        <is>
          <t>세로한면(가)</t>
        </is>
      </c>
    </row>
    <row r="1226">
      <c r="A1226" s="3" t="inlineStr">
        <is>
          <t>오송읍 상정리 751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29000</v>
      </c>
      <c r="G1226" s="4" t="n">
        <v>535</v>
      </c>
      <c r="H1226" s="4" t="n">
        <v>162</v>
      </c>
      <c r="I1226" s="5" t="n">
        <v>179</v>
      </c>
      <c r="J1226" s="5" t="n">
        <v>80.09999999999999</v>
      </c>
      <c r="K1226" s="3" t="inlineStr">
        <is>
          <t>nan</t>
        </is>
      </c>
      <c r="L1226" s="6">
        <f>HYPERLINK("https://fin.land.naver.com/articles/2646062468", "매물Link")</f>
        <v/>
      </c>
      <c r="M1226" s="6">
        <f>HYPERLINK("https://map.naver.com/p/search/오송읍 상정리 751", "지도Link")</f>
        <v/>
      </c>
      <c r="N1226" s="6">
        <f>HYPERLINK("http://www.eum.go.kr/web/ar/lu/luLandDet.jsp?pnu=4311325022107510000&amp;isNoScr=script&amp;mode=search", "토지이음")</f>
        <v/>
      </c>
      <c r="O1226" s="3" t="inlineStr">
        <is>
          <t>OK파라곤</t>
        </is>
      </c>
      <c r="P1226" s="4" t="n">
        <v>1</v>
      </c>
      <c r="Q1226" s="4" t="n">
        <v>535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가로장방</t>
        </is>
      </c>
      <c r="V1226" s="3" t="inlineStr">
        <is>
          <t>세로한면(가)</t>
        </is>
      </c>
    </row>
    <row r="1227">
      <c r="A1227" s="3" t="inlineStr">
        <is>
          <t>오송읍 상정리 79</t>
        </is>
      </c>
      <c r="B1227" s="3" t="inlineStr">
        <is>
          <t>생산관리지역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32000</v>
      </c>
      <c r="G1227" s="4" t="n">
        <v>2383</v>
      </c>
      <c r="H1227" s="4" t="n">
        <v>721</v>
      </c>
      <c r="I1227" s="5" t="n">
        <v>44.4</v>
      </c>
      <c r="J1227" s="5" t="n">
        <v>18</v>
      </c>
      <c r="K1227" s="3" t="inlineStr">
        <is>
          <t>여유를 만끽할 수 있는 토지,  인근전원주택지 개발된 오송화장품 산단 옆</t>
        </is>
      </c>
      <c r="L1227" s="6">
        <f>HYPERLINK("https://fin.land.naver.com/articles/2649495113", "매물Link")</f>
        <v/>
      </c>
      <c r="M1227" s="6">
        <f>HYPERLINK("https://map.naver.com/p/search/오송읍 상정리 79", "지도Link")</f>
        <v/>
      </c>
      <c r="N1227" s="6">
        <f>HYPERLINK("http://www.eum.go.kr/web/ar/lu/luLandDet.jsp?pnu=4311325022100790000&amp;isNoScr=script&amp;mode=search", "토지이음")</f>
        <v/>
      </c>
      <c r="O1227" s="3" t="inlineStr">
        <is>
          <t>OK파라곤</t>
        </is>
      </c>
      <c r="P1227" s="4" t="n">
        <v>1</v>
      </c>
      <c r="Q1227" s="4" t="n">
        <v>2383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세로한면(불)</t>
        </is>
      </c>
    </row>
    <row r="1228">
      <c r="A1228" s="3" t="inlineStr">
        <is>
          <t>오송읍 상정리 89-34</t>
        </is>
      </c>
      <c r="B1228" s="3" t="inlineStr">
        <is>
          <t>보전관리지역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60000</v>
      </c>
      <c r="G1228" s="4" t="n">
        <v>651</v>
      </c>
      <c r="H1228" s="4" t="n">
        <v>197</v>
      </c>
      <c r="I1228" s="5" t="n">
        <v>304.6</v>
      </c>
      <c r="J1228" s="5" t="n">
        <v>76.09999999999999</v>
      </c>
      <c r="K1228" s="3" t="inlineStr">
        <is>
          <t>동물병원</t>
        </is>
      </c>
      <c r="L1228" s="6">
        <f>HYPERLINK("https://fin.land.naver.com/articles/2647651688", "매물Link")</f>
        <v/>
      </c>
      <c r="M1228" s="6">
        <f>HYPERLINK("https://map.naver.com/p/search/오송읍 상정리 89-34", "지도Link")</f>
        <v/>
      </c>
      <c r="N1228" s="6">
        <f>HYPERLINK("http://www.eum.go.kr/web/ar/lu/luLandDet.jsp?pnu=4311325022100890034&amp;isNoScr=script&amp;mode=search", "토지이음")</f>
        <v/>
      </c>
      <c r="O1228" s="3" t="inlineStr">
        <is>
          <t>현담</t>
        </is>
      </c>
      <c r="P1228" s="4" t="n">
        <v>1</v>
      </c>
      <c r="Q1228" s="4" t="n">
        <v>651</v>
      </c>
      <c r="R1228" s="3" t="inlineStr">
        <is>
          <t>지정되지않음</t>
        </is>
      </c>
      <c r="S1228" s="3" t="inlineStr">
        <is>
          <t>주거기타</t>
        </is>
      </c>
      <c r="T1228" s="3" t="inlineStr">
        <is>
          <t>완경사</t>
        </is>
      </c>
      <c r="U1228" s="3" t="inlineStr">
        <is>
          <t>사다리형</t>
        </is>
      </c>
      <c r="V1228" s="3" t="inlineStr">
        <is>
          <t>세로각지(가)</t>
        </is>
      </c>
    </row>
    <row r="1229">
      <c r="A1229" s="3" t="inlineStr">
        <is>
          <t>오송읍 상정리 산55-2</t>
        </is>
      </c>
      <c r="B1229" s="3" t="inlineStr">
        <is>
          <t>보전관리지역</t>
        </is>
      </c>
      <c r="C1229" s="3" t="inlineStr">
        <is>
          <t>임야</t>
        </is>
      </c>
      <c r="D1229" s="3" t="inlineStr">
        <is>
          <t>임야</t>
        </is>
      </c>
      <c r="E1229" s="3" t="inlineStr">
        <is>
          <t>매매</t>
        </is>
      </c>
      <c r="F1229" s="4" t="n">
        <v>31845</v>
      </c>
      <c r="G1229" s="4" t="n">
        <v>637</v>
      </c>
      <c r="H1229" s="4" t="n">
        <v>193</v>
      </c>
      <c r="I1229" s="5" t="n">
        <v>165</v>
      </c>
      <c r="J1229" s="5" t="n">
        <v>74.90000000000001</v>
      </c>
      <c r="K1229" s="3" t="inlineStr">
        <is>
          <t>전원투택용지 화장품단지인근 전원주택마을</t>
        </is>
      </c>
      <c r="L1229" s="6">
        <f>HYPERLINK("https://fin.land.naver.com/articles/2647625447", "매물Link")</f>
        <v/>
      </c>
      <c r="M1229" s="6">
        <f>HYPERLINK("https://map.naver.com/p/search/오송읍 상정리 산55-2", "지도Link")</f>
        <v/>
      </c>
      <c r="N1229" s="6">
        <f>HYPERLINK("http://www.eum.go.kr/web/ar/lu/luLandDet.jsp?pnu=4311325022200550002&amp;isNoScr=script&amp;mode=search", "토지이음")</f>
        <v/>
      </c>
      <c r="O1229" s="3" t="inlineStr">
        <is>
          <t>자이원</t>
        </is>
      </c>
      <c r="P1229" s="4" t="n">
        <v>1</v>
      </c>
      <c r="Q1229" s="4" t="n">
        <v>595</v>
      </c>
      <c r="R1229" s="3" t="inlineStr">
        <is>
          <t>계획관리지역</t>
        </is>
      </c>
      <c r="S1229" s="3" t="inlineStr">
        <is>
          <t>주거나지</t>
        </is>
      </c>
      <c r="T1229" s="3" t="inlineStr">
        <is>
          <t>완경사</t>
        </is>
      </c>
      <c r="U1229" s="3" t="inlineStr">
        <is>
          <t>자루형</t>
        </is>
      </c>
      <c r="V1229" s="3" t="inlineStr">
        <is>
          <t>세로한면(가)</t>
        </is>
      </c>
    </row>
    <row r="1230">
      <c r="A1230" s="3" t="inlineStr">
        <is>
          <t>오송읍 상정리 산55-3</t>
        </is>
      </c>
      <c r="B1230" s="3" t="inlineStr">
        <is>
          <t>보전관리지역</t>
        </is>
      </c>
      <c r="C1230" s="3" t="inlineStr">
        <is>
          <t>임야</t>
        </is>
      </c>
      <c r="D1230" s="3" t="inlineStr">
        <is>
          <t>임야</t>
        </is>
      </c>
      <c r="E1230" s="3" t="inlineStr">
        <is>
          <t>매매</t>
        </is>
      </c>
      <c r="F1230" s="4" t="n">
        <v>30000</v>
      </c>
      <c r="G1230" s="4" t="n">
        <v>555</v>
      </c>
      <c r="H1230" s="4" t="n">
        <v>168</v>
      </c>
      <c r="I1230" s="5" t="n">
        <v>178.6</v>
      </c>
      <c r="J1230" s="5" t="n">
        <v>78.3</v>
      </c>
      <c r="K1230" s="3" t="inlineStr">
        <is>
          <t>nan</t>
        </is>
      </c>
      <c r="L1230" s="6">
        <f>HYPERLINK("https://fin.land.naver.com/articles/2647631044", "매물Link")</f>
        <v/>
      </c>
      <c r="M1230" s="6">
        <f>HYPERLINK("https://map.naver.com/p/search/오송읍 상정리 산55-3", "지도Link")</f>
        <v/>
      </c>
      <c r="N1230" s="6">
        <f>HYPERLINK("http://www.eum.go.kr/web/ar/lu/luLandDet.jsp?pnu=4311325022200550003&amp;isNoScr=script&amp;mode=search", "토지이음")</f>
        <v/>
      </c>
      <c r="O1230" s="3" t="inlineStr">
        <is>
          <t>프로</t>
        </is>
      </c>
      <c r="P1230" s="4" t="n">
        <v>1</v>
      </c>
      <c r="Q1230" s="4" t="n">
        <v>555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완경사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서평리 127</t>
        </is>
      </c>
      <c r="B1231" s="3" t="inlineStr">
        <is>
          <t>농림지역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153000</v>
      </c>
      <c r="G1231" s="4" t="n">
        <v>4225</v>
      </c>
      <c r="H1231" s="4" t="n">
        <v>1278</v>
      </c>
      <c r="I1231" s="5" t="n">
        <v>119.7</v>
      </c>
      <c r="J1231" s="5" t="n">
        <v>59.4</v>
      </c>
      <c r="K1231" s="3" t="inlineStr">
        <is>
          <t>오송제3국가산업단지 개발예정지 도로에 접한 토지</t>
        </is>
      </c>
      <c r="L1231" s="6">
        <f>HYPERLINK("https://fin.land.naver.com/articles/2646007810", "매물Link")</f>
        <v/>
      </c>
      <c r="M1231" s="6">
        <f>HYPERLINK("https://map.naver.com/p/search/오송읍 서평리 127", "지도Link")</f>
        <v/>
      </c>
      <c r="N1231" s="6">
        <f>HYPERLINK("http://www.eum.go.kr/web/ar/lu/luLandDet.jsp?pnu=4311325030101270000&amp;isNoScr=script&amp;mode=search", "토지이음")</f>
        <v/>
      </c>
      <c r="O1231" s="3" t="inlineStr">
        <is>
          <t>세종대박</t>
        </is>
      </c>
      <c r="P1231" s="4" t="n">
        <v>1</v>
      </c>
      <c r="Q1231" s="4" t="n">
        <v>4225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평지</t>
        </is>
      </c>
      <c r="U1231" s="3" t="inlineStr">
        <is>
          <t>세로장방</t>
        </is>
      </c>
      <c r="V1231" s="3" t="inlineStr">
        <is>
          <t>소로각지</t>
        </is>
      </c>
    </row>
    <row r="1232">
      <c r="A1232" s="3" t="inlineStr">
        <is>
          <t>오송읍 서평리 128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144000</v>
      </c>
      <c r="G1232" s="4" t="n">
        <v>3967</v>
      </c>
      <c r="H1232" s="4" t="n">
        <v>1200</v>
      </c>
      <c r="I1232" s="5" t="n">
        <v>120</v>
      </c>
      <c r="J1232" s="5" t="n">
        <v>55.5</v>
      </c>
      <c r="K1232" s="3" t="inlineStr">
        <is>
          <t>오송 제3생명과학 국가산업단지 인접 2차선에 접한 접근성좋은 호재높은토지</t>
        </is>
      </c>
      <c r="L1232" s="6">
        <f>HYPERLINK("https://fin.land.naver.com/articles/2651386258", "매물Link")</f>
        <v/>
      </c>
      <c r="M1232" s="6">
        <f>HYPERLINK("https://map.naver.com/p/search/오송읍 서평리 128", "지도Link")</f>
        <v/>
      </c>
      <c r="N1232" s="6">
        <f>HYPERLINK("http://www.eum.go.kr/web/ar/lu/luLandDet.jsp?pnu=4311325030101280000&amp;isNoScr=script&amp;mode=search", "토지이음")</f>
        <v/>
      </c>
      <c r="O1232" s="3" t="inlineStr">
        <is>
          <t>명지</t>
        </is>
      </c>
      <c r="P1232" s="4" t="n">
        <v>2</v>
      </c>
      <c r="Q1232" s="4" t="n">
        <v>3967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서평리 129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170000</v>
      </c>
      <c r="G1233" s="4" t="n">
        <v>5088</v>
      </c>
      <c r="H1233" s="4" t="n">
        <v>1539</v>
      </c>
      <c r="I1233" s="5" t="n">
        <v>110.5</v>
      </c>
      <c r="J1233" s="5" t="n">
        <v>55.5</v>
      </c>
      <c r="K1233" s="3" t="inlineStr">
        <is>
          <t>오송 제3생명과학 국가산업단지 인근토지, 2차선도로에 접함,두필지,절충</t>
        </is>
      </c>
      <c r="L1233" s="6">
        <f>HYPERLINK("https://fin.land.naver.com/articles/2651207738", "매물Link")</f>
        <v/>
      </c>
      <c r="M1233" s="6">
        <f>HYPERLINK("https://map.naver.com/p/search/오송읍 서평리 129", "지도Link")</f>
        <v/>
      </c>
      <c r="N1233" s="6">
        <f>HYPERLINK("http://www.eum.go.kr/web/ar/lu/luLandDet.jsp?pnu=4311325030101290000&amp;isNoScr=script&amp;mode=search", "토지이음")</f>
        <v/>
      </c>
      <c r="O1233" s="3" t="inlineStr">
        <is>
          <t>금호무소</t>
        </is>
      </c>
      <c r="P1233" s="4" t="n">
        <v>1</v>
      </c>
      <c r="Q1233" s="4" t="n">
        <v>4116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소로한면</t>
        </is>
      </c>
    </row>
    <row r="1234">
      <c r="A1234" s="3" t="inlineStr">
        <is>
          <t>오송읍 서평리 131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140000</v>
      </c>
      <c r="G1234" s="4" t="n">
        <v>4076</v>
      </c>
      <c r="H1234" s="4" t="n">
        <v>1233</v>
      </c>
      <c r="I1234" s="5" t="n">
        <v>113.5</v>
      </c>
      <c r="J1234" s="5" t="n">
        <v>55.5</v>
      </c>
      <c r="K1234" s="3" t="inlineStr">
        <is>
          <t>2차선 지방도변 농지로 오송3산업단지 인접지</t>
        </is>
      </c>
      <c r="L1234" s="6">
        <f>HYPERLINK("https://fin.land.naver.com/articles/2646747475", "매물Link")</f>
        <v/>
      </c>
      <c r="M1234" s="6">
        <f>HYPERLINK("https://map.naver.com/p/search/오송읍 서평리 131", "지도Link")</f>
        <v/>
      </c>
      <c r="N1234" s="6">
        <f>HYPERLINK("http://www.eum.go.kr/web/ar/lu/luLandDet.jsp?pnu=4311325030101310000&amp;isNoScr=script&amp;mode=search", "토지이음")</f>
        <v/>
      </c>
      <c r="O1234" s="3" t="inlineStr">
        <is>
          <t>오송k랜드</t>
        </is>
      </c>
      <c r="P1234" s="4" t="n">
        <v>1</v>
      </c>
      <c r="Q1234" s="4" t="n">
        <v>4076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소로한면</t>
        </is>
      </c>
    </row>
    <row r="1235">
      <c r="A1235" s="3" t="inlineStr">
        <is>
          <t>오송읍 서평리 180-6</t>
        </is>
      </c>
      <c r="B1235" s="3" t="inlineStr">
        <is>
          <t>농림지역</t>
        </is>
      </c>
      <c r="C1235" s="3" t="inlineStr">
        <is>
          <t>창고용지</t>
        </is>
      </c>
      <c r="D1235" s="3" t="inlineStr">
        <is>
          <t>창고용지</t>
        </is>
      </c>
      <c r="E1235" s="3" t="inlineStr">
        <is>
          <t>매매</t>
        </is>
      </c>
      <c r="F1235" s="4" t="n">
        <v>360000</v>
      </c>
      <c r="G1235" s="4" t="n">
        <v>2866</v>
      </c>
      <c r="H1235" s="4" t="n">
        <v>867</v>
      </c>
      <c r="I1235" s="5" t="n">
        <v>415.2</v>
      </c>
      <c r="J1235" s="5" t="n">
        <v>128.3</v>
      </c>
      <c r="K1235" s="3" t="inlineStr">
        <is>
          <t>nan</t>
        </is>
      </c>
      <c r="L1235" s="6">
        <f>HYPERLINK("https://fin.land.naver.com/articles/2650862822", "매물Link")</f>
        <v/>
      </c>
      <c r="M1235" s="6">
        <f>HYPERLINK("https://map.naver.com/p/search/오송읍 서평리 180-6", "지도Link")</f>
        <v/>
      </c>
      <c r="N1235" s="6">
        <f>HYPERLINK("http://www.eum.go.kr/web/ar/lu/luLandDet.jsp?pnu=4311325030101800006&amp;isNoScr=script&amp;mode=search", "토지이음")</f>
        <v/>
      </c>
      <c r="O1235" s="3" t="inlineStr">
        <is>
          <t>프로</t>
        </is>
      </c>
      <c r="P1235" s="4" t="n">
        <v>2</v>
      </c>
      <c r="Q1235" s="4" t="n">
        <v>769</v>
      </c>
      <c r="R1235" s="3" t="inlineStr">
        <is>
          <t>지정되지않음</t>
        </is>
      </c>
      <c r="S1235" s="3" t="inlineStr">
        <is>
          <t>답창고</t>
        </is>
      </c>
      <c r="T1235" s="3" t="inlineStr">
        <is>
          <t>평지</t>
        </is>
      </c>
      <c r="U1235" s="3" t="inlineStr">
        <is>
          <t>가로장방</t>
        </is>
      </c>
      <c r="V1235" s="3" t="inlineStr">
        <is>
          <t>광대로한면</t>
        </is>
      </c>
    </row>
    <row r="1236">
      <c r="A1236" s="3" t="inlineStr">
        <is>
          <t>오송읍 서평리 180-6</t>
        </is>
      </c>
      <c r="B1236" s="3" t="inlineStr">
        <is>
          <t>농림지역</t>
        </is>
      </c>
      <c r="C1236" s="3" t="inlineStr">
        <is>
          <t>창고용지</t>
        </is>
      </c>
      <c r="D1236" s="3" t="inlineStr">
        <is>
          <t>답</t>
        </is>
      </c>
      <c r="E1236" s="3" t="inlineStr">
        <is>
          <t>매매</t>
        </is>
      </c>
      <c r="F1236" s="4" t="n">
        <v>360000</v>
      </c>
      <c r="G1236" s="4" t="n">
        <v>2866</v>
      </c>
      <c r="H1236" s="4" t="n">
        <v>867</v>
      </c>
      <c r="I1236" s="5" t="n">
        <v>415.2</v>
      </c>
      <c r="J1236" s="5" t="n">
        <v>128.3</v>
      </c>
      <c r="K1236" s="3" t="inlineStr">
        <is>
          <t>매물 특징</t>
        </is>
      </c>
      <c r="L1236" s="6">
        <f>HYPERLINK("https://fin.land.naver.com/articles/2647144879", "매물Link")</f>
        <v/>
      </c>
      <c r="M1236" s="6">
        <f>HYPERLINK("https://map.naver.com/p/search/오송읍 서평리 180-6", "지도Link")</f>
        <v/>
      </c>
      <c r="N1236" s="6">
        <f>HYPERLINK("http://www.eum.go.kr/web/ar/lu/luLandDet.jsp?pnu=4311325030101800006&amp;isNoScr=script&amp;mode=search", "토지이음")</f>
        <v/>
      </c>
      <c r="O1236" s="3" t="inlineStr">
        <is>
          <t>오송궁평마을</t>
        </is>
      </c>
      <c r="P1236" s="4" t="n">
        <v>1</v>
      </c>
      <c r="Q1236" s="4" t="n">
        <v>769</v>
      </c>
      <c r="R1236" s="3" t="inlineStr">
        <is>
          <t>지정되지않음</t>
        </is>
      </c>
      <c r="S1236" s="3" t="inlineStr">
        <is>
          <t>답창고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광대로한면</t>
        </is>
      </c>
    </row>
    <row r="1237">
      <c r="A1237" s="3" t="inlineStr">
        <is>
          <t>오송읍 서평리 182-5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79000</v>
      </c>
      <c r="G1237" s="4" t="n">
        <v>3798</v>
      </c>
      <c r="H1237" s="4" t="n">
        <v>1149</v>
      </c>
      <c r="I1237" s="5" t="n">
        <v>68.8</v>
      </c>
      <c r="J1237" s="5" t="n">
        <v>36.9</v>
      </c>
      <c r="K1237" s="3" t="inlineStr">
        <is>
          <t>4m 도로 접, 3산단 수용지 인접 개발호재, 5차선대로까지 200m</t>
        </is>
      </c>
      <c r="L1237" s="6">
        <f>HYPERLINK("https://fin.land.naver.com/articles/2648617098", "매물Link")</f>
        <v/>
      </c>
      <c r="M1237" s="6">
        <f>HYPERLINK("https://map.naver.com/p/search/오송읍 서평리 182-5", "지도Link")</f>
        <v/>
      </c>
      <c r="N1237" s="6">
        <f>HYPERLINK("http://www.eum.go.kr/web/ar/lu/luLandDet.jsp?pnu=4311325030101820005&amp;isNoScr=script&amp;mode=search", "토지이음")</f>
        <v/>
      </c>
      <c r="O1237" s="3" t="inlineStr">
        <is>
          <t>오송3산단  사무소</t>
        </is>
      </c>
      <c r="P1237" s="4" t="n">
        <v>1</v>
      </c>
      <c r="Q1237" s="4" t="n">
        <v>3798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세로한면(가)</t>
        </is>
      </c>
    </row>
    <row r="1238">
      <c r="A1238" s="3" t="inlineStr">
        <is>
          <t>오송읍 서평리 189-4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85000</v>
      </c>
      <c r="G1238" s="4" t="n">
        <v>2000</v>
      </c>
      <c r="H1238" s="4" t="n">
        <v>605</v>
      </c>
      <c r="I1238" s="5" t="n">
        <v>140.5</v>
      </c>
      <c r="J1238" s="5" t="n">
        <v>37.3</v>
      </c>
      <c r="K1238" s="3" t="inlineStr">
        <is>
          <t>제3생명과학 국가산단옆, 진입전면넓음, 7.5m도로,</t>
        </is>
      </c>
      <c r="L1238" s="6">
        <f>HYPERLINK("https://fin.land.naver.com/articles/2646638287", "매물Link")</f>
        <v/>
      </c>
      <c r="M1238" s="6">
        <f>HYPERLINK("https://map.naver.com/p/search/오송읍 서평리 189-4", "지도Link")</f>
        <v/>
      </c>
      <c r="N1238" s="6">
        <f>HYPERLINK("http://www.eum.go.kr/web/ar/lu/luLandDet.jsp?pnu=4311325030101890004&amp;isNoScr=script&amp;mode=search", "토지이음")</f>
        <v/>
      </c>
      <c r="O1238" s="3" t="inlineStr">
        <is>
          <t>오송부자마을</t>
        </is>
      </c>
      <c r="P1238" s="4" t="n">
        <v>1</v>
      </c>
      <c r="Q1238" s="4" t="n">
        <v>2000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자루형</t>
        </is>
      </c>
      <c r="V1238" s="3" t="inlineStr">
        <is>
          <t>세로한면(가)</t>
        </is>
      </c>
    </row>
    <row r="1239">
      <c r="A1239" s="3" t="inlineStr">
        <is>
          <t>오송읍 서평리 194-2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100000</v>
      </c>
      <c r="G1239" s="4" t="n">
        <v>2182</v>
      </c>
      <c r="H1239" s="4" t="n">
        <v>660</v>
      </c>
      <c r="I1239" s="5" t="n">
        <v>151.5</v>
      </c>
      <c r="J1239" s="5" t="n">
        <v>54.7</v>
      </c>
      <c r="K1239" s="3" t="inlineStr">
        <is>
          <t>복숭아등 과일 노상 판매장용도 추천</t>
        </is>
      </c>
      <c r="L1239" s="6">
        <f>HYPERLINK("https://fin.land.naver.com/articles/2649950268", "매물Link")</f>
        <v/>
      </c>
      <c r="M1239" s="6">
        <f>HYPERLINK("https://map.naver.com/p/search/오송읍 서평리 194-2", "지도Link")</f>
        <v/>
      </c>
      <c r="N1239" s="6">
        <f>HYPERLINK("http://www.eum.go.kr/web/ar/lu/luLandDet.jsp?pnu=4311325030101940002&amp;isNoScr=script&amp;mode=search", "토지이음")</f>
        <v/>
      </c>
      <c r="O1239" s="3" t="inlineStr">
        <is>
          <t>오송k랜드</t>
        </is>
      </c>
      <c r="P1239" s="4" t="n">
        <v>1</v>
      </c>
      <c r="Q1239" s="4" t="n">
        <v>2182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오송읍 서평리 196-3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86000</v>
      </c>
      <c r="G1240" s="4" t="n">
        <v>4205</v>
      </c>
      <c r="H1240" s="4" t="n">
        <v>1272</v>
      </c>
      <c r="I1240" s="5" t="n">
        <v>67.59999999999999</v>
      </c>
      <c r="J1240" s="5" t="n">
        <v>54.7</v>
      </c>
      <c r="K1240" s="3" t="inlineStr">
        <is>
          <t>오송3산단 배후지, 토지거해허가해제로 지가 상승 유망 투자지역</t>
        </is>
      </c>
      <c r="L1240" s="6">
        <f>HYPERLINK("https://fin.land.naver.com/articles/2647661512", "매물Link")</f>
        <v/>
      </c>
      <c r="M1240" s="6">
        <f>HYPERLINK("https://map.naver.com/p/search/오송읍 서평리 196-3", "지도Link")</f>
        <v/>
      </c>
      <c r="N1240" s="6">
        <f>HYPERLINK("http://www.eum.go.kr/web/ar/lu/luLandDet.jsp?pnu=4311325030101960003&amp;isNoScr=script&amp;mode=search", "토지이음")</f>
        <v/>
      </c>
      <c r="O1240" s="3" t="inlineStr">
        <is>
          <t>청주모충사모1/2LH트릴로채명성</t>
        </is>
      </c>
      <c r="P1240" s="4" t="n">
        <v>2</v>
      </c>
      <c r="Q1240" s="4" t="n">
        <v>2033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소로한면</t>
        </is>
      </c>
    </row>
    <row r="1241">
      <c r="A1241" s="3" t="inlineStr">
        <is>
          <t>오송읍 서평리 210-1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44700</v>
      </c>
      <c r="G1241" s="4" t="n">
        <v>1477</v>
      </c>
      <c r="H1241" s="4" t="n">
        <v>447</v>
      </c>
      <c r="I1241" s="5" t="n">
        <v>100</v>
      </c>
      <c r="J1241" s="5" t="n">
        <v>54.7</v>
      </c>
      <c r="K1241" s="3" t="inlineStr">
        <is>
          <t>nan</t>
        </is>
      </c>
      <c r="L1241" s="6">
        <f>HYPERLINK("https://fin.land.naver.com/articles/2646609337", "매물Link")</f>
        <v/>
      </c>
      <c r="M1241" s="6">
        <f>HYPERLINK("https://map.naver.com/p/search/오송읍 서평리 210-1", "지도Link")</f>
        <v/>
      </c>
      <c r="N1241" s="6">
        <f>HYPERLINK("http://www.eum.go.kr/web/ar/lu/luLandDet.jsp?pnu=4311325030102100001&amp;isNoScr=script&amp;mode=search", "토지이음")</f>
        <v/>
      </c>
      <c r="O1241" s="3" t="inlineStr">
        <is>
          <t>세종큰길</t>
        </is>
      </c>
      <c r="P1241" s="4" t="n">
        <v>1</v>
      </c>
      <c r="Q1241" s="4" t="n">
        <v>1373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소로한면</t>
        </is>
      </c>
    </row>
    <row r="1242">
      <c r="A1242" s="3" t="inlineStr">
        <is>
          <t>오송읍 서평리 214-10</t>
        </is>
      </c>
      <c r="B1242" s="3" t="inlineStr">
        <is>
          <t>농림지역</t>
        </is>
      </c>
      <c r="C1242" s="3" t="inlineStr">
        <is>
          <t>과수원</t>
        </is>
      </c>
      <c r="D1242" s="3" t="inlineStr">
        <is>
          <t>과수원</t>
        </is>
      </c>
      <c r="E1242" s="3" t="inlineStr">
        <is>
          <t>매매</t>
        </is>
      </c>
      <c r="F1242" s="4" t="n">
        <v>198720</v>
      </c>
      <c r="G1242" s="4" t="n">
        <v>4564</v>
      </c>
      <c r="H1242" s="4" t="n">
        <v>1381</v>
      </c>
      <c r="I1242" s="5" t="n">
        <v>143.9</v>
      </c>
      <c r="J1242" s="5" t="n">
        <v>54.7</v>
      </c>
      <c r="K1242" s="3" t="inlineStr">
        <is>
          <t>오송3산단 배후지, 토지거래허가 해제로 대토용지로 지가상승 유망 투자지역</t>
        </is>
      </c>
      <c r="L1242" s="6">
        <f>HYPERLINK("https://fin.land.naver.com/articles/2650412996", "매물Link")</f>
        <v/>
      </c>
      <c r="M1242" s="6">
        <f>HYPERLINK("https://map.naver.com/p/search/오송읍 서평리 214-10", "지도Link")</f>
        <v/>
      </c>
      <c r="N1242" s="6">
        <f>HYPERLINK("http://www.eum.go.kr/web/ar/lu/luLandDet.jsp?pnu=4311325030102140010&amp;isNoScr=script&amp;mode=search", "토지이음")</f>
        <v/>
      </c>
      <c r="O1242" s="3" t="inlineStr">
        <is>
          <t>청주모충사모1/2LH트릴로채명성</t>
        </is>
      </c>
      <c r="P1242" s="4" t="n">
        <v>1</v>
      </c>
      <c r="Q1242" s="4" t="n">
        <v>4213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오송읍 서평리 214-4</t>
        </is>
      </c>
      <c r="B1243" s="3" t="inlineStr">
        <is>
          <t>농림지역</t>
        </is>
      </c>
      <c r="C1243" s="3" t="inlineStr">
        <is>
          <t>전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122000</v>
      </c>
      <c r="G1243" s="4" t="n">
        <v>3080</v>
      </c>
      <c r="H1243" s="4" t="n">
        <v>932</v>
      </c>
      <c r="I1243" s="5" t="n">
        <v>130.9</v>
      </c>
      <c r="J1243" s="5" t="n">
        <v>54.7</v>
      </c>
      <c r="K1243" s="3" t="inlineStr">
        <is>
          <t>2차선 도로접한 토지</t>
        </is>
      </c>
      <c r="L1243" s="6">
        <f>HYPERLINK("https://fin.land.naver.com/articles/2650856660", "매물Link")</f>
        <v/>
      </c>
      <c r="M1243" s="6">
        <f>HYPERLINK("https://map.naver.com/p/search/오송읍 서평리 214-4", "지도Link")</f>
        <v/>
      </c>
      <c r="N1243" s="6">
        <f>HYPERLINK("http://www.eum.go.kr/web/ar/lu/luLandDet.jsp?pnu=4311325030102140004&amp;isNoScr=script&amp;mode=search", "토지이음")</f>
        <v/>
      </c>
      <c r="O1243" s="3" t="inlineStr">
        <is>
          <t>세종대박</t>
        </is>
      </c>
      <c r="P1243" s="4" t="n">
        <v>1</v>
      </c>
      <c r="Q1243" s="4" t="n">
        <v>3080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소로한면</t>
        </is>
      </c>
    </row>
    <row r="1244">
      <c r="A1244" s="3" t="inlineStr">
        <is>
          <t>오송읍 서평리 219-30</t>
        </is>
      </c>
      <c r="B1244" s="3" t="inlineStr">
        <is>
          <t>농림지역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41500</v>
      </c>
      <c r="G1244" s="4" t="n">
        <v>2648</v>
      </c>
      <c r="H1244" s="4" t="n">
        <v>801</v>
      </c>
      <c r="I1244" s="5" t="n">
        <v>51.8</v>
      </c>
      <c r="J1244" s="5" t="n">
        <v>35.5</v>
      </c>
      <c r="K1244" s="3" t="inlineStr">
        <is>
          <t>파격가 급매물, 오송3산단 호재있는 투자용 물건, 하우스 6동 포함</t>
        </is>
      </c>
      <c r="L1244" s="6">
        <f>HYPERLINK("https://fin.land.naver.com/articles/2648088489", "매물Link")</f>
        <v/>
      </c>
      <c r="M1244" s="6">
        <f>HYPERLINK("https://map.naver.com/p/search/오송읍 서평리 219-30", "지도Link")</f>
        <v/>
      </c>
      <c r="N1244" s="6">
        <f>HYPERLINK("http://www.eum.go.kr/web/ar/lu/luLandDet.jsp?pnu=4311325030102190030&amp;isNoScr=script&amp;mode=search", "토지이음")</f>
        <v/>
      </c>
      <c r="O1244" s="3" t="inlineStr">
        <is>
          <t>오송3산단  사무소</t>
        </is>
      </c>
      <c r="P1244" s="4" t="n">
        <v>1</v>
      </c>
      <c r="Q1244" s="4" t="n">
        <v>2648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세로한면(가)</t>
        </is>
      </c>
    </row>
    <row r="1245">
      <c r="A1245" s="3" t="inlineStr">
        <is>
          <t>오송읍 서평리 281-1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105000</v>
      </c>
      <c r="G1245" s="4" t="n">
        <v>2827</v>
      </c>
      <c r="H1245" s="4" t="n">
        <v>855</v>
      </c>
      <c r="I1245" s="5" t="n">
        <v>122.8</v>
      </c>
      <c r="J1245" s="5" t="n">
        <v>29.5</v>
      </c>
      <c r="K1245" s="3" t="inlineStr">
        <is>
          <t>하우스시설이 완비된 토지,주변 토지와 일괄 매매</t>
        </is>
      </c>
      <c r="L1245" s="6">
        <f>HYPERLINK("https://fin.land.naver.com/articles/2648013053", "매물Link")</f>
        <v/>
      </c>
      <c r="M1245" s="6">
        <f>HYPERLINK("https://map.naver.com/p/search/오송읍 서평리 281-1", "지도Link")</f>
        <v/>
      </c>
      <c r="N1245" s="6">
        <f>HYPERLINK("http://www.eum.go.kr/web/ar/lu/luLandDet.jsp?pnu=4311325030102810001&amp;isNoScr=script&amp;mode=search", "토지이음")</f>
        <v/>
      </c>
      <c r="O1245" s="3" t="inlineStr">
        <is>
          <t>오송2단지창조</t>
        </is>
      </c>
      <c r="P1245" s="4" t="n">
        <v>1</v>
      </c>
      <c r="Q1245" s="4" t="n">
        <v>2827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오송읍 서평리 296-4</t>
        </is>
      </c>
      <c r="B1246" s="3" t="inlineStr">
        <is>
          <t>농림지역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40000</v>
      </c>
      <c r="G1246" s="4" t="n">
        <v>2340</v>
      </c>
      <c r="H1246" s="4" t="n">
        <v>708</v>
      </c>
      <c r="I1246" s="5" t="n">
        <v>56.5</v>
      </c>
      <c r="J1246" s="5" t="n">
        <v>29.5</v>
      </c>
      <c r="K1246" s="3" t="inlineStr">
        <is>
          <t>오송 3산단 인근, 투자용</t>
        </is>
      </c>
      <c r="L1246" s="6">
        <f>HYPERLINK("https://fin.land.naver.com/articles/2646724001", "매물Link")</f>
        <v/>
      </c>
      <c r="M1246" s="6">
        <f>HYPERLINK("https://map.naver.com/p/search/오송읍 서평리 296-4", "지도Link")</f>
        <v/>
      </c>
      <c r="N1246" s="6">
        <f>HYPERLINK("http://www.eum.go.kr/web/ar/lu/luLandDet.jsp?pnu=4311325030102960004&amp;isNoScr=script&amp;mode=search", "토지이음")</f>
        <v/>
      </c>
      <c r="O1246" s="3" t="inlineStr">
        <is>
          <t>오송타운</t>
        </is>
      </c>
      <c r="P1246" s="4" t="n">
        <v>1</v>
      </c>
      <c r="Q1246" s="4" t="n">
        <v>2340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오송읍 서평리 354-1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96000</v>
      </c>
      <c r="G1247" s="4" t="n">
        <v>3507</v>
      </c>
      <c r="H1247" s="4" t="n">
        <v>1061</v>
      </c>
      <c r="I1247" s="5" t="n">
        <v>90.5</v>
      </c>
      <c r="J1247" s="5" t="n">
        <v>41.7</v>
      </c>
      <c r="K1247" s="3" t="inlineStr">
        <is>
          <t>오송3산업단지 수용지 인근 투자</t>
        </is>
      </c>
      <c r="L1247" s="6">
        <f>HYPERLINK("https://fin.land.naver.com/articles/2648237005", "매물Link")</f>
        <v/>
      </c>
      <c r="M1247" s="6">
        <f>HYPERLINK("https://map.naver.com/p/search/오송읍 서평리 354-1", "지도Link")</f>
        <v/>
      </c>
      <c r="N1247" s="6">
        <f>HYPERLINK("http://www.eum.go.kr/web/ar/lu/luLandDet.jsp?pnu=4311325030103540001&amp;isNoScr=script&amp;mode=search", "토지이음")</f>
        <v/>
      </c>
      <c r="O1247" s="3" t="inlineStr">
        <is>
          <t>오송k랜드</t>
        </is>
      </c>
      <c r="P1247" s="4" t="n">
        <v>1</v>
      </c>
      <c r="Q1247" s="4" t="n">
        <v>2466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서평리 356</t>
        </is>
      </c>
      <c r="B1248" s="3" t="inlineStr">
        <is>
          <t>농림지역</t>
        </is>
      </c>
      <c r="C1248" s="3" t="inlineStr">
        <is>
          <t>창고용지</t>
        </is>
      </c>
      <c r="D1248" s="3" t="inlineStr">
        <is>
          <t>창고용지</t>
        </is>
      </c>
      <c r="E1248" s="3" t="inlineStr">
        <is>
          <t>매매</t>
        </is>
      </c>
      <c r="F1248" s="4" t="n">
        <v>120000</v>
      </c>
      <c r="G1248" s="4" t="n">
        <v>2423</v>
      </c>
      <c r="H1248" s="4" t="n">
        <v>733</v>
      </c>
      <c r="I1248" s="5" t="n">
        <v>163.7</v>
      </c>
      <c r="J1248" s="5" t="n">
        <v>49.6</v>
      </c>
      <c r="K1248" s="3" t="inlineStr">
        <is>
          <t>오송3산단예정지인근 2차선변 농업용창고,부분거래가능</t>
        </is>
      </c>
      <c r="L1248" s="6">
        <f>HYPERLINK("https://fin.land.naver.com/articles/2650475978", "매물Link")</f>
        <v/>
      </c>
      <c r="M1248" s="6">
        <f>HYPERLINK("https://map.naver.com/p/search/오송읍 서평리 356", "지도Link")</f>
        <v/>
      </c>
      <c r="N1248" s="6">
        <f>HYPERLINK("http://www.eum.go.kr/web/ar/lu/luLandDet.jsp?pnu=4311325030103560000&amp;isNoScr=script&amp;mode=search", "토지이음")</f>
        <v/>
      </c>
      <c r="O1248" s="3" t="inlineStr">
        <is>
          <t>가치잇는</t>
        </is>
      </c>
      <c r="P1248" s="4" t="n">
        <v>3</v>
      </c>
      <c r="Q1248" s="4" t="n">
        <v>900</v>
      </c>
      <c r="R1248" s="3" t="inlineStr">
        <is>
          <t>지정되지않음</t>
        </is>
      </c>
      <c r="S1248" s="3" t="inlineStr">
        <is>
          <t>답창고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소로한면</t>
        </is>
      </c>
    </row>
    <row r="1249">
      <c r="A1249" s="3" t="inlineStr">
        <is>
          <t>오송읍 서평리 56-9</t>
        </is>
      </c>
      <c r="B1249" s="3" t="inlineStr">
        <is>
          <t>계획관리지역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57400</v>
      </c>
      <c r="G1249" s="4" t="n">
        <v>542</v>
      </c>
      <c r="H1249" s="4" t="n">
        <v>164</v>
      </c>
      <c r="I1249" s="5" t="n">
        <v>350</v>
      </c>
      <c r="J1249" s="5" t="n">
        <v>195.9</v>
      </c>
      <c r="K1249" s="3" t="inlineStr">
        <is>
          <t>오송읍 서평리 주거개발진흥지구내 다가구 .상가.상가주택등 신축 추천</t>
        </is>
      </c>
      <c r="L1249" s="6">
        <f>HYPERLINK("https://fin.land.naver.com/articles/2649339502", "매물Link")</f>
        <v/>
      </c>
      <c r="M1249" s="6">
        <f>HYPERLINK("https://map.naver.com/p/search/오송읍 서평리 56-9", "지도Link")</f>
        <v/>
      </c>
      <c r="N1249" s="6">
        <f>HYPERLINK("http://www.eum.go.kr/web/ar/lu/luLandDet.jsp?pnu=4311325030100560009&amp;isNoScr=script&amp;mode=search", "토지이음")</f>
        <v/>
      </c>
      <c r="O1249" s="3" t="inlineStr">
        <is>
          <t>그린</t>
        </is>
      </c>
      <c r="P1249" s="4" t="n">
        <v>1</v>
      </c>
      <c r="Q1249" s="4" t="n">
        <v>542</v>
      </c>
      <c r="R1249" s="3" t="inlineStr">
        <is>
          <t>지정되지않음</t>
        </is>
      </c>
      <c r="S1249" s="3" t="inlineStr">
        <is>
          <t>주상기타</t>
        </is>
      </c>
      <c r="T1249" s="3" t="inlineStr">
        <is>
          <t>평지</t>
        </is>
      </c>
      <c r="U1249" s="3" t="inlineStr">
        <is>
          <t>부정형</t>
        </is>
      </c>
      <c r="V1249" s="3" t="inlineStr">
        <is>
          <t>중로한면</t>
        </is>
      </c>
    </row>
    <row r="1250">
      <c r="A1250" s="3" t="inlineStr">
        <is>
          <t>오송읍 서평리 664-54</t>
        </is>
      </c>
      <c r="B1250" s="3" t="inlineStr">
        <is>
          <t>생산관리지역</t>
        </is>
      </c>
      <c r="C1250" s="3" t="inlineStr">
        <is>
          <t>전</t>
        </is>
      </c>
      <c r="D1250" s="3" t="inlineStr">
        <is>
          <t>전</t>
        </is>
      </c>
      <c r="E1250" s="3" t="inlineStr">
        <is>
          <t>매매</t>
        </is>
      </c>
      <c r="F1250" s="4" t="n">
        <v>52000</v>
      </c>
      <c r="G1250" s="4" t="n">
        <v>625</v>
      </c>
      <c r="H1250" s="4" t="n">
        <v>189</v>
      </c>
      <c r="I1250" s="5" t="n">
        <v>275.1</v>
      </c>
      <c r="J1250" s="5" t="n">
        <v>49</v>
      </c>
      <c r="K1250" s="3" t="inlineStr">
        <is>
          <t>건축중인 토지관리지역</t>
        </is>
      </c>
      <c r="L1250" s="6">
        <f>HYPERLINK("https://fin.land.naver.com/articles/2646729509", "매물Link")</f>
        <v/>
      </c>
      <c r="M1250" s="6">
        <f>HYPERLINK("https://map.naver.com/p/search/오송읍 서평리 664-54", "지도Link")</f>
        <v/>
      </c>
      <c r="N1250" s="6">
        <f>HYPERLINK("http://www.eum.go.kr/web/ar/lu/luLandDet.jsp?pnu=4311325030106640054&amp;isNoScr=script&amp;mode=search", "토지이음")</f>
        <v/>
      </c>
      <c r="O1250" s="3" t="inlineStr">
        <is>
          <t>오송타운</t>
        </is>
      </c>
      <c r="P1250" s="4" t="n">
        <v>1</v>
      </c>
      <c r="Q1250" s="4" t="n">
        <v>625</v>
      </c>
      <c r="R1250" s="3" t="inlineStr">
        <is>
          <t>지정되지않음</t>
        </is>
      </c>
      <c r="S1250" s="3" t="inlineStr">
        <is>
          <t>전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소로각지</t>
        </is>
      </c>
    </row>
    <row r="1251">
      <c r="A1251" s="3" t="inlineStr">
        <is>
          <t>오송읍 서평리 664-97</t>
        </is>
      </c>
      <c r="B1251" s="3" t="inlineStr">
        <is>
          <t>농림지역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23000</v>
      </c>
      <c r="G1251" s="4" t="n">
        <v>591</v>
      </c>
      <c r="H1251" s="4" t="n">
        <v>179</v>
      </c>
      <c r="I1251" s="5" t="n">
        <v>128.5</v>
      </c>
      <c r="J1251" s="5" t="n">
        <v>38</v>
      </c>
      <c r="K1251" s="3" t="inlineStr">
        <is>
          <t>도로접한 토지</t>
        </is>
      </c>
      <c r="L1251" s="6">
        <f>HYPERLINK("https://fin.land.naver.com/articles/2650856659", "매물Link")</f>
        <v/>
      </c>
      <c r="M1251" s="6">
        <f>HYPERLINK("https://map.naver.com/p/search/오송읍 서평리 664-97", "지도Link")</f>
        <v/>
      </c>
      <c r="N1251" s="6">
        <f>HYPERLINK("http://www.eum.go.kr/web/ar/lu/luLandDet.jsp?pnu=4311325030106640097&amp;isNoScr=script&amp;mode=search", "토지이음")</f>
        <v/>
      </c>
      <c r="O1251" s="3" t="inlineStr">
        <is>
          <t>세종대박</t>
        </is>
      </c>
      <c r="P1251" s="4" t="n">
        <v>1</v>
      </c>
      <c r="Q1251" s="4" t="n">
        <v>591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소로한면</t>
        </is>
      </c>
    </row>
    <row r="1252">
      <c r="A1252" s="3" t="inlineStr">
        <is>
          <t>오송읍 서평리 88-1</t>
        </is>
      </c>
      <c r="B1252" s="3" t="inlineStr">
        <is>
          <t>농림지역</t>
        </is>
      </c>
      <c r="C1252" s="3" t="inlineStr">
        <is>
          <t>전</t>
        </is>
      </c>
      <c r="D1252" s="3" t="inlineStr">
        <is>
          <t>전</t>
        </is>
      </c>
      <c r="E1252" s="3" t="inlineStr">
        <is>
          <t>매매</t>
        </is>
      </c>
      <c r="F1252" s="4" t="n">
        <v>39000</v>
      </c>
      <c r="G1252" s="4" t="n">
        <v>1289</v>
      </c>
      <c r="H1252" s="4" t="n">
        <v>390</v>
      </c>
      <c r="I1252" s="5" t="n">
        <v>100</v>
      </c>
      <c r="J1252" s="5" t="n">
        <v>38.8</v>
      </c>
      <c r="K1252" s="3" t="inlineStr">
        <is>
          <t>농사짓기 좋은 우량 농지 매매</t>
        </is>
      </c>
      <c r="L1252" s="6">
        <f>HYPERLINK("https://fin.land.naver.com/articles/2648014715", "매물Link")</f>
        <v/>
      </c>
      <c r="M1252" s="6">
        <f>HYPERLINK("https://map.naver.com/p/search/오송읍 서평리 88-1", "지도Link")</f>
        <v/>
      </c>
      <c r="N1252" s="6">
        <f>HYPERLINK("http://www.eum.go.kr/web/ar/lu/luLandDet.jsp?pnu=4311325030100880001&amp;isNoScr=script&amp;mode=search", "토지이음")</f>
        <v/>
      </c>
      <c r="O1252" s="3" t="inlineStr">
        <is>
          <t>오송2단지창조</t>
        </is>
      </c>
      <c r="P1252" s="4" t="n">
        <v>1</v>
      </c>
      <c r="Q1252" s="4" t="n">
        <v>1289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세로각지(가)</t>
        </is>
      </c>
    </row>
    <row r="1253">
      <c r="A1253" s="3" t="inlineStr">
        <is>
          <t>오송읍 서평리 88-2</t>
        </is>
      </c>
      <c r="B1253" s="3" t="inlineStr">
        <is>
          <t>농림지역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80700</v>
      </c>
      <c r="G1253" s="4" t="n">
        <v>2668</v>
      </c>
      <c r="H1253" s="4" t="n">
        <v>807</v>
      </c>
      <c r="I1253" s="5" t="n">
        <v>100</v>
      </c>
      <c r="J1253" s="5" t="n">
        <v>37.3</v>
      </c>
      <c r="K1253" s="3" t="inlineStr">
        <is>
          <t>경지정리 완료 농기계 진입 편리, 바로 농사 가능한 우량 농지 매매</t>
        </is>
      </c>
      <c r="L1253" s="6">
        <f>HYPERLINK("https://fin.land.naver.com/articles/2648014585", "매물Link")</f>
        <v/>
      </c>
      <c r="M1253" s="6">
        <f>HYPERLINK("https://map.naver.com/p/search/오송읍 서평리 88-2", "지도Link")</f>
        <v/>
      </c>
      <c r="N1253" s="6">
        <f>HYPERLINK("http://www.eum.go.kr/web/ar/lu/luLandDet.jsp?pnu=4311325030100880002&amp;isNoScr=script&amp;mode=search", "토지이음")</f>
        <v/>
      </c>
      <c r="O1253" s="3" t="inlineStr">
        <is>
          <t>오송2단지창조</t>
        </is>
      </c>
      <c r="P1253" s="4" t="n">
        <v>1</v>
      </c>
      <c r="Q1253" s="4" t="n">
        <v>2668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세로한면(가)</t>
        </is>
      </c>
    </row>
    <row r="1254">
      <c r="A1254" s="3" t="inlineStr">
        <is>
          <t>오송읍 서평리 94-2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57300</v>
      </c>
      <c r="G1254" s="4" t="n">
        <v>1975</v>
      </c>
      <c r="H1254" s="4" t="n">
        <v>597</v>
      </c>
      <c r="I1254" s="5" t="n">
        <v>96</v>
      </c>
      <c r="J1254" s="5" t="n">
        <v>54.7</v>
      </c>
      <c r="K1254" s="3" t="inlineStr">
        <is>
          <t>오송제3산업단지(27.하반기 보상예정)인접하고 4차로 확장예정도로접함.</t>
        </is>
      </c>
      <c r="L1254" s="6">
        <f>HYPERLINK("https://fin.land.naver.com/articles/2650557460", "매물Link")</f>
        <v/>
      </c>
      <c r="M1254" s="6">
        <f>HYPERLINK("https://map.naver.com/p/search/오송읍 서평리 94-2", "지도Link")</f>
        <v/>
      </c>
      <c r="N1254" s="6">
        <f>HYPERLINK("http://www.eum.go.kr/web/ar/lu/luLandDet.jsp?pnu=4311325030100940002&amp;isNoScr=script&amp;mode=search", "토지이음")</f>
        <v/>
      </c>
      <c r="O1254" s="3" t="inlineStr">
        <is>
          <t>오송k랜드</t>
        </is>
      </c>
      <c r="P1254" s="4" t="n">
        <v>1</v>
      </c>
      <c r="Q1254" s="4" t="n">
        <v>1975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소로한면</t>
        </is>
      </c>
    </row>
    <row r="1255">
      <c r="A1255" s="3" t="inlineStr">
        <is>
          <t>오송읍 쌍청리 117-16</t>
        </is>
      </c>
      <c r="B1255" s="3" t="inlineStr">
        <is>
          <t>계획관리지역</t>
        </is>
      </c>
      <c r="C1255" s="3" t="inlineStr">
        <is>
          <t>임야</t>
        </is>
      </c>
      <c r="D1255" s="3" t="inlineStr">
        <is>
          <t>임야</t>
        </is>
      </c>
      <c r="E1255" s="3" t="inlineStr">
        <is>
          <t>매매</t>
        </is>
      </c>
      <c r="F1255" s="4" t="n">
        <v>100000</v>
      </c>
      <c r="G1255" s="4" t="n">
        <v>1701</v>
      </c>
      <c r="H1255" s="4" t="n">
        <v>515</v>
      </c>
      <c r="I1255" s="5" t="n">
        <v>194.2</v>
      </c>
      <c r="J1255" s="5" t="n">
        <v>59.3</v>
      </c>
      <c r="K1255" s="3" t="inlineStr">
        <is>
          <t>오송신도시의 계획관리지역으로 투자가치가 좋음</t>
        </is>
      </c>
      <c r="L1255" s="6">
        <f>HYPERLINK("https://fin.land.naver.com/articles/2647916765", "매물Link")</f>
        <v/>
      </c>
      <c r="M1255" s="6">
        <f>HYPERLINK("https://map.naver.com/p/search/오송읍 쌍청리 117-16", "지도Link")</f>
        <v/>
      </c>
      <c r="N1255" s="6">
        <f>HYPERLINK("http://www.eum.go.kr/web/ar/lu/luLandDet.jsp?pnu=4311325024101170016&amp;isNoScr=script&amp;mode=search", "토지이음")</f>
        <v/>
      </c>
      <c r="O1255" s="3" t="inlineStr">
        <is>
          <t>가람</t>
        </is>
      </c>
      <c r="P1255" s="4" t="n">
        <v>1</v>
      </c>
      <c r="Q1255" s="4" t="n">
        <v>1701</v>
      </c>
      <c r="R1255" s="3" t="inlineStr">
        <is>
          <t>지정되지않음</t>
        </is>
      </c>
      <c r="S1255" s="3" t="inlineStr">
        <is>
          <t>전기타</t>
        </is>
      </c>
      <c r="T1255" s="3" t="inlineStr">
        <is>
          <t>완경사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오송읍 쌍청리 117-16</t>
        </is>
      </c>
      <c r="B1256" s="3" t="inlineStr">
        <is>
          <t>계획관리지역</t>
        </is>
      </c>
      <c r="C1256" s="3" t="inlineStr">
        <is>
          <t>임야</t>
        </is>
      </c>
      <c r="D1256" s="3" t="inlineStr">
        <is>
          <t>임야</t>
        </is>
      </c>
      <c r="E1256" s="3" t="inlineStr">
        <is>
          <t>매매</t>
        </is>
      </c>
      <c r="F1256" s="4" t="n">
        <v>65000</v>
      </c>
      <c r="G1256" s="4" t="n">
        <v>1701</v>
      </c>
      <c r="H1256" s="4" t="n">
        <v>515</v>
      </c>
      <c r="I1256" s="5" t="n">
        <v>126.2</v>
      </c>
      <c r="J1256" s="5" t="n">
        <v>59.3</v>
      </c>
      <c r="K1256" s="3" t="inlineStr">
        <is>
          <t>오송 생활권 도로접근 계획관리 개발검토 토지</t>
        </is>
      </c>
      <c r="L1256" s="6">
        <f>HYPERLINK("https://fin.land.naver.com/articles/2648110924", "매물Link")</f>
        <v/>
      </c>
      <c r="M1256" s="6">
        <f>HYPERLINK("https://map.naver.com/p/search/오송읍 쌍청리 117-16", "지도Link")</f>
        <v/>
      </c>
      <c r="N1256" s="6">
        <f>HYPERLINK("http://www.eum.go.kr/web/ar/lu/luLandDet.jsp?pnu=4311325024101170016&amp;isNoScr=script&amp;mode=search", "토지이음")</f>
        <v/>
      </c>
      <c r="O1256" s="3" t="inlineStr">
        <is>
          <t>세종소담황금</t>
        </is>
      </c>
      <c r="P1256" s="4" t="n">
        <v>1</v>
      </c>
      <c r="Q1256" s="4" t="n">
        <v>1701</v>
      </c>
      <c r="R1256" s="3" t="inlineStr">
        <is>
          <t>지정되지않음</t>
        </is>
      </c>
      <c r="S1256" s="3" t="inlineStr">
        <is>
          <t>전기타</t>
        </is>
      </c>
      <c r="T1256" s="3" t="inlineStr">
        <is>
          <t>완경사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쌍청리 124-3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23100</v>
      </c>
      <c r="G1257" s="4" t="n">
        <v>362</v>
      </c>
      <c r="H1257" s="4" t="n">
        <v>110</v>
      </c>
      <c r="I1257" s="5" t="n">
        <v>210</v>
      </c>
      <c r="J1257" s="5" t="n">
        <v>69</v>
      </c>
      <c r="K1257" s="3" t="inlineStr">
        <is>
          <t>오송 제1 생명과학단지 내주변 토지 매매</t>
        </is>
      </c>
      <c r="L1257" s="6">
        <f>HYPERLINK("https://fin.land.naver.com/articles/2648085254", "매물Link")</f>
        <v/>
      </c>
      <c r="M1257" s="6">
        <f>HYPERLINK("https://map.naver.com/p/search/오송읍 쌍청리 124-3", "지도Link")</f>
        <v/>
      </c>
      <c r="N1257" s="6">
        <f>HYPERLINK("http://www.eum.go.kr/web/ar/lu/luLandDet.jsp?pnu=4311325024101240003&amp;isNoScr=script&amp;mode=search", "토지이음")</f>
        <v/>
      </c>
      <c r="O1257" s="3" t="inlineStr">
        <is>
          <t>365</t>
        </is>
      </c>
      <c r="P1257" s="4" t="n">
        <v>1</v>
      </c>
      <c r="Q1257" s="4" t="n">
        <v>362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세로한면(가)</t>
        </is>
      </c>
    </row>
    <row r="1258">
      <c r="A1258" s="3" t="inlineStr">
        <is>
          <t>오송읍 쌍청리 165-3</t>
        </is>
      </c>
      <c r="B1258" s="3" t="inlineStr">
        <is>
          <t>계획관리지역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53000</v>
      </c>
      <c r="G1258" s="4" t="n">
        <v>751</v>
      </c>
      <c r="H1258" s="4" t="n">
        <v>227</v>
      </c>
      <c r="I1258" s="5" t="n">
        <v>233.5</v>
      </c>
      <c r="J1258" s="5" t="n">
        <v>48.6</v>
      </c>
      <c r="K1258" s="3" t="inlineStr">
        <is>
          <t>매매. 임대. 2가지 선택지 임대 임차인 원하면 근린생활시설 신축</t>
        </is>
      </c>
      <c r="L1258" s="6">
        <f>HYPERLINK("https://fin.land.naver.com/articles/2651280466", "매물Link")</f>
        <v/>
      </c>
      <c r="M1258" s="6">
        <f>HYPERLINK("https://map.naver.com/p/search/오송읍 쌍청리 165-3", "지도Link")</f>
        <v/>
      </c>
      <c r="N1258" s="6">
        <f>HYPERLINK("http://www.eum.go.kr/web/ar/lu/luLandDet.jsp?pnu=4311325024101650003&amp;isNoScr=script&amp;mode=search", "토지이음")</f>
        <v/>
      </c>
      <c r="O1258" s="3" t="inlineStr">
        <is>
          <t>오송퍼스트영웅</t>
        </is>
      </c>
      <c r="P1258" s="4" t="n">
        <v>1</v>
      </c>
      <c r="Q1258" s="4" t="n">
        <v>751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오송읍 쌍청리 29-1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53500</v>
      </c>
      <c r="G1259" s="4" t="n">
        <v>2266</v>
      </c>
      <c r="H1259" s="4" t="n">
        <v>685</v>
      </c>
      <c r="I1259" s="5" t="n">
        <v>78.09999999999999</v>
      </c>
      <c r="J1259" s="5" t="n">
        <v>31.9</v>
      </c>
      <c r="K1259" s="3" t="inlineStr">
        <is>
          <t>대한제지 인근 오송역 근거리 농림지역 토지 급매  도로접함  대토에 적합</t>
        </is>
      </c>
      <c r="L1259" s="6">
        <f>HYPERLINK("https://fin.land.naver.com/articles/2648940181", "매물Link")</f>
        <v/>
      </c>
      <c r="M1259" s="6">
        <f>HYPERLINK("https://map.naver.com/p/search/오송읍 쌍청리 29-1", "지도Link")</f>
        <v/>
      </c>
      <c r="N1259" s="6">
        <f>HYPERLINK("http://www.eum.go.kr/web/ar/lu/luLandDet.jsp?pnu=4311325024100290001&amp;isNoScr=script&amp;mode=search", "토지이음")</f>
        <v/>
      </c>
      <c r="O1259" s="3" t="inlineStr">
        <is>
          <t>오송퍼스트영웅</t>
        </is>
      </c>
      <c r="P1259" s="4" t="n">
        <v>1</v>
      </c>
      <c r="Q1259" s="4" t="n">
        <v>2266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소로한면</t>
        </is>
      </c>
    </row>
    <row r="1260">
      <c r="A1260" s="3" t="inlineStr">
        <is>
          <t>오송읍 쌍청리 317-5</t>
        </is>
      </c>
      <c r="B1260" s="3" t="inlineStr">
        <is>
          <t>계획관리지역</t>
        </is>
      </c>
      <c r="C1260" s="3" t="inlineStr">
        <is>
          <t>전</t>
        </is>
      </c>
      <c r="D1260" s="3" t="inlineStr">
        <is>
          <t>전</t>
        </is>
      </c>
      <c r="E1260" s="3" t="inlineStr">
        <is>
          <t>매매</t>
        </is>
      </c>
      <c r="F1260" s="4" t="n">
        <v>110000</v>
      </c>
      <c r="G1260" s="4" t="n">
        <v>1297</v>
      </c>
      <c r="H1260" s="4" t="n">
        <v>392</v>
      </c>
      <c r="I1260" s="5" t="n">
        <v>280.6</v>
      </c>
      <c r="J1260" s="5" t="n">
        <v>109.6</v>
      </c>
      <c r="K1260" s="3" t="inlineStr">
        <is>
          <t>4차선도로 예정지, 근생시설이나 사옥 적합</t>
        </is>
      </c>
      <c r="L1260" s="6">
        <f>HYPERLINK("https://fin.land.naver.com/articles/2646721847", "매물Link")</f>
        <v/>
      </c>
      <c r="M1260" s="6">
        <f>HYPERLINK("https://map.naver.com/p/search/오송읍 쌍청리 317-5", "지도Link")</f>
        <v/>
      </c>
      <c r="N1260" s="6">
        <f>HYPERLINK("http://www.eum.go.kr/web/ar/lu/luLandDet.jsp?pnu=4311325024103170005&amp;isNoScr=script&amp;mode=search", "토지이음")</f>
        <v/>
      </c>
      <c r="O1260" s="3" t="inlineStr">
        <is>
          <t>오송타운</t>
        </is>
      </c>
      <c r="P1260" s="4" t="n">
        <v>1</v>
      </c>
      <c r="Q1260" s="4" t="n">
        <v>856</v>
      </c>
      <c r="R1260" s="3" t="inlineStr">
        <is>
          <t>지정되지않음</t>
        </is>
      </c>
      <c r="S1260" s="3" t="inlineStr">
        <is>
          <t>전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소로한면</t>
        </is>
      </c>
    </row>
    <row r="1261">
      <c r="A1261" s="3" t="inlineStr">
        <is>
          <t>오송읍 쌍청리 317-7</t>
        </is>
      </c>
      <c r="B1261" s="3" t="inlineStr">
        <is>
          <t>계획관리지역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118000</v>
      </c>
      <c r="G1261" s="4" t="n">
        <v>1297</v>
      </c>
      <c r="H1261" s="4" t="n">
        <v>392</v>
      </c>
      <c r="I1261" s="5" t="n">
        <v>301</v>
      </c>
      <c r="J1261" s="5" t="n">
        <v>111.3</v>
      </c>
      <c r="K1261" s="3" t="inlineStr">
        <is>
          <t>식약청인접한 2차선 지방도접 사옥부지 또는 근생 용지 추천물건</t>
        </is>
      </c>
      <c r="L1261" s="6">
        <f>HYPERLINK("https://fin.land.naver.com/articles/2646748950", "매물Link")</f>
        <v/>
      </c>
      <c r="M1261" s="6">
        <f>HYPERLINK("https://map.naver.com/p/search/오송읍 쌍청리 317-7", "지도Link")</f>
        <v/>
      </c>
      <c r="N1261" s="6">
        <f>HYPERLINK("http://www.eum.go.kr/web/ar/lu/luLandDet.jsp?pnu=4311325024103170007&amp;isNoScr=script&amp;mode=search", "토지이음")</f>
        <v/>
      </c>
      <c r="O1261" s="3" t="inlineStr">
        <is>
          <t>오송k랜드</t>
        </is>
      </c>
      <c r="P1261" s="4" t="n">
        <v>1</v>
      </c>
      <c r="Q1261" s="4" t="n">
        <v>441</v>
      </c>
      <c r="R1261" s="3" t="inlineStr">
        <is>
          <t>지정되지않음</t>
        </is>
      </c>
      <c r="S1261" s="3" t="inlineStr">
        <is>
          <t>전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소로한면</t>
        </is>
      </c>
    </row>
    <row r="1262">
      <c r="A1262" s="3" t="inlineStr">
        <is>
          <t>오송읍 쌍청리 451-2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80000</v>
      </c>
      <c r="G1262" s="4" t="n">
        <v>3273</v>
      </c>
      <c r="H1262" s="4" t="n">
        <v>990</v>
      </c>
      <c r="I1262" s="5" t="n">
        <v>80.8</v>
      </c>
      <c r="J1262" s="5" t="n">
        <v>35.7</v>
      </c>
      <c r="K1262" s="3" t="inlineStr">
        <is>
          <t>투자가치있는 곳에 위치한 토지</t>
        </is>
      </c>
      <c r="L1262" s="6">
        <f>HYPERLINK("https://fin.land.naver.com/articles/2650865239", "매물Link")</f>
        <v/>
      </c>
      <c r="M1262" s="6">
        <f>HYPERLINK("https://map.naver.com/p/search/오송읍 쌍청리 451-2", "지도Link")</f>
        <v/>
      </c>
      <c r="N1262" s="6">
        <f>HYPERLINK("http://www.eum.go.kr/web/ar/lu/luLandDet.jsp?pnu=4311325024104510002&amp;isNoScr=script&amp;mode=search", "토지이음")</f>
        <v/>
      </c>
      <c r="O1262" s="3" t="inlineStr">
        <is>
          <t>굿모닝</t>
        </is>
      </c>
      <c r="P1262" s="4" t="n">
        <v>1</v>
      </c>
      <c r="Q1262" s="4" t="n">
        <v>3273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세로한면(가)</t>
        </is>
      </c>
    </row>
    <row r="1263">
      <c r="A1263" s="3" t="inlineStr">
        <is>
          <t>오송읍 쌍청리 463</t>
        </is>
      </c>
      <c r="B1263" s="3" t="inlineStr">
        <is>
          <t>농림지역</t>
        </is>
      </c>
      <c r="C1263" s="3" t="inlineStr">
        <is>
          <t>과수원</t>
        </is>
      </c>
      <c r="D1263" s="3" t="inlineStr">
        <is>
          <t>과수원</t>
        </is>
      </c>
      <c r="E1263" s="3" t="inlineStr">
        <is>
          <t>매매</t>
        </is>
      </c>
      <c r="F1263" s="4" t="n">
        <v>105000</v>
      </c>
      <c r="G1263" s="4" t="n">
        <v>4182</v>
      </c>
      <c r="H1263" s="4" t="n">
        <v>1265</v>
      </c>
      <c r="I1263" s="5" t="n">
        <v>83</v>
      </c>
      <c r="J1263" s="5" t="n">
        <v>35.7</v>
      </c>
      <c r="K1263" s="3" t="inlineStr">
        <is>
          <t>nan</t>
        </is>
      </c>
      <c r="L1263" s="6">
        <f>HYPERLINK("https://fin.land.naver.com/articles/2648912962", "매물Link")</f>
        <v/>
      </c>
      <c r="M1263" s="6">
        <f>HYPERLINK("https://map.naver.com/p/search/오송읍 쌍청리 463", "지도Link")</f>
        <v/>
      </c>
      <c r="N1263" s="6">
        <f>HYPERLINK("http://www.eum.go.kr/web/ar/lu/luLandDet.jsp?pnu=4311325024104630000&amp;isNoScr=script&amp;mode=search", "토지이음")</f>
        <v/>
      </c>
      <c r="O1263" s="3" t="inlineStr">
        <is>
          <t>오송퍼스트영웅</t>
        </is>
      </c>
      <c r="P1263" s="4" t="n">
        <v>1</v>
      </c>
      <c r="Q1263" s="4" t="n">
        <v>4182</v>
      </c>
      <c r="R1263" s="3" t="inlineStr">
        <is>
          <t>지정되지않음</t>
        </is>
      </c>
      <c r="S1263" s="3" t="inlineStr">
        <is>
          <t>과수원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세로한면(가)</t>
        </is>
      </c>
    </row>
    <row r="1264">
      <c r="A1264" s="3" t="inlineStr">
        <is>
          <t>오송읍 쌍청리 498</t>
        </is>
      </c>
      <c r="B1264" s="3" t="inlineStr">
        <is>
          <t>계획관리지역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180000</v>
      </c>
      <c r="G1264" s="4" t="n">
        <v>2188</v>
      </c>
      <c r="H1264" s="4" t="n">
        <v>662</v>
      </c>
      <c r="I1264" s="5" t="n">
        <v>271.9</v>
      </c>
      <c r="J1264" s="5" t="n">
        <v>67.5</v>
      </c>
      <c r="K1264" s="3" t="inlineStr">
        <is>
          <t>오송과학단지 인접하고 2차선도로에 접한 용도 다양성 우위</t>
        </is>
      </c>
      <c r="L1264" s="6">
        <f>HYPERLINK("https://fin.land.naver.com/articles/2646750576", "매물Link")</f>
        <v/>
      </c>
      <c r="M1264" s="6">
        <f>HYPERLINK("https://map.naver.com/p/search/오송읍 쌍청리 498", "지도Link")</f>
        <v/>
      </c>
      <c r="N1264" s="6">
        <f>HYPERLINK("http://www.eum.go.kr/web/ar/lu/luLandDet.jsp?pnu=4311325024104980000&amp;isNoScr=script&amp;mode=search", "토지이음")</f>
        <v/>
      </c>
      <c r="O1264" s="3" t="inlineStr">
        <is>
          <t>오송k랜드</t>
        </is>
      </c>
      <c r="P1264" s="4" t="n">
        <v>1</v>
      </c>
      <c r="Q1264" s="4" t="n">
        <v>2099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자루형</t>
        </is>
      </c>
      <c r="V1264" s="3" t="inlineStr">
        <is>
          <t>세로한면(불)</t>
        </is>
      </c>
    </row>
    <row r="1265">
      <c r="A1265" s="3" t="inlineStr">
        <is>
          <t>오송읍 쌍청리 498</t>
        </is>
      </c>
      <c r="B1265" s="3" t="inlineStr">
        <is>
          <t>계획관리지역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172000</v>
      </c>
      <c r="G1265" s="4" t="n">
        <v>2188</v>
      </c>
      <c r="H1265" s="4" t="n">
        <v>662</v>
      </c>
      <c r="I1265" s="5" t="n">
        <v>259.8</v>
      </c>
      <c r="J1265" s="5" t="n">
        <v>67.5</v>
      </c>
      <c r="K1265" s="3" t="inlineStr">
        <is>
          <t>계획관리 성장관리 계획 구역 오송역 인근 오스크 컨벤션 오픈 중</t>
        </is>
      </c>
      <c r="L1265" s="6">
        <f>HYPERLINK("https://fin.land.naver.com/articles/2651280120", "매물Link")</f>
        <v/>
      </c>
      <c r="M1265" s="6">
        <f>HYPERLINK("https://map.naver.com/p/search/오송읍 쌍청리 498", "지도Link")</f>
        <v/>
      </c>
      <c r="N1265" s="6">
        <f>HYPERLINK("http://www.eum.go.kr/web/ar/lu/luLandDet.jsp?pnu=4311325024104980000&amp;isNoScr=script&amp;mode=search", "토지이음")</f>
        <v/>
      </c>
      <c r="O1265" s="3" t="inlineStr">
        <is>
          <t>오송퍼스트영웅</t>
        </is>
      </c>
      <c r="P1265" s="4" t="n">
        <v>1</v>
      </c>
      <c r="Q1265" s="4" t="n">
        <v>2099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자루형</t>
        </is>
      </c>
      <c r="V1265" s="3" t="inlineStr">
        <is>
          <t>세로한면(불)</t>
        </is>
      </c>
    </row>
    <row r="1266">
      <c r="A1266" s="3" t="inlineStr">
        <is>
          <t>오송읍 쌍청리 539-2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30000</v>
      </c>
      <c r="G1266" s="4" t="n">
        <v>4122</v>
      </c>
      <c r="H1266" s="4" t="n">
        <v>1247</v>
      </c>
      <c r="I1266" s="5" t="n">
        <v>24.1</v>
      </c>
      <c r="J1266" s="5" t="n">
        <v>18</v>
      </c>
      <c r="K1266" s="3" t="inlineStr">
        <is>
          <t>오송읍 쌍청리 농지 급매 농지원부 대토 투자 장기보유등 추천</t>
        </is>
      </c>
      <c r="L1266" s="6">
        <f>HYPERLINK("https://fin.land.naver.com/articles/2651258350", "매물Link")</f>
        <v/>
      </c>
      <c r="M1266" s="6">
        <f>HYPERLINK("https://map.naver.com/p/search/오송읍 쌍청리 539-2", "지도Link")</f>
        <v/>
      </c>
      <c r="N1266" s="6">
        <f>HYPERLINK("http://www.eum.go.kr/web/ar/lu/luLandDet.jsp?pnu=4311325024105390002&amp;isNoScr=script&amp;mode=search", "토지이음")</f>
        <v/>
      </c>
      <c r="O1266" s="3" t="inlineStr">
        <is>
          <t>그린</t>
        </is>
      </c>
      <c r="P1266" s="4" t="n">
        <v>1</v>
      </c>
      <c r="Q1266" s="4" t="n">
        <v>2208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가로장방</t>
        </is>
      </c>
      <c r="V1266" s="3" t="inlineStr">
        <is>
          <t>맹지</t>
        </is>
      </c>
    </row>
    <row r="1267">
      <c r="A1267" s="3" t="inlineStr">
        <is>
          <t>오송읍 쌍청리 8-1</t>
        </is>
      </c>
      <c r="B1267" s="3" t="inlineStr">
        <is>
          <t>생산관리지역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61000</v>
      </c>
      <c r="G1267" s="4" t="n">
        <v>1613</v>
      </c>
      <c r="H1267" s="4" t="n">
        <v>488</v>
      </c>
      <c r="I1267" s="5" t="n">
        <v>125</v>
      </c>
      <c r="J1267" s="5" t="n">
        <v>46.5</v>
      </c>
      <c r="K1267" s="3" t="inlineStr">
        <is>
          <t>2차선 도로접  분할매매 가능</t>
        </is>
      </c>
      <c r="L1267" s="6">
        <f>HYPERLINK("https://fin.land.naver.com/articles/2650758461", "매물Link")</f>
        <v/>
      </c>
      <c r="M1267" s="6">
        <f>HYPERLINK("https://map.naver.com/p/search/오송읍 쌍청리 8-1", "지도Link")</f>
        <v/>
      </c>
      <c r="N1267" s="6">
        <f>HYPERLINK("http://www.eum.go.kr/web/ar/lu/luLandDet.jsp?pnu=4311325024100080001&amp;isNoScr=script&amp;mode=search", "토지이음")</f>
        <v/>
      </c>
      <c r="O1267" s="3" t="inlineStr">
        <is>
          <t>김창수</t>
        </is>
      </c>
      <c r="P1267" s="4" t="n">
        <v>1</v>
      </c>
      <c r="Q1267" s="4" t="n">
        <v>1613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오송읍 연제리 527-1</t>
        </is>
      </c>
      <c r="B1268" s="3" t="inlineStr">
        <is>
          <t>계획관리지역</t>
        </is>
      </c>
      <c r="C1268" s="3" t="inlineStr">
        <is>
          <t>전</t>
        </is>
      </c>
      <c r="D1268" s="3" t="inlineStr">
        <is>
          <t>전</t>
        </is>
      </c>
      <c r="E1268" s="3" t="inlineStr">
        <is>
          <t>매매</t>
        </is>
      </c>
      <c r="F1268" s="4" t="n">
        <v>88000</v>
      </c>
      <c r="G1268" s="4" t="n">
        <v>1825</v>
      </c>
      <c r="H1268" s="4" t="n">
        <v>552</v>
      </c>
      <c r="I1268" s="5" t="n">
        <v>159.4</v>
      </c>
      <c r="J1268" s="5" t="n">
        <v>59.4</v>
      </c>
      <c r="K1268" s="3" t="inlineStr">
        <is>
          <t>지금 잡아야 할 핵심 입지 매물</t>
        </is>
      </c>
      <c r="L1268" s="6">
        <f>HYPERLINK("https://fin.land.naver.com/articles/2651283863", "매물Link")</f>
        <v/>
      </c>
      <c r="M1268" s="6">
        <f>HYPERLINK("https://map.naver.com/p/search/오송읍 연제리 527-1", "지도Link")</f>
        <v/>
      </c>
      <c r="N1268" s="6">
        <f>HYPERLINK("http://www.eum.go.kr/web/ar/lu/luLandDet.jsp?pnu=4311325026105270001&amp;isNoScr=script&amp;mode=search", "토지이음")</f>
        <v/>
      </c>
      <c r="O1268" s="3" t="inlineStr">
        <is>
          <t>오송퍼스트영웅</t>
        </is>
      </c>
      <c r="P1268" s="4" t="n">
        <v>2</v>
      </c>
      <c r="Q1268" s="4" t="n">
        <v>1825</v>
      </c>
      <c r="R1268" s="3" t="inlineStr">
        <is>
          <t>지정되지않음</t>
        </is>
      </c>
      <c r="S1268" s="3" t="inlineStr">
        <is>
          <t>전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오송읍 연제리 539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55000</v>
      </c>
      <c r="G1269" s="4" t="n">
        <v>493</v>
      </c>
      <c r="H1269" s="4" t="n">
        <v>149</v>
      </c>
      <c r="I1269" s="5" t="n">
        <v>369.1</v>
      </c>
      <c r="J1269" s="5" t="n">
        <v>115.7</v>
      </c>
      <c r="K1269" s="3" t="inlineStr">
        <is>
          <t>오송 호수공원 근접, 활용도 높은 토지 매매</t>
        </is>
      </c>
      <c r="L1269" s="6">
        <f>HYPERLINK("https://fin.land.naver.com/articles/2650595801", "매물Link")</f>
        <v/>
      </c>
      <c r="M1269" s="6">
        <f>HYPERLINK("https://map.naver.com/p/search/오송읍 연제리 539", "지도Link")</f>
        <v/>
      </c>
      <c r="N1269" s="6">
        <f>HYPERLINK("http://www.eum.go.kr/web/ar/lu/luLandDet.jsp?pnu=4311325026105390000&amp;isNoScr=script&amp;mode=search", "토지이음")</f>
        <v/>
      </c>
      <c r="O1269" s="3" t="inlineStr">
        <is>
          <t>광장</t>
        </is>
      </c>
      <c r="P1269" s="4" t="n">
        <v>1</v>
      </c>
      <c r="Q1269" s="4" t="n">
        <v>493</v>
      </c>
      <c r="R1269" s="3" t="inlineStr">
        <is>
          <t>지정되지않음</t>
        </is>
      </c>
      <c r="S1269" s="3" t="inlineStr">
        <is>
          <t>단독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세로각지(가)</t>
        </is>
      </c>
    </row>
    <row r="1270">
      <c r="A1270" s="3" t="inlineStr">
        <is>
          <t>오송읍 연제리 540-20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300000</v>
      </c>
      <c r="G1270" s="4" t="n">
        <v>1608</v>
      </c>
      <c r="H1270" s="4" t="n">
        <v>486</v>
      </c>
      <c r="I1270" s="5" t="n">
        <v>617.3</v>
      </c>
      <c r="J1270" s="5" t="n">
        <v>189.7</v>
      </c>
      <c r="K1270" s="3" t="inlineStr">
        <is>
          <t>오송 내 최고의 위치 호수공원 품은 토지로서 미래가치 높은 토지</t>
        </is>
      </c>
      <c r="L1270" s="6">
        <f>HYPERLINK("https://fin.land.naver.com/articles/2651576082", "매물Link")</f>
        <v/>
      </c>
      <c r="M1270" s="6">
        <f>HYPERLINK("https://map.naver.com/p/search/오송읍 연제리 540-20", "지도Link")</f>
        <v/>
      </c>
      <c r="N1270" s="6">
        <f>HYPERLINK("http://www.eum.go.kr/web/ar/lu/luLandDet.jsp?pnu=4311325026105400020&amp;isNoScr=script&amp;mode=search", "토지이음")</f>
        <v/>
      </c>
      <c r="O1270" s="3" t="inlineStr">
        <is>
          <t>여기로</t>
        </is>
      </c>
      <c r="P1270" s="4" t="n">
        <v>1</v>
      </c>
      <c r="Q1270" s="4" t="n">
        <v>1332</v>
      </c>
      <c r="R1270" s="3" t="inlineStr">
        <is>
          <t>지정되지않음</t>
        </is>
      </c>
      <c r="S1270" s="3" t="inlineStr">
        <is>
          <t>상업용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오송읍 연제리 540-37</t>
        </is>
      </c>
      <c r="B1271" s="3" t="inlineStr">
        <is>
          <t>계획관리지역</t>
        </is>
      </c>
      <c r="C1271" s="3" t="inlineStr">
        <is>
          <t>공장용지</t>
        </is>
      </c>
      <c r="D1271" s="3" t="inlineStr">
        <is>
          <t>공장용지</t>
        </is>
      </c>
      <c r="E1271" s="3" t="inlineStr">
        <is>
          <t>매매</t>
        </is>
      </c>
      <c r="F1271" s="4" t="n">
        <v>70000</v>
      </c>
      <c r="G1271" s="4" t="n">
        <v>500</v>
      </c>
      <c r="H1271" s="4" t="n">
        <v>151</v>
      </c>
      <c r="I1271" s="5" t="n">
        <v>463.6</v>
      </c>
      <c r="J1271" s="5" t="n">
        <v>161.4</v>
      </c>
      <c r="K1271" s="3" t="inlineStr">
        <is>
          <t>호수공원 인접, 다용도 건축 가능,가격협의 가능</t>
        </is>
      </c>
      <c r="L1271" s="6">
        <f>HYPERLINK("https://fin.land.naver.com/articles/2651622199", "매물Link")</f>
        <v/>
      </c>
      <c r="M1271" s="6">
        <f>HYPERLINK("https://map.naver.com/p/search/오송읍 연제리 540-37", "지도Link")</f>
        <v/>
      </c>
      <c r="N1271" s="6">
        <f>HYPERLINK("http://www.eum.go.kr/web/ar/lu/luLandDet.jsp?pnu=4311325026105400037&amp;isNoScr=script&amp;mode=search", "토지이음")</f>
        <v/>
      </c>
      <c r="O1271" s="3" t="inlineStr">
        <is>
          <t>테크노힐데스한빛사무소</t>
        </is>
      </c>
      <c r="P1271" s="4" t="n">
        <v>1</v>
      </c>
      <c r="Q1271" s="4" t="n">
        <v>500</v>
      </c>
      <c r="R1271" s="3" t="inlineStr">
        <is>
          <t>지정되지않음</t>
        </is>
      </c>
      <c r="S1271" s="3" t="inlineStr">
        <is>
          <t>주상나지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오송읍 연제리 664-2</t>
        </is>
      </c>
      <c r="B1272" s="3" t="inlineStr">
        <is>
          <t>준공업지역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2000000</v>
      </c>
      <c r="G1272" s="4" t="n">
        <v>9917</v>
      </c>
      <c r="H1272" s="4" t="n">
        <v>3000</v>
      </c>
      <c r="I1272" s="5" t="n">
        <v>666.7</v>
      </c>
      <c r="J1272" s="5" t="n">
        <v>199.2</v>
      </c>
      <c r="K1272" s="3" t="inlineStr">
        <is>
          <t>현재 가치는 물론 오송 개발과 산업 인프라 확장에 따른 미래가치까지 기대</t>
        </is>
      </c>
      <c r="L1272" s="6">
        <f>HYPERLINK("https://fin.land.naver.com/articles/2650115117", "매물Link")</f>
        <v/>
      </c>
      <c r="M1272" s="6">
        <f>HYPERLINK("https://map.naver.com/p/search/오송읍 연제리 664-2", "지도Link")</f>
        <v/>
      </c>
      <c r="N1272" s="6">
        <f>HYPERLINK("http://www.eum.go.kr/web/ar/lu/luLandDet.jsp?pnu=4311325026106640002&amp;isNoScr=script&amp;mode=search", "토지이음")</f>
        <v/>
      </c>
      <c r="O1272" s="3" t="inlineStr">
        <is>
          <t>대한</t>
        </is>
      </c>
      <c r="P1272" s="4" t="n">
        <v>1</v>
      </c>
      <c r="Q1272" s="4" t="n">
        <v>4958.7</v>
      </c>
      <c r="R1272" s="3" t="inlineStr">
        <is>
          <t>지정되지않음</t>
        </is>
      </c>
      <c r="S1272" s="3" t="inlineStr">
        <is>
          <t>상업용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중로한면</t>
        </is>
      </c>
    </row>
    <row r="1273">
      <c r="A1273" s="3" t="inlineStr">
        <is>
          <t>오송읍 연제리 668</t>
        </is>
      </c>
      <c r="B1273" s="3" t="inlineStr">
        <is>
          <t>일반상업지역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820000</v>
      </c>
      <c r="G1273" s="4" t="n">
        <v>1593</v>
      </c>
      <c r="H1273" s="4" t="n">
        <v>482</v>
      </c>
      <c r="I1273" s="5" t="n">
        <v>1701.2</v>
      </c>
      <c r="J1273" s="5" t="n">
        <v>619.8</v>
      </c>
      <c r="K1273" s="3" t="inlineStr">
        <is>
          <t>nan</t>
        </is>
      </c>
      <c r="L1273" s="6">
        <f>HYPERLINK("https://fin.land.naver.com/articles/2646041860", "매물Link")</f>
        <v/>
      </c>
      <c r="M1273" s="6">
        <f>HYPERLINK("https://map.naver.com/p/search/오송읍 연제리 668", "지도Link")</f>
        <v/>
      </c>
      <c r="N1273" s="6">
        <f>HYPERLINK("http://www.eum.go.kr/web/ar/lu/luLandDet.jsp?pnu=4311325026106680000&amp;isNoScr=script&amp;mode=search", "토지이음")</f>
        <v/>
      </c>
      <c r="O1273" s="3" t="inlineStr">
        <is>
          <t>바른</t>
        </is>
      </c>
      <c r="P1273" s="4" t="n">
        <v>1</v>
      </c>
      <c r="Q1273" s="4" t="n">
        <v>803.1</v>
      </c>
      <c r="R1273" s="3" t="inlineStr">
        <is>
          <t>지정되지않음</t>
        </is>
      </c>
      <c r="S1273" s="3" t="inlineStr">
        <is>
          <t>상업나지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광대소각</t>
        </is>
      </c>
    </row>
    <row r="1274">
      <c r="A1274" s="3" t="inlineStr">
        <is>
          <t>오송읍 연제리 668</t>
        </is>
      </c>
      <c r="B1274" s="3" t="inlineStr">
        <is>
          <t>일반상업지역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820000</v>
      </c>
      <c r="G1274" s="4" t="n">
        <v>1593</v>
      </c>
      <c r="H1274" s="4" t="n">
        <v>482</v>
      </c>
      <c r="I1274" s="5" t="n">
        <v>1701.2</v>
      </c>
      <c r="J1274" s="5" t="n">
        <v>619.8</v>
      </c>
      <c r="K1274" s="3" t="inlineStr">
        <is>
          <t>외1필지 호텔이나 오피스텔로 투자 적합</t>
        </is>
      </c>
      <c r="L1274" s="6">
        <f>HYPERLINK("https://fin.land.naver.com/articles/2650139636", "매물Link")</f>
        <v/>
      </c>
      <c r="M1274" s="6">
        <f>HYPERLINK("https://map.naver.com/p/search/오송읍 연제리 668", "지도Link")</f>
        <v/>
      </c>
      <c r="N1274" s="6">
        <f>HYPERLINK("http://www.eum.go.kr/web/ar/lu/luLandDet.jsp?pnu=4311325026106680000&amp;isNoScr=script&amp;mode=search", "토지이음")</f>
        <v/>
      </c>
      <c r="O1274" s="3" t="inlineStr">
        <is>
          <t>옥산하늘채 주식회사</t>
        </is>
      </c>
      <c r="P1274" s="4" t="n">
        <v>1</v>
      </c>
      <c r="Q1274" s="4" t="n">
        <v>803.1</v>
      </c>
      <c r="R1274" s="3" t="inlineStr">
        <is>
          <t>지정되지않음</t>
        </is>
      </c>
      <c r="S1274" s="3" t="inlineStr">
        <is>
          <t>상업나지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광대소각</t>
        </is>
      </c>
    </row>
    <row r="1275">
      <c r="A1275" s="3" t="inlineStr">
        <is>
          <t>오송읍 연제리 692</t>
        </is>
      </c>
      <c r="B1275" s="3" t="inlineStr">
        <is>
          <t>일반상업지역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135000</v>
      </c>
      <c r="G1275" s="4" t="n">
        <v>593</v>
      </c>
      <c r="H1275" s="4" t="n">
        <v>179</v>
      </c>
      <c r="I1275" s="5" t="n">
        <v>754.2</v>
      </c>
      <c r="J1275" s="5" t="n">
        <v>301.3</v>
      </c>
      <c r="K1275" s="3" t="inlineStr">
        <is>
          <t>nan</t>
        </is>
      </c>
      <c r="L1275" s="6">
        <f>HYPERLINK("https://fin.land.naver.com/articles/2648135693", "매물Link")</f>
        <v/>
      </c>
      <c r="M1275" s="6">
        <f>HYPERLINK("https://map.naver.com/p/search/오송읍 연제리 692", "지도Link")</f>
        <v/>
      </c>
      <c r="N1275" s="6">
        <f>HYPERLINK("http://www.eum.go.kr/web/ar/lu/luLandDet.jsp?pnu=4311325026106920000&amp;isNoScr=script&amp;mode=search", "토지이음")</f>
        <v/>
      </c>
      <c r="O1275" s="3" t="inlineStr">
        <is>
          <t>오송퍼스트영웅</t>
        </is>
      </c>
      <c r="P1275" s="4" t="n">
        <v>1</v>
      </c>
      <c r="Q1275" s="4" t="n">
        <v>593.3</v>
      </c>
      <c r="R1275" s="3" t="inlineStr">
        <is>
          <t>지정되지않음</t>
        </is>
      </c>
      <c r="S1275" s="3" t="inlineStr">
        <is>
          <t>상업나지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광대소각</t>
        </is>
      </c>
    </row>
    <row r="1276">
      <c r="A1276" s="3" t="inlineStr">
        <is>
          <t>오송읍 연제리 703</t>
        </is>
      </c>
      <c r="B1276" s="3" t="inlineStr">
        <is>
          <t>일반상업지역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270000</v>
      </c>
      <c r="G1276" s="4" t="n">
        <v>690</v>
      </c>
      <c r="H1276" s="4" t="n">
        <v>209</v>
      </c>
      <c r="I1276" s="5" t="n">
        <v>1291.9</v>
      </c>
      <c r="J1276" s="5" t="n">
        <v>809.3</v>
      </c>
      <c r="K1276" s="3" t="inlineStr">
        <is>
          <t>일반 상업지역, 상업 나지</t>
        </is>
      </c>
      <c r="L1276" s="6">
        <f>HYPERLINK("https://fin.land.naver.com/articles/2647673845", "매물Link")</f>
        <v/>
      </c>
      <c r="M1276" s="6">
        <f>HYPERLINK("https://map.naver.com/p/search/오송읍 연제리 703", "지도Link")</f>
        <v/>
      </c>
      <c r="N1276" s="6">
        <f>HYPERLINK("http://www.eum.go.kr/web/ar/lu/luLandDet.jsp?pnu=4311325026107030000&amp;isNoScr=script&amp;mode=search", "토지이음")</f>
        <v/>
      </c>
      <c r="O1276" s="3" t="inlineStr">
        <is>
          <t>딜  중개</t>
        </is>
      </c>
      <c r="P1276" s="4" t="n">
        <v>1</v>
      </c>
      <c r="Q1276" s="4" t="n">
        <v>690.3</v>
      </c>
      <c r="R1276" s="3" t="inlineStr">
        <is>
          <t>지정되지않음</t>
        </is>
      </c>
      <c r="S1276" s="3" t="inlineStr">
        <is>
          <t>상업나지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광대소각</t>
        </is>
      </c>
    </row>
    <row r="1277">
      <c r="A1277" s="3" t="inlineStr">
        <is>
          <t>오송읍 연제리 산24-15</t>
        </is>
      </c>
      <c r="B1277" s="3" t="inlineStr">
        <is>
          <t>계획관리지역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140000</v>
      </c>
      <c r="G1277" s="4" t="n">
        <v>1076</v>
      </c>
      <c r="H1277" s="4" t="n">
        <v>325</v>
      </c>
      <c r="I1277" s="5" t="n">
        <v>430.8</v>
      </c>
      <c r="J1277" s="5" t="n">
        <v>16.8</v>
      </c>
      <c r="K1277" s="3" t="inlineStr">
        <is>
          <t>호수공원뷰,미래상승가치높은</t>
        </is>
      </c>
      <c r="L1277" s="6">
        <f>HYPERLINK("https://fin.land.naver.com/articles/2651124726", "매물Link")</f>
        <v/>
      </c>
      <c r="M1277" s="6">
        <f>HYPERLINK("https://map.naver.com/p/search/오송읍 연제리 산24-15", "지도Link")</f>
        <v/>
      </c>
      <c r="N1277" s="6">
        <f>HYPERLINK("http://www.eum.go.kr/web/ar/lu/luLandDet.jsp?pnu=4311325026200240015&amp;isNoScr=script&amp;mode=search", "토지이음")</f>
        <v/>
      </c>
      <c r="O1277" s="3" t="inlineStr">
        <is>
          <t>노블</t>
        </is>
      </c>
      <c r="P1277" s="4" t="n">
        <v>1</v>
      </c>
      <c r="Q1277" s="4" t="n">
        <v>1076</v>
      </c>
      <c r="R1277" s="3" t="inlineStr">
        <is>
          <t>지정되지않음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세로한면(불)</t>
        </is>
      </c>
    </row>
    <row r="1278">
      <c r="A1278" s="3" t="inlineStr">
        <is>
          <t>오송읍 오송리 206-3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96000</v>
      </c>
      <c r="G1278" s="4" t="n">
        <v>635</v>
      </c>
      <c r="H1278" s="4" t="n">
        <v>192</v>
      </c>
      <c r="I1278" s="5" t="n">
        <v>500</v>
      </c>
      <c r="J1278" s="5" t="n">
        <v>159.6</v>
      </c>
      <c r="K1278" s="3" t="inlineStr">
        <is>
          <t>힐스테이트 오송역퍼스트 앞 토지 매매</t>
        </is>
      </c>
      <c r="L1278" s="6">
        <f>HYPERLINK("https://fin.land.naver.com/articles/2648085186", "매물Link")</f>
        <v/>
      </c>
      <c r="M1278" s="6">
        <f>HYPERLINK("https://map.naver.com/p/search/오송읍 오송리 206-3", "지도Link")</f>
        <v/>
      </c>
      <c r="N1278" s="6">
        <f>HYPERLINK("http://www.eum.go.kr/web/ar/lu/luLandDet.jsp?pnu=4311325028102060003&amp;isNoScr=script&amp;mode=search", "토지이음")</f>
        <v/>
      </c>
      <c r="O1278" s="3" t="inlineStr">
        <is>
          <t>365</t>
        </is>
      </c>
      <c r="P1278" s="4" t="n">
        <v>1</v>
      </c>
      <c r="Q1278" s="4" t="n">
        <v>295</v>
      </c>
      <c r="R1278" s="3" t="inlineStr">
        <is>
          <t>지정되지않음</t>
        </is>
      </c>
      <c r="S1278" s="3" t="inlineStr">
        <is>
          <t>단독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세로각지(가)</t>
        </is>
      </c>
    </row>
    <row r="1279">
      <c r="A1279" s="3" t="inlineStr">
        <is>
          <t>오송읍 오송리 224-2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81500</v>
      </c>
      <c r="G1279" s="4" t="n">
        <v>538</v>
      </c>
      <c r="H1279" s="4" t="n">
        <v>163</v>
      </c>
      <c r="I1279" s="5" t="n">
        <v>500</v>
      </c>
      <c r="J1279" s="5" t="n">
        <v>136.5</v>
      </c>
      <c r="K1279" s="3" t="inlineStr">
        <is>
          <t>3산단초입 투자물건 2필지</t>
        </is>
      </c>
      <c r="L1279" s="6">
        <f>HYPERLINK("https://fin.land.naver.com/articles/2649702680", "매물Link")</f>
        <v/>
      </c>
      <c r="M1279" s="6">
        <f>HYPERLINK("https://map.naver.com/p/search/오송읍 오송리 224-2", "지도Link")</f>
        <v/>
      </c>
      <c r="N1279" s="6">
        <f>HYPERLINK("http://www.eum.go.kr/web/ar/lu/luLandDet.jsp?pnu=4311325028102240002&amp;isNoScr=script&amp;mode=search", "토지이음")</f>
        <v/>
      </c>
      <c r="O1279" s="3" t="inlineStr">
        <is>
          <t>금송</t>
        </is>
      </c>
      <c r="P1279" s="4" t="n">
        <v>1</v>
      </c>
      <c r="Q1279" s="4" t="n">
        <v>182</v>
      </c>
      <c r="R1279" s="3" t="inlineStr">
        <is>
          <t>지정되지않음</t>
        </is>
      </c>
      <c r="S1279" s="3" t="inlineStr">
        <is>
          <t>단독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오송리 242-2</t>
        </is>
      </c>
      <c r="B1280" s="3" t="inlineStr">
        <is>
          <t>계획관리지역</t>
        </is>
      </c>
      <c r="C1280" s="3" t="inlineStr">
        <is>
          <t>주유소용지</t>
        </is>
      </c>
      <c r="D1280" s="3" t="inlineStr">
        <is>
          <t>주유소용지</t>
        </is>
      </c>
      <c r="E1280" s="3" t="inlineStr">
        <is>
          <t>매매</t>
        </is>
      </c>
      <c r="F1280" s="4" t="n">
        <v>245000</v>
      </c>
      <c r="G1280" s="4" t="n">
        <v>810</v>
      </c>
      <c r="H1280" s="4" t="n">
        <v>245</v>
      </c>
      <c r="I1280" s="5" t="n">
        <v>1000</v>
      </c>
      <c r="J1280" s="5" t="n">
        <v>313.2</v>
      </c>
      <c r="K1280" s="3" t="inlineStr">
        <is>
          <t>6차선변 주유소현 휴업중 매매</t>
        </is>
      </c>
      <c r="L1280" s="6">
        <f>HYPERLINK("https://fin.land.naver.com/articles/2647193813", "매물Link")</f>
        <v/>
      </c>
      <c r="M1280" s="6">
        <f>HYPERLINK("https://map.naver.com/p/search/오송읍 오송리 242-2", "지도Link")</f>
        <v/>
      </c>
      <c r="N1280" s="6">
        <f>HYPERLINK("http://www.eum.go.kr/web/ar/lu/luLandDet.jsp?pnu=4311325028102420002&amp;isNoScr=script&amp;mode=search", "토지이음")</f>
        <v/>
      </c>
      <c r="O1280" s="3" t="inlineStr">
        <is>
          <t>한국토지중개</t>
        </is>
      </c>
      <c r="P1280" s="4" t="n">
        <v>1</v>
      </c>
      <c r="Q1280" s="4" t="n">
        <v>810</v>
      </c>
      <c r="R1280" s="3" t="inlineStr">
        <is>
          <t>지정되지않음</t>
        </is>
      </c>
      <c r="S1280" s="3" t="inlineStr">
        <is>
          <t>주상용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광대로한면</t>
        </is>
      </c>
    </row>
    <row r="1281">
      <c r="A1281" s="3" t="inlineStr">
        <is>
          <t>오송읍 오송리 242-2</t>
        </is>
      </c>
      <c r="B1281" s="3" t="inlineStr">
        <is>
          <t>계획관리지역</t>
        </is>
      </c>
      <c r="C1281" s="3" t="inlineStr">
        <is>
          <t>주유소용지</t>
        </is>
      </c>
      <c r="D1281" s="3" t="inlineStr">
        <is>
          <t>주유소용지</t>
        </is>
      </c>
      <c r="E1281" s="3" t="inlineStr">
        <is>
          <t>매매</t>
        </is>
      </c>
      <c r="F1281" s="4" t="n">
        <v>250000</v>
      </c>
      <c r="G1281" s="4" t="n">
        <v>809</v>
      </c>
      <c r="H1281" s="4" t="n">
        <v>245</v>
      </c>
      <c r="I1281" s="5" t="n">
        <v>1020.4</v>
      </c>
      <c r="J1281" s="5" t="n">
        <v>313.2</v>
      </c>
      <c r="K1281" s="3" t="inlineStr">
        <is>
          <t>배후시장 탄탄한 6차선 대로변 토지</t>
        </is>
      </c>
      <c r="L1281" s="6">
        <f>HYPERLINK("https://fin.land.naver.com/articles/2651523803", "매물Link")</f>
        <v/>
      </c>
      <c r="M1281" s="6">
        <f>HYPERLINK("https://map.naver.com/p/search/오송읍 오송리 242-2", "지도Link")</f>
        <v/>
      </c>
      <c r="N1281" s="6">
        <f>HYPERLINK("http://www.eum.go.kr/web/ar/lu/luLandDet.jsp?pnu=4311325028102420002&amp;isNoScr=script&amp;mode=search", "토지이음")</f>
        <v/>
      </c>
      <c r="O1281" s="3" t="inlineStr">
        <is>
          <t>한국토지중개</t>
        </is>
      </c>
      <c r="P1281" s="4" t="n">
        <v>1</v>
      </c>
      <c r="Q1281" s="4" t="n">
        <v>810</v>
      </c>
      <c r="R1281" s="3" t="inlineStr">
        <is>
          <t>지정되지않음</t>
        </is>
      </c>
      <c r="S1281" s="3" t="inlineStr">
        <is>
          <t>주상용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광대로한면</t>
        </is>
      </c>
    </row>
    <row r="1282">
      <c r="A1282" s="3" t="inlineStr">
        <is>
          <t>오송읍 오송리 242-21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32000</v>
      </c>
      <c r="G1282" s="4" t="n">
        <v>300</v>
      </c>
      <c r="H1282" s="4" t="n">
        <v>91</v>
      </c>
      <c r="I1282" s="5" t="n">
        <v>351.6</v>
      </c>
      <c r="J1282" s="5" t="n">
        <v>84.5</v>
      </c>
      <c r="K1282" s="3" t="inlineStr">
        <is>
          <t>3산단 예정지 배후, 임대수익형 다가구 자리
3산단 배후지, 임대수익형</t>
        </is>
      </c>
      <c r="L1282" s="6">
        <f>HYPERLINK("https://fin.land.naver.com/articles/2649702126", "매물Link")</f>
        <v/>
      </c>
      <c r="M1282" s="6">
        <f>HYPERLINK("https://map.naver.com/p/search/오송읍 오송리 242-21", "지도Link")</f>
        <v/>
      </c>
      <c r="N1282" s="6">
        <f>HYPERLINK("http://www.eum.go.kr/web/ar/lu/luLandDet.jsp?pnu=4311325028102420021&amp;isNoScr=script&amp;mode=search", "토지이음")</f>
        <v/>
      </c>
      <c r="O1282" s="3" t="inlineStr">
        <is>
          <t>금송</t>
        </is>
      </c>
      <c r="P1282" s="4" t="n">
        <v>1</v>
      </c>
      <c r="Q1282" s="4" t="n">
        <v>165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세로한면(가)</t>
        </is>
      </c>
    </row>
    <row r="1283">
      <c r="A1283" s="3" t="inlineStr">
        <is>
          <t>오송읍 오송리 245-4</t>
        </is>
      </c>
      <c r="B1283" s="3" t="inlineStr">
        <is>
          <t>계획관리지역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120000</v>
      </c>
      <c r="G1283" s="4" t="n">
        <v>976</v>
      </c>
      <c r="H1283" s="4" t="n">
        <v>295</v>
      </c>
      <c r="I1283" s="5" t="n">
        <v>406.8</v>
      </c>
      <c r="J1283" s="5" t="n">
        <v>103.7</v>
      </c>
      <c r="K1283" s="3" t="inlineStr">
        <is>
          <t>오송3리 오송천주교회와 3산산단 경계부의 사업용 토지</t>
        </is>
      </c>
      <c r="L1283" s="6">
        <f>HYPERLINK("https://fin.land.naver.com/articles/2649169945", "매물Link")</f>
        <v/>
      </c>
      <c r="M1283" s="6">
        <f>HYPERLINK("https://map.naver.com/p/search/오송읍 오송리 245-4", "지도Link")</f>
        <v/>
      </c>
      <c r="N1283" s="6">
        <f>HYPERLINK("http://www.eum.go.kr/web/ar/lu/luLandDet.jsp?pnu=4311325028102450004&amp;isNoScr=script&amp;mode=search", "토지이음")</f>
        <v/>
      </c>
      <c r="O1283" s="3" t="inlineStr">
        <is>
          <t>오송k랜드</t>
        </is>
      </c>
      <c r="P1283" s="4" t="n">
        <v>1</v>
      </c>
      <c r="Q1283" s="4" t="n">
        <v>700</v>
      </c>
      <c r="R1283" s="3" t="inlineStr">
        <is>
          <t>지정되지않음</t>
        </is>
      </c>
      <c r="S1283" s="3" t="inlineStr">
        <is>
          <t>답기타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세로한면(가)</t>
        </is>
      </c>
    </row>
    <row r="1284">
      <c r="A1284" s="3" t="inlineStr">
        <is>
          <t>오송읍 오송리 246-52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150000</v>
      </c>
      <c r="G1284" s="4" t="n">
        <v>911</v>
      </c>
      <c r="H1284" s="4" t="n">
        <v>276</v>
      </c>
      <c r="I1284" s="5" t="n">
        <v>543.5</v>
      </c>
      <c r="J1284" s="5" t="n">
        <v>163.6</v>
      </c>
      <c r="K1284" s="3" t="inlineStr">
        <is>
          <t>현재 나대지 3산단개발 호재로 투자가치 최고의땅</t>
        </is>
      </c>
      <c r="L1284" s="6">
        <f>HYPERLINK("https://fin.land.naver.com/articles/2651378175", "매물Link")</f>
        <v/>
      </c>
      <c r="M1284" s="6">
        <f>HYPERLINK("https://map.naver.com/p/search/오송읍 오송리 246-52", "지도Link")</f>
        <v/>
      </c>
      <c r="N1284" s="6">
        <f>HYPERLINK("http://www.eum.go.kr/web/ar/lu/luLandDet.jsp?pnu=4311325028102460052&amp;isNoScr=script&amp;mode=search", "토지이음")</f>
        <v/>
      </c>
      <c r="O1284" s="3" t="inlineStr">
        <is>
          <t>오송올래</t>
        </is>
      </c>
      <c r="P1284" s="4" t="n">
        <v>1</v>
      </c>
      <c r="Q1284" s="4" t="n">
        <v>667</v>
      </c>
      <c r="R1284" s="3" t="inlineStr">
        <is>
          <t>지정되지않음</t>
        </is>
      </c>
      <c r="S1284" s="3" t="inlineStr">
        <is>
          <t>공업용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오송읍 오송리 246-53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330000</v>
      </c>
      <c r="G1285" s="4" t="n">
        <v>2011</v>
      </c>
      <c r="H1285" s="4" t="n">
        <v>608</v>
      </c>
      <c r="I1285" s="5" t="n">
        <v>542.8</v>
      </c>
      <c r="J1285" s="5" t="n">
        <v>110.3</v>
      </c>
      <c r="K1285" s="3" t="inlineStr">
        <is>
          <t>오송농협 36국도인접 계획관리지역,  실사업용 추천물건
오송제3산단 경</t>
        </is>
      </c>
      <c r="L1285" s="6">
        <f>HYPERLINK("https://fin.land.naver.com/articles/2648239506", "매물Link")</f>
        <v/>
      </c>
      <c r="M1285" s="6">
        <f>HYPERLINK("https://map.naver.com/p/search/오송읍 오송리 246-53", "지도Link")</f>
        <v/>
      </c>
      <c r="N1285" s="6">
        <f>HYPERLINK("http://www.eum.go.kr/web/ar/lu/luLandDet.jsp?pnu=4311325028102460053&amp;isNoScr=script&amp;mode=search",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2011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오송리 60-104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70000</v>
      </c>
      <c r="G1286" s="4" t="n">
        <v>286</v>
      </c>
      <c r="H1286" s="4" t="n">
        <v>87</v>
      </c>
      <c r="I1286" s="5" t="n">
        <v>804.6</v>
      </c>
      <c r="J1286" s="5" t="n">
        <v>234</v>
      </c>
      <c r="K1286" s="3" t="inlineStr">
        <is>
          <t>힐스테이트 맞은편 대 매매</t>
        </is>
      </c>
      <c r="L1286" s="6">
        <f>HYPERLINK("https://fin.land.naver.com/articles/2649964725", "매물Link")</f>
        <v/>
      </c>
      <c r="M1286" s="6">
        <f>HYPERLINK("https://map.naver.com/p/search/오송읍 오송리 60-104", "지도Link")</f>
        <v/>
      </c>
      <c r="N1286" s="6">
        <f>HYPERLINK("http://www.eum.go.kr/web/ar/lu/luLandDet.jsp?pnu=4311325028100600104&amp;isNoScr=script&amp;mode=search", "토지이음")</f>
        <v/>
      </c>
      <c r="O1286" s="3" t="inlineStr">
        <is>
          <t>광장</t>
        </is>
      </c>
      <c r="P1286" s="4" t="n">
        <v>1</v>
      </c>
      <c r="Q1286" s="4" t="n">
        <v>286</v>
      </c>
      <c r="R1286" s="3" t="inlineStr">
        <is>
          <t>지정되지않음</t>
        </is>
      </c>
      <c r="S1286" s="3" t="inlineStr">
        <is>
          <t>단독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소로한면</t>
        </is>
      </c>
    </row>
    <row r="1287">
      <c r="A1287" s="3" t="inlineStr">
        <is>
          <t>오송읍 정중리 206-5</t>
        </is>
      </c>
      <c r="B1287" s="3" t="inlineStr">
        <is>
          <t>계획관리지역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15000</v>
      </c>
      <c r="G1287" s="4" t="n">
        <v>278</v>
      </c>
      <c r="H1287" s="4" t="n">
        <v>84</v>
      </c>
      <c r="I1287" s="5" t="n">
        <v>178.6</v>
      </c>
      <c r="J1287" s="5" t="n">
        <v>62.7</v>
      </c>
      <c r="K1287" s="3" t="inlineStr">
        <is>
          <t>강추 매물 계획관리지역, 땅 소액투자, 미래가치성 좋음</t>
        </is>
      </c>
      <c r="L1287" s="6">
        <f>HYPERLINK("https://fin.land.naver.com/articles/2650556418", "매물Link")</f>
        <v/>
      </c>
      <c r="M1287" s="6">
        <f>HYPERLINK("https://map.naver.com/p/search/오송읍 정중리 206-5", "지도Link")</f>
        <v/>
      </c>
      <c r="N1287" s="6">
        <f>HYPERLINK("http://www.eum.go.kr/web/ar/lu/luLandDet.jsp?pnu=4311325032102060005&amp;isNoScr=script&amp;mode=search", "토지이음")</f>
        <v/>
      </c>
      <c r="O1287" s="3" t="inlineStr">
        <is>
          <t>현담</t>
        </is>
      </c>
      <c r="P1287" s="4" t="n">
        <v>1</v>
      </c>
      <c r="Q1287" s="4" t="n">
        <v>278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오송읍 정중리 317-1</t>
        </is>
      </c>
      <c r="B1288" s="3" t="inlineStr">
        <is>
          <t>농림지역</t>
        </is>
      </c>
      <c r="C1288" s="3" t="inlineStr">
        <is>
          <t>잡종지</t>
        </is>
      </c>
      <c r="D1288" s="3" t="inlineStr">
        <is>
          <t>잡종지</t>
        </is>
      </c>
      <c r="E1288" s="3" t="inlineStr">
        <is>
          <t>매매</t>
        </is>
      </c>
      <c r="F1288" s="4" t="n">
        <v>180000</v>
      </c>
      <c r="G1288" s="4" t="n">
        <v>11497</v>
      </c>
      <c r="H1288" s="4" t="n">
        <v>3478</v>
      </c>
      <c r="I1288" s="5" t="n">
        <v>51.8</v>
      </c>
      <c r="J1288" s="5" t="n">
        <v>25.2</v>
      </c>
      <c r="K1288" s="3" t="inlineStr">
        <is>
          <t>오송KTX역 및 오송바이오2산단 인근  2차선 도로접한 창고 및 토지</t>
        </is>
      </c>
      <c r="L1288" s="6">
        <f>HYPERLINK("https://fin.land.naver.com/articles/2646727754", "매물Link")</f>
        <v/>
      </c>
      <c r="M1288" s="6">
        <f>HYPERLINK("https://map.naver.com/p/search/오송읍 정중리 317-1", "지도Link")</f>
        <v/>
      </c>
      <c r="N1288" s="6">
        <f>HYPERLINK("http://www.eum.go.kr/web/ar/lu/luLandDet.jsp?pnu=4311325032103170001&amp;isNoScr=script&amp;mode=search", "토지이음")</f>
        <v/>
      </c>
      <c r="O1288" s="3" t="inlineStr">
        <is>
          <t>번영</t>
        </is>
      </c>
      <c r="P1288" s="4" t="n">
        <v>1</v>
      </c>
      <c r="Q1288" s="4" t="n">
        <v>237</v>
      </c>
      <c r="R1288" s="3" t="inlineStr">
        <is>
          <t>지정되지않음</t>
        </is>
      </c>
      <c r="S1288" s="3" t="inlineStr">
        <is>
          <t>답창고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오송읍 정중리 634</t>
        </is>
      </c>
      <c r="B1289" s="3" t="inlineStr">
        <is>
          <t>일반공업지역</t>
        </is>
      </c>
      <c r="C1289" s="3" t="inlineStr">
        <is>
          <t>공장용지</t>
        </is>
      </c>
      <c r="D1289" s="3" t="inlineStr">
        <is>
          <t>공장용지</t>
        </is>
      </c>
      <c r="E1289" s="3" t="inlineStr">
        <is>
          <t>매매</t>
        </is>
      </c>
      <c r="F1289" s="4" t="n">
        <v>1416100</v>
      </c>
      <c r="G1289" s="4" t="n">
        <v>27537</v>
      </c>
      <c r="H1289" s="4" t="n">
        <v>8330</v>
      </c>
      <c r="I1289" s="5" t="n">
        <v>170</v>
      </c>
      <c r="J1289" s="5" t="n">
        <v>74.40000000000001</v>
      </c>
      <c r="K1289" s="3" t="inlineStr">
        <is>
          <t>nan</t>
        </is>
      </c>
      <c r="L1289" s="6">
        <f>HYPERLINK("https://fin.land.naver.com/articles/2646479249", "매물Link")</f>
        <v/>
      </c>
      <c r="M1289" s="6">
        <f>HYPERLINK("https://map.naver.com/p/search/오송읍 정중리 634", "지도Link")</f>
        <v/>
      </c>
      <c r="N1289" s="6">
        <f>HYPERLINK("http://www.eum.go.kr/web/ar/lu/luLandDet.jsp?pnu=4311325032106340000&amp;isNoScr=script&amp;mode=search", "토지이음")</f>
        <v/>
      </c>
      <c r="O1289" s="3" t="inlineStr">
        <is>
          <t>스마트랜드</t>
        </is>
      </c>
      <c r="P1289" s="4" t="n">
        <v>1</v>
      </c>
      <c r="Q1289" s="4" t="n">
        <v>27537.3</v>
      </c>
      <c r="R1289" s="3" t="inlineStr">
        <is>
          <t>지정되지않음</t>
        </is>
      </c>
      <c r="S1289" s="3" t="inlineStr">
        <is>
          <t>공업기타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광대소각</t>
        </is>
      </c>
    </row>
    <row r="1290">
      <c r="A1290" s="3" t="inlineStr">
        <is>
          <t>오송읍 정중리 704</t>
        </is>
      </c>
      <c r="B1290" s="3" t="inlineStr">
        <is>
          <t>준공업지역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140000</v>
      </c>
      <c r="G1290" s="4" t="n">
        <v>548</v>
      </c>
      <c r="H1290" s="4" t="n">
        <v>166</v>
      </c>
      <c r="I1290" s="5" t="n">
        <v>843.4</v>
      </c>
      <c r="J1290" s="5" t="n">
        <v>347.1</v>
      </c>
      <c r="K1290" s="3" t="inlineStr">
        <is>
          <t>급매, 오송 국민체육센터 인근 토지 매매</t>
        </is>
      </c>
      <c r="L1290" s="6">
        <f>HYPERLINK("https://fin.land.naver.com/articles/2648308447", "매물Link")</f>
        <v/>
      </c>
      <c r="M1290" s="6">
        <f>HYPERLINK("https://map.naver.com/p/search/오송읍 정중리 704", "지도Link")</f>
        <v/>
      </c>
      <c r="N1290" s="6">
        <f>HYPERLINK("http://www.eum.go.kr/web/ar/lu/luLandDet.jsp?pnu=4311325032107040000&amp;isNoScr=script&amp;mode=search", "토지이음")</f>
        <v/>
      </c>
      <c r="O1290" s="3" t="inlineStr">
        <is>
          <t>광장</t>
        </is>
      </c>
      <c r="P1290" s="4" t="n">
        <v>1</v>
      </c>
      <c r="Q1290" s="4" t="n">
        <v>548.8</v>
      </c>
      <c r="R1290" s="3" t="inlineStr">
        <is>
          <t>지정되지않음</t>
        </is>
      </c>
      <c r="S1290" s="3" t="inlineStr">
        <is>
          <t>상업기타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중로각지</t>
        </is>
      </c>
    </row>
    <row r="1291">
      <c r="A1291" s="3" t="inlineStr">
        <is>
          <t>오송읍 정중리 704</t>
        </is>
      </c>
      <c r="B1291" s="3" t="inlineStr">
        <is>
          <t>준공업지역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150000</v>
      </c>
      <c r="G1291" s="4" t="n">
        <v>548</v>
      </c>
      <c r="H1291" s="4" t="n">
        <v>166</v>
      </c>
      <c r="I1291" s="5" t="n">
        <v>903.6</v>
      </c>
      <c r="J1291" s="5" t="n">
        <v>347.1</v>
      </c>
      <c r="K1291" s="3" t="inlineStr">
        <is>
          <t>대도로변 네모반듯한 지원시설용지 매매</t>
        </is>
      </c>
      <c r="L1291" s="6">
        <f>HYPERLINK("https://fin.land.naver.com/articles/2650957841", "매물Link")</f>
        <v/>
      </c>
      <c r="M1291" s="6">
        <f>HYPERLINK("https://map.naver.com/p/search/오송읍 정중리 704", "지도Link")</f>
        <v/>
      </c>
      <c r="N1291" s="6">
        <f>HYPERLINK("http://www.eum.go.kr/web/ar/lu/luLandDet.jsp?pnu=4311325032107040000&amp;isNoScr=script&amp;mode=search", "토지이음")</f>
        <v/>
      </c>
      <c r="O1291" s="3" t="inlineStr">
        <is>
          <t>오송미소</t>
        </is>
      </c>
      <c r="P1291" s="4" t="n">
        <v>2</v>
      </c>
      <c r="Q1291" s="4" t="n">
        <v>548.8</v>
      </c>
      <c r="R1291" s="3" t="inlineStr">
        <is>
          <t>지정되지않음</t>
        </is>
      </c>
      <c r="S1291" s="3" t="inlineStr">
        <is>
          <t>상업기타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중로각지</t>
        </is>
      </c>
    </row>
    <row r="1292">
      <c r="A1292" s="3" t="inlineStr">
        <is>
          <t>오송읍 정중리 704</t>
        </is>
      </c>
      <c r="B1292" s="3" t="inlineStr">
        <is>
          <t>준공업지역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150000</v>
      </c>
      <c r="G1292" s="4" t="n">
        <v>548</v>
      </c>
      <c r="H1292" s="4" t="n">
        <v>166</v>
      </c>
      <c r="I1292" s="5" t="n">
        <v>903.6</v>
      </c>
      <c r="J1292" s="5" t="n">
        <v>347.1</v>
      </c>
      <c r="K1292" s="3" t="inlineStr">
        <is>
          <t>오송 정중리 상가 신축 가능한 투자용지</t>
        </is>
      </c>
      <c r="L1292" s="6">
        <f>HYPERLINK("https://fin.land.naver.com/articles/2647850811", "매물Link")</f>
        <v/>
      </c>
      <c r="M1292" s="6">
        <f>HYPERLINK("https://map.naver.com/p/search/오송읍 정중리 704", "지도Link")</f>
        <v/>
      </c>
      <c r="N1292" s="6">
        <f>HYPERLINK("http://www.eum.go.kr/web/ar/lu/luLandDet.jsp?pnu=4311325032107040000&amp;isNoScr=script&amp;mode=search", "토지이음")</f>
        <v/>
      </c>
      <c r="O1292" s="3" t="inlineStr">
        <is>
          <t>성진</t>
        </is>
      </c>
      <c r="P1292" s="4" t="n">
        <v>1</v>
      </c>
      <c r="Q1292" s="4" t="n">
        <v>548.8</v>
      </c>
      <c r="R1292" s="3" t="inlineStr">
        <is>
          <t>지정되지않음</t>
        </is>
      </c>
      <c r="S1292" s="3" t="inlineStr">
        <is>
          <t>상업기타</t>
        </is>
      </c>
      <c r="T1292" s="3" t="inlineStr">
        <is>
          <t>평지</t>
        </is>
      </c>
      <c r="U1292" s="3" t="inlineStr">
        <is>
          <t>세로장방</t>
        </is>
      </c>
      <c r="V1292" s="3" t="inlineStr">
        <is>
          <t>중로각지</t>
        </is>
      </c>
    </row>
    <row r="1293">
      <c r="A1293" s="3" t="inlineStr">
        <is>
          <t>오송읍 정중리 707</t>
        </is>
      </c>
      <c r="B1293" s="3" t="inlineStr">
        <is>
          <t>준공업지역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380000</v>
      </c>
      <c r="G1293" s="4" t="n">
        <v>1143</v>
      </c>
      <c r="H1293" s="4" t="n">
        <v>346</v>
      </c>
      <c r="I1293" s="5" t="n">
        <v>1098.3</v>
      </c>
      <c r="J1293" s="5" t="n">
        <v>407.6</v>
      </c>
      <c r="K1293" s="3" t="inlineStr">
        <is>
          <t>오송 2산단 사거리 코너자리 지원시설용지</t>
        </is>
      </c>
      <c r="L1293" s="6">
        <f>HYPERLINK("https://fin.land.naver.com/articles/2647618969", "매물Link")</f>
        <v/>
      </c>
      <c r="M1293" s="6">
        <f>HYPERLINK("https://map.naver.com/p/search/오송읍 정중리 707", "지도Link")</f>
        <v/>
      </c>
      <c r="N1293" s="6">
        <f>HYPERLINK("http://www.eum.go.kr/web/ar/lu/luLandDet.jsp?pnu=4311325032107070000&amp;isNoScr=script&amp;mode=search", "토지이음")</f>
        <v/>
      </c>
      <c r="O1293" s="3" t="inlineStr">
        <is>
          <t>아임</t>
        </is>
      </c>
      <c r="P1293" s="4" t="n">
        <v>1</v>
      </c>
      <c r="Q1293" s="4" t="n">
        <v>558.8</v>
      </c>
      <c r="R1293" s="3" t="inlineStr">
        <is>
          <t>지정되지않음</t>
        </is>
      </c>
      <c r="S1293" s="3" t="inlineStr">
        <is>
          <t>상업기타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광대소각</t>
        </is>
      </c>
    </row>
    <row r="1294">
      <c r="A1294" s="3" t="inlineStr">
        <is>
          <t>오송읍 정중리 746</t>
        </is>
      </c>
      <c r="B1294" s="3" t="inlineStr">
        <is>
          <t>준공업지역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215000</v>
      </c>
      <c r="G1294" s="4" t="n">
        <v>639</v>
      </c>
      <c r="H1294" s="4" t="n">
        <v>193</v>
      </c>
      <c r="I1294" s="5" t="n">
        <v>1114</v>
      </c>
      <c r="J1294" s="5" t="n">
        <v>388.1</v>
      </c>
      <c r="K1294" s="3" t="inlineStr">
        <is>
          <t>3면코너 입지 입지 최상 건폐율70 6층이하 건축가능</t>
        </is>
      </c>
      <c r="L1294" s="6">
        <f>HYPERLINK("https://fin.land.naver.com/articles/2649903725", "매물Link")</f>
        <v/>
      </c>
      <c r="M1294" s="6">
        <f>HYPERLINK("https://map.naver.com/p/search/오송읍 정중리 746", "지도Link")</f>
        <v/>
      </c>
      <c r="N1294" s="6">
        <f>HYPERLINK("http://www.eum.go.kr/web/ar/lu/luLandDet.jsp?pnu=4311325032107460000&amp;isNoScr=script&amp;mode=search", "토지이음")</f>
        <v/>
      </c>
      <c r="O1294" s="3" t="inlineStr">
        <is>
          <t>프렌즈</t>
        </is>
      </c>
      <c r="P1294" s="4" t="n">
        <v>1</v>
      </c>
      <c r="Q1294" s="4" t="n">
        <v>639</v>
      </c>
      <c r="R1294" s="3" t="inlineStr">
        <is>
          <t>지정되지않음</t>
        </is>
      </c>
      <c r="S1294" s="3" t="inlineStr">
        <is>
          <t>상업기타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광대소각</t>
        </is>
      </c>
    </row>
    <row r="1295">
      <c r="A1295" s="3" t="inlineStr">
        <is>
          <t>오송읍 정중리 755</t>
        </is>
      </c>
      <c r="B1295" s="3" t="inlineStr">
        <is>
          <t>준공업지역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240000</v>
      </c>
      <c r="G1295" s="4" t="n">
        <v>668</v>
      </c>
      <c r="H1295" s="4" t="n">
        <v>202</v>
      </c>
      <c r="I1295" s="5" t="n">
        <v>1188.1</v>
      </c>
      <c r="J1295" s="5" t="n">
        <v>361</v>
      </c>
      <c r="K1295" s="3" t="inlineStr">
        <is>
          <t>오송2산단내 지원시설용지,바로앞 아파트대단지 입주예정,</t>
        </is>
      </c>
      <c r="L1295" s="6">
        <f>HYPERLINK("https://fin.land.naver.com/articles/2651054162", "매물Link")</f>
        <v/>
      </c>
      <c r="M1295" s="6">
        <f>HYPERLINK("https://map.naver.com/p/search/오송읍 정중리 755", "지도Link")</f>
        <v/>
      </c>
      <c r="N1295" s="6">
        <f>HYPERLINK("http://www.eum.go.kr/web/ar/lu/luLandDet.jsp?pnu=4311325032107550000&amp;isNoScr=script&amp;mode=search", "토지이음")</f>
        <v/>
      </c>
      <c r="O1295" s="3" t="inlineStr">
        <is>
          <t>담뜰</t>
        </is>
      </c>
      <c r="P1295" s="4" t="n">
        <v>1</v>
      </c>
      <c r="Q1295" s="4" t="n">
        <v>668.8</v>
      </c>
      <c r="R1295" s="3" t="inlineStr">
        <is>
          <t>지정되지않음</t>
        </is>
      </c>
      <c r="S1295" s="3" t="inlineStr">
        <is>
          <t>상업기타</t>
        </is>
      </c>
      <c r="T1295" s="3" t="inlineStr">
        <is>
          <t>평지</t>
        </is>
      </c>
      <c r="U1295" s="3" t="inlineStr">
        <is>
          <t>가로장방</t>
        </is>
      </c>
      <c r="V1295" s="3" t="inlineStr">
        <is>
          <t>중로각지</t>
        </is>
      </c>
    </row>
    <row r="1296">
      <c r="A1296" s="3" t="inlineStr">
        <is>
          <t>오송읍 정중리 760</t>
        </is>
      </c>
      <c r="B1296" s="3" t="inlineStr">
        <is>
          <t>준공업지역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225000</v>
      </c>
      <c r="G1296" s="4" t="n">
        <v>559</v>
      </c>
      <c r="H1296" s="4" t="n">
        <v>169</v>
      </c>
      <c r="I1296" s="5" t="n">
        <v>1331.4</v>
      </c>
      <c r="J1296" s="5" t="n">
        <v>407.6</v>
      </c>
      <c r="K1296" s="3" t="inlineStr">
        <is>
          <t>오송 2산단  지원시설용지 코너각지,회사 사옥부지 적합</t>
        </is>
      </c>
      <c r="L1296" s="6">
        <f>HYPERLINK("https://fin.land.naver.com/articles/2646727438", "매물Link")</f>
        <v/>
      </c>
      <c r="M1296" s="6">
        <f>HYPERLINK("https://map.naver.com/p/search/오송읍 정중리 760", "지도Link")</f>
        <v/>
      </c>
      <c r="N1296" s="6">
        <f>HYPERLINK("http://www.eum.go.kr/web/ar/lu/luLandDet.jsp?pnu=4311325032107600000&amp;isNoScr=script&amp;mode=search", "토지이음")</f>
        <v/>
      </c>
      <c r="O1296" s="3" t="inlineStr">
        <is>
          <t>오송타운</t>
        </is>
      </c>
      <c r="P1296" s="4" t="n">
        <v>1</v>
      </c>
      <c r="Q1296" s="4" t="n">
        <v>559</v>
      </c>
      <c r="R1296" s="3" t="inlineStr">
        <is>
          <t>지정되지않음</t>
        </is>
      </c>
      <c r="S1296" s="3" t="inlineStr">
        <is>
          <t>상업기타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광대소각</t>
        </is>
      </c>
    </row>
    <row r="1297">
      <c r="A1297" s="3" t="inlineStr">
        <is>
          <t>오송읍 정중리 763</t>
        </is>
      </c>
      <c r="B1297" s="3" t="inlineStr">
        <is>
          <t>준공업지역</t>
        </is>
      </c>
      <c r="C1297" s="3" t="inlineStr">
        <is>
          <t>주차장</t>
        </is>
      </c>
      <c r="D1297" s="3" t="inlineStr">
        <is>
          <t>대</t>
        </is>
      </c>
      <c r="E1297" s="3" t="inlineStr">
        <is>
          <t>매매</t>
        </is>
      </c>
      <c r="F1297" s="4" t="n">
        <v>230000</v>
      </c>
      <c r="G1297" s="4" t="n">
        <v>1112</v>
      </c>
      <c r="H1297" s="4" t="n">
        <v>336</v>
      </c>
      <c r="I1297" s="5" t="n">
        <v>684.5</v>
      </c>
      <c r="J1297" s="5" t="n">
        <v>179.5</v>
      </c>
      <c r="K1297" s="3" t="inlineStr">
        <is>
          <t>산단 회식 수요 흡수하는 외식업 핵심 토지</t>
        </is>
      </c>
      <c r="L1297" s="6">
        <f>HYPERLINK("https://fin.land.naver.com/articles/2646877471", "매물Link")</f>
        <v/>
      </c>
      <c r="M1297" s="6">
        <f>HYPERLINK("https://map.naver.com/p/search/오송읍 정중리 763", "지도Link")</f>
        <v/>
      </c>
      <c r="N1297" s="6">
        <f>HYPERLINK("http://www.eum.go.kr/web/ar/lu/luLandDet.jsp?pnu=4311325032107630000&amp;isNoScr=script&amp;mode=search", "토지이음")</f>
        <v/>
      </c>
      <c r="O1297" s="3" t="inlineStr">
        <is>
          <t>우영</t>
        </is>
      </c>
      <c r="P1297" s="4" t="n">
        <v>1</v>
      </c>
      <c r="Q1297" s="4" t="n">
        <v>1112.9</v>
      </c>
      <c r="R1297" s="3" t="inlineStr">
        <is>
          <t>지정되지않음</t>
        </is>
      </c>
      <c r="S1297" s="3" t="inlineStr">
        <is>
          <t>주차장등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중로각지</t>
        </is>
      </c>
    </row>
    <row r="1298">
      <c r="A1298" s="3" t="inlineStr">
        <is>
          <t>오송읍 정중리 764</t>
        </is>
      </c>
      <c r="B1298" s="3" t="inlineStr">
        <is>
          <t>준공업지역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125020</v>
      </c>
      <c r="G1298" s="4" t="n">
        <v>590</v>
      </c>
      <c r="H1298" s="4" t="n">
        <v>178</v>
      </c>
      <c r="I1298" s="5" t="n">
        <v>702.4</v>
      </c>
      <c r="J1298" s="5" t="n">
        <v>256.4</v>
      </c>
      <c r="K1298" s="3" t="inlineStr">
        <is>
          <t>지금 잡아야 하는 오송 산단 배후 핵심 토지</t>
        </is>
      </c>
      <c r="L1298" s="6">
        <f>HYPERLINK("https://fin.land.naver.com/articles/2646878988", "매물Link")</f>
        <v/>
      </c>
      <c r="M1298" s="6">
        <f>HYPERLINK("https://map.naver.com/p/search/오송읍 정중리 764", "지도Link")</f>
        <v/>
      </c>
      <c r="N1298" s="6">
        <f>HYPERLINK("http://www.eum.go.kr/web/ar/lu/luLandDet.jsp?pnu=4311325032107640000&amp;isNoScr=script&amp;mode=search", "토지이음")</f>
        <v/>
      </c>
      <c r="O1298" s="3" t="inlineStr">
        <is>
          <t>우영</t>
        </is>
      </c>
      <c r="P1298" s="4" t="n">
        <v>1</v>
      </c>
      <c r="Q1298" s="4" t="n">
        <v>590.7</v>
      </c>
      <c r="R1298" s="3" t="inlineStr">
        <is>
          <t>지정되지않음</t>
        </is>
      </c>
      <c r="S1298" s="3" t="inlineStr">
        <is>
          <t>상업기타</t>
        </is>
      </c>
      <c r="T1298" s="3" t="inlineStr">
        <is>
          <t>평지</t>
        </is>
      </c>
      <c r="U1298" s="3" t="inlineStr">
        <is>
          <t>정방형</t>
        </is>
      </c>
      <c r="V1298" s="3" t="inlineStr">
        <is>
          <t>중로한면</t>
        </is>
      </c>
    </row>
    <row r="1299">
      <c r="A1299" s="3" t="inlineStr">
        <is>
          <t>오송읍 정중리 768</t>
        </is>
      </c>
      <c r="B1299" s="3" t="inlineStr">
        <is>
          <t>준공업지역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105000</v>
      </c>
      <c r="G1299" s="4" t="n">
        <v>590</v>
      </c>
      <c r="H1299" s="4" t="n">
        <v>178</v>
      </c>
      <c r="I1299" s="5" t="n">
        <v>589.9</v>
      </c>
      <c r="J1299" s="5" t="n">
        <v>256.4</v>
      </c>
      <c r="K1299" s="3" t="inlineStr">
        <is>
          <t>지원시설용지 매매</t>
        </is>
      </c>
      <c r="L1299" s="6">
        <f>HYPERLINK("https://fin.land.naver.com/articles/2646658303", "매물Link")</f>
        <v/>
      </c>
      <c r="M1299" s="6">
        <f>HYPERLINK("https://map.naver.com/p/search/오송읍 정중리 768", "지도Link")</f>
        <v/>
      </c>
      <c r="N1299" s="6">
        <f>HYPERLINK("http://www.eum.go.kr/web/ar/lu/luLandDet.jsp?pnu=4311325032107680000&amp;isNoScr=script&amp;mode=search", "토지이음")</f>
        <v/>
      </c>
      <c r="O1299" s="3" t="inlineStr">
        <is>
          <t>대한민국</t>
        </is>
      </c>
      <c r="P1299" s="4" t="n">
        <v>1</v>
      </c>
      <c r="Q1299" s="4" t="n">
        <v>590.3</v>
      </c>
      <c r="R1299" s="3" t="inlineStr">
        <is>
          <t>지정되지않음</t>
        </is>
      </c>
      <c r="S1299" s="3" t="inlineStr">
        <is>
          <t>상업나지</t>
        </is>
      </c>
      <c r="T1299" s="3" t="inlineStr">
        <is>
          <t>평지</t>
        </is>
      </c>
      <c r="U1299" s="3" t="inlineStr">
        <is>
          <t>정방형</t>
        </is>
      </c>
      <c r="V1299" s="3" t="inlineStr">
        <is>
          <t>중로한면</t>
        </is>
      </c>
    </row>
    <row r="1300">
      <c r="A1300" s="3" t="inlineStr">
        <is>
          <t>오송읍 정중리 768</t>
        </is>
      </c>
      <c r="B1300" s="3" t="inlineStr">
        <is>
          <t>준공업지역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143000</v>
      </c>
      <c r="G1300" s="4" t="n">
        <v>590</v>
      </c>
      <c r="H1300" s="4" t="n">
        <v>178</v>
      </c>
      <c r="I1300" s="5" t="n">
        <v>803.4</v>
      </c>
      <c r="J1300" s="5" t="n">
        <v>256.4</v>
      </c>
      <c r="K1300" s="3" t="inlineStr">
        <is>
          <t>신도시 대단지아파트인접  지원시설용지</t>
        </is>
      </c>
      <c r="L1300" s="6">
        <f>HYPERLINK("https://fin.land.naver.com/articles/2651351013", "매물Link")</f>
        <v/>
      </c>
      <c r="M1300" s="6">
        <f>HYPERLINK("https://map.naver.com/p/search/오송읍 정중리 768", "지도Link")</f>
        <v/>
      </c>
      <c r="N1300" s="6">
        <f>HYPERLINK("http://www.eum.go.kr/web/ar/lu/luLandDet.jsp?pnu=4311325032107680000&amp;isNoScr=script&amp;mode=search", "토지이음")</f>
        <v/>
      </c>
      <c r="O1300" s="3" t="inlineStr">
        <is>
          <t>오송원</t>
        </is>
      </c>
      <c r="P1300" s="4" t="n">
        <v>1</v>
      </c>
      <c r="Q1300" s="4" t="n">
        <v>590.3</v>
      </c>
      <c r="R1300" s="3" t="inlineStr">
        <is>
          <t>지정되지않음</t>
        </is>
      </c>
      <c r="S1300" s="3" t="inlineStr">
        <is>
          <t>상업나지</t>
        </is>
      </c>
      <c r="T1300" s="3" t="inlineStr">
        <is>
          <t>평지</t>
        </is>
      </c>
      <c r="U1300" s="3" t="inlineStr">
        <is>
          <t>정방형</t>
        </is>
      </c>
      <c r="V1300" s="3" t="inlineStr">
        <is>
          <t>중로한면</t>
        </is>
      </c>
    </row>
    <row r="1301">
      <c r="A1301" s="3" t="inlineStr">
        <is>
          <t>오송읍 정중리 768</t>
        </is>
      </c>
      <c r="B1301" s="3" t="inlineStr">
        <is>
          <t>준공업지역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105000</v>
      </c>
      <c r="G1301" s="4" t="n">
        <v>590</v>
      </c>
      <c r="H1301" s="4" t="n">
        <v>178</v>
      </c>
      <c r="I1301" s="5" t="n">
        <v>589.9</v>
      </c>
      <c r="J1301" s="5" t="n">
        <v>256.4</v>
      </c>
      <c r="K1301" s="3" t="inlineStr">
        <is>
          <t>nan</t>
        </is>
      </c>
      <c r="L1301" s="6">
        <f>HYPERLINK("https://fin.land.naver.com/articles/2646195570", "매물Link")</f>
        <v/>
      </c>
      <c r="M1301" s="6">
        <f>HYPERLINK("https://map.naver.com/p/search/오송읍 정중리 768", "지도Link")</f>
        <v/>
      </c>
      <c r="N1301" s="6">
        <f>HYPERLINK("http://www.eum.go.kr/web/ar/lu/luLandDet.jsp?pnu=4311325032107680000&amp;isNoScr=script&amp;mode=search", "토지이음")</f>
        <v/>
      </c>
      <c r="O1301" s="3" t="inlineStr">
        <is>
          <t>동행사무소</t>
        </is>
      </c>
      <c r="P1301" s="4" t="n">
        <v>1</v>
      </c>
      <c r="Q1301" s="4" t="n">
        <v>590.3</v>
      </c>
      <c r="R1301" s="3" t="inlineStr">
        <is>
          <t>지정되지않음</t>
        </is>
      </c>
      <c r="S1301" s="3" t="inlineStr">
        <is>
          <t>상업나지</t>
        </is>
      </c>
      <c r="T1301" s="3" t="inlineStr">
        <is>
          <t>평지</t>
        </is>
      </c>
      <c r="U1301" s="3" t="inlineStr">
        <is>
          <t>정방형</t>
        </is>
      </c>
      <c r="V1301" s="3" t="inlineStr">
        <is>
          <t>중로한면</t>
        </is>
      </c>
    </row>
    <row r="1302">
      <c r="A1302" s="3" t="inlineStr">
        <is>
          <t>오송읍 정중리 768</t>
        </is>
      </c>
      <c r="B1302" s="3" t="inlineStr">
        <is>
          <t>준공업지역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125000</v>
      </c>
      <c r="G1302" s="4" t="n">
        <v>590</v>
      </c>
      <c r="H1302" s="4" t="n">
        <v>178</v>
      </c>
      <c r="I1302" s="5" t="n">
        <v>702.2</v>
      </c>
      <c r="J1302" s="5" t="n">
        <v>256.4</v>
      </c>
      <c r="K1302" s="3" t="inlineStr">
        <is>
          <t>오송2산단내 아파트 대단지 옆 지원시설용지 급매</t>
        </is>
      </c>
      <c r="L1302" s="6">
        <f>HYPERLINK("https://fin.land.naver.com/articles/2650390157", "매물Link")</f>
        <v/>
      </c>
      <c r="M1302" s="6">
        <f>HYPERLINK("https://map.naver.com/p/search/오송읍 정중리 768", "지도Link")</f>
        <v/>
      </c>
      <c r="N1302" s="6">
        <f>HYPERLINK("http://www.eum.go.kr/web/ar/lu/luLandDet.jsp?pnu=4311325032107680000&amp;isNoScr=script&amp;mode=search", "토지이음")</f>
        <v/>
      </c>
      <c r="O1302" s="3" t="inlineStr">
        <is>
          <t>아임</t>
        </is>
      </c>
      <c r="P1302" s="4" t="n">
        <v>5</v>
      </c>
      <c r="Q1302" s="4" t="n">
        <v>590.3</v>
      </c>
      <c r="R1302" s="3" t="inlineStr">
        <is>
          <t>지정되지않음</t>
        </is>
      </c>
      <c r="S1302" s="3" t="inlineStr">
        <is>
          <t>상업나지</t>
        </is>
      </c>
      <c r="T1302" s="3" t="inlineStr">
        <is>
          <t>평지</t>
        </is>
      </c>
      <c r="U1302" s="3" t="inlineStr">
        <is>
          <t>정방형</t>
        </is>
      </c>
      <c r="V1302" s="3" t="inlineStr">
        <is>
          <t>중로한면</t>
        </is>
      </c>
    </row>
    <row r="1303">
      <c r="A1303" s="3" t="inlineStr">
        <is>
          <t>오송읍 정중리 770</t>
        </is>
      </c>
      <c r="B1303" s="3" t="inlineStr">
        <is>
          <t>준공업지역</t>
        </is>
      </c>
      <c r="C1303" s="3" t="inlineStr">
        <is>
          <t>주차장</t>
        </is>
      </c>
      <c r="D1303" s="3" t="inlineStr">
        <is>
          <t>대</t>
        </is>
      </c>
      <c r="E1303" s="3" t="inlineStr">
        <is>
          <t>매매</t>
        </is>
      </c>
      <c r="F1303" s="4" t="n">
        <v>202020</v>
      </c>
      <c r="G1303" s="4" t="n">
        <v>1113</v>
      </c>
      <c r="H1303" s="4" t="n">
        <v>337</v>
      </c>
      <c r="I1303" s="5" t="n">
        <v>599.5</v>
      </c>
      <c r="J1303" s="5" t="n">
        <v>179.5</v>
      </c>
      <c r="K1303" s="3" t="inlineStr">
        <is>
          <t>지금 아니면 어려운 오송 산단 인접 수익 토지</t>
        </is>
      </c>
      <c r="L1303" s="6">
        <f>HYPERLINK("https://fin.land.naver.com/articles/2646878317", "매물Link")</f>
        <v/>
      </c>
      <c r="M1303" s="6">
        <f>HYPERLINK("https://map.naver.com/p/search/오송읍 정중리 770", "지도Link")</f>
        <v/>
      </c>
      <c r="N1303" s="6">
        <f>HYPERLINK("http://www.eum.go.kr/web/ar/lu/luLandDet.jsp?pnu=4311325032107700000&amp;isNoScr=script&amp;mode=search", "토지이음")</f>
        <v/>
      </c>
      <c r="O1303" s="3" t="inlineStr">
        <is>
          <t>우영</t>
        </is>
      </c>
      <c r="P1303" s="4" t="n">
        <v>1</v>
      </c>
      <c r="Q1303" s="4" t="n">
        <v>1113.2</v>
      </c>
      <c r="R1303" s="3" t="inlineStr">
        <is>
          <t>지정되지않음</t>
        </is>
      </c>
      <c r="S1303" s="3" t="inlineStr">
        <is>
          <t>주차장등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중로각지</t>
        </is>
      </c>
    </row>
    <row r="1304">
      <c r="A1304" s="3" t="inlineStr">
        <is>
          <t>오송읍 정중리 773</t>
        </is>
      </c>
      <c r="B1304" s="3" t="inlineStr">
        <is>
          <t>준공업지역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95000</v>
      </c>
      <c r="G1304" s="4" t="n">
        <v>580</v>
      </c>
      <c r="H1304" s="4" t="n">
        <v>175</v>
      </c>
      <c r="I1304" s="5" t="n">
        <v>542.9</v>
      </c>
      <c r="J1304" s="5" t="n">
        <v>258.9</v>
      </c>
      <c r="K1304" s="3" t="inlineStr">
        <is>
          <t>저렴한기회 지원시설용지 차량진출입 용이한 근생상가 추천</t>
        </is>
      </c>
      <c r="L1304" s="6">
        <f>HYPERLINK("https://fin.land.naver.com/articles/2650862161", "매물Link")</f>
        <v/>
      </c>
      <c r="M1304" s="6">
        <f>HYPERLINK("https://map.naver.com/p/search/오송읍 정중리 773", "지도Link")</f>
        <v/>
      </c>
      <c r="N1304" s="6">
        <f>HYPERLINK("http://www.eum.go.kr/web/ar/lu/luLandDet.jsp?pnu=4311325032107730000&amp;isNoScr=script&amp;mode=search", "토지이음")</f>
        <v/>
      </c>
      <c r="O1304" s="3" t="inlineStr">
        <is>
          <t>프로</t>
        </is>
      </c>
      <c r="P1304" s="4" t="n">
        <v>1</v>
      </c>
      <c r="Q1304" s="4" t="n">
        <v>580.4</v>
      </c>
      <c r="R1304" s="3" t="inlineStr">
        <is>
          <t>지정되지않음</t>
        </is>
      </c>
      <c r="S1304" s="3" t="inlineStr">
        <is>
          <t>상업기타</t>
        </is>
      </c>
      <c r="T1304" s="3" t="inlineStr">
        <is>
          <t>평지</t>
        </is>
      </c>
      <c r="U1304" s="3" t="inlineStr">
        <is>
          <t>정방형</t>
        </is>
      </c>
      <c r="V1304" s="3" t="inlineStr">
        <is>
          <t>중로각지</t>
        </is>
      </c>
    </row>
    <row r="1305">
      <c r="A1305" s="3" t="inlineStr">
        <is>
          <t>오송읍 정중리 776</t>
        </is>
      </c>
      <c r="B1305" s="3" t="inlineStr">
        <is>
          <t>준공업지역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125020</v>
      </c>
      <c r="G1305" s="4" t="n">
        <v>590</v>
      </c>
      <c r="H1305" s="4" t="n">
        <v>178</v>
      </c>
      <c r="I1305" s="5" t="n">
        <v>702.4</v>
      </c>
      <c r="J1305" s="5" t="n">
        <v>256.4</v>
      </c>
      <c r="K1305" s="3" t="inlineStr">
        <is>
          <t>오송 산단 근무자 몰리는 임대사업 최적 입지</t>
        </is>
      </c>
      <c r="L1305" s="6">
        <f>HYPERLINK("https://fin.land.naver.com/articles/2646878768", "매물Link")</f>
        <v/>
      </c>
      <c r="M1305" s="6">
        <f>HYPERLINK("https://map.naver.com/p/search/오송읍 정중리 776", "지도Link")</f>
        <v/>
      </c>
      <c r="N1305" s="6">
        <f>HYPERLINK("http://www.eum.go.kr/web/ar/lu/luLandDet.jsp?pnu=4311325032107760000&amp;isNoScr=script&amp;mode=search", "토지이음")</f>
        <v/>
      </c>
      <c r="O1305" s="3" t="inlineStr">
        <is>
          <t>우영</t>
        </is>
      </c>
      <c r="P1305" s="4" t="n">
        <v>1</v>
      </c>
      <c r="Q1305" s="4" t="n">
        <v>590.6</v>
      </c>
      <c r="R1305" s="3" t="inlineStr">
        <is>
          <t>지정되지않음</t>
        </is>
      </c>
      <c r="S1305" s="3" t="inlineStr">
        <is>
          <t>상업기타</t>
        </is>
      </c>
      <c r="T1305" s="3" t="inlineStr">
        <is>
          <t>평지</t>
        </is>
      </c>
      <c r="U1305" s="3" t="inlineStr">
        <is>
          <t>정방형</t>
        </is>
      </c>
      <c r="V1305" s="3" t="inlineStr">
        <is>
          <t>중로한면</t>
        </is>
      </c>
    </row>
    <row r="1306">
      <c r="A1306" s="3" t="inlineStr">
        <is>
          <t>오송읍 호계리 143-1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39845</v>
      </c>
      <c r="G1306" s="4" t="n">
        <v>2026</v>
      </c>
      <c r="H1306" s="4" t="n">
        <v>613</v>
      </c>
      <c r="I1306" s="5" t="n">
        <v>65</v>
      </c>
      <c r="J1306" s="5" t="n">
        <v>30.4</v>
      </c>
      <c r="K1306" s="3" t="inlineStr">
        <is>
          <t>도로에 접해 주말농장 최상, 개발호재 핫한 오송시 위치 투자가치 최상</t>
        </is>
      </c>
      <c r="L1306" s="6">
        <f>HYPERLINK("https://fin.land.naver.com/articles/2650397039", "매물Link")</f>
        <v/>
      </c>
      <c r="M1306" s="6">
        <f>HYPERLINK("https://map.naver.com/p/search/오송읍 호계리 143-1", "지도Link")</f>
        <v/>
      </c>
      <c r="N1306" s="6">
        <f>HYPERLINK("http://www.eum.go.kr/web/ar/lu/luLandDet.jsp?pnu=4311325021101430001&amp;isNoScr=script&amp;mode=search", "토지이음")</f>
        <v/>
      </c>
      <c r="O1306" s="3" t="inlineStr">
        <is>
          <t>대한</t>
        </is>
      </c>
      <c r="P1306" s="4" t="n">
        <v>1</v>
      </c>
      <c r="Q1306" s="4" t="n">
        <v>2059</v>
      </c>
      <c r="R1306" s="3" t="inlineStr">
        <is>
          <t>지정되지않음</t>
        </is>
      </c>
      <c r="S1306" s="3" t="inlineStr">
        <is>
          <t>전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세로한면(가)</t>
        </is>
      </c>
    </row>
    <row r="1307">
      <c r="A1307" s="3" t="inlineStr">
        <is>
          <t>오송읍 호계리 152-1</t>
        </is>
      </c>
      <c r="B1307" s="3" t="inlineStr">
        <is>
          <t>계획관리지역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53500</v>
      </c>
      <c r="G1307" s="4" t="n">
        <v>1359</v>
      </c>
      <c r="H1307" s="4" t="n">
        <v>411</v>
      </c>
      <c r="I1307" s="5" t="n">
        <v>130.2</v>
      </c>
      <c r="J1307" s="5" t="n">
        <v>39.1</v>
      </c>
      <c r="K1307" s="3" t="inlineStr">
        <is>
          <t>급매, 시세 대비 매우 저렴, 4미터 도로에 접하고 있는 계획관리 토지</t>
        </is>
      </c>
      <c r="L1307" s="6">
        <f>HYPERLINK("https://fin.land.naver.com/articles/2647466833", "매물Link")</f>
        <v/>
      </c>
      <c r="M1307" s="6">
        <f>HYPERLINK("https://map.naver.com/p/search/오송읍 호계리 152-1", "지도Link")</f>
        <v/>
      </c>
      <c r="N1307" s="6">
        <f>HYPERLINK("http://www.eum.go.kr/web/ar/lu/luLandDet.jsp?pnu=4311325021101520001&amp;isNoScr=script&amp;mode=search", "토지이음")</f>
        <v/>
      </c>
      <c r="O1307" s="3" t="inlineStr">
        <is>
          <t>제이</t>
        </is>
      </c>
      <c r="P1307" s="4" t="n">
        <v>1</v>
      </c>
      <c r="Q1307" s="4" t="n">
        <v>962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세로각지(가)</t>
        </is>
      </c>
    </row>
    <row r="1308">
      <c r="A1308" s="3" t="inlineStr">
        <is>
          <t>오송읍 호계리 153-1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53500</v>
      </c>
      <c r="G1308" s="4" t="n">
        <v>1359</v>
      </c>
      <c r="H1308" s="4" t="n">
        <v>411</v>
      </c>
      <c r="I1308" s="5" t="n">
        <v>130.2</v>
      </c>
      <c r="J1308" s="5" t="n">
        <v>40.1</v>
      </c>
      <c r="K1308" s="3" t="inlineStr">
        <is>
          <t>4M도로에 접함 투자및 공장추천 2필지</t>
        </is>
      </c>
      <c r="L1308" s="6">
        <f>HYPERLINK("https://fin.land.naver.com/articles/2650428790", "매물Link")</f>
        <v/>
      </c>
      <c r="M1308" s="6">
        <f>HYPERLINK("https://map.naver.com/p/search/오송읍 호계리 153-1", "지도Link")</f>
        <v/>
      </c>
      <c r="N1308" s="6">
        <f>HYPERLINK("http://www.eum.go.kr/web/ar/lu/luLandDet.jsp?pnu=4311325021101530001&amp;isNoScr=script&amp;mode=search", "토지이음")</f>
        <v/>
      </c>
      <c r="O1308" s="3" t="inlineStr">
        <is>
          <t>플러스태양</t>
        </is>
      </c>
      <c r="P1308" s="4" t="n">
        <v>1</v>
      </c>
      <c r="Q1308" s="4" t="n">
        <v>397</v>
      </c>
      <c r="R1308" s="3" t="inlineStr">
        <is>
          <t>지정되지않음</t>
        </is>
      </c>
      <c r="S1308" s="3" t="inlineStr">
        <is>
          <t>답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오송읍 호계리 155-1</t>
        </is>
      </c>
      <c r="B1309" s="3" t="inlineStr">
        <is>
          <t>계획관리지역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195800</v>
      </c>
      <c r="G1309" s="4" t="n">
        <v>2943</v>
      </c>
      <c r="H1309" s="4" t="n">
        <v>890</v>
      </c>
      <c r="I1309" s="5" t="n">
        <v>220</v>
      </c>
      <c r="J1309" s="5" t="n">
        <v>38.1</v>
      </c>
      <c r="K1309" s="3" t="inlineStr">
        <is>
          <t>오송읍, 호계리, 계획관리지역, 5m 도로 접한 토지</t>
        </is>
      </c>
      <c r="L1309" s="6">
        <f>HYPERLINK("https://fin.land.naver.com/articles/2646734024", "매물Link")</f>
        <v/>
      </c>
      <c r="M1309" s="6">
        <f>HYPERLINK("https://map.naver.com/p/search/오송읍 호계리 155-1", "지도Link")</f>
        <v/>
      </c>
      <c r="N1309" s="6">
        <f>HYPERLINK("http://www.eum.go.kr/web/ar/lu/luLandDet.jsp?pnu=4311325021101550001&amp;isNoScr=script&amp;mode=search", "토지이음")</f>
        <v/>
      </c>
      <c r="O1309" s="3" t="inlineStr">
        <is>
          <t>올바른</t>
        </is>
      </c>
      <c r="P1309" s="4" t="n">
        <v>1</v>
      </c>
      <c r="Q1309" s="4" t="n">
        <v>2943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오송읍 호계리 224-2</t>
        </is>
      </c>
      <c r="B1310" s="3" t="inlineStr">
        <is>
          <t>생산관리지역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49000</v>
      </c>
      <c r="G1310" s="4" t="n">
        <v>899</v>
      </c>
      <c r="H1310" s="4" t="n">
        <v>272</v>
      </c>
      <c r="I1310" s="5" t="n">
        <v>180.1</v>
      </c>
      <c r="J1310" s="5" t="n">
        <v>51.1</v>
      </c>
      <c r="K1310" s="3" t="inlineStr">
        <is>
          <t>2 배의 가치 2 배의 넓은 땅 사용 가능 토지  생산 관리 지역</t>
        </is>
      </c>
      <c r="L1310" s="6">
        <f>HYPERLINK("https://fin.land.naver.com/articles/2648940037", "매물Link")</f>
        <v/>
      </c>
      <c r="M1310" s="6">
        <f>HYPERLINK("https://map.naver.com/p/search/오송읍 호계리 224-2", "지도Link")</f>
        <v/>
      </c>
      <c r="N1310" s="6">
        <f>HYPERLINK("http://www.eum.go.kr/web/ar/lu/luLandDet.jsp?pnu=4311325021102240002&amp;isNoScr=script&amp;mode=search", "토지이음")</f>
        <v/>
      </c>
      <c r="O1310" s="3" t="inlineStr">
        <is>
          <t>오송퍼스트영웅</t>
        </is>
      </c>
      <c r="P1310" s="4" t="n">
        <v>1</v>
      </c>
      <c r="Q1310" s="4" t="n">
        <v>899</v>
      </c>
      <c r="R1310" s="3" t="inlineStr">
        <is>
          <t>지정되지않음</t>
        </is>
      </c>
      <c r="S1310" s="3" t="inlineStr">
        <is>
          <t>답기타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중로한면</t>
        </is>
      </c>
    </row>
    <row r="1311">
      <c r="A1311" s="3" t="inlineStr">
        <is>
          <t>오송읍 호계리 230-3</t>
        </is>
      </c>
      <c r="B1311" s="3" t="inlineStr">
        <is>
          <t>농림지역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29000</v>
      </c>
      <c r="G1311" s="4" t="n">
        <v>1595</v>
      </c>
      <c r="H1311" s="4" t="n">
        <v>482</v>
      </c>
      <c r="I1311" s="5" t="n">
        <v>60.2</v>
      </c>
      <c r="J1311" s="5" t="n">
        <v>32.4</v>
      </c>
      <c r="K1311" s="3" t="inlineStr">
        <is>
          <t>호계리 토지 매매.</t>
        </is>
      </c>
      <c r="L1311" s="6">
        <f>HYPERLINK("https://fin.land.naver.com/articles/2646658326", "매물Link")</f>
        <v/>
      </c>
      <c r="M1311" s="6">
        <f>HYPERLINK("https://map.naver.com/p/search/오송읍 호계리 230-3", "지도Link")</f>
        <v/>
      </c>
      <c r="N1311" s="6">
        <f>HYPERLINK("http://www.eum.go.kr/web/ar/lu/luLandDet.jsp?pnu=4311325021102300003&amp;isNoScr=script&amp;mode=search", "토지이음")</f>
        <v/>
      </c>
      <c r="O1311" s="3" t="inlineStr">
        <is>
          <t>대한민국</t>
        </is>
      </c>
      <c r="P1311" s="4" t="n">
        <v>1</v>
      </c>
      <c r="Q1311" s="4" t="n">
        <v>1595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세로장방</t>
        </is>
      </c>
      <c r="V1311" s="3" t="inlineStr">
        <is>
          <t>소로한면</t>
        </is>
      </c>
    </row>
    <row r="1312">
      <c r="A1312" s="3" t="inlineStr">
        <is>
          <t>오송읍 호계리 50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90000</v>
      </c>
      <c r="G1312" s="4" t="n">
        <v>1927</v>
      </c>
      <c r="H1312" s="4" t="n">
        <v>583</v>
      </c>
      <c r="I1312" s="5" t="n">
        <v>154.4</v>
      </c>
      <c r="J1312" s="5" t="n">
        <v>40.1</v>
      </c>
      <c r="K1312" s="3" t="inlineStr">
        <is>
          <t>오송읍 호계리 산과 인접한 전원주택부지</t>
        </is>
      </c>
      <c r="L1312" s="6">
        <f>HYPERLINK("https://fin.land.naver.com/articles/2647515900", "매물Link")</f>
        <v/>
      </c>
      <c r="M1312" s="6">
        <f>HYPERLINK("https://map.naver.com/p/search/오송읍 호계리 50", "지도Link")</f>
        <v/>
      </c>
      <c r="N1312" s="6">
        <f>HYPERLINK("http://www.eum.go.kr/web/ar/lu/luLandDet.jsp?pnu=4311325021100500000&amp;isNoScr=script&amp;mode=search", "토지이음")</f>
        <v/>
      </c>
      <c r="O1312" s="3" t="inlineStr">
        <is>
          <t>새벽무소</t>
        </is>
      </c>
      <c r="P1312" s="4" t="n">
        <v>1</v>
      </c>
      <c r="Q1312" s="4" t="n">
        <v>1927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호계리 7-6</t>
        </is>
      </c>
      <c r="B1313" s="3" t="inlineStr">
        <is>
          <t>계획관리지역</t>
        </is>
      </c>
      <c r="C1313" s="3" t="inlineStr">
        <is>
          <t>전</t>
        </is>
      </c>
      <c r="D1313" s="3" t="inlineStr">
        <is>
          <t>전</t>
        </is>
      </c>
      <c r="E1313" s="3" t="inlineStr">
        <is>
          <t>매매</t>
        </is>
      </c>
      <c r="F1313" s="4" t="n">
        <v>28500</v>
      </c>
      <c r="G1313" s="4" t="n">
        <v>627</v>
      </c>
      <c r="H1313" s="4" t="n">
        <v>190</v>
      </c>
      <c r="I1313" s="5" t="n">
        <v>150</v>
      </c>
      <c r="J1313" s="5" t="n">
        <v>39</v>
      </c>
      <c r="K1313" s="3" t="inlineStr">
        <is>
          <t>전원주택지</t>
        </is>
      </c>
      <c r="L1313" s="6">
        <f>HYPERLINK("https://fin.land.naver.com/articles/2649702438", "매물Link")</f>
        <v/>
      </c>
      <c r="M1313" s="6">
        <f>HYPERLINK("https://map.naver.com/p/search/오송읍 호계리 7-6", "지도Link")</f>
        <v/>
      </c>
      <c r="N1313" s="6">
        <f>HYPERLINK("http://www.eum.go.kr/web/ar/lu/luLandDet.jsp?pnu=4311325021100070006&amp;isNoScr=script&amp;mode=search", "토지이음")</f>
        <v/>
      </c>
      <c r="O1313" s="3" t="inlineStr">
        <is>
          <t>금송</t>
        </is>
      </c>
      <c r="P1313" s="4" t="n">
        <v>1</v>
      </c>
      <c r="Q1313" s="4" t="n">
        <v>627</v>
      </c>
      <c r="R1313" s="3" t="inlineStr">
        <is>
          <t>지정되지않음</t>
        </is>
      </c>
      <c r="S1313" s="3" t="inlineStr">
        <is>
          <t>전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조치원읍 교리 16-5</t>
        </is>
      </c>
      <c r="B1314" s="3" t="inlineStr">
        <is>
          <t>제2종일반주거지역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40000</v>
      </c>
      <c r="G1314" s="4" t="n">
        <v>207</v>
      </c>
      <c r="H1314" s="4" t="n">
        <v>63</v>
      </c>
      <c r="I1314" s="5" t="n">
        <v>634.9</v>
      </c>
      <c r="J1314" s="5" t="n">
        <v>206.5</v>
      </c>
      <c r="K1314" s="3" t="inlineStr">
        <is>
          <t>조치원역 가까운 주거지역 토지매매</t>
        </is>
      </c>
      <c r="L1314" s="6">
        <f>HYPERLINK("https://fin.land.naver.com/articles/2648993356", "매물Link")</f>
        <v/>
      </c>
      <c r="M1314" s="6">
        <f>HYPERLINK("https://map.naver.com/p/search/조치원읍 교리 16-5", "지도Link")</f>
        <v/>
      </c>
      <c r="N1314" s="6">
        <f>HYPERLINK("http://www.eum.go.kr/web/ar/lu/luLandDet.jsp?pnu=3611025024100160005&amp;isNoScr=script&amp;mode=search", "토지이음")</f>
        <v/>
      </c>
      <c r="O1314" s="3" t="inlineStr">
        <is>
          <t>김준희</t>
        </is>
      </c>
      <c r="P1314" s="4" t="n">
        <v>1</v>
      </c>
      <c r="Q1314" s="4" t="n">
        <v>103.5</v>
      </c>
      <c r="R1314" s="3" t="inlineStr">
        <is>
          <t>지정되지않음</t>
        </is>
      </c>
      <c r="S1314" s="3" t="inlineStr">
        <is>
          <t>단독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세로한면(가)</t>
        </is>
      </c>
    </row>
    <row r="1315">
      <c r="A1315" s="3" t="inlineStr">
        <is>
          <t>조치원읍 교리 18-11</t>
        </is>
      </c>
      <c r="B1315" s="3" t="inlineStr">
        <is>
          <t>제2종일반주거지역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42000</v>
      </c>
      <c r="G1315" s="4" t="n">
        <v>179</v>
      </c>
      <c r="H1315" s="4" t="n">
        <v>54</v>
      </c>
      <c r="I1315" s="5" t="n">
        <v>777.8</v>
      </c>
      <c r="J1315" s="5" t="n">
        <v>274.9</v>
      </c>
      <c r="K1315" s="3" t="inlineStr">
        <is>
          <t>nan</t>
        </is>
      </c>
      <c r="L1315" s="6">
        <f>HYPERLINK("https://fin.land.naver.com/articles/2647461785", "매물Link")</f>
        <v/>
      </c>
      <c r="M1315" s="6">
        <f>HYPERLINK("https://map.naver.com/p/search/조치원읍 교리 18-11", "지도Link")</f>
        <v/>
      </c>
      <c r="N1315" s="6">
        <f>HYPERLINK("http://www.eum.go.kr/web/ar/lu/luLandDet.jsp?pnu=3611025024100180011&amp;isNoScr=script&amp;mode=search", "토지이음")</f>
        <v/>
      </c>
      <c r="O1315" s="3" t="inlineStr">
        <is>
          <t>정인</t>
        </is>
      </c>
      <c r="P1315" s="4" t="n">
        <v>1</v>
      </c>
      <c r="Q1315" s="4" t="n">
        <v>179.5</v>
      </c>
      <c r="R1315" s="3" t="inlineStr">
        <is>
          <t>지정되지않음</t>
        </is>
      </c>
      <c r="S1315" s="3" t="inlineStr">
        <is>
          <t>주상기타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중로한면</t>
        </is>
      </c>
    </row>
    <row r="1316">
      <c r="A1316" s="3" t="inlineStr">
        <is>
          <t>조치원읍 남리 103-68</t>
        </is>
      </c>
      <c r="B1316" s="3" t="inlineStr">
        <is>
          <t>제2종일반주거지역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49000</v>
      </c>
      <c r="G1316" s="4" t="n">
        <v>396</v>
      </c>
      <c r="H1316" s="4" t="n">
        <v>120</v>
      </c>
      <c r="I1316" s="5" t="n">
        <v>408.3</v>
      </c>
      <c r="J1316" s="5" t="n">
        <v>166.9</v>
      </c>
      <c r="K1316" s="3" t="inlineStr">
        <is>
          <t>급매,2차로변에 위치,조치원역에서 도보5분거리로 접근성좋음</t>
        </is>
      </c>
      <c r="L1316" s="6">
        <f>HYPERLINK("https://fin.land.naver.com/articles/2651521344", "매물Link")</f>
        <v/>
      </c>
      <c r="M1316" s="6">
        <f>HYPERLINK("https://map.naver.com/p/search/조치원읍 남리 103-68", "지도Link")</f>
        <v/>
      </c>
      <c r="N1316" s="6">
        <f>HYPERLINK("http://www.eum.go.kr/web/ar/lu/luLandDet.jsp?pnu=3611025027101030068&amp;isNoScr=script&amp;mode=search", "토지이음")</f>
        <v/>
      </c>
      <c r="O1316" s="3" t="inlineStr">
        <is>
          <t>담뜰</t>
        </is>
      </c>
      <c r="P1316" s="4" t="n">
        <v>3</v>
      </c>
      <c r="Q1316" s="4" t="n">
        <v>396</v>
      </c>
      <c r="R1316" s="3" t="inlineStr">
        <is>
          <t>지정되지않음</t>
        </is>
      </c>
      <c r="S1316" s="3" t="inlineStr">
        <is>
          <t>단독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조치원읍 남리 307-2</t>
        </is>
      </c>
      <c r="B1317" s="3" t="inlineStr">
        <is>
          <t>제2종일반주거지역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250000</v>
      </c>
      <c r="G1317" s="4" t="n">
        <v>788</v>
      </c>
      <c r="H1317" s="4" t="n">
        <v>238</v>
      </c>
      <c r="I1317" s="5" t="n">
        <v>1050.4</v>
      </c>
      <c r="J1317" s="5" t="n">
        <v>366.6</v>
      </c>
      <c r="K1317" s="3" t="inlineStr">
        <is>
          <t>조치원 4차선 코너,대지238P,통건물 3동포함,사옥 병원등 추천</t>
        </is>
      </c>
      <c r="L1317" s="6">
        <f>HYPERLINK("https://fin.land.naver.com/articles/2650483987", "매물Link")</f>
        <v/>
      </c>
      <c r="M1317" s="6">
        <f>HYPERLINK("https://map.naver.com/p/search/조치원읍 남리 307-2", "지도Link")</f>
        <v/>
      </c>
      <c r="N1317" s="6">
        <f>HYPERLINK("http://www.eum.go.kr/web/ar/lu/luLandDet.jsp?pnu=3611025027103070002&amp;isNoScr=script&amp;mode=search", "토지이음")</f>
        <v/>
      </c>
      <c r="O1317" s="3" t="inlineStr">
        <is>
          <t>광장</t>
        </is>
      </c>
      <c r="P1317" s="4" t="n">
        <v>1</v>
      </c>
      <c r="Q1317" s="4" t="n">
        <v>211.4</v>
      </c>
      <c r="R1317" s="3" t="inlineStr">
        <is>
          <t>지정되지않음</t>
        </is>
      </c>
      <c r="S1317" s="3" t="inlineStr">
        <is>
          <t>상업용</t>
        </is>
      </c>
      <c r="T1317" s="3" t="inlineStr">
        <is>
          <t>평지</t>
        </is>
      </c>
      <c r="U1317" s="3" t="inlineStr">
        <is>
          <t>자루형</t>
        </is>
      </c>
      <c r="V1317" s="3" t="inlineStr">
        <is>
          <t>중로각지</t>
        </is>
      </c>
    </row>
    <row r="1318">
      <c r="A1318" s="3" t="inlineStr">
        <is>
          <t>조치원읍 남리 419</t>
        </is>
      </c>
      <c r="B1318" s="3" t="inlineStr">
        <is>
          <t>제2종일반주거지역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38000</v>
      </c>
      <c r="G1318" s="4" t="n">
        <v>353</v>
      </c>
      <c r="H1318" s="4" t="n">
        <v>107</v>
      </c>
      <c r="I1318" s="5" t="n">
        <v>355.1</v>
      </c>
      <c r="J1318" s="5" t="n">
        <v>170.3</v>
      </c>
      <c r="K1318" s="3" t="inlineStr">
        <is>
          <t>남리 저렴한 토지 다가구원룸,사옥,상가 추천</t>
        </is>
      </c>
      <c r="L1318" s="6">
        <f>HYPERLINK("https://fin.land.naver.com/articles/2649281845", "매물Link")</f>
        <v/>
      </c>
      <c r="M1318" s="6">
        <f>HYPERLINK("https://map.naver.com/p/search/조치원읍 남리 419", "지도Link")</f>
        <v/>
      </c>
      <c r="N1318" s="6">
        <f>HYPERLINK("http://www.eum.go.kr/web/ar/lu/luLandDet.jsp?pnu=3611025027104190000&amp;isNoScr=script&amp;mode=search", "토지이음")</f>
        <v/>
      </c>
      <c r="O1318" s="3" t="inlineStr">
        <is>
          <t>OK수</t>
        </is>
      </c>
      <c r="P1318" s="4" t="n">
        <v>1</v>
      </c>
      <c r="Q1318" s="4" t="n">
        <v>352.6</v>
      </c>
      <c r="R1318" s="3" t="inlineStr">
        <is>
          <t>지정되지않음</t>
        </is>
      </c>
      <c r="S1318" s="3" t="inlineStr">
        <is>
          <t>단독</t>
        </is>
      </c>
      <c r="T1318" s="3" t="inlineStr">
        <is>
          <t>평지</t>
        </is>
      </c>
      <c r="U1318" s="3" t="inlineStr">
        <is>
          <t>정방형</t>
        </is>
      </c>
      <c r="V1318" s="3" t="inlineStr">
        <is>
          <t>세로한면(가)</t>
        </is>
      </c>
    </row>
    <row r="1319">
      <c r="A1319" s="3" t="inlineStr">
        <is>
          <t>조치원읍 남리 436</t>
        </is>
      </c>
      <c r="B1319" s="3" t="inlineStr">
        <is>
          <t>제2종일반주거지역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23800</v>
      </c>
      <c r="G1319" s="4" t="n">
        <v>225</v>
      </c>
      <c r="H1319" s="4" t="n">
        <v>68</v>
      </c>
      <c r="I1319" s="5" t="n">
        <v>350</v>
      </c>
      <c r="J1319" s="5" t="n">
        <v>321.7</v>
      </c>
      <c r="K1319" s="3" t="inlineStr">
        <is>
          <t>10m 도로 접, 공영주차장 접, 나대지. 착한가격의 투자매물</t>
        </is>
      </c>
      <c r="L1319" s="6">
        <f>HYPERLINK("https://fin.land.naver.com/articles/2651339564", "매물Link")</f>
        <v/>
      </c>
      <c r="M1319" s="6">
        <f>HYPERLINK("https://map.naver.com/p/search/조치원읍 남리 436", "지도Link")</f>
        <v/>
      </c>
      <c r="N1319" s="6">
        <f>HYPERLINK("http://www.eum.go.kr/web/ar/lu/luLandDet.jsp?pnu=3611025027104360000&amp;isNoScr=script&amp;mode=search", "토지이음")</f>
        <v/>
      </c>
      <c r="O1319" s="3" t="inlineStr">
        <is>
          <t>오송3산단  사무소</t>
        </is>
      </c>
      <c r="P1319" s="4" t="n">
        <v>1</v>
      </c>
      <c r="Q1319" s="4" t="n">
        <v>225.8</v>
      </c>
      <c r="R1319" s="3" t="inlineStr">
        <is>
          <t>지정되지않음</t>
        </is>
      </c>
      <c r="S1319" s="3" t="inlineStr">
        <is>
          <t>상업나지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소로한면</t>
        </is>
      </c>
    </row>
    <row r="1320">
      <c r="A1320" s="3" t="inlineStr">
        <is>
          <t>조치원읍 번암리 121-4</t>
        </is>
      </c>
      <c r="B1320" s="3" t="inlineStr">
        <is>
          <t>일반공업지역</t>
        </is>
      </c>
      <c r="C1320" s="3" t="inlineStr">
        <is>
          <t>잡종지</t>
        </is>
      </c>
      <c r="D1320" s="3" t="inlineStr">
        <is>
          <t>잡종지</t>
        </is>
      </c>
      <c r="E1320" s="3" t="inlineStr">
        <is>
          <t>매매</t>
        </is>
      </c>
      <c r="F1320" s="4" t="n">
        <v>280000</v>
      </c>
      <c r="G1320" s="4" t="n">
        <v>1531</v>
      </c>
      <c r="H1320" s="4" t="n">
        <v>463</v>
      </c>
      <c r="I1320" s="5" t="n">
        <v>604.8</v>
      </c>
      <c r="J1320" s="5" t="n">
        <v>201.1</v>
      </c>
      <c r="K1320" s="3" t="inlineStr">
        <is>
          <t>세종산단과 오송산단을 잇는 대로 접, 광고 시인성 뛰어남, 적극조율</t>
        </is>
      </c>
      <c r="L1320" s="6">
        <f>HYPERLINK("https://fin.land.naver.com/articles/2649267602", "매물Link")</f>
        <v/>
      </c>
      <c r="M1320" s="6">
        <f>HYPERLINK("https://map.naver.com/p/search/조치원읍 번암리 121-4", "지도Link")</f>
        <v/>
      </c>
      <c r="N1320" s="6">
        <f>HYPERLINK("http://www.eum.go.kr/web/ar/lu/luLandDet.jsp?pnu=3611025031101210004&amp;isNoScr=script&amp;mode=search", "토지이음")</f>
        <v/>
      </c>
      <c r="O1320" s="3" t="inlineStr">
        <is>
          <t>새롬시티</t>
        </is>
      </c>
      <c r="P1320" s="4" t="n">
        <v>1</v>
      </c>
      <c r="Q1320" s="4" t="n">
        <v>1531</v>
      </c>
      <c r="R1320" s="3" t="inlineStr">
        <is>
          <t>지정되지않음</t>
        </is>
      </c>
      <c r="S1320" s="3" t="inlineStr">
        <is>
          <t>상업용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광대세각</t>
        </is>
      </c>
    </row>
    <row r="1321">
      <c r="A1321" s="3" t="inlineStr">
        <is>
          <t>조치원읍 번암리 121-4</t>
        </is>
      </c>
      <c r="B1321" s="3" t="inlineStr">
        <is>
          <t>일반공업지역</t>
        </is>
      </c>
      <c r="C1321" s="3" t="inlineStr">
        <is>
          <t>잡종지</t>
        </is>
      </c>
      <c r="D1321" s="3" t="inlineStr">
        <is>
          <t>잡종지</t>
        </is>
      </c>
      <c r="E1321" s="3" t="inlineStr">
        <is>
          <t>매매</t>
        </is>
      </c>
      <c r="F1321" s="4" t="n">
        <v>280000</v>
      </c>
      <c r="G1321" s="4" t="n">
        <v>1530</v>
      </c>
      <c r="H1321" s="4" t="n">
        <v>463</v>
      </c>
      <c r="I1321" s="5" t="n">
        <v>604.8</v>
      </c>
      <c r="J1321" s="5" t="n">
        <v>201.1</v>
      </c>
      <c r="K1321" s="3" t="inlineStr">
        <is>
          <t>조치원 일반공업지역 차량진입 우수 산업형 부지</t>
        </is>
      </c>
      <c r="L1321" s="6">
        <f>HYPERLINK("https://fin.land.naver.com/articles/2648846717", "매물Link")</f>
        <v/>
      </c>
      <c r="M1321" s="6">
        <f>HYPERLINK("https://map.naver.com/p/search/조치원읍 번암리 121-4", "지도Link")</f>
        <v/>
      </c>
      <c r="N1321" s="6">
        <f>HYPERLINK("http://www.eum.go.kr/web/ar/lu/luLandDet.jsp?pnu=3611025031101210004&amp;isNoScr=script&amp;mode=search", "토지이음")</f>
        <v/>
      </c>
      <c r="O1321" s="3" t="inlineStr">
        <is>
          <t>세종소담황금</t>
        </is>
      </c>
      <c r="P1321" s="4" t="n">
        <v>1</v>
      </c>
      <c r="Q1321" s="4" t="n">
        <v>1531</v>
      </c>
      <c r="R1321" s="3" t="inlineStr">
        <is>
          <t>지정되지않음</t>
        </is>
      </c>
      <c r="S1321" s="3" t="inlineStr">
        <is>
          <t>상업용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광대세각</t>
        </is>
      </c>
    </row>
    <row r="1322">
      <c r="A1322" s="3" t="inlineStr">
        <is>
          <t>조치원읍 번암리 133</t>
        </is>
      </c>
      <c r="B1322" s="3" t="inlineStr">
        <is>
          <t>제2종일반주거지역</t>
        </is>
      </c>
      <c r="C1322" s="3" t="inlineStr">
        <is>
          <t>주유소용지</t>
        </is>
      </c>
      <c r="D1322" s="3" t="inlineStr">
        <is>
          <t>주유소용지</t>
        </is>
      </c>
      <c r="E1322" s="3" t="inlineStr">
        <is>
          <t>매매</t>
        </is>
      </c>
      <c r="F1322" s="4" t="n">
        <v>170000</v>
      </c>
      <c r="G1322" s="4" t="n">
        <v>542</v>
      </c>
      <c r="H1322" s="4" t="n">
        <v>164</v>
      </c>
      <c r="I1322" s="5" t="n">
        <v>1036.6</v>
      </c>
      <c r="J1322" s="5" t="n">
        <v>380.8</v>
      </c>
      <c r="K1322" s="3" t="inlineStr">
        <is>
          <t>최고의 입지, 대도로 접합, 진입로 있음, 명당,현재 주유소부지.</t>
        </is>
      </c>
      <c r="L1322" s="6">
        <f>HYPERLINK("https://fin.land.naver.com/articles/2647562954", "매물Link")</f>
        <v/>
      </c>
      <c r="M1322" s="6">
        <f>HYPERLINK("https://map.naver.com/p/search/조치원읍 번암리 133", "지도Link")</f>
        <v/>
      </c>
      <c r="N1322" s="6">
        <f>HYPERLINK("http://www.eum.go.kr/web/ar/lu/luLandDet.jsp?pnu=3611025031101330000&amp;isNoScr=script&amp;mode=search", "토지이음")</f>
        <v/>
      </c>
      <c r="O1322" s="3" t="inlineStr">
        <is>
          <t>송죽</t>
        </is>
      </c>
      <c r="P1322" s="4" t="n">
        <v>1</v>
      </c>
      <c r="Q1322" s="4" t="n">
        <v>542</v>
      </c>
      <c r="R1322" s="3" t="inlineStr">
        <is>
          <t>지정되지않음</t>
        </is>
      </c>
      <c r="S1322" s="3" t="inlineStr">
        <is>
          <t>상업용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광대로한면</t>
        </is>
      </c>
    </row>
    <row r="1323">
      <c r="A1323" s="3" t="inlineStr">
        <is>
          <t>조치원읍 번암리 171-48</t>
        </is>
      </c>
      <c r="B1323" s="3" t="inlineStr">
        <is>
          <t>일반공업지역</t>
        </is>
      </c>
      <c r="C1323" s="3" t="inlineStr">
        <is>
          <t>과수원</t>
        </is>
      </c>
      <c r="D1323" s="3" t="inlineStr">
        <is>
          <t>과수원</t>
        </is>
      </c>
      <c r="E1323" s="3" t="inlineStr">
        <is>
          <t>매매</t>
        </is>
      </c>
      <c r="F1323" s="4" t="n">
        <v>158400</v>
      </c>
      <c r="G1323" s="4" t="n">
        <v>1007</v>
      </c>
      <c r="H1323" s="4" t="n">
        <v>305</v>
      </c>
      <c r="I1323" s="5" t="n">
        <v>519.3</v>
      </c>
      <c r="J1323" s="5" t="n">
        <v>49.5</v>
      </c>
      <c r="K1323" s="3" t="inlineStr">
        <is>
          <t>조율가,대도로인접,소방포장도로 접,노출효과 좋음,근린상가,소형공장등 추천</t>
        </is>
      </c>
      <c r="L1323" s="6">
        <f>HYPERLINK("https://fin.land.naver.com/articles/2650121496", "매물Link")</f>
        <v/>
      </c>
      <c r="M1323" s="6">
        <f>HYPERLINK("https://map.naver.com/p/search/조치원읍 번암리 171-48", "지도Link")</f>
        <v/>
      </c>
      <c r="N1323" s="6">
        <f>HYPERLINK("http://www.eum.go.kr/web/ar/lu/luLandDet.jsp?pnu=3611025031101710048&amp;isNoScr=script&amp;mode=search", "토지이음")</f>
        <v/>
      </c>
      <c r="O1323" s="3" t="inlineStr">
        <is>
          <t>세종지원</t>
        </is>
      </c>
      <c r="P1323" s="4" t="n">
        <v>1</v>
      </c>
      <c r="Q1323" s="4" t="n">
        <v>598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세로한면(불)</t>
        </is>
      </c>
    </row>
    <row r="1324">
      <c r="A1324" s="3" t="inlineStr">
        <is>
          <t>조치원읍 번암리 171-49</t>
        </is>
      </c>
      <c r="B1324" s="3" t="inlineStr">
        <is>
          <t>일반공업지역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178880</v>
      </c>
      <c r="G1324" s="4" t="n">
        <v>1137</v>
      </c>
      <c r="H1324" s="4" t="n">
        <v>344</v>
      </c>
      <c r="I1324" s="5" t="n">
        <v>520</v>
      </c>
      <c r="J1324" s="5" t="n">
        <v>44</v>
      </c>
      <c r="K1324" s="3" t="inlineStr">
        <is>
          <t>조율가,대도로근접,소방포장도로 접,노출효과 좋음,근린상가,소형공장등 추천</t>
        </is>
      </c>
      <c r="L1324" s="6">
        <f>HYPERLINK("https://fin.land.naver.com/articles/2650121155", "매물Link")</f>
        <v/>
      </c>
      <c r="M1324" s="6">
        <f>HYPERLINK("https://map.naver.com/p/search/조치원읍 번암리 171-49", "지도Link")</f>
        <v/>
      </c>
      <c r="N1324" s="6">
        <f>HYPERLINK("http://www.eum.go.kr/web/ar/lu/luLandDet.jsp?pnu=3611025031101710049&amp;isNoScr=script&amp;mode=search", "토지이음")</f>
        <v/>
      </c>
      <c r="O1324" s="3" t="inlineStr">
        <is>
          <t>어반통</t>
        </is>
      </c>
      <c r="P1324" s="4" t="n">
        <v>1</v>
      </c>
      <c r="Q1324" s="4" t="n">
        <v>1137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완경사</t>
        </is>
      </c>
      <c r="U1324" s="3" t="inlineStr">
        <is>
          <t>부정형</t>
        </is>
      </c>
      <c r="V1324" s="3" t="inlineStr">
        <is>
          <t>맹지</t>
        </is>
      </c>
    </row>
    <row r="1325">
      <c r="A1325" s="3" t="inlineStr">
        <is>
          <t>조치원읍 번암리 2-4</t>
        </is>
      </c>
      <c r="B1325" s="3" t="inlineStr">
        <is>
          <t>보전녹지지역</t>
        </is>
      </c>
      <c r="C1325" s="3" t="inlineStr">
        <is>
          <t>임야</t>
        </is>
      </c>
      <c r="D1325" s="3" t="inlineStr">
        <is>
          <t>임야</t>
        </is>
      </c>
      <c r="E1325" s="3" t="inlineStr">
        <is>
          <t>매매</t>
        </is>
      </c>
      <c r="F1325" s="4" t="n">
        <v>180000</v>
      </c>
      <c r="G1325" s="4" t="n">
        <v>15025</v>
      </c>
      <c r="H1325" s="4" t="n">
        <v>4545</v>
      </c>
      <c r="I1325" s="5" t="n">
        <v>39.6</v>
      </c>
      <c r="J1325" s="5" t="n">
        <v>59.8</v>
      </c>
      <c r="K1325" s="3" t="inlineStr">
        <is>
          <t>도로접근선 우수 여러용도 활용가능</t>
        </is>
      </c>
      <c r="L1325" s="6">
        <f>HYPERLINK("https://fin.land.naver.com/articles/2650788390", "매물Link")</f>
        <v/>
      </c>
      <c r="M1325" s="6">
        <f>HYPERLINK("https://map.naver.com/p/search/조치원읍 번암리 2-4", "지도Link")</f>
        <v/>
      </c>
      <c r="N1325" s="6">
        <f>HYPERLINK("http://www.eum.go.kr/web/ar/lu/luLandDet.jsp?pnu=3611025031100020004&amp;isNoScr=script&amp;mode=search", "토지이음")</f>
        <v/>
      </c>
      <c r="O1325" s="3" t="inlineStr">
        <is>
          <t>신두정리치</t>
        </is>
      </c>
      <c r="P1325" s="4" t="n">
        <v>1</v>
      </c>
      <c r="Q1325" s="4" t="n">
        <v>10154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완경사</t>
        </is>
      </c>
      <c r="U1325" s="3" t="inlineStr">
        <is>
          <t>자루형</t>
        </is>
      </c>
      <c r="V1325" s="3" t="inlineStr">
        <is>
          <t>세로한면(가)</t>
        </is>
      </c>
    </row>
    <row r="1326">
      <c r="A1326" s="3" t="inlineStr">
        <is>
          <t>조치원읍 번암리 2-4</t>
        </is>
      </c>
      <c r="B1326" s="3" t="inlineStr">
        <is>
          <t>보전녹지지역</t>
        </is>
      </c>
      <c r="C1326" s="3" t="inlineStr">
        <is>
          <t>임야</t>
        </is>
      </c>
      <c r="D1326" s="3" t="inlineStr">
        <is>
          <t>임야</t>
        </is>
      </c>
      <c r="E1326" s="3" t="inlineStr">
        <is>
          <t>매매</t>
        </is>
      </c>
      <c r="F1326" s="4" t="n">
        <v>186000</v>
      </c>
      <c r="G1326" s="4" t="n">
        <v>15410</v>
      </c>
      <c r="H1326" s="4" t="n">
        <v>4662</v>
      </c>
      <c r="I1326" s="5" t="n">
        <v>39.9</v>
      </c>
      <c r="J1326" s="5" t="n">
        <v>59.8</v>
      </c>
      <c r="K1326" s="3" t="inlineStr">
        <is>
          <t>급매, 번암리 산업시설,공장다수,향후 활용가능성 높은토지</t>
        </is>
      </c>
      <c r="L1326" s="6">
        <f>HYPERLINK("https://fin.land.naver.com/articles/2651070894", "매물Link")</f>
        <v/>
      </c>
      <c r="M1326" s="6">
        <f>HYPERLINK("https://map.naver.com/p/search/조치원읍 번암리 2-4", "지도Link")</f>
        <v/>
      </c>
      <c r="N1326" s="6">
        <f>HYPERLINK("http://www.eum.go.kr/web/ar/lu/luLandDet.jsp?pnu=3611025031100020004&amp;isNoScr=script&amp;mode=search", "토지이음")</f>
        <v/>
      </c>
      <c r="O1326" s="3" t="inlineStr">
        <is>
          <t>다옴</t>
        </is>
      </c>
      <c r="P1326" s="4" t="n">
        <v>1</v>
      </c>
      <c r="Q1326" s="4" t="n">
        <v>10154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완경사</t>
        </is>
      </c>
      <c r="U1326" s="3" t="inlineStr">
        <is>
          <t>자루형</t>
        </is>
      </c>
      <c r="V1326" s="3" t="inlineStr">
        <is>
          <t>세로한면(가)</t>
        </is>
      </c>
    </row>
    <row r="1327">
      <c r="A1327" s="3" t="inlineStr">
        <is>
          <t>조치원읍 번암리 2-4</t>
        </is>
      </c>
      <c r="B1327" s="3" t="inlineStr">
        <is>
          <t>보전녹지지역</t>
        </is>
      </c>
      <c r="C1327" s="3" t="inlineStr">
        <is>
          <t>임야</t>
        </is>
      </c>
      <c r="D1327" s="3" t="inlineStr">
        <is>
          <t>임야</t>
        </is>
      </c>
      <c r="E1327" s="3" t="inlineStr">
        <is>
          <t>매매</t>
        </is>
      </c>
      <c r="F1327" s="4" t="n">
        <v>186400</v>
      </c>
      <c r="G1327" s="4" t="n">
        <v>15410</v>
      </c>
      <c r="H1327" s="4" t="n">
        <v>4662</v>
      </c>
      <c r="I1327" s="5" t="n">
        <v>40</v>
      </c>
      <c r="J1327" s="5" t="n">
        <v>59.8</v>
      </c>
      <c r="K1327" s="3" t="inlineStr">
        <is>
          <t>오송역 10분대국가산단 배후, 완경사 대형토지</t>
        </is>
      </c>
      <c r="L1327" s="6">
        <f>HYPERLINK("https://fin.land.naver.com/articles/2647348739", "매물Link")</f>
        <v/>
      </c>
      <c r="M1327" s="6">
        <f>HYPERLINK("https://map.naver.com/p/search/조치원읍 번암리 2-4", "지도Link")</f>
        <v/>
      </c>
      <c r="N1327" s="6">
        <f>HYPERLINK("http://www.eum.go.kr/web/ar/lu/luLandDet.jsp?pnu=3611025031100020004&amp;isNoScr=script&amp;mode=search", "토지이음")</f>
        <v/>
      </c>
      <c r="O1327" s="3" t="inlineStr">
        <is>
          <t>세종소담황금</t>
        </is>
      </c>
      <c r="P1327" s="4" t="n">
        <v>1</v>
      </c>
      <c r="Q1327" s="4" t="n">
        <v>10154</v>
      </c>
      <c r="R1327" s="3" t="inlineStr">
        <is>
          <t>지정되지않음</t>
        </is>
      </c>
      <c r="S1327" s="3" t="inlineStr">
        <is>
          <t>과수원</t>
        </is>
      </c>
      <c r="T1327" s="3" t="inlineStr">
        <is>
          <t>완경사</t>
        </is>
      </c>
      <c r="U1327" s="3" t="inlineStr">
        <is>
          <t>자루형</t>
        </is>
      </c>
      <c r="V1327" s="3" t="inlineStr">
        <is>
          <t>세로한면(가)</t>
        </is>
      </c>
    </row>
    <row r="1328">
      <c r="A1328" s="3" t="inlineStr">
        <is>
          <t>조치원읍 번암리 86-1</t>
        </is>
      </c>
      <c r="B1328" s="3" t="inlineStr">
        <is>
          <t>제2종일반주거지역</t>
        </is>
      </c>
      <c r="C1328" s="3" t="inlineStr">
        <is>
          <t>과수원</t>
        </is>
      </c>
      <c r="D1328" s="3" t="inlineStr">
        <is>
          <t>대</t>
        </is>
      </c>
      <c r="E1328" s="3" t="inlineStr">
        <is>
          <t>매매</t>
        </is>
      </c>
      <c r="F1328" s="4" t="n">
        <v>50000</v>
      </c>
      <c r="G1328" s="4" t="n">
        <v>331</v>
      </c>
      <c r="H1328" s="4" t="n">
        <v>100</v>
      </c>
      <c r="I1328" s="5" t="n">
        <v>500</v>
      </c>
      <c r="J1328" s="5" t="n">
        <v>190.1</v>
      </c>
      <c r="K1328" s="3" t="inlineStr">
        <is>
          <t>초기 투자 부담 적고 활용도 높은 규모</t>
        </is>
      </c>
      <c r="L1328" s="6">
        <f>HYPERLINK("https://fin.land.naver.com/articles/2648621896", "매물Link")</f>
        <v/>
      </c>
      <c r="M1328" s="6">
        <f>HYPERLINK("https://map.naver.com/p/search/조치원읍 번암리 86-1", "지도Link")</f>
        <v/>
      </c>
      <c r="N1328" s="6">
        <f>HYPERLINK("http://www.eum.go.kr/web/ar/lu/luLandDet.jsp?pnu=3611025031100860001&amp;isNoScr=script&amp;mode=search", "토지이음")</f>
        <v/>
      </c>
      <c r="O1328" s="3" t="inlineStr">
        <is>
          <t>더KEY</t>
        </is>
      </c>
      <c r="P1328" s="4" t="n">
        <v>1</v>
      </c>
      <c r="Q1328" s="4" t="n">
        <v>331</v>
      </c>
      <c r="R1328" s="3" t="inlineStr">
        <is>
          <t>지정되지않음</t>
        </is>
      </c>
      <c r="S1328" s="3" t="inlineStr">
        <is>
          <t>과수원</t>
        </is>
      </c>
      <c r="T1328" s="3" t="inlineStr">
        <is>
          <t>완경사</t>
        </is>
      </c>
      <c r="U1328" s="3" t="inlineStr">
        <is>
          <t>사다리형</t>
        </is>
      </c>
      <c r="V1328" s="3" t="inlineStr">
        <is>
          <t>소로한면</t>
        </is>
      </c>
    </row>
    <row r="1329">
      <c r="A1329" s="3" t="inlineStr">
        <is>
          <t>조치원읍 번암리 96-2</t>
        </is>
      </c>
      <c r="B1329" s="3" t="inlineStr">
        <is>
          <t>제2종일반주거지역</t>
        </is>
      </c>
      <c r="C1329" s="3" t="inlineStr">
        <is>
          <t>전</t>
        </is>
      </c>
      <c r="D1329" s="3" t="inlineStr">
        <is>
          <t>전</t>
        </is>
      </c>
      <c r="E1329" s="3" t="inlineStr">
        <is>
          <t>매매</t>
        </is>
      </c>
      <c r="F1329" s="4" t="n">
        <v>180000</v>
      </c>
      <c r="G1329" s="4" t="n">
        <v>943</v>
      </c>
      <c r="H1329" s="4" t="n">
        <v>285</v>
      </c>
      <c r="I1329" s="5" t="n">
        <v>631.6</v>
      </c>
      <c r="J1329" s="5" t="n">
        <v>222.5</v>
      </c>
      <c r="K1329" s="3" t="inlineStr">
        <is>
          <t>도시지역내 2종일반주거지역 토지</t>
        </is>
      </c>
      <c r="L1329" s="6">
        <f>HYPERLINK("https://fin.land.naver.com/articles/2650856620", "매물Link")</f>
        <v/>
      </c>
      <c r="M1329" s="6">
        <f>HYPERLINK("https://map.naver.com/p/search/조치원읍 번암리 96-2", "지도Link")</f>
        <v/>
      </c>
      <c r="N1329" s="6">
        <f>HYPERLINK("http://www.eum.go.kr/web/ar/lu/luLandDet.jsp?pnu=3611025031100960002&amp;isNoScr=script&amp;mode=search", "토지이음")</f>
        <v/>
      </c>
      <c r="O1329" s="3" t="inlineStr">
        <is>
          <t>세종대박</t>
        </is>
      </c>
      <c r="P1329" s="4" t="n">
        <v>1</v>
      </c>
      <c r="Q1329" s="4" t="n">
        <v>943</v>
      </c>
      <c r="R1329" s="3" t="inlineStr">
        <is>
          <t>지정되지않음</t>
        </is>
      </c>
      <c r="S1329" s="3" t="inlineStr">
        <is>
          <t>전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중로한면</t>
        </is>
      </c>
    </row>
    <row r="1330">
      <c r="A1330" s="3" t="inlineStr">
        <is>
          <t>조치원읍 봉산리 171-3</t>
        </is>
      </c>
      <c r="B1330" s="3" t="inlineStr">
        <is>
          <t>자연녹지지역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210000</v>
      </c>
      <c r="G1330" s="4" t="n">
        <v>2313</v>
      </c>
      <c r="H1330" s="4" t="n">
        <v>700</v>
      </c>
      <c r="I1330" s="5" t="n">
        <v>300</v>
      </c>
      <c r="J1330" s="5" t="n">
        <v>129.9</v>
      </c>
      <c r="K1330" s="3" t="inlineStr">
        <is>
          <t>세종시 조치원 도심 700,  중로접 토지, 코너위치, 투자 1순위</t>
        </is>
      </c>
      <c r="L1330" s="6">
        <f>HYPERLINK("https://fin.land.naver.com/articles/2650315346", "매물Link")</f>
        <v/>
      </c>
      <c r="M1330" s="6">
        <f>HYPERLINK("https://map.naver.com/p/search/조치원읍 봉산리 171-3", "지도Link")</f>
        <v/>
      </c>
      <c r="N1330" s="6">
        <f>HYPERLINK("http://www.eum.go.kr/web/ar/lu/luLandDet.jsp?pnu=3611025033101710003&amp;isNoScr=script&amp;mode=search", "토지이음")</f>
        <v/>
      </c>
      <c r="O1330" s="3" t="inlineStr">
        <is>
          <t>세종공감</t>
        </is>
      </c>
      <c r="P1330" s="4" t="n">
        <v>1</v>
      </c>
      <c r="Q1330" s="4" t="n">
        <v>2313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사다리형</t>
        </is>
      </c>
      <c r="V1330" s="3" t="inlineStr">
        <is>
          <t>중로각지</t>
        </is>
      </c>
    </row>
    <row r="1331">
      <c r="A1331" s="3" t="inlineStr">
        <is>
          <t>조치원읍 봉산리 171-5</t>
        </is>
      </c>
      <c r="B1331" s="3" t="inlineStr">
        <is>
          <t>자연녹지지역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140000</v>
      </c>
      <c r="G1331" s="4" t="n">
        <v>1695</v>
      </c>
      <c r="H1331" s="4" t="n">
        <v>513</v>
      </c>
      <c r="I1331" s="5" t="n">
        <v>272.9</v>
      </c>
      <c r="J1331" s="5" t="n">
        <v>135.2</v>
      </c>
      <c r="K1331" s="3" t="inlineStr">
        <is>
          <t>세종시 조치원읍 봉산리 토지 2필지 일괄매매입니다.</t>
        </is>
      </c>
      <c r="L1331" s="6">
        <f>HYPERLINK("https://fin.land.naver.com/articles/2648778213", "매물Link")</f>
        <v/>
      </c>
      <c r="M1331" s="6">
        <f>HYPERLINK("https://map.naver.com/p/search/조치원읍 봉산리 171-5", "지도Link")</f>
        <v/>
      </c>
      <c r="N1331" s="6">
        <f>HYPERLINK("http://www.eum.go.kr/web/ar/lu/luLandDet.jsp?pnu=3611025033101710005&amp;isNoScr=script&amp;mode=search", "토지이음")</f>
        <v/>
      </c>
      <c r="O1331" s="3" t="inlineStr">
        <is>
          <t>세종공감</t>
        </is>
      </c>
      <c r="P1331" s="4" t="n">
        <v>1</v>
      </c>
      <c r="Q1331" s="4" t="n">
        <v>499</v>
      </c>
      <c r="R1331" s="3" t="inlineStr">
        <is>
          <t>지정되지않음</t>
        </is>
      </c>
      <c r="S1331" s="3" t="inlineStr">
        <is>
          <t>답창고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중로한면</t>
        </is>
      </c>
    </row>
    <row r="1332">
      <c r="A1332" s="3" t="inlineStr">
        <is>
          <t>조치원읍 봉산리 225-2</t>
        </is>
      </c>
      <c r="B1332" s="3" t="inlineStr">
        <is>
          <t>자연녹지지역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65000</v>
      </c>
      <c r="G1332" s="4" t="n">
        <v>1450</v>
      </c>
      <c r="H1332" s="4" t="n">
        <v>439</v>
      </c>
      <c r="I1332" s="5" t="n">
        <v>148.1</v>
      </c>
      <c r="J1332" s="5" t="n">
        <v>69.3</v>
      </c>
      <c r="K1332" s="3" t="inlineStr">
        <is>
          <t>nan</t>
        </is>
      </c>
      <c r="L1332" s="6">
        <f>HYPERLINK("https://fin.land.naver.com/articles/2647840843", "매물Link")</f>
        <v/>
      </c>
      <c r="M1332" s="6">
        <f>HYPERLINK("https://map.naver.com/p/search/조치원읍 봉산리 225-2", "지도Link")</f>
        <v/>
      </c>
      <c r="N1332" s="6">
        <f>HYPERLINK("http://www.eum.go.kr/web/ar/lu/luLandDet.jsp?pnu=3611025033102250002&amp;isNoScr=script&amp;mode=search", "토지이음")</f>
        <v/>
      </c>
      <c r="O1332" s="3" t="inlineStr">
        <is>
          <t>덕천</t>
        </is>
      </c>
      <c r="P1332" s="4" t="n">
        <v>1</v>
      </c>
      <c r="Q1332" s="4" t="n">
        <v>1450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완경사</t>
        </is>
      </c>
      <c r="U1332" s="3" t="inlineStr">
        <is>
          <t>사다리형</t>
        </is>
      </c>
      <c r="V1332" s="3" t="inlineStr">
        <is>
          <t>세로한면(불)</t>
        </is>
      </c>
    </row>
    <row r="1333">
      <c r="A1333" s="3" t="inlineStr">
        <is>
          <t>조치원읍 봉산리 273</t>
        </is>
      </c>
      <c r="B1333" s="3" t="inlineStr">
        <is>
          <t>계획관리지역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76000</v>
      </c>
      <c r="G1333" s="4" t="n">
        <v>1009</v>
      </c>
      <c r="H1333" s="4" t="n">
        <v>305</v>
      </c>
      <c r="I1333" s="5" t="n">
        <v>249.2</v>
      </c>
      <c r="J1333" s="5" t="n">
        <v>75.8</v>
      </c>
      <c r="K1333" s="3" t="inlineStr"/>
      <c r="L1333" s="6">
        <f>HYPERLINK("https://fin.land.naver.com/articles/2650829738", "매물Link")</f>
        <v/>
      </c>
      <c r="M1333" s="6">
        <f>HYPERLINK("https://map.naver.com/p/search/조치원읍 봉산리 273", "지도Link")</f>
        <v/>
      </c>
      <c r="N1333" s="6">
        <f>HYPERLINK("http://www.eum.go.kr/web/ar/lu/luLandDet.jsp?pnu=3611025033102730000&amp;isNoScr=script&amp;mode=search", "토지이음")</f>
        <v/>
      </c>
      <c r="O1333" s="3" t="inlineStr">
        <is>
          <t>세종지평</t>
        </is>
      </c>
      <c r="P1333" s="4" t="n">
        <v>1</v>
      </c>
      <c r="Q1333" s="4" t="n">
        <v>1010</v>
      </c>
      <c r="R1333" s="3" t="inlineStr">
        <is>
          <t>자연녹지지역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조치원읍 봉산리 273-2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180000</v>
      </c>
      <c r="G1334" s="4" t="n">
        <v>1949</v>
      </c>
      <c r="H1334" s="4" t="n">
        <v>590</v>
      </c>
      <c r="I1334" s="5" t="n">
        <v>305.1</v>
      </c>
      <c r="J1334" s="5" t="n">
        <v>74.40000000000001</v>
      </c>
      <c r="K1334" s="3" t="inlineStr">
        <is>
          <t>봉산리  귀한 계획관리지역  2차선도로 접.토지거래허가구역. 투자추천매물</t>
        </is>
      </c>
      <c r="L1334" s="6">
        <f>HYPERLINK("https://fin.land.naver.com/articles/2647140613", "매물Link")</f>
        <v/>
      </c>
      <c r="M1334" s="6">
        <f>HYPERLINK("https://map.naver.com/p/search/조치원읍 봉산리 273-2", "지도Link")</f>
        <v/>
      </c>
      <c r="N1334" s="6">
        <f>HYPERLINK("http://www.eum.go.kr/web/ar/lu/luLandDet.jsp?pnu=3611025033102730002&amp;isNoScr=script&amp;mode=search", "토지이음")</f>
        <v/>
      </c>
      <c r="O1334" s="3" t="inlineStr">
        <is>
          <t>세종특별시</t>
        </is>
      </c>
      <c r="P1334" s="4" t="n">
        <v>1</v>
      </c>
      <c r="Q1334" s="4" t="n">
        <v>1949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부정형</t>
        </is>
      </c>
      <c r="V1334" s="3" t="inlineStr">
        <is>
          <t>소로한면</t>
        </is>
      </c>
    </row>
    <row r="1335">
      <c r="A1335" s="3" t="inlineStr">
        <is>
          <t>조치원읍 봉산리 287-2</t>
        </is>
      </c>
      <c r="B1335" s="3" t="inlineStr">
        <is>
          <t>계획관리지역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140700</v>
      </c>
      <c r="G1335" s="4" t="n">
        <v>3322</v>
      </c>
      <c r="H1335" s="4" t="n">
        <v>1005</v>
      </c>
      <c r="I1335" s="5" t="n">
        <v>140</v>
      </c>
      <c r="J1335" s="5" t="n">
        <v>70</v>
      </c>
      <c r="K1335" s="3" t="inlineStr">
        <is>
          <t>투자용</t>
        </is>
      </c>
      <c r="L1335" s="6">
        <f>HYPERLINK("https://fin.land.naver.com/articles/2648555645", "매물Link")</f>
        <v/>
      </c>
      <c r="M1335" s="6">
        <f>HYPERLINK("https://map.naver.com/p/search/조치원읍 봉산리 287-2", "지도Link")</f>
        <v/>
      </c>
      <c r="N1335" s="6">
        <f>HYPERLINK("http://www.eum.go.kr/web/ar/lu/luLandDet.jsp?pnu=3611025033102870002&amp;isNoScr=script&amp;mode=search", "토지이음")</f>
        <v/>
      </c>
      <c r="O1335" s="3" t="inlineStr">
        <is>
          <t>세종리츠</t>
        </is>
      </c>
      <c r="P1335" s="4" t="n">
        <v>1</v>
      </c>
      <c r="Q1335" s="4" t="n">
        <v>2628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조치원읍 봉산리 295</t>
        </is>
      </c>
      <c r="B1336" s="3" t="inlineStr">
        <is>
          <t>계획관리지역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329200</v>
      </c>
      <c r="G1336" s="4" t="n">
        <v>4353</v>
      </c>
      <c r="H1336" s="4" t="n">
        <v>1317</v>
      </c>
      <c r="I1336" s="5" t="n">
        <v>250</v>
      </c>
      <c r="J1336" s="5" t="n">
        <v>70.7</v>
      </c>
      <c r="K1336" s="3" t="inlineStr">
        <is>
          <t>nan</t>
        </is>
      </c>
      <c r="L1336" s="6">
        <f>HYPERLINK("https://fin.land.naver.com/articles/2646456412", "매물Link")</f>
        <v/>
      </c>
      <c r="M1336" s="6">
        <f>HYPERLINK("https://map.naver.com/p/search/조치원읍 봉산리 295", "지도Link")</f>
        <v/>
      </c>
      <c r="N1336" s="6">
        <f>HYPERLINK("http://www.eum.go.kr/web/ar/lu/luLandDet.jsp?pnu=3611025033102950000&amp;isNoScr=script&amp;mode=search", "토지이음")</f>
        <v/>
      </c>
      <c r="O1336" s="3" t="inlineStr">
        <is>
          <t>오송랜드</t>
        </is>
      </c>
      <c r="P1336" s="4" t="n">
        <v>1</v>
      </c>
      <c r="Q1336" s="4" t="n">
        <v>2226</v>
      </c>
      <c r="R1336" s="3" t="inlineStr">
        <is>
          <t>지정되지않음</t>
        </is>
      </c>
      <c r="S1336" s="3" t="inlineStr">
        <is>
          <t>전기타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조치원읍 봉산리 296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300000</v>
      </c>
      <c r="G1337" s="4" t="n">
        <v>2631</v>
      </c>
      <c r="H1337" s="4" t="n">
        <v>796</v>
      </c>
      <c r="I1337" s="5" t="n">
        <v>376.9</v>
      </c>
      <c r="J1337" s="5" t="n">
        <v>93.7</v>
      </c>
      <c r="K1337" s="3" t="inlineStr">
        <is>
          <t>조치원 서북부지구 도시개발사업인접. 향후 유동 인구와 인프라 확충높음</t>
        </is>
      </c>
      <c r="L1337" s="6">
        <f>HYPERLINK("https://fin.land.naver.com/articles/2649013256", "매물Link")</f>
        <v/>
      </c>
      <c r="M1337" s="6">
        <f>HYPERLINK("https://map.naver.com/p/search/조치원읍 봉산리 296", "지도Link")</f>
        <v/>
      </c>
      <c r="N1337" s="6">
        <f>HYPERLINK("http://www.eum.go.kr/web/ar/lu/luLandDet.jsp?pnu=3611025033102960000&amp;isNoScr=script&amp;mode=search", "토지이음")</f>
        <v/>
      </c>
      <c r="O1337" s="3" t="inlineStr">
        <is>
          <t>우리동네</t>
        </is>
      </c>
      <c r="P1337" s="4" t="n">
        <v>1</v>
      </c>
      <c r="Q1337" s="4" t="n">
        <v>2631</v>
      </c>
      <c r="R1337" s="3" t="inlineStr">
        <is>
          <t>지정되지않음</t>
        </is>
      </c>
      <c r="S1337" s="3" t="inlineStr">
        <is>
          <t>공업용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조치원읍 봉산리 303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151580</v>
      </c>
      <c r="G1338" s="4" t="n">
        <v>2277</v>
      </c>
      <c r="H1338" s="4" t="n">
        <v>689</v>
      </c>
      <c r="I1338" s="5" t="n">
        <v>220</v>
      </c>
      <c r="J1338" s="5" t="n">
        <v>62.3</v>
      </c>
      <c r="K1338" s="3" t="inlineStr">
        <is>
          <t>nan</t>
        </is>
      </c>
      <c r="L1338" s="6">
        <f>HYPERLINK("https://fin.land.naver.com/articles/2646469696", "매물Link")</f>
        <v/>
      </c>
      <c r="M1338" s="6">
        <f>HYPERLINK("https://map.naver.com/p/search/조치원읍 봉산리 303", "지도Link")</f>
        <v/>
      </c>
      <c r="N1338" s="6">
        <f>HYPERLINK("http://www.eum.go.kr/web/ar/lu/luLandDet.jsp?pnu=3611025033103030000&amp;isNoScr=script&amp;mode=search", "토지이음")</f>
        <v/>
      </c>
      <c r="O1338" s="3" t="inlineStr">
        <is>
          <t>오송랜드</t>
        </is>
      </c>
      <c r="P1338" s="4" t="n">
        <v>1</v>
      </c>
      <c r="Q1338" s="4" t="n">
        <v>2278</v>
      </c>
      <c r="R1338" s="3" t="inlineStr">
        <is>
          <t>지정되지않음</t>
        </is>
      </c>
      <c r="S1338" s="3" t="inlineStr">
        <is>
          <t>전기타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조치원읍 봉산리 393</t>
        </is>
      </c>
      <c r="B1339" s="3" t="inlineStr">
        <is>
          <t>준주거지역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375000</v>
      </c>
      <c r="G1339" s="4" t="n">
        <v>828</v>
      </c>
      <c r="H1339" s="4" t="n">
        <v>250</v>
      </c>
      <c r="I1339" s="5" t="n">
        <v>1500</v>
      </c>
      <c r="J1339" s="5" t="n">
        <v>274.4</v>
      </c>
      <c r="K1339" s="3" t="inlineStr">
        <is>
          <t>준주거 대지</t>
        </is>
      </c>
      <c r="L1339" s="6">
        <f>HYPERLINK("https://fin.land.naver.com/articles/2649750743", "매물Link")</f>
        <v/>
      </c>
      <c r="M1339" s="6">
        <f>HYPERLINK("https://map.naver.com/p/search/조치원읍 봉산리 393", "지도Link")</f>
        <v/>
      </c>
      <c r="N1339" s="6">
        <f>HYPERLINK("http://www.eum.go.kr/web/ar/lu/luLandDet.jsp?pnu=3611025033103930000&amp;isNoScr=script&amp;mode=search", "토지이음")</f>
        <v/>
      </c>
      <c r="O1339" s="3" t="inlineStr">
        <is>
          <t>세종몽땅</t>
        </is>
      </c>
      <c r="P1339" s="4" t="n">
        <v>1</v>
      </c>
      <c r="Q1339" s="4" t="n">
        <v>828.7</v>
      </c>
      <c r="R1339" s="3" t="inlineStr">
        <is>
          <t>지정되지않음</t>
        </is>
      </c>
      <c r="S1339" s="3" t="inlineStr">
        <is>
          <t>상업나지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중로각지</t>
        </is>
      </c>
    </row>
    <row r="1340">
      <c r="A1340" s="3" t="inlineStr">
        <is>
          <t>조치원읍 봉산리 393</t>
        </is>
      </c>
      <c r="B1340" s="3" t="inlineStr">
        <is>
          <t>준주거지역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450000</v>
      </c>
      <c r="G1340" s="4" t="n">
        <v>828</v>
      </c>
      <c r="H1340" s="4" t="n">
        <v>250</v>
      </c>
      <c r="I1340" s="5" t="n">
        <v>1800</v>
      </c>
      <c r="J1340" s="5" t="n">
        <v>274.4</v>
      </c>
      <c r="K1340" s="3" t="inlineStr">
        <is>
          <t>조치원 서북부지구 아파트 앞 중심상권 토지</t>
        </is>
      </c>
      <c r="L1340" s="6">
        <f>HYPERLINK("https://fin.land.naver.com/articles/2650856619", "매물Link")</f>
        <v/>
      </c>
      <c r="M1340" s="6">
        <f>HYPERLINK("https://map.naver.com/p/search/조치원읍 봉산리 393", "지도Link")</f>
        <v/>
      </c>
      <c r="N1340" s="6">
        <f>HYPERLINK("http://www.eum.go.kr/web/ar/lu/luLandDet.jsp?pnu=3611025033103930000&amp;isNoScr=script&amp;mode=search", "토지이음")</f>
        <v/>
      </c>
      <c r="O1340" s="3" t="inlineStr">
        <is>
          <t>세종대박</t>
        </is>
      </c>
      <c r="P1340" s="4" t="n">
        <v>1</v>
      </c>
      <c r="Q1340" s="4" t="n">
        <v>828.7</v>
      </c>
      <c r="R1340" s="3" t="inlineStr">
        <is>
          <t>지정되지않음</t>
        </is>
      </c>
      <c r="S1340" s="3" t="inlineStr">
        <is>
          <t>상업나지</t>
        </is>
      </c>
      <c r="T1340" s="3" t="inlineStr">
        <is>
          <t>평지</t>
        </is>
      </c>
      <c r="U1340" s="3" t="inlineStr">
        <is>
          <t>가로장방</t>
        </is>
      </c>
      <c r="V1340" s="3" t="inlineStr">
        <is>
          <t>중로각지</t>
        </is>
      </c>
    </row>
    <row r="1341">
      <c r="A1341" s="3" t="inlineStr">
        <is>
          <t>조치원읍 봉산리 산 20-16</t>
        </is>
      </c>
      <c r="B1341" s="3" t="inlineStr">
        <is>
          <t>자연녹지지역</t>
        </is>
      </c>
      <c r="C1341" s="3" t="inlineStr">
        <is>
          <t>임야</t>
        </is>
      </c>
      <c r="D1341" s="3" t="inlineStr">
        <is>
          <t>임야</t>
        </is>
      </c>
      <c r="E1341" s="3" t="inlineStr">
        <is>
          <t>매매</t>
        </is>
      </c>
      <c r="F1341" s="4" t="n">
        <v>380000</v>
      </c>
      <c r="G1341" s="4" t="n">
        <v>25657</v>
      </c>
      <c r="H1341" s="4" t="n">
        <v>7761</v>
      </c>
      <c r="I1341" s="5" t="n">
        <v>49</v>
      </c>
      <c r="J1341" s="5" t="n">
        <v>8.5</v>
      </c>
      <c r="K1341" s="3" t="inlineStr">
        <is>
          <t>봉산리 임야 매매</t>
        </is>
      </c>
      <c r="L1341" s="6">
        <f>HYPERLINK("https://fin.land.naver.com/articles/2647628421", "매물Link")</f>
        <v/>
      </c>
      <c r="M1341" s="6">
        <f>HYPERLINK("https://map.naver.com/p/search/조치원읍 봉산리 산 20-16", "지도Link")</f>
        <v/>
      </c>
      <c r="N1341" s="6">
        <f>HYPERLINK("http://www.eum.go.kr/web/ar/lu/luLandDet.jsp?pnu=3611025033200200016&amp;isNoScr=script&amp;mode=search", "토지이음")</f>
        <v/>
      </c>
      <c r="O1341" s="3" t="inlineStr">
        <is>
          <t>스마트</t>
        </is>
      </c>
      <c r="P1341" s="4" t="n">
        <v>1</v>
      </c>
      <c r="Q1341" s="4" t="n">
        <v>25657</v>
      </c>
      <c r="R1341" s="3" t="inlineStr">
        <is>
          <t>보전녹지지역</t>
        </is>
      </c>
      <c r="S1341" s="3" t="inlineStr">
        <is>
          <t>자연림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조치원읍 봉산리 산20-15</t>
        </is>
      </c>
      <c r="B1342" s="3" t="inlineStr">
        <is>
          <t>보전녹지지역</t>
        </is>
      </c>
      <c r="C1342" s="3" t="inlineStr">
        <is>
          <t>임야</t>
        </is>
      </c>
      <c r="D1342" s="3" t="inlineStr">
        <is>
          <t>임야</t>
        </is>
      </c>
      <c r="E1342" s="3" t="inlineStr">
        <is>
          <t>매매</t>
        </is>
      </c>
      <c r="F1342" s="4" t="n">
        <v>16084</v>
      </c>
      <c r="G1342" s="4" t="n">
        <v>13291</v>
      </c>
      <c r="H1342" s="4" t="n">
        <v>4021</v>
      </c>
      <c r="I1342" s="5" t="n">
        <v>4</v>
      </c>
      <c r="J1342" s="5" t="n">
        <v>4.1</v>
      </c>
      <c r="K1342" s="3" t="inlineStr">
        <is>
          <t>맹지 빠른매도원함 조치원읍  주변 땅 발전성 높고요 매물 가치 좋아요</t>
        </is>
      </c>
      <c r="L1342" s="6">
        <f>HYPERLINK("https://fin.land.naver.com/articles/2649267318", "매물Link")</f>
        <v/>
      </c>
      <c r="M1342" s="6">
        <f>HYPERLINK("https://map.naver.com/p/search/조치원읍 봉산리 산20-15", "지도Link")</f>
        <v/>
      </c>
      <c r="N1342" s="6">
        <f>HYPERLINK("http://www.eum.go.kr/web/ar/lu/luLandDet.jsp?pnu=3611025033200200015&amp;isNoScr=script&amp;mode=search", "토지이음")</f>
        <v/>
      </c>
      <c r="O1342" s="3" t="inlineStr">
        <is>
          <t>삼성래미안</t>
        </is>
      </c>
      <c r="P1342" s="4" t="n">
        <v>3</v>
      </c>
      <c r="Q1342" s="4" t="n">
        <v>13291</v>
      </c>
      <c r="R1342" s="3" t="inlineStr">
        <is>
          <t>자연녹지지역</t>
        </is>
      </c>
      <c r="S1342" s="3" t="inlineStr">
        <is>
          <t>자연림</t>
        </is>
      </c>
      <c r="T1342" s="3" t="inlineStr">
        <is>
          <t>급경사</t>
        </is>
      </c>
      <c r="U1342" s="3" t="inlineStr">
        <is>
          <t>부정형</t>
        </is>
      </c>
      <c r="V1342" s="3" t="inlineStr">
        <is>
          <t>맹지</t>
        </is>
      </c>
    </row>
    <row r="1343">
      <c r="A1343" s="3" t="inlineStr">
        <is>
          <t>조치원읍 상리 98</t>
        </is>
      </c>
      <c r="B1343" s="3" t="inlineStr">
        <is>
          <t>일반상업지역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90000</v>
      </c>
      <c r="G1343" s="4" t="n">
        <v>427</v>
      </c>
      <c r="H1343" s="4" t="n">
        <v>129</v>
      </c>
      <c r="I1343" s="5" t="n">
        <v>697.7</v>
      </c>
      <c r="J1343" s="5" t="n">
        <v>478</v>
      </c>
      <c r="K1343" s="3" t="inlineStr">
        <is>
          <t>조치원 버스터미널 인접 도로접 일반상업지역 9억대 나대지</t>
        </is>
      </c>
      <c r="L1343" s="6">
        <f>HYPERLINK("https://fin.land.naver.com/articles/2649751054", "매물Link")</f>
        <v/>
      </c>
      <c r="M1343" s="6">
        <f>HYPERLINK("https://map.naver.com/p/search/조치원읍 상리 98", "지도Link")</f>
        <v/>
      </c>
      <c r="N1343" s="6">
        <f>HYPERLINK("http://www.eum.go.kr/web/ar/lu/luLandDet.jsp?pnu=3611025022100980000&amp;isNoScr=script&amp;mode=search", "토지이음")</f>
        <v/>
      </c>
      <c r="O1343" s="3" t="inlineStr">
        <is>
          <t>세종소담황금</t>
        </is>
      </c>
      <c r="P1343" s="4" t="n">
        <v>1</v>
      </c>
      <c r="Q1343" s="4" t="n">
        <v>427</v>
      </c>
      <c r="R1343" s="3" t="inlineStr">
        <is>
          <t>지정되지않음</t>
        </is>
      </c>
      <c r="S1343" s="3" t="inlineStr">
        <is>
          <t>주상나지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소로한면</t>
        </is>
      </c>
    </row>
    <row r="1344">
      <c r="A1344" s="3" t="inlineStr">
        <is>
          <t>조치원읍 상리 98</t>
        </is>
      </c>
      <c r="B1344" s="3" t="inlineStr">
        <is>
          <t>일반상업지역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90000</v>
      </c>
      <c r="G1344" s="4" t="n">
        <v>427</v>
      </c>
      <c r="H1344" s="4" t="n">
        <v>129</v>
      </c>
      <c r="I1344" s="5" t="n">
        <v>697.7</v>
      </c>
      <c r="J1344" s="5" t="n">
        <v>478</v>
      </c>
      <c r="K1344" s="3" t="inlineStr">
        <is>
          <t>조치원 버스터미널 바로 옆 일반상업지역 위치 최고 대지 매매</t>
        </is>
      </c>
      <c r="L1344" s="6">
        <f>HYPERLINK("https://fin.land.naver.com/articles/2650923519", "매물Link")</f>
        <v/>
      </c>
      <c r="M1344" s="6">
        <f>HYPERLINK("https://map.naver.com/p/search/조치원읍 상리 98", "지도Link")</f>
        <v/>
      </c>
      <c r="N1344" s="6">
        <f>HYPERLINK("http://www.eum.go.kr/web/ar/lu/luLandDet.jsp?pnu=3611025022100980000&amp;isNoScr=script&amp;mode=search", "토지이음")</f>
        <v/>
      </c>
      <c r="O1344" s="3" t="inlineStr">
        <is>
          <t>나침반</t>
        </is>
      </c>
      <c r="P1344" s="4" t="n">
        <v>2</v>
      </c>
      <c r="Q1344" s="4" t="n">
        <v>427</v>
      </c>
      <c r="R1344" s="3" t="inlineStr">
        <is>
          <t>지정되지않음</t>
        </is>
      </c>
      <c r="S1344" s="3" t="inlineStr">
        <is>
          <t>주상나지</t>
        </is>
      </c>
      <c r="T1344" s="3" t="inlineStr">
        <is>
          <t>평지</t>
        </is>
      </c>
      <c r="U1344" s="3" t="inlineStr">
        <is>
          <t>부정형</t>
        </is>
      </c>
      <c r="V1344" s="3" t="inlineStr">
        <is>
          <t>소로한면</t>
        </is>
      </c>
    </row>
    <row r="1345">
      <c r="A1345" s="3" t="inlineStr">
        <is>
          <t>조치원읍 상리 98</t>
        </is>
      </c>
      <c r="B1345" s="3" t="inlineStr">
        <is>
          <t>일반상업지역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90000</v>
      </c>
      <c r="G1345" s="4" t="n">
        <v>427</v>
      </c>
      <c r="H1345" s="4" t="n">
        <v>129</v>
      </c>
      <c r="I1345" s="5" t="n">
        <v>697.7</v>
      </c>
      <c r="J1345" s="5" t="n">
        <v>478</v>
      </c>
      <c r="K1345" s="3" t="inlineStr">
        <is>
          <t>상리 일반상업지역 매매 대지 입니다</t>
        </is>
      </c>
      <c r="L1345" s="6">
        <f>HYPERLINK("https://fin.land.naver.com/articles/2650858068", "매물Link")</f>
        <v/>
      </c>
      <c r="M1345" s="6">
        <f>HYPERLINK("https://map.naver.com/p/search/조치원읍 상리 98", "지도Link")</f>
        <v/>
      </c>
      <c r="N1345" s="6">
        <f>HYPERLINK("http://www.eum.go.kr/web/ar/lu/luLandDet.jsp?pnu=3611025022100980000&amp;isNoScr=script&amp;mode=search", "토지이음")</f>
        <v/>
      </c>
      <c r="O1345" s="3" t="inlineStr">
        <is>
          <t>상희</t>
        </is>
      </c>
      <c r="P1345" s="4" t="n">
        <v>1</v>
      </c>
      <c r="Q1345" s="4" t="n">
        <v>427</v>
      </c>
      <c r="R1345" s="3" t="inlineStr">
        <is>
          <t>지정되지않음</t>
        </is>
      </c>
      <c r="S1345" s="3" t="inlineStr">
        <is>
          <t>주상나지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조치원읍 서창리 105-10</t>
        </is>
      </c>
      <c r="B1346" s="3" t="inlineStr">
        <is>
          <t>제1종일반주거지역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185000</v>
      </c>
      <c r="G1346" s="4" t="n">
        <v>1685</v>
      </c>
      <c r="H1346" s="4" t="n">
        <v>510</v>
      </c>
      <c r="I1346" s="5" t="n">
        <v>362.7</v>
      </c>
      <c r="J1346" s="5" t="n">
        <v>228.2</v>
      </c>
      <c r="K1346" s="3" t="inlineStr">
        <is>
          <t>4차선 대로접, 물류 및 자동차 관련시설 추천</t>
        </is>
      </c>
      <c r="L1346" s="6">
        <f>HYPERLINK("https://fin.land.naver.com/articles/2649100924", "매물Link")</f>
        <v/>
      </c>
      <c r="M1346" s="6">
        <f>HYPERLINK("https://map.naver.com/p/search/조치원읍 서창리 105-10", "지도Link")</f>
        <v/>
      </c>
      <c r="N1346" s="6">
        <f>HYPERLINK("http://www.eum.go.kr/web/ar/lu/luLandDet.jsp?pnu=3611025034101050010&amp;isNoScr=script&amp;mode=search", "토지이음")</f>
        <v/>
      </c>
      <c r="O1346" s="3" t="inlineStr">
        <is>
          <t>세종소담114</t>
        </is>
      </c>
      <c r="P1346" s="4" t="n">
        <v>1</v>
      </c>
      <c r="Q1346" s="4" t="n">
        <v>1685</v>
      </c>
      <c r="R1346" s="3" t="inlineStr">
        <is>
          <t>자연녹지지역</t>
        </is>
      </c>
      <c r="S1346" s="3" t="inlineStr">
        <is>
          <t>주상나지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중로한면</t>
        </is>
      </c>
    </row>
    <row r="1347">
      <c r="A1347" s="3" t="inlineStr">
        <is>
          <t>조치원읍 서창리 106-4</t>
        </is>
      </c>
      <c r="B1347" s="3" t="inlineStr">
        <is>
          <t>제1종일반주거지역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60000</v>
      </c>
      <c r="G1347" s="4" t="n">
        <v>540</v>
      </c>
      <c r="H1347" s="4" t="n">
        <v>163</v>
      </c>
      <c r="I1347" s="5" t="n">
        <v>368.1</v>
      </c>
      <c r="J1347" s="5" t="n">
        <v>194.8</v>
      </c>
      <c r="K1347" s="3" t="inlineStr">
        <is>
          <t>카센타 세차장 등으로 활용하면 좋을 근생시설과 단독주택을 일괄매매합니다</t>
        </is>
      </c>
      <c r="L1347" s="6">
        <f>HYPERLINK("https://fin.land.naver.com/articles/2650939295", "매물Link")</f>
        <v/>
      </c>
      <c r="M1347" s="6">
        <f>HYPERLINK("https://map.naver.com/p/search/조치원읍 서창리 106-4", "지도Link")</f>
        <v/>
      </c>
      <c r="N1347" s="6">
        <f>HYPERLINK("http://www.eum.go.kr/web/ar/lu/luLandDet.jsp?pnu=3611025034101060004&amp;isNoScr=script&amp;mode=search", "토지이음")</f>
        <v/>
      </c>
      <c r="O1347" s="3" t="inlineStr">
        <is>
          <t>스마일세종</t>
        </is>
      </c>
      <c r="P1347" s="4" t="n">
        <v>1</v>
      </c>
      <c r="Q1347" s="4" t="n">
        <v>540.1</v>
      </c>
      <c r="R1347" s="3" t="inlineStr">
        <is>
          <t>지정되지않음</t>
        </is>
      </c>
      <c r="S1347" s="3" t="inlineStr">
        <is>
          <t>주상용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세로한면(가)</t>
        </is>
      </c>
    </row>
    <row r="1348">
      <c r="A1348" s="3" t="inlineStr">
        <is>
          <t>조치원읍 서창리 124-2</t>
        </is>
      </c>
      <c r="B1348" s="3" t="inlineStr">
        <is>
          <t>자연녹지지역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98700</v>
      </c>
      <c r="G1348" s="4" t="n">
        <v>1086</v>
      </c>
      <c r="H1348" s="4" t="n">
        <v>329</v>
      </c>
      <c r="I1348" s="5" t="n">
        <v>300</v>
      </c>
      <c r="J1348" s="5" t="n">
        <v>108</v>
      </c>
      <c r="K1348" s="3" t="inlineStr">
        <is>
          <t>도시지역.자연녹지지역.공공청사</t>
        </is>
      </c>
      <c r="L1348" s="6">
        <f>HYPERLINK("https://fin.land.naver.com/articles/2651200819", "매물Link")</f>
        <v/>
      </c>
      <c r="M1348" s="6">
        <f>HYPERLINK("https://map.naver.com/p/search/조치원읍 서창리 124-2", "지도Link")</f>
        <v/>
      </c>
      <c r="N1348" s="6">
        <f>HYPERLINK("http://www.eum.go.kr/web/ar/lu/luLandDet.jsp?pnu=3611025034101240002&amp;isNoScr=script&amp;mode=search", "토지이음")</f>
        <v/>
      </c>
      <c r="O1348" s="3" t="inlineStr">
        <is>
          <t>광주역포스코</t>
        </is>
      </c>
      <c r="P1348" s="4" t="n">
        <v>1</v>
      </c>
      <c r="Q1348" s="4" t="n">
        <v>1086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중로각지</t>
        </is>
      </c>
    </row>
    <row r="1349">
      <c r="A1349" s="3" t="inlineStr">
        <is>
          <t>조치원읍 서창리 138-2</t>
        </is>
      </c>
      <c r="B1349" s="3" t="inlineStr">
        <is>
          <t>제2종일반주거지역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84960</v>
      </c>
      <c r="G1349" s="4" t="n">
        <v>620</v>
      </c>
      <c r="H1349" s="4" t="n">
        <v>188</v>
      </c>
      <c r="I1349" s="5" t="n">
        <v>451.9</v>
      </c>
      <c r="J1349" s="5" t="n">
        <v>178.5</v>
      </c>
      <c r="K1349" s="3" t="inlineStr">
        <is>
          <t>세종시 조치원읍 서창리 토지 급매 고려대,세종여고옆 제2종주거620㎡급매</t>
        </is>
      </c>
      <c r="L1349" s="6">
        <f>HYPERLINK("https://fin.land.naver.com/articles/2650379617", "매물Link")</f>
        <v/>
      </c>
      <c r="M1349" s="6">
        <f>HYPERLINK("https://map.naver.com/p/search/조치원읍 서창리 138-2", "지도Link")</f>
        <v/>
      </c>
      <c r="N1349" s="6">
        <f>HYPERLINK("http://www.eum.go.kr/web/ar/lu/luLandDet.jsp?pnu=3611025034101380002&amp;isNoScr=script&amp;mode=search", "토지이음")</f>
        <v/>
      </c>
      <c r="O1349" s="3" t="inlineStr">
        <is>
          <t>세종</t>
        </is>
      </c>
      <c r="P1349" s="4" t="n">
        <v>3</v>
      </c>
      <c r="Q1349" s="4" t="n">
        <v>289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소로한면</t>
        </is>
      </c>
    </row>
    <row r="1350">
      <c r="A1350" s="3" t="inlineStr">
        <is>
          <t>조치원읍 서창리 138-2</t>
        </is>
      </c>
      <c r="B1350" s="3" t="inlineStr">
        <is>
          <t>제2종일반주거지역</t>
        </is>
      </c>
      <c r="C1350" s="3" t="inlineStr">
        <is>
          <t>전</t>
        </is>
      </c>
      <c r="D1350" s="3" t="inlineStr">
        <is>
          <t>전</t>
        </is>
      </c>
      <c r="E1350" s="3" t="inlineStr">
        <is>
          <t>매매</t>
        </is>
      </c>
      <c r="F1350" s="4" t="n">
        <v>85000</v>
      </c>
      <c r="G1350" s="4" t="n">
        <v>620</v>
      </c>
      <c r="H1350" s="4" t="n">
        <v>188</v>
      </c>
      <c r="I1350" s="5" t="n">
        <v>452.1</v>
      </c>
      <c r="J1350" s="5" t="n">
        <v>178.5</v>
      </c>
      <c r="K1350" s="3" t="inlineStr">
        <is>
          <t>서창리 토지 매매</t>
        </is>
      </c>
      <c r="L1350" s="6">
        <f>HYPERLINK("https://fin.land.naver.com/articles/2648992439", "매물Link")</f>
        <v/>
      </c>
      <c r="M1350" s="6">
        <f>HYPERLINK("https://map.naver.com/p/search/조치원읍 서창리 138-2", "지도Link")</f>
        <v/>
      </c>
      <c r="N1350" s="6">
        <f>HYPERLINK("http://www.eum.go.kr/web/ar/lu/luLandDet.jsp?pnu=3611025034101380002&amp;isNoScr=script&amp;mode=search", "토지이음")</f>
        <v/>
      </c>
      <c r="O1350" s="3" t="inlineStr">
        <is>
          <t>김준희</t>
        </is>
      </c>
      <c r="P1350" s="4" t="n">
        <v>1</v>
      </c>
      <c r="Q1350" s="4" t="n">
        <v>289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소로한면</t>
        </is>
      </c>
    </row>
    <row r="1351">
      <c r="A1351" s="3" t="inlineStr">
        <is>
          <t>조치원읍 서창리 138-2</t>
        </is>
      </c>
      <c r="B1351" s="3" t="inlineStr">
        <is>
          <t>제2종일반주거지역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85000</v>
      </c>
      <c r="G1351" s="4" t="n">
        <v>620</v>
      </c>
      <c r="H1351" s="4" t="n">
        <v>188</v>
      </c>
      <c r="I1351" s="5" t="n">
        <v>452.1</v>
      </c>
      <c r="J1351" s="5" t="n">
        <v>178.5</v>
      </c>
      <c r="K1351" s="3" t="inlineStr">
        <is>
          <t>nan</t>
        </is>
      </c>
      <c r="L1351" s="6">
        <f>HYPERLINK("https://fin.land.naver.com/articles/2649067843", "매물Link")</f>
        <v/>
      </c>
      <c r="M1351" s="6">
        <f>HYPERLINK("https://map.naver.com/p/search/조치원읍 서창리 138-2", "지도Link")</f>
        <v/>
      </c>
      <c r="N1351" s="6">
        <f>HYPERLINK("http://www.eum.go.kr/web/ar/lu/luLandDet.jsp?pnu=3611025034101380002&amp;isNoScr=script&amp;mode=search", "토지이음")</f>
        <v/>
      </c>
      <c r="O1351" s="3" t="inlineStr">
        <is>
          <t>번암주공</t>
        </is>
      </c>
      <c r="P1351" s="4" t="n">
        <v>2</v>
      </c>
      <c r="Q1351" s="4" t="n">
        <v>289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소로한면</t>
        </is>
      </c>
    </row>
    <row r="1352">
      <c r="A1352" s="3" t="inlineStr">
        <is>
          <t>조치원읍 서창리 138-2</t>
        </is>
      </c>
      <c r="B1352" s="3" t="inlineStr">
        <is>
          <t>제2종일반주거지역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85000</v>
      </c>
      <c r="G1352" s="4" t="n">
        <v>620</v>
      </c>
      <c r="H1352" s="4" t="n">
        <v>188</v>
      </c>
      <c r="I1352" s="5" t="n">
        <v>452.1</v>
      </c>
      <c r="J1352" s="5" t="n">
        <v>178.5</v>
      </c>
      <c r="K1352" s="3" t="inlineStr">
        <is>
          <t>서창리 2종일반주거,2차선접 코너 나대지 토지 급매</t>
        </is>
      </c>
      <c r="L1352" s="6">
        <f>HYPERLINK("https://fin.land.naver.com/articles/2649393495", "매물Link")</f>
        <v/>
      </c>
      <c r="M1352" s="6">
        <f>HYPERLINK("https://map.naver.com/p/search/조치원읍 서창리 138-2", "지도Link")</f>
        <v/>
      </c>
      <c r="N1352" s="6">
        <f>HYPERLINK("http://www.eum.go.kr/web/ar/lu/luLandDet.jsp?pnu=3611025034101380002&amp;isNoScr=script&amp;mode=search", "토지이음")</f>
        <v/>
      </c>
      <c r="O1352" s="3" t="inlineStr">
        <is>
          <t>광장</t>
        </is>
      </c>
      <c r="P1352" s="4" t="n">
        <v>2</v>
      </c>
      <c r="Q1352" s="4" t="n">
        <v>289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소로한면</t>
        </is>
      </c>
    </row>
    <row r="1353">
      <c r="A1353" s="3" t="inlineStr">
        <is>
          <t>조치원읍 서창리 138-5</t>
        </is>
      </c>
      <c r="B1353" s="3" t="inlineStr">
        <is>
          <t>제2종일반주거지역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85000</v>
      </c>
      <c r="G1353" s="4" t="n">
        <v>620</v>
      </c>
      <c r="H1353" s="4" t="n">
        <v>188</v>
      </c>
      <c r="I1353" s="5" t="n">
        <v>452.1</v>
      </c>
      <c r="J1353" s="5" t="n">
        <v>178.5</v>
      </c>
      <c r="K1353" s="3" t="inlineStr">
        <is>
          <t>2차선도로 및 후면도로에도 접한 제2종일반주거지역의 근린생활시설 상가부지</t>
        </is>
      </c>
      <c r="L1353" s="6">
        <f>HYPERLINK("https://fin.land.naver.com/articles/2650732863", "매물Link")</f>
        <v/>
      </c>
      <c r="M1353" s="6">
        <f>HYPERLINK("https://map.naver.com/p/search/조치원읍 서창리 138-5", "지도Link")</f>
        <v/>
      </c>
      <c r="N1353" s="6">
        <f>HYPERLINK("http://www.eum.go.kr/web/ar/lu/luLandDet.jsp?pnu=3611025034101380005&amp;isNoScr=script&amp;mode=search", "토지이음")</f>
        <v/>
      </c>
      <c r="O1353" s="3" t="inlineStr">
        <is>
          <t>스마일세종</t>
        </is>
      </c>
      <c r="P1353" s="4" t="n">
        <v>2</v>
      </c>
      <c r="Q1353" s="4" t="n">
        <v>331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사다리형</t>
        </is>
      </c>
      <c r="V1353" s="3" t="inlineStr">
        <is>
          <t>소로한면</t>
        </is>
      </c>
    </row>
    <row r="1354">
      <c r="A1354" s="3" t="inlineStr">
        <is>
          <t>조치원읍 서창리 152-2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63000</v>
      </c>
      <c r="G1354" s="4" t="n">
        <v>328</v>
      </c>
      <c r="H1354" s="4" t="n">
        <v>99</v>
      </c>
      <c r="I1354" s="5" t="n">
        <v>636.4</v>
      </c>
      <c r="J1354" s="5" t="n">
        <v>237.3</v>
      </c>
      <c r="K1354" s="3" t="inlineStr">
        <is>
          <t>급매,고려대학교 인근,도로접 도시.2종일반주거지역,다용도 건축가능</t>
        </is>
      </c>
      <c r="L1354" s="6">
        <f>HYPERLINK("https://fin.land.naver.com/articles/2649493845", "매물Link")</f>
        <v/>
      </c>
      <c r="M1354" s="6">
        <f>HYPERLINK("https://map.naver.com/p/search/조치원읍 서창리 152-2", "지도Link")</f>
        <v/>
      </c>
      <c r="N1354" s="6">
        <f>HYPERLINK("http://www.eum.go.kr/web/ar/lu/luLandDet.jsp?pnu=3611025034101520002&amp;isNoScr=script&amp;mode=search", "토지이음")</f>
        <v/>
      </c>
      <c r="O1354" s="3" t="inlineStr">
        <is>
          <t>고운맘</t>
        </is>
      </c>
      <c r="P1354" s="4" t="n">
        <v>1</v>
      </c>
      <c r="Q1354" s="4" t="n">
        <v>328</v>
      </c>
      <c r="R1354" s="3" t="inlineStr">
        <is>
          <t>지정되지않음</t>
        </is>
      </c>
      <c r="S1354" s="3" t="inlineStr">
        <is>
          <t>단독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조치원읍 서창리 168-2</t>
        </is>
      </c>
      <c r="B1355" s="3" t="inlineStr">
        <is>
          <t>준주거지역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120000</v>
      </c>
      <c r="G1355" s="4" t="n">
        <v>732</v>
      </c>
      <c r="H1355" s="4" t="n">
        <v>221</v>
      </c>
      <c r="I1355" s="5" t="n">
        <v>543</v>
      </c>
      <c r="J1355" s="5" t="n">
        <v>320.9</v>
      </c>
      <c r="K1355" s="3" t="inlineStr">
        <is>
          <t>준주거지역 추천매물 고대 정문근처</t>
        </is>
      </c>
      <c r="L1355" s="6">
        <f>HYPERLINK("https://fin.land.naver.com/articles/2648069706", "매물Link")</f>
        <v/>
      </c>
      <c r="M1355" s="6">
        <f>HYPERLINK("https://map.naver.com/p/search/조치원읍 서창리 168-2", "지도Link")</f>
        <v/>
      </c>
      <c r="N1355" s="6">
        <f>HYPERLINK("http://www.eum.go.kr/web/ar/lu/luLandDet.jsp?pnu=3611025034101680002&amp;isNoScr=script&amp;mode=search", "토지이음")</f>
        <v/>
      </c>
      <c r="O1355" s="3" t="inlineStr">
        <is>
          <t>김준희</t>
        </is>
      </c>
      <c r="P1355" s="4" t="n">
        <v>1</v>
      </c>
      <c r="Q1355" s="4" t="n">
        <v>732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소로한면</t>
        </is>
      </c>
    </row>
    <row r="1356">
      <c r="A1356" s="3" t="inlineStr">
        <is>
          <t>조치원읍 서창리 168-31</t>
        </is>
      </c>
      <c r="B1356" s="3" t="inlineStr">
        <is>
          <t>준주거지역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30000</v>
      </c>
      <c r="G1356" s="4" t="n">
        <v>148</v>
      </c>
      <c r="H1356" s="4" t="n">
        <v>45</v>
      </c>
      <c r="I1356" s="5" t="n">
        <v>666.7</v>
      </c>
      <c r="J1356" s="5" t="n">
        <v>307.9</v>
      </c>
      <c r="K1356" s="3" t="inlineStr">
        <is>
          <t>급매, 서창리 준주거지역 토지</t>
        </is>
      </c>
      <c r="L1356" s="6">
        <f>HYPERLINK("https://fin.land.naver.com/articles/2647570748", "매물Link")</f>
        <v/>
      </c>
      <c r="M1356" s="6">
        <f>HYPERLINK("https://map.naver.com/p/search/조치원읍 서창리 168-31", "지도Link")</f>
        <v/>
      </c>
      <c r="N1356" s="6">
        <f>HYPERLINK("http://www.eum.go.kr/web/ar/lu/luLandDet.jsp?pnu=3611025034101680031&amp;isNoScr=script&amp;mode=search", "토지이음")</f>
        <v/>
      </c>
      <c r="O1356" s="3" t="inlineStr">
        <is>
          <t>KB세종</t>
        </is>
      </c>
      <c r="P1356" s="4" t="n">
        <v>1</v>
      </c>
      <c r="Q1356" s="4" t="n">
        <v>148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소로한면</t>
        </is>
      </c>
    </row>
    <row r="1357">
      <c r="A1357" s="3" t="inlineStr">
        <is>
          <t>조치원읍 서창리 182-16</t>
        </is>
      </c>
      <c r="B1357" s="3" t="inlineStr">
        <is>
          <t>제1종일반주거지역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29000</v>
      </c>
      <c r="G1357" s="4" t="n">
        <v>446</v>
      </c>
      <c r="H1357" s="4" t="n">
        <v>135</v>
      </c>
      <c r="I1357" s="5" t="n">
        <v>214.8</v>
      </c>
      <c r="J1357" s="5" t="n">
        <v>201.7</v>
      </c>
      <c r="K1357" s="3" t="inlineStr">
        <is>
          <t>nan</t>
        </is>
      </c>
      <c r="L1357" s="6">
        <f>HYPERLINK("https://fin.land.naver.com/articles/2650246902", "매물Link")</f>
        <v/>
      </c>
      <c r="M1357" s="6">
        <f>HYPERLINK("https://map.naver.com/p/search/조치원읍 서창리 182-16", "지도Link")</f>
        <v/>
      </c>
      <c r="N1357" s="6">
        <f>HYPERLINK("http://www.eum.go.kr/web/ar/lu/luLandDet.jsp?pnu=3611025034101820016&amp;isNoScr=script&amp;mode=search", "토지이음")</f>
        <v/>
      </c>
      <c r="O1357" s="3" t="inlineStr">
        <is>
          <t>찬스</t>
        </is>
      </c>
      <c r="P1357" s="4" t="n">
        <v>1</v>
      </c>
      <c r="Q1357" s="4" t="n">
        <v>446</v>
      </c>
      <c r="R1357" s="3" t="inlineStr">
        <is>
          <t>지정되지않음</t>
        </is>
      </c>
      <c r="S1357" s="3" t="inlineStr">
        <is>
          <t>단독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조치원읍 서창리 248-18</t>
        </is>
      </c>
      <c r="B1358" s="3" t="inlineStr">
        <is>
          <t>자연녹지지역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58000</v>
      </c>
      <c r="G1358" s="4" t="n">
        <v>713</v>
      </c>
      <c r="H1358" s="4" t="n">
        <v>216</v>
      </c>
      <c r="I1358" s="5" t="n">
        <v>268.5</v>
      </c>
      <c r="J1358" s="5" t="n">
        <v>103.3</v>
      </c>
      <c r="K1358" s="3" t="inlineStr">
        <is>
          <t>세종여고 인근 토지매매</t>
        </is>
      </c>
      <c r="L1358" s="6">
        <f>HYPERLINK("https://fin.land.naver.com/articles/2648993268", "매물Link")</f>
        <v/>
      </c>
      <c r="M1358" s="6">
        <f>HYPERLINK("https://map.naver.com/p/search/조치원읍 서창리 248-18", "지도Link")</f>
        <v/>
      </c>
      <c r="N1358" s="6">
        <f>HYPERLINK("http://www.eum.go.kr/web/ar/lu/luLandDet.jsp?pnu=3611025034102480018&amp;isNoScr=script&amp;mode=search", "토지이음")</f>
        <v/>
      </c>
      <c r="O1358" s="3" t="inlineStr">
        <is>
          <t>김준희</t>
        </is>
      </c>
      <c r="P1358" s="4" t="n">
        <v>1</v>
      </c>
      <c r="Q1358" s="4" t="n">
        <v>377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소로한면</t>
        </is>
      </c>
    </row>
    <row r="1359">
      <c r="A1359" s="3" t="inlineStr">
        <is>
          <t>조치원읍 서창리 250</t>
        </is>
      </c>
      <c r="B1359" s="3" t="inlineStr">
        <is>
          <t>제2종일반주거지역</t>
        </is>
      </c>
      <c r="C1359" s="3" t="inlineStr">
        <is>
          <t>전</t>
        </is>
      </c>
      <c r="D1359" s="3" t="inlineStr">
        <is>
          <t>전</t>
        </is>
      </c>
      <c r="E1359" s="3" t="inlineStr">
        <is>
          <t>매매</t>
        </is>
      </c>
      <c r="F1359" s="4" t="n">
        <v>90000</v>
      </c>
      <c r="G1359" s="4" t="n">
        <v>540</v>
      </c>
      <c r="H1359" s="4" t="n">
        <v>163</v>
      </c>
      <c r="I1359" s="5" t="n">
        <v>552.1</v>
      </c>
      <c r="J1359" s="5" t="n">
        <v>184.3</v>
      </c>
      <c r="K1359" s="3" t="inlineStr">
        <is>
          <t>제2종일반주거지역 조치원서창리코너각지토지매매</t>
        </is>
      </c>
      <c r="L1359" s="6">
        <f>HYPERLINK("https://fin.land.naver.com/articles/2651379889", "매물Link")</f>
        <v/>
      </c>
      <c r="M1359" s="6">
        <f>HYPERLINK("https://map.naver.com/p/search/조치원읍 서창리 250", "지도Link")</f>
        <v/>
      </c>
      <c r="N1359" s="6">
        <f>HYPERLINK("http://www.eum.go.kr/web/ar/lu/luLandDet.jsp?pnu=3611025034102500000&amp;isNoScr=script&amp;mode=search", "토지이음")</f>
        <v/>
      </c>
      <c r="O1359" s="3" t="inlineStr">
        <is>
          <t>다정가온아리</t>
        </is>
      </c>
      <c r="P1359" s="4" t="n">
        <v>2</v>
      </c>
      <c r="Q1359" s="4" t="n">
        <v>540</v>
      </c>
      <c r="R1359" s="3" t="inlineStr">
        <is>
          <t>지정되지않음</t>
        </is>
      </c>
      <c r="S1359" s="3" t="inlineStr">
        <is>
          <t>전</t>
        </is>
      </c>
      <c r="T1359" s="3" t="inlineStr">
        <is>
          <t>완경사</t>
        </is>
      </c>
      <c r="U1359" s="3" t="inlineStr">
        <is>
          <t>사다리형</t>
        </is>
      </c>
      <c r="V1359" s="3" t="inlineStr">
        <is>
          <t>소로각지</t>
        </is>
      </c>
    </row>
    <row r="1360">
      <c r="A1360" s="3" t="inlineStr">
        <is>
          <t>조치원읍 서창리 26-3</t>
        </is>
      </c>
      <c r="B1360" s="3" t="inlineStr">
        <is>
          <t>자연녹지지역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76650</v>
      </c>
      <c r="G1360" s="4" t="n">
        <v>724</v>
      </c>
      <c r="H1360" s="4" t="n">
        <v>219</v>
      </c>
      <c r="I1360" s="5" t="n">
        <v>350</v>
      </c>
      <c r="J1360" s="5" t="n">
        <v>148.7</v>
      </c>
      <c r="K1360" s="3" t="inlineStr">
        <is>
          <t>시세보다 저렴하며,
근생 및 단독주택, 월세 90만원</t>
        </is>
      </c>
      <c r="L1360" s="6">
        <f>HYPERLINK("https://fin.land.naver.com/articles/2646313740", "매물Link")</f>
        <v/>
      </c>
      <c r="M1360" s="6">
        <f>HYPERLINK("https://map.naver.com/p/search/조치원읍 서창리 26-3", "지도Link")</f>
        <v/>
      </c>
      <c r="N1360" s="6">
        <f>HYPERLINK("http://www.eum.go.kr/web/ar/lu/luLandDet.jsp?pnu=3611025034100260003&amp;isNoScr=script&amp;mode=search", "토지이음")</f>
        <v/>
      </c>
      <c r="O1360" s="3" t="inlineStr">
        <is>
          <t>세종땅전문</t>
        </is>
      </c>
      <c r="P1360" s="4" t="n">
        <v>1</v>
      </c>
      <c r="Q1360" s="4" t="n">
        <v>724</v>
      </c>
      <c r="R1360" s="3" t="inlineStr">
        <is>
          <t>지정되지않음</t>
        </is>
      </c>
      <c r="S1360" s="3" t="inlineStr">
        <is>
          <t>주거기타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소로한면</t>
        </is>
      </c>
    </row>
    <row r="1361">
      <c r="A1361" s="3" t="inlineStr">
        <is>
          <t>조치원읍 서창리 291-8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55000</v>
      </c>
      <c r="G1361" s="4" t="n">
        <v>299</v>
      </c>
      <c r="H1361" s="4" t="n">
        <v>90</v>
      </c>
      <c r="I1361" s="5" t="n">
        <v>611.1</v>
      </c>
      <c r="J1361" s="5" t="n">
        <v>348.4</v>
      </c>
      <c r="K1361" s="3" t="inlineStr">
        <is>
          <t>서창리 다가구주택이나 상가를 지을수 있는 제2종일반주거지역의 대지입니다</t>
        </is>
      </c>
      <c r="L1361" s="6">
        <f>HYPERLINK("https://fin.land.naver.com/articles/2647452131", "매물Link")</f>
        <v/>
      </c>
      <c r="M1361" s="6">
        <f>HYPERLINK("https://map.naver.com/p/search/조치원읍 서창리 291-8", "지도Link")</f>
        <v/>
      </c>
      <c r="N1361" s="6">
        <f>HYPERLINK("http://www.eum.go.kr/web/ar/lu/luLandDet.jsp?pnu=3611025034102910008&amp;isNoScr=script&amp;mode=search", "토지이음")</f>
        <v/>
      </c>
      <c r="O1361" s="3" t="inlineStr">
        <is>
          <t>스마일세종</t>
        </is>
      </c>
      <c r="P1361" s="4" t="n">
        <v>1</v>
      </c>
      <c r="Q1361" s="4" t="n">
        <v>299</v>
      </c>
      <c r="R1361" s="3" t="inlineStr">
        <is>
          <t>지정되지않음</t>
        </is>
      </c>
      <c r="S1361" s="3" t="inlineStr">
        <is>
          <t>주상기타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소로각지</t>
        </is>
      </c>
    </row>
    <row r="1362">
      <c r="A1362" s="3" t="inlineStr">
        <is>
          <t>조치원읍 서창리 293-4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24638</v>
      </c>
      <c r="G1362" s="4" t="n">
        <v>181</v>
      </c>
      <c r="H1362" s="4" t="n">
        <v>55</v>
      </c>
      <c r="I1362" s="5" t="n">
        <v>448</v>
      </c>
      <c r="J1362" s="5" t="n">
        <v>289.3</v>
      </c>
      <c r="K1362" s="3" t="inlineStr">
        <is>
          <t>nan</t>
        </is>
      </c>
      <c r="L1362" s="6">
        <f>HYPERLINK("https://fin.land.naver.com/articles/2646527911", "매물Link")</f>
        <v/>
      </c>
      <c r="M1362" s="6">
        <f>HYPERLINK("https://map.naver.com/p/search/조치원읍 서창리 293-4", "지도Link")</f>
        <v/>
      </c>
      <c r="N1362" s="6">
        <f>HYPERLINK("http://www.eum.go.kr/web/ar/lu/luLandDet.jsp?pnu=3611025034102930004&amp;isNoScr=script&amp;mode=search", "토지이음")</f>
        <v/>
      </c>
      <c r="O1362" s="3" t="inlineStr">
        <is>
          <t>한일</t>
        </is>
      </c>
      <c r="P1362" s="4" t="n">
        <v>1</v>
      </c>
      <c r="Q1362" s="4" t="n">
        <v>181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세로한면(가)</t>
        </is>
      </c>
    </row>
    <row r="1363">
      <c r="A1363" s="3" t="inlineStr">
        <is>
          <t>조치원읍 서창리 306</t>
        </is>
      </c>
      <c r="B1363" s="3" t="inlineStr">
        <is>
          <t>준주거지역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221000</v>
      </c>
      <c r="G1363" s="4" t="n">
        <v>731</v>
      </c>
      <c r="H1363" s="4" t="n">
        <v>221</v>
      </c>
      <c r="I1363" s="5" t="n">
        <v>1000</v>
      </c>
      <c r="J1363" s="5" t="n">
        <v>274.4</v>
      </c>
      <c r="K1363" s="3" t="inlineStr">
        <is>
          <t>조치원서북부지구 가치상승. 투자가치 우수.</t>
        </is>
      </c>
      <c r="L1363" s="6">
        <f>HYPERLINK("https://fin.land.naver.com/articles/2646107991", "매물Link")</f>
        <v/>
      </c>
      <c r="M1363" s="6">
        <f>HYPERLINK("https://map.naver.com/p/search/조치원읍 서창리 306", "지도Link")</f>
        <v/>
      </c>
      <c r="N1363" s="6">
        <f>HYPERLINK("http://www.eum.go.kr/web/ar/lu/luLandDet.jsp?pnu=3611025034103060000&amp;isNoScr=script&amp;mode=search", "토지이음")</f>
        <v/>
      </c>
      <c r="O1363" s="3" t="inlineStr">
        <is>
          <t>진행</t>
        </is>
      </c>
      <c r="P1363" s="4" t="n">
        <v>1</v>
      </c>
      <c r="Q1363" s="4" t="n">
        <v>731</v>
      </c>
      <c r="R1363" s="3" t="inlineStr">
        <is>
          <t>지정되지않음</t>
        </is>
      </c>
      <c r="S1363" s="3" t="inlineStr">
        <is>
          <t>상업나지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중로각지</t>
        </is>
      </c>
    </row>
    <row r="1364">
      <c r="A1364" s="3" t="inlineStr">
        <is>
          <t>조치원읍 서창리 42-254</t>
        </is>
      </c>
      <c r="B1364" s="3" t="inlineStr">
        <is>
          <t>제1종일반주거지역</t>
        </is>
      </c>
      <c r="C1364" s="3" t="inlineStr">
        <is>
          <t>전</t>
        </is>
      </c>
      <c r="D1364" s="3" t="inlineStr">
        <is>
          <t>전</t>
        </is>
      </c>
      <c r="E1364" s="3" t="inlineStr">
        <is>
          <t>매매</t>
        </is>
      </c>
      <c r="F1364" s="4" t="n">
        <v>25000</v>
      </c>
      <c r="G1364" s="4" t="n">
        <v>330</v>
      </c>
      <c r="H1364" s="4" t="n">
        <v>100</v>
      </c>
      <c r="I1364" s="5" t="n">
        <v>250</v>
      </c>
      <c r="J1364" s="5" t="n">
        <v>133.2</v>
      </c>
      <c r="K1364" s="3" t="inlineStr">
        <is>
          <t>북쪽과 동쪽으로 도로를 낀 코너토지. 주택지추천</t>
        </is>
      </c>
      <c r="L1364" s="6">
        <f>HYPERLINK("https://fin.land.naver.com/articles/2649914344", "매물Link")</f>
        <v/>
      </c>
      <c r="M1364" s="6">
        <f>HYPERLINK("https://map.naver.com/p/search/조치원읍 서창리 42-254", "지도Link")</f>
        <v/>
      </c>
      <c r="N1364" s="6">
        <f>HYPERLINK("http://www.eum.go.kr/web/ar/lu/luLandDet.jsp?pnu=3611025034100420254&amp;isNoScr=script&amp;mode=search", "토지이음")</f>
        <v/>
      </c>
      <c r="O1364" s="3" t="inlineStr">
        <is>
          <t>미스터홈즈강남지사</t>
        </is>
      </c>
      <c r="P1364" s="4" t="n">
        <v>1</v>
      </c>
      <c r="Q1364" s="4" t="n">
        <v>330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세로각지(가)</t>
        </is>
      </c>
    </row>
    <row r="1365">
      <c r="A1365" s="3" t="inlineStr">
        <is>
          <t>조치원읍 서창리 54-1</t>
        </is>
      </c>
      <c r="B1365" s="3" t="inlineStr">
        <is>
          <t>자연녹지지역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165000</v>
      </c>
      <c r="G1365" s="4" t="n">
        <v>915</v>
      </c>
      <c r="H1365" s="4" t="n">
        <v>277</v>
      </c>
      <c r="I1365" s="5" t="n">
        <v>595.7</v>
      </c>
      <c r="J1365" s="5" t="n">
        <v>113.6</v>
      </c>
      <c r="K1365" s="3" t="inlineStr">
        <is>
          <t>nan</t>
        </is>
      </c>
      <c r="L1365" s="6">
        <f>HYPERLINK("https://fin.land.naver.com/articles/2651060447", "매물Link")</f>
        <v/>
      </c>
      <c r="M1365" s="6">
        <f>HYPERLINK("https://map.naver.com/p/search/조치원읍 서창리 54-1", "지도Link")</f>
        <v/>
      </c>
      <c r="N1365" s="6">
        <f>HYPERLINK("http://www.eum.go.kr/web/ar/lu/luLandDet.jsp?pnu=3611025034100540001&amp;isNoScr=script&amp;mode=search", "토지이음")</f>
        <v/>
      </c>
      <c r="O1365" s="3" t="inlineStr">
        <is>
          <t>세종문화길</t>
        </is>
      </c>
      <c r="P1365" s="4" t="n">
        <v>1</v>
      </c>
      <c r="Q1365" s="4" t="n">
        <v>915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광대로한면</t>
        </is>
      </c>
    </row>
    <row r="1366">
      <c r="A1366" s="3" t="inlineStr">
        <is>
          <t>조치원읍 서창리 93-20</t>
        </is>
      </c>
      <c r="B1366" s="3" t="inlineStr">
        <is>
          <t>자연녹지지역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180000</v>
      </c>
      <c r="G1366" s="4" t="n">
        <v>2921</v>
      </c>
      <c r="H1366" s="4" t="n">
        <v>884</v>
      </c>
      <c r="I1366" s="5" t="n">
        <v>203.6</v>
      </c>
      <c r="J1366" s="5" t="n">
        <v>59.7</v>
      </c>
      <c r="K1366" s="3" t="inlineStr">
        <is>
          <t>3필지 일괄매매</t>
        </is>
      </c>
      <c r="L1366" s="6">
        <f>HYPERLINK("https://fin.land.naver.com/articles/2646586067", "매물Link")</f>
        <v/>
      </c>
      <c r="M1366" s="6">
        <f>HYPERLINK("https://map.naver.com/p/search/조치원읍 서창리 93-20", "지도Link")</f>
        <v/>
      </c>
      <c r="N1366" s="6">
        <f>HYPERLINK("http://www.eum.go.kr/web/ar/lu/luLandDet.jsp?pnu=3611025034100930020&amp;isNoScr=script&amp;mode=search", "토지이음")</f>
        <v/>
      </c>
      <c r="O1366" s="3" t="inlineStr">
        <is>
          <t>오송좋은날</t>
        </is>
      </c>
      <c r="P1366" s="4" t="n">
        <v>1</v>
      </c>
      <c r="Q1366" s="4" t="n">
        <v>2575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맹지</t>
        </is>
      </c>
    </row>
    <row r="1367">
      <c r="A1367" s="3" t="inlineStr">
        <is>
          <t>조치원읍 서창리 93-20</t>
        </is>
      </c>
      <c r="B1367" s="3" t="inlineStr">
        <is>
          <t>자연녹지지역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150000</v>
      </c>
      <c r="G1367" s="4" t="n">
        <v>2920</v>
      </c>
      <c r="H1367" s="4" t="n">
        <v>883</v>
      </c>
      <c r="I1367" s="5" t="n">
        <v>169.9</v>
      </c>
      <c r="J1367" s="5" t="n">
        <v>59.7</v>
      </c>
      <c r="K1367" s="3" t="inlineStr">
        <is>
          <t>nan</t>
        </is>
      </c>
      <c r="L1367" s="6">
        <f>HYPERLINK("https://fin.land.naver.com/articles/2650423179", "매물Link")</f>
        <v/>
      </c>
      <c r="M1367" s="6">
        <f>HYPERLINK("https://map.naver.com/p/search/조치원읍 서창리 93-20", "지도Link")</f>
        <v/>
      </c>
      <c r="N1367" s="6">
        <f>HYPERLINK("http://www.eum.go.kr/web/ar/lu/luLandDet.jsp?pnu=3611025034100930020&amp;isNoScr=script&amp;mode=search", "토지이음")</f>
        <v/>
      </c>
      <c r="O1367" s="3" t="inlineStr">
        <is>
          <t>현대</t>
        </is>
      </c>
      <c r="P1367" s="4" t="n">
        <v>1</v>
      </c>
      <c r="Q1367" s="4" t="n">
        <v>2575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조치원읍 서창리 93-20</t>
        </is>
      </c>
      <c r="B1368" s="3" t="inlineStr">
        <is>
          <t>자연녹지지역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150000</v>
      </c>
      <c r="G1368" s="4" t="n">
        <v>2921</v>
      </c>
      <c r="H1368" s="4" t="n">
        <v>884</v>
      </c>
      <c r="I1368" s="5" t="n">
        <v>169.7</v>
      </c>
      <c r="J1368" s="5" t="n">
        <v>59.7</v>
      </c>
      <c r="K1368" s="3" t="inlineStr">
        <is>
          <t>토지급매 조치원역 인근 대규모 부지 정비소, 세차장, 요양원 추천</t>
        </is>
      </c>
      <c r="L1368" s="6">
        <f>HYPERLINK("https://fin.land.naver.com/articles/2646235676", "매물Link")</f>
        <v/>
      </c>
      <c r="M1368" s="6">
        <f>HYPERLINK("https://map.naver.com/p/search/조치원읍 서창리 93-20", "지도Link")</f>
        <v/>
      </c>
      <c r="N1368" s="6">
        <f>HYPERLINK("http://www.eum.go.kr/web/ar/lu/luLandDet.jsp?pnu=3611025034100930020&amp;isNoScr=script&amp;mode=search", "토지이음")</f>
        <v/>
      </c>
      <c r="O1368" s="3" t="inlineStr">
        <is>
          <t>다모아</t>
        </is>
      </c>
      <c r="P1368" s="4" t="n">
        <v>1</v>
      </c>
      <c r="Q1368" s="4" t="n">
        <v>2575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조치원읍 서창리 93-20</t>
        </is>
      </c>
      <c r="B1369" s="3" t="inlineStr">
        <is>
          <t>자연녹지지역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150000</v>
      </c>
      <c r="G1369" s="4" t="n">
        <v>2921</v>
      </c>
      <c r="H1369" s="4" t="n">
        <v>884</v>
      </c>
      <c r="I1369" s="5" t="n">
        <v>169.7</v>
      </c>
      <c r="J1369" s="5" t="n">
        <v>59.7</v>
      </c>
      <c r="K1369" s="3" t="inlineStr">
        <is>
          <t>조치원 생활권 평탄 대형부지 소형창고 차량보관시설 검토</t>
        </is>
      </c>
      <c r="L1369" s="6">
        <f>HYPERLINK("https://fin.land.naver.com/articles/2650423353", "매물Link")</f>
        <v/>
      </c>
      <c r="M1369" s="6">
        <f>HYPERLINK("https://map.naver.com/p/search/조치원읍 서창리 93-20", "지도Link")</f>
        <v/>
      </c>
      <c r="N1369" s="6">
        <f>HYPERLINK("http://www.eum.go.kr/web/ar/lu/luLandDet.jsp?pnu=3611025034100930020&amp;isNoScr=script&amp;mode=search", "토지이음")</f>
        <v/>
      </c>
      <c r="O1369" s="3" t="inlineStr">
        <is>
          <t>세종소담황금</t>
        </is>
      </c>
      <c r="P1369" s="4" t="n">
        <v>1</v>
      </c>
      <c r="Q1369" s="4" t="n">
        <v>2575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맹지</t>
        </is>
      </c>
    </row>
    <row r="1370">
      <c r="A1370" s="3" t="inlineStr">
        <is>
          <t>조치원읍 서창리 93-20</t>
        </is>
      </c>
      <c r="B1370" s="3" t="inlineStr">
        <is>
          <t>자연녹지지역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150000</v>
      </c>
      <c r="G1370" s="4" t="n">
        <v>2921</v>
      </c>
      <c r="H1370" s="4" t="n">
        <v>884</v>
      </c>
      <c r="I1370" s="5" t="n">
        <v>169.7</v>
      </c>
      <c r="J1370" s="5" t="n">
        <v>59.7</v>
      </c>
      <c r="K1370" s="3" t="inlineStr">
        <is>
          <t>조치원읍서창리 대규모부지 및 도로포함 3필지 일괄매매, 미래가치투자최적지</t>
        </is>
      </c>
      <c r="L1370" s="6">
        <f>HYPERLINK("https://fin.land.naver.com/articles/2650921528", "매물Link")</f>
        <v/>
      </c>
      <c r="M1370" s="6">
        <f>HYPERLINK("https://map.naver.com/p/search/조치원읍 서창리 93-20", "지도Link")</f>
        <v/>
      </c>
      <c r="N1370" s="6">
        <f>HYPERLINK("http://www.eum.go.kr/web/ar/lu/luLandDet.jsp?pnu=3611025034100930020&amp;isNoScr=script&amp;mode=search", "토지이음")</f>
        <v/>
      </c>
      <c r="O1370" s="3" t="inlineStr">
        <is>
          <t>이화</t>
        </is>
      </c>
      <c r="P1370" s="4" t="n">
        <v>4</v>
      </c>
      <c r="Q1370" s="4" t="n">
        <v>2575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맹지</t>
        </is>
      </c>
    </row>
    <row r="1371">
      <c r="A1371" s="3" t="inlineStr">
        <is>
          <t>조치원읍 서창리 95-3</t>
        </is>
      </c>
      <c r="B1371" s="3" t="inlineStr">
        <is>
          <t>자연녹지지역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120000</v>
      </c>
      <c r="G1371" s="4" t="n">
        <v>1293</v>
      </c>
      <c r="H1371" s="4" t="n">
        <v>391</v>
      </c>
      <c r="I1371" s="5" t="n">
        <v>306.9</v>
      </c>
      <c r="J1371" s="5" t="n">
        <v>157.6</v>
      </c>
      <c r="K1371" s="3" t="inlineStr">
        <is>
          <t>서창리 토지 매매 자연녹지</t>
        </is>
      </c>
      <c r="L1371" s="6">
        <f>HYPERLINK("https://fin.land.naver.com/articles/2648069701", "매물Link")</f>
        <v/>
      </c>
      <c r="M1371" s="6">
        <f>HYPERLINK("https://map.naver.com/p/search/조치원읍 서창리 95-3", "지도Link")</f>
        <v/>
      </c>
      <c r="N1371" s="6">
        <f>HYPERLINK("http://www.eum.go.kr/web/ar/lu/luLandDet.jsp?pnu=3611025034100950003&amp;isNoScr=script&amp;mode=search", "토지이음")</f>
        <v/>
      </c>
      <c r="O1371" s="3" t="inlineStr">
        <is>
          <t>김준희</t>
        </is>
      </c>
      <c r="P1371" s="4" t="n">
        <v>1</v>
      </c>
      <c r="Q1371" s="4" t="n">
        <v>255</v>
      </c>
      <c r="R1371" s="3" t="inlineStr">
        <is>
          <t>제1종일반주거지역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사다리형</t>
        </is>
      </c>
      <c r="V1371" s="3" t="inlineStr">
        <is>
          <t>중로한면</t>
        </is>
      </c>
    </row>
    <row r="1372">
      <c r="A1372" s="3" t="inlineStr">
        <is>
          <t>조치원읍 신안리 171-7</t>
        </is>
      </c>
      <c r="B1372" s="3" t="inlineStr">
        <is>
          <t>자연녹지지역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57000</v>
      </c>
      <c r="G1372" s="4" t="n">
        <v>1046</v>
      </c>
      <c r="H1372" s="4" t="n">
        <v>316</v>
      </c>
      <c r="I1372" s="5" t="n">
        <v>180.4</v>
      </c>
      <c r="J1372" s="5" t="n">
        <v>108.5</v>
      </c>
      <c r="K1372" s="3" t="inlineStr">
        <is>
          <t>세종 조치원읍 성장관리계획구역 토지 매매</t>
        </is>
      </c>
      <c r="L1372" s="6">
        <f>HYPERLINK("https://fin.land.naver.com/articles/2650361043", "매물Link")</f>
        <v/>
      </c>
      <c r="M1372" s="6">
        <f>HYPERLINK("https://map.naver.com/p/search/조치원읍 신안리 171-7", "지도Link")</f>
        <v/>
      </c>
      <c r="N1372" s="6">
        <f>HYPERLINK("http://www.eum.go.kr/web/ar/lu/luLandDet.jsp?pnu=3611025032101710007&amp;isNoScr=script&amp;mode=search", "토지이음")</f>
        <v/>
      </c>
      <c r="O1372" s="3" t="inlineStr">
        <is>
          <t>세종몽땅</t>
        </is>
      </c>
      <c r="P1372" s="4" t="n">
        <v>1</v>
      </c>
      <c r="Q1372" s="4" t="n">
        <v>1046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세로한면(가)</t>
        </is>
      </c>
    </row>
    <row r="1373">
      <c r="A1373" s="3" t="inlineStr">
        <is>
          <t>조치원읍 신안리 179-5</t>
        </is>
      </c>
      <c r="B1373" s="3" t="inlineStr">
        <is>
          <t>자연녹지지역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40000</v>
      </c>
      <c r="G1373" s="4" t="n">
        <v>386</v>
      </c>
      <c r="H1373" s="4" t="n">
        <v>117</v>
      </c>
      <c r="I1373" s="5" t="n">
        <v>341.9</v>
      </c>
      <c r="J1373" s="5" t="n">
        <v>171.6</v>
      </c>
      <c r="K1373" s="3" t="inlineStr">
        <is>
          <t>l S l 홍익대세종캠퍼스 인근 l 자연녹지 l 자연취락지구 l</t>
        </is>
      </c>
      <c r="L1373" s="6">
        <f>HYPERLINK("https://fin.land.naver.com/articles/2647317827", "매물Link")</f>
        <v/>
      </c>
      <c r="M1373" s="6">
        <f>HYPERLINK("https://map.naver.com/p/search/조치원읍 신안리 179-5", "지도Link")</f>
        <v/>
      </c>
      <c r="N1373" s="6">
        <f>HYPERLINK("http://www.eum.go.kr/web/ar/lu/luLandDet.jsp?pnu=3611025032101790005&amp;isNoScr=script&amp;mode=search", "토지이음")</f>
        <v/>
      </c>
      <c r="O1373" s="3" t="inlineStr">
        <is>
          <t>에스</t>
        </is>
      </c>
      <c r="P1373" s="4" t="n">
        <v>1</v>
      </c>
      <c r="Q1373" s="4" t="n">
        <v>386</v>
      </c>
      <c r="R1373" s="3" t="inlineStr">
        <is>
          <t>지정되지않음</t>
        </is>
      </c>
      <c r="S1373" s="3" t="inlineStr">
        <is>
          <t>단독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세로한면(가)</t>
        </is>
      </c>
    </row>
    <row r="1374">
      <c r="A1374" s="3" t="inlineStr">
        <is>
          <t>조치원읍 신안리 193-2</t>
        </is>
      </c>
      <c r="B1374" s="3" t="inlineStr">
        <is>
          <t>자연녹지지역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46000</v>
      </c>
      <c r="G1374" s="4" t="n">
        <v>529</v>
      </c>
      <c r="H1374" s="4" t="n">
        <v>160</v>
      </c>
      <c r="I1374" s="5" t="n">
        <v>287.5</v>
      </c>
      <c r="J1374" s="5" t="n">
        <v>147.6</v>
      </c>
      <c r="K1374" s="3" t="inlineStr">
        <is>
          <t>급매,국도1호선 서창역 인근 알토란 나대지,월룸.단독주택.투자용추천</t>
        </is>
      </c>
      <c r="L1374" s="6">
        <f>HYPERLINK("https://fin.land.naver.com/articles/2646088912", "매물Link")</f>
        <v/>
      </c>
      <c r="M1374" s="6">
        <f>HYPERLINK("https://map.naver.com/p/search/조치원읍 신안리 193-2", "지도Link")</f>
        <v/>
      </c>
      <c r="N1374" s="6">
        <f>HYPERLINK("http://www.eum.go.kr/web/ar/lu/luLandDet.jsp?pnu=3611025032101930002&amp;isNoScr=script&amp;mode=search", "토지이음")</f>
        <v/>
      </c>
      <c r="O1374" s="3" t="inlineStr">
        <is>
          <t>고운맘</t>
        </is>
      </c>
      <c r="P1374" s="4" t="n">
        <v>1</v>
      </c>
      <c r="Q1374" s="4" t="n">
        <v>397</v>
      </c>
      <c r="R1374" s="3" t="inlineStr">
        <is>
          <t>지정되지않음</t>
        </is>
      </c>
      <c r="S1374" s="3" t="inlineStr">
        <is>
          <t>단독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세로한면(불)</t>
        </is>
      </c>
    </row>
    <row r="1375">
      <c r="A1375" s="3" t="inlineStr">
        <is>
          <t>조치원읍 신안리 207-53</t>
        </is>
      </c>
      <c r="B1375" s="3" t="inlineStr">
        <is>
          <t>자연녹지지역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147900</v>
      </c>
      <c r="G1375" s="4" t="n">
        <v>1630</v>
      </c>
      <c r="H1375" s="4" t="n">
        <v>493</v>
      </c>
      <c r="I1375" s="5" t="n">
        <v>300</v>
      </c>
      <c r="J1375" s="5" t="n">
        <v>95.2</v>
      </c>
      <c r="K1375" s="3" t="inlineStr">
        <is>
          <t>1번국도변 가시성좋은 자연녹지. 서창역300미터거리</t>
        </is>
      </c>
      <c r="L1375" s="6">
        <f>HYPERLINK("https://fin.land.naver.com/articles/2649892785", "매물Link")</f>
        <v/>
      </c>
      <c r="M1375" s="6">
        <f>HYPERLINK("https://map.naver.com/p/search/조치원읍 신안리 207-53", "지도Link")</f>
        <v/>
      </c>
      <c r="N1375" s="6">
        <f>HYPERLINK("http://www.eum.go.kr/web/ar/lu/luLandDet.jsp?pnu=3611025032102070053&amp;isNoScr=script&amp;mode=search", "토지이음")</f>
        <v/>
      </c>
      <c r="O1375" s="3" t="inlineStr">
        <is>
          <t>미스터홈즈강남지사</t>
        </is>
      </c>
      <c r="P1375" s="4" t="n">
        <v>1</v>
      </c>
      <c r="Q1375" s="4" t="n">
        <v>1257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맹지</t>
        </is>
      </c>
    </row>
    <row r="1376">
      <c r="A1376" s="3" t="inlineStr">
        <is>
          <t>조치원읍 신안리 341-17</t>
        </is>
      </c>
      <c r="B1376" s="3" t="inlineStr">
        <is>
          <t>제2종일반주거지역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65000</v>
      </c>
      <c r="G1376" s="4" t="n">
        <v>433</v>
      </c>
      <c r="H1376" s="4" t="n">
        <v>131</v>
      </c>
      <c r="I1376" s="5" t="n">
        <v>496.2</v>
      </c>
      <c r="J1376" s="5" t="n">
        <v>233.8</v>
      </c>
      <c r="K1376" s="3" t="inlineStr">
        <is>
          <t>홍익대 근접 거리, 원룸 지으실 분 추천요.</t>
        </is>
      </c>
      <c r="L1376" s="6">
        <f>HYPERLINK("https://fin.land.naver.com/articles/2650467431", "매물Link")</f>
        <v/>
      </c>
      <c r="M1376" s="6">
        <f>HYPERLINK("https://map.naver.com/p/search/조치원읍 신안리 341-17", "지도Link")</f>
        <v/>
      </c>
      <c r="N1376" s="6">
        <f>HYPERLINK("http://www.eum.go.kr/web/ar/lu/luLandDet.jsp?pnu=3611025032103410017&amp;isNoScr=script&amp;mode=search", "토지이음")</f>
        <v/>
      </c>
      <c r="O1376" s="3" t="inlineStr">
        <is>
          <t>세종공감</t>
        </is>
      </c>
      <c r="P1376" s="4" t="n">
        <v>1</v>
      </c>
      <c r="Q1376" s="4" t="n">
        <v>337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정방형</t>
        </is>
      </c>
      <c r="V1376" s="3" t="inlineStr">
        <is>
          <t>세로한면(가)</t>
        </is>
      </c>
    </row>
    <row r="1377">
      <c r="A1377" s="3" t="inlineStr">
        <is>
          <t>조치원읍 신안리 35-17</t>
        </is>
      </c>
      <c r="B1377" s="3" t="inlineStr">
        <is>
          <t>제2종일반주거지역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285000</v>
      </c>
      <c r="G1377" s="4" t="n">
        <v>1653</v>
      </c>
      <c r="H1377" s="4" t="n">
        <v>500</v>
      </c>
      <c r="I1377" s="5" t="n">
        <v>570</v>
      </c>
      <c r="J1377" s="5" t="n">
        <v>430.4</v>
      </c>
      <c r="K1377" s="3" t="inlineStr">
        <is>
          <t>도시지역 대로접, 2종일반주거지역,넓은 면적 위치좋은 토지</t>
        </is>
      </c>
      <c r="L1377" s="6">
        <f>HYPERLINK("https://fin.land.naver.com/articles/2647781403", "매물Link")</f>
        <v/>
      </c>
      <c r="M1377" s="6">
        <f>HYPERLINK("https://map.naver.com/p/search/조치원읍 신안리 35-17", "지도Link")</f>
        <v/>
      </c>
      <c r="N1377" s="6">
        <f>HYPERLINK("http://www.eum.go.kr/web/ar/lu/luLandDet.jsp?pnu=3611025032100350017&amp;isNoScr=script&amp;mode=search", "토지이음")</f>
        <v/>
      </c>
      <c r="O1377" s="3" t="inlineStr">
        <is>
          <t>고운맘</t>
        </is>
      </c>
      <c r="P1377" s="4" t="n">
        <v>1</v>
      </c>
      <c r="Q1377" s="4" t="n">
        <v>1653</v>
      </c>
      <c r="R1377" s="3" t="inlineStr">
        <is>
          <t>지정되지않음</t>
        </is>
      </c>
      <c r="S1377" s="3" t="inlineStr">
        <is>
          <t>상업나지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광대로한면</t>
        </is>
      </c>
    </row>
    <row r="1378">
      <c r="A1378" s="3" t="inlineStr">
        <is>
          <t>조치원읍 신안리 383-1</t>
        </is>
      </c>
      <c r="B1378" s="3" t="inlineStr">
        <is>
          <t>제2종일반주거지역</t>
        </is>
      </c>
      <c r="C1378" s="3" t="inlineStr">
        <is>
          <t>답</t>
        </is>
      </c>
      <c r="D1378" s="3" t="inlineStr">
        <is>
          <t>대</t>
        </is>
      </c>
      <c r="E1378" s="3" t="inlineStr">
        <is>
          <t>매매</t>
        </is>
      </c>
      <c r="F1378" s="4" t="n">
        <v>30000</v>
      </c>
      <c r="G1378" s="4" t="n">
        <v>264</v>
      </c>
      <c r="H1378" s="4" t="n">
        <v>80</v>
      </c>
      <c r="I1378" s="5" t="n">
        <v>375</v>
      </c>
      <c r="J1378" s="5" t="n">
        <v>200.1</v>
      </c>
      <c r="K1378" s="3" t="inlineStr">
        <is>
          <t>2차선도로접,대학교 주변 상권좋음</t>
        </is>
      </c>
      <c r="L1378" s="6">
        <f>HYPERLINK("https://fin.land.naver.com/articles/2651577930", "매물Link")</f>
        <v/>
      </c>
      <c r="M1378" s="6">
        <f>HYPERLINK("https://map.naver.com/p/search/조치원읍 신안리 383-1", "지도Link")</f>
        <v/>
      </c>
      <c r="N1378" s="6">
        <f>HYPERLINK("http://www.eum.go.kr/web/ar/lu/luLandDet.jsp?pnu=3611025032103830001&amp;isNoScr=script&amp;mode=search", "토지이음")</f>
        <v/>
      </c>
      <c r="O1378" s="3" t="inlineStr">
        <is>
          <t>세종연동탑</t>
        </is>
      </c>
      <c r="P1378" s="4" t="n">
        <v>2</v>
      </c>
      <c r="Q1378" s="4" t="n">
        <v>265</v>
      </c>
      <c r="R1378" s="3" t="inlineStr">
        <is>
          <t>지정되지않음</t>
        </is>
      </c>
      <c r="S1378" s="3" t="inlineStr">
        <is>
          <t>주거기타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조치원읍 신안리 390</t>
        </is>
      </c>
      <c r="B1379" s="3" t="inlineStr">
        <is>
          <t>제2종일반주거지역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120000</v>
      </c>
      <c r="G1379" s="4" t="n">
        <v>525</v>
      </c>
      <c r="H1379" s="4" t="n">
        <v>159</v>
      </c>
      <c r="I1379" s="5" t="n">
        <v>754.7</v>
      </c>
      <c r="J1379" s="5" t="n">
        <v>418.5</v>
      </c>
      <c r="K1379" s="3" t="inlineStr">
        <is>
          <t>대지가격으로 매매합니다.12억평750만원</t>
        </is>
      </c>
      <c r="L1379" s="6">
        <f>HYPERLINK("https://fin.land.naver.com/articles/2650957174", "매물Link")</f>
        <v/>
      </c>
      <c r="M1379" s="6">
        <f>HYPERLINK("https://map.naver.com/p/search/조치원읍 신안리 390", "지도Link")</f>
        <v/>
      </c>
      <c r="N1379" s="6">
        <f>HYPERLINK("http://www.eum.go.kr/web/ar/lu/luLandDet.jsp?pnu=3611025032103900000&amp;isNoScr=script&amp;mode=search", "토지이음")</f>
        <v/>
      </c>
      <c r="O1379" s="3" t="inlineStr">
        <is>
          <t>고잔역</t>
        </is>
      </c>
      <c r="P1379" s="4" t="n">
        <v>1</v>
      </c>
      <c r="Q1379" s="4" t="n">
        <v>515</v>
      </c>
      <c r="R1379" s="3" t="inlineStr">
        <is>
          <t>지정되지않음</t>
        </is>
      </c>
      <c r="S1379" s="3" t="inlineStr">
        <is>
          <t>상업용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중로각지</t>
        </is>
      </c>
    </row>
    <row r="1380">
      <c r="A1380" s="3" t="inlineStr">
        <is>
          <t>조치원읍 신안리 399-2</t>
        </is>
      </c>
      <c r="B1380" s="3" t="inlineStr">
        <is>
          <t>자연녹지지역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100000</v>
      </c>
      <c r="G1380" s="4" t="n">
        <v>661</v>
      </c>
      <c r="H1380" s="4" t="n">
        <v>200</v>
      </c>
      <c r="I1380" s="5" t="n">
        <v>500</v>
      </c>
      <c r="J1380" s="5" t="n">
        <v>329.6</v>
      </c>
      <c r="K1380" s="3" t="inlineStr">
        <is>
          <t>nan</t>
        </is>
      </c>
      <c r="L1380" s="6">
        <f>HYPERLINK("https://fin.land.naver.com/articles/2646714026", "매물Link")</f>
        <v/>
      </c>
      <c r="M1380" s="6">
        <f>HYPERLINK("https://map.naver.com/p/search/조치원읍 신안리 399-2", "지도Link")</f>
        <v/>
      </c>
      <c r="N1380" s="6">
        <f>HYPERLINK("http://www.eum.go.kr/web/ar/lu/luLandDet.jsp?pnu=3611025032103990002&amp;isNoScr=script&amp;mode=search", "토지이음")</f>
        <v/>
      </c>
      <c r="O1380" s="3" t="inlineStr">
        <is>
          <t>빛나</t>
        </is>
      </c>
      <c r="P1380" s="4" t="n">
        <v>1</v>
      </c>
      <c r="Q1380" s="4" t="n">
        <v>2112</v>
      </c>
      <c r="R1380" s="3" t="inlineStr">
        <is>
          <t>지정되지않음</t>
        </is>
      </c>
      <c r="S1380" s="3" t="inlineStr">
        <is>
          <t>상업용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소로한면</t>
        </is>
      </c>
    </row>
    <row r="1381">
      <c r="A1381" s="3" t="inlineStr">
        <is>
          <t>조치원읍 신안리 427-21</t>
        </is>
      </c>
      <c r="B1381" s="3" t="inlineStr">
        <is>
          <t>자연녹지지역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413800</v>
      </c>
      <c r="G1381" s="4" t="n">
        <v>6217</v>
      </c>
      <c r="H1381" s="4" t="n">
        <v>1881</v>
      </c>
      <c r="I1381" s="5" t="n">
        <v>220</v>
      </c>
      <c r="J1381" s="5" t="n">
        <v>57.8</v>
      </c>
      <c r="K1381" s="3" t="inlineStr">
        <is>
          <t>10~12m 도로접한 조치원 주거배후 대형 개발형 토지</t>
        </is>
      </c>
      <c r="L1381" s="6">
        <f>HYPERLINK("https://fin.land.naver.com/articles/2648848431", "매물Link")</f>
        <v/>
      </c>
      <c r="M1381" s="6">
        <f>HYPERLINK("https://map.naver.com/p/search/조치원읍 신안리 427-21", "지도Link")</f>
        <v/>
      </c>
      <c r="N1381" s="6">
        <f>HYPERLINK("http://www.eum.go.kr/web/ar/lu/luLandDet.jsp?pnu=3611025032104270021&amp;isNoScr=script&amp;mode=search", "토지이음")</f>
        <v/>
      </c>
      <c r="O1381" s="3" t="inlineStr">
        <is>
          <t>세종소담황금</t>
        </is>
      </c>
      <c r="P1381" s="4" t="n">
        <v>1</v>
      </c>
      <c r="Q1381" s="4" t="n">
        <v>3962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완경사</t>
        </is>
      </c>
      <c r="U1381" s="3" t="inlineStr">
        <is>
          <t>부정형</t>
        </is>
      </c>
      <c r="V1381" s="3" t="inlineStr">
        <is>
          <t>맹지</t>
        </is>
      </c>
    </row>
    <row r="1382">
      <c r="A1382" s="3" t="inlineStr">
        <is>
          <t>조치원읍 신안리 436-1</t>
        </is>
      </c>
      <c r="B1382" s="3" t="inlineStr">
        <is>
          <t>자연녹지지역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45000</v>
      </c>
      <c r="G1382" s="4" t="n">
        <v>661</v>
      </c>
      <c r="H1382" s="4" t="n">
        <v>200</v>
      </c>
      <c r="I1382" s="5" t="n">
        <v>225</v>
      </c>
      <c r="J1382" s="5" t="n">
        <v>64.59999999999999</v>
      </c>
      <c r="K1382" s="3" t="inlineStr">
        <is>
          <t>대단지아파트인근, 신안지구개발예정지 인근, 전원주택지 등 다용도 가능</t>
        </is>
      </c>
      <c r="L1382" s="6">
        <f>HYPERLINK("https://fin.land.naver.com/articles/2650311385", "매물Link")</f>
        <v/>
      </c>
      <c r="M1382" s="6">
        <f>HYPERLINK("https://map.naver.com/p/search/조치원읍 신안리 436-1", "지도Link")</f>
        <v/>
      </c>
      <c r="N1382" s="6">
        <f>HYPERLINK("http://www.eum.go.kr/web/ar/lu/luLandDet.jsp?pnu=3611025032104360001&amp;isNoScr=script&amp;mode=search", "토지이음")</f>
        <v/>
      </c>
      <c r="O1382" s="3" t="inlineStr">
        <is>
          <t>세종공감</t>
        </is>
      </c>
      <c r="P1382" s="4" t="n">
        <v>2</v>
      </c>
      <c r="Q1382" s="4" t="n">
        <v>661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완경사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조치원읍 신안리 436-3</t>
        </is>
      </c>
      <c r="B1383" s="3" t="inlineStr">
        <is>
          <t>자연녹지지역</t>
        </is>
      </c>
      <c r="C1383" s="3" t="inlineStr">
        <is>
          <t>전</t>
        </is>
      </c>
      <c r="D1383" s="3" t="inlineStr">
        <is>
          <t>답</t>
        </is>
      </c>
      <c r="E1383" s="3" t="inlineStr">
        <is>
          <t>매매</t>
        </is>
      </c>
      <c r="F1383" s="4" t="n">
        <v>46000</v>
      </c>
      <c r="G1383" s="4" t="n">
        <v>662</v>
      </c>
      <c r="H1383" s="4" t="n">
        <v>200</v>
      </c>
      <c r="I1383" s="5" t="n">
        <v>230</v>
      </c>
      <c r="J1383" s="5" t="n">
        <v>67.8</v>
      </c>
      <c r="K1383" s="3" t="inlineStr">
        <is>
          <t>이편한세상 아파트 983세대  초인접 공영주차장 이용가능</t>
        </is>
      </c>
      <c r="L1383" s="6">
        <f>HYPERLINK("https://fin.land.naver.com/articles/2649611209", "매물Link")</f>
        <v/>
      </c>
      <c r="M1383" s="6">
        <f>HYPERLINK("https://map.naver.com/p/search/조치원읍 신안리 436-3", "지도Link")</f>
        <v/>
      </c>
      <c r="N1383" s="6">
        <f>HYPERLINK("http://www.eum.go.kr/web/ar/lu/luLandDet.jsp?pnu=3611025032104360003&amp;isNoScr=script&amp;mode=search", "토지이음")</f>
        <v/>
      </c>
      <c r="O1383" s="3" t="inlineStr">
        <is>
          <t>그래그</t>
        </is>
      </c>
      <c r="P1383" s="4" t="n">
        <v>2</v>
      </c>
      <c r="Q1383" s="4" t="n">
        <v>662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완경사</t>
        </is>
      </c>
      <c r="U1383" s="3" t="inlineStr">
        <is>
          <t>사다리형</t>
        </is>
      </c>
      <c r="V1383" s="3" t="inlineStr">
        <is>
          <t>세로한면(가)</t>
        </is>
      </c>
    </row>
    <row r="1384">
      <c r="A1384" s="3" t="inlineStr">
        <is>
          <t>조치원읍 신안리 436-4</t>
        </is>
      </c>
      <c r="B1384" s="3" t="inlineStr">
        <is>
          <t>자연녹지지역</t>
        </is>
      </c>
      <c r="C1384" s="3" t="inlineStr">
        <is>
          <t>전</t>
        </is>
      </c>
      <c r="D1384" s="3" t="inlineStr">
        <is>
          <t>답</t>
        </is>
      </c>
      <c r="E1384" s="3" t="inlineStr">
        <is>
          <t>매매</t>
        </is>
      </c>
      <c r="F1384" s="4" t="n">
        <v>120000</v>
      </c>
      <c r="G1384" s="4" t="n">
        <v>932</v>
      </c>
      <c r="H1384" s="4" t="n">
        <v>282</v>
      </c>
      <c r="I1384" s="5" t="n">
        <v>425.5</v>
      </c>
      <c r="J1384" s="5" t="n">
        <v>72.2</v>
      </c>
      <c r="K1384" s="3" t="inlineStr">
        <is>
          <t>3면 포장도로 접함 이편한세상 984세대 인접 공영주차장이용가능</t>
        </is>
      </c>
      <c r="L1384" s="6">
        <f>HYPERLINK("https://fin.land.naver.com/articles/2649618845", "매물Link")</f>
        <v/>
      </c>
      <c r="M1384" s="6">
        <f>HYPERLINK("https://map.naver.com/p/search/조치원읍 신안리 436-4", "지도Link")</f>
        <v/>
      </c>
      <c r="N1384" s="6">
        <f>HYPERLINK("http://www.eum.go.kr/web/ar/lu/luLandDet.jsp?pnu=3611025032104360004&amp;isNoScr=script&amp;mode=search", "토지이음")</f>
        <v/>
      </c>
      <c r="O1384" s="3" t="inlineStr">
        <is>
          <t>그래그</t>
        </is>
      </c>
      <c r="P1384" s="4" t="n">
        <v>1</v>
      </c>
      <c r="Q1384" s="4" t="n">
        <v>932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완경사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조치원읍 신안리 436-4</t>
        </is>
      </c>
      <c r="B1385" s="3" t="inlineStr">
        <is>
          <t>자연녹지지역</t>
        </is>
      </c>
      <c r="C1385" s="3" t="inlineStr">
        <is>
          <t>전</t>
        </is>
      </c>
      <c r="D1385" s="3" t="inlineStr">
        <is>
          <t>답</t>
        </is>
      </c>
      <c r="E1385" s="3" t="inlineStr">
        <is>
          <t>매매</t>
        </is>
      </c>
      <c r="F1385" s="4" t="n">
        <v>120000</v>
      </c>
      <c r="G1385" s="4" t="n">
        <v>1256</v>
      </c>
      <c r="H1385" s="4" t="n">
        <v>380</v>
      </c>
      <c r="I1385" s="5" t="n">
        <v>315.8</v>
      </c>
      <c r="J1385" s="5" t="n">
        <v>72.2</v>
      </c>
      <c r="K1385" s="3" t="inlineStr">
        <is>
          <t>신안리 이편한세상 아파트 초인접, 3면 포장도로 접한 음식점,커피숍</t>
        </is>
      </c>
      <c r="L1385" s="6">
        <f>HYPERLINK("https://fin.land.naver.com/articles/2650955165", "매물Link")</f>
        <v/>
      </c>
      <c r="M1385" s="6">
        <f>HYPERLINK("https://map.naver.com/p/search/조치원읍 신안리 436-4", "지도Link")</f>
        <v/>
      </c>
      <c r="N1385" s="6">
        <f>HYPERLINK("http://www.eum.go.kr/web/ar/lu/luLandDet.jsp?pnu=3611025032104360004&amp;isNoScr=script&amp;mode=search", "토지이음")</f>
        <v/>
      </c>
      <c r="O1385" s="3" t="inlineStr">
        <is>
          <t>세종나라</t>
        </is>
      </c>
      <c r="P1385" s="4" t="n">
        <v>1</v>
      </c>
      <c r="Q1385" s="4" t="n">
        <v>932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완경사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신안리 445-4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150000</v>
      </c>
      <c r="G1386" s="4" t="n">
        <v>635</v>
      </c>
      <c r="H1386" s="4" t="n">
        <v>192</v>
      </c>
      <c r="I1386" s="5" t="n">
        <v>781.2</v>
      </c>
      <c r="J1386" s="5" t="n">
        <v>336.2</v>
      </c>
      <c r="K1386" s="3" t="inlineStr">
        <is>
          <t>입지가 최상인 토지입니다.</t>
        </is>
      </c>
      <c r="L1386" s="6">
        <f>HYPERLINK("https://fin.land.naver.com/articles/2649402434", "매물Link")</f>
        <v/>
      </c>
      <c r="M1386" s="6">
        <f>HYPERLINK("https://map.naver.com/p/search/조치원읍 신안리 445-4", "지도Link")</f>
        <v/>
      </c>
      <c r="N1386" s="6">
        <f>HYPERLINK("http://www.eum.go.kr/web/ar/lu/luLandDet.jsp?pnu=3611025032104450004&amp;isNoScr=script&amp;mode=search", "토지이음")</f>
        <v/>
      </c>
      <c r="O1386" s="3" t="inlineStr">
        <is>
          <t>부자터</t>
        </is>
      </c>
      <c r="P1386" s="4" t="n">
        <v>1</v>
      </c>
      <c r="Q1386" s="4" t="n">
        <v>635</v>
      </c>
      <c r="R1386" s="3" t="inlineStr">
        <is>
          <t>지정되지않음</t>
        </is>
      </c>
      <c r="S1386" s="3" t="inlineStr">
        <is>
          <t>주상기타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신안리 68-19</t>
        </is>
      </c>
      <c r="B1387" s="3" t="inlineStr">
        <is>
          <t>생산녹지지역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50000</v>
      </c>
      <c r="G1387" s="4" t="n">
        <v>2234</v>
      </c>
      <c r="H1387" s="4" t="n">
        <v>676</v>
      </c>
      <c r="I1387" s="5" t="n">
        <v>74</v>
      </c>
      <c r="J1387" s="5" t="n">
        <v>35.4</v>
      </c>
      <c r="K1387" s="3" t="inlineStr">
        <is>
          <t>하우스,전기,지하수 관정이 있는 밭</t>
        </is>
      </c>
      <c r="L1387" s="6">
        <f>HYPERLINK("https://fin.land.naver.com/articles/2648499050", "매물Link")</f>
        <v/>
      </c>
      <c r="M1387" s="6">
        <f>HYPERLINK("https://map.naver.com/p/search/조치원읍 신안리 68-19", "지도Link")</f>
        <v/>
      </c>
      <c r="N1387" s="6">
        <f>HYPERLINK("http://www.eum.go.kr/web/ar/lu/luLandDet.jsp?pnu=3611025032100680019&amp;isNoScr=script&amp;mode=search", "토지이음")</f>
        <v/>
      </c>
      <c r="O1387" s="3" t="inlineStr">
        <is>
          <t>지성</t>
        </is>
      </c>
      <c r="P1387" s="4" t="n">
        <v>1</v>
      </c>
      <c r="Q1387" s="4" t="n">
        <v>1188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세로한면(불)</t>
        </is>
      </c>
    </row>
    <row r="1388">
      <c r="A1388" s="3" t="inlineStr">
        <is>
          <t>조치원읍 신안리 산13</t>
        </is>
      </c>
      <c r="B1388" s="3" t="inlineStr">
        <is>
          <t>자연녹지지역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300000</v>
      </c>
      <c r="G1388" s="4" t="n">
        <v>10909</v>
      </c>
      <c r="H1388" s="4" t="n">
        <v>3300</v>
      </c>
      <c r="I1388" s="5" t="n">
        <v>90.90000000000001</v>
      </c>
      <c r="J1388" s="5" t="n">
        <v>18.7</v>
      </c>
      <c r="K1388" s="3" t="inlineStr">
        <is>
          <t>제2종일반주거지역 성장관리계획구역</t>
        </is>
      </c>
      <c r="L1388" s="6">
        <f>HYPERLINK("https://fin.land.naver.com/articles/2646637900", "매물Link")</f>
        <v/>
      </c>
      <c r="M1388" s="6">
        <f>HYPERLINK("https://map.naver.com/p/search/조치원읍 신안리 산13", "지도Link")</f>
        <v/>
      </c>
      <c r="N1388" s="6">
        <f>HYPERLINK("http://www.eum.go.kr/web/ar/lu/luLandDet.jsp?pnu=3611025032200130000&amp;isNoScr=script&amp;mode=search", "토지이음")</f>
        <v/>
      </c>
      <c r="O1388" s="3" t="inlineStr">
        <is>
          <t>건국</t>
        </is>
      </c>
      <c r="P1388" s="4" t="n">
        <v>1</v>
      </c>
      <c r="Q1388" s="4" t="n">
        <v>10909</v>
      </c>
      <c r="R1388" s="3" t="inlineStr">
        <is>
          <t>제2종일반주거지역</t>
        </is>
      </c>
      <c r="S1388" s="3" t="inlineStr">
        <is>
          <t>자연림</t>
        </is>
      </c>
      <c r="T1388" s="3" t="inlineStr">
        <is>
          <t>급경사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조치원읍 신안리 산8-37</t>
        </is>
      </c>
      <c r="B1389" s="3" t="inlineStr">
        <is>
          <t>자연녹지지역</t>
        </is>
      </c>
      <c r="C1389" s="3" t="inlineStr">
        <is>
          <t>임야</t>
        </is>
      </c>
      <c r="D1389" s="3" t="inlineStr">
        <is>
          <t>임야</t>
        </is>
      </c>
      <c r="E1389" s="3" t="inlineStr">
        <is>
          <t>매매</t>
        </is>
      </c>
      <c r="F1389" s="4" t="n">
        <v>150000</v>
      </c>
      <c r="G1389" s="4" t="n">
        <v>10118</v>
      </c>
      <c r="H1389" s="4" t="n">
        <v>3061</v>
      </c>
      <c r="I1389" s="5" t="n">
        <v>49</v>
      </c>
      <c r="J1389" s="5" t="n">
        <v>9.199999999999999</v>
      </c>
      <c r="K1389" s="3" t="inlineStr">
        <is>
          <t>총5필지,세종 홍대근접,도로접</t>
        </is>
      </c>
      <c r="L1389" s="6">
        <f>HYPERLINK("https://fin.land.naver.com/articles/2651521476", "매물Link")</f>
        <v/>
      </c>
      <c r="M1389" s="6">
        <f>HYPERLINK("https://map.naver.com/p/search/조치원읍 신안리 산8-37", "지도Link")</f>
        <v/>
      </c>
      <c r="N1389" s="6">
        <f>HYPERLINK("http://www.eum.go.kr/web/ar/lu/luLandDet.jsp?pnu=3611025032200080037&amp;isNoScr=script&amp;mode=search", "토지이음")</f>
        <v/>
      </c>
      <c r="O1389" s="3" t="inlineStr">
        <is>
          <t>담뜰</t>
        </is>
      </c>
      <c r="P1389" s="4" t="n">
        <v>1</v>
      </c>
      <c r="Q1389" s="4" t="n">
        <v>1652</v>
      </c>
      <c r="R1389" s="3" t="inlineStr">
        <is>
          <t>보전녹지지역</t>
        </is>
      </c>
      <c r="S1389" s="3" t="inlineStr">
        <is>
          <t>자연림</t>
        </is>
      </c>
      <c r="T1389" s="3" t="inlineStr">
        <is>
          <t>급경사</t>
        </is>
      </c>
      <c r="U1389" s="3" t="inlineStr">
        <is>
          <t>사다리형</t>
        </is>
      </c>
      <c r="V1389" s="3" t="inlineStr">
        <is>
          <t>맹지</t>
        </is>
      </c>
    </row>
    <row r="1390">
      <c r="A1390" s="3" t="inlineStr">
        <is>
          <t>조치원읍 신흥리 1-5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77000</v>
      </c>
      <c r="G1390" s="4" t="n">
        <v>513</v>
      </c>
      <c r="H1390" s="4" t="n">
        <v>155</v>
      </c>
      <c r="I1390" s="5" t="n">
        <v>496.8</v>
      </c>
      <c r="J1390" s="5" t="n">
        <v>188.2</v>
      </c>
      <c r="K1390" s="3" t="inlineStr">
        <is>
          <t>신흥리 코너 넓은나대지 활용가치좋음</t>
        </is>
      </c>
      <c r="L1390" s="6">
        <f>HYPERLINK("https://fin.land.naver.com/articles/2646394433", "매물Link")</f>
        <v/>
      </c>
      <c r="M1390" s="6">
        <f>HYPERLINK("https://map.naver.com/p/search/조치원읍 신흥리 1-5", "지도Link")</f>
        <v/>
      </c>
      <c r="N1390" s="6">
        <f>HYPERLINK("http://www.eum.go.kr/web/ar/lu/luLandDet.jsp?pnu=3611025029100010005&amp;isNoScr=script&amp;mode=search", "토지이음")</f>
        <v/>
      </c>
      <c r="O1390" s="3" t="inlineStr">
        <is>
          <t>다옴</t>
        </is>
      </c>
      <c r="P1390" s="4" t="n">
        <v>1</v>
      </c>
      <c r="Q1390" s="4" t="n">
        <v>513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소로각지</t>
        </is>
      </c>
    </row>
    <row r="1391">
      <c r="A1391" s="3" t="inlineStr">
        <is>
          <t>조치원읍 신흥리 198-1</t>
        </is>
      </c>
      <c r="B1391" s="3" t="inlineStr">
        <is>
          <t>제2종일반주거지역</t>
        </is>
      </c>
      <c r="C1391" s="3" t="inlineStr">
        <is>
          <t>잡종지</t>
        </is>
      </c>
      <c r="D1391" s="3" t="inlineStr">
        <is>
          <t>잡종지</t>
        </is>
      </c>
      <c r="E1391" s="3" t="inlineStr">
        <is>
          <t>매매</t>
        </is>
      </c>
      <c r="F1391" s="4" t="n">
        <v>390000</v>
      </c>
      <c r="G1391" s="4" t="n">
        <v>1797</v>
      </c>
      <c r="H1391" s="4" t="n">
        <v>544</v>
      </c>
      <c r="I1391" s="5" t="n">
        <v>716.9</v>
      </c>
      <c r="J1391" s="5" t="n">
        <v>435.4</v>
      </c>
      <c r="K1391" s="3" t="inlineStr">
        <is>
          <t>신흥 아파트단지 중심지역 대도로변 코너각지</t>
        </is>
      </c>
      <c r="L1391" s="6">
        <f>HYPERLINK("https://fin.land.naver.com/articles/2648777123", "매물Link")</f>
        <v/>
      </c>
      <c r="M1391" s="6">
        <f>HYPERLINK("https://map.naver.com/p/search/조치원읍 신흥리 198-1", "지도Link")</f>
        <v/>
      </c>
      <c r="N1391" s="6">
        <f>HYPERLINK("http://www.eum.go.kr/web/ar/lu/luLandDet.jsp?pnu=3611025029101980001&amp;isNoScr=script&amp;mode=search", "토지이음")</f>
        <v/>
      </c>
      <c r="O1391" s="3" t="inlineStr">
        <is>
          <t>뉴신세계</t>
        </is>
      </c>
      <c r="P1391" s="4" t="n">
        <v>2</v>
      </c>
      <c r="Q1391" s="4" t="n">
        <v>1797</v>
      </c>
      <c r="R1391" s="3" t="inlineStr">
        <is>
          <t>지정되지않음</t>
        </is>
      </c>
      <c r="S1391" s="3" t="inlineStr">
        <is>
          <t>상업용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중로각지</t>
        </is>
      </c>
    </row>
    <row r="1392">
      <c r="A1392" s="3" t="inlineStr">
        <is>
          <t>조치원읍 신흥리 288-1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31000</v>
      </c>
      <c r="G1392" s="4" t="n">
        <v>245</v>
      </c>
      <c r="H1392" s="4" t="n">
        <v>74</v>
      </c>
      <c r="I1392" s="5" t="n">
        <v>418.9</v>
      </c>
      <c r="J1392" s="5" t="n">
        <v>246.6</v>
      </c>
      <c r="K1392" s="3" t="inlineStr">
        <is>
          <t>투자가치가 높은 세종시 조치원읍 신흥리 토지</t>
        </is>
      </c>
      <c r="L1392" s="6">
        <f>HYPERLINK("https://fin.land.naver.com/articles/2648407574", "매물Link")</f>
        <v/>
      </c>
      <c r="M1392" s="6">
        <f>HYPERLINK("https://map.naver.com/p/search/조치원읍 신흥리 288-1", "지도Link")</f>
        <v/>
      </c>
      <c r="N1392" s="6">
        <f>HYPERLINK("http://www.eum.go.kr/web/ar/lu/luLandDet.jsp?pnu=3611025029102880001&amp;isNoScr=script&amp;mode=search", "토지이음")</f>
        <v/>
      </c>
      <c r="O1392" s="3" t="inlineStr">
        <is>
          <t>비전</t>
        </is>
      </c>
      <c r="P1392" s="4" t="n">
        <v>1</v>
      </c>
      <c r="Q1392" s="4" t="n">
        <v>245</v>
      </c>
      <c r="R1392" s="3" t="inlineStr">
        <is>
          <t>지정되지않음</t>
        </is>
      </c>
      <c r="S1392" s="3" t="inlineStr">
        <is>
          <t>단독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소로한면</t>
        </is>
      </c>
    </row>
    <row r="1393">
      <c r="A1393" s="3" t="inlineStr">
        <is>
          <t>조치원읍 신흥리 288-1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31000</v>
      </c>
      <c r="G1393" s="4" t="n">
        <v>245</v>
      </c>
      <c r="H1393" s="4" t="n">
        <v>74</v>
      </c>
      <c r="I1393" s="5" t="n">
        <v>418.9</v>
      </c>
      <c r="J1393" s="5" t="n">
        <v>246.6</v>
      </c>
      <c r="K1393" s="3" t="inlineStr">
        <is>
          <t>추천. 조치원 신흥사거리 대지</t>
        </is>
      </c>
      <c r="L1393" s="6">
        <f>HYPERLINK("https://fin.land.naver.com/articles/2649193837", "매물Link")</f>
        <v/>
      </c>
      <c r="M1393" s="6">
        <f>HYPERLINK("https://map.naver.com/p/search/조치원읍 신흥리 288-1", "지도Link")</f>
        <v/>
      </c>
      <c r="N1393" s="6">
        <f>HYPERLINK("http://www.eum.go.kr/web/ar/lu/luLandDet.jsp?pnu=3611025029102880001&amp;isNoScr=script&amp;mode=search", "토지이음")</f>
        <v/>
      </c>
      <c r="O1393" s="3" t="inlineStr">
        <is>
          <t>강아지풀</t>
        </is>
      </c>
      <c r="P1393" s="4" t="n">
        <v>1</v>
      </c>
      <c r="Q1393" s="4" t="n">
        <v>245</v>
      </c>
      <c r="R1393" s="3" t="inlineStr">
        <is>
          <t>지정되지않음</t>
        </is>
      </c>
      <c r="S1393" s="3" t="inlineStr">
        <is>
          <t>단독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소로한면</t>
        </is>
      </c>
    </row>
    <row r="1394">
      <c r="A1394" s="3" t="inlineStr">
        <is>
          <t>조치원읍 신흥리 288-2</t>
        </is>
      </c>
      <c r="B1394" s="3" t="inlineStr">
        <is>
          <t>제2종일반주거지역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45000</v>
      </c>
      <c r="G1394" s="4" t="n">
        <v>299</v>
      </c>
      <c r="H1394" s="4" t="n">
        <v>90</v>
      </c>
      <c r="I1394" s="5" t="n">
        <v>500</v>
      </c>
      <c r="J1394" s="5" t="n">
        <v>244.2</v>
      </c>
      <c r="K1394" s="3" t="inlineStr">
        <is>
          <t>투자가치가 높은 세종시 조치원읍 신흥리 토지</t>
        </is>
      </c>
      <c r="L1394" s="6">
        <f>HYPERLINK("https://fin.land.naver.com/articles/2647920832", "매물Link")</f>
        <v/>
      </c>
      <c r="M1394" s="6">
        <f>HYPERLINK("https://map.naver.com/p/search/조치원읍 신흥리 288-2", "지도Link")</f>
        <v/>
      </c>
      <c r="N1394" s="6">
        <f>HYPERLINK("http://www.eum.go.kr/web/ar/lu/luLandDet.jsp?pnu=3611025029102880002&amp;isNoScr=script&amp;mode=search", "토지이음")</f>
        <v/>
      </c>
      <c r="O1394" s="3" t="inlineStr">
        <is>
          <t>비전</t>
        </is>
      </c>
      <c r="P1394" s="4" t="n">
        <v>1</v>
      </c>
      <c r="Q1394" s="4" t="n">
        <v>299</v>
      </c>
      <c r="R1394" s="3" t="inlineStr">
        <is>
          <t>지정되지않음</t>
        </is>
      </c>
      <c r="S1394" s="3" t="inlineStr">
        <is>
          <t>단독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소로한면</t>
        </is>
      </c>
    </row>
    <row r="1395">
      <c r="A1395" s="3" t="inlineStr">
        <is>
          <t>조치원읍 신흥리 304-1</t>
        </is>
      </c>
      <c r="B1395" s="3" t="inlineStr">
        <is>
          <t>제1종일반주거지역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205000</v>
      </c>
      <c r="G1395" s="4" t="n">
        <v>1679</v>
      </c>
      <c r="H1395" s="4" t="n">
        <v>508</v>
      </c>
      <c r="I1395" s="5" t="n">
        <v>403.5</v>
      </c>
      <c r="J1395" s="5" t="n">
        <v>147.3</v>
      </c>
      <c r="K1395" s="3" t="inlineStr">
        <is>
          <t>이쁜 모양의 토지 분할매수도 가능</t>
        </is>
      </c>
      <c r="L1395" s="6">
        <f>HYPERLINK("https://fin.land.naver.com/articles/2651577271", "매물Link")</f>
        <v/>
      </c>
      <c r="M1395" s="6">
        <f>HYPERLINK("https://map.naver.com/p/search/조치원읍 신흥리 304-1", "지도Link")</f>
        <v/>
      </c>
      <c r="N1395" s="6">
        <f>HYPERLINK("http://www.eum.go.kr/web/ar/lu/luLandDet.jsp?pnu=3611025029103040001&amp;isNoScr=script&amp;mode=search", "토지이음")</f>
        <v/>
      </c>
      <c r="O1395" s="3" t="inlineStr">
        <is>
          <t>여기로</t>
        </is>
      </c>
      <c r="P1395" s="4" t="n">
        <v>1</v>
      </c>
      <c r="Q1395" s="4" t="n">
        <v>1667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조치원읍 신흥리 49-19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36000</v>
      </c>
      <c r="G1396" s="4" t="n">
        <v>239</v>
      </c>
      <c r="H1396" s="4" t="n">
        <v>72</v>
      </c>
      <c r="I1396" s="5" t="n">
        <v>500</v>
      </c>
      <c r="J1396" s="5" t="n">
        <v>161.8</v>
      </c>
      <c r="K1396" s="3" t="inlineStr">
        <is>
          <t>신흥파닭인근 신축투자,보유 좋은 저렴토지</t>
        </is>
      </c>
      <c r="L1396" s="6">
        <f>HYPERLINK("https://fin.land.naver.com/articles/2646394684", "매물Link")</f>
        <v/>
      </c>
      <c r="M1396" s="6">
        <f>HYPERLINK("https://map.naver.com/p/search/조치원읍 신흥리 49-19", "지도Link")</f>
        <v/>
      </c>
      <c r="N1396" s="6">
        <f>HYPERLINK("http://www.eum.go.kr/web/ar/lu/luLandDet.jsp?pnu=3611025029100490019&amp;isNoScr=script&amp;mode=search", "토지이음")</f>
        <v/>
      </c>
      <c r="O1396" s="3" t="inlineStr">
        <is>
          <t>다옴</t>
        </is>
      </c>
      <c r="P1396" s="4" t="n">
        <v>1</v>
      </c>
      <c r="Q1396" s="4" t="n">
        <v>130</v>
      </c>
      <c r="R1396" s="3" t="inlineStr">
        <is>
          <t>지정되지않음</t>
        </is>
      </c>
      <c r="S1396" s="3" t="inlineStr">
        <is>
          <t>단독</t>
        </is>
      </c>
      <c r="T1396" s="3" t="inlineStr">
        <is>
          <t>평지</t>
        </is>
      </c>
      <c r="U1396" s="3" t="inlineStr">
        <is>
          <t>자루형</t>
        </is>
      </c>
      <c r="V1396" s="3" t="inlineStr">
        <is>
          <t>세로한면(가)</t>
        </is>
      </c>
    </row>
    <row r="1397">
      <c r="A1397" s="3" t="inlineStr">
        <is>
          <t>조치원읍 신흥리 55-2</t>
        </is>
      </c>
      <c r="B1397" s="3" t="inlineStr">
        <is>
          <t>제2종일반주거지역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22000</v>
      </c>
      <c r="G1397" s="4" t="n">
        <v>121</v>
      </c>
      <c r="H1397" s="4" t="n">
        <v>37</v>
      </c>
      <c r="I1397" s="5" t="n">
        <v>594.6</v>
      </c>
      <c r="J1397" s="5" t="n">
        <v>187.2</v>
      </c>
      <c r="K1397" s="3" t="inlineStr">
        <is>
          <t>보건소옆 코너각지 토지매매</t>
        </is>
      </c>
      <c r="L1397" s="6">
        <f>HYPERLINK("https://fin.land.naver.com/articles/2646862734", "매물Link")</f>
        <v/>
      </c>
      <c r="M1397" s="6">
        <f>HYPERLINK("https://map.naver.com/p/search/조치원읍 신흥리 55-2", "지도Link")</f>
        <v/>
      </c>
      <c r="N1397" s="6">
        <f>HYPERLINK("http://www.eum.go.kr/web/ar/lu/luLandDet.jsp?pnu=3611025029100550002&amp;isNoScr=script&amp;mode=search", "토지이음")</f>
        <v/>
      </c>
      <c r="O1397" s="3" t="inlineStr">
        <is>
          <t>세종땅사랑</t>
        </is>
      </c>
      <c r="P1397" s="4" t="n">
        <v>1</v>
      </c>
      <c r="Q1397" s="4" t="n">
        <v>121</v>
      </c>
      <c r="R1397" s="3" t="inlineStr">
        <is>
          <t>지정되지않음</t>
        </is>
      </c>
      <c r="S1397" s="3" t="inlineStr">
        <is>
          <t>단독</t>
        </is>
      </c>
      <c r="T1397" s="3" t="inlineStr">
        <is>
          <t>평지</t>
        </is>
      </c>
      <c r="U1397" s="3" t="inlineStr">
        <is>
          <t>사다리형</t>
        </is>
      </c>
      <c r="V1397" s="3" t="inlineStr">
        <is>
          <t>소로각지</t>
        </is>
      </c>
    </row>
    <row r="1398">
      <c r="A1398" s="3" t="inlineStr">
        <is>
          <t>조치원읍 원리 8-9</t>
        </is>
      </c>
      <c r="B1398" s="3" t="inlineStr">
        <is>
          <t>일반상업지역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260000</v>
      </c>
      <c r="G1398" s="4" t="n">
        <v>546</v>
      </c>
      <c r="H1398" s="4" t="n">
        <v>165</v>
      </c>
      <c r="I1398" s="5" t="n">
        <v>1575.8</v>
      </c>
      <c r="J1398" s="5" t="n">
        <v>1082.3</v>
      </c>
      <c r="K1398" s="3" t="inlineStr">
        <is>
          <t>nan</t>
        </is>
      </c>
      <c r="L1398" s="6">
        <f>HYPERLINK("https://fin.land.naver.com/articles/2651529141", "매물Link")</f>
        <v/>
      </c>
      <c r="M1398" s="6">
        <f>HYPERLINK("https://map.naver.com/p/search/조치원읍 원리 8-9", "지도Link")</f>
        <v/>
      </c>
      <c r="N1398" s="6">
        <f>HYPERLINK("http://www.eum.go.kr/web/ar/lu/luLandDet.jsp?pnu=3611025021100080009&amp;isNoScr=script&amp;mode=search", "토지이음")</f>
        <v/>
      </c>
      <c r="O1398" s="3" t="inlineStr">
        <is>
          <t>한아름</t>
        </is>
      </c>
      <c r="P1398" s="4" t="n">
        <v>1</v>
      </c>
      <c r="Q1398" s="4" t="n">
        <v>473.1</v>
      </c>
      <c r="R1398" s="3" t="inlineStr">
        <is>
          <t>지정되지않음</t>
        </is>
      </c>
      <c r="S1398" s="3" t="inlineStr">
        <is>
          <t>상업용</t>
        </is>
      </c>
      <c r="T1398" s="3" t="inlineStr">
        <is>
          <t>평지</t>
        </is>
      </c>
      <c r="U1398" s="3" t="inlineStr">
        <is>
          <t>자루형</t>
        </is>
      </c>
      <c r="V1398" s="3" t="inlineStr">
        <is>
          <t>중로각지</t>
        </is>
      </c>
    </row>
    <row r="1399">
      <c r="A1399" s="3" t="inlineStr">
        <is>
          <t>조치원읍 정리 52-6</t>
        </is>
      </c>
      <c r="B1399" s="3" t="inlineStr">
        <is>
          <t>준주거지역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260000</v>
      </c>
      <c r="G1399" s="4" t="n">
        <v>1191</v>
      </c>
      <c r="H1399" s="4" t="n">
        <v>360</v>
      </c>
      <c r="I1399" s="5" t="n">
        <v>722.2</v>
      </c>
      <c r="J1399" s="5" t="n">
        <v>194.4</v>
      </c>
      <c r="K1399" s="3" t="inlineStr">
        <is>
          <t>전통시장 근접한 대지로 단독주택 또는 원룸건축에 좋은 위치입니다.</t>
        </is>
      </c>
      <c r="L1399" s="6">
        <f>HYPERLINK("https://fin.land.naver.com/articles/2649493411", "매물Link")</f>
        <v/>
      </c>
      <c r="M1399" s="6">
        <f>HYPERLINK("https://map.naver.com/p/search/조치원읍 정리 52-6", "지도Link")</f>
        <v/>
      </c>
      <c r="N1399" s="6">
        <f>HYPERLINK("http://www.eum.go.kr/web/ar/lu/luLandDet.jsp?pnu=3611025025100520006&amp;isNoScr=script&amp;mode=search", "토지이음")</f>
        <v/>
      </c>
      <c r="O1399" s="3" t="inlineStr">
        <is>
          <t>가람</t>
        </is>
      </c>
      <c r="P1399" s="4" t="n">
        <v>1</v>
      </c>
      <c r="Q1399" s="4" t="n">
        <v>468</v>
      </c>
      <c r="R1399" s="3" t="inlineStr">
        <is>
          <t>지정되지않음</t>
        </is>
      </c>
      <c r="S1399" s="3" t="inlineStr">
        <is>
          <t>단독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세로한면(가)</t>
        </is>
      </c>
    </row>
    <row r="1400">
      <c r="A1400" s="3" t="inlineStr">
        <is>
          <t>조치원읍 정리 87-8</t>
        </is>
      </c>
      <c r="B1400" s="3" t="inlineStr">
        <is>
          <t>일반상업지역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89000</v>
      </c>
      <c r="G1400" s="4" t="n">
        <v>326</v>
      </c>
      <c r="H1400" s="4" t="n">
        <v>99</v>
      </c>
      <c r="I1400" s="5" t="n">
        <v>899</v>
      </c>
      <c r="J1400" s="5" t="n">
        <v>335.5</v>
      </c>
      <c r="K1400" s="3" t="inlineStr">
        <is>
          <t>조치원시장내, 일반상업 알짜토지,다양활용가능</t>
        </is>
      </c>
      <c r="L1400" s="6">
        <f>HYPERLINK("https://fin.land.naver.com/articles/2651333398", "매물Link")</f>
        <v/>
      </c>
      <c r="M1400" s="6">
        <f>HYPERLINK("https://map.naver.com/p/search/조치원읍 정리 87-8", "지도Link")</f>
        <v/>
      </c>
      <c r="N1400" s="6">
        <f>HYPERLINK("http://www.eum.go.kr/web/ar/lu/luLandDet.jsp?pnu=3611025025100870008&amp;isNoScr=script&amp;mode=search", "토지이음")</f>
        <v/>
      </c>
      <c r="O1400" s="3" t="inlineStr">
        <is>
          <t>다옴</t>
        </is>
      </c>
      <c r="P1400" s="4" t="n">
        <v>1</v>
      </c>
      <c r="Q1400" s="4" t="n">
        <v>326</v>
      </c>
      <c r="R1400" s="3" t="inlineStr">
        <is>
          <t>지정되지않음</t>
        </is>
      </c>
      <c r="S1400" s="3" t="inlineStr">
        <is>
          <t>상업용</t>
        </is>
      </c>
      <c r="T1400" s="3" t="inlineStr">
        <is>
          <t>평지</t>
        </is>
      </c>
      <c r="U1400" s="3" t="inlineStr">
        <is>
          <t>자루형</t>
        </is>
      </c>
      <c r="V1400" s="3" t="inlineStr">
        <is>
          <t>세로한면(가)</t>
        </is>
      </c>
    </row>
    <row r="1401">
      <c r="A1401" s="3" t="inlineStr">
        <is>
          <t>조치원읍 죽림리 156-15</t>
        </is>
      </c>
      <c r="B1401" s="3" t="inlineStr">
        <is>
          <t>일반상업지역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245000</v>
      </c>
      <c r="G1401" s="4" t="n">
        <v>810</v>
      </c>
      <c r="H1401" s="4" t="n">
        <v>245</v>
      </c>
      <c r="I1401" s="5" t="n">
        <v>1000</v>
      </c>
      <c r="J1401" s="5" t="n">
        <v>119.3</v>
      </c>
      <c r="K1401" s="3" t="inlineStr">
        <is>
          <t>2차선변 일반상업지역, 투자가치 최고</t>
        </is>
      </c>
      <c r="L1401" s="6">
        <f>HYPERLINK("https://fin.land.naver.com/articles/2650316280", "매물Link")</f>
        <v/>
      </c>
      <c r="M1401" s="6">
        <f>HYPERLINK("https://map.naver.com/p/search/조치원읍 죽림리 156-15", "지도Link")</f>
        <v/>
      </c>
      <c r="N1401" s="6">
        <f>HYPERLINK("http://www.eum.go.kr/web/ar/lu/luLandDet.jsp?pnu=3611025030101560015&amp;isNoScr=script&amp;mode=search", "토지이음")</f>
        <v/>
      </c>
      <c r="O1401" s="3" t="inlineStr">
        <is>
          <t>세종공감</t>
        </is>
      </c>
      <c r="P1401" s="4" t="n">
        <v>1</v>
      </c>
      <c r="Q1401" s="4" t="n">
        <v>716</v>
      </c>
      <c r="R1401" s="3" t="inlineStr">
        <is>
          <t>지정되지않음</t>
        </is>
      </c>
      <c r="S1401" s="3" t="inlineStr">
        <is>
          <t>전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세로한면(불)</t>
        </is>
      </c>
    </row>
    <row r="1402">
      <c r="A1402" s="3" t="inlineStr">
        <is>
          <t>조치원읍 죽림리 184-15</t>
        </is>
      </c>
      <c r="B1402" s="3" t="inlineStr">
        <is>
          <t>제2종일반주거지역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48500</v>
      </c>
      <c r="G1402" s="4" t="n">
        <v>321</v>
      </c>
      <c r="H1402" s="4" t="n">
        <v>97</v>
      </c>
      <c r="I1402" s="5" t="n">
        <v>500</v>
      </c>
      <c r="J1402" s="5" t="n">
        <v>198.2</v>
      </c>
      <c r="K1402" s="3" t="inlineStr">
        <is>
          <t>2차선3거리코너,주변아파트.상가주택형성,투자가치좋아요</t>
        </is>
      </c>
      <c r="L1402" s="6">
        <f>HYPERLINK("https://fin.land.naver.com/articles/2646023344", "매물Link")</f>
        <v/>
      </c>
      <c r="M1402" s="6">
        <f>HYPERLINK("https://map.naver.com/p/search/조치원읍 죽림리 184-15", "지도Link")</f>
        <v/>
      </c>
      <c r="N1402" s="6">
        <f>HYPERLINK("http://www.eum.go.kr/web/ar/lu/luLandDet.jsp?pnu=3611025030101840015&amp;isNoScr=script&amp;mode=search", "토지이음")</f>
        <v/>
      </c>
      <c r="O1402" s="3" t="inlineStr">
        <is>
          <t>힐스테이트행복</t>
        </is>
      </c>
      <c r="P1402" s="4" t="n">
        <v>1</v>
      </c>
      <c r="Q1402" s="4" t="n">
        <v>321.2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소로각지</t>
        </is>
      </c>
    </row>
    <row r="1403">
      <c r="A1403" s="3" t="inlineStr">
        <is>
          <t>조치원읍 죽림리 240</t>
        </is>
      </c>
      <c r="B1403" s="3" t="inlineStr">
        <is>
          <t>제2종일반주거지역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700000</v>
      </c>
      <c r="G1403" s="4" t="n">
        <v>4045</v>
      </c>
      <c r="H1403" s="4" t="n">
        <v>1224</v>
      </c>
      <c r="I1403" s="5" t="n">
        <v>571.9</v>
      </c>
      <c r="J1403" s="5" t="n">
        <v>131.4</v>
      </c>
      <c r="K1403" s="3" t="inlineStr">
        <is>
          <t>2면 도로접한 도시지역,근생시설,제2종일반주거지역,다용도 사용가능</t>
        </is>
      </c>
      <c r="L1403" s="6">
        <f>HYPERLINK("https://fin.land.naver.com/articles/2647778364", "매물Link")</f>
        <v/>
      </c>
      <c r="M1403" s="6">
        <f>HYPERLINK("https://map.naver.com/p/search/조치원읍 죽림리 240", "지도Link")</f>
        <v/>
      </c>
      <c r="N1403" s="6">
        <f>HYPERLINK("http://www.eum.go.kr/web/ar/lu/luLandDet.jsp?pnu=3611025030102400000&amp;isNoScr=script&amp;mode=search", "토지이음")</f>
        <v/>
      </c>
      <c r="O1403" s="3" t="inlineStr">
        <is>
          <t>고운맘</t>
        </is>
      </c>
      <c r="P1403" s="4" t="n">
        <v>1</v>
      </c>
      <c r="Q1403" s="4" t="n">
        <v>2590</v>
      </c>
      <c r="R1403" s="3" t="inlineStr">
        <is>
          <t>지정되지않음</t>
        </is>
      </c>
      <c r="S1403" s="3" t="inlineStr">
        <is>
          <t>전기타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소로한면</t>
        </is>
      </c>
    </row>
    <row r="1404">
      <c r="A1404" s="3" t="inlineStr">
        <is>
          <t>조치원읍 죽림리 315-2</t>
        </is>
      </c>
      <c r="B1404" s="3" t="inlineStr">
        <is>
          <t>자연녹지지역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695000</v>
      </c>
      <c r="G1404" s="4" t="n">
        <v>5079</v>
      </c>
      <c r="H1404" s="4" t="n">
        <v>1536</v>
      </c>
      <c r="I1404" s="5" t="n">
        <v>452.5</v>
      </c>
      <c r="J1404" s="5" t="n">
        <v>124.8</v>
      </c>
      <c r="K1404" s="3" t="inlineStr">
        <is>
          <t>Click 홈플러스 옆 3필지 도로접 Click</t>
        </is>
      </c>
      <c r="L1404" s="6">
        <f>HYPERLINK("https://fin.land.naver.com/articles/2651207978", "매물Link")</f>
        <v/>
      </c>
      <c r="M1404" s="6">
        <f>HYPERLINK("https://map.naver.com/p/search/조치원읍 죽림리 315-2", "지도Link")</f>
        <v/>
      </c>
      <c r="N1404" s="6">
        <f>HYPERLINK("http://www.eum.go.kr/web/ar/lu/luLandDet.jsp?pnu=3611025030103150002&amp;isNoScr=script&amp;mode=search", "토지이음")</f>
        <v/>
      </c>
      <c r="O1404" s="3" t="inlineStr">
        <is>
          <t>해뜰</t>
        </is>
      </c>
      <c r="P1404" s="4" t="n">
        <v>1</v>
      </c>
      <c r="Q1404" s="4" t="n">
        <v>3538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광대로한면</t>
        </is>
      </c>
    </row>
    <row r="1405">
      <c r="A1405" s="3" t="inlineStr">
        <is>
          <t>조치원읍 죽림리 333-3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240000</v>
      </c>
      <c r="G1405" s="4" t="n">
        <v>1061</v>
      </c>
      <c r="H1405" s="4" t="n">
        <v>321</v>
      </c>
      <c r="I1405" s="5" t="n">
        <v>747.7</v>
      </c>
      <c r="J1405" s="5" t="n">
        <v>311.8</v>
      </c>
      <c r="K1405" s="3" t="inlineStr">
        <is>
          <t>nan</t>
        </is>
      </c>
      <c r="L1405" s="6">
        <f>HYPERLINK("https://fin.land.naver.com/articles/2651553883", "매물Link")</f>
        <v/>
      </c>
      <c r="M1405" s="6">
        <f>HYPERLINK("https://map.naver.com/p/search/조치원읍 죽림리 333-3", "지도Link")</f>
        <v/>
      </c>
      <c r="N1405" s="6">
        <f>HYPERLINK("http://www.eum.go.kr/web/ar/lu/luLandDet.jsp?pnu=3611025030103330003&amp;isNoScr=script&amp;mode=search", "토지이음")</f>
        <v/>
      </c>
      <c r="O1405" s="3" t="inlineStr">
        <is>
          <t>태원</t>
        </is>
      </c>
      <c r="P1405" s="4" t="n">
        <v>1</v>
      </c>
      <c r="Q1405" s="4" t="n">
        <v>945</v>
      </c>
      <c r="R1405" s="3" t="inlineStr">
        <is>
          <t>지정되지않음</t>
        </is>
      </c>
      <c r="S1405" s="3" t="inlineStr">
        <is>
          <t>주상용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광대소각</t>
        </is>
      </c>
    </row>
    <row r="1406">
      <c r="A1406" s="3" t="inlineStr">
        <is>
          <t>조치원읍 죽림리 342</t>
        </is>
      </c>
      <c r="B1406" s="3" t="inlineStr">
        <is>
          <t>제2종일반주거지역</t>
        </is>
      </c>
      <c r="C1406" s="3" t="inlineStr">
        <is>
          <t>과수원</t>
        </is>
      </c>
      <c r="D1406" s="3" t="inlineStr">
        <is>
          <t>과수원</t>
        </is>
      </c>
      <c r="E1406" s="3" t="inlineStr">
        <is>
          <t>매매</t>
        </is>
      </c>
      <c r="F1406" s="4" t="n">
        <v>110000</v>
      </c>
      <c r="G1406" s="4" t="n">
        <v>587</v>
      </c>
      <c r="H1406" s="4" t="n">
        <v>178</v>
      </c>
      <c r="I1406" s="5" t="n">
        <v>618</v>
      </c>
      <c r="J1406" s="5" t="n">
        <v>190.2</v>
      </c>
      <c r="K1406" s="3" t="inlineStr">
        <is>
          <t>세종북부경찰서와 파밀리에아파트, 그리고 원룸이 인접해 있음</t>
        </is>
      </c>
      <c r="L1406" s="6">
        <f>HYPERLINK("https://fin.land.naver.com/articles/2646696438", "매물Link")</f>
        <v/>
      </c>
      <c r="M1406" s="6">
        <f>HYPERLINK("https://map.naver.com/p/search/조치원읍 죽림리 342", "지도Link")</f>
        <v/>
      </c>
      <c r="N1406" s="6">
        <f>HYPERLINK("http://www.eum.go.kr/web/ar/lu/luLandDet.jsp?pnu=3611025030103420000&amp;isNoScr=script&amp;mode=search", "토지이음")</f>
        <v/>
      </c>
      <c r="O1406" s="3" t="inlineStr">
        <is>
          <t>가람</t>
        </is>
      </c>
      <c r="P1406" s="4" t="n">
        <v>1</v>
      </c>
      <c r="Q1406" s="4" t="n">
        <v>587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완경사</t>
        </is>
      </c>
      <c r="U1406" s="3" t="inlineStr">
        <is>
          <t>사다리형</t>
        </is>
      </c>
      <c r="V1406" s="3" t="inlineStr">
        <is>
          <t>중로한면</t>
        </is>
      </c>
    </row>
    <row r="1407">
      <c r="A1407" s="3" t="inlineStr">
        <is>
          <t>조치원읍 죽림리 46-2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260000</v>
      </c>
      <c r="G1407" s="4" t="n">
        <v>1793</v>
      </c>
      <c r="H1407" s="4" t="n">
        <v>542</v>
      </c>
      <c r="I1407" s="5" t="n">
        <v>479.7</v>
      </c>
      <c r="J1407" s="5" t="n">
        <v>254.6</v>
      </c>
      <c r="K1407" s="3" t="inlineStr">
        <is>
          <t>죽림오거리 엘지전자샾 주변,도시지역,제2종일반주거지역.도로접함,다용도 굿</t>
        </is>
      </c>
      <c r="L1407" s="6">
        <f>HYPERLINK("https://fin.land.naver.com/articles/2649742867", "매물Link")</f>
        <v/>
      </c>
      <c r="M1407" s="6">
        <f>HYPERLINK("https://map.naver.com/p/search/조치원읍 죽림리 46-2", "지도Link")</f>
        <v/>
      </c>
      <c r="N1407" s="6">
        <f>HYPERLINK("http://www.eum.go.kr/web/ar/lu/luLandDet.jsp?pnu=3611025030100460002&amp;isNoScr=script&amp;mode=search", "토지이음")</f>
        <v/>
      </c>
      <c r="O1407" s="3" t="inlineStr">
        <is>
          <t>미래타운</t>
        </is>
      </c>
      <c r="P1407" s="4" t="n">
        <v>1</v>
      </c>
      <c r="Q1407" s="4" t="n">
        <v>1209</v>
      </c>
      <c r="R1407" s="3" t="inlineStr">
        <is>
          <t>지정되지않음</t>
        </is>
      </c>
      <c r="S1407" s="3" t="inlineStr">
        <is>
          <t>단독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조치원읍 침산리 111-18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11400</v>
      </c>
      <c r="G1408" s="4" t="n">
        <v>102</v>
      </c>
      <c r="H1408" s="4" t="n">
        <v>31</v>
      </c>
      <c r="I1408" s="5" t="n">
        <v>367.7</v>
      </c>
      <c r="J1408" s="5" t="n">
        <v>175.7</v>
      </c>
      <c r="K1408" s="3" t="inlineStr">
        <is>
          <t>조치원 침산리 토지 매매 102㎡ 단독필지</t>
        </is>
      </c>
      <c r="L1408" s="6">
        <f>HYPERLINK("https://fin.land.naver.com/articles/2651350442", "매물Link")</f>
        <v/>
      </c>
      <c r="M1408" s="6">
        <f>HYPERLINK("https://map.naver.com/p/search/조치원읍 침산리 111-18", "지도Link")</f>
        <v/>
      </c>
      <c r="N1408" s="6">
        <f>HYPERLINK("http://www.eum.go.kr/web/ar/lu/luLandDet.jsp?pnu=3611025028101110018&amp;isNoScr=script&amp;mode=search", "토지이음")</f>
        <v/>
      </c>
      <c r="O1408" s="3" t="inlineStr">
        <is>
          <t>세종공감</t>
        </is>
      </c>
      <c r="P1408" s="4" t="n">
        <v>1</v>
      </c>
      <c r="Q1408" s="4" t="n">
        <v>102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조치원읍 침산리 123-2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27000</v>
      </c>
      <c r="G1409" s="4" t="n">
        <v>238</v>
      </c>
      <c r="H1409" s="4" t="n">
        <v>72</v>
      </c>
      <c r="I1409" s="5" t="n">
        <v>375</v>
      </c>
      <c r="J1409" s="5" t="n">
        <v>177.6</v>
      </c>
      <c r="K1409" s="3" t="inlineStr">
        <is>
          <t>조치원역인접.나대지상태.상가주택부지.장기투자가치.교통편리.제2종주거지역</t>
        </is>
      </c>
      <c r="L1409" s="6">
        <f>HYPERLINK("https://fin.land.naver.com/articles/2649220962", "매물Link")</f>
        <v/>
      </c>
      <c r="M1409" s="6">
        <f>HYPERLINK("https://map.naver.com/p/search/조치원읍 침산리 123-2", "지도Link")</f>
        <v/>
      </c>
      <c r="N1409" s="6">
        <f>HYPERLINK("http://www.eum.go.kr/web/ar/lu/luLandDet.jsp?pnu=3611025028101230002&amp;isNoScr=script&amp;mode=search", "토지이음")</f>
        <v/>
      </c>
      <c r="O1409" s="3" t="inlineStr">
        <is>
          <t>돈방석</t>
        </is>
      </c>
      <c r="P1409" s="4" t="n">
        <v>1</v>
      </c>
      <c r="Q1409" s="4" t="n">
        <v>238</v>
      </c>
      <c r="R1409" s="3" t="inlineStr">
        <is>
          <t>지정되지않음</t>
        </is>
      </c>
      <c r="S1409" s="3" t="inlineStr">
        <is>
          <t>단독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세로한면(가)</t>
        </is>
      </c>
    </row>
    <row r="1410">
      <c r="A1410" s="3" t="inlineStr">
        <is>
          <t>조치원읍 침산리 144-9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52000</v>
      </c>
      <c r="G1410" s="4" t="n">
        <v>129</v>
      </c>
      <c r="H1410" s="4" t="n">
        <v>39</v>
      </c>
      <c r="I1410" s="5" t="n">
        <v>1333.3</v>
      </c>
      <c r="J1410" s="5" t="n">
        <v>404.6</v>
      </c>
      <c r="K1410" s="3" t="inlineStr">
        <is>
          <t>조치원역 도보권, 입지좋은상가 2층건물 포함 일괄매매</t>
        </is>
      </c>
      <c r="L1410" s="6">
        <f>HYPERLINK("https://fin.land.naver.com/articles/2646909998", "매물Link")</f>
        <v/>
      </c>
      <c r="M1410" s="6">
        <f>HYPERLINK("https://map.naver.com/p/search/조치원읍 침산리 144-9", "지도Link")</f>
        <v/>
      </c>
      <c r="N1410" s="6">
        <f>HYPERLINK("http://www.eum.go.kr/web/ar/lu/luLandDet.jsp?pnu=3611025028101440009&amp;isNoScr=script&amp;mode=search", "토지이음")</f>
        <v/>
      </c>
      <c r="O1410" s="3" t="inlineStr">
        <is>
          <t>다옴</t>
        </is>
      </c>
      <c r="P1410" s="4" t="n">
        <v>1</v>
      </c>
      <c r="Q1410" s="4" t="n">
        <v>129</v>
      </c>
      <c r="R1410" s="3" t="inlineStr">
        <is>
          <t>지정되지않음</t>
        </is>
      </c>
      <c r="S1410" s="3" t="inlineStr">
        <is>
          <t>주상용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중로한면</t>
        </is>
      </c>
    </row>
    <row r="1411">
      <c r="A1411" s="3" t="inlineStr">
        <is>
          <t>조치원읍 침산리 167-10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95000</v>
      </c>
      <c r="G1411" s="4" t="n">
        <v>332</v>
      </c>
      <c r="H1411" s="4" t="n">
        <v>100</v>
      </c>
      <c r="I1411" s="5" t="n">
        <v>950</v>
      </c>
      <c r="J1411" s="5" t="n">
        <v>440.3</v>
      </c>
      <c r="K1411" s="3" t="inlineStr">
        <is>
          <t>조치원역뒤, 상가포함 좋은입지 일괄매매</t>
        </is>
      </c>
      <c r="L1411" s="6">
        <f>HYPERLINK("https://fin.land.naver.com/articles/2651077314", "매물Link")</f>
        <v/>
      </c>
      <c r="M1411" s="6">
        <f>HYPERLINK("https://map.naver.com/p/search/조치원읍 침산리 167-10", "지도Link")</f>
        <v/>
      </c>
      <c r="N1411" s="6">
        <f>HYPERLINK("http://www.eum.go.kr/web/ar/lu/luLandDet.jsp?pnu=3611025028101670010&amp;isNoScr=script&amp;mode=search", "토지이음")</f>
        <v/>
      </c>
      <c r="O1411" s="3" t="inlineStr">
        <is>
          <t>다옴</t>
        </is>
      </c>
      <c r="P1411" s="4" t="n">
        <v>1</v>
      </c>
      <c r="Q1411" s="4" t="n">
        <v>332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광대로한면</t>
        </is>
      </c>
    </row>
    <row r="1412">
      <c r="A1412" s="3" t="inlineStr">
        <is>
          <t>조치원읍 침산리 185-19</t>
        </is>
      </c>
      <c r="B1412" s="3" t="inlineStr">
        <is>
          <t>제1종일반주거지역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80400</v>
      </c>
      <c r="G1412" s="4" t="n">
        <v>664</v>
      </c>
      <c r="H1412" s="4" t="n">
        <v>201</v>
      </c>
      <c r="I1412" s="5" t="n">
        <v>400</v>
      </c>
      <c r="J1412" s="5" t="n">
        <v>155.1</v>
      </c>
      <c r="K1412" s="3" t="inlineStr">
        <is>
          <t>침산리 위치 좋은 곳으로 커피숍이나 음식점 자리</t>
        </is>
      </c>
      <c r="L1412" s="6">
        <f>HYPERLINK("https://fin.land.naver.com/articles/2647576266", "매물Link")</f>
        <v/>
      </c>
      <c r="M1412" s="6">
        <f>HYPERLINK("https://map.naver.com/p/search/조치원읍 침산리 185-19", "지도Link")</f>
        <v/>
      </c>
      <c r="N1412" s="6">
        <f>HYPERLINK("http://www.eum.go.kr/web/ar/lu/luLandDet.jsp?pnu=3611025028101850019&amp;isNoScr=script&amp;mode=search", "토지이음")</f>
        <v/>
      </c>
      <c r="O1412" s="3" t="inlineStr">
        <is>
          <t>KB세종</t>
        </is>
      </c>
      <c r="P1412" s="4" t="n">
        <v>1</v>
      </c>
      <c r="Q1412" s="4" t="n">
        <v>580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평지</t>
        </is>
      </c>
      <c r="U1412" s="3" t="inlineStr">
        <is>
          <t>사다리형</t>
        </is>
      </c>
      <c r="V1412" s="3" t="inlineStr">
        <is>
          <t>세로한면(가)</t>
        </is>
      </c>
    </row>
    <row r="1413">
      <c r="A1413" s="3" t="inlineStr">
        <is>
          <t>조치원읍 침산리 203</t>
        </is>
      </c>
      <c r="B1413" s="3" t="inlineStr">
        <is>
          <t>제1종일반주거지역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193000</v>
      </c>
      <c r="G1413" s="4" t="n">
        <v>2362</v>
      </c>
      <c r="H1413" s="4" t="n">
        <v>715</v>
      </c>
      <c r="I1413" s="5" t="n">
        <v>269.9</v>
      </c>
      <c r="J1413" s="5" t="n">
        <v>187</v>
      </c>
      <c r="K1413" s="3" t="inlineStr">
        <is>
          <t>1번국도 인근토지로 지대가 높고 다양한 용도로 활용가능. 가격조율 가능.</t>
        </is>
      </c>
      <c r="L1413" s="6">
        <f>HYPERLINK("https://fin.land.naver.com/articles/2647427896", "매물Link")</f>
        <v/>
      </c>
      <c r="M1413" s="6">
        <f>HYPERLINK("https://map.naver.com/p/search/조치원읍 침산리 203", "지도Link")</f>
        <v/>
      </c>
      <c r="N1413" s="6">
        <f>HYPERLINK("http://www.eum.go.kr/web/ar/lu/luLandDet.jsp?pnu=3611025028102030000&amp;isNoScr=script&amp;mode=search", "토지이음")</f>
        <v/>
      </c>
      <c r="O1413" s="3" t="inlineStr">
        <is>
          <t>세종대장</t>
        </is>
      </c>
      <c r="P1413" s="4" t="n">
        <v>1</v>
      </c>
      <c r="Q1413" s="4" t="n">
        <v>2362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광대로한면</t>
        </is>
      </c>
    </row>
    <row r="1414">
      <c r="A1414" s="3" t="inlineStr">
        <is>
          <t>조치원읍 침산리 219-3</t>
        </is>
      </c>
      <c r="B1414" s="3" t="inlineStr">
        <is>
          <t>제1종일반주거지역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268000</v>
      </c>
      <c r="G1414" s="4" t="n">
        <v>1971</v>
      </c>
      <c r="H1414" s="4" t="n">
        <v>596</v>
      </c>
      <c r="I1414" s="5" t="n">
        <v>449.7</v>
      </c>
      <c r="J1414" s="5" t="n">
        <v>183.4</v>
      </c>
      <c r="K1414" s="3" t="inlineStr">
        <is>
          <t>도도리파크, 문화예술회관 맞은편 토지</t>
        </is>
      </c>
      <c r="L1414" s="6">
        <f>HYPERLINK("https://fin.land.naver.com/articles/2648317472", "매물Link")</f>
        <v/>
      </c>
      <c r="M1414" s="6">
        <f>HYPERLINK("https://map.naver.com/p/search/조치원읍 침산리 219-3", "지도Link")</f>
        <v/>
      </c>
      <c r="N1414" s="6">
        <f>HYPERLINK("http://www.eum.go.kr/web/ar/lu/luLandDet.jsp?pnu=3611025028102190003&amp;isNoScr=script&amp;mode=search", "토지이음")</f>
        <v/>
      </c>
      <c r="O1414" s="3" t="inlineStr">
        <is>
          <t>KB세종</t>
        </is>
      </c>
      <c r="P1414" s="4" t="n">
        <v>1</v>
      </c>
      <c r="Q1414" s="4" t="n">
        <v>1887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중로한면</t>
        </is>
      </c>
    </row>
    <row r="1415">
      <c r="A1415" s="3" t="inlineStr">
        <is>
          <t>조치원읍 침산리 219-3</t>
        </is>
      </c>
      <c r="B1415" s="3" t="inlineStr">
        <is>
          <t>제1종일반주거지역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268000</v>
      </c>
      <c r="G1415" s="4" t="n">
        <v>1971</v>
      </c>
      <c r="H1415" s="4" t="n">
        <v>596</v>
      </c>
      <c r="I1415" s="5" t="n">
        <v>449.7</v>
      </c>
      <c r="J1415" s="5" t="n">
        <v>183.4</v>
      </c>
      <c r="K1415" s="3" t="inlineStr">
        <is>
          <t>제1종일반주거지역, 코너토지,조치원하이마트,예술회관,조치원복컴등 인근위치</t>
        </is>
      </c>
      <c r="L1415" s="6">
        <f>HYPERLINK("https://fin.land.naver.com/articles/2650636285", "매물Link")</f>
        <v/>
      </c>
      <c r="M1415" s="6">
        <f>HYPERLINK("https://map.naver.com/p/search/조치원읍 침산리 219-3", "지도Link")</f>
        <v/>
      </c>
      <c r="N1415" s="6">
        <f>HYPERLINK("http://www.eum.go.kr/web/ar/lu/luLandDet.jsp?pnu=3611025028102190003&amp;isNoScr=script&amp;mode=search", "토지이음")</f>
        <v/>
      </c>
      <c r="O1415" s="3" t="inlineStr">
        <is>
          <t>세종일조</t>
        </is>
      </c>
      <c r="P1415" s="4" t="n">
        <v>1</v>
      </c>
      <c r="Q1415" s="4" t="n">
        <v>1887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중로한면</t>
        </is>
      </c>
    </row>
    <row r="1416">
      <c r="A1416" s="3" t="inlineStr">
        <is>
          <t>조치원읍 침산리 219-7</t>
        </is>
      </c>
      <c r="B1416" s="3" t="inlineStr">
        <is>
          <t>제1종일반주거지역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136000</v>
      </c>
      <c r="G1416" s="4" t="n">
        <v>566</v>
      </c>
      <c r="H1416" s="4" t="n">
        <v>171</v>
      </c>
      <c r="I1416" s="5" t="n">
        <v>795.3</v>
      </c>
      <c r="J1416" s="5" t="n">
        <v>272.3</v>
      </c>
      <c r="K1416" s="3" t="inlineStr">
        <is>
          <t>침산리 대로변 활용만점 넓고반듯한 토지 매매</t>
        </is>
      </c>
      <c r="L1416" s="6">
        <f>HYPERLINK("https://fin.land.naver.com/articles/2646395308", "매물Link")</f>
        <v/>
      </c>
      <c r="M1416" s="6">
        <f>HYPERLINK("https://map.naver.com/p/search/조치원읍 침산리 219-7", "지도Link")</f>
        <v/>
      </c>
      <c r="N1416" s="6">
        <f>HYPERLINK("http://www.eum.go.kr/web/ar/lu/luLandDet.jsp?pnu=3611025028102190007&amp;isNoScr=script&amp;mode=search", "토지이음")</f>
        <v/>
      </c>
      <c r="O1416" s="3" t="inlineStr">
        <is>
          <t>다옴</t>
        </is>
      </c>
      <c r="P1416" s="4" t="n">
        <v>1</v>
      </c>
      <c r="Q1416" s="4" t="n">
        <v>566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중로각지</t>
        </is>
      </c>
    </row>
    <row r="1417">
      <c r="A1417" s="3" t="inlineStr">
        <is>
          <t>조치원읍 침산리 255-7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40000</v>
      </c>
      <c r="G1417" s="4" t="n">
        <v>251</v>
      </c>
      <c r="H1417" s="4" t="n">
        <v>76</v>
      </c>
      <c r="I1417" s="5" t="n">
        <v>526.3</v>
      </c>
      <c r="J1417" s="5" t="n">
        <v>289.8</v>
      </c>
      <c r="K1417" s="3" t="inlineStr">
        <is>
          <t>침산리 건축가능한 대지매물</t>
        </is>
      </c>
      <c r="L1417" s="6">
        <f>HYPERLINK("https://fin.land.naver.com/articles/2650857783", "매물Link")</f>
        <v/>
      </c>
      <c r="M1417" s="6">
        <f>HYPERLINK("https://map.naver.com/p/search/조치원읍 침산리 255-7", "지도Link")</f>
        <v/>
      </c>
      <c r="N1417" s="6">
        <f>HYPERLINK("http://www.eum.go.kr/web/ar/lu/luLandDet.jsp?pnu=3611025028102550007&amp;isNoScr=script&amp;mode=search", "토지이음")</f>
        <v/>
      </c>
      <c r="O1417" s="3" t="inlineStr">
        <is>
          <t>상희</t>
        </is>
      </c>
      <c r="P1417" s="4" t="n">
        <v>1</v>
      </c>
      <c r="Q1417" s="4" t="n">
        <v>251.7</v>
      </c>
      <c r="R1417" s="3" t="inlineStr">
        <is>
          <t>지정되지않음</t>
        </is>
      </c>
      <c r="S1417" s="3" t="inlineStr">
        <is>
          <t>주거기타</t>
        </is>
      </c>
      <c r="T1417" s="3" t="inlineStr">
        <is>
          <t>평지</t>
        </is>
      </c>
      <c r="U1417" s="3" t="inlineStr">
        <is>
          <t>정방형</t>
        </is>
      </c>
      <c r="V1417" s="3" t="inlineStr">
        <is>
          <t>세로한면(가)</t>
        </is>
      </c>
    </row>
    <row r="1418">
      <c r="A1418" s="3" t="inlineStr">
        <is>
          <t>조치원읍 침산리 272-9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40000</v>
      </c>
      <c r="G1418" s="4" t="n">
        <v>187</v>
      </c>
      <c r="H1418" s="4" t="n">
        <v>57</v>
      </c>
      <c r="I1418" s="5" t="n">
        <v>701.8</v>
      </c>
      <c r="J1418" s="5" t="n">
        <v>323.2</v>
      </c>
      <c r="K1418" s="3" t="inlineStr">
        <is>
          <t>nan</t>
        </is>
      </c>
      <c r="L1418" s="6">
        <f>HYPERLINK("https://fin.land.naver.com/articles/2647365125", "매물Link")</f>
        <v/>
      </c>
      <c r="M1418" s="6">
        <f>HYPERLINK("https://map.naver.com/p/search/조치원읍 침산리 272-9", "지도Link")</f>
        <v/>
      </c>
      <c r="N1418" s="6">
        <f>HYPERLINK("http://www.eum.go.kr/web/ar/lu/luLandDet.jsp?pnu=3611025028102720009&amp;isNoScr=script&amp;mode=search", "토지이음")</f>
        <v/>
      </c>
      <c r="O1418" s="3" t="inlineStr">
        <is>
          <t>KB세종</t>
        </is>
      </c>
      <c r="P1418" s="4" t="n">
        <v>1</v>
      </c>
      <c r="Q1418" s="4" t="n">
        <v>187.5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소로각지</t>
        </is>
      </c>
    </row>
    <row r="1419">
      <c r="A1419" s="3" t="inlineStr">
        <is>
          <t>조치원읍 침산리 278-1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100000</v>
      </c>
      <c r="G1419" s="4" t="n">
        <v>281</v>
      </c>
      <c r="H1419" s="4" t="n">
        <v>85</v>
      </c>
      <c r="I1419" s="5" t="n">
        <v>1176.5</v>
      </c>
      <c r="J1419" s="5" t="n">
        <v>363.6</v>
      </c>
      <c r="K1419" s="3" t="inlineStr">
        <is>
          <t>침산리 대로접한 귀한토지</t>
        </is>
      </c>
      <c r="L1419" s="6">
        <f>HYPERLINK("https://fin.land.naver.com/articles/2648014040", "매물Link")</f>
        <v/>
      </c>
      <c r="M1419" s="6">
        <f>HYPERLINK("https://map.naver.com/p/search/조치원읍 침산리 278-1", "지도Link")</f>
        <v/>
      </c>
      <c r="N1419" s="6">
        <f>HYPERLINK("http://www.eum.go.kr/web/ar/lu/luLandDet.jsp?pnu=3611025028102780001&amp;isNoScr=script&amp;mode=search", "토지이음")</f>
        <v/>
      </c>
      <c r="O1419" s="3" t="inlineStr">
        <is>
          <t>동백</t>
        </is>
      </c>
      <c r="P1419" s="4" t="n">
        <v>1</v>
      </c>
      <c r="Q1419" s="4" t="n">
        <v>281.3</v>
      </c>
      <c r="R1419" s="3" t="inlineStr">
        <is>
          <t>지정되지않음</t>
        </is>
      </c>
      <c r="S1419" s="3" t="inlineStr">
        <is>
          <t>상업용</t>
        </is>
      </c>
      <c r="T1419" s="3" t="inlineStr">
        <is>
          <t>평지</t>
        </is>
      </c>
      <c r="U1419" s="3" t="inlineStr">
        <is>
          <t>정방형</t>
        </is>
      </c>
      <c r="V1419" s="3" t="inlineStr">
        <is>
          <t>소로각지</t>
        </is>
      </c>
    </row>
    <row r="1420">
      <c r="A1420" s="3" t="inlineStr">
        <is>
          <t>조치원읍 침산리 283-8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55000</v>
      </c>
      <c r="G1420" s="4" t="n">
        <v>265</v>
      </c>
      <c r="H1420" s="4" t="n">
        <v>80</v>
      </c>
      <c r="I1420" s="5" t="n">
        <v>687.5</v>
      </c>
      <c r="J1420" s="5" t="n">
        <v>441.7</v>
      </c>
      <c r="K1420" s="3" t="inlineStr">
        <is>
          <t>코너 대지 매매</t>
        </is>
      </c>
      <c r="L1420" s="6">
        <f>HYPERLINK("https://fin.land.naver.com/articles/2646280200", "매물Link")</f>
        <v/>
      </c>
      <c r="M1420" s="6">
        <f>HYPERLINK("https://map.naver.com/p/search/조치원읍 침산리 283-8", "지도Link")</f>
        <v/>
      </c>
      <c r="N1420" s="6">
        <f>HYPERLINK("http://www.eum.go.kr/web/ar/lu/luLandDet.jsp?pnu=3611025028102830008&amp;isNoScr=script&amp;mode=search", "토지이음")</f>
        <v/>
      </c>
      <c r="O1420" s="3" t="inlineStr">
        <is>
          <t>찬스</t>
        </is>
      </c>
      <c r="P1420" s="4" t="n">
        <v>1</v>
      </c>
      <c r="Q1420" s="4" t="n">
        <v>265.6</v>
      </c>
      <c r="R1420" s="3" t="inlineStr">
        <is>
          <t>지정되지않음</t>
        </is>
      </c>
      <c r="S1420" s="3" t="inlineStr">
        <is>
          <t>주상기타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소로각지</t>
        </is>
      </c>
    </row>
    <row r="1421">
      <c r="A1421" s="3" t="inlineStr">
        <is>
          <t>조치원읍 침산리 283-9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월세</t>
        </is>
      </c>
      <c r="F1421" s="4" t="n">
        <v>1000</v>
      </c>
      <c r="G1421" s="4" t="n">
        <v>248</v>
      </c>
      <c r="H1421" s="4" t="n">
        <v>75</v>
      </c>
      <c r="I1421" s="5" t="n">
        <v>0.5</v>
      </c>
      <c r="J1421" s="5" t="n">
        <v>283.1</v>
      </c>
      <c r="K1421" s="3" t="inlineStr">
        <is>
          <t>nan</t>
        </is>
      </c>
      <c r="L1421" s="6">
        <f>HYPERLINK("https://fin.land.naver.com/articles/2650644582", "매물Link")</f>
        <v/>
      </c>
      <c r="M1421" s="6">
        <f>HYPERLINK("https://map.naver.com/p/search/조치원읍 침산리 283-9", "지도Link")</f>
        <v/>
      </c>
      <c r="N1421" s="6">
        <f>HYPERLINK("http://www.eum.go.kr/web/ar/lu/luLandDet.jsp?pnu=3611025028102830009&amp;isNoScr=script&amp;mode=search", "토지이음")</f>
        <v/>
      </c>
      <c r="O1421" s="3" t="inlineStr">
        <is>
          <t>세종문화길</t>
        </is>
      </c>
      <c r="P1421" s="4" t="n">
        <v>1</v>
      </c>
      <c r="Q1421" s="4" t="n">
        <v>248.8</v>
      </c>
      <c r="R1421" s="3" t="inlineStr">
        <is>
          <t>지정되지않음</t>
        </is>
      </c>
      <c r="S1421" s="3" t="inlineStr">
        <is>
          <t>주거기타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세로한면(가)</t>
        </is>
      </c>
    </row>
    <row r="1422">
      <c r="A1422" s="3" t="inlineStr">
        <is>
          <t>조치원읍 침산리 284-9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60000</v>
      </c>
      <c r="G1422" s="4" t="n">
        <v>238</v>
      </c>
      <c r="H1422" s="4" t="n">
        <v>72</v>
      </c>
      <c r="I1422" s="5" t="n">
        <v>833.3</v>
      </c>
      <c r="J1422" s="5" t="n">
        <v>283.1</v>
      </c>
      <c r="K1422" s="3" t="inlineStr">
        <is>
          <t>스타벅스가 선택한 그 입지, 세종 조치원 침산리 금쪽같은 토지 매매</t>
        </is>
      </c>
      <c r="L1422" s="6">
        <f>HYPERLINK("https://fin.land.naver.com/articles/2648828796", "매물Link")</f>
        <v/>
      </c>
      <c r="M1422" s="6">
        <f>HYPERLINK("https://map.naver.com/p/search/조치원읍 침산리 284-9", "지도Link")</f>
        <v/>
      </c>
      <c r="N1422" s="6">
        <f>HYPERLINK("http://www.eum.go.kr/web/ar/lu/luLandDet.jsp?pnu=3611025028102840009&amp;isNoScr=script&amp;mode=search", "토지이음")</f>
        <v/>
      </c>
      <c r="O1422" s="3" t="inlineStr">
        <is>
          <t>찬스</t>
        </is>
      </c>
      <c r="P1422" s="4" t="n">
        <v>1</v>
      </c>
      <c r="Q1422" s="4" t="n">
        <v>238.8</v>
      </c>
      <c r="R1422" s="3" t="inlineStr">
        <is>
          <t>지정되지않음</t>
        </is>
      </c>
      <c r="S1422" s="3" t="inlineStr">
        <is>
          <t>주거기타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세로한면(가)</t>
        </is>
      </c>
    </row>
    <row r="1423">
      <c r="A1423" s="3" t="inlineStr">
        <is>
          <t>조치원읍 침산리 285-16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38630</v>
      </c>
      <c r="G1423" s="4" t="n">
        <v>255</v>
      </c>
      <c r="H1423" s="4" t="n">
        <v>77</v>
      </c>
      <c r="I1423" s="5" t="n">
        <v>501.7</v>
      </c>
      <c r="J1423" s="5" t="n">
        <v>301.6</v>
      </c>
      <c r="K1423" s="3" t="inlineStr">
        <is>
          <t>구역정리된 지역임</t>
        </is>
      </c>
      <c r="L1423" s="6">
        <f>HYPERLINK("https://fin.land.naver.com/articles/2646527314", "매물Link")</f>
        <v/>
      </c>
      <c r="M1423" s="6">
        <f>HYPERLINK("https://map.naver.com/p/search/조치원읍 침산리 285-16", "지도Link")</f>
        <v/>
      </c>
      <c r="N1423" s="6">
        <f>HYPERLINK("http://www.eum.go.kr/web/ar/lu/luLandDet.jsp?pnu=3611025028102850016&amp;isNoScr=script&amp;mode=search", "토지이음")</f>
        <v/>
      </c>
      <c r="O1423" s="3" t="inlineStr">
        <is>
          <t>한일</t>
        </is>
      </c>
      <c r="P1423" s="4" t="n">
        <v>1</v>
      </c>
      <c r="Q1423" s="4" t="n">
        <v>255.4</v>
      </c>
      <c r="R1423" s="3" t="inlineStr">
        <is>
          <t>지정되지않음</t>
        </is>
      </c>
      <c r="S1423" s="3" t="inlineStr">
        <is>
          <t>주상기타</t>
        </is>
      </c>
      <c r="T1423" s="3" t="inlineStr">
        <is>
          <t>평지</t>
        </is>
      </c>
      <c r="U1423" s="3" t="inlineStr">
        <is>
          <t>정방형</t>
        </is>
      </c>
      <c r="V1423" s="3" t="inlineStr">
        <is>
          <t>소로한면</t>
        </is>
      </c>
    </row>
    <row r="1424">
      <c r="A1424" s="3" t="inlineStr">
        <is>
          <t>조치원읍 침산리 40</t>
        </is>
      </c>
      <c r="B1424" s="3" t="inlineStr">
        <is>
          <t>제1종일반주거지역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256000</v>
      </c>
      <c r="G1424" s="4" t="n">
        <v>2116</v>
      </c>
      <c r="H1424" s="4" t="n">
        <v>640</v>
      </c>
      <c r="I1424" s="5" t="n">
        <v>400</v>
      </c>
      <c r="J1424" s="5" t="n">
        <v>177.6</v>
      </c>
      <c r="K1424" s="3" t="inlineStr">
        <is>
          <t>침산리 토지매매</t>
        </is>
      </c>
      <c r="L1424" s="6">
        <f>HYPERLINK("https://fin.land.naver.com/articles/2648993462", "매물Link")</f>
        <v/>
      </c>
      <c r="M1424" s="6">
        <f>HYPERLINK("https://map.naver.com/p/search/조치원읍 침산리 40", "지도Link")</f>
        <v/>
      </c>
      <c r="N1424" s="6">
        <f>HYPERLINK("http://www.eum.go.kr/web/ar/lu/luLandDet.jsp?pnu=3611025028100400000&amp;isNoScr=script&amp;mode=search", "토지이음")</f>
        <v/>
      </c>
      <c r="O1424" s="3" t="inlineStr">
        <is>
          <t>김준희</t>
        </is>
      </c>
      <c r="P1424" s="4" t="n">
        <v>1</v>
      </c>
      <c r="Q1424" s="4" t="n">
        <v>1924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침산리 79-4</t>
        </is>
      </c>
      <c r="B1425" s="3" t="inlineStr">
        <is>
          <t>제1종일반주거지역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700000</v>
      </c>
      <c r="G1425" s="4" t="n">
        <v>1842</v>
      </c>
      <c r="H1425" s="4" t="n">
        <v>557</v>
      </c>
      <c r="I1425" s="5" t="n">
        <v>1256.7</v>
      </c>
      <c r="J1425" s="5" t="n">
        <v>416.9</v>
      </c>
      <c r="K1425" s="3" t="inlineStr">
        <is>
          <t>1번국도와 55m 접해있어 근린생활시설을 지으면 좋은 일반주거지역 대지</t>
        </is>
      </c>
      <c r="L1425" s="6">
        <f>HYPERLINK("https://fin.land.naver.com/articles/2650207703", "매물Link")</f>
        <v/>
      </c>
      <c r="M1425" s="6">
        <f>HYPERLINK("https://map.naver.com/p/search/조치원읍 침산리 79-4", "지도Link")</f>
        <v/>
      </c>
      <c r="N1425" s="6">
        <f>HYPERLINK("http://www.eum.go.kr/web/ar/lu/luLandDet.jsp?pnu=3611025028100790004&amp;isNoScr=script&amp;mode=search", "토지이음")</f>
        <v/>
      </c>
      <c r="O1425" s="3" t="inlineStr">
        <is>
          <t>스마일세종</t>
        </is>
      </c>
      <c r="P1425" s="4" t="n">
        <v>2</v>
      </c>
      <c r="Q1425" s="4" t="n">
        <v>1380</v>
      </c>
      <c r="R1425" s="3" t="inlineStr">
        <is>
          <t>지정되지않음</t>
        </is>
      </c>
      <c r="S1425" s="3" t="inlineStr">
        <is>
          <t>상업기타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광대로한면</t>
        </is>
      </c>
    </row>
    <row r="1426">
      <c r="A1426" s="3" t="inlineStr">
        <is>
          <t>조치원읍 평리 101-2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60000</v>
      </c>
      <c r="G1426" s="4" t="n">
        <v>356</v>
      </c>
      <c r="H1426" s="4" t="n">
        <v>108</v>
      </c>
      <c r="I1426" s="5" t="n">
        <v>555.6</v>
      </c>
      <c r="J1426" s="5" t="n">
        <v>175.8</v>
      </c>
      <c r="K1426" s="3" t="inlineStr">
        <is>
          <t>8미터도로연접, 다가구부지 추천매매</t>
        </is>
      </c>
      <c r="L1426" s="6">
        <f>HYPERLINK("https://fin.land.naver.com/articles/2646874049", "매물Link")</f>
        <v/>
      </c>
      <c r="M1426" s="6">
        <f>HYPERLINK("https://map.naver.com/p/search/조치원읍 평리 101-2", "지도Link")</f>
        <v/>
      </c>
      <c r="N1426" s="6">
        <f>HYPERLINK("http://www.eum.go.kr/web/ar/lu/luLandDet.jsp?pnu=3611025023101010002&amp;isNoScr=script&amp;mode=search", "토지이음")</f>
        <v/>
      </c>
      <c r="O1426" s="3" t="inlineStr">
        <is>
          <t>Home</t>
        </is>
      </c>
      <c r="P1426" s="4" t="n">
        <v>1</v>
      </c>
      <c r="Q1426" s="4" t="n">
        <v>356</v>
      </c>
      <c r="R1426" s="3" t="inlineStr">
        <is>
          <t>지정되지않음</t>
        </is>
      </c>
      <c r="S1426" s="3" t="inlineStr">
        <is>
          <t>단독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집현동 1203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215000</v>
      </c>
      <c r="G1427" s="4" t="n">
        <v>569</v>
      </c>
      <c r="H1427" s="4" t="n">
        <v>172</v>
      </c>
      <c r="I1427" s="5" t="n">
        <v>1250</v>
      </c>
      <c r="J1427" s="5" t="n">
        <v>320.7</v>
      </c>
      <c r="K1427" s="3" t="inlineStr">
        <is>
          <t>일반음식점 가능 2종근생, 자이 1200세대 정문 앞 횡단보도 버스정류장</t>
        </is>
      </c>
      <c r="L1427" s="6">
        <f>HYPERLINK("https://fin.land.naver.com/articles/2650179158", "매물Link")</f>
        <v/>
      </c>
      <c r="M1427" s="6">
        <f>HYPERLINK("https://map.naver.com/p/search/집현동 1203", "지도Link")</f>
        <v/>
      </c>
      <c r="N1427" s="6">
        <f>HYPERLINK("http://www.eum.go.kr/web/ar/lu/luLandDet.jsp?pnu=3611011800112030000&amp;isNoScr=script&amp;mode=search", "토지이음")</f>
        <v/>
      </c>
      <c r="O1427" s="3" t="inlineStr">
        <is>
          <t>오송3산단  사무소</t>
        </is>
      </c>
      <c r="P1427" s="4" t="n">
        <v>1</v>
      </c>
      <c r="Q1427" s="4" t="n">
        <v>569.7</v>
      </c>
      <c r="R1427" s="3" t="inlineStr">
        <is>
          <t>지정되지않음</t>
        </is>
      </c>
      <c r="S1427" s="3" t="inlineStr">
        <is>
          <t>상업나지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광대소각</t>
        </is>
      </c>
    </row>
    <row r="1428">
      <c r="A1428" s="3" t="inlineStr">
        <is>
          <t>집현동 1217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42000</v>
      </c>
      <c r="G1428" s="4" t="n">
        <v>320</v>
      </c>
      <c r="H1428" s="4" t="n">
        <v>97</v>
      </c>
      <c r="I1428" s="5" t="n">
        <v>433</v>
      </c>
      <c r="J1428" s="5" t="n">
        <v>267.1</v>
      </c>
      <c r="K1428" s="3" t="inlineStr">
        <is>
          <t>급매 남향 상권 삼성천 가까운 선호위치</t>
        </is>
      </c>
      <c r="L1428" s="6">
        <f>HYPERLINK("https://fin.land.naver.com/articles/2650653419", "매물Link")</f>
        <v/>
      </c>
      <c r="M1428" s="6">
        <f>HYPERLINK("https://map.naver.com/p/search/집현동 1217", "지도Link")</f>
        <v/>
      </c>
      <c r="N1428" s="6">
        <f>HYPERLINK("http://www.eum.go.kr/web/ar/lu/luLandDet.jsp?pnu=3611011800112170000&amp;isNoScr=script&amp;mode=search", "토지이음")</f>
        <v/>
      </c>
      <c r="O1428" s="3" t="inlineStr">
        <is>
          <t>세종스타</t>
        </is>
      </c>
      <c r="P1428" s="4" t="n">
        <v>3</v>
      </c>
      <c r="Q1428" s="4" t="n">
        <v>320.9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소로한면</t>
        </is>
      </c>
    </row>
    <row r="1429">
      <c r="A1429" s="3" t="inlineStr">
        <is>
          <t>집현동 1219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47000</v>
      </c>
      <c r="G1429" s="4" t="n">
        <v>318</v>
      </c>
      <c r="H1429" s="4" t="n">
        <v>96</v>
      </c>
      <c r="I1429" s="5" t="n">
        <v>489.6</v>
      </c>
      <c r="J1429" s="5" t="n">
        <v>277.7</v>
      </c>
      <c r="K1429" s="3" t="inlineStr">
        <is>
          <t>급매 집현동 택지</t>
        </is>
      </c>
      <c r="L1429" s="6">
        <f>HYPERLINK("https://fin.land.naver.com/articles/2646823668", "매물Link")</f>
        <v/>
      </c>
      <c r="M1429" s="6">
        <f>HYPERLINK("https://map.naver.com/p/search/집현동 1219", "지도Link")</f>
        <v/>
      </c>
      <c r="N1429" s="6">
        <f>HYPERLINK("http://www.eum.go.kr/web/ar/lu/luLandDet.jsp?pnu=3611011800112190000&amp;isNoScr=script&amp;mode=search", "토지이음")</f>
        <v/>
      </c>
      <c r="O1429" s="3" t="inlineStr">
        <is>
          <t>강아지풀</t>
        </is>
      </c>
      <c r="P1429" s="4" t="n">
        <v>1</v>
      </c>
      <c r="Q1429" s="4" t="n">
        <v>318.9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가로장방</t>
        </is>
      </c>
      <c r="V1429" s="3" t="inlineStr">
        <is>
          <t>소로각지</t>
        </is>
      </c>
    </row>
    <row r="1430">
      <c r="A1430" s="3" t="inlineStr">
        <is>
          <t>집현동 1226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54000</v>
      </c>
      <c r="G1430" s="4" t="n">
        <v>305</v>
      </c>
      <c r="H1430" s="4" t="n">
        <v>92</v>
      </c>
      <c r="I1430" s="5" t="n">
        <v>587</v>
      </c>
      <c r="J1430" s="5" t="n">
        <v>267.1</v>
      </c>
      <c r="K1430" s="3" t="inlineStr">
        <is>
          <t>집현동 위치 좋은 단독주택, 사거리 코너 입지</t>
        </is>
      </c>
      <c r="L1430" s="6">
        <f>HYPERLINK("https://fin.land.naver.com/articles/2646691295", "매물Link")</f>
        <v/>
      </c>
      <c r="M1430" s="6">
        <f>HYPERLINK("https://map.naver.com/p/search/집현동 1226", "지도Link")</f>
        <v/>
      </c>
      <c r="N1430" s="6">
        <f>HYPERLINK("http://www.eum.go.kr/web/ar/lu/luLandDet.jsp?pnu=3611011800112260000&amp;isNoScr=script&amp;mode=search", "토지이음")</f>
        <v/>
      </c>
      <c r="O1430" s="3" t="inlineStr">
        <is>
          <t>세종무지개</t>
        </is>
      </c>
      <c r="P1430" s="4" t="n">
        <v>1</v>
      </c>
      <c r="Q1430" s="4" t="n">
        <v>305.3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집현동 1226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54000</v>
      </c>
      <c r="G1431" s="4" t="n">
        <v>305</v>
      </c>
      <c r="H1431" s="4" t="n">
        <v>92</v>
      </c>
      <c r="I1431" s="5" t="n">
        <v>587</v>
      </c>
      <c r="J1431" s="5" t="n">
        <v>267.1</v>
      </c>
      <c r="K1431" s="3" t="inlineStr">
        <is>
          <t>삼성천인근 남북트인위치 남쪽 보행로접함</t>
        </is>
      </c>
      <c r="L1431" s="6">
        <f>HYPERLINK("https://fin.land.naver.com/articles/2647126098", "매물Link")</f>
        <v/>
      </c>
      <c r="M1431" s="6">
        <f>HYPERLINK("https://map.naver.com/p/search/집현동 1226", "지도Link")</f>
        <v/>
      </c>
      <c r="N1431" s="6">
        <f>HYPERLINK("http://www.eum.go.kr/web/ar/lu/luLandDet.jsp?pnu=3611011800112260000&amp;isNoScr=script&amp;mode=search", "토지이음")</f>
        <v/>
      </c>
      <c r="O1431" s="3" t="inlineStr">
        <is>
          <t>세종스타</t>
        </is>
      </c>
      <c r="P1431" s="4" t="n">
        <v>2</v>
      </c>
      <c r="Q1431" s="4" t="n">
        <v>305.3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소로한면</t>
        </is>
      </c>
    </row>
    <row r="1432">
      <c r="A1432" s="3" t="inlineStr">
        <is>
          <t>집현동 1226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54000</v>
      </c>
      <c r="G1432" s="4" t="n">
        <v>305</v>
      </c>
      <c r="H1432" s="4" t="n">
        <v>92</v>
      </c>
      <c r="I1432" s="5" t="n">
        <v>587</v>
      </c>
      <c r="J1432" s="5" t="n">
        <v>267.1</v>
      </c>
      <c r="K1432" s="3" t="inlineStr">
        <is>
          <t>집현동 위치 좋은 단독주택 토지매매, 사거리 코너 입지</t>
        </is>
      </c>
      <c r="L1432" s="6">
        <f>HYPERLINK("https://fin.land.naver.com/articles/2648137252", "매물Link")</f>
        <v/>
      </c>
      <c r="M1432" s="6">
        <f>HYPERLINK("https://map.naver.com/p/search/집현동 1226", "지도Link")</f>
        <v/>
      </c>
      <c r="N1432" s="6">
        <f>HYPERLINK("http://www.eum.go.kr/web/ar/lu/luLandDet.jsp?pnu=3611011800112260000&amp;isNoScr=script&amp;mode=search", "토지이음")</f>
        <v/>
      </c>
      <c r="O1432" s="3" t="inlineStr">
        <is>
          <t>명진</t>
        </is>
      </c>
      <c r="P1432" s="4" t="n">
        <v>1</v>
      </c>
      <c r="Q1432" s="4" t="n">
        <v>305.3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세로장방</t>
        </is>
      </c>
      <c r="V1432" s="3" t="inlineStr">
        <is>
          <t>소로한면</t>
        </is>
      </c>
    </row>
    <row r="1433">
      <c r="A1433" s="3" t="inlineStr">
        <is>
          <t>집현동 1244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60000</v>
      </c>
      <c r="G1433" s="4" t="n">
        <v>323</v>
      </c>
      <c r="H1433" s="4" t="n">
        <v>98</v>
      </c>
      <c r="I1433" s="5" t="n">
        <v>612.2</v>
      </c>
      <c r="J1433" s="5" t="n">
        <v>275</v>
      </c>
      <c r="K1433" s="3" t="inlineStr">
        <is>
          <t>최고위치 코너각지 공원뷰 삼성천뷰</t>
        </is>
      </c>
      <c r="L1433" s="6">
        <f>HYPERLINK("https://fin.land.naver.com/articles/2650366745", "매물Link")</f>
        <v/>
      </c>
      <c r="M1433" s="6">
        <f>HYPERLINK("https://map.naver.com/p/search/집현동 1244", "지도Link")</f>
        <v/>
      </c>
      <c r="N1433" s="6">
        <f>HYPERLINK("http://www.eum.go.kr/web/ar/lu/luLandDet.jsp?pnu=3611011800112440000&amp;isNoScr=script&amp;mode=search", "토지이음")</f>
        <v/>
      </c>
      <c r="O1433" s="3" t="inlineStr">
        <is>
          <t>세종스타</t>
        </is>
      </c>
      <c r="P1433" s="4" t="n">
        <v>2</v>
      </c>
      <c r="Q1433" s="4" t="n">
        <v>323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소로각지</t>
        </is>
      </c>
    </row>
    <row r="1434">
      <c r="A1434" s="3" t="inlineStr">
        <is>
          <t>집현동 1244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60000</v>
      </c>
      <c r="G1434" s="4" t="n">
        <v>323</v>
      </c>
      <c r="H1434" s="4" t="n">
        <v>98</v>
      </c>
      <c r="I1434" s="5" t="n">
        <v>612.2</v>
      </c>
      <c r="J1434" s="5" t="n">
        <v>275</v>
      </c>
      <c r="K1434" s="3" t="inlineStr">
        <is>
          <t>코너각지 위치한 토지매매, 공원과 삼성천 뷰 가능</t>
        </is>
      </c>
      <c r="L1434" s="6">
        <f>HYPERLINK("https://fin.land.naver.com/articles/2649592856", "매물Link")</f>
        <v/>
      </c>
      <c r="M1434" s="6">
        <f>HYPERLINK("https://map.naver.com/p/search/집현동 1244", "지도Link")</f>
        <v/>
      </c>
      <c r="N1434" s="6">
        <f>HYPERLINK("http://www.eum.go.kr/web/ar/lu/luLandDet.jsp?pnu=3611011800112440000&amp;isNoScr=script&amp;mode=search", "토지이음")</f>
        <v/>
      </c>
      <c r="O1434" s="3" t="inlineStr">
        <is>
          <t>세종무지개</t>
        </is>
      </c>
      <c r="P1434" s="4" t="n">
        <v>1</v>
      </c>
      <c r="Q1434" s="4" t="n">
        <v>323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소로각지</t>
        </is>
      </c>
    </row>
    <row r="1435">
      <c r="A1435" s="3" t="inlineStr">
        <is>
          <t>집현동 1281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160000</v>
      </c>
      <c r="G1435" s="4" t="n">
        <v>521</v>
      </c>
      <c r="H1435" s="4" t="n">
        <v>158</v>
      </c>
      <c r="I1435" s="5" t="n">
        <v>1012.7</v>
      </c>
      <c r="J1435" s="5" t="n">
        <v>320.7</v>
      </c>
      <c r="K1435" s="3" t="inlineStr">
        <is>
          <t>집현동 자이아파트 맞은편 횡단보도 앞 근생용지</t>
        </is>
      </c>
      <c r="L1435" s="6">
        <f>HYPERLINK("https://fin.land.naver.com/articles/2649329293", "매물Link")</f>
        <v/>
      </c>
      <c r="M1435" s="6">
        <f>HYPERLINK("https://map.naver.com/p/search/집현동 1281", "지도Link")</f>
        <v/>
      </c>
      <c r="N1435" s="6">
        <f>HYPERLINK("http://www.eum.go.kr/web/ar/lu/luLandDet.jsp?pnu=3611011800112810000&amp;isNoScr=script&amp;mode=search", "토지이음")</f>
        <v/>
      </c>
      <c r="O1435" s="3" t="inlineStr">
        <is>
          <t>국제</t>
        </is>
      </c>
      <c r="P1435" s="4" t="n">
        <v>2</v>
      </c>
      <c r="Q1435" s="4" t="n">
        <v>520.5</v>
      </c>
      <c r="R1435" s="3" t="inlineStr">
        <is>
          <t>지정되지않음</t>
        </is>
      </c>
      <c r="S1435" s="3" t="inlineStr">
        <is>
          <t>상업나지</t>
        </is>
      </c>
      <c r="T1435" s="3" t="inlineStr">
        <is>
          <t>평지</t>
        </is>
      </c>
      <c r="U1435" s="3" t="inlineStr">
        <is>
          <t>정방형</t>
        </is>
      </c>
      <c r="V1435" s="3" t="inlineStr">
        <is>
          <t>광대소각</t>
        </is>
      </c>
    </row>
    <row r="1436">
      <c r="A1436" s="3" t="inlineStr">
        <is>
          <t>집현동 1303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45000</v>
      </c>
      <c r="G1436" s="4" t="n">
        <v>308</v>
      </c>
      <c r="H1436" s="4" t="n">
        <v>93</v>
      </c>
      <c r="I1436" s="5" t="n">
        <v>483.9</v>
      </c>
      <c r="J1436" s="5" t="n">
        <v>268.2</v>
      </c>
      <c r="K1436" s="3" t="inlineStr">
        <is>
          <t>D2 남향 보행로접 조율가능</t>
        </is>
      </c>
      <c r="L1436" s="6">
        <f>HYPERLINK("https://fin.land.naver.com/articles/2650653318", "매물Link")</f>
        <v/>
      </c>
      <c r="M1436" s="6">
        <f>HYPERLINK("https://map.naver.com/p/search/집현동 1303", "지도Link")</f>
        <v/>
      </c>
      <c r="N1436" s="6">
        <f>HYPERLINK("http://www.eum.go.kr/web/ar/lu/luLandDet.jsp?pnu=3611011800113030000&amp;isNoScr=script&amp;mode=search", "토지이음")</f>
        <v/>
      </c>
      <c r="O1436" s="3" t="inlineStr">
        <is>
          <t>세종스타</t>
        </is>
      </c>
      <c r="P1436" s="4" t="n">
        <v>1</v>
      </c>
      <c r="Q1436" s="4" t="n">
        <v>308.7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집현동 1304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47000</v>
      </c>
      <c r="G1437" s="4" t="n">
        <v>309</v>
      </c>
      <c r="H1437" s="4" t="n">
        <v>93</v>
      </c>
      <c r="I1437" s="5" t="n">
        <v>505.4</v>
      </c>
      <c r="J1437" s="5" t="n">
        <v>268.2</v>
      </c>
      <c r="K1437" s="3" t="inlineStr">
        <is>
          <t>명성공인, 전용93, 집현동 택지 추천 매물</t>
        </is>
      </c>
      <c r="L1437" s="6">
        <f>HYPERLINK("https://fin.land.naver.com/articles/2648044957", "매물Link")</f>
        <v/>
      </c>
      <c r="M1437" s="6">
        <f>HYPERLINK("https://map.naver.com/p/search/집현동 1304", "지도Link")</f>
        <v/>
      </c>
      <c r="N1437" s="6">
        <f>HYPERLINK("http://www.eum.go.kr/web/ar/lu/luLandDet.jsp?pnu=3611011800113040000&amp;isNoScr=script&amp;mode=search", "토지이음")</f>
        <v/>
      </c>
      <c r="O1437" s="3" t="inlineStr">
        <is>
          <t>명성</t>
        </is>
      </c>
      <c r="P1437" s="4" t="n">
        <v>1</v>
      </c>
      <c r="Q1437" s="4" t="n">
        <v>308.7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집현동 1310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37000</v>
      </c>
      <c r="G1438" s="4" t="n">
        <v>279</v>
      </c>
      <c r="H1438" s="4" t="n">
        <v>84</v>
      </c>
      <c r="I1438" s="5" t="n">
        <v>440.5</v>
      </c>
      <c r="J1438" s="5" t="n">
        <v>265.5</v>
      </c>
      <c r="K1438" s="3" t="inlineStr">
        <is>
          <t>급매 D2 남북트인위치 남향 건축가능</t>
        </is>
      </c>
      <c r="L1438" s="6">
        <f>HYPERLINK("https://fin.land.naver.com/articles/2649617809", "매물Link")</f>
        <v/>
      </c>
      <c r="M1438" s="6">
        <f>HYPERLINK("https://map.naver.com/p/search/집현동 1310", "지도Link")</f>
        <v/>
      </c>
      <c r="N1438" s="6">
        <f>HYPERLINK("http://www.eum.go.kr/web/ar/lu/luLandDet.jsp?pnu=3611011800113100000&amp;isNoScr=script&amp;mode=search", "토지이음")</f>
        <v/>
      </c>
      <c r="O1438" s="3" t="inlineStr">
        <is>
          <t>세종스타</t>
        </is>
      </c>
      <c r="P1438" s="4" t="n">
        <v>2</v>
      </c>
      <c r="Q1438" s="4" t="n">
        <v>279.8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소로한면</t>
        </is>
      </c>
    </row>
    <row r="1439">
      <c r="A1439" s="3" t="inlineStr">
        <is>
          <t>집현동 1313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52000</v>
      </c>
      <c r="G1439" s="4" t="n">
        <v>284</v>
      </c>
      <c r="H1439" s="4" t="n">
        <v>86</v>
      </c>
      <c r="I1439" s="5" t="n">
        <v>604.7</v>
      </c>
      <c r="J1439" s="5" t="n">
        <v>265.5</v>
      </c>
      <c r="K1439" s="3" t="inlineStr">
        <is>
          <t>앞,뒤 양면도로 접한 남향필지</t>
        </is>
      </c>
      <c r="L1439" s="6">
        <f>HYPERLINK("https://fin.land.naver.com/articles/2649762430", "매물Link")</f>
        <v/>
      </c>
      <c r="M1439" s="6">
        <f>HYPERLINK("https://map.naver.com/p/search/집현동 1313", "지도Link")</f>
        <v/>
      </c>
      <c r="N1439" s="6">
        <f>HYPERLINK("http://www.eum.go.kr/web/ar/lu/luLandDet.jsp?pnu=3611011800113130000&amp;isNoScr=script&amp;mode=search", "토지이음")</f>
        <v/>
      </c>
      <c r="O1439" s="3" t="inlineStr">
        <is>
          <t>킹세종</t>
        </is>
      </c>
      <c r="P1439" s="4" t="n">
        <v>1</v>
      </c>
      <c r="Q1439" s="4" t="n">
        <v>284.8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집현동 1337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55000</v>
      </c>
      <c r="G1440" s="4" t="n">
        <v>357</v>
      </c>
      <c r="H1440" s="4" t="n">
        <v>108</v>
      </c>
      <c r="I1440" s="5" t="n">
        <v>509.3</v>
      </c>
      <c r="J1440" s="5" t="n">
        <v>276</v>
      </c>
      <c r="K1440" s="3" t="inlineStr">
        <is>
          <t>코너자리로 위치좋은 단독택지 가격조정가능</t>
        </is>
      </c>
      <c r="L1440" s="6">
        <f>HYPERLINK("https://fin.land.naver.com/articles/2648981730", "매물Link")</f>
        <v/>
      </c>
      <c r="M1440" s="6">
        <f>HYPERLINK("https://map.naver.com/p/search/집현동 1337", "지도Link")</f>
        <v/>
      </c>
      <c r="N1440" s="6">
        <f>HYPERLINK("http://www.eum.go.kr/web/ar/lu/luLandDet.jsp?pnu=3611011800113370000&amp;isNoScr=script&amp;mode=search", "토지이음")</f>
        <v/>
      </c>
      <c r="O1440" s="3" t="inlineStr">
        <is>
          <t>고운동리치세종</t>
        </is>
      </c>
      <c r="P1440" s="4" t="n">
        <v>1</v>
      </c>
      <c r="Q1440" s="4" t="n">
        <v>357.7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가로장방</t>
        </is>
      </c>
      <c r="V1440" s="3" t="inlineStr">
        <is>
          <t>소로각지</t>
        </is>
      </c>
    </row>
    <row r="1441">
      <c r="A1441" s="3" t="inlineStr">
        <is>
          <t>집현동 1343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60000</v>
      </c>
      <c r="G1441" s="4" t="n">
        <v>390</v>
      </c>
      <c r="H1441" s="4" t="n">
        <v>118</v>
      </c>
      <c r="I1441" s="5" t="n">
        <v>508.5</v>
      </c>
      <c r="J1441" s="5" t="n">
        <v>278.9</v>
      </c>
      <c r="K1441" s="3" t="inlineStr">
        <is>
          <t>탁트인 공원조망 위치최상 왼쪽시유지접 지대높음</t>
        </is>
      </c>
      <c r="L1441" s="6">
        <f>HYPERLINK("https://fin.land.naver.com/articles/2650653242", "매물Link")</f>
        <v/>
      </c>
      <c r="M1441" s="6">
        <f>HYPERLINK("https://map.naver.com/p/search/집현동 1343", "지도Link")</f>
        <v/>
      </c>
      <c r="N1441" s="6">
        <f>HYPERLINK("http://www.eum.go.kr/web/ar/lu/luLandDet.jsp?pnu=3611011800113430000&amp;isNoScr=script&amp;mode=search", "토지이음")</f>
        <v/>
      </c>
      <c r="O1441" s="3" t="inlineStr">
        <is>
          <t>세종스타</t>
        </is>
      </c>
      <c r="P1441" s="4" t="n">
        <v>1</v>
      </c>
      <c r="Q1441" s="4" t="n">
        <v>390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소로각지</t>
        </is>
      </c>
    </row>
    <row r="1442">
      <c r="A1442" s="3" t="inlineStr">
        <is>
          <t>집현동 1348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55000</v>
      </c>
      <c r="G1442" s="4" t="n">
        <v>414</v>
      </c>
      <c r="H1442" s="4" t="n">
        <v>125</v>
      </c>
      <c r="I1442" s="5" t="n">
        <v>440</v>
      </c>
      <c r="J1442" s="5" t="n">
        <v>278.9</v>
      </c>
      <c r="K1442" s="3" t="inlineStr">
        <is>
          <t>코너 넓은평수 시유지접 조율가능</t>
        </is>
      </c>
      <c r="L1442" s="6">
        <f>HYPERLINK("https://fin.land.naver.com/articles/2650653389", "매물Link")</f>
        <v/>
      </c>
      <c r="M1442" s="6">
        <f>HYPERLINK("https://map.naver.com/p/search/집현동 1348", "지도Link")</f>
        <v/>
      </c>
      <c r="N1442" s="6">
        <f>HYPERLINK("http://www.eum.go.kr/web/ar/lu/luLandDet.jsp?pnu=3611011800113480000&amp;isNoScr=script&amp;mode=search", "토지이음")</f>
        <v/>
      </c>
      <c r="O1442" s="3" t="inlineStr">
        <is>
          <t>세종스타</t>
        </is>
      </c>
      <c r="P1442" s="4" t="n">
        <v>2</v>
      </c>
      <c r="Q1442" s="4" t="n">
        <v>414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가로장방</t>
        </is>
      </c>
      <c r="V1442" s="3" t="inlineStr">
        <is>
          <t>소로각지</t>
        </is>
      </c>
    </row>
    <row r="1443">
      <c r="A1443" s="3" t="inlineStr">
        <is>
          <t>한솔동 1000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40500</v>
      </c>
      <c r="G1443" s="4" t="n">
        <v>277</v>
      </c>
      <c r="H1443" s="4" t="n">
        <v>84</v>
      </c>
      <c r="I1443" s="5" t="n">
        <v>482.1</v>
      </c>
      <c r="J1443" s="5" t="n">
        <v>314.9</v>
      </c>
      <c r="K1443" s="3" t="inlineStr">
        <is>
          <t>채광좋음 상권가깝고 뒤로 보행로접함</t>
        </is>
      </c>
      <c r="L1443" s="6">
        <f>HYPERLINK("https://fin.land.naver.com/articles/2648615386", "매물Link")</f>
        <v/>
      </c>
      <c r="M1443" s="6">
        <f>HYPERLINK("https://map.naver.com/p/search/한솔동 1000", "지도Link")</f>
        <v/>
      </c>
      <c r="N1443" s="6">
        <f>HYPERLINK("http://www.eum.go.kr/web/ar/lu/luLandDet.jsp?pnu=3611010600110000000&amp;isNoScr=script&amp;mode=search", "토지이음")</f>
        <v/>
      </c>
      <c r="O1443" s="3" t="inlineStr">
        <is>
          <t>세종스타</t>
        </is>
      </c>
      <c r="P1443" s="4" t="n">
        <v>1</v>
      </c>
      <c r="Q1443" s="4" t="n">
        <v>277.5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정방형</t>
        </is>
      </c>
      <c r="V1443" s="3" t="inlineStr">
        <is>
          <t>소로각지</t>
        </is>
      </c>
    </row>
    <row r="1444">
      <c r="A1444" s="3" t="inlineStr">
        <is>
          <t>한솔동 1000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41500</v>
      </c>
      <c r="G1444" s="4" t="n">
        <v>277</v>
      </c>
      <c r="H1444" s="4" t="n">
        <v>84</v>
      </c>
      <c r="I1444" s="5" t="n">
        <v>494</v>
      </c>
      <c r="J1444" s="5" t="n">
        <v>314.9</v>
      </c>
      <c r="K1444" s="3" t="inlineStr">
        <is>
          <t>급매, 84.1p, 삼거리 코너, 상가와 공원 인근</t>
        </is>
      </c>
      <c r="L1444" s="6">
        <f>HYPERLINK("https://fin.land.naver.com/articles/2648349468", "매물Link")</f>
        <v/>
      </c>
      <c r="M1444" s="6">
        <f>HYPERLINK("https://map.naver.com/p/search/한솔동 1000", "지도Link")</f>
        <v/>
      </c>
      <c r="N1444" s="6">
        <f>HYPERLINK("http://www.eum.go.kr/web/ar/lu/luLandDet.jsp?pnu=3611010600110000000&amp;isNoScr=script&amp;mode=search",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277.5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정방형</t>
        </is>
      </c>
      <c r="V1444" s="3" t="inlineStr">
        <is>
          <t>소로각지</t>
        </is>
      </c>
    </row>
    <row r="1445">
      <c r="A1445" s="3" t="inlineStr">
        <is>
          <t>한솔동 1000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41500</v>
      </c>
      <c r="G1445" s="4" t="n">
        <v>275</v>
      </c>
      <c r="H1445" s="4" t="n">
        <v>83</v>
      </c>
      <c r="I1445" s="5" t="n">
        <v>500</v>
      </c>
      <c r="J1445" s="5" t="n">
        <v>314.9</v>
      </c>
      <c r="K1445" s="3" t="inlineStr">
        <is>
          <t>급매, 총 84.1p, 삼거리 코너 토지</t>
        </is>
      </c>
      <c r="L1445" s="6">
        <f>HYPERLINK("https://fin.land.naver.com/articles/2646696153", "매물Link")</f>
        <v/>
      </c>
      <c r="M1445" s="6">
        <f>HYPERLINK("https://map.naver.com/p/search/한솔동 1000", "지도Link")</f>
        <v/>
      </c>
      <c r="N1445" s="6">
        <f>HYPERLINK("http://www.eum.go.kr/web/ar/lu/luLandDet.jsp?pnu=3611010600110000000&amp;isNoScr=script&amp;mode=search", "토지이음")</f>
        <v/>
      </c>
      <c r="O1445" s="3" t="inlineStr">
        <is>
          <t>세종무지개</t>
        </is>
      </c>
      <c r="P1445" s="4" t="n">
        <v>1</v>
      </c>
      <c r="Q1445" s="4" t="n">
        <v>277.5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정방형</t>
        </is>
      </c>
      <c r="V1445" s="3" t="inlineStr">
        <is>
          <t>소로각지</t>
        </is>
      </c>
    </row>
    <row r="1446">
      <c r="A1446" s="3" t="inlineStr">
        <is>
          <t>한솔동 1006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62000</v>
      </c>
      <c r="G1446" s="4" t="n">
        <v>394</v>
      </c>
      <c r="H1446" s="4" t="n">
        <v>119</v>
      </c>
      <c r="I1446" s="5" t="n">
        <v>521</v>
      </c>
      <c r="J1446" s="5" t="n">
        <v>314.9</v>
      </c>
      <c r="K1446" s="3" t="inlineStr">
        <is>
          <t>총 119.7p, 대형면적 단독주택토지, 한솔초.중.고 인접</t>
        </is>
      </c>
      <c r="L1446" s="6">
        <f>HYPERLINK("https://fin.land.naver.com/articles/2648349379", "매물Link")</f>
        <v/>
      </c>
      <c r="M1446" s="6">
        <f>HYPERLINK("https://map.naver.com/p/search/한솔동 1006", "지도Link")</f>
        <v/>
      </c>
      <c r="N1446" s="6">
        <f>HYPERLINK("http://www.eum.go.kr/web/ar/lu/luLandDet.jsp?pnu=3611010600110060000&amp;isNoScr=script&amp;mode=search", "토지이음")</f>
        <v/>
      </c>
      <c r="O1446" s="3" t="inlineStr">
        <is>
          <t>명진</t>
        </is>
      </c>
      <c r="P1446" s="4" t="n">
        <v>1</v>
      </c>
      <c r="Q1446" s="4" t="n">
        <v>394.9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정방형</t>
        </is>
      </c>
      <c r="V1446" s="3" t="inlineStr">
        <is>
          <t>소로각지</t>
        </is>
      </c>
    </row>
    <row r="1447">
      <c r="A1447" s="3" t="inlineStr">
        <is>
          <t>한솔동 1006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62000</v>
      </c>
      <c r="G1447" s="4" t="n">
        <v>394</v>
      </c>
      <c r="H1447" s="4" t="n">
        <v>119</v>
      </c>
      <c r="I1447" s="5" t="n">
        <v>521</v>
      </c>
      <c r="J1447" s="5" t="n">
        <v>314.9</v>
      </c>
      <c r="K1447" s="3" t="inlineStr">
        <is>
          <t>단독주택 토지, 학군인접</t>
        </is>
      </c>
      <c r="L1447" s="6">
        <f>HYPERLINK("https://fin.land.naver.com/articles/2646690148", "매물Link")</f>
        <v/>
      </c>
      <c r="M1447" s="6">
        <f>HYPERLINK("https://map.naver.com/p/search/한솔동 1006", "지도Link")</f>
        <v/>
      </c>
      <c r="N1447" s="6">
        <f>HYPERLINK("http://www.eum.go.kr/web/ar/lu/luLandDet.jsp?pnu=3611010600110060000&amp;isNoScr=script&amp;mode=search", "토지이음")</f>
        <v/>
      </c>
      <c r="O1447" s="3" t="inlineStr">
        <is>
          <t>세종무지개</t>
        </is>
      </c>
      <c r="P1447" s="4" t="n">
        <v>1</v>
      </c>
      <c r="Q1447" s="4" t="n">
        <v>394.9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정방형</t>
        </is>
      </c>
      <c r="V1447" s="3" t="inlineStr">
        <is>
          <t>소로각지</t>
        </is>
      </c>
    </row>
    <row r="1448">
      <c r="A1448" s="3" t="inlineStr">
        <is>
          <t>한솔동 1007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62000</v>
      </c>
      <c r="G1448" s="4" t="n">
        <v>395</v>
      </c>
      <c r="H1448" s="4" t="n">
        <v>119</v>
      </c>
      <c r="I1448" s="5" t="n">
        <v>521</v>
      </c>
      <c r="J1448" s="5" t="n">
        <v>302.8</v>
      </c>
      <c r="K1448" s="3" t="inlineStr">
        <is>
          <t>조정가능 한솔초중고 이마트 코스트코 인근 단독 주택지</t>
        </is>
      </c>
      <c r="L1448" s="6">
        <f>HYPERLINK("https://fin.land.naver.com/articles/2649609420", "매물Link")</f>
        <v/>
      </c>
      <c r="M1448" s="6">
        <f>HYPERLINK("https://map.naver.com/p/search/한솔동 1007", "지도Link")</f>
        <v/>
      </c>
      <c r="N1448" s="6">
        <f>HYPERLINK("http://www.eum.go.kr/web/ar/lu/luLandDet.jsp?pnu=3611010600110070000&amp;isNoScr=script&amp;mode=search", "토지이음")</f>
        <v/>
      </c>
      <c r="O1448" s="3" t="inlineStr">
        <is>
          <t>그래그</t>
        </is>
      </c>
      <c r="P1448" s="4" t="n">
        <v>1</v>
      </c>
      <c r="Q1448" s="4" t="n">
        <v>395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소로한면</t>
        </is>
      </c>
    </row>
    <row r="1449">
      <c r="A1449" s="3" t="inlineStr">
        <is>
          <t>한솔동 1010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50000</v>
      </c>
      <c r="G1449" s="4" t="n">
        <v>317</v>
      </c>
      <c r="H1449" s="4" t="n">
        <v>96</v>
      </c>
      <c r="I1449" s="5" t="n">
        <v>520.8</v>
      </c>
      <c r="J1449" s="5" t="n">
        <v>302.8</v>
      </c>
      <c r="K1449" s="3" t="inlineStr">
        <is>
          <t>급매 추가조율가능 한솔동D3택지</t>
        </is>
      </c>
      <c r="L1449" s="6">
        <f>HYPERLINK("https://fin.land.naver.com/articles/2649812151", "매물Link")</f>
        <v/>
      </c>
      <c r="M1449" s="6">
        <f>HYPERLINK("https://map.naver.com/p/search/한솔동 1010", "지도Link")</f>
        <v/>
      </c>
      <c r="N1449" s="6">
        <f>HYPERLINK("http://www.eum.go.kr/web/ar/lu/luLandDet.jsp?pnu=3611010600110100000&amp;isNoScr=script&amp;mode=search", "토지이음")</f>
        <v/>
      </c>
      <c r="O1449" s="3" t="inlineStr">
        <is>
          <t>세종스타</t>
        </is>
      </c>
      <c r="P1449" s="4" t="n">
        <v>1</v>
      </c>
      <c r="Q1449" s="4" t="n">
        <v>317.1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소로한면</t>
        </is>
      </c>
    </row>
    <row r="1450">
      <c r="A1450" s="3" t="inlineStr">
        <is>
          <t>한솔동 1033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51000</v>
      </c>
      <c r="G1450" s="4" t="n">
        <v>302</v>
      </c>
      <c r="H1450" s="4" t="n">
        <v>91</v>
      </c>
      <c r="I1450" s="5" t="n">
        <v>560.4</v>
      </c>
      <c r="J1450" s="5" t="n">
        <v>314.9</v>
      </c>
      <c r="K1450" s="3" t="inlineStr">
        <is>
          <t>네모 반듯한  내 집 지을 예쁜  토지.주변 인프라 좋음</t>
        </is>
      </c>
      <c r="L1450" s="6">
        <f>HYPERLINK("https://fin.land.naver.com/articles/2650388988", "매물Link")</f>
        <v/>
      </c>
      <c r="M1450" s="6">
        <f>HYPERLINK("https://map.naver.com/p/search/한솔동 1033", "지도Link")</f>
        <v/>
      </c>
      <c r="N1450" s="6">
        <f>HYPERLINK("http://www.eum.go.kr/web/ar/lu/luLandDet.jsp?pnu=3611010600110330000&amp;isNoScr=script&amp;mode=search", "토지이음")</f>
        <v/>
      </c>
      <c r="O1450" s="3" t="inlineStr">
        <is>
          <t>석촌</t>
        </is>
      </c>
      <c r="P1450" s="4" t="n">
        <v>1</v>
      </c>
      <c r="Q1450" s="4" t="n">
        <v>302.1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정방형</t>
        </is>
      </c>
      <c r="V1450" s="3" t="inlineStr">
        <is>
          <t>소로각지</t>
        </is>
      </c>
    </row>
    <row r="1451">
      <c r="A1451" s="3" t="inlineStr">
        <is>
          <t>한솔동 1036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55000</v>
      </c>
      <c r="G1451" s="4" t="n">
        <v>403</v>
      </c>
      <c r="H1451" s="4" t="n">
        <v>122</v>
      </c>
      <c r="I1451" s="5" t="n">
        <v>450.8</v>
      </c>
      <c r="J1451" s="5" t="n">
        <v>290.7</v>
      </c>
      <c r="K1451" s="3" t="inlineStr">
        <is>
          <t>가격 좋은 넓은 평형 토지매매, 조율도 가능</t>
        </is>
      </c>
      <c r="L1451" s="6">
        <f>HYPERLINK("https://fin.land.naver.com/articles/2650427563", "매물Link")</f>
        <v/>
      </c>
      <c r="M1451" s="6">
        <f>HYPERLINK("https://map.naver.com/p/search/한솔동 1036", "지도Link")</f>
        <v/>
      </c>
      <c r="N1451" s="6">
        <f>HYPERLINK("http://www.eum.go.kr/web/ar/lu/luLandDet.jsp?pnu=3611010600110360000&amp;isNoScr=script&amp;mode=search", "토지이음")</f>
        <v/>
      </c>
      <c r="O1451" s="3" t="inlineStr">
        <is>
          <t>세종무지개</t>
        </is>
      </c>
      <c r="P1451" s="4" t="n">
        <v>1</v>
      </c>
      <c r="Q1451" s="4" t="n">
        <v>405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자루형</t>
        </is>
      </c>
      <c r="V1451" s="3" t="inlineStr">
        <is>
          <t>소로한면</t>
        </is>
      </c>
    </row>
    <row r="1452">
      <c r="A1452" s="3" t="inlineStr">
        <is>
          <t>한솔동 1059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50000</v>
      </c>
      <c r="G1452" s="4" t="n">
        <v>312</v>
      </c>
      <c r="H1452" s="4" t="n">
        <v>94</v>
      </c>
      <c r="I1452" s="5" t="n">
        <v>531.9</v>
      </c>
      <c r="J1452" s="5" t="n">
        <v>373.6</v>
      </c>
      <c r="K1452" s="3" t="inlineStr">
        <is>
          <t>상가 및 대중교통 이용 편리한 위치,근린공원 근접</t>
        </is>
      </c>
      <c r="L1452" s="6">
        <f>HYPERLINK("https://fin.land.naver.com/articles/2647781186", "매물Link")</f>
        <v/>
      </c>
      <c r="M1452" s="6">
        <f>HYPERLINK("https://map.naver.com/p/search/한솔동 1059", "지도Link")</f>
        <v/>
      </c>
      <c r="N1452" s="6">
        <f>HYPERLINK("http://www.eum.go.kr/web/ar/lu/luLandDet.jsp?pnu=3611010600110590000&amp;isNoScr=script&amp;mode=search", "토지이음")</f>
        <v/>
      </c>
      <c r="O1452" s="3" t="inlineStr">
        <is>
          <t>현대파라곤</t>
        </is>
      </c>
      <c r="P1452" s="4" t="n">
        <v>2</v>
      </c>
      <c r="Q1452" s="4" t="n">
        <v>312.4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소로한면</t>
        </is>
      </c>
    </row>
    <row r="1453">
      <c r="A1453" s="3" t="inlineStr">
        <is>
          <t>한솔동 1080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59000</v>
      </c>
      <c r="G1453" s="4" t="n">
        <v>301</v>
      </c>
      <c r="H1453" s="4" t="n">
        <v>91</v>
      </c>
      <c r="I1453" s="5" t="n">
        <v>648.4</v>
      </c>
      <c r="J1453" s="5" t="n">
        <v>369.3</v>
      </c>
      <c r="K1453" s="3" t="inlineStr">
        <is>
          <t>총 91.2p, 한솔동 전원주택지, 위치좋은 토지</t>
        </is>
      </c>
      <c r="L1453" s="6">
        <f>HYPERLINK("https://fin.land.naver.com/articles/2648904535", "매물Link")</f>
        <v/>
      </c>
      <c r="M1453" s="6">
        <f>HYPERLINK("https://map.naver.com/p/search/한솔동 1080", "지도Link")</f>
        <v/>
      </c>
      <c r="N1453" s="6">
        <f>HYPERLINK("http://www.eum.go.kr/web/ar/lu/luLandDet.jsp?pnu=3611010600110800000&amp;isNoScr=script&amp;mode=search", "토지이음")</f>
        <v/>
      </c>
      <c r="O1453" s="3" t="inlineStr">
        <is>
          <t>명진</t>
        </is>
      </c>
      <c r="P1453" s="4" t="n">
        <v>1</v>
      </c>
      <c r="Q1453" s="4" t="n">
        <v>301.1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한솔동 1080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59000</v>
      </c>
      <c r="G1454" s="4" t="n">
        <v>301</v>
      </c>
      <c r="H1454" s="4" t="n">
        <v>91</v>
      </c>
      <c r="I1454" s="5" t="n">
        <v>648.4</v>
      </c>
      <c r="J1454" s="5" t="n">
        <v>369.3</v>
      </c>
      <c r="K1454" s="3" t="inlineStr">
        <is>
          <t>총 91.2p, 근린공원인근, 조율가능</t>
        </is>
      </c>
      <c r="L1454" s="6">
        <f>HYPERLINK("https://fin.land.naver.com/articles/2646690642", "매물Link")</f>
        <v/>
      </c>
      <c r="M1454" s="6">
        <f>HYPERLINK("https://map.naver.com/p/search/한솔동 1080", "지도Link")</f>
        <v/>
      </c>
      <c r="N1454" s="6">
        <f>HYPERLINK("http://www.eum.go.kr/web/ar/lu/luLandDet.jsp?pnu=3611010600110800000&amp;isNoScr=script&amp;mode=search", "토지이음")</f>
        <v/>
      </c>
      <c r="O1454" s="3" t="inlineStr">
        <is>
          <t>세종무지개</t>
        </is>
      </c>
      <c r="P1454" s="4" t="n">
        <v>1</v>
      </c>
      <c r="Q1454" s="4" t="n">
        <v>301.1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한솔동 1086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60000</v>
      </c>
      <c r="G1455" s="4" t="n">
        <v>302</v>
      </c>
      <c r="H1455" s="4" t="n">
        <v>91</v>
      </c>
      <c r="I1455" s="5" t="n">
        <v>659.3</v>
      </c>
      <c r="J1455" s="5" t="n">
        <v>377.2</v>
      </c>
      <c r="K1455" s="3" t="inlineStr">
        <is>
          <t>황제급매 즉시신축 핵심시설 어울린 전원주택 먼곳 찾을필요 없을것 같아요</t>
        </is>
      </c>
      <c r="L1455" s="6">
        <f>HYPERLINK("https://fin.land.naver.com/articles/2649269011", "매물Link")</f>
        <v/>
      </c>
      <c r="M1455" s="6">
        <f>HYPERLINK("https://map.naver.com/p/search/한솔동 1086", "지도Link")</f>
        <v/>
      </c>
      <c r="N1455" s="6">
        <f>HYPERLINK("http://www.eum.go.kr/web/ar/lu/luLandDet.jsp?pnu=3611010600110860000&amp;isNoScr=script&amp;mode=search", "토지이음")</f>
        <v/>
      </c>
      <c r="O1455" s="3" t="inlineStr">
        <is>
          <t>삼성래미안</t>
        </is>
      </c>
      <c r="P1455" s="4" t="n">
        <v>2</v>
      </c>
      <c r="Q1455" s="4" t="n">
        <v>302.9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소로한면</t>
        </is>
      </c>
    </row>
    <row r="1456">
      <c r="A1456" s="3" t="inlineStr">
        <is>
          <t>한솔동 1087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85000</v>
      </c>
      <c r="G1456" s="4" t="n">
        <v>303</v>
      </c>
      <c r="H1456" s="4" t="n">
        <v>92</v>
      </c>
      <c r="I1456" s="5" t="n">
        <v>923.9</v>
      </c>
      <c r="J1456" s="5" t="n">
        <v>377.2</v>
      </c>
      <c r="K1456" s="3" t="inlineStr">
        <is>
          <t>한솔동, 단독주택지 토지매매</t>
        </is>
      </c>
      <c r="L1456" s="6">
        <f>HYPERLINK("https://fin.land.naver.com/articles/2649875547", "매물Link")</f>
        <v/>
      </c>
      <c r="M1456" s="6">
        <f>HYPERLINK("https://map.naver.com/p/search/한솔동 1087", "지도Link")</f>
        <v/>
      </c>
      <c r="N1456" s="6">
        <f>HYPERLINK("http://www.eum.go.kr/web/ar/lu/luLandDet.jsp?pnu=3611010600110870000&amp;isNoScr=script&amp;mode=search", "토지이음")</f>
        <v/>
      </c>
      <c r="O1456" s="3" t="inlineStr">
        <is>
          <t>명진</t>
        </is>
      </c>
      <c r="P1456" s="4" t="n">
        <v>1</v>
      </c>
      <c r="Q1456" s="4" t="n">
        <v>303.9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소로한면</t>
        </is>
      </c>
    </row>
    <row r="1457">
      <c r="A1457" s="3" t="inlineStr">
        <is>
          <t>한솔동 1098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80000</v>
      </c>
      <c r="G1457" s="4" t="n">
        <v>314</v>
      </c>
      <c r="H1457" s="4" t="n">
        <v>95</v>
      </c>
      <c r="I1457" s="5" t="n">
        <v>842.1</v>
      </c>
      <c r="J1457" s="5" t="n">
        <v>373.6</v>
      </c>
      <c r="K1457" s="3" t="inlineStr">
        <is>
          <t>95.4p, 삼거리코너 맞은편, 새뜸1단지 앞 단독주택 토지</t>
        </is>
      </c>
      <c r="L1457" s="6">
        <f>HYPERLINK("https://fin.land.naver.com/articles/2649004548", "매물Link")</f>
        <v/>
      </c>
      <c r="M1457" s="6">
        <f>HYPERLINK("https://map.naver.com/p/search/한솔동 1098", "지도Link")</f>
        <v/>
      </c>
      <c r="N1457" s="6">
        <f>HYPERLINK("http://www.eum.go.kr/web/ar/lu/luLandDet.jsp?pnu=3611010600110980000&amp;isNoScr=script&amp;mode=search", "토지이음")</f>
        <v/>
      </c>
      <c r="O1457" s="3" t="inlineStr">
        <is>
          <t>명진</t>
        </is>
      </c>
      <c r="P1457" s="4" t="n">
        <v>1</v>
      </c>
      <c r="Q1457" s="4" t="n">
        <v>314.9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소로한면</t>
        </is>
      </c>
    </row>
    <row r="1458">
      <c r="A1458" s="3" t="inlineStr">
        <is>
          <t>한솔동 1098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80000</v>
      </c>
      <c r="G1458" s="4" t="n">
        <v>314</v>
      </c>
      <c r="H1458" s="4" t="n">
        <v>95</v>
      </c>
      <c r="I1458" s="5" t="n">
        <v>842.1</v>
      </c>
      <c r="J1458" s="5" t="n">
        <v>373.6</v>
      </c>
      <c r="K1458" s="3" t="inlineStr">
        <is>
          <t>삼거리 코너입지, 한솔동 단독주택지</t>
        </is>
      </c>
      <c r="L1458" s="6">
        <f>HYPERLINK("https://fin.land.naver.com/articles/2650427968", "매물Link")</f>
        <v/>
      </c>
      <c r="M1458" s="6">
        <f>HYPERLINK("https://map.naver.com/p/search/한솔동 1098", "지도Link")</f>
        <v/>
      </c>
      <c r="N1458" s="6">
        <f>HYPERLINK("http://www.eum.go.kr/web/ar/lu/luLandDet.jsp?pnu=3611010600110980000&amp;isNoScr=script&amp;mode=search", "토지이음")</f>
        <v/>
      </c>
      <c r="O1458" s="3" t="inlineStr">
        <is>
          <t>세종무지개</t>
        </is>
      </c>
      <c r="P1458" s="4" t="n">
        <v>1</v>
      </c>
      <c r="Q1458" s="4" t="n">
        <v>314.9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한솔동 1098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80000</v>
      </c>
      <c r="G1459" s="4" t="n">
        <v>314</v>
      </c>
      <c r="H1459" s="4" t="n">
        <v>95</v>
      </c>
      <c r="I1459" s="5" t="n">
        <v>842.1</v>
      </c>
      <c r="J1459" s="5" t="n">
        <v>373.6</v>
      </c>
      <c r="K1459" s="3" t="inlineStr">
        <is>
          <t>조건 파격조율가능 도심속전원 시내 시외 진출입편리 이곳은 엘도라도입니다</t>
        </is>
      </c>
      <c r="L1459" s="6">
        <f>HYPERLINK("https://fin.land.naver.com/articles/2648082909", "매물Link")</f>
        <v/>
      </c>
      <c r="M1459" s="6">
        <f>HYPERLINK("https://map.naver.com/p/search/한솔동 1098", "지도Link")</f>
        <v/>
      </c>
      <c r="N1459" s="6">
        <f>HYPERLINK("http://www.eum.go.kr/web/ar/lu/luLandDet.jsp?pnu=3611010600110980000&amp;isNoScr=script&amp;mode=search", "토지이음")</f>
        <v/>
      </c>
      <c r="O1459" s="3" t="inlineStr">
        <is>
          <t>세종시삼성래미안</t>
        </is>
      </c>
      <c r="P1459" s="4" t="n">
        <v>1</v>
      </c>
      <c r="Q1459" s="4" t="n">
        <v>314.9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소로한면</t>
        </is>
      </c>
    </row>
    <row r="1460">
      <c r="A1460" s="3" t="inlineStr">
        <is>
          <t>한솔동 1113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60000</v>
      </c>
      <c r="G1460" s="4" t="n">
        <v>320</v>
      </c>
      <c r="H1460" s="4" t="n">
        <v>97</v>
      </c>
      <c r="I1460" s="5" t="n">
        <v>618.6</v>
      </c>
      <c r="J1460" s="5" t="n">
        <v>373.6</v>
      </c>
      <c r="K1460" s="3" t="inlineStr">
        <is>
          <t>적극협의가능 시유지넓게접함 선호위치</t>
        </is>
      </c>
      <c r="L1460" s="6">
        <f>HYPERLINK("https://fin.land.naver.com/articles/2649812097", "매물Link")</f>
        <v/>
      </c>
      <c r="M1460" s="6">
        <f>HYPERLINK("https://map.naver.com/p/search/한솔동 1113", "지도Link")</f>
        <v/>
      </c>
      <c r="N1460" s="6">
        <f>HYPERLINK("http://www.eum.go.kr/web/ar/lu/luLandDet.jsp?pnu=3611010600111130000&amp;isNoScr=script&amp;mode=search", "토지이음")</f>
        <v/>
      </c>
      <c r="O1460" s="3" t="inlineStr">
        <is>
          <t>세종스타</t>
        </is>
      </c>
      <c r="P1460" s="4" t="n">
        <v>1</v>
      </c>
      <c r="Q1460" s="4" t="n">
        <v>320.1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한솔동 1122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80000</v>
      </c>
      <c r="G1461" s="4" t="n">
        <v>310</v>
      </c>
      <c r="H1461" s="4" t="n">
        <v>94</v>
      </c>
      <c r="I1461" s="5" t="n">
        <v>851.1</v>
      </c>
      <c r="J1461" s="5" t="n">
        <v>376.9</v>
      </c>
      <c r="K1461" s="3" t="inlineStr">
        <is>
          <t>한솔동 단독주택 토지매매</t>
        </is>
      </c>
      <c r="L1461" s="6">
        <f>HYPERLINK("https://fin.land.naver.com/articles/2650427036", "매물Link")</f>
        <v/>
      </c>
      <c r="M1461" s="6">
        <f>HYPERLINK("https://map.naver.com/p/search/한솔동 1122", "지도Link")</f>
        <v/>
      </c>
      <c r="N1461" s="6">
        <f>HYPERLINK("http://www.eum.go.kr/web/ar/lu/luLandDet.jsp?pnu=3611010600111220000&amp;isNoScr=script&amp;mode=search", "토지이음")</f>
        <v/>
      </c>
      <c r="O1461" s="3" t="inlineStr">
        <is>
          <t>세종무지개</t>
        </is>
      </c>
      <c r="P1461" s="4" t="n">
        <v>1</v>
      </c>
      <c r="Q1461" s="4" t="n">
        <v>310.1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소로한면</t>
        </is>
      </c>
    </row>
    <row r="1462">
      <c r="A1462" s="3" t="inlineStr">
        <is>
          <t>한솔동 1122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80000</v>
      </c>
      <c r="G1462" s="4" t="n">
        <v>310</v>
      </c>
      <c r="H1462" s="4" t="n">
        <v>94</v>
      </c>
      <c r="I1462" s="5" t="n">
        <v>851.1</v>
      </c>
      <c r="J1462" s="5" t="n">
        <v>376.9</v>
      </c>
      <c r="K1462" s="3" t="inlineStr">
        <is>
          <t>총 94p, 한솔동 단독주택지 토지</t>
        </is>
      </c>
      <c r="L1462" s="6">
        <f>HYPERLINK("https://fin.land.naver.com/articles/2648901069", "매물Link")</f>
        <v/>
      </c>
      <c r="M1462" s="6">
        <f>HYPERLINK("https://map.naver.com/p/search/한솔동 1122", "지도Link")</f>
        <v/>
      </c>
      <c r="N1462" s="6">
        <f>HYPERLINK("http://www.eum.go.kr/web/ar/lu/luLandDet.jsp?pnu=3611010600111220000&amp;isNoScr=script&amp;mode=search", "토지이음")</f>
        <v/>
      </c>
      <c r="O1462" s="3" t="inlineStr">
        <is>
          <t>명진</t>
        </is>
      </c>
      <c r="P1462" s="4" t="n">
        <v>1</v>
      </c>
      <c r="Q1462" s="4" t="n">
        <v>310.1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한솔동 1131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52000</v>
      </c>
      <c r="G1463" s="4" t="n">
        <v>303</v>
      </c>
      <c r="H1463" s="4" t="n">
        <v>92</v>
      </c>
      <c r="I1463" s="5" t="n">
        <v>565.2</v>
      </c>
      <c r="J1463" s="5" t="n">
        <v>391.7</v>
      </c>
      <c r="K1463" s="3" t="inlineStr">
        <is>
          <t>코너각지 주택지 추천</t>
        </is>
      </c>
      <c r="L1463" s="6">
        <f>HYPERLINK("https://fin.land.naver.com/articles/2646560933", "매물Link")</f>
        <v/>
      </c>
      <c r="M1463" s="6">
        <f>HYPERLINK("https://map.naver.com/p/search/한솔동 1131", "지도Link")</f>
        <v/>
      </c>
      <c r="N1463" s="6">
        <f>HYPERLINK("http://www.eum.go.kr/web/ar/lu/luLandDet.jsp?pnu=3611010600111310000&amp;isNoScr=script&amp;mode=search", "토지이음")</f>
        <v/>
      </c>
      <c r="O1463" s="3" t="inlineStr">
        <is>
          <t>소나무</t>
        </is>
      </c>
      <c r="P1463" s="4" t="n">
        <v>1</v>
      </c>
      <c r="Q1463" s="4" t="n">
        <v>303.8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소로각지</t>
        </is>
      </c>
    </row>
    <row r="1464">
      <c r="A1464" s="3" t="inlineStr">
        <is>
          <t>한솔동 1135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55000</v>
      </c>
      <c r="G1464" s="4" t="n">
        <v>309</v>
      </c>
      <c r="H1464" s="4" t="n">
        <v>93</v>
      </c>
      <c r="I1464" s="5" t="n">
        <v>591.4</v>
      </c>
      <c r="J1464" s="5" t="n">
        <v>376.9</v>
      </c>
      <c r="K1464" s="3" t="inlineStr">
        <is>
          <t>새롬동과 한솔동사이 경사진 단독전용 택지,협의가능</t>
        </is>
      </c>
      <c r="L1464" s="6">
        <f>HYPERLINK("https://fin.land.naver.com/articles/2647375576", "매물Link")</f>
        <v/>
      </c>
      <c r="M1464" s="6">
        <f>HYPERLINK("https://map.naver.com/p/search/한솔동 1135", "지도Link")</f>
        <v/>
      </c>
      <c r="N1464" s="6">
        <f>HYPERLINK("http://www.eum.go.kr/web/ar/lu/luLandDet.jsp?pnu=3611010600111350000&amp;isNoScr=script&amp;mode=search", "토지이음")</f>
        <v/>
      </c>
      <c r="O1464" s="3" t="inlineStr">
        <is>
          <t>세종나라</t>
        </is>
      </c>
      <c r="P1464" s="4" t="n">
        <v>3</v>
      </c>
      <c r="Q1464" s="4" t="n">
        <v>309.9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한솔동 1175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90000</v>
      </c>
      <c r="G1465" s="4" t="n">
        <v>407</v>
      </c>
      <c r="H1465" s="4" t="n">
        <v>123</v>
      </c>
      <c r="I1465" s="5" t="n">
        <v>731.7</v>
      </c>
      <c r="J1465" s="5" t="n">
        <v>389.8</v>
      </c>
      <c r="K1465" s="3" t="inlineStr">
        <is>
          <t>넓은 평형 토지매매, 한솔동</t>
        </is>
      </c>
      <c r="L1465" s="6">
        <f>HYPERLINK("https://fin.land.naver.com/articles/2650427381", "매물Link")</f>
        <v/>
      </c>
      <c r="M1465" s="6">
        <f>HYPERLINK("https://map.naver.com/p/search/한솔동 1175", "지도Link")</f>
        <v/>
      </c>
      <c r="N1465" s="6">
        <f>HYPERLINK("http://www.eum.go.kr/web/ar/lu/luLandDet.jsp?pnu=3611010600111750000&amp;isNoScr=script&amp;mode=search", "토지이음")</f>
        <v/>
      </c>
      <c r="O1465" s="3" t="inlineStr">
        <is>
          <t>세종무지개</t>
        </is>
      </c>
      <c r="P1465" s="4" t="n">
        <v>1</v>
      </c>
      <c r="Q1465" s="4" t="n">
        <v>407.1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정방형</t>
        </is>
      </c>
      <c r="V1465" s="3" t="inlineStr">
        <is>
          <t>소로한면</t>
        </is>
      </c>
    </row>
    <row r="1466">
      <c r="A1466" s="3" t="inlineStr">
        <is>
          <t>한솔동 1175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90000</v>
      </c>
      <c r="G1466" s="4" t="n">
        <v>407</v>
      </c>
      <c r="H1466" s="4" t="n">
        <v>123</v>
      </c>
      <c r="I1466" s="5" t="n">
        <v>731.7</v>
      </c>
      <c r="J1466" s="5" t="n">
        <v>389.8</v>
      </c>
      <c r="K1466" s="3" t="inlineStr">
        <is>
          <t>총 123.4p, 새뜸1단지 맞은편</t>
        </is>
      </c>
      <c r="L1466" s="6">
        <f>HYPERLINK("https://fin.land.naver.com/articles/2648127460", "매물Link")</f>
        <v/>
      </c>
      <c r="M1466" s="6">
        <f>HYPERLINK("https://map.naver.com/p/search/한솔동 1175", "지도Link")</f>
        <v/>
      </c>
      <c r="N1466" s="6">
        <f>HYPERLINK("http://www.eum.go.kr/web/ar/lu/luLandDet.jsp?pnu=3611010600111750000&amp;isNoScr=script&amp;mode=search", "토지이음")</f>
        <v/>
      </c>
      <c r="O1466" s="3" t="inlineStr">
        <is>
          <t>명진</t>
        </is>
      </c>
      <c r="P1466" s="4" t="n">
        <v>1</v>
      </c>
      <c r="Q1466" s="4" t="n">
        <v>407.1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정방형</t>
        </is>
      </c>
      <c r="V1466" s="3" t="inlineStr">
        <is>
          <t>소로한면</t>
        </is>
      </c>
    </row>
    <row r="1467">
      <c r="A1467" s="3" t="inlineStr">
        <is>
          <t>한솔동 1187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60000</v>
      </c>
      <c r="G1467" s="4" t="n">
        <v>420</v>
      </c>
      <c r="H1467" s="4" t="n">
        <v>127</v>
      </c>
      <c r="I1467" s="5" t="n">
        <v>472.4</v>
      </c>
      <c r="J1467" s="5" t="n">
        <v>391.7</v>
      </c>
      <c r="K1467" s="3" t="inlineStr">
        <is>
          <t>대형평수 코너각지 위치최상 조율협의</t>
        </is>
      </c>
      <c r="L1467" s="6">
        <f>HYPERLINK("https://fin.land.naver.com/articles/2649479860", "매물Link")</f>
        <v/>
      </c>
      <c r="M1467" s="6">
        <f>HYPERLINK("https://map.naver.com/p/search/한솔동 1187", "지도Link")</f>
        <v/>
      </c>
      <c r="N1467" s="6">
        <f>HYPERLINK("http://www.eum.go.kr/web/ar/lu/luLandDet.jsp?pnu=3611010600111870000&amp;isNoScr=script&amp;mode=search", "토지이음")</f>
        <v/>
      </c>
      <c r="O1467" s="3" t="inlineStr">
        <is>
          <t>세종스타</t>
        </is>
      </c>
      <c r="P1467" s="4" t="n">
        <v>2</v>
      </c>
      <c r="Q1467" s="4" t="n">
        <v>420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소로각지</t>
        </is>
      </c>
    </row>
    <row r="1468">
      <c r="A1468" s="3" t="inlineStr">
        <is>
          <t>한솔동 1193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65000</v>
      </c>
      <c r="G1468" s="4" t="n">
        <v>320</v>
      </c>
      <c r="H1468" s="4" t="n">
        <v>97</v>
      </c>
      <c r="I1468" s="5" t="n">
        <v>670.1</v>
      </c>
      <c r="J1468" s="5" t="n">
        <v>391.7</v>
      </c>
      <c r="K1468" s="3" t="inlineStr">
        <is>
          <t>코너위치좋은한솔동단독택지매매 가격조정가능</t>
        </is>
      </c>
      <c r="L1468" s="6">
        <f>HYPERLINK("https://fin.land.naver.com/articles/2646135502", "매물Link")</f>
        <v/>
      </c>
      <c r="M1468" s="6">
        <f>HYPERLINK("https://map.naver.com/p/search/한솔동 1193", "지도Link")</f>
        <v/>
      </c>
      <c r="N1468" s="6">
        <f>HYPERLINK("http://www.eum.go.kr/web/ar/lu/luLandDet.jsp?pnu=3611010600111930000&amp;isNoScr=script&amp;mode=search", "토지이음")</f>
        <v/>
      </c>
      <c r="O1468" s="3" t="inlineStr">
        <is>
          <t>고운동리치세종</t>
        </is>
      </c>
      <c r="P1468" s="4" t="n">
        <v>2</v>
      </c>
      <c r="Q1468" s="4" t="n">
        <v>320.1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소로각지</t>
        </is>
      </c>
    </row>
    <row r="1469">
      <c r="A1469" s="3" t="inlineStr">
        <is>
          <t>한솔동 1194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49000</v>
      </c>
      <c r="G1469" s="4" t="n">
        <v>335</v>
      </c>
      <c r="H1469" s="4" t="n">
        <v>101</v>
      </c>
      <c r="I1469" s="5" t="n">
        <v>485.1</v>
      </c>
      <c r="J1469" s="5" t="n">
        <v>376.9</v>
      </c>
      <c r="K1469" s="3" t="inlineStr">
        <is>
          <t>101p.단독택지.1분거리.학원.마트.초중고.5분.단독주택.전원주택.추천</t>
        </is>
      </c>
      <c r="L1469" s="6">
        <f>HYPERLINK("https://fin.land.naver.com/articles/2649858793", "매물Link")</f>
        <v/>
      </c>
      <c r="M1469" s="6">
        <f>HYPERLINK("https://map.naver.com/p/search/한솔동 1194", "지도Link")</f>
        <v/>
      </c>
      <c r="N1469" s="6">
        <f>HYPERLINK("http://www.eum.go.kr/web/ar/lu/luLandDet.jsp?pnu=3611010600111940000&amp;isNoScr=script&amp;mode=search", "토지이음")</f>
        <v/>
      </c>
      <c r="O1469" s="3" t="inlineStr">
        <is>
          <t>원</t>
        </is>
      </c>
      <c r="P1469" s="4" t="n">
        <v>1</v>
      </c>
      <c r="Q1469" s="4" t="n">
        <v>335.4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한솔동 1194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49000</v>
      </c>
      <c r="G1470" s="4" t="n">
        <v>335</v>
      </c>
      <c r="H1470" s="4" t="n">
        <v>101</v>
      </c>
      <c r="I1470" s="5" t="n">
        <v>485.1</v>
      </c>
      <c r="J1470" s="5" t="n">
        <v>376.9</v>
      </c>
      <c r="K1470" s="3" t="inlineStr">
        <is>
          <t>급매 추가조율가능 한솔D2 최저가 초중고도보 상권인접</t>
        </is>
      </c>
      <c r="L1470" s="6">
        <f>HYPERLINK("https://fin.land.naver.com/articles/2648979487", "매물Link")</f>
        <v/>
      </c>
      <c r="M1470" s="6">
        <f>HYPERLINK("https://map.naver.com/p/search/한솔동 1194", "지도Link")</f>
        <v/>
      </c>
      <c r="N1470" s="6">
        <f>HYPERLINK("http://www.eum.go.kr/web/ar/lu/luLandDet.jsp?pnu=3611010600111940000&amp;isNoScr=script&amp;mode=search",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335.4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한솔동 1197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75000</v>
      </c>
      <c r="G1471" s="4" t="n">
        <v>320</v>
      </c>
      <c r="H1471" s="4" t="n">
        <v>97</v>
      </c>
      <c r="I1471" s="5" t="n">
        <v>773.2</v>
      </c>
      <c r="J1471" s="5" t="n">
        <v>391.7</v>
      </c>
      <c r="K1471" s="3" t="inlineStr">
        <is>
          <t>공원앞 코너각지토지 97p 답답하지않은 위치</t>
        </is>
      </c>
      <c r="L1471" s="6">
        <f>HYPERLINK("https://fin.land.naver.com/articles/2646827225", "매물Link")</f>
        <v/>
      </c>
      <c r="M1471" s="6">
        <f>HYPERLINK("https://map.naver.com/p/search/한솔동 1197", "지도Link")</f>
        <v/>
      </c>
      <c r="N1471" s="6">
        <f>HYPERLINK("http://www.eum.go.kr/web/ar/lu/luLandDet.jsp?pnu=3611010600111970000&amp;isNoScr=script&amp;mode=search", "토지이음")</f>
        <v/>
      </c>
      <c r="O1471" s="3" t="inlineStr">
        <is>
          <t>세종365</t>
        </is>
      </c>
      <c r="P1471" s="4" t="n">
        <v>1</v>
      </c>
      <c r="Q1471" s="4" t="n">
        <v>320.4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소로각지</t>
        </is>
      </c>
    </row>
    <row r="1472">
      <c r="A1472" s="3" t="inlineStr">
        <is>
          <t>한솔동 1201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60000</v>
      </c>
      <c r="G1472" s="4" t="n">
        <v>294</v>
      </c>
      <c r="H1472" s="4" t="n">
        <v>89</v>
      </c>
      <c r="I1472" s="5" t="n">
        <v>674.2</v>
      </c>
      <c r="J1472" s="5" t="n">
        <v>376.9</v>
      </c>
      <c r="K1472" s="3" t="inlineStr">
        <is>
          <t>위치좋은 단독주택지, 직접보시면 더 좋아요</t>
        </is>
      </c>
      <c r="L1472" s="6">
        <f>HYPERLINK("https://fin.land.naver.com/articles/2649375943", "매물Link")</f>
        <v/>
      </c>
      <c r="M1472" s="6">
        <f>HYPERLINK("https://map.naver.com/p/search/한솔동 1201", "지도Link")</f>
        <v/>
      </c>
      <c r="N1472" s="6">
        <f>HYPERLINK("http://www.eum.go.kr/web/ar/lu/luLandDet.jsp?pnu=3611010600112010000&amp;isNoScr=script&amp;mode=search", "토지이음")</f>
        <v/>
      </c>
      <c r="O1472" s="3" t="inlineStr">
        <is>
          <t>리브</t>
        </is>
      </c>
      <c r="P1472" s="4" t="n">
        <v>1</v>
      </c>
      <c r="Q1472" s="4" t="n">
        <v>294.6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소로한면</t>
        </is>
      </c>
    </row>
    <row r="1473">
      <c r="A1473" s="3" t="inlineStr">
        <is>
          <t>한솔동 1207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50000</v>
      </c>
      <c r="G1473" s="4" t="n">
        <v>329</v>
      </c>
      <c r="H1473" s="4" t="n">
        <v>100</v>
      </c>
      <c r="I1473" s="5" t="n">
        <v>500</v>
      </c>
      <c r="J1473" s="5" t="n">
        <v>376.9</v>
      </c>
      <c r="K1473" s="3" t="inlineStr">
        <is>
          <t>네모 반듯한 예쁜 토지 매매, 입지 굿</t>
        </is>
      </c>
      <c r="L1473" s="6">
        <f>HYPERLINK("https://fin.land.naver.com/articles/2650893847", "매물Link")</f>
        <v/>
      </c>
      <c r="M1473" s="6">
        <f>HYPERLINK("https://map.naver.com/p/search/한솔동 1207", "지도Link")</f>
        <v/>
      </c>
      <c r="N1473" s="6">
        <f>HYPERLINK("http://www.eum.go.kr/web/ar/lu/luLandDet.jsp?pnu=3611010600112070000&amp;isNoScr=script&amp;mode=search", "토지이음")</f>
        <v/>
      </c>
      <c r="O1473" s="3" t="inlineStr">
        <is>
          <t>세종무지개</t>
        </is>
      </c>
      <c r="P1473" s="4" t="n">
        <v>1</v>
      </c>
      <c r="Q1473" s="4" t="n">
        <v>329.5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소로한면</t>
        </is>
      </c>
    </row>
    <row r="1474">
      <c r="A1474" s="3" t="inlineStr">
        <is>
          <t>한솔동 1207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50000</v>
      </c>
      <c r="G1474" s="4" t="n">
        <v>329</v>
      </c>
      <c r="H1474" s="4" t="n">
        <v>100</v>
      </c>
      <c r="I1474" s="5" t="n">
        <v>500</v>
      </c>
      <c r="J1474" s="5" t="n">
        <v>376.9</v>
      </c>
      <c r="K1474" s="3" t="inlineStr">
        <is>
          <t>인기지역 D2 땅모양좋음 조율가능</t>
        </is>
      </c>
      <c r="L1474" s="6">
        <f>HYPERLINK("https://fin.land.naver.com/articles/2650653609", "매물Link")</f>
        <v/>
      </c>
      <c r="M1474" s="6">
        <f>HYPERLINK("https://map.naver.com/p/search/한솔동 1207", "지도Link")</f>
        <v/>
      </c>
      <c r="N1474" s="6">
        <f>HYPERLINK("http://www.eum.go.kr/web/ar/lu/luLandDet.jsp?pnu=3611010600112070000&amp;isNoScr=script&amp;mode=search", "토지이음")</f>
        <v/>
      </c>
      <c r="O1474" s="3" t="inlineStr">
        <is>
          <t>세종스타</t>
        </is>
      </c>
      <c r="P1474" s="4" t="n">
        <v>1</v>
      </c>
      <c r="Q1474" s="4" t="n">
        <v>329.5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소로한면</t>
        </is>
      </c>
    </row>
    <row r="1475">
      <c r="A1475" s="3" t="inlineStr">
        <is>
          <t>한솔동 1208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45000</v>
      </c>
      <c r="G1475" s="4" t="n">
        <v>299</v>
      </c>
      <c r="H1475" s="4" t="n">
        <v>90</v>
      </c>
      <c r="I1475" s="5" t="n">
        <v>500</v>
      </c>
      <c r="J1475" s="5" t="n">
        <v>376.9</v>
      </c>
      <c r="K1475" s="3" t="inlineStr">
        <is>
          <t>nan</t>
        </is>
      </c>
      <c r="L1475" s="6">
        <f>HYPERLINK("https://fin.land.naver.com/articles/2649014156", "매물Link")</f>
        <v/>
      </c>
      <c r="M1475" s="6">
        <f>HYPERLINK("https://map.naver.com/p/search/한솔동 1208", "지도Link")</f>
        <v/>
      </c>
      <c r="N1475" s="6">
        <f>HYPERLINK("http://www.eum.go.kr/web/ar/lu/luLandDet.jsp?pnu=3611010600112080000&amp;isNoScr=script&amp;mode=search", "토지이음")</f>
        <v/>
      </c>
      <c r="O1475" s="3" t="inlineStr">
        <is>
          <t>봄마중</t>
        </is>
      </c>
      <c r="P1475" s="4" t="n">
        <v>1</v>
      </c>
      <c r="Q1475" s="4" t="n">
        <v>299.8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소로한면</t>
        </is>
      </c>
    </row>
    <row r="1476">
      <c r="A1476" s="3" t="inlineStr">
        <is>
          <t>한솔동 1211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38000</v>
      </c>
      <c r="G1476" s="4" t="n">
        <v>323</v>
      </c>
      <c r="H1476" s="4" t="n">
        <v>98</v>
      </c>
      <c r="I1476" s="5" t="n">
        <v>387.8</v>
      </c>
      <c r="J1476" s="5" t="n">
        <v>373.6</v>
      </c>
      <c r="K1476" s="3" t="inlineStr">
        <is>
          <t>급매 한솔동d2 최저가 조율가능</t>
        </is>
      </c>
      <c r="L1476" s="6">
        <f>HYPERLINK("https://fin.land.naver.com/articles/2650195191", "매물Link")</f>
        <v/>
      </c>
      <c r="M1476" s="6">
        <f>HYPERLINK("https://map.naver.com/p/search/한솔동 1211", "지도Link")</f>
        <v/>
      </c>
      <c r="N1476" s="6">
        <f>HYPERLINK("http://www.eum.go.kr/web/ar/lu/luLandDet.jsp?pnu=3611010600112110000&amp;isNoScr=script&amp;mode=search", "토지이음")</f>
        <v/>
      </c>
      <c r="O1476" s="3" t="inlineStr">
        <is>
          <t>세종스타</t>
        </is>
      </c>
      <c r="P1476" s="4" t="n">
        <v>2</v>
      </c>
      <c r="Q1476" s="4" t="n">
        <v>323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소로한면</t>
        </is>
      </c>
    </row>
    <row r="1477">
      <c r="A1477" s="3" t="inlineStr">
        <is>
          <t>한솔동 865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80000</v>
      </c>
      <c r="G1477" s="4" t="n">
        <v>353</v>
      </c>
      <c r="H1477" s="4" t="n">
        <v>107</v>
      </c>
      <c r="I1477" s="5" t="n">
        <v>747.7</v>
      </c>
      <c r="J1477" s="5" t="n">
        <v>403</v>
      </c>
      <c r="K1477" s="3" t="inlineStr">
        <is>
          <t>산조망 공원접 대형상권 새롬동학원가 도보가능</t>
        </is>
      </c>
      <c r="L1477" s="6">
        <f>HYPERLINK("https://fin.land.naver.com/articles/2651085600", "매물Link")</f>
        <v/>
      </c>
      <c r="M1477" s="6">
        <f>HYPERLINK("https://map.naver.com/p/search/한솔동 865", "지도Link")</f>
        <v/>
      </c>
      <c r="N1477" s="6">
        <f>HYPERLINK("http://www.eum.go.kr/web/ar/lu/luLandDet.jsp?pnu=3611010600108650000&amp;isNoScr=script&amp;mode=search", "토지이음")</f>
        <v/>
      </c>
      <c r="O1477" s="3" t="inlineStr">
        <is>
          <t>세종스타</t>
        </is>
      </c>
      <c r="P1477" s="4" t="n">
        <v>2</v>
      </c>
      <c r="Q1477" s="4" t="n">
        <v>353.4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소로한면</t>
        </is>
      </c>
    </row>
    <row r="1478">
      <c r="A1478" s="3" t="inlineStr">
        <is>
          <t>한솔동 865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80000</v>
      </c>
      <c r="G1478" s="4" t="n">
        <v>353</v>
      </c>
      <c r="H1478" s="4" t="n">
        <v>107</v>
      </c>
      <c r="I1478" s="5" t="n">
        <v>747.7</v>
      </c>
      <c r="J1478" s="5" t="n">
        <v>403</v>
      </c>
      <c r="K1478" s="3" t="inlineStr">
        <is>
          <t>총 107.1p, 한솔동 단독주택지</t>
        </is>
      </c>
      <c r="L1478" s="6">
        <f>HYPERLINK("https://fin.land.naver.com/articles/2647421737", "매물Link")</f>
        <v/>
      </c>
      <c r="M1478" s="6">
        <f>HYPERLINK("https://map.naver.com/p/search/한솔동 865", "지도Link")</f>
        <v/>
      </c>
      <c r="N1478" s="6">
        <f>HYPERLINK("http://www.eum.go.kr/web/ar/lu/luLandDet.jsp?pnu=3611010600108650000&amp;isNoScr=script&amp;mode=search", "토지이음")</f>
        <v/>
      </c>
      <c r="O1478" s="3" t="inlineStr">
        <is>
          <t>명진</t>
        </is>
      </c>
      <c r="P1478" s="4" t="n">
        <v>1</v>
      </c>
      <c r="Q1478" s="4" t="n">
        <v>353.4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소로한면</t>
        </is>
      </c>
    </row>
    <row r="1479">
      <c r="A1479" s="3" t="inlineStr">
        <is>
          <t>한솔동 865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80000</v>
      </c>
      <c r="G1479" s="4" t="n">
        <v>352</v>
      </c>
      <c r="H1479" s="4" t="n">
        <v>106</v>
      </c>
      <c r="I1479" s="5" t="n">
        <v>754.7</v>
      </c>
      <c r="J1479" s="5" t="n">
        <v>403</v>
      </c>
      <c r="K1479" s="3" t="inlineStr">
        <is>
          <t>공원 인근, 조용한고 편리한 단독주택지 토지매매</t>
        </is>
      </c>
      <c r="L1479" s="6">
        <f>HYPERLINK("https://fin.land.naver.com/articles/2650427090", "매물Link")</f>
        <v/>
      </c>
      <c r="M1479" s="6">
        <f>HYPERLINK("https://map.naver.com/p/search/한솔동 865", "지도Link")</f>
        <v/>
      </c>
      <c r="N1479" s="6">
        <f>HYPERLINK("http://www.eum.go.kr/web/ar/lu/luLandDet.jsp?pnu=3611010600108650000&amp;isNoScr=script&amp;mode=search", "토지이음")</f>
        <v/>
      </c>
      <c r="O1479" s="3" t="inlineStr">
        <is>
          <t>세종무지개</t>
        </is>
      </c>
      <c r="P1479" s="4" t="n">
        <v>1</v>
      </c>
      <c r="Q1479" s="4" t="n">
        <v>353.4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소로한면</t>
        </is>
      </c>
    </row>
    <row r="1480">
      <c r="A1480" s="3" t="inlineStr">
        <is>
          <t>한솔동 989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55000</v>
      </c>
      <c r="G1480" s="4" t="n">
        <v>326</v>
      </c>
      <c r="H1480" s="4" t="n">
        <v>99</v>
      </c>
      <c r="I1480" s="5" t="n">
        <v>555.6</v>
      </c>
      <c r="J1480" s="5" t="n">
        <v>302.8</v>
      </c>
      <c r="K1480" s="3" t="inlineStr">
        <is>
          <t>나리꽃어린이공원  인접,학군 한솔초.중.고, 이마트 인근,가격조정가능</t>
        </is>
      </c>
      <c r="L1480" s="6">
        <f>HYPERLINK("https://fin.land.naver.com/articles/2647522138", "매물Link")</f>
        <v/>
      </c>
      <c r="M1480" s="6">
        <f>HYPERLINK("https://map.naver.com/p/search/한솔동 989", "지도Link")</f>
        <v/>
      </c>
      <c r="N1480" s="6">
        <f>HYPERLINK("http://www.eum.go.kr/web/ar/lu/luLandDet.jsp?pnu=3611010600109890000&amp;isNoScr=script&amp;mode=search", "토지이음")</f>
        <v/>
      </c>
      <c r="O1480" s="3" t="inlineStr">
        <is>
          <t>고운맘</t>
        </is>
      </c>
      <c r="P1480" s="4" t="n">
        <v>1</v>
      </c>
      <c r="Q1480" s="4" t="n">
        <v>326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한솔동 989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55000</v>
      </c>
      <c r="G1481" s="4" t="n">
        <v>326</v>
      </c>
      <c r="H1481" s="4" t="n">
        <v>99</v>
      </c>
      <c r="I1481" s="5" t="n">
        <v>555.6</v>
      </c>
      <c r="J1481" s="5" t="n">
        <v>302.8</v>
      </c>
      <c r="K1481" s="3" t="inlineStr">
        <is>
          <t>생활 인프라가 완비된 2생활권 내 희소성 높은 알짜 토지.</t>
        </is>
      </c>
      <c r="L1481" s="6">
        <f>HYPERLINK("https://fin.land.naver.com/articles/2648288398", "매물Link")</f>
        <v/>
      </c>
      <c r="M1481" s="6">
        <f>HYPERLINK("https://map.naver.com/p/search/한솔동 989", "지도Link")</f>
        <v/>
      </c>
      <c r="N1481" s="6">
        <f>HYPERLINK("http://www.eum.go.kr/web/ar/lu/luLandDet.jsp?pnu=3611010600109890000&amp;isNoScr=script&amp;mode=search", "토지이음")</f>
        <v/>
      </c>
      <c r="O1481" s="3" t="inlineStr">
        <is>
          <t>이룸</t>
        </is>
      </c>
      <c r="P1481" s="4" t="n">
        <v>1</v>
      </c>
      <c r="Q1481" s="4" t="n">
        <v>326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한솔동 992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55000</v>
      </c>
      <c r="G1482" s="4" t="n">
        <v>355</v>
      </c>
      <c r="H1482" s="4" t="n">
        <v>107</v>
      </c>
      <c r="I1482" s="5" t="n">
        <v>514</v>
      </c>
      <c r="J1482" s="5" t="n">
        <v>314.9</v>
      </c>
      <c r="K1482" s="3" t="inlineStr">
        <is>
          <t>조율가능 공원낀위치 상권최인접 한솔초중고 도보5분</t>
        </is>
      </c>
      <c r="L1482" s="6">
        <f>HYPERLINK("https://fin.land.naver.com/articles/2648047441", "매물Link")</f>
        <v/>
      </c>
      <c r="M1482" s="6">
        <f>HYPERLINK("https://map.naver.com/p/search/한솔동 992", "지도Link")</f>
        <v/>
      </c>
      <c r="N1482" s="6">
        <f>HYPERLINK("http://www.eum.go.kr/web/ar/lu/luLandDet.jsp?pnu=3611010600109920000&amp;isNoScr=script&amp;mode=search", "토지이음")</f>
        <v/>
      </c>
      <c r="O1482" s="3" t="inlineStr">
        <is>
          <t>세종스타</t>
        </is>
      </c>
      <c r="P1482" s="4" t="n">
        <v>1</v>
      </c>
      <c r="Q1482" s="4" t="n">
        <v>355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정방형</t>
        </is>
      </c>
      <c r="V1482" s="3" t="inlineStr">
        <is>
          <t>소로각지</t>
        </is>
      </c>
    </row>
    <row r="1483">
      <c r="A1483" s="3" t="inlineStr">
        <is>
          <t>해밀동 668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360000</v>
      </c>
      <c r="G1483" s="4" t="n">
        <v>1070</v>
      </c>
      <c r="H1483" s="4" t="n">
        <v>324</v>
      </c>
      <c r="I1483" s="5" t="n">
        <v>1111.1</v>
      </c>
      <c r="J1483" s="5" t="n">
        <v>407.6</v>
      </c>
      <c r="K1483" s="3" t="inlineStr">
        <is>
          <t>급매 대형 상가건물 부지 추가조율협의 옆필지도 매매가능</t>
        </is>
      </c>
      <c r="L1483" s="6">
        <f>HYPERLINK("https://fin.land.naver.com/articles/2649812128", "매물Link")</f>
        <v/>
      </c>
      <c r="M1483" s="6">
        <f>HYPERLINK("https://map.naver.com/p/search/해밀동 668", "지도Link")</f>
        <v/>
      </c>
      <c r="N1483" s="6">
        <f>HYPERLINK("http://www.eum.go.kr/web/ar/lu/luLandDet.jsp?pnu=3611011600106680000&amp;isNoScr=script&amp;mode=search", "토지이음")</f>
        <v/>
      </c>
      <c r="O1483" s="3" t="inlineStr">
        <is>
          <t>세종스타</t>
        </is>
      </c>
      <c r="P1483" s="4" t="n">
        <v>1</v>
      </c>
      <c r="Q1483" s="4" t="n">
        <v>1070.9</v>
      </c>
      <c r="R1483" s="3" t="inlineStr">
        <is>
          <t>지정되지않음</t>
        </is>
      </c>
      <c r="S1483" s="3" t="inlineStr">
        <is>
          <t>상업나지</t>
        </is>
      </c>
      <c r="T1483" s="3" t="inlineStr">
        <is>
          <t>평지</t>
        </is>
      </c>
      <c r="U1483" s="3" t="inlineStr">
        <is>
          <t>가로장방</t>
        </is>
      </c>
      <c r="V1483" s="3" t="inlineStr">
        <is>
          <t>광대소각</t>
        </is>
      </c>
    </row>
    <row r="1484">
      <c r="A1484" s="3" t="inlineStr">
        <is>
          <t>해밀동 670</t>
        </is>
      </c>
      <c r="B1484" s="3" t="inlineStr">
        <is>
          <t>제2종일반주거지역</t>
        </is>
      </c>
      <c r="C1484" s="3" t="inlineStr">
        <is>
          <t>주차장</t>
        </is>
      </c>
      <c r="D1484" s="3" t="inlineStr">
        <is>
          <t>대</t>
        </is>
      </c>
      <c r="E1484" s="3" t="inlineStr">
        <is>
          <t>매매</t>
        </is>
      </c>
      <c r="F1484" s="4" t="n">
        <v>483000</v>
      </c>
      <c r="G1484" s="4" t="n">
        <v>1065</v>
      </c>
      <c r="H1484" s="4" t="n">
        <v>322</v>
      </c>
      <c r="I1484" s="5" t="n">
        <v>1500</v>
      </c>
      <c r="J1484" s="5" t="n">
        <v>285.3</v>
      </c>
      <c r="K1484" s="3" t="inlineStr">
        <is>
          <t>nan</t>
        </is>
      </c>
      <c r="L1484" s="6">
        <f>HYPERLINK("https://fin.land.naver.com/articles/2649329302", "매물Link")</f>
        <v/>
      </c>
      <c r="M1484" s="6">
        <f>HYPERLINK("https://map.naver.com/p/search/해밀동 670", "지도Link")</f>
        <v/>
      </c>
      <c r="N1484" s="6">
        <f>HYPERLINK("http://www.eum.go.kr/web/ar/lu/luLandDet.jsp?pnu=3611011600106700000&amp;isNoScr=script&amp;mode=search", "토지이음")</f>
        <v/>
      </c>
      <c r="O1484" s="3" t="inlineStr">
        <is>
          <t>국제</t>
        </is>
      </c>
      <c r="P1484" s="4" t="n">
        <v>1</v>
      </c>
      <c r="Q1484" s="4" t="n">
        <v>1355.8</v>
      </c>
      <c r="R1484" s="3" t="inlineStr">
        <is>
          <t>지정되지않음</t>
        </is>
      </c>
      <c r="S1484" s="3" t="inlineStr">
        <is>
          <t>주차장등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광대소각</t>
        </is>
      </c>
    </row>
    <row r="1485">
      <c r="A1485" s="3" t="inlineStr">
        <is>
          <t>해밀동 675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180000</v>
      </c>
      <c r="G1485" s="4" t="n">
        <v>446</v>
      </c>
      <c r="H1485" s="4" t="n">
        <v>135</v>
      </c>
      <c r="I1485" s="5" t="n">
        <v>1333.3</v>
      </c>
      <c r="J1485" s="5" t="n">
        <v>379.2</v>
      </c>
      <c r="K1485" s="3" t="inlineStr">
        <is>
          <t>급매 절충가능한 사거리 코너각지의 카페등을 건축할수있는 근린생활시설 부지</t>
        </is>
      </c>
      <c r="L1485" s="6">
        <f>HYPERLINK("https://fin.land.naver.com/articles/2649200797", "매물Link")</f>
        <v/>
      </c>
      <c r="M1485" s="6">
        <f>HYPERLINK("https://map.naver.com/p/search/해밀동 675", "지도Link")</f>
        <v/>
      </c>
      <c r="N1485" s="6">
        <f>HYPERLINK("http://www.eum.go.kr/web/ar/lu/luLandDet.jsp?pnu=3611011600106750000&amp;isNoScr=script&amp;mode=search", "토지이음")</f>
        <v/>
      </c>
      <c r="O1485" s="3" t="inlineStr">
        <is>
          <t>스마일세종</t>
        </is>
      </c>
      <c r="P1485" s="4" t="n">
        <v>1</v>
      </c>
      <c r="Q1485" s="4" t="n">
        <v>446.6</v>
      </c>
      <c r="R1485" s="3" t="inlineStr">
        <is>
          <t>지정되지않음</t>
        </is>
      </c>
      <c r="S1485" s="3" t="inlineStr">
        <is>
          <t>상업나지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중로한면</t>
        </is>
      </c>
    </row>
    <row r="1486">
      <c r="A1486" s="3" t="inlineStr">
        <is>
          <t>해밀동 687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145000</v>
      </c>
      <c r="G1486" s="4" t="n">
        <v>403</v>
      </c>
      <c r="H1486" s="4" t="n">
        <v>122</v>
      </c>
      <c r="I1486" s="5" t="n">
        <v>1188.5</v>
      </c>
      <c r="J1486" s="5" t="n">
        <v>383.1</v>
      </c>
      <c r="K1486" s="3" t="inlineStr">
        <is>
          <t>N5 근생부지 3층건축가능</t>
        </is>
      </c>
      <c r="L1486" s="6">
        <f>HYPERLINK("https://fin.land.naver.com/articles/2647162535", "매물Link")</f>
        <v/>
      </c>
      <c r="M1486" s="6">
        <f>HYPERLINK("https://map.naver.com/p/search/해밀동 687", "지도Link")</f>
        <v/>
      </c>
      <c r="N1486" s="6">
        <f>HYPERLINK("http://www.eum.go.kr/web/ar/lu/luLandDet.jsp?pnu=3611011600106870000&amp;isNoScr=script&amp;mode=search", "토지이음")</f>
        <v/>
      </c>
      <c r="O1486" s="3" t="inlineStr">
        <is>
          <t>세종스타</t>
        </is>
      </c>
      <c r="P1486" s="4" t="n">
        <v>1</v>
      </c>
      <c r="Q1486" s="4" t="n">
        <v>403.2</v>
      </c>
      <c r="R1486" s="3" t="inlineStr">
        <is>
          <t>지정되지않음</t>
        </is>
      </c>
      <c r="S1486" s="3" t="inlineStr">
        <is>
          <t>상업나지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중로한면</t>
        </is>
      </c>
    </row>
    <row r="1487">
      <c r="A1487" s="3" t="inlineStr">
        <is>
          <t>해밀동 700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401300</v>
      </c>
      <c r="G1487" s="4" t="n">
        <v>2949</v>
      </c>
      <c r="H1487" s="4" t="n">
        <v>892</v>
      </c>
      <c r="I1487" s="5" t="n">
        <v>449.9</v>
      </c>
      <c r="J1487" s="5" t="n">
        <v>219.8</v>
      </c>
      <c r="K1487" s="3" t="inlineStr">
        <is>
          <t>해밀동 제1종전용주거 타운하우스 부지, 15가구 개발가능</t>
        </is>
      </c>
      <c r="L1487" s="6">
        <f>HYPERLINK("https://fin.land.naver.com/articles/2647344856", "매물Link")</f>
        <v/>
      </c>
      <c r="M1487" s="6">
        <f>HYPERLINK("https://map.naver.com/p/search/해밀동 700", "지도Link")</f>
        <v/>
      </c>
      <c r="N1487" s="6">
        <f>HYPERLINK("http://www.eum.go.kr/web/ar/lu/luLandDet.jsp?pnu=3611011600107000000&amp;isNoScr=script&amp;mode=search", "토지이음")</f>
        <v/>
      </c>
      <c r="O1487" s="3" t="inlineStr">
        <is>
          <t>스카이</t>
        </is>
      </c>
      <c r="P1487" s="4" t="n">
        <v>1</v>
      </c>
      <c r="Q1487" s="4" t="n">
        <v>2948.1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해밀동 713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58000</v>
      </c>
      <c r="G1488" s="4" t="n">
        <v>324</v>
      </c>
      <c r="H1488" s="4" t="n">
        <v>98</v>
      </c>
      <c r="I1488" s="5" t="n">
        <v>591.8</v>
      </c>
      <c r="J1488" s="5" t="n">
        <v>241.1</v>
      </c>
      <c r="K1488" s="3" t="inlineStr">
        <is>
          <t>98.18p, 해밀동 네모 반듯한 단독주택 토지매매</t>
        </is>
      </c>
      <c r="L1488" s="6">
        <f>HYPERLINK("https://fin.land.naver.com/articles/2649004455", "매물Link")</f>
        <v/>
      </c>
      <c r="M1488" s="6">
        <f>HYPERLINK("https://map.naver.com/p/search/해밀동 713", "지도Link")</f>
        <v/>
      </c>
      <c r="N1488" s="6">
        <f>HYPERLINK("http://www.eum.go.kr/web/ar/lu/luLandDet.jsp?pnu=3611011600107130000&amp;isNoScr=script&amp;mode=search", "토지이음")</f>
        <v/>
      </c>
      <c r="O1488" s="3" t="inlineStr">
        <is>
          <t>명진</t>
        </is>
      </c>
      <c r="P1488" s="4" t="n">
        <v>1</v>
      </c>
      <c r="Q1488" s="4" t="n">
        <v>324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정방형</t>
        </is>
      </c>
      <c r="V1488" s="3" t="inlineStr">
        <is>
          <t>소로한면</t>
        </is>
      </c>
    </row>
    <row r="1489">
      <c r="A1489" s="3" t="inlineStr">
        <is>
          <t>해밀동 713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58000</v>
      </c>
      <c r="G1489" s="4" t="n">
        <v>324</v>
      </c>
      <c r="H1489" s="4" t="n">
        <v>98</v>
      </c>
      <c r="I1489" s="5" t="n">
        <v>591.8</v>
      </c>
      <c r="J1489" s="5" t="n">
        <v>241.1</v>
      </c>
      <c r="K1489" s="3" t="inlineStr">
        <is>
          <t>조율가능 남동향 트인위치 땅모양 좋음</t>
        </is>
      </c>
      <c r="L1489" s="6">
        <f>HYPERLINK("https://fin.land.naver.com/articles/2649295989", "매물Link")</f>
        <v/>
      </c>
      <c r="M1489" s="6">
        <f>HYPERLINK("https://map.naver.com/p/search/해밀동 713", "지도Link")</f>
        <v/>
      </c>
      <c r="N1489" s="6">
        <f>HYPERLINK("http://www.eum.go.kr/web/ar/lu/luLandDet.jsp?pnu=3611011600107130000&amp;isNoScr=script&amp;mode=search", "토지이음")</f>
        <v/>
      </c>
      <c r="O1489" s="3" t="inlineStr">
        <is>
          <t>세종스타</t>
        </is>
      </c>
      <c r="P1489" s="4" t="n">
        <v>1</v>
      </c>
      <c r="Q1489" s="4" t="n">
        <v>324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정방형</t>
        </is>
      </c>
      <c r="V1489" s="3" t="inlineStr">
        <is>
          <t>소로한면</t>
        </is>
      </c>
    </row>
    <row r="1490">
      <c r="A1490" s="3" t="inlineStr">
        <is>
          <t>해밀동 756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57000</v>
      </c>
      <c r="G1490" s="4" t="n">
        <v>326</v>
      </c>
      <c r="H1490" s="4" t="n">
        <v>99</v>
      </c>
      <c r="I1490" s="5" t="n">
        <v>575.8</v>
      </c>
      <c r="J1490" s="5" t="n">
        <v>241.1</v>
      </c>
      <c r="K1490" s="3" t="inlineStr">
        <is>
          <t>3면이 보행자 전용도로를 접한 쾌적한 토지</t>
        </is>
      </c>
      <c r="L1490" s="6">
        <f>HYPERLINK("https://fin.land.naver.com/articles/2649589863", "매물Link")</f>
        <v/>
      </c>
      <c r="M1490" s="6">
        <f>HYPERLINK("https://map.naver.com/p/search/해밀동 756", "지도Link")</f>
        <v/>
      </c>
      <c r="N1490" s="6">
        <f>HYPERLINK("http://www.eum.go.kr/web/ar/lu/luLandDet.jsp?pnu=3611011600107560000&amp;isNoScr=script&amp;mode=search", "토지이음")</f>
        <v/>
      </c>
      <c r="O1490" s="3" t="inlineStr">
        <is>
          <t>킹세종</t>
        </is>
      </c>
      <c r="P1490" s="4" t="n">
        <v>2</v>
      </c>
      <c r="Q1490" s="4" t="n">
        <v>326.4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정방형</t>
        </is>
      </c>
      <c r="V1490" s="3" t="inlineStr">
        <is>
          <t>소로한면</t>
        </is>
      </c>
    </row>
    <row r="1491">
      <c r="A1491" s="3" t="inlineStr">
        <is>
          <t>해밀동 767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55000</v>
      </c>
      <c r="G1491" s="4" t="n">
        <v>287</v>
      </c>
      <c r="H1491" s="4" t="n">
        <v>87</v>
      </c>
      <c r="I1491" s="5" t="n">
        <v>632.2</v>
      </c>
      <c r="J1491" s="5" t="n">
        <v>241.1</v>
      </c>
      <c r="K1491" s="3" t="inlineStr">
        <is>
          <t>남향 보행로접함 뒷편 공원조망 조율가능</t>
        </is>
      </c>
      <c r="L1491" s="6">
        <f>HYPERLINK("https://fin.land.naver.com/articles/2649618859", "매물Link")</f>
        <v/>
      </c>
      <c r="M1491" s="6">
        <f>HYPERLINK("https://map.naver.com/p/search/해밀동 767", "지도Link")</f>
        <v/>
      </c>
      <c r="N1491" s="6">
        <f>HYPERLINK("http://www.eum.go.kr/web/ar/lu/luLandDet.jsp?pnu=3611011600107670000&amp;isNoScr=script&amp;mode=search", "토지이음")</f>
        <v/>
      </c>
      <c r="O1491" s="3" t="inlineStr">
        <is>
          <t>세종스타</t>
        </is>
      </c>
      <c r="P1491" s="4" t="n">
        <v>1</v>
      </c>
      <c r="Q1491" s="4" t="n">
        <v>287.5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해밀동 777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56500</v>
      </c>
      <c r="G1492" s="4" t="n">
        <v>294</v>
      </c>
      <c r="H1492" s="4" t="n">
        <v>89</v>
      </c>
      <c r="I1492" s="5" t="n">
        <v>634.8</v>
      </c>
      <c r="J1492" s="5" t="n">
        <v>243.3</v>
      </c>
      <c r="K1492" s="3" t="inlineStr">
        <is>
          <t>남향 원수산조망 뒷쪽 보행로접</t>
        </is>
      </c>
      <c r="L1492" s="6">
        <f>HYPERLINK("https://fin.land.naver.com/articles/2648046733", "매물Link")</f>
        <v/>
      </c>
      <c r="M1492" s="6">
        <f>HYPERLINK("https://map.naver.com/p/search/해밀동 777", "지도Link")</f>
        <v/>
      </c>
      <c r="N1492" s="6">
        <f>HYPERLINK("http://www.eum.go.kr/web/ar/lu/luLandDet.jsp?pnu=3611011600107770000&amp;isNoScr=script&amp;mode=search", "토지이음")</f>
        <v/>
      </c>
      <c r="O1492" s="3" t="inlineStr">
        <is>
          <t>세종스타</t>
        </is>
      </c>
      <c r="P1492" s="4" t="n">
        <v>1</v>
      </c>
      <c r="Q1492" s="4" t="n">
        <v>294.8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소로한면</t>
        </is>
      </c>
    </row>
    <row r="1493">
      <c r="A1493" s="3" t="inlineStr">
        <is>
          <t>해밀동 777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56500</v>
      </c>
      <c r="G1493" s="4" t="n">
        <v>294</v>
      </c>
      <c r="H1493" s="4" t="n">
        <v>89</v>
      </c>
      <c r="I1493" s="5" t="n">
        <v>634.8</v>
      </c>
      <c r="J1493" s="5" t="n">
        <v>243.3</v>
      </c>
      <c r="K1493" s="3" t="inlineStr">
        <is>
          <t>해밀동 가격 좋은 단독주택 매매, 공원인근</t>
        </is>
      </c>
      <c r="L1493" s="6">
        <f>HYPERLINK("https://fin.land.naver.com/articles/2647424555", "매물Link")</f>
        <v/>
      </c>
      <c r="M1493" s="6">
        <f>HYPERLINK("https://map.naver.com/p/search/해밀동 777", "지도Link")</f>
        <v/>
      </c>
      <c r="N1493" s="6">
        <f>HYPERLINK("http://www.eum.go.kr/web/ar/lu/luLandDet.jsp?pnu=3611011600107770000&amp;isNoScr=script&amp;mode=search", "토지이음")</f>
        <v/>
      </c>
      <c r="O1493" s="3" t="inlineStr">
        <is>
          <t>세종무지개</t>
        </is>
      </c>
      <c r="P1493" s="4" t="n">
        <v>1</v>
      </c>
      <c r="Q1493" s="4" t="n">
        <v>294.8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소로한면</t>
        </is>
      </c>
    </row>
    <row r="1494">
      <c r="A1494" s="3" t="inlineStr">
        <is>
          <t>해밀동 806</t>
        </is>
      </c>
      <c r="B1494" s="3" t="inlineStr">
        <is>
          <t>제1종전용주거지역</t>
        </is>
      </c>
      <c r="C1494" s="3" t="inlineStr">
        <is>
          <t>도로</t>
        </is>
      </c>
      <c r="D1494" s="3" t="inlineStr">
        <is>
          <t>대</t>
        </is>
      </c>
      <c r="E1494" s="3" t="inlineStr">
        <is>
          <t>매매</t>
        </is>
      </c>
      <c r="F1494" s="4" t="n">
        <v>70000</v>
      </c>
      <c r="G1494" s="4" t="n">
        <v>314</v>
      </c>
      <c r="H1494" s="4" t="n">
        <v>95</v>
      </c>
      <c r="I1494" s="5" t="n">
        <v>736.8</v>
      </c>
      <c r="J1494" s="5" t="n">
        <v>79.59999999999999</v>
      </c>
      <c r="K1494" s="3" t="inlineStr">
        <is>
          <t>조율가능 시유지접한 지대높음</t>
        </is>
      </c>
      <c r="L1494" s="6">
        <f>HYPERLINK("https://fin.land.naver.com/articles/2651299558", "매물Link")</f>
        <v/>
      </c>
      <c r="M1494" s="6">
        <f>HYPERLINK("https://map.naver.com/p/search/해밀동 806", "지도Link")</f>
        <v/>
      </c>
      <c r="N1494" s="6">
        <f>HYPERLINK("http://www.eum.go.kr/web/ar/lu/luLandDet.jsp?pnu=3611011600108060000&amp;isNoScr=script&amp;mode=search", "토지이음")</f>
        <v/>
      </c>
      <c r="O1494" s="3" t="inlineStr">
        <is>
          <t>세종스타</t>
        </is>
      </c>
      <c r="P1494" s="4" t="n">
        <v>1</v>
      </c>
      <c r="Q1494" s="4" t="n">
        <v>5372.8</v>
      </c>
      <c r="R1494" s="3" t="inlineStr">
        <is>
          <t>지정되지않음</t>
        </is>
      </c>
      <c r="S1494" s="3" t="inlineStr">
        <is>
          <t>도로등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지정되지않음</t>
        </is>
      </c>
    </row>
  </sheetData>
  <autoFilter ref="A1:V149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2026-09-26T09:18:25Z</dcterms:created>
  <dcterms:modified xsi:type="dcterms:W3CDTF">2026-09-26T09:18:31Z</dcterms:modified>
</cp:coreProperties>
</file>