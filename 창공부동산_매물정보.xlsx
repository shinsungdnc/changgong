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'공장창고매물'!$A$1:$AD$536</definedName>
    <definedName name="_xlnm._FilterDatabase" localSheetId="1" hidden="1">'주택매물'!$A$1:$AA$268</definedName>
    <definedName name="_xlnm._FilterDatabase" localSheetId="2" hidden="1">'토지매물'!$A$1:$V$1844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250</v>
      </c>
      <c r="H20" s="4" t="n">
        <v>5870</v>
      </c>
      <c r="I20" s="4" t="n">
        <v>1776</v>
      </c>
      <c r="J20" s="5" t="n">
        <v>0.1</v>
      </c>
      <c r="K20" s="4" t="n">
        <v>480</v>
      </c>
      <c r="L20" s="4" t="n">
        <v>145</v>
      </c>
      <c r="M20" s="5" t="n">
        <v>1.7</v>
      </c>
      <c r="N20" s="3" t="inlineStr">
        <is>
          <t>1</t>
        </is>
      </c>
      <c r="O20" s="3" t="inlineStr">
        <is>
          <t>-</t>
        </is>
      </c>
      <c r="P20" s="3" t="inlineStr">
        <is>
          <t>nan</t>
        </is>
      </c>
      <c r="Q20" s="6">
        <f>HYPERLINK("https://fin.land.naver.com/articles/2650916208",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철근콘크리트구조</t>
        </is>
      </c>
      <c r="AA20" s="3" t="inlineStr">
        <is>
          <t>공장</t>
        </is>
      </c>
      <c r="AB20" s="3" t="inlineStr">
        <is>
          <t>-</t>
        </is>
      </c>
      <c r="AC20" s="3" t="inlineStr"/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HYPERLINK("https://fin.land.naver.com/articles/2652988625",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3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HYPERLINK("https://fin.land.naver.com/articles/2653095633",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HYPERLINK("https://fin.land.naver.com/articles/2652778370",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금화랜드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주건축물 제1동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10.2m</t>
        </is>
      </c>
      <c r="AC36" s="3" t="inlineStr">
        <is>
          <t>2024-07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HYPERLINK("https://fin.land.naver.com/articles/2652625541",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30332</v>
      </c>
      <c r="I39" s="4" t="n">
        <v>9175</v>
      </c>
      <c r="J39" s="5" t="n">
        <v>218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강내일반산업단지 인근 대형물류센터 및 대형공장 강력추천 매매물건</t>
        </is>
      </c>
      <c r="Q39" s="6">
        <f>HYPERLINK("https://fin.land.naver.com/articles/2651989648",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태광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89-3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1715</v>
      </c>
      <c r="I40" s="4" t="n">
        <v>519</v>
      </c>
      <c r="J40" s="5" t="n">
        <v>0.3</v>
      </c>
      <c r="K40" s="4" t="n">
        <v>198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산단인근 2차선변 소형창고</t>
        </is>
      </c>
      <c r="Q40" s="6">
        <f>HYPERLINK("https://fin.land.naver.com/articles/2651926960", "매물Link")</f>
        <v/>
      </c>
      <c r="R40" s="6">
        <f>HYPERLINK("https://map.naver.com/p/search/강내면 산단리 89-3", "지도Link")</f>
        <v/>
      </c>
      <c r="S40" s="6">
        <f>HYPERLINK("http://www.eum.go.kr/web/ar/lu/luLandDet.jsp?pnu=4311331025100890003&amp;isNoScr=script&amp;mode=search", "토지이음")</f>
        <v/>
      </c>
      <c r="T40" s="3" t="inlineStr">
        <is>
          <t>창고의여왕</t>
        </is>
      </c>
      <c r="U40" s="4" t="n">
        <v>1</v>
      </c>
      <c r="V40" s="5" t="n">
        <v>40</v>
      </c>
      <c r="W40" s="4" t="n">
        <v>1715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HYPERLINK("https://fin.land.naver.com/articles/2651733895",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HYPERLINK("https://fin.land.naver.com/articles/2652590762",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강내일반산업단지 인근, 690형 대지, 대형차량 진출입좋음</t>
        </is>
      </c>
      <c r="Q45" s="6">
        <f>HYPERLINK("https://fin.land.naver.com/articles/2652595159",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태성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주건축물제3동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HYPERLINK("https://fin.land.naver.com/articles/2649119868",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흥덕구청 인근 개발압력 높은 자연녹지 토지 매매,투자용 추천</t>
        </is>
      </c>
      <c r="Q49" s="6">
        <f>HYPERLINK("https://fin.land.naver.com/articles/2649865759",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토담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HYPERLINK("https://fin.land.naver.com/articles/2650610429",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590000</v>
      </c>
      <c r="G54" s="4" t="n">
        <v>0</v>
      </c>
      <c r="H54" s="4" t="n">
        <v>8383</v>
      </c>
      <c r="I54" s="4" t="n">
        <v>2536</v>
      </c>
      <c r="J54" s="5" t="n">
        <v>232.6</v>
      </c>
      <c r="K54" s="4" t="n">
        <v>3333</v>
      </c>
      <c r="L54" s="4" t="n">
        <v>1008</v>
      </c>
      <c r="M54" s="5" t="n">
        <v>585.3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HYPERLINK("https://fin.land.naver.com/articles/2649888598",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복댕이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HYPERLINK("https://fin.land.naver.com/articles/2648536517",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대형차 진입과 회차가 편리한 소형창고</t>
        </is>
      </c>
      <c r="Q58" s="6">
        <f>HYPERLINK("https://fin.land.naver.com/articles/2653129247",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35.2</v>
      </c>
      <c r="W58" s="4" t="n">
        <v>998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8.41m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1500</v>
      </c>
      <c r="G62" s="4" t="n">
        <v>110</v>
      </c>
      <c r="H62" s="4" t="n">
        <v>629</v>
      </c>
      <c r="I62" s="4" t="n">
        <v>190</v>
      </c>
      <c r="J62" s="5" t="n">
        <v>0.6</v>
      </c>
      <c r="K62" s="4" t="n">
        <v>149</v>
      </c>
      <c r="L62" s="4" t="n">
        <v>45</v>
      </c>
      <c r="M62" s="5" t="n">
        <v>2.4</v>
      </c>
      <c r="N62" s="3" t="inlineStr">
        <is>
          <t>1</t>
        </is>
      </c>
      <c r="O62" s="3" t="inlineStr">
        <is>
          <t>-</t>
        </is>
      </c>
      <c r="P62" s="3" t="inlineStr">
        <is>
          <t>사진有 창고 임대</t>
        </is>
      </c>
      <c r="Q62" s="6">
        <f>HYPERLINK("https://fin.land.naver.com/articles/2652988597", "매물Link")</f>
        <v/>
      </c>
      <c r="R62" s="6">
        <f>HYPERLINK("https://map.naver.com/p/search/강내면 저산리 247-3", "지도Link")</f>
        <v/>
      </c>
      <c r="S62" s="6">
        <f>HYPERLINK("http://www.eum.go.kr/web/ar/lu/luLandDet.jsp?pnu=4311331023102470003&amp;isNoScr=script&amp;mode=search", "토지이음")</f>
        <v/>
      </c>
      <c r="T62" s="3" t="inlineStr">
        <is>
          <t>월드</t>
        </is>
      </c>
      <c r="U62" s="4" t="n">
        <v>1</v>
      </c>
      <c r="V62" s="5" t="n">
        <v>35.2</v>
      </c>
      <c r="W62" s="4" t="n">
        <v>629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8.61m</t>
        </is>
      </c>
      <c r="AC62" s="3" t="inlineStr">
        <is>
          <t>2024-03</t>
        </is>
      </c>
      <c r="AD62" s="3" t="inlineStr">
        <is>
          <t>세로한면(가)</t>
        </is>
      </c>
    </row>
    <row r="63">
      <c r="A63" s="3" t="inlineStr">
        <is>
          <t>강내면 탑연리 295-5</t>
        </is>
      </c>
      <c r="B63" s="3" t="inlineStr">
        <is>
          <t>계획관리지역</t>
        </is>
      </c>
      <c r="C63" s="3" t="inlineStr">
        <is>
          <t>목장용지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1000</v>
      </c>
      <c r="G63" s="4" t="n">
        <v>80</v>
      </c>
      <c r="H63" s="4" t="n">
        <v>1116</v>
      </c>
      <c r="I63" s="4" t="n">
        <v>338</v>
      </c>
      <c r="J63" s="5" t="n">
        <v>0.2</v>
      </c>
      <c r="K63" s="4" t="n">
        <v>277</v>
      </c>
      <c r="L63" s="4" t="n">
        <v>84</v>
      </c>
      <c r="M63" s="5" t="n">
        <v>1</v>
      </c>
      <c r="N63" s="3" t="inlineStr">
        <is>
          <t>1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HYPERLINK("https://fin.land.naver.com/articles/2652009809", "매물Link")</f>
        <v/>
      </c>
      <c r="R63" s="6">
        <f>HYPERLINK("https://map.naver.com/p/search/강내면 탑연리 295-5", "지도Link")</f>
        <v/>
      </c>
      <c r="S63" s="6">
        <f>HYPERLINK("http://www.eum.go.kr/web/ar/lu/luLandDet.jsp?pnu=4311331031102950005&amp;isNoScr=script&amp;mode=search", "토지이음")</f>
        <v/>
      </c>
      <c r="T63" s="3" t="inlineStr">
        <is>
          <t>오너스</t>
        </is>
      </c>
      <c r="U63" s="4" t="n">
        <v>1</v>
      </c>
      <c r="V63" s="5" t="n">
        <v>49.6</v>
      </c>
      <c r="W63" s="4" t="n">
        <v>1116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블록구조</t>
        </is>
      </c>
      <c r="AA63" s="3" t="inlineStr">
        <is>
          <t>동물및식물관련시설</t>
        </is>
      </c>
      <c r="AB63" s="3" t="inlineStr">
        <is>
          <t>5.6m</t>
        </is>
      </c>
      <c r="AC63" s="3" t="inlineStr">
        <is>
          <t>1997-05</t>
        </is>
      </c>
      <c r="AD63" s="3" t="inlineStr">
        <is>
          <t>맹지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HYPERLINK("https://fin.land.naver.com/articles/2652510659",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365</t>
        </is>
      </c>
      <c r="U65" s="4" t="n">
        <v>4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4</t>
        </is>
      </c>
      <c r="O66" s="3" t="inlineStr">
        <is>
          <t>-</t>
        </is>
      </c>
      <c r="P66" s="3" t="inlineStr">
        <is>
          <t>오송역ktx 청주ic 약10분거리 4차선대로변 위치좋은 공장</t>
        </is>
      </c>
      <c r="Q66" s="6">
        <f>HYPERLINK("https://fin.land.naver.com/articles/2650873405",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147.8</v>
      </c>
      <c r="W66" s="4" t="n">
        <v>1590</v>
      </c>
      <c r="X66" s="3" t="inlineStr">
        <is>
          <t>1동</t>
        </is>
      </c>
      <c r="Y66" s="7" t="inlineStr">
        <is>
          <t>3층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14.0m</t>
        </is>
      </c>
      <c r="AC66" s="3" t="inlineStr">
        <is>
          <t>2006-01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HYPERLINK("https://fin.land.naver.com/articles/2650346158",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HYPERLINK("https://fin.land.naver.com/articles/2647569603",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HYPERLINK("https://fin.land.naver.com/articles/2650178901",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1</t>
        </is>
      </c>
      <c r="O79" s="3" t="inlineStr">
        <is>
          <t>-</t>
        </is>
      </c>
      <c r="P79" s="3" t="inlineStr">
        <is>
          <t>강내 일반산업단지 인근에 위치, 2차선 대로변으로 접근성 좋음</t>
        </is>
      </c>
      <c r="Q79" s="6">
        <f>HYPERLINK("https://fin.land.naver.com/articles/2650344940",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HYPERLINK("https://fin.land.naver.com/articles/2649682675",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HYPERLINK("https://fin.land.naver.com/articles/2648521994",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9226</v>
      </c>
      <c r="I88" s="4" t="n">
        <v>2791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마당매우넓은 깔끔한 창고 임대 진출입매우 편리 다양한 평수가능</t>
        </is>
      </c>
      <c r="Q88" s="6">
        <f>HYPERLINK("https://fin.land.naver.com/articles/2651992753",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2</v>
      </c>
      <c r="V88" s="5" t="n">
        <v>62.4</v>
      </c>
      <c r="W88" s="4" t="n">
        <v>209096</v>
      </c>
      <c r="X88" s="3" t="inlineStr">
        <is>
          <t>주6동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7.15m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2400</v>
      </c>
      <c r="H91" s="4" t="n">
        <v>9917</v>
      </c>
      <c r="I91" s="4" t="n">
        <v>3000</v>
      </c>
      <c r="J91" s="5" t="n">
        <v>0.8</v>
      </c>
      <c r="K91" s="4" t="n">
        <v>3765</v>
      </c>
      <c r="L91" s="4" t="n">
        <v>1139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HYPERLINK("https://fin.land.naver.com/articles/2652625260",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주2동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8.3m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2400</v>
      </c>
      <c r="H92" s="4" t="n">
        <v>3801</v>
      </c>
      <c r="I92" s="4" t="n">
        <v>1150</v>
      </c>
      <c r="J92" s="5" t="n">
        <v>2.1</v>
      </c>
      <c r="K92" s="4" t="n">
        <v>3801</v>
      </c>
      <c r="L92" s="4" t="n">
        <v>1150</v>
      </c>
      <c r="M92" s="5" t="n">
        <v>2.1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HYPERLINK("https://fin.land.naver.com/articles/2651985983",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주2동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8.3m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836</v>
      </c>
      <c r="I94" s="4" t="n">
        <v>253</v>
      </c>
      <c r="J94" s="5" t="n">
        <v>336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청주IC 10분거리에  강내면공장</t>
        </is>
      </c>
      <c r="Q94" s="6">
        <f>HYPERLINK("https://fin.land.naver.com/articles/2650484489",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230</v>
      </c>
      <c r="H95" s="4" t="n">
        <v>836</v>
      </c>
      <c r="I95" s="4" t="n">
        <v>253</v>
      </c>
      <c r="J95" s="5" t="n">
        <v>0.9</v>
      </c>
      <c r="K95" s="4" t="n">
        <v>327</v>
      </c>
      <c r="L95" s="4" t="n">
        <v>99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실사진有, 강내일반산업단지 인근, 석곡분기점, 청주IC 약 10분거리</t>
        </is>
      </c>
      <c r="Q95" s="6">
        <f>HYPERLINK("https://fin.land.naver.com/articles/2652774030",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태성</t>
        </is>
      </c>
      <c r="U95" s="4" t="n">
        <v>3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HYPERLINK("https://fin.land.naver.com/articles/2649458983",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HYPERLINK("https://fin.land.naver.com/articles/2648076359",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교육연구시설</t>
        </is>
      </c>
      <c r="AB97" s="3" t="inlineStr">
        <is>
          <t>6.2m</t>
        </is>
      </c>
      <c r="AC97" s="3" t="inlineStr">
        <is>
          <t>2019-08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HYPERLINK("https://fin.land.naver.com/articles/2647589523",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HYPERLINK("https://fin.land.naver.com/articles/2651594564",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HYPERLINK("https://fin.land.naver.com/articles/2647701633",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HYPERLINK("https://fin.land.naver.com/articles/2652690596",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10000</v>
      </c>
      <c r="G112" s="4" t="n">
        <v>970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HYPERLINK("https://fin.land.naver.com/articles/2649942545",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달인무소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 진출입 편리, 청주ic 13분</t>
        </is>
      </c>
      <c r="Q113" s="6">
        <f>HYPERLINK("https://fin.land.naver.com/articles/2651943229",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나는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2682</v>
      </c>
      <c r="L117" s="4" t="n">
        <v>811</v>
      </c>
      <c r="M117" s="5" t="n">
        <v>431.6</v>
      </c>
      <c r="N117" s="3" t="inlineStr">
        <is>
          <t>2</t>
        </is>
      </c>
      <c r="O117" s="3" t="inlineStr">
        <is>
          <t>-</t>
        </is>
      </c>
      <c r="P117" s="3" t="inlineStr">
        <is>
          <t>청주하이테크밸리산업단지 바로 옆 층고높은 신축공장,대형차 진출입 용이</t>
        </is>
      </c>
      <c r="Q117" s="6">
        <f>HYPERLINK("https://fin.land.naver.com/articles/2652114572",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HYPERLINK("https://fin.land.naver.com/articles/2648170733",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HYPERLINK("https://fin.land.naver.com/articles/2649724567",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1815</v>
      </c>
      <c r="I135" s="4" t="n">
        <v>549</v>
      </c>
      <c r="J135" s="5" t="n">
        <v>0.5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2순환로 가까운 신축창고 주차하기 편하고 야적 가능, 매매가능</t>
        </is>
      </c>
      <c r="Q135" s="6">
        <f>HYPERLINK("https://fin.land.naver.com/articles/2651818728",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미래n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1851</v>
      </c>
      <c r="I136" s="4" t="n">
        <v>560</v>
      </c>
      <c r="J136" s="5" t="n">
        <v>264.3</v>
      </c>
      <c r="K136" s="4" t="n">
        <v>1123</v>
      </c>
      <c r="L136" s="4" t="n">
        <v>340</v>
      </c>
      <c r="M136" s="5" t="n">
        <v>435.3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HYPERLINK("https://fin.land.naver.com/articles/2650023956",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골든타임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190</v>
      </c>
      <c r="L140" s="4" t="n">
        <v>57</v>
      </c>
      <c r="M140" s="5" t="n">
        <v>1.1</v>
      </c>
      <c r="N140" s="3" t="inlineStr">
        <is>
          <t>2</t>
        </is>
      </c>
      <c r="O140" s="3" t="inlineStr">
        <is>
          <t>-</t>
        </is>
      </c>
      <c r="P140" s="3" t="inlineStr">
        <is>
          <t>1층 60형만 임대 창고로 활용</t>
        </is>
      </c>
      <c r="Q140" s="6">
        <f>HYPERLINK("https://fin.land.naver.com/articles/2652958822",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위더스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HYPERLINK("https://fin.land.naver.com/articles/2648145061",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건물 1층 단독사용, 1층 앞 마당 약 1500형 단독사용, 도크 有</t>
        </is>
      </c>
      <c r="Q146" s="6">
        <f>HYPERLINK("https://fin.land.naver.com/articles/2650262891",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대형차량 진출입 편리 도크시설완비 넓은 야적장</t>
        </is>
      </c>
      <c r="Q147" s="6">
        <f>HYPERLINK("https://fin.land.naver.com/articles/2650648946",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재일합동사무소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3000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HYPERLINK("https://fin.land.naver.com/articles/2648851464",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KS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남청주ic10분 마당넓은 단독창고 1종근생 사무실있음</t>
        </is>
      </c>
      <c r="Q154" s="6">
        <f>HYPERLINK("https://fin.land.naver.com/articles/2649014498",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166-3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230000</v>
      </c>
      <c r="G155" s="4" t="n">
        <v>0</v>
      </c>
      <c r="H155" s="4" t="n">
        <v>4514</v>
      </c>
      <c r="I155" s="4" t="n">
        <v>1365</v>
      </c>
      <c r="J155" s="5" t="n">
        <v>168.5</v>
      </c>
      <c r="K155" s="4" t="n">
        <v>890</v>
      </c>
      <c r="L155" s="4" t="n">
        <v>269</v>
      </c>
      <c r="M155" s="5" t="n">
        <v>855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HYPERLINK("https://fin.land.naver.com/articles/2648522088", "매물Link")</f>
        <v/>
      </c>
      <c r="R155" s="6">
        <f>HYPERLINK("https://map.naver.com/p/search/남이면 가좌리 166-3", "지도Link")</f>
        <v/>
      </c>
      <c r="S155" s="6">
        <f>HYPERLINK("http://www.eum.go.kr/web/ar/lu/luLandDet.jsp?pnu=4311231036101660003&amp;isNoScr=script&amp;mode=search", "토지이음")</f>
        <v/>
      </c>
      <c r="T155" s="3" t="inlineStr">
        <is>
          <t>초정</t>
        </is>
      </c>
      <c r="U155" s="4" t="n">
        <v>1</v>
      </c>
      <c r="V155" s="5" t="n">
        <v>65.40000000000001</v>
      </c>
      <c r="W155" s="4" t="n">
        <v>1140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168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230000</v>
      </c>
      <c r="G156" s="4" t="n">
        <v>0</v>
      </c>
      <c r="H156" s="4" t="n">
        <v>2510</v>
      </c>
      <c r="I156" s="4" t="n">
        <v>759</v>
      </c>
      <c r="J156" s="5" t="n">
        <v>303</v>
      </c>
      <c r="K156" s="4" t="n">
        <v>494</v>
      </c>
      <c r="L156" s="4" t="n">
        <v>149</v>
      </c>
      <c r="M156" s="5" t="n">
        <v>1543.6</v>
      </c>
      <c r="N156" s="3" t="inlineStr">
        <is>
          <t>1</t>
        </is>
      </c>
      <c r="O156" s="3" t="inlineStr">
        <is>
          <t>-</t>
        </is>
      </c>
      <c r="P156" s="3" t="inlineStr">
        <is>
          <t>건물100형1동 건물50형1동 대지 760형</t>
        </is>
      </c>
      <c r="Q156" s="6">
        <f>HYPERLINK("https://fin.land.naver.com/articles/2648524632", "매물Link")</f>
        <v/>
      </c>
      <c r="R156" s="6">
        <f>HYPERLINK("https://map.naver.com/p/search/남이면 가좌리 168", "지도Link")</f>
        <v/>
      </c>
      <c r="S156" s="6">
        <f>HYPERLINK("http://www.eum.go.kr/web/ar/lu/luLandDet.jsp?pnu=4311231036101680000&amp;isNoScr=script&amp;mode=search",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65.40000000000001</v>
      </c>
      <c r="W156" s="4" t="n">
        <v>1370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176-2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100</v>
      </c>
      <c r="H157" s="4" t="n">
        <v>1322</v>
      </c>
      <c r="I157" s="4" t="n">
        <v>400</v>
      </c>
      <c r="J157" s="5" t="n">
        <v>0.2</v>
      </c>
      <c r="K157" s="4" t="n">
        <v>132</v>
      </c>
      <c r="L157" s="4" t="n">
        <v>40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2차선접  대형차 진출입 편리 소형창고 임대 전력10kw</t>
        </is>
      </c>
      <c r="Q157" s="6">
        <f>HYPERLINK("https://fin.land.naver.com/articles/2651673705", "매물Link")</f>
        <v/>
      </c>
      <c r="R157" s="6">
        <f>HYPERLINK("https://map.naver.com/p/search/남이면 가좌리 176-2", "지도Link")</f>
        <v/>
      </c>
      <c r="S157" s="6">
        <f>HYPERLINK("http://www.eum.go.kr/web/ar/lu/luLandDet.jsp?pnu=4311231036101760002&amp;isNoScr=script&amp;mode=search",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66.8</v>
      </c>
      <c r="W157" s="4" t="n">
        <v>1322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22-3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79000</v>
      </c>
      <c r="G158" s="4" t="n">
        <v>0</v>
      </c>
      <c r="H158" s="4" t="n">
        <v>1322</v>
      </c>
      <c r="I158" s="4" t="n">
        <v>400</v>
      </c>
      <c r="J158" s="5" t="n">
        <v>197.5</v>
      </c>
      <c r="K158" s="4" t="n">
        <v>237</v>
      </c>
      <c r="L158" s="4" t="n">
        <v>72</v>
      </c>
      <c r="M158" s="5" t="n">
        <v>1097.2</v>
      </c>
      <c r="N158" s="3" t="inlineStr">
        <is>
          <t>2</t>
        </is>
      </c>
      <c r="O158" s="3" t="inlineStr">
        <is>
          <t>-</t>
        </is>
      </c>
      <c r="P158" s="3" t="inlineStr">
        <is>
          <t>접근성좋고 주차장넓은 공장,창고건물로상수도사용하며2층주거도가능함</t>
        </is>
      </c>
      <c r="Q158" s="6">
        <f>HYPERLINK("https://fin.land.naver.com/articles/2650178837", "매물Link")</f>
        <v/>
      </c>
      <c r="R158" s="6">
        <f>HYPERLINK("https://map.naver.com/p/search/남이면 가좌리 22-3", "지도Link")</f>
        <v/>
      </c>
      <c r="S158" s="6">
        <f>HYPERLINK("http://www.eum.go.kr/web/ar/lu/luLandDet.jsp?pnu=4311231036100220003&amp;isNoScr=script&amp;mode=search", "토지이음")</f>
        <v/>
      </c>
      <c r="T158" s="3" t="inlineStr">
        <is>
          <t>매일</t>
        </is>
      </c>
      <c r="U158" s="4" t="n">
        <v>1</v>
      </c>
      <c r="V158" s="5" t="n">
        <v>66.8</v>
      </c>
      <c r="W158" s="4" t="n">
        <v>1197.5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232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90000</v>
      </c>
      <c r="G159" s="4" t="n">
        <v>0</v>
      </c>
      <c r="H159" s="4" t="n">
        <v>1984</v>
      </c>
      <c r="I159" s="4" t="n">
        <v>600</v>
      </c>
      <c r="J159" s="5" t="n">
        <v>150</v>
      </c>
      <c r="K159" s="4" t="n">
        <v>396</v>
      </c>
      <c r="L159" s="4" t="n">
        <v>120</v>
      </c>
      <c r="M159" s="5" t="n">
        <v>750</v>
      </c>
      <c r="N159" s="3" t="inlineStr">
        <is>
          <t>1</t>
        </is>
      </c>
      <c r="O159" s="3" t="inlineStr">
        <is>
          <t>-</t>
        </is>
      </c>
      <c r="P159" s="3" t="inlineStr">
        <is>
          <t>남이초등학교 근처 위치좋음 층고 높음 땅모양 좋음</t>
        </is>
      </c>
      <c r="Q159" s="6">
        <f>HYPERLINK("https://fin.land.naver.com/articles/2651195617", "매물Link")</f>
        <v/>
      </c>
      <c r="R159" s="6">
        <f>HYPERLINK("https://map.naver.com/p/search/남이면 가좌리 232", "지도Link")</f>
        <v/>
      </c>
      <c r="S159" s="6">
        <f>HYPERLINK("http://www.eum.go.kr/web/ar/lu/luLandDet.jsp?pnu=4311231036102320000&amp;isNoScr=script&amp;mode=search", "토지이음")</f>
        <v/>
      </c>
      <c r="T159" s="3" t="inlineStr">
        <is>
          <t>명품 사무소</t>
        </is>
      </c>
      <c r="U159" s="4" t="n">
        <v>1</v>
      </c>
      <c r="V159" s="5" t="n">
        <v>65.40000000000001</v>
      </c>
      <c r="W159" s="4" t="n">
        <v>1984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117-5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117000</v>
      </c>
      <c r="G160" s="4" t="n">
        <v>0</v>
      </c>
      <c r="H160" s="4" t="n">
        <v>2421</v>
      </c>
      <c r="I160" s="4" t="n">
        <v>732</v>
      </c>
      <c r="J160" s="5" t="n">
        <v>159.8</v>
      </c>
      <c r="K160" s="4" t="n">
        <v>467</v>
      </c>
      <c r="L160" s="4" t="n">
        <v>141</v>
      </c>
      <c r="M160" s="5" t="n">
        <v>829.8</v>
      </c>
      <c r="N160" s="3" t="inlineStr">
        <is>
          <t>1</t>
        </is>
      </c>
      <c r="O160" s="3" t="inlineStr">
        <is>
          <t>-</t>
        </is>
      </c>
      <c r="P160" s="3" t="inlineStr">
        <is>
          <t>석곡사거리 약 12분 거리이며  2차선도로 접하여 대형차 진출입 편리</t>
        </is>
      </c>
      <c r="Q160" s="6">
        <f>HYPERLINK("https://fin.land.naver.com/articles/2651673733", "매물Link")</f>
        <v/>
      </c>
      <c r="R160" s="6">
        <f>HYPERLINK("https://map.naver.com/p/search/남이면 갈원리 117-5", "지도Link")</f>
        <v/>
      </c>
      <c r="S160" s="6">
        <f>HYPERLINK("http://www.eum.go.kr/web/ar/lu/luLandDet.jsp?pnu=4311231029101170005&amp;isNoScr=script&amp;mode=search", "토지이음")</f>
        <v/>
      </c>
      <c r="T160" s="3" t="inlineStr">
        <is>
          <t>더원</t>
        </is>
      </c>
      <c r="U160" s="4" t="n">
        <v>2</v>
      </c>
      <c r="V160" s="5" t="n">
        <v>46.7</v>
      </c>
      <c r="W160" s="4" t="n">
        <v>2421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142-2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2200</v>
      </c>
      <c r="G161" s="4" t="n">
        <v>220</v>
      </c>
      <c r="H161" s="4" t="n">
        <v>812</v>
      </c>
      <c r="I161" s="4" t="n">
        <v>246</v>
      </c>
      <c r="J161" s="5" t="n">
        <v>0.9</v>
      </c>
      <c r="K161" s="4" t="n">
        <v>321</v>
      </c>
      <c r="L161" s="4" t="n">
        <v>97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15분 세종청주로 인근으로 세종 , 청주도심 접근성 좋음</t>
        </is>
      </c>
      <c r="Q161" s="6">
        <f>HYPERLINK("https://fin.land.naver.com/articles/2651793645", "매물Link")</f>
        <v/>
      </c>
      <c r="R161" s="6">
        <f>HYPERLINK("https://map.naver.com/p/search/남이면 갈원리 142-2", "지도Link")</f>
        <v/>
      </c>
      <c r="S161" s="6">
        <f>HYPERLINK("http://www.eum.go.kr/web/ar/lu/luLandDet.jsp?pnu=4311231029101420002&amp;isNoScr=script&amp;mode=search",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41.4</v>
      </c>
      <c r="W161" s="4" t="n">
        <v>812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268-4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5395</v>
      </c>
      <c r="I162" s="4" t="n">
        <v>1632</v>
      </c>
      <c r="J162" s="5" t="n">
        <v>98</v>
      </c>
      <c r="K162" s="4" t="n">
        <v>443</v>
      </c>
      <c r="L162" s="4" t="n">
        <v>134</v>
      </c>
      <c r="M162" s="5" t="n">
        <v>1194</v>
      </c>
      <c r="N162" s="3" t="inlineStr">
        <is>
          <t>1</t>
        </is>
      </c>
      <c r="O162" s="3" t="inlineStr">
        <is>
          <t>-</t>
        </is>
      </c>
      <c r="P162" s="3" t="inlineStr">
        <is>
          <t>세종시와 인접한 위치의 공장으로 주변시세보다 저렴 대형차진출입용이</t>
        </is>
      </c>
      <c r="Q162" s="6">
        <f>HYPERLINK("https://fin.land.naver.com/articles/2652625519", "매물Link")</f>
        <v/>
      </c>
      <c r="R162" s="6">
        <f>HYPERLINK("https://map.naver.com/p/search/남이면 갈원리 268-4", "지도Link")</f>
        <v/>
      </c>
      <c r="S162" s="6">
        <f>HYPERLINK("http://www.eum.go.kr/web/ar/lu/luLandDet.jsp?pnu=4311231029102680004&amp;isNoScr=script&amp;mode=search",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38</v>
      </c>
      <c r="W162" s="4" t="n">
        <v>5395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79-4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1800</v>
      </c>
      <c r="G163" s="4" t="n">
        <v>170</v>
      </c>
      <c r="H163" s="4" t="n">
        <v>631</v>
      </c>
      <c r="I163" s="4" t="n">
        <v>191</v>
      </c>
      <c r="J163" s="5" t="n">
        <v>0.9</v>
      </c>
      <c r="K163" s="4" t="n">
        <v>250</v>
      </c>
      <c r="L163" s="4" t="n">
        <v>76</v>
      </c>
      <c r="M163" s="5" t="n">
        <v>2.2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2차선도로변 신축급 2종근생 제조업이나 창고가능 층고 10m</t>
        </is>
      </c>
      <c r="Q163" s="6">
        <f>HYPERLINK("https://fin.land.naver.com/articles/2651793090", "매물Link")</f>
        <v/>
      </c>
      <c r="R163" s="6">
        <f>HYPERLINK("https://map.naver.com/p/search/남이면 갈원리 79-4", "지도Link")</f>
        <v/>
      </c>
      <c r="S163" s="6">
        <f>HYPERLINK("http://www.eum.go.kr/web/ar/lu/luLandDet.jsp?pnu=4311231029100790004&amp;isNoScr=script&amp;mode=search",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48.5</v>
      </c>
      <c r="W163" s="4" t="n">
        <v>631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290</v>
      </c>
      <c r="H164" s="4" t="n">
        <v>2579</v>
      </c>
      <c r="I164" s="4" t="n">
        <v>780</v>
      </c>
      <c r="J164" s="5" t="n">
        <v>0.4</v>
      </c>
      <c r="K164" s="4" t="n">
        <v>2579</v>
      </c>
      <c r="L164" s="4" t="n">
        <v>780</v>
      </c>
      <c r="M164" s="5" t="n">
        <v>0.4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바로 진출입 가능한 공장입니다</t>
        </is>
      </c>
      <c r="Q164" s="6">
        <f>HYPERLINK("https://fin.land.naver.com/articles/2653100457",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 15분 2차선도로 호이스트2.8톤 설치 공장등록가능</t>
        </is>
      </c>
      <c r="Q165" s="6">
        <f>HYPERLINK("https://fin.land.naver.com/articles/2651749996",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8-1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180</v>
      </c>
      <c r="H169" s="4" t="n">
        <v>1279</v>
      </c>
      <c r="I169" s="4" t="n">
        <v>387</v>
      </c>
      <c r="J169" s="5" t="n">
        <v>0.5</v>
      </c>
      <c r="K169" s="4" t="n">
        <v>253</v>
      </c>
      <c r="L169" s="4" t="n">
        <v>77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 마당넓은 단독공장 호이스트2.8톤 전력20kw</t>
        </is>
      </c>
      <c r="Q169" s="6">
        <f>HYPERLINK("https://fin.land.naver.com/articles/2650873433", "매물Link")</f>
        <v/>
      </c>
      <c r="R169" s="6">
        <f>HYPERLINK("https://map.naver.com/p/search/남이면 갈원리 8-1", "지도Link")</f>
        <v/>
      </c>
      <c r="S169" s="6">
        <f>HYPERLINK("http://www.eum.go.kr/web/ar/lu/luLandDet.jsp?pnu=4311231029100080001&amp;isNoScr=script&amp;mode=search",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44.6</v>
      </c>
      <c r="W169" s="4" t="n">
        <v>1279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HYPERLINK("https://fin.land.naver.com/articles/2647605345",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공장 창고임대</t>
        </is>
      </c>
      <c r="Q171" s="6">
        <f>HYPERLINK("https://fin.land.naver.com/articles/2648959688",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석곡사거리 5분 남청주ic, 강서하이패스 ic 접근성 좋음</t>
        </is>
      </c>
      <c r="Q172" s="6">
        <f>HYPERLINK("https://fin.land.naver.com/articles/2651673608",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더원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150-11</t>
        </is>
      </c>
      <c r="B173" s="3" t="inlineStr">
        <is>
          <t>보전관리지역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4491</v>
      </c>
      <c r="I173" s="4" t="n">
        <v>1359</v>
      </c>
      <c r="J173" s="5" t="n">
        <v>0.5</v>
      </c>
      <c r="K173" s="4" t="n">
        <v>891</v>
      </c>
      <c r="L173" s="4" t="n">
        <v>270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청주ic, 남청주ic 15분 야드 넓어 야적장 필요한 업체추천</t>
        </is>
      </c>
      <c r="Q173" s="6">
        <f>HYPERLINK("https://fin.land.naver.com/articles/2649681124", "매물Link")</f>
        <v/>
      </c>
      <c r="R173" s="6">
        <f>HYPERLINK("https://map.naver.com/p/search/남이면 구미리 150-11", "지도Link")</f>
        <v/>
      </c>
      <c r="S173" s="6">
        <f>HYPERLINK("http://www.eum.go.kr/web/ar/lu/luLandDet.jsp?pnu=4311231027101500011&amp;isNoScr=script&amp;mode=search",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29.8</v>
      </c>
      <c r="W173" s="4" t="n">
        <v>4491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2314</v>
      </c>
      <c r="I174" s="4" t="n">
        <v>700</v>
      </c>
      <c r="J174" s="5" t="n">
        <v>0.9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전용마당 넓은 깔끔한 창고공장 임대</t>
        </is>
      </c>
      <c r="Q174" s="6">
        <f>HYPERLINK("https://fin.land.naver.com/articles/2652788629",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즉시입주가능한 접근성좋은 창고</t>
        </is>
      </c>
      <c r="Q175" s="6">
        <f>HYPERLINK("https://fin.land.naver.com/articles/2650481082",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창고의여왕</t>
        </is>
      </c>
      <c r="U175" s="4" t="n">
        <v>3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996</v>
      </c>
      <c r="L177" s="4" t="n">
        <v>301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신축대형창고 진출입 매우 편리</t>
        </is>
      </c>
      <c r="Q177" s="6">
        <f>HYPERLINK("https://fin.land.naver.com/articles/2651995817",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HYPERLINK("https://fin.land.naver.com/articles/2648090048",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202-1</t>
        </is>
      </c>
      <c r="B180" s="3" t="inlineStr">
        <is>
          <t>계획관리지역</t>
        </is>
      </c>
      <c r="C180" s="3" t="inlineStr">
        <is>
          <t>창고용지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50000</v>
      </c>
      <c r="G180" s="4" t="n">
        <v>5000</v>
      </c>
      <c r="H180" s="4" t="n">
        <v>45034</v>
      </c>
      <c r="I180" s="4" t="n">
        <v>13623</v>
      </c>
      <c r="J180" s="5" t="n">
        <v>0.4</v>
      </c>
      <c r="K180" s="4" t="n">
        <v>6701</v>
      </c>
      <c r="L180" s="4" t="n">
        <v>2027</v>
      </c>
      <c r="M180" s="5" t="n">
        <v>2.5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물류창고 임대</t>
        </is>
      </c>
      <c r="Q180" s="6">
        <f>HYPERLINK("https://fin.land.naver.com/articles/2652355624", "매물Link")</f>
        <v/>
      </c>
      <c r="R180" s="6">
        <f>HYPERLINK("https://map.naver.com/p/search/남이면 구미리 202-1", "지도Link")</f>
        <v/>
      </c>
      <c r="S180" s="6">
        <f>HYPERLINK("http://www.eum.go.kr/web/ar/lu/luLandDet.jsp?pnu=4311231027102020001&amp;isNoScr=script&amp;mode=search",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37.2</v>
      </c>
      <c r="W180" s="4" t="n">
        <v>17187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202-1</t>
        </is>
      </c>
      <c r="B181" s="3" t="inlineStr">
        <is>
          <t>계획관리지역</t>
        </is>
      </c>
      <c r="C181" s="3" t="inlineStr">
        <is>
          <t>창고용지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50000</v>
      </c>
      <c r="G181" s="4" t="n">
        <v>5000</v>
      </c>
      <c r="H181" s="4" t="n">
        <v>17187</v>
      </c>
      <c r="I181" s="4" t="n">
        <v>5199</v>
      </c>
      <c r="J181" s="5" t="n">
        <v>1</v>
      </c>
      <c r="K181" s="4" t="n">
        <v>6701</v>
      </c>
      <c r="L181" s="4" t="n">
        <v>2027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단독 대형 물류창고  도크시설 완비</t>
        </is>
      </c>
      <c r="Q181" s="6">
        <f>HYPERLINK("https://fin.land.naver.com/articles/2649444653", "매물Link")</f>
        <v/>
      </c>
      <c r="R181" s="6">
        <f>HYPERLINK("https://map.naver.com/p/search/남이면 구미리 202-1", "지도Link")</f>
        <v/>
      </c>
      <c r="S181" s="6">
        <f>HYPERLINK("http://www.eum.go.kr/web/ar/lu/luLandDet.jsp?pnu=4311231027102020001&amp;isNoScr=script&amp;mode=search",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37.2</v>
      </c>
      <c r="W181" s="4" t="n">
        <v>17187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231-8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300</v>
      </c>
      <c r="H183" s="4" t="n">
        <v>1417</v>
      </c>
      <c r="I183" s="4" t="n">
        <v>429</v>
      </c>
      <c r="J183" s="5" t="n">
        <v>0.7</v>
      </c>
      <c r="K183" s="4" t="n">
        <v>494</v>
      </c>
      <c r="L183" s="4" t="n">
        <v>149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세종청주로 석곡사거리 인접한 위치의 공장 창고임대 즉시입주가능</t>
        </is>
      </c>
      <c r="Q183" s="6">
        <f>HYPERLINK("https://fin.land.naver.com/articles/2649685084", "매물Link")</f>
        <v/>
      </c>
      <c r="R183" s="6">
        <f>HYPERLINK("https://map.naver.com/p/search/남이면 구미리 231-8", "지도Link")</f>
        <v/>
      </c>
      <c r="S183" s="6">
        <f>HYPERLINK("http://www.eum.go.kr/web/ar/lu/luLandDet.jsp?pnu=4311231027102310008&amp;isNoScr=script&amp;mode=search",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36.4</v>
      </c>
      <c r="W183" s="4" t="n">
        <v>1417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235-24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2000</v>
      </c>
      <c r="G184" s="4" t="n">
        <v>150</v>
      </c>
      <c r="H184" s="4" t="n">
        <v>1808</v>
      </c>
      <c r="I184" s="4" t="n">
        <v>547</v>
      </c>
      <c r="J184" s="5" t="n">
        <v>0.3</v>
      </c>
      <c r="K184" s="4" t="n">
        <v>196</v>
      </c>
      <c r="L184" s="4" t="n">
        <v>59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즉시입주가능, 민원소지없는 2종근생제조업, 준식축급공장</t>
        </is>
      </c>
      <c r="Q184" s="6">
        <f>HYPERLINK("https://fin.land.naver.com/articles/2652908776", "매물Link")</f>
        <v/>
      </c>
      <c r="R184" s="6">
        <f>HYPERLINK("https://map.naver.com/p/search/남이면 구미리 235-24", "지도Link")</f>
        <v/>
      </c>
      <c r="S184" s="6">
        <f>HYPERLINK("http://www.eum.go.kr/web/ar/lu/luLandDet.jsp?pnu=4311231027102350024&amp;isNoScr=script&amp;mode=search",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39.2</v>
      </c>
      <c r="W184" s="4" t="n">
        <v>1808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235-24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1808</v>
      </c>
      <c r="I185" s="4" t="n">
        <v>547</v>
      </c>
      <c r="J185" s="5" t="n">
        <v>0.3</v>
      </c>
      <c r="K185" s="4" t="n">
        <v>186</v>
      </c>
      <c r="L185" s="4" t="n">
        <v>56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건물 56형 현재 공실 2종근생 제조업</t>
        </is>
      </c>
      <c r="Q185" s="6">
        <f>HYPERLINK("https://fin.land.naver.com/articles/2648128068", "매물Link")</f>
        <v/>
      </c>
      <c r="R185" s="6">
        <f>HYPERLINK("https://map.naver.com/p/search/남이면 구미리 235-24", "지도Link")</f>
        <v/>
      </c>
      <c r="S185" s="6">
        <f>HYPERLINK("http://www.eum.go.kr/web/ar/lu/luLandDet.jsp?pnu=4311231027102350024&amp;isNoScr=script&amp;mode=search", "토지이음")</f>
        <v/>
      </c>
      <c r="T185" s="3" t="inlineStr">
        <is>
          <t>위더스</t>
        </is>
      </c>
      <c r="U185" s="4" t="n">
        <v>1</v>
      </c>
      <c r="V185" s="5" t="n">
        <v>39.2</v>
      </c>
      <c r="W185" s="4" t="n">
        <v>1808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4470</v>
      </c>
      <c r="I189" s="4" t="n">
        <v>1352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사진 有, 신축 중인 1개동에 300형씩 임대, 2개동 사용 가능</t>
        </is>
      </c>
      <c r="Q189" s="6">
        <f>HYPERLINK("https://fin.land.naver.com/articles/2651592763",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태성</t>
        </is>
      </c>
      <c r="U189" s="4" t="n">
        <v>2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HYPERLINK("https://fin.land.naver.com/articles/2649014174",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HYPERLINK("https://fin.land.naver.com/articles/2648258080",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259-8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2720</v>
      </c>
      <c r="I195" s="4" t="n">
        <v>823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임대</t>
        </is>
      </c>
      <c r="Q195" s="6">
        <f>HYPERLINK("https://fin.land.naver.com/articles/2653030214", "매물Link")</f>
        <v/>
      </c>
      <c r="R195" s="6">
        <f>HYPERLINK("https://map.naver.com/p/search/남이면 구미리 259-8", "지도Link")</f>
        <v/>
      </c>
      <c r="S195" s="6">
        <f>HYPERLINK("http://www.eum.go.kr/web/ar/lu/luLandDet.jsp?pnu=4311231027102590008&amp;isNoScr=script&amp;mode=search",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4.4</v>
      </c>
      <c r="W195" s="4" t="n">
        <v>1427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260-1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창고</t>
        </is>
      </c>
      <c r="E196" s="3" t="inlineStr">
        <is>
          <t>월세</t>
        </is>
      </c>
      <c r="F196" s="4" t="n">
        <v>14000</v>
      </c>
      <c r="G196" s="4" t="n">
        <v>1400</v>
      </c>
      <c r="H196" s="4" t="n">
        <v>4958</v>
      </c>
      <c r="I196" s="4" t="n">
        <v>1500</v>
      </c>
      <c r="J196" s="5" t="n">
        <v>0.9</v>
      </c>
      <c r="K196" s="4" t="n">
        <v>1983</v>
      </c>
      <c r="L196" s="4" t="n">
        <v>600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 예정인 창고 임대</t>
        </is>
      </c>
      <c r="Q196" s="6">
        <f>HYPERLINK("https://fin.land.naver.com/articles/2649684395", "매물Link")</f>
        <v/>
      </c>
      <c r="R196" s="6">
        <f>HYPERLINK("https://map.naver.com/p/search/남이면 구미리 260-1", "지도Link")</f>
        <v/>
      </c>
      <c r="S196" s="6">
        <f>HYPERLINK("http://www.eum.go.kr/web/ar/lu/luLandDet.jsp?pnu=4311231027102600001&amp;isNoScr=script&amp;mode=search",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16.9</v>
      </c>
      <c r="W196" s="4" t="n">
        <v>1623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277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80000</v>
      </c>
      <c r="G197" s="4" t="n">
        <v>8000</v>
      </c>
      <c r="H197" s="4" t="n">
        <v>24837</v>
      </c>
      <c r="I197" s="4" t="n">
        <v>7513</v>
      </c>
      <c r="J197" s="5" t="n">
        <v>1.1</v>
      </c>
      <c r="K197" s="4" t="n">
        <v>9878</v>
      </c>
      <c r="L197" s="4" t="n">
        <v>2988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야드넓은 물류창고</t>
        </is>
      </c>
      <c r="Q197" s="6">
        <f>HYPERLINK("https://fin.land.naver.com/articles/2653116908", "매물Link")</f>
        <v/>
      </c>
      <c r="R197" s="6">
        <f>HYPERLINK("https://map.naver.com/p/search/남이면 구미리 277", "지도Link")</f>
        <v/>
      </c>
      <c r="S197" s="6">
        <f>HYPERLINK("http://www.eum.go.kr/web/ar/lu/luLandDet.jsp?pnu=4311231027102770000&amp;isNoScr=script&amp;mode=search", "토지이음")</f>
        <v/>
      </c>
      <c r="T197" s="3" t="inlineStr">
        <is>
          <t>창고의여왕</t>
        </is>
      </c>
      <c r="U197" s="4" t="n">
        <v>4</v>
      </c>
      <c r="V197" s="5" t="n">
        <v>43.5</v>
      </c>
      <c r="W197" s="4" t="n">
        <v>24837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 IC 10분 대형차량 진출입 편리 렉설치 대형물류창고</t>
        </is>
      </c>
      <c r="Q198" s="6">
        <f>HYPERLINK("https://fin.land.naver.com/articles/2649061971",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재일합동사무소</t>
        </is>
      </c>
      <c r="U198" s="4" t="n">
        <v>4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277-2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8100</v>
      </c>
      <c r="H200" s="4" t="n">
        <v>16565</v>
      </c>
      <c r="I200" s="4" t="n">
        <v>5011</v>
      </c>
      <c r="J200" s="5" t="n">
        <v>1.6</v>
      </c>
      <c r="K200" s="4" t="n">
        <v>9900</v>
      </c>
      <c r="L200" s="4" t="n">
        <v>2995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HYPERLINK("https://fin.land.naver.com/articles/2649719038", "매물Link")</f>
        <v/>
      </c>
      <c r="R200" s="6">
        <f>HYPERLINK("https://map.naver.com/p/search/남이면 구미리 277-2", "지도Link")</f>
        <v/>
      </c>
      <c r="S200" s="6">
        <f>HYPERLINK("http://www.eum.go.kr/web/ar/lu/luLandDet.jsp?pnu=4311231027102770002&amp;isNoScr=script&amp;mode=search", "토지이음")</f>
        <v/>
      </c>
      <c r="T200" s="3" t="inlineStr">
        <is>
          <t>더행복</t>
        </is>
      </c>
      <c r="U200" s="4" t="n">
        <v>1</v>
      </c>
      <c r="V200" s="5" t="n">
        <v>43</v>
      </c>
      <c r="W200" s="4" t="n">
        <v>16565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28-5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14324</v>
      </c>
      <c r="I201" s="4" t="n">
        <v>4333</v>
      </c>
      <c r="J201" s="5" t="n">
        <v>103.9</v>
      </c>
      <c r="K201" s="4" t="n">
        <v>864</v>
      </c>
      <c r="L201" s="4" t="n">
        <v>261</v>
      </c>
      <c r="M201" s="5" t="n">
        <v>1724.1</v>
      </c>
      <c r="N201" s="3" t="inlineStr">
        <is>
          <t>1</t>
        </is>
      </c>
      <c r="O201" s="3" t="inlineStr">
        <is>
          <t>-</t>
        </is>
      </c>
      <c r="P201" s="3" t="inlineStr">
        <is>
          <t>주요도시로 진출입 및 이동이 편리한 위치, 활용도 좋은 넓은 토지</t>
        </is>
      </c>
      <c r="Q201" s="6">
        <f>HYPERLINK("https://fin.land.naver.com/articles/2651587386", "매물Link")</f>
        <v/>
      </c>
      <c r="R201" s="6">
        <f>HYPERLINK("https://map.naver.com/p/search/남이면 구미리 28-5", "지도Link")</f>
        <v/>
      </c>
      <c r="S201" s="6">
        <f>HYPERLINK("http://www.eum.go.kr/web/ar/lu/luLandDet.jsp?pnu=4311231027100280005&amp;isNoScr=script&amp;mode=search",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44.6</v>
      </c>
      <c r="W201" s="4" t="n">
        <v>5540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281-16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4500</v>
      </c>
      <c r="G202" s="4" t="n">
        <v>450</v>
      </c>
      <c r="H202" s="4" t="n">
        <v>3779</v>
      </c>
      <c r="I202" s="4" t="n">
        <v>1143</v>
      </c>
      <c r="J202" s="5" t="n">
        <v>0.4</v>
      </c>
      <c r="K202" s="4" t="n">
        <v>600</v>
      </c>
      <c r="L202" s="4" t="n">
        <v>182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대형차랑 진출입 편리 높은층고 3단적재 가능</t>
        </is>
      </c>
      <c r="Q202" s="6">
        <f>HYPERLINK("https://fin.land.naver.com/articles/2649072312", "매물Link")</f>
        <v/>
      </c>
      <c r="R202" s="6">
        <f>HYPERLINK("https://map.naver.com/p/search/남이면 구미리 281-16", "지도Link")</f>
        <v/>
      </c>
      <c r="S202" s="6">
        <f>HYPERLINK("http://www.eum.go.kr/web/ar/lu/luLandDet.jsp?pnu=4311231027102810016&amp;isNoScr=script&amp;mode=search", "토지이음")</f>
        <v/>
      </c>
      <c r="T202" s="3" t="inlineStr">
        <is>
          <t>재일합동사무소</t>
        </is>
      </c>
      <c r="U202" s="4" t="n">
        <v>1</v>
      </c>
      <c r="V202" s="5" t="n">
        <v>43.1</v>
      </c>
      <c r="W202" s="4" t="n">
        <v>3779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대형차량 진출입 편리.넉넉한 작업적재 공간</t>
        </is>
      </c>
      <c r="Q204" s="6">
        <f>HYPERLINK("https://fin.land.naver.com/articles/2649135170",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HYPERLINK("https://fin.land.naver.com/articles/2647700535",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2500</v>
      </c>
      <c r="G212" s="4" t="n">
        <v>230</v>
      </c>
      <c r="H212" s="4" t="n">
        <v>1842</v>
      </c>
      <c r="I212" s="4" t="n">
        <v>557</v>
      </c>
      <c r="J212" s="5" t="n">
        <v>0.4</v>
      </c>
      <c r="K212" s="4" t="n">
        <v>494</v>
      </c>
      <c r="L212" s="4" t="n">
        <v>149</v>
      </c>
      <c r="M212" s="5" t="n">
        <v>1.5</v>
      </c>
      <c r="N212" s="3" t="inlineStr">
        <is>
          <t>2</t>
        </is>
      </c>
      <c r="O212" s="3" t="inlineStr">
        <is>
          <t>-</t>
        </is>
      </c>
      <c r="P212" s="3" t="inlineStr">
        <is>
          <t>1층 100형 마당400형</t>
        </is>
      </c>
      <c r="Q212" s="6">
        <f>HYPERLINK("https://fin.land.naver.com/articles/2650897432",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178-19</t>
        </is>
      </c>
      <c r="B214" s="3" t="inlineStr">
        <is>
          <t>농림지역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4000</v>
      </c>
      <c r="G214" s="4" t="n">
        <v>300</v>
      </c>
      <c r="H214" s="4" t="n">
        <v>2709</v>
      </c>
      <c r="I214" s="4" t="n">
        <v>819</v>
      </c>
      <c r="J214" s="5" t="n">
        <v>0.4</v>
      </c>
      <c r="K214" s="4" t="n">
        <v>823</v>
      </c>
      <c r="L214" s="4" t="n">
        <v>249</v>
      </c>
      <c r="M214" s="5" t="n">
        <v>1.2</v>
      </c>
      <c r="N214" s="3" t="inlineStr">
        <is>
          <t>2</t>
        </is>
      </c>
      <c r="O214" s="3" t="inlineStr">
        <is>
          <t>-</t>
        </is>
      </c>
      <c r="P214" s="3" t="inlineStr">
        <is>
          <t>1층,2층 전체사용냉동창고,화물엘리베이터 有</t>
        </is>
      </c>
      <c r="Q214" s="6">
        <f>HYPERLINK("https://fin.land.naver.com/articles/2649149615", "매물Link")</f>
        <v/>
      </c>
      <c r="R214" s="6">
        <f>HYPERLINK("https://map.naver.com/p/search/남이면 부용외천리 178-19", "지도Link")</f>
        <v/>
      </c>
      <c r="S214" s="6">
        <f>HYPERLINK("http://www.eum.go.kr/web/ar/lu/luLandDet.jsp?pnu=4311231040101780019&amp;isNoScr=script&amp;mode=search", "토지이음")</f>
        <v/>
      </c>
      <c r="T214" s="3" t="inlineStr">
        <is>
          <t>미우</t>
        </is>
      </c>
      <c r="U214" s="4" t="n">
        <v>1</v>
      </c>
      <c r="V214" s="5" t="n">
        <v>25.7</v>
      </c>
      <c r="W214" s="4" t="n">
        <v>2709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3.5KM 광고효과 좋고 저렴한 무권리 대형 냉장냉동창고</t>
        </is>
      </c>
      <c r="Q215" s="6">
        <f>HYPERLINK("https://fin.land.naver.com/articles/2648362783",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KS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인근. 저온창고 임대. 냉동 가능.</t>
        </is>
      </c>
      <c r="Q216" s="6">
        <f>HYPERLINK("https://fin.land.naver.com/articles/2647717304",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청원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HYPERLINK("https://fin.land.naver.com/articles/2648087319",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즉시 사용가능 남청주 IC 인근, 호이스트 6개 층고 10M 전력300K</t>
        </is>
      </c>
      <c r="Q225" s="6">
        <f>HYPERLINK("https://fin.land.naver.com/articles/2649563368",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5000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 ic 13분 오송청주 세종 등 접근성 우수 호이스트 5톤 설치</t>
        </is>
      </c>
      <c r="Q229" s="6">
        <f>HYPERLINK("https://fin.land.naver.com/articles/2652344609",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더원</t>
        </is>
      </c>
      <c r="U229" s="4" t="n">
        <v>1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HYPERLINK("https://fin.land.naver.com/articles/2647918405",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175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2.9</v>
      </c>
      <c r="N236" s="3" t="inlineStr">
        <is>
          <t>1</t>
        </is>
      </c>
      <c r="O236" s="3" t="inlineStr">
        <is>
          <t>-</t>
        </is>
      </c>
      <c r="P236" s="3" t="inlineStr">
        <is>
          <t>청주,창고,마당넓음</t>
        </is>
      </c>
      <c r="Q236" s="6">
        <f>HYPERLINK("https://fin.land.naver.com/articles/2652690964",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LBA리치아노합동사무소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사진 有, 2차선 대로변에서 바로 진입, 해당 건물 앞마당 단독 사용</t>
        </is>
      </c>
      <c r="Q238" s="6">
        <f>HYPERLINK("https://fin.land.naver.com/articles/2652222464",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태성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마당넓어 차량회차 편리한 소형공장</t>
        </is>
      </c>
      <c r="Q239" s="6">
        <f>HYPERLINK("https://fin.land.naver.com/articles/2649121882",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HYPERLINK("https://fin.land.naver.com/articles/2649017316",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대형차량 진출입 용이, 신축급 야드 넓음, 접근성 좋음</t>
        </is>
      </c>
      <c r="Q242" s="6">
        <f>HYPERLINK("https://fin.land.naver.com/articles/2648673858",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나는</t>
        </is>
      </c>
      <c r="U242" s="4" t="n">
        <v>2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실사진. 신축급 ic가까운 2종근생제조업소, 대형차량진출입용이</t>
        </is>
      </c>
      <c r="Q243" s="6">
        <f>HYPERLINK("https://fin.land.naver.com/articles/2652302730",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한아름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200</v>
      </c>
      <c r="H247" s="4" t="n">
        <v>935</v>
      </c>
      <c r="I247" s="4" t="n">
        <v>283</v>
      </c>
      <c r="J247" s="5" t="n">
        <v>0.7</v>
      </c>
      <c r="K247" s="4" t="n">
        <v>360</v>
      </c>
      <c r="L247" s="4" t="n">
        <v>109</v>
      </c>
      <c r="M247" s="5" t="n">
        <v>1.8</v>
      </c>
      <c r="N247" s="3" t="inlineStr">
        <is>
          <t>1</t>
        </is>
      </c>
      <c r="O247" s="3" t="inlineStr">
        <is>
          <t>B2</t>
        </is>
      </c>
      <c r="P247" s="3" t="inlineStr">
        <is>
          <t>대형차량 진출입 용이, 주차 완전 편리,깨끗한 2종근생 제조업소</t>
        </is>
      </c>
      <c r="Q247" s="6">
        <f>HYPERLINK("https://fin.land.naver.com/articles/2648159964",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120</v>
      </c>
      <c r="H248" s="4" t="n">
        <v>935</v>
      </c>
      <c r="I248" s="4" t="n">
        <v>283</v>
      </c>
      <c r="J248" s="5" t="n">
        <v>0.4</v>
      </c>
      <c r="K248" s="4" t="n">
        <v>360</v>
      </c>
      <c r="L248" s="4" t="n">
        <v>109</v>
      </c>
      <c r="M248" s="5" t="n">
        <v>1.1</v>
      </c>
      <c r="N248" s="3" t="inlineStr">
        <is>
          <t>2</t>
        </is>
      </c>
      <c r="O248" s="3" t="inlineStr">
        <is>
          <t>B2</t>
        </is>
      </c>
      <c r="P248" s="3" t="inlineStr">
        <is>
          <t>대형차량 진출입 용이, 주차 완전 편리,완전 깨끗한 2종근생 제조업소</t>
        </is>
      </c>
      <c r="Q248" s="6">
        <f>HYPERLINK("https://fin.land.naver.com/articles/2647696291",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339-2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61200</v>
      </c>
      <c r="G249" s="4" t="n">
        <v>0</v>
      </c>
      <c r="H249" s="4" t="n">
        <v>873</v>
      </c>
      <c r="I249" s="4" t="n">
        <v>264</v>
      </c>
      <c r="J249" s="5" t="n">
        <v>231.8</v>
      </c>
      <c r="K249" s="4" t="n">
        <v>99</v>
      </c>
      <c r="L249" s="4" t="n">
        <v>30</v>
      </c>
      <c r="M249" s="5" t="n">
        <v>2040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접,시내 인근 투자</t>
        </is>
      </c>
      <c r="Q249" s="6">
        <f>HYPERLINK("https://fin.land.naver.com/articles/2650592765", "매물Link")</f>
        <v/>
      </c>
      <c r="R249" s="6">
        <f>HYPERLINK("https://map.naver.com/p/search/남이면 석실리 339-2", "지도Link")</f>
        <v/>
      </c>
      <c r="S249" s="6">
        <f>HYPERLINK("http://www.eum.go.kr/web/ar/lu/luLandDet.jsp?pnu=4311231033103390002&amp;isNoScr=script&amp;mode=search", "토지이음")</f>
        <v/>
      </c>
      <c r="T249" s="3" t="inlineStr">
        <is>
          <t>부광</t>
        </is>
      </c>
      <c r="U249" s="4" t="n">
        <v>1</v>
      </c>
      <c r="V249" s="5" t="n">
        <v>101.7</v>
      </c>
      <c r="W249" s="4" t="n">
        <v>873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339-4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1747</v>
      </c>
      <c r="I250" s="4" t="n">
        <v>528</v>
      </c>
      <c r="J250" s="5" t="n">
        <v>0.5</v>
      </c>
      <c r="K250" s="4" t="n">
        <v>238</v>
      </c>
      <c r="L250" s="4" t="n">
        <v>72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대로에 접, 청주 도심 접근성과 남이IC 인접성 동시 갖춘입지</t>
        </is>
      </c>
      <c r="Q250" s="6">
        <f>HYPERLINK("https://fin.land.naver.com/articles/2650488511", "매물Link")</f>
        <v/>
      </c>
      <c r="R250" s="6">
        <f>HYPERLINK("https://map.naver.com/p/search/남이면 석실리 339-4", "지도Link")</f>
        <v/>
      </c>
      <c r="S250" s="6">
        <f>HYPERLINK("http://www.eum.go.kr/web/ar/lu/luLandDet.jsp?pnu=4311231033103390004&amp;isNoScr=script&amp;mode=search",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101.7</v>
      </c>
      <c r="W250" s="4" t="n">
        <v>1747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354-4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130000</v>
      </c>
      <c r="G251" s="4" t="n">
        <v>0</v>
      </c>
      <c r="H251" s="4" t="n">
        <v>1283</v>
      </c>
      <c r="I251" s="4" t="n">
        <v>388</v>
      </c>
      <c r="J251" s="5" t="n">
        <v>335.1</v>
      </c>
      <c r="K251" s="4" t="n">
        <v>747</v>
      </c>
      <c r="L251" s="4" t="n">
        <v>226</v>
      </c>
      <c r="M251" s="5" t="n">
        <v>575.2</v>
      </c>
      <c r="N251" s="3" t="inlineStr">
        <is>
          <t>3</t>
        </is>
      </c>
      <c r="O251" s="3" t="inlineStr">
        <is>
          <t>-</t>
        </is>
      </c>
      <c r="P251" s="3" t="inlineStr">
        <is>
          <t>프라임공인 석실리 공장 창고 물류센터사용 도로망좋음 엘리베이터</t>
        </is>
      </c>
      <c r="Q251" s="6">
        <f>HYPERLINK("https://fin.land.naver.com/articles/2651210377", "매물Link")</f>
        <v/>
      </c>
      <c r="R251" s="6">
        <f>HYPERLINK("https://map.naver.com/p/search/남이면 석실리 354-4", "지도Link")</f>
        <v/>
      </c>
      <c r="S251" s="6">
        <f>HYPERLINK("http://www.eum.go.kr/web/ar/lu/luLandDet.jsp?pnu=4311231033103540004&amp;isNoScr=script&amp;mode=search", "토지이음")</f>
        <v/>
      </c>
      <c r="T251" s="3" t="inlineStr">
        <is>
          <t>프라임</t>
        </is>
      </c>
      <c r="U251" s="4" t="n">
        <v>2</v>
      </c>
      <c r="V251" s="5" t="n">
        <v>101.7</v>
      </c>
      <c r="W251" s="4" t="n">
        <v>1283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</t>
        </is>
      </c>
      <c r="B252" s="3" t="inlineStr">
        <is>
          <t>자연녹지지역</t>
        </is>
      </c>
      <c r="C252" s="3" t="inlineStr">
        <is>
          <t>전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1010</v>
      </c>
      <c r="I252" s="4" t="n">
        <v>306</v>
      </c>
      <c r="J252" s="5" t="n">
        <v>0.6</v>
      </c>
      <c r="K252" s="4" t="n">
        <v>192</v>
      </c>
      <c r="L252" s="4" t="n">
        <v>58</v>
      </c>
      <c r="M252" s="5" t="n">
        <v>3.3</v>
      </c>
      <c r="N252" s="3" t="inlineStr">
        <is>
          <t>1</t>
        </is>
      </c>
      <c r="O252" s="3" t="inlineStr">
        <is>
          <t>-</t>
        </is>
      </c>
      <c r="P252" s="3" t="inlineStr">
        <is>
          <t>시내에서 접근성좋은 마당넓은 근생창고</t>
        </is>
      </c>
      <c r="Q252" s="6">
        <f>HYPERLINK("https://fin.land.naver.com/articles/2651890540", "매물Link")</f>
        <v/>
      </c>
      <c r="R252" s="6">
        <f>HYPERLINK("https://map.naver.com/p/search/남이면 석실리 470", "지도Link")</f>
        <v/>
      </c>
      <c r="S252" s="6">
        <f>HYPERLINK("http://www.eum.go.kr/web/ar/lu/luLandDet.jsp?pnu=4311231033104700000&amp;isNoScr=script&amp;mode=search",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42.8</v>
      </c>
      <c r="W252" s="4" t="n">
        <v>720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신축 창고, 2차선 도로 접, 대형차량 진출입 용이, 접근성 좋음</t>
        </is>
      </c>
      <c r="Q254" s="6">
        <f>HYPERLINK("https://fin.land.naver.com/articles/2650247827",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A특급A 도로변 신축 매물, 주차공간 넉넉하게 단독 사용가능</t>
        </is>
      </c>
      <c r="Q255" s="6">
        <f>HYPERLINK("https://fin.land.naver.com/articles/2650192508",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골든타임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724</v>
      </c>
      <c r="I256" s="4" t="n">
        <v>219</v>
      </c>
      <c r="J256" s="5" t="n">
        <v>0.9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단독 소형공장. 창고임대 2차선도로 대형차 진출입 가능</t>
        </is>
      </c>
      <c r="Q256" s="6">
        <f>HYPERLINK("https://fin.land.naver.com/articles/2649677035",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HYPERLINK("https://fin.land.naver.com/articles/2648517174",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석실리 2차선도로 단독소형 신축공장.창고임대 대형차 진출입가능</t>
        </is>
      </c>
      <c r="Q258" s="6">
        <f>HYPERLINK("https://fin.land.naver.com/articles/2649672723",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HYPERLINK("https://fin.land.naver.com/articles/2648128086",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1753</v>
      </c>
      <c r="I260" s="4" t="n">
        <v>530</v>
      </c>
      <c r="J260" s="5" t="n">
        <v>0.4</v>
      </c>
      <c r="K260" s="4" t="n">
        <v>183</v>
      </c>
      <c r="L260" s="4" t="n">
        <v>55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야적공간 충분한 마당넓은 소형근생창고</t>
        </is>
      </c>
      <c r="Q260" s="6">
        <f>HYPERLINK("https://fin.land.naver.com/articles/2652023570",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HYPERLINK("https://fin.land.naver.com/articles/2651930242",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석곡회전교차로 가까운 위치, 대형 차량 진출입 용이, 120형 임대</t>
        </is>
      </c>
      <c r="Q262" s="6">
        <f>HYPERLINK("https://fin.land.naver.com/articles/2651805707",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석판리 131-3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기타</t>
        </is>
      </c>
      <c r="E263" s="3" t="inlineStr">
        <is>
          <t>매매</t>
        </is>
      </c>
      <c r="F263" s="4" t="n">
        <v>280000</v>
      </c>
      <c r="G263" s="4" t="n">
        <v>0</v>
      </c>
      <c r="H263" s="4" t="n">
        <v>2725</v>
      </c>
      <c r="I263" s="4" t="n">
        <v>824</v>
      </c>
      <c r="J263" s="5" t="n">
        <v>339.8</v>
      </c>
      <c r="K263" s="4" t="n">
        <v>350</v>
      </c>
      <c r="L263" s="4" t="n">
        <v>106</v>
      </c>
      <c r="M263" s="5" t="n">
        <v>2641.5</v>
      </c>
      <c r="N263" s="3" t="inlineStr">
        <is>
          <t>1</t>
        </is>
      </c>
      <c r="O263" s="3" t="inlineStr">
        <is>
          <t>B1</t>
        </is>
      </c>
      <c r="P263" s="3" t="inlineStr">
        <is>
          <t>2차선 도로접, 시내접근성 우수, 4차선도로완공시 지가상승 기대</t>
        </is>
      </c>
      <c r="Q263" s="6">
        <f>HYPERLINK("https://fin.land.naver.com/articles/2649886887", "매물Link")</f>
        <v/>
      </c>
      <c r="R263" s="6">
        <f>HYPERLINK("https://map.naver.com/p/search/남이면 석판리 131-3", "지도Link")</f>
        <v/>
      </c>
      <c r="S263" s="6">
        <f>HYPERLINK("http://www.eum.go.kr/web/ar/lu/luLandDet.jsp?pnu=4311231034101310003&amp;isNoScr=script&amp;mode=search", "토지이음")</f>
        <v/>
      </c>
      <c r="T263" s="3" t="inlineStr">
        <is>
          <t>플러스자이합동</t>
        </is>
      </c>
      <c r="U263" s="4" t="n">
        <v>1</v>
      </c>
      <c r="V263" s="5" t="n">
        <v>105.8</v>
      </c>
      <c r="W263" s="4" t="n">
        <v>2223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200</v>
      </c>
      <c r="H265" s="4" t="n">
        <v>2953</v>
      </c>
      <c r="I265" s="4" t="n">
        <v>893</v>
      </c>
      <c r="J265" s="5" t="n">
        <v>0.2</v>
      </c>
      <c r="K265" s="4" t="n">
        <v>264</v>
      </c>
      <c r="L265" s="4" t="n">
        <v>80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외부사진 有, 석판분기점 인근으로 3순환로 이용 편함, 마당 넓음</t>
        </is>
      </c>
      <c r="Q265" s="6">
        <f>HYPERLINK("https://fin.land.naver.com/articles/2650896451", "매물Link")</f>
        <v/>
      </c>
      <c r="R265" s="6">
        <f>HYPERLINK("https://map.naver.com/p/search/남이면 석판리 36", "지도Link")</f>
        <v/>
      </c>
      <c r="S265" s="6">
        <f>HYPERLINK("http://www.eum.go.kr/web/ar/lu/luLandDet.jsp?pnu=4311231034100360000&amp;isNoScr=script&amp;mode=search", "토지이음")</f>
        <v/>
      </c>
      <c r="T265" s="3" t="inlineStr">
        <is>
          <t>태성</t>
        </is>
      </c>
      <c r="U265" s="4" t="n">
        <v>1</v>
      </c>
      <c r="V265" s="5" t="n">
        <v>120.8</v>
      </c>
      <c r="W265" s="4" t="n">
        <v>2813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190</v>
      </c>
      <c r="H266" s="4" t="n">
        <v>4934</v>
      </c>
      <c r="I266" s="4" t="n">
        <v>1493</v>
      </c>
      <c r="J266" s="5" t="n">
        <v>0.1</v>
      </c>
      <c r="K266" s="4" t="n">
        <v>242</v>
      </c>
      <c r="L266" s="4" t="n">
        <v>73</v>
      </c>
      <c r="M266" s="5" t="n">
        <v>2.6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HYPERLINK("https://fin.land.naver.com/articles/2653028230", "매물Link")</f>
        <v/>
      </c>
      <c r="R266" s="6">
        <f>HYPERLINK("https://map.naver.com/p/search/남이면 석판리 36-2", "지도Link")</f>
        <v/>
      </c>
      <c r="S266" s="6">
        <f>HYPERLINK("http://www.eum.go.kr/web/ar/lu/luLandDet.jsp?pnu=4311231034100360002&amp;isNoScr=script&amp;mode=search",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92.7</v>
      </c>
      <c r="W266" s="4" t="n">
        <v>4618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4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기타</t>
        </is>
      </c>
      <c r="E267" s="3" t="inlineStr">
        <is>
          <t>매매</t>
        </is>
      </c>
      <c r="F267" s="4" t="n">
        <v>155000</v>
      </c>
      <c r="G267" s="4" t="n">
        <v>0</v>
      </c>
      <c r="H267" s="4" t="n">
        <v>1250</v>
      </c>
      <c r="I267" s="4" t="n">
        <v>378</v>
      </c>
      <c r="J267" s="5" t="n">
        <v>410.1</v>
      </c>
      <c r="K267" s="4" t="n">
        <v>247</v>
      </c>
      <c r="L267" s="4" t="n">
        <v>75</v>
      </c>
      <c r="M267" s="5" t="n">
        <v>2066.7</v>
      </c>
      <c r="N267" s="3" t="inlineStr">
        <is>
          <t>1</t>
        </is>
      </c>
      <c r="O267" s="3" t="inlineStr">
        <is>
          <t>-</t>
        </is>
      </c>
      <c r="P267" s="3" t="inlineStr">
        <is>
          <t>프라임공인 석판리 지역난방공사인근 3순환도로 진출입 인근 4차선도로변</t>
        </is>
      </c>
      <c r="Q267" s="6">
        <f>HYPERLINK("https://fin.land.naver.com/articles/2647868656", "매물Link")</f>
        <v/>
      </c>
      <c r="R267" s="6">
        <f>HYPERLINK("https://map.naver.com/p/search/남이면 석판리 4", "지도Link")</f>
        <v/>
      </c>
      <c r="S267" s="6">
        <f>HYPERLINK("http://www.eum.go.kr/web/ar/lu/luLandDet.jsp?pnu=4311231034100040000&amp;isNoScr=script&amp;mode=search", "토지이음")</f>
        <v/>
      </c>
      <c r="T267" s="3" t="inlineStr">
        <is>
          <t>프라임</t>
        </is>
      </c>
      <c r="U267" s="4" t="n">
        <v>1</v>
      </c>
      <c r="V267" s="5" t="n">
        <v>214.3</v>
      </c>
      <c r="W267" s="4" t="n">
        <v>1250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중로한면</t>
        </is>
      </c>
    </row>
    <row r="268">
      <c r="A268" s="3" t="inlineStr">
        <is>
          <t>남이면 양촌리 123-1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200</v>
      </c>
      <c r="H268" s="4" t="n">
        <v>2026</v>
      </c>
      <c r="I268" s="4" t="n">
        <v>613</v>
      </c>
      <c r="J268" s="5" t="n">
        <v>0.3</v>
      </c>
      <c r="K268" s="4" t="n">
        <v>190</v>
      </c>
      <c r="L268" s="4" t="n">
        <v>57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HYPERLINK("https://fin.land.naver.com/articles/2653027917", "매물Link")</f>
        <v/>
      </c>
      <c r="R268" s="6">
        <f>HYPERLINK("https://map.naver.com/p/search/남이면 양촌리 123-1", "지도Link")</f>
        <v/>
      </c>
      <c r="S268" s="6">
        <f>HYPERLINK("http://www.eum.go.kr/web/ar/lu/luLandDet.jsp?pnu=4311231037101230001&amp;isNoScr=script&amp;mode=search",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84.8</v>
      </c>
      <c r="W268" s="4" t="n">
        <v>2026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271</t>
        </is>
      </c>
      <c r="B269" s="3" t="inlineStr">
        <is>
          <t>자연녹지지역</t>
        </is>
      </c>
      <c r="C269" s="3" t="inlineStr">
        <is>
          <t>창고용지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1000</v>
      </c>
      <c r="G269" s="4" t="n">
        <v>80</v>
      </c>
      <c r="H269" s="4" t="n">
        <v>2190</v>
      </c>
      <c r="I269" s="4" t="n">
        <v>662</v>
      </c>
      <c r="J269" s="5" t="n">
        <v>0.1</v>
      </c>
      <c r="K269" s="4" t="n">
        <v>100</v>
      </c>
      <c r="L269" s="4" t="n">
        <v>30</v>
      </c>
      <c r="M269" s="5" t="n">
        <v>2.7</v>
      </c>
      <c r="N269" s="3" t="inlineStr">
        <is>
          <t>1</t>
        </is>
      </c>
      <c r="O269" s="3" t="inlineStr">
        <is>
          <t>B1</t>
        </is>
      </c>
      <c r="P269" s="3" t="inlineStr">
        <is>
          <t>양촌리창고임대입주빠름</t>
        </is>
      </c>
      <c r="Q269" s="6">
        <f>HYPERLINK("https://fin.land.naver.com/articles/2653086432", "매물Link")</f>
        <v/>
      </c>
      <c r="R269" s="6">
        <f>HYPERLINK("https://map.naver.com/p/search/남이면 양촌리 271", "지도Link")</f>
        <v/>
      </c>
      <c r="S269" s="6">
        <f>HYPERLINK("http://www.eum.go.kr/web/ar/lu/luLandDet.jsp?pnu=4311231037102710000&amp;isNoScr=script&amp;mode=search", "토지이음")</f>
        <v/>
      </c>
      <c r="T269" s="3" t="inlineStr">
        <is>
          <t>더큰</t>
        </is>
      </c>
      <c r="U269" s="4" t="n">
        <v>1</v>
      </c>
      <c r="V269" s="5" t="n">
        <v>98.7</v>
      </c>
      <c r="W269" s="4" t="n">
        <v>2190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남청주IC인근 냉장냉동 시설완비된 물류창고임대 대로변에 접함 진출입용이</t>
        </is>
      </c>
      <c r="Q271" s="6">
        <f>HYPERLINK("https://fin.land.naver.com/articles/2651986329",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태광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 5분 공장용도 현 물류창고로 사용중 입주협의</t>
        </is>
      </c>
      <c r="Q272" s="6">
        <f>HYPERLINK("https://fin.land.naver.com/articles/2650949814",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128-2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도크시설과 냉장,냉동 설비된 대형물류창고, 공장 매매</t>
        </is>
      </c>
      <c r="Q273" s="6">
        <f>HYPERLINK("https://fin.land.naver.com/articles/2651981912", "매물Link")</f>
        <v/>
      </c>
      <c r="R273" s="6">
        <f>HYPERLINK("https://map.naver.com/p/search/남이면 외천리 128-2", "지도Link")</f>
        <v/>
      </c>
      <c r="S273" s="6">
        <f>HYPERLINK("http://www.eum.go.kr/web/ar/lu/luLandDet.jsp?pnu=4311231022101280002&amp;isNoScr=script&amp;mode=search", "토지이음")</f>
        <v/>
      </c>
      <c r="T273" s="3" t="inlineStr">
        <is>
          <t>금화랜드</t>
        </is>
      </c>
      <c r="U273" s="4" t="n">
        <v>2</v>
      </c>
      <c r="V273" s="5" t="n">
        <v>102.5</v>
      </c>
      <c r="W273" s="4" t="n">
        <v>725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냉동,냉장 설비 갖춘 대형물류창고 임대,대형차량 진출입 편리</t>
        </is>
      </c>
      <c r="Q274" s="6">
        <f>HYPERLINK("https://fin.land.naver.com/articles/2650942641",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129-7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1515</v>
      </c>
      <c r="L275" s="4" t="n">
        <v>458</v>
      </c>
      <c r="M275" s="5" t="n">
        <v>3.8</v>
      </c>
      <c r="N275" s="3" t="inlineStr">
        <is>
          <t>1</t>
        </is>
      </c>
      <c r="O275" s="3" t="inlineStr">
        <is>
          <t>-</t>
        </is>
      </c>
      <c r="P275" s="3" t="inlineStr">
        <is>
          <t>냉동, 냉장 물류 창고, 남청주 IC 인접 대형차 진출 도크 시설</t>
        </is>
      </c>
      <c r="Q275" s="6">
        <f>HYPERLINK("https://fin.land.naver.com/articles/2649097311", "매물Link")</f>
        <v/>
      </c>
      <c r="R275" s="6">
        <f>HYPERLINK("https://map.naver.com/p/search/남이면 외천리 129-7", "지도Link")</f>
        <v/>
      </c>
      <c r="S275" s="6">
        <f>HYPERLINK("http://www.eum.go.kr/web/ar/lu/luLandDet.jsp?pnu=4311231022101290007&amp;isNoScr=script&amp;mode=search", "토지이음")</f>
        <v/>
      </c>
      <c r="T275" s="3" t="inlineStr">
        <is>
          <t>대전토지로무소</t>
        </is>
      </c>
      <c r="U275" s="4" t="n">
        <v>1</v>
      </c>
      <c r="V275" s="5" t="n">
        <v>98.5</v>
      </c>
      <c r="W275" s="4" t="n">
        <v>1453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171-1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1000</v>
      </c>
      <c r="G277" s="4" t="n">
        <v>250</v>
      </c>
      <c r="H277" s="4" t="n">
        <v>433</v>
      </c>
      <c r="I277" s="4" t="n">
        <v>131</v>
      </c>
      <c r="J277" s="5" t="n">
        <v>1.9</v>
      </c>
      <c r="K277" s="4" t="n">
        <v>433</v>
      </c>
      <c r="L277" s="4" t="n">
        <v>131</v>
      </c>
      <c r="M277" s="5" t="n">
        <v>1.9</v>
      </c>
      <c r="N277" s="3" t="inlineStr">
        <is>
          <t>2</t>
        </is>
      </c>
      <c r="O277" s="3" t="inlineStr">
        <is>
          <t>-</t>
        </is>
      </c>
      <c r="P277" s="3" t="inlineStr">
        <is>
          <t>가구점  물류창고 최적지  남이면 외천리 상가 월세 매물</t>
        </is>
      </c>
      <c r="Q277" s="6">
        <f>HYPERLINK("https://fin.land.naver.com/articles/2650110955", "매물Link")</f>
        <v/>
      </c>
      <c r="R277" s="6">
        <f>HYPERLINK("https://map.naver.com/p/search/남이면 외천리 171-1", "지도Link")</f>
        <v/>
      </c>
      <c r="S277" s="6">
        <f>HYPERLINK("http://www.eum.go.kr/web/ar/lu/luLandDet.jsp?pnu=4311231022101710001&amp;isNoScr=script&amp;mode=search", "토지이음")</f>
        <v/>
      </c>
      <c r="T277" s="3" t="inlineStr">
        <is>
          <t>엔터</t>
        </is>
      </c>
      <c r="U277" s="4" t="n">
        <v>1</v>
      </c>
      <c r="V277" s="5" t="n">
        <v>122.7</v>
      </c>
      <c r="W277" s="4" t="n">
        <v>836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229-15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85000</v>
      </c>
      <c r="G278" s="4" t="n">
        <v>0</v>
      </c>
      <c r="H278" s="4" t="n">
        <v>890</v>
      </c>
      <c r="I278" s="4" t="n">
        <v>269</v>
      </c>
      <c r="J278" s="5" t="n">
        <v>316</v>
      </c>
      <c r="K278" s="4" t="n">
        <v>409</v>
      </c>
      <c r="L278" s="4" t="n">
        <v>124</v>
      </c>
      <c r="M278" s="5" t="n">
        <v>685.5</v>
      </c>
      <c r="N278" s="3" t="inlineStr">
        <is>
          <t>2</t>
        </is>
      </c>
      <c r="O278" s="3" t="inlineStr">
        <is>
          <t>-</t>
        </is>
      </c>
      <c r="P278" s="3" t="inlineStr">
        <is>
          <t>공장 및 주택 매매, 2종근생 제조업</t>
        </is>
      </c>
      <c r="Q278" s="6">
        <f>HYPERLINK("https://fin.land.naver.com/articles/2648470932", "매물Link")</f>
        <v/>
      </c>
      <c r="R278" s="6">
        <f>HYPERLINK("https://map.naver.com/p/search/남이면 외천리 229-15", "지도Link")</f>
        <v/>
      </c>
      <c r="S278" s="6">
        <f>HYPERLINK("http://www.eum.go.kr/web/ar/lu/luLandDet.jsp?pnu=4311231022102290015&amp;isNoScr=script&amp;mode=search", "토지이음")</f>
        <v/>
      </c>
      <c r="T278" s="3" t="inlineStr">
        <is>
          <t>산남태강</t>
        </is>
      </c>
      <c r="U278" s="4" t="n">
        <v>1</v>
      </c>
      <c r="V278" s="5" t="n">
        <v>66.8</v>
      </c>
      <c r="W278" s="4" t="n">
        <v>890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세로각지(가)</t>
        </is>
      </c>
    </row>
    <row r="279">
      <c r="A279" s="3" t="inlineStr">
        <is>
          <t>남이면 외천리 249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350</v>
      </c>
      <c r="H279" s="4" t="n">
        <v>1891</v>
      </c>
      <c r="I279" s="4" t="n">
        <v>572</v>
      </c>
      <c r="J279" s="5" t="n">
        <v>0.6</v>
      </c>
      <c r="K279" s="4" t="n">
        <v>750</v>
      </c>
      <c r="L279" s="4" t="n">
        <v>227</v>
      </c>
      <c r="M279" s="5" t="n">
        <v>1.5</v>
      </c>
      <c r="N279" s="3" t="inlineStr">
        <is>
          <t>1</t>
        </is>
      </c>
      <c r="O279" s="3" t="inlineStr">
        <is>
          <t>-</t>
        </is>
      </c>
      <c r="P279" s="3" t="inlineStr">
        <is>
          <t>가동 150형 나동 78형 일괄임대 대지 580형</t>
        </is>
      </c>
      <c r="Q279" s="6">
        <f>HYPERLINK("https://fin.land.naver.com/articles/2652949824", "매물Link")</f>
        <v/>
      </c>
      <c r="R279" s="6">
        <f>HYPERLINK("https://map.naver.com/p/search/남이면 외천리 249", "지도Link")</f>
        <v/>
      </c>
      <c r="S279" s="6">
        <f>HYPERLINK("http://www.eum.go.kr/web/ar/lu/luLandDet.jsp?pnu=4311231022102490000&amp;isNoScr=script&amp;mode=search", "토지이음")</f>
        <v/>
      </c>
      <c r="T279" s="3" t="inlineStr">
        <is>
          <t>위더스</t>
        </is>
      </c>
      <c r="U279" s="4" t="n">
        <v>1</v>
      </c>
      <c r="V279" s="5" t="n">
        <v>60.7</v>
      </c>
      <c r="W279" s="4" t="n">
        <v>1879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258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매매</t>
        </is>
      </c>
      <c r="F280" s="4" t="n">
        <v>40000</v>
      </c>
      <c r="G280" s="4" t="n">
        <v>0</v>
      </c>
      <c r="H280" s="4" t="n">
        <v>652</v>
      </c>
      <c r="I280" s="4" t="n">
        <v>197</v>
      </c>
      <c r="J280" s="5" t="n">
        <v>203</v>
      </c>
      <c r="K280" s="4" t="n">
        <v>356</v>
      </c>
      <c r="L280" s="4" t="n">
        <v>108</v>
      </c>
      <c r="M280" s="5" t="n">
        <v>370.4</v>
      </c>
      <c r="N280" s="3" t="inlineStr">
        <is>
          <t>2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HYPERLINK("https://fin.land.naver.com/articles/2649461339", "매물Link")</f>
        <v/>
      </c>
      <c r="R280" s="6">
        <f>HYPERLINK("https://map.naver.com/p/search/남이면 외천리 258", "지도Link")</f>
        <v/>
      </c>
      <c r="S280" s="6">
        <f>HYPERLINK("http://www.eum.go.kr/web/ar/lu/luLandDet.jsp?pnu=4311231022102580000&amp;isNoScr=script&amp;mode=search", "토지이음")</f>
        <v/>
      </c>
      <c r="T280" s="3" t="inlineStr">
        <is>
          <t>청주합동</t>
        </is>
      </c>
      <c r="U280" s="4" t="n">
        <v>1</v>
      </c>
      <c r="V280" s="5" t="n">
        <v>64.59999999999999</v>
      </c>
      <c r="W280" s="4" t="n">
        <v>698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320000</v>
      </c>
      <c r="G281" s="4" t="n">
        <v>0</v>
      </c>
      <c r="H281" s="4" t="n">
        <v>2081</v>
      </c>
      <c r="I281" s="4" t="n">
        <v>630</v>
      </c>
      <c r="J281" s="5" t="n">
        <v>507.9</v>
      </c>
      <c r="K281" s="4" t="n">
        <v>1489</v>
      </c>
      <c r="L281" s="4" t="n">
        <v>450</v>
      </c>
      <c r="M281" s="5" t="n">
        <v>711.1</v>
      </c>
      <c r="N281" s="3" t="inlineStr">
        <is>
          <t>3</t>
        </is>
      </c>
      <c r="O281" s="3" t="inlineStr">
        <is>
          <t>-</t>
        </is>
      </c>
      <c r="P281" s="3" t="inlineStr">
        <is>
          <t>남청주IC와 가까워 진출입이 용이하며, 1층 공장,연구실 3층 사무실</t>
        </is>
      </c>
      <c r="Q281" s="6">
        <f>HYPERLINK("https://fin.land.naver.com/articles/2649988952", "매물Link")</f>
        <v/>
      </c>
      <c r="R281" s="6">
        <f>HYPERLINK("https://map.naver.com/p/search/남이면 외천리 264-4", "지도Link")</f>
        <v/>
      </c>
      <c r="S281" s="6">
        <f>HYPERLINK("http://www.eum.go.kr/web/ar/lu/luLandDet.jsp?pnu=4311231022102640004&amp;isNoScr=script&amp;mode=search",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1954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인근으로 진출입이 원할한곳,급매로 저렴,깨끗한 공장</t>
        </is>
      </c>
      <c r="Q282" s="6">
        <f>HYPERLINK("https://fin.land.naver.com/articles/2647746241",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5분거리이며 대로변 접근성 좋은 사옥형 공장으로  최적</t>
        </is>
      </c>
      <c r="Q283" s="6">
        <f>HYPERLINK("https://fin.land.naver.com/articles/2652625202",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264-5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100000</v>
      </c>
      <c r="G284" s="4" t="n">
        <v>0</v>
      </c>
      <c r="H284" s="4" t="n">
        <v>1358</v>
      </c>
      <c r="I284" s="4" t="n">
        <v>411</v>
      </c>
      <c r="J284" s="5" t="n">
        <v>243.3</v>
      </c>
      <c r="K284" s="4" t="n">
        <v>537</v>
      </c>
      <c r="L284" s="4" t="n">
        <v>162</v>
      </c>
      <c r="M284" s="5" t="n">
        <v>617.3</v>
      </c>
      <c r="N284" s="3" t="inlineStr">
        <is>
          <t>2</t>
        </is>
      </c>
      <c r="O284" s="3" t="inlineStr">
        <is>
          <t>-</t>
        </is>
      </c>
      <c r="P284" s="3" t="inlineStr">
        <is>
          <t>호이스트2.8톤,층고7,5m,남청주IC 근접, 대형차량 진출입 용이</t>
        </is>
      </c>
      <c r="Q284" s="6">
        <f>HYPERLINK("https://fin.land.naver.com/articles/2652762894", "매물Link")</f>
        <v/>
      </c>
      <c r="R284" s="6">
        <f>HYPERLINK("https://map.naver.com/p/search/남이면 외천리 264-5", "지도Link")</f>
        <v/>
      </c>
      <c r="S284" s="6">
        <f>HYPERLINK("http://www.eum.go.kr/web/ar/lu/luLandDet.jsp?pnu=4311231022102640005&amp;isNoScr=script&amp;mode=search",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1358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남청주IC와 가까워 진출입이 용이한 곳,계획관리지역,호이스트2.8톤</t>
        </is>
      </c>
      <c r="Q286" s="6">
        <f>HYPERLINK("https://fin.land.naver.com/articles/2649085255",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(주)미르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355-2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15000</v>
      </c>
      <c r="G287" s="4" t="n">
        <v>1750</v>
      </c>
      <c r="H287" s="4" t="n">
        <v>10680</v>
      </c>
      <c r="I287" s="4" t="n">
        <v>3231</v>
      </c>
      <c r="J287" s="5" t="n">
        <v>0.5</v>
      </c>
      <c r="K287" s="4" t="n">
        <v>4244</v>
      </c>
      <c r="L287" s="4" t="n">
        <v>1284</v>
      </c>
      <c r="M287" s="5" t="n">
        <v>1.4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 IC가 가까워 대형차 진출입이 편리한곳으로 물류창고로 추천</t>
        </is>
      </c>
      <c r="Q287" s="6">
        <f>HYPERLINK("https://fin.land.naver.com/articles/2649085059", "매물Link")</f>
        <v/>
      </c>
      <c r="R287" s="6">
        <f>HYPERLINK("https://map.naver.com/p/search/남이면 외천리 355-2", "지도Link")</f>
        <v/>
      </c>
      <c r="S287" s="6">
        <f>HYPERLINK("http://www.eum.go.kr/web/ar/lu/luLandDet.jsp?pnu=4311231022103550002&amp;isNoScr=script&amp;mode=search",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58</v>
      </c>
      <c r="W287" s="4" t="n">
        <v>10680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5000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</t>
        </is>
      </c>
      <c r="Q289" s="6">
        <f>HYPERLINK("https://fin.land.naver.com/articles/2651773919",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5967</v>
      </c>
      <c r="I292" s="4" t="n">
        <v>1805</v>
      </c>
      <c r="J292" s="5" t="n">
        <v>0.6</v>
      </c>
      <c r="K292" s="4" t="n">
        <v>1541</v>
      </c>
      <c r="L292" s="4" t="n">
        <v>466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남청주IC에서 5분거리 신축공장</t>
        </is>
      </c>
      <c r="Q292" s="6">
        <f>HYPERLINK("https://fin.land.naver.com/articles/2651889673",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창고의여왕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400000</v>
      </c>
      <c r="G293" s="4" t="n">
        <v>0</v>
      </c>
      <c r="H293" s="4" t="n">
        <v>6600</v>
      </c>
      <c r="I293" s="4" t="n">
        <v>1996</v>
      </c>
      <c r="J293" s="5" t="n">
        <v>200.4</v>
      </c>
      <c r="K293" s="4" t="n">
        <v>1517</v>
      </c>
      <c r="L293" s="4" t="n">
        <v>459</v>
      </c>
      <c r="M293" s="5" t="n">
        <v>871.5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 깔끔한 사무실겸 숙소완비</t>
        </is>
      </c>
      <c r="Q293" s="6">
        <f>HYPERLINK("https://fin.land.naver.com/articles/2651975021",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5500</v>
      </c>
      <c r="G294" s="4" t="n">
        <v>550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신축 첫입주, 남청주IC 및 청남가구단지 인근</t>
        </is>
      </c>
      <c r="Q294" s="6">
        <f>HYPERLINK("https://fin.land.naver.com/articles/2650262549",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500</v>
      </c>
      <c r="H295" s="4" t="n">
        <v>6600</v>
      </c>
      <c r="I295" s="4" t="n">
        <v>1996</v>
      </c>
      <c r="J295" s="5" t="n">
        <v>0.3</v>
      </c>
      <c r="K295" s="4" t="n">
        <v>725</v>
      </c>
      <c r="L295" s="4" t="n">
        <v>219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남청주IC인근 신축대형창고공장 임대 층고높음</t>
        </is>
      </c>
      <c r="Q295" s="6">
        <f>HYPERLINK("https://fin.land.naver.com/articles/2651974388",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태광</t>
        </is>
      </c>
      <c r="U295" s="4" t="n">
        <v>2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근접 공장 물류전문 창고로 추천드립니다</t>
        </is>
      </c>
      <c r="Q296" s="6">
        <f>HYPERLINK("https://fin.land.naver.com/articles/2651777434", "매물Link")</f>
        <v/>
      </c>
      <c r="R296" s="6">
        <f>HYPERLINK("https://map.naver.com/p/search/남이면 외천리 379-5", "지도Link")</f>
        <v/>
      </c>
      <c r="S296" s="6">
        <f>HYPERLINK("http://www.eum.go.kr/web/ar/lu/luLandDet.jsp?pnu=4311231022103790005&amp;isNoScr=script&amp;mode=search", "토지이음")</f>
        <v/>
      </c>
      <c r="T296" s="3" t="inlineStr">
        <is>
          <t>대박</t>
        </is>
      </c>
      <c r="U296" s="4" t="n">
        <v>1</v>
      </c>
      <c r="V296" s="5" t="n">
        <v>58</v>
      </c>
      <c r="W296" s="4" t="n">
        <v>1906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393</t>
        </is>
      </c>
      <c r="B297" s="3" t="inlineStr">
        <is>
          <t>계획관리지역</t>
        </is>
      </c>
      <c r="C297" s="3" t="inlineStr">
        <is>
          <t>창고용지</t>
        </is>
      </c>
      <c r="D297" s="3" t="inlineStr">
        <is>
          <t>창고</t>
        </is>
      </c>
      <c r="E297" s="3" t="inlineStr">
        <is>
          <t>월세</t>
        </is>
      </c>
      <c r="F297" s="4" t="n">
        <v>4000</v>
      </c>
      <c r="G297" s="4" t="n">
        <v>400</v>
      </c>
      <c r="H297" s="4" t="n">
        <v>2198</v>
      </c>
      <c r="I297" s="4" t="n">
        <v>665</v>
      </c>
      <c r="J297" s="5" t="n">
        <v>0.6</v>
      </c>
      <c r="K297" s="4" t="n">
        <v>987</v>
      </c>
      <c r="L297" s="4" t="n">
        <v>299</v>
      </c>
      <c r="M297" s="5" t="n">
        <v>1.3</v>
      </c>
      <c r="N297" s="3" t="inlineStr">
        <is>
          <t>2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HYPERLINK("https://fin.land.naver.com/articles/2653026797", "매물Link")</f>
        <v/>
      </c>
      <c r="R297" s="6">
        <f>HYPERLINK("https://map.naver.com/p/search/남이면 외천리 393", "지도Link")</f>
        <v/>
      </c>
      <c r="S297" s="6">
        <f>HYPERLINK("http://www.eum.go.kr/web/ar/lu/luLandDet.jsp?pnu=4311231022103930000&amp;isNoScr=script&amp;mode=search",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35</v>
      </c>
      <c r="W297" s="4" t="n">
        <v>2198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423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340000</v>
      </c>
      <c r="G298" s="4" t="n">
        <v>0</v>
      </c>
      <c r="H298" s="4" t="n">
        <v>3723</v>
      </c>
      <c r="I298" s="4" t="n">
        <v>1126</v>
      </c>
      <c r="J298" s="5" t="n">
        <v>302</v>
      </c>
      <c r="K298" s="4" t="n">
        <v>498</v>
      </c>
      <c r="L298" s="4" t="n">
        <v>151</v>
      </c>
      <c r="M298" s="5" t="n">
        <v>2251.7</v>
      </c>
      <c r="N298" s="3" t="inlineStr">
        <is>
          <t>1</t>
        </is>
      </c>
      <c r="O298" s="3" t="inlineStr">
        <is>
          <t>B2</t>
        </is>
      </c>
      <c r="P298" s="3" t="inlineStr">
        <is>
          <t>남청주 IC인근에 위치  2차선 도로 근접</t>
        </is>
      </c>
      <c r="Q298" s="6">
        <f>HYPERLINK("https://fin.land.naver.com/articles/2650550799", "매물Link")</f>
        <v/>
      </c>
      <c r="R298" s="6">
        <f>HYPERLINK("https://map.naver.com/p/search/남이면 외천리 423", "지도Link")</f>
        <v/>
      </c>
      <c r="S298" s="6">
        <f>HYPERLINK("http://www.eum.go.kr/web/ar/lu/luLandDet.jsp?pnu=4311231022104230000&amp;isNoScr=script&amp;mode=search", "토지이음")</f>
        <v/>
      </c>
      <c r="T298" s="3" t="inlineStr">
        <is>
          <t>트리풀신화</t>
        </is>
      </c>
      <c r="U298" s="4" t="n">
        <v>1</v>
      </c>
      <c r="V298" s="5" t="n">
        <v>69.09999999999999</v>
      </c>
      <c r="W298" s="4" t="n">
        <v>3723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350000</v>
      </c>
      <c r="G299" s="4" t="n">
        <v>0</v>
      </c>
      <c r="H299" s="4" t="n">
        <v>3723</v>
      </c>
      <c r="I299" s="4" t="n">
        <v>1126</v>
      </c>
      <c r="J299" s="5" t="n">
        <v>310.8</v>
      </c>
      <c r="K299" s="4" t="n">
        <v>498</v>
      </c>
      <c r="L299" s="4" t="n">
        <v>151</v>
      </c>
      <c r="M299" s="5" t="n">
        <v>2317.9</v>
      </c>
      <c r="N299" s="3" t="inlineStr">
        <is>
          <t>2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HYPERLINK("https://fin.land.naver.com/articles/2652938811",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이계형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577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150</v>
      </c>
      <c r="H300" s="4" t="n">
        <v>1682</v>
      </c>
      <c r="I300" s="4" t="n">
        <v>509</v>
      </c>
      <c r="J300" s="5" t="n">
        <v>0.3</v>
      </c>
      <c r="K300" s="4" t="n">
        <v>240</v>
      </c>
      <c r="L300" s="4" t="n">
        <v>73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창고 임대</t>
        </is>
      </c>
      <c r="Q300" s="6">
        <f>HYPERLINK("https://fin.land.naver.com/articles/2653026538", "매물Link")</f>
        <v/>
      </c>
      <c r="R300" s="6">
        <f>HYPERLINK("https://map.naver.com/p/search/남이면 외천리 577", "지도Link")</f>
        <v/>
      </c>
      <c r="S300" s="6">
        <f>HYPERLINK("http://www.eum.go.kr/web/ar/lu/luLandDet.jsp?pnu=4311231022105770000&amp;isNoScr=script&amp;mode=search",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66.09999999999999</v>
      </c>
      <c r="W300" s="4" t="n">
        <v>1260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94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7000</v>
      </c>
      <c r="G301" s="4" t="n">
        <v>650</v>
      </c>
      <c r="H301" s="4" t="n">
        <v>5120</v>
      </c>
      <c r="I301" s="4" t="n">
        <v>1549</v>
      </c>
      <c r="J301" s="5" t="n">
        <v>0.4</v>
      </c>
      <c r="K301" s="4" t="n">
        <v>1019</v>
      </c>
      <c r="L301" s="4" t="n">
        <v>308</v>
      </c>
      <c r="M301" s="5" t="n">
        <v>2.1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5분거리 전력300kw 호이스트 설치된 공장 사무실 있음</t>
        </is>
      </c>
      <c r="Q301" s="6">
        <f>HYPERLINK("https://fin.land.naver.com/articles/2650946942", "매물Link")</f>
        <v/>
      </c>
      <c r="R301" s="6">
        <f>HYPERLINK("https://map.naver.com/p/search/남이면 외천리 94", "지도Link")</f>
        <v/>
      </c>
      <c r="S301" s="6">
        <f>HYPERLINK("http://www.eum.go.kr/web/ar/lu/luLandDet.jsp?pnu=4311231022100940000&amp;isNoScr=script&amp;mode=search",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63.4</v>
      </c>
      <c r="W301" s="4" t="n">
        <v>5120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HYPERLINK("https://fin.land.naver.com/articles/2648089982",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133</v>
      </c>
      <c r="L303" s="4" t="n">
        <v>40</v>
      </c>
      <c r="M303" s="5" t="n">
        <v>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2차선 도로접, 차량 진출입 용이 마당 넓음</t>
        </is>
      </c>
      <c r="Q303" s="6">
        <f>HYPERLINK("https://fin.land.naver.com/articles/2649226615",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138</v>
      </c>
      <c r="L305" s="4" t="n">
        <v>42</v>
      </c>
      <c r="M305" s="5" t="n">
        <v>2.9</v>
      </c>
      <c r="N305" s="3" t="inlineStr">
        <is>
          <t>1</t>
        </is>
      </c>
      <c r="O305" s="3" t="inlineStr">
        <is>
          <t>-</t>
        </is>
      </c>
      <c r="P305" s="3" t="inlineStr">
        <is>
          <t>2차선도로접하고 마당넓은 신축소형창고 임대</t>
        </is>
      </c>
      <c r="Q305" s="6">
        <f>HYPERLINK("https://fin.land.naver.com/articles/2649683920",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4900</v>
      </c>
      <c r="G306" s="4" t="n">
        <v>490</v>
      </c>
      <c r="H306" s="4" t="n">
        <v>1777</v>
      </c>
      <c r="I306" s="4" t="n">
        <v>538</v>
      </c>
      <c r="J306" s="5" t="n">
        <v>0.9</v>
      </c>
      <c r="K306" s="4" t="n">
        <v>704</v>
      </c>
      <c r="L306" s="4" t="n">
        <v>213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HYPERLINK("https://fin.land.naver.com/articles/2648362772",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KS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진출입 매우 편리한 창고공장 임대 넓은 마당 확보. 넓은 면적가능</t>
        </is>
      </c>
      <c r="Q308" s="6">
        <f>HYPERLINK("https://fin.land.naver.com/articles/2650609474",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6870</v>
      </c>
      <c r="G310" s="4" t="n">
        <v>687</v>
      </c>
      <c r="H310" s="4" t="n">
        <v>2473</v>
      </c>
      <c r="I310" s="4" t="n">
        <v>748</v>
      </c>
      <c r="J310" s="5" t="n">
        <v>0.9</v>
      </c>
      <c r="K310" s="4" t="n">
        <v>987</v>
      </c>
      <c r="L310" s="4" t="n">
        <v>299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청주창고임대  남청주IC 인근 마당 넓은 저렴한 대형 공장창고</t>
        </is>
      </c>
      <c r="Q310" s="6">
        <f>HYPERLINK("https://fin.land.naver.com/articles/2649047840",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KS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 9분 청주도심권 2차선도로 접 식품업종 가능</t>
        </is>
      </c>
      <c r="Q311" s="6">
        <f>HYPERLINK("https://fin.land.naver.com/articles/2651673647",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더원</t>
        </is>
      </c>
      <c r="U311" s="4" t="n">
        <v>4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6800</v>
      </c>
      <c r="G312" s="4" t="n">
        <v>680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진출입 매우 편리한 창고공장 임대 더 넓은 면적 가능 상세정보 확인요망</t>
        </is>
      </c>
      <c r="Q312" s="6">
        <f>HYPERLINK("https://fin.land.naver.com/articles/2650611002",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인접한 두개 동 모두 임대조건 넓은 개인전용마당 확보 진출입 매우 용이</t>
        </is>
      </c>
      <c r="Q313" s="6">
        <f>HYPERLINK("https://fin.land.naver.com/articles/2650609224",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11770</v>
      </c>
      <c r="G314" s="4" t="n">
        <v>1177</v>
      </c>
      <c r="H314" s="4" t="n">
        <v>4250</v>
      </c>
      <c r="I314" s="4" t="n">
        <v>1286</v>
      </c>
      <c r="J314" s="5" t="n">
        <v>0.9</v>
      </c>
      <c r="K314" s="4" t="n">
        <v>1691</v>
      </c>
      <c r="L314" s="4" t="n">
        <v>512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척북삼거리 인근 2차선대로변에서 바로 진입가능</t>
        </is>
      </c>
      <c r="Q314" s="6">
        <f>HYPERLINK("https://fin.land.naver.com/articles/2651592951",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제조 공장 부지.협의가능.</t>
        </is>
      </c>
      <c r="Q315" s="6">
        <f>HYPERLINK("https://fin.land.naver.com/articles/2652910166",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호반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척산삼거리 인근 마당 넓음, 2차선 대로변에서 진입</t>
        </is>
      </c>
      <c r="Q317" s="6">
        <f>HYPERLINK("https://fin.land.naver.com/articles/2649846117",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55형 대지 200형 사용</t>
        </is>
      </c>
      <c r="Q318" s="6">
        <f>HYPERLINK("https://fin.land.naver.com/articles/2649851752",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척산삼거리 인근, 도로변, 55형, 창고, 2개동사용가능, 넓은 마당</t>
        </is>
      </c>
      <c r="Q319" s="6">
        <f>HYPERLINK("https://fin.land.naver.com/articles/2650094061",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라인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HYPERLINK("https://fin.land.naver.com/articles/2649339849",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240000</v>
      </c>
      <c r="G322" s="4" t="n">
        <v>0</v>
      </c>
      <c r="H322" s="4" t="n">
        <v>1462</v>
      </c>
      <c r="I322" s="4" t="n">
        <v>442</v>
      </c>
      <c r="J322" s="5" t="n">
        <v>543</v>
      </c>
      <c r="K322" s="4" t="n">
        <v>291</v>
      </c>
      <c r="L322" s="4" t="n">
        <v>88</v>
      </c>
      <c r="M322" s="5" t="n">
        <v>2727.3</v>
      </c>
      <c r="N322" s="3" t="inlineStr">
        <is>
          <t>1</t>
        </is>
      </c>
      <c r="O322" s="3" t="inlineStr">
        <is>
          <t>B1</t>
        </is>
      </c>
      <c r="P322" s="3" t="inlineStr">
        <is>
          <t>남청주 ic 5분거리 인접, 접근성 뛰어난 신축 공장 매매</t>
        </is>
      </c>
      <c r="Q322" s="6">
        <f>HYPERLINK("https://fin.land.naver.com/articles/2650533629",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청주 합동</t>
        </is>
      </c>
      <c r="U322" s="4" t="n">
        <v>2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158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매매</t>
        </is>
      </c>
      <c r="F323" s="4" t="n">
        <v>80000</v>
      </c>
      <c r="G323" s="4" t="n">
        <v>0</v>
      </c>
      <c r="H323" s="4" t="n">
        <v>1436</v>
      </c>
      <c r="I323" s="4" t="n">
        <v>434</v>
      </c>
      <c r="J323" s="5" t="n">
        <v>184.3</v>
      </c>
      <c r="K323" s="4" t="n">
        <v>276</v>
      </c>
      <c r="L323" s="4" t="n">
        <v>83</v>
      </c>
      <c r="M323" s="5" t="n">
        <v>963.9</v>
      </c>
      <c r="N323" s="3" t="inlineStr">
        <is>
          <t>1</t>
        </is>
      </c>
      <c r="O323" s="3" t="inlineStr">
        <is>
          <t>-</t>
        </is>
      </c>
      <c r="P323" s="3" t="inlineStr">
        <is>
          <t>사진有, 척산삼거리인근, 신축 2종근생제조업소, 대형차량진입용이</t>
        </is>
      </c>
      <c r="Q323" s="6">
        <f>HYPERLINK("https://fin.land.naver.com/articles/2650897636", "매물Link")</f>
        <v/>
      </c>
      <c r="R323" s="6">
        <f>HYPERLINK("https://map.naver.com/p/search/남이면 척산리 158", "지도Link")</f>
        <v/>
      </c>
      <c r="S323" s="6">
        <f>HYPERLINK("http://www.eum.go.kr/web/ar/lu/luLandDet.jsp?pnu=4311231021101580000&amp;isNoScr=script&amp;mode=search",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64.90000000000001</v>
      </c>
      <c r="W323" s="4" t="n">
        <v>1436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159</t>
        </is>
      </c>
      <c r="B324" s="3" t="inlineStr">
        <is>
          <t>자연녹지지역</t>
        </is>
      </c>
      <c r="C324" s="3" t="inlineStr">
        <is>
          <t>공장용지</t>
        </is>
      </c>
      <c r="D324" s="3" t="inlineStr">
        <is>
          <t>창고</t>
        </is>
      </c>
      <c r="E324" s="3" t="inlineStr">
        <is>
          <t>월세</t>
        </is>
      </c>
      <c r="F324" s="4" t="n">
        <v>5000</v>
      </c>
      <c r="G324" s="4" t="n">
        <v>600</v>
      </c>
      <c r="H324" s="4" t="n">
        <v>4385</v>
      </c>
      <c r="I324" s="4" t="n">
        <v>1326</v>
      </c>
      <c r="J324" s="5" t="n">
        <v>0.5</v>
      </c>
      <c r="K324" s="4" t="n">
        <v>642</v>
      </c>
      <c r="L324" s="4" t="n">
        <v>194</v>
      </c>
      <c r="M324" s="5" t="n">
        <v>3.1</v>
      </c>
      <c r="N324" s="3" t="inlineStr">
        <is>
          <t>1</t>
        </is>
      </c>
      <c r="O324" s="3" t="inlineStr">
        <is>
          <t>-</t>
        </is>
      </c>
      <c r="P324" s="3" t="inlineStr">
        <is>
          <t>축산물 냉동창고 임대 보5천만원, 월6백만원, 총15톤정도 수용가능</t>
        </is>
      </c>
      <c r="Q324" s="6">
        <f>HYPERLINK("https://fin.land.naver.com/articles/2648682978", "매물Link")</f>
        <v/>
      </c>
      <c r="R324" s="6">
        <f>HYPERLINK("https://map.naver.com/p/search/남이면 척산리 159", "지도Link")</f>
        <v/>
      </c>
      <c r="S324" s="6">
        <f>HYPERLINK("http://www.eum.go.kr/web/ar/lu/luLandDet.jsp?pnu=4311231021101590000&amp;isNoScr=script&amp;mode=search", "토지이음")</f>
        <v/>
      </c>
      <c r="T324" s="3" t="inlineStr">
        <is>
          <t>하경</t>
        </is>
      </c>
      <c r="U324" s="4" t="n">
        <v>1</v>
      </c>
      <c r="V324" s="5" t="n">
        <v>60.6</v>
      </c>
      <c r="W324" s="4" t="n">
        <v>4385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</t>
        </is>
      </c>
      <c r="B325" s="3" t="inlineStr">
        <is>
          <t>계획관리지역</t>
        </is>
      </c>
      <c r="C325" s="3" t="inlineStr">
        <is>
          <t>잡종지</t>
        </is>
      </c>
      <c r="D325" s="3" t="inlineStr">
        <is>
          <t>공장</t>
        </is>
      </c>
      <c r="E325" s="3" t="inlineStr">
        <is>
          <t>매매</t>
        </is>
      </c>
      <c r="F325" s="4" t="n">
        <v>400000</v>
      </c>
      <c r="G325" s="4" t="n">
        <v>0</v>
      </c>
      <c r="H325" s="4" t="n">
        <v>7264</v>
      </c>
      <c r="I325" s="4" t="n">
        <v>2197</v>
      </c>
      <c r="J325" s="5" t="n">
        <v>182.1</v>
      </c>
      <c r="K325" s="4" t="n">
        <v>1337</v>
      </c>
      <c r="L325" s="4" t="n">
        <v>404</v>
      </c>
      <c r="M325" s="5" t="n">
        <v>990.1</v>
      </c>
      <c r="N325" s="3" t="inlineStr">
        <is>
          <t>2</t>
        </is>
      </c>
      <c r="O325" s="3" t="inlineStr">
        <is>
          <t>-</t>
        </is>
      </c>
      <c r="P325" s="3" t="inlineStr">
        <is>
          <t>공장용도</t>
        </is>
      </c>
      <c r="Q325" s="6">
        <f>HYPERLINK("https://fin.land.naver.com/articles/2650638871", "매물Link")</f>
        <v/>
      </c>
      <c r="R325" s="6">
        <f>HYPERLINK("https://map.naver.com/p/search/남이면 척산리 232", "지도Link")</f>
        <v/>
      </c>
      <c r="S325" s="6">
        <f>HYPERLINK("http://www.eum.go.kr/web/ar/lu/luLandDet.jsp?pnu=4311231021102320000&amp;isNoScr=script&amp;mode=search", "토지이음")</f>
        <v/>
      </c>
      <c r="T325" s="3" t="inlineStr">
        <is>
          <t>(주)이알에이코리아</t>
        </is>
      </c>
      <c r="U325" s="4" t="n">
        <v>1</v>
      </c>
      <c r="V325" s="5" t="n">
        <v>65.09999999999999</v>
      </c>
      <c r="W325" s="4" t="n">
        <v>7000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</t>
        </is>
      </c>
      <c r="B326" s="3" t="inlineStr">
        <is>
          <t>계획관리지역</t>
        </is>
      </c>
      <c r="C326" s="3" t="inlineStr">
        <is>
          <t>잡종지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1000</v>
      </c>
      <c r="H326" s="4" t="n">
        <v>7264</v>
      </c>
      <c r="I326" s="4" t="n">
        <v>2197</v>
      </c>
      <c r="J326" s="5" t="n">
        <v>0.5</v>
      </c>
      <c r="K326" s="4" t="n">
        <v>1337</v>
      </c>
      <c r="L326" s="4" t="n">
        <v>404</v>
      </c>
      <c r="M326" s="5" t="n">
        <v>2.5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 IC 5.3km ,넓은 야적장,  공장 창고 물류,</t>
        </is>
      </c>
      <c r="Q326" s="6">
        <f>HYPERLINK("https://fin.land.naver.com/articles/2649746971", "매물Link")</f>
        <v/>
      </c>
      <c r="R326" s="6">
        <f>HYPERLINK("https://map.naver.com/p/search/남이면 척산리 232", "지도Link")</f>
        <v/>
      </c>
      <c r="S326" s="6">
        <f>HYPERLINK("http://www.eum.go.kr/web/ar/lu/luLandDet.jsp?pnu=4311231021102320000&amp;isNoScr=script&amp;mode=search", "토지이음")</f>
        <v/>
      </c>
      <c r="T326" s="3" t="inlineStr">
        <is>
          <t>(주)이알에이코리아</t>
        </is>
      </c>
      <c r="U326" s="4" t="n">
        <v>1</v>
      </c>
      <c r="V326" s="5" t="n">
        <v>65.09999999999999</v>
      </c>
      <c r="W326" s="4" t="n">
        <v>7000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1100000</v>
      </c>
      <c r="G327" s="4" t="n">
        <v>0</v>
      </c>
      <c r="H327" s="4" t="n">
        <v>10144</v>
      </c>
      <c r="I327" s="4" t="n">
        <v>3069</v>
      </c>
      <c r="J327" s="5" t="n">
        <v>358.4</v>
      </c>
      <c r="K327" s="4" t="n">
        <v>9117</v>
      </c>
      <c r="L327" s="4" t="n">
        <v>2758</v>
      </c>
      <c r="M327" s="5" t="n">
        <v>398.8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남청주ic 9분거리로 고속도로 접근성 좋아 타지역으로 물류이동이 편리함</t>
        </is>
      </c>
      <c r="Q327" s="6">
        <f>HYPERLINK("https://fin.land.naver.com/articles/2652625185",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더원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1200000</v>
      </c>
      <c r="G328" s="4" t="n">
        <v>0</v>
      </c>
      <c r="H328" s="4" t="n">
        <v>3068</v>
      </c>
      <c r="I328" s="4" t="n">
        <v>928</v>
      </c>
      <c r="J328" s="5" t="n">
        <v>1293.1</v>
      </c>
      <c r="K328" s="4" t="n">
        <v>2757</v>
      </c>
      <c r="L328" s="4" t="n">
        <v>834</v>
      </c>
      <c r="M328" s="5" t="n">
        <v>1438.8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매매</t>
        </is>
      </c>
      <c r="Q328" s="6">
        <f>HYPERLINK("https://fin.land.naver.com/articles/2650520423",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1100000</v>
      </c>
      <c r="G329" s="4" t="n">
        <v>0</v>
      </c>
      <c r="H329" s="4" t="n">
        <v>10144</v>
      </c>
      <c r="I329" s="4" t="n">
        <v>3069</v>
      </c>
      <c r="J329" s="5" t="n">
        <v>358.4</v>
      </c>
      <c r="K329" s="4" t="n">
        <v>9117</v>
      </c>
      <c r="L329" s="4" t="n">
        <v>2758</v>
      </c>
      <c r="M329" s="5" t="n">
        <v>398.8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 대형차 진출입 용이한 관리 잘 된 대형공장, 창고</t>
        </is>
      </c>
      <c r="Q329" s="6">
        <f>HYPERLINK("https://fin.land.naver.com/articles/2652105829",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12000</v>
      </c>
      <c r="G331" s="4" t="n">
        <v>1200</v>
      </c>
      <c r="H331" s="4" t="n">
        <v>10144</v>
      </c>
      <c r="I331" s="4" t="n">
        <v>3069</v>
      </c>
      <c r="J331" s="5" t="n">
        <v>0.4</v>
      </c>
      <c r="K331" s="4" t="n">
        <v>1810</v>
      </c>
      <c r="L331" s="4" t="n">
        <v>548</v>
      </c>
      <c r="M331" s="5" t="n">
        <v>2.2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 IC 인근 대형 공장, 화물 엘리베이터, 대형차 진출입 원활</t>
        </is>
      </c>
      <c r="Q331" s="6">
        <f>HYPERLINK("https://fin.land.naver.com/articles/2648836433",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대전토지로무소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1812</v>
      </c>
      <c r="L332" s="4" t="n">
        <v>548</v>
      </c>
      <c r="M332" s="5" t="n">
        <v>2.2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임대</t>
        </is>
      </c>
      <c r="Q332" s="6">
        <f>HYPERLINK("https://fin.land.naver.com/articles/2653027070",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327-1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160</v>
      </c>
      <c r="H333" s="4" t="n">
        <v>1249</v>
      </c>
      <c r="I333" s="4" t="n">
        <v>378</v>
      </c>
      <c r="J333" s="5" t="n">
        <v>0.4</v>
      </c>
      <c r="K333" s="4" t="n">
        <v>296</v>
      </c>
      <c r="L333" s="4" t="n">
        <v>90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90형 마당크게 사용가능</t>
        </is>
      </c>
      <c r="Q333" s="6">
        <f>HYPERLINK("https://fin.land.naver.com/articles/2652969989", "매물Link")</f>
        <v/>
      </c>
      <c r="R333" s="6">
        <f>HYPERLINK("https://map.naver.com/p/search/남이면 척산리 327-1", "지도Link")</f>
        <v/>
      </c>
      <c r="S333" s="6">
        <f>HYPERLINK("http://www.eum.go.kr/web/ar/lu/luLandDet.jsp?pnu=4311231021103270001&amp;isNoScr=script&amp;mode=search",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65.09999999999999</v>
      </c>
      <c r="W333" s="4" t="n">
        <v>1249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343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140</v>
      </c>
      <c r="H334" s="4" t="n">
        <v>886</v>
      </c>
      <c r="I334" s="4" t="n">
        <v>268</v>
      </c>
      <c r="J334" s="5" t="n">
        <v>0.5</v>
      </c>
      <c r="K334" s="4" t="n">
        <v>196</v>
      </c>
      <c r="L334" s="4" t="n">
        <v>59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有,남청주ic 차량7분,대형차량 진출입 용이,신축급 저렴한 창고</t>
        </is>
      </c>
      <c r="Q334" s="6">
        <f>HYPERLINK("https://fin.land.naver.com/articles/2651860914", "매물Link")</f>
        <v/>
      </c>
      <c r="R334" s="6">
        <f>HYPERLINK("https://map.naver.com/p/search/남이면 척산리 343", "지도Link")</f>
        <v/>
      </c>
      <c r="S334" s="6">
        <f>HYPERLINK("http://www.eum.go.kr/web/ar/lu/luLandDet.jsp?pnu=4311231021103430000&amp;isNoScr=script&amp;mode=search", "토지이음")</f>
        <v/>
      </c>
      <c r="T334" s="3" t="inlineStr">
        <is>
          <t>나는</t>
        </is>
      </c>
      <c r="U334" s="4" t="n">
        <v>2</v>
      </c>
      <c r="V334" s="5" t="n">
        <v>50.8</v>
      </c>
      <c r="W334" s="4" t="n">
        <v>886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366-9</t>
        </is>
      </c>
      <c r="B335" s="3" t="inlineStr">
        <is>
          <t>계획관리지역</t>
        </is>
      </c>
      <c r="C335" s="3" t="inlineStr">
        <is>
          <t>창고용지</t>
        </is>
      </c>
      <c r="D335" s="3" t="inlineStr">
        <is>
          <t>창고</t>
        </is>
      </c>
      <c r="E335" s="3" t="inlineStr">
        <is>
          <t>매매</t>
        </is>
      </c>
      <c r="F335" s="4" t="n">
        <v>190000</v>
      </c>
      <c r="G335" s="4" t="n">
        <v>0</v>
      </c>
      <c r="H335" s="4" t="n">
        <v>2671</v>
      </c>
      <c r="I335" s="4" t="n">
        <v>808</v>
      </c>
      <c r="J335" s="5" t="n">
        <v>235.1</v>
      </c>
      <c r="K335" s="4" t="n">
        <v>1360</v>
      </c>
      <c r="L335" s="4" t="n">
        <v>411</v>
      </c>
      <c r="M335" s="5" t="n">
        <v>462.3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계획관리지역,성장관리구역의 대형 창고시설 임대 및 매매</t>
        </is>
      </c>
      <c r="Q335" s="6">
        <f>HYPERLINK("https://fin.land.naver.com/articles/2650156131", "매물Link")</f>
        <v/>
      </c>
      <c r="R335" s="6">
        <f>HYPERLINK("https://map.naver.com/p/search/남이면 척산리 366-9", "지도Link")</f>
        <v/>
      </c>
      <c r="S335" s="6">
        <f>HYPERLINK("http://www.eum.go.kr/web/ar/lu/luLandDet.jsp?pnu=4311231021103660009&amp;isNoScr=script&amp;mode=search", "토지이음")</f>
        <v/>
      </c>
      <c r="T335" s="3" t="inlineStr">
        <is>
          <t>e교차로합동</t>
        </is>
      </c>
      <c r="U335" s="4" t="n">
        <v>1</v>
      </c>
      <c r="V335" s="5" t="n">
        <v>83.2</v>
      </c>
      <c r="W335" s="4" t="n">
        <v>2671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366-9</t>
        </is>
      </c>
      <c r="B336" s="3" t="inlineStr">
        <is>
          <t>계획관리지역</t>
        </is>
      </c>
      <c r="C336" s="3" t="inlineStr">
        <is>
          <t>창고용지</t>
        </is>
      </c>
      <c r="D336" s="3" t="inlineStr">
        <is>
          <t>창고</t>
        </is>
      </c>
      <c r="E336" s="3" t="inlineStr">
        <is>
          <t>매매</t>
        </is>
      </c>
      <c r="F336" s="4" t="n">
        <v>190000</v>
      </c>
      <c r="G336" s="4" t="n">
        <v>0</v>
      </c>
      <c r="H336" s="4" t="n">
        <v>2671</v>
      </c>
      <c r="I336" s="4" t="n">
        <v>808</v>
      </c>
      <c r="J336" s="5" t="n">
        <v>235.1</v>
      </c>
      <c r="K336" s="4" t="n">
        <v>1025</v>
      </c>
      <c r="L336" s="4" t="n">
        <v>310</v>
      </c>
      <c r="M336" s="5" t="n">
        <v>612.9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8분 경부 당진영덕고속도로  접근성 좋은 소형창고매매</t>
        </is>
      </c>
      <c r="Q336" s="6">
        <f>HYPERLINK("https://fin.land.naver.com/articles/2651673718", "매물Link")</f>
        <v/>
      </c>
      <c r="R336" s="6">
        <f>HYPERLINK("https://map.naver.com/p/search/남이면 척산리 366-9", "지도Link")</f>
        <v/>
      </c>
      <c r="S336" s="6">
        <f>HYPERLINK("http://www.eum.go.kr/web/ar/lu/luLandDet.jsp?pnu=4311231021103660009&amp;isNoScr=script&amp;mode=search",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83.2</v>
      </c>
      <c r="W336" s="4" t="n">
        <v>2671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369-15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130000</v>
      </c>
      <c r="G337" s="4" t="n">
        <v>0</v>
      </c>
      <c r="H337" s="4" t="n">
        <v>1340</v>
      </c>
      <c r="I337" s="4" t="n">
        <v>405</v>
      </c>
      <c r="J337" s="5" t="n">
        <v>321</v>
      </c>
      <c r="K337" s="4" t="n">
        <v>317</v>
      </c>
      <c r="L337" s="4" t="n">
        <v>96</v>
      </c>
      <c r="M337" s="5" t="n">
        <v>1354.2</v>
      </c>
      <c r="N337" s="3" t="inlineStr">
        <is>
          <t>1</t>
        </is>
      </c>
      <c r="O337" s="3" t="inlineStr">
        <is>
          <t>-</t>
        </is>
      </c>
      <c r="P337" s="3" t="inlineStr">
        <is>
          <t>4차로변 광고효과가 매우 좋은 위치입니다.</t>
        </is>
      </c>
      <c r="Q337" s="6">
        <f>HYPERLINK("https://fin.land.naver.com/articles/2650137544", "매물Link")</f>
        <v/>
      </c>
      <c r="R337" s="6">
        <f>HYPERLINK("https://map.naver.com/p/search/남이면 척산리 369-15", "지도Link")</f>
        <v/>
      </c>
      <c r="S337" s="6">
        <f>HYPERLINK("http://www.eum.go.kr/web/ar/lu/luLandDet.jsp?pnu=4311231021103690015&amp;isNoScr=script&amp;mode=search", "토지이음")</f>
        <v/>
      </c>
      <c r="T337" s="3" t="inlineStr">
        <is>
          <t>정민</t>
        </is>
      </c>
      <c r="U337" s="4" t="n">
        <v>1</v>
      </c>
      <c r="V337" s="5" t="n">
        <v>110</v>
      </c>
      <c r="W337" s="4" t="n">
        <v>1340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중로한면</t>
        </is>
      </c>
    </row>
    <row r="338">
      <c r="A338" s="3" t="inlineStr">
        <is>
          <t>남이면 척산리 382-1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HYPERLINK("https://fin.land.naver.com/articles/2648666221", "매물Link")</f>
        <v/>
      </c>
      <c r="R338" s="6">
        <f>HYPERLINK("https://map.naver.com/p/search/남이면 척산리 382-1", "지도Link")</f>
        <v/>
      </c>
      <c r="S338" s="6">
        <f>HYPERLINK("http://www.eum.go.kr/web/ar/lu/luLandDet.jsp?pnu=4311231021103820001&amp;isNoScr=script&amp;mode=search", "토지이음")</f>
        <v/>
      </c>
      <c r="T338" s="3" t="inlineStr">
        <is>
          <t>수풀림</t>
        </is>
      </c>
      <c r="U338" s="4" t="n">
        <v>1</v>
      </c>
      <c r="V338" s="5" t="n">
        <v>98.2</v>
      </c>
      <c r="W338" s="4" t="n">
        <v>236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125000</v>
      </c>
      <c r="G339" s="4" t="n">
        <v>0</v>
      </c>
      <c r="H339" s="4" t="n">
        <v>1379</v>
      </c>
      <c r="I339" s="4" t="n">
        <v>417</v>
      </c>
      <c r="J339" s="5" t="n">
        <v>299.8</v>
      </c>
      <c r="K339" s="4" t="n">
        <v>678</v>
      </c>
      <c r="L339" s="4" t="n">
        <v>205</v>
      </c>
      <c r="M339" s="5" t="n">
        <v>609.8</v>
      </c>
      <c r="N339" s="3" t="inlineStr">
        <is>
          <t>1</t>
        </is>
      </c>
      <c r="O339" s="3" t="inlineStr">
        <is>
          <t>-</t>
        </is>
      </c>
      <c r="P339" s="3" t="inlineStr">
        <is>
          <t>건물2동을 1동으로사용</t>
        </is>
      </c>
      <c r="Q339" s="6">
        <f>HYPERLINK("https://fin.land.naver.com/articles/2649183975",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HYPERLINK("https://fin.land.naver.com/articles/2649445104",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120000</v>
      </c>
      <c r="G341" s="4" t="n">
        <v>0</v>
      </c>
      <c r="H341" s="4" t="n">
        <v>1749</v>
      </c>
      <c r="I341" s="4" t="n">
        <v>529</v>
      </c>
      <c r="J341" s="5" t="n">
        <v>226.8</v>
      </c>
      <c r="K341" s="4" t="n">
        <v>678</v>
      </c>
      <c r="L341" s="4" t="n">
        <v>205</v>
      </c>
      <c r="M341" s="5" t="n">
        <v>585.4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매매.대형차량진입가능.</t>
        </is>
      </c>
      <c r="Q341" s="6">
        <f>HYPERLINK("https://fin.land.naver.com/articles/2650966213",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4000</v>
      </c>
      <c r="G342" s="4" t="n">
        <v>400</v>
      </c>
      <c r="H342" s="4" t="n">
        <v>1749</v>
      </c>
      <c r="I342" s="4" t="n">
        <v>529</v>
      </c>
      <c r="J342" s="5" t="n">
        <v>0.8</v>
      </c>
      <c r="K342" s="4" t="n">
        <v>678</v>
      </c>
      <c r="L342" s="4" t="n">
        <v>205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척산리 창고 월세,  마당 넓어요, 즉시입주 가능</t>
        </is>
      </c>
      <c r="Q342" s="6">
        <f>HYPERLINK("https://fin.land.naver.com/articles/2652902119",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산남태강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4000</v>
      </c>
      <c r="G343" s="4" t="n">
        <v>400</v>
      </c>
      <c r="H343" s="4" t="n">
        <v>1749</v>
      </c>
      <c r="I343" s="4" t="n">
        <v>529</v>
      </c>
      <c r="J343" s="5" t="n">
        <v>0.8</v>
      </c>
      <c r="K343" s="4" t="n">
        <v>678</v>
      </c>
      <c r="L343" s="4" t="n">
        <v>205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즉시 입주 가능,주차 공간 넓어 대형차량 진출입,회전 편리</t>
        </is>
      </c>
      <c r="Q343" s="6">
        <f>HYPERLINK("https://fin.land.naver.com/articles/2650939836",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금화랜드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4000</v>
      </c>
      <c r="G344" s="4" t="n">
        <v>400</v>
      </c>
      <c r="H344" s="4" t="n">
        <v>1749</v>
      </c>
      <c r="I344" s="4" t="n">
        <v>529</v>
      </c>
      <c r="J344" s="5" t="n">
        <v>0.8</v>
      </c>
      <c r="K344" s="4" t="n">
        <v>341</v>
      </c>
      <c r="L344" s="4" t="n">
        <v>103</v>
      </c>
      <c r="M344" s="5" t="n">
        <v>3.9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남청주IC근처  척산리 공장 임대.대형차량진입가능.</t>
        </is>
      </c>
      <c r="Q344" s="6">
        <f>HYPERLINK("https://fin.land.naver.com/articles/2651304270",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방서에이스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341</v>
      </c>
      <c r="L345" s="4" t="n">
        <v>103</v>
      </c>
      <c r="M345" s="5" t="n">
        <v>1068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남청주ic까지 6차선확장예정.진입로25t가능.남청줏ic5분거리</t>
        </is>
      </c>
      <c r="Q345" s="6">
        <f>HYPERLINK("https://fin.land.naver.com/articles/2653147017",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옥산제일사무소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HYPERLINK("https://fin.land.naver.com/articles/2649486296",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금맥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678</v>
      </c>
      <c r="L347" s="4" t="n">
        <v>205</v>
      </c>
      <c r="M347" s="5" t="n">
        <v>536.6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 척산리 창고 매매, 남청주ic 인접, 마당 넓음, 유통물류 추천</t>
        </is>
      </c>
      <c r="Q347" s="6">
        <f>HYPERLINK("https://fin.land.naver.com/articles/2652903126",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10000</v>
      </c>
      <c r="G348" s="4" t="n">
        <v>700</v>
      </c>
      <c r="H348" s="4" t="n">
        <v>5582</v>
      </c>
      <c r="I348" s="4" t="n">
        <v>1689</v>
      </c>
      <c r="J348" s="5" t="n">
        <v>0.4</v>
      </c>
      <c r="K348" s="4" t="n">
        <v>2126</v>
      </c>
      <c r="L348" s="4" t="n">
        <v>643</v>
      </c>
      <c r="M348" s="5" t="n">
        <v>1.1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5km 거리. 공장. 창고.</t>
        </is>
      </c>
      <c r="Q348" s="6">
        <f>HYPERLINK("https://fin.land.naver.com/articles/2649746738", "매물Link")</f>
        <v/>
      </c>
      <c r="R348" s="6">
        <f>HYPERLINK("https://map.naver.com/p/search/남이면 척산리 392", "지도Link")</f>
        <v/>
      </c>
      <c r="S348" s="6">
        <f>HYPERLINK("http://www.eum.go.kr/web/ar/lu/luLandDet.jsp?pnu=4311231021103920000&amp;isNoScr=script&amp;mode=search",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65.5</v>
      </c>
      <c r="W348" s="4" t="n">
        <v>4961.4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290000</v>
      </c>
      <c r="G349" s="4" t="n">
        <v>0</v>
      </c>
      <c r="H349" s="4" t="n">
        <v>5582</v>
      </c>
      <c r="I349" s="4" t="n">
        <v>1689</v>
      </c>
      <c r="J349" s="5" t="n">
        <v>171.7</v>
      </c>
      <c r="K349" s="4" t="n">
        <v>2126</v>
      </c>
      <c r="L349" s="4" t="n">
        <v>643</v>
      </c>
      <c r="M349" s="5" t="n">
        <v>451</v>
      </c>
      <c r="N349" s="3" t="inlineStr">
        <is>
          <t>1</t>
        </is>
      </c>
      <c r="O349" s="3" t="inlineStr">
        <is>
          <t>-</t>
        </is>
      </c>
      <c r="P349" s="3" t="inlineStr">
        <is>
          <t>공장용도</t>
        </is>
      </c>
      <c r="Q349" s="6">
        <f>HYPERLINK("https://fin.land.naver.com/articles/2650638941",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180</v>
      </c>
      <c r="H350" s="4" t="n">
        <v>1823</v>
      </c>
      <c r="I350" s="4" t="n">
        <v>551</v>
      </c>
      <c r="J350" s="5" t="n">
        <v>0.3</v>
      </c>
      <c r="K350" s="4" t="n">
        <v>263</v>
      </c>
      <c r="L350" s="4" t="n">
        <v>80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nan</t>
        </is>
      </c>
      <c r="Q350" s="6">
        <f>HYPERLINK("https://fin.land.naver.com/articles/2649233221", "매물Link")</f>
        <v/>
      </c>
      <c r="R350" s="6">
        <f>HYPERLINK("https://map.naver.com/p/search/남이면 척산리 395", "지도Link")</f>
        <v/>
      </c>
      <c r="S350" s="6">
        <f>HYPERLINK("http://www.eum.go.kr/web/ar/lu/luLandDet.jsp?pnu=4311231021103950000&amp;isNoScr=script&amp;mode=search",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59.8</v>
      </c>
      <c r="W350" s="4" t="n">
        <v>1823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진출입 용이, 소형 창고용도로 추천 드림, 사무실 및 화장실 있음</t>
        </is>
      </c>
      <c r="Q351" s="6">
        <f>HYPERLINK("https://fin.land.naver.com/articles/2652675497",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제이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소형창고 사무실 있음 창고나 소매점가능</t>
        </is>
      </c>
      <c r="Q352" s="6">
        <f>HYPERLINK("https://fin.land.naver.com/articles/2650955465",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80형 공장 창고</t>
        </is>
      </c>
      <c r="Q353" s="6">
        <f>HYPERLINK("https://fin.land.naver.com/articles/2649851627",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592-1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135000</v>
      </c>
      <c r="G354" s="4" t="n">
        <v>0</v>
      </c>
      <c r="H354" s="4" t="n">
        <v>1038</v>
      </c>
      <c r="I354" s="4" t="n">
        <v>314</v>
      </c>
      <c r="J354" s="5" t="n">
        <v>429.9</v>
      </c>
      <c r="K354" s="4" t="n">
        <v>884</v>
      </c>
      <c r="L354" s="4" t="n">
        <v>267</v>
      </c>
      <c r="M354" s="5" t="n">
        <v>505.6</v>
      </c>
      <c r="N354" s="3" t="inlineStr">
        <is>
          <t>2</t>
        </is>
      </c>
      <c r="O354" s="3" t="inlineStr">
        <is>
          <t>-</t>
        </is>
      </c>
      <c r="P354" s="3" t="inlineStr">
        <is>
          <t>식품 프랜차이즈 본사형 제조공장 매매, 수산센터 및 수산물가공공장 가능</t>
        </is>
      </c>
      <c r="Q354" s="6">
        <f>HYPERLINK("https://fin.land.naver.com/articles/2651998080", "매물Link")</f>
        <v/>
      </c>
      <c r="R354" s="6">
        <f>HYPERLINK("https://map.naver.com/p/search/남이면 척산리 592-1", "지도Link")</f>
        <v/>
      </c>
      <c r="S354" s="6">
        <f>HYPERLINK("http://www.eum.go.kr/web/ar/lu/luLandDet.jsp?pnu=4311231021105920001&amp;isNoScr=script&amp;mode=search", "토지이음")</f>
        <v/>
      </c>
      <c r="T354" s="3" t="inlineStr">
        <is>
          <t>충대</t>
        </is>
      </c>
      <c r="U354" s="4" t="n">
        <v>1</v>
      </c>
      <c r="V354" s="5" t="n">
        <v>144.9</v>
      </c>
      <c r="W354" s="4" t="n">
        <v>1021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세로각지(가)</t>
        </is>
      </c>
    </row>
    <row r="355">
      <c r="A355" s="3" t="inlineStr">
        <is>
          <t>남이면 척산리 644-2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200</v>
      </c>
      <c r="H355" s="4" t="n">
        <v>839</v>
      </c>
      <c r="I355" s="4" t="n">
        <v>254</v>
      </c>
      <c r="J355" s="5" t="n">
        <v>0.8</v>
      </c>
      <c r="K355" s="4" t="n">
        <v>325</v>
      </c>
      <c r="L355" s="4" t="n">
        <v>98</v>
      </c>
      <c r="M355" s="5" t="n">
        <v>2</v>
      </c>
      <c r="N355" s="3" t="inlineStr">
        <is>
          <t>2</t>
        </is>
      </c>
      <c r="O355" s="3" t="inlineStr">
        <is>
          <t>-</t>
        </is>
      </c>
      <c r="P355" s="3" t="inlineStr">
        <is>
          <t>건물100형 현재공실 즉시입주</t>
        </is>
      </c>
      <c r="Q355" s="6">
        <f>HYPERLINK("https://fin.land.naver.com/articles/2652949716", "매물Link")</f>
        <v/>
      </c>
      <c r="R355" s="6">
        <f>HYPERLINK("https://map.naver.com/p/search/남이면 척산리 644-2", "지도Link")</f>
        <v/>
      </c>
      <c r="S355" s="6">
        <f>HYPERLINK("http://www.eum.go.kr/web/ar/lu/luLandDet.jsp?pnu=4311231021106440002&amp;isNoScr=script&amp;mode=search",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68.90000000000001</v>
      </c>
      <c r="W355" s="4" t="n">
        <v>839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644-2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839</v>
      </c>
      <c r="I356" s="4" t="n">
        <v>254</v>
      </c>
      <c r="J356" s="5" t="n">
        <v>0.8</v>
      </c>
      <c r="K356" s="4" t="n">
        <v>325</v>
      </c>
      <c r="L356" s="4" t="n">
        <v>98</v>
      </c>
      <c r="M356" s="5" t="n">
        <v>2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8분 시내권 접근성 좋은 위치 제조나 창고 가능</t>
        </is>
      </c>
      <c r="Q356" s="6">
        <f>HYPERLINK("https://fin.land.naver.com/articles/2652265474", "매물Link")</f>
        <v/>
      </c>
      <c r="R356" s="6">
        <f>HYPERLINK("https://map.naver.com/p/search/남이면 척산리 644-2", "지도Link")</f>
        <v/>
      </c>
      <c r="S356" s="6">
        <f>HYPERLINK("http://www.eum.go.kr/web/ar/lu/luLandDet.jsp?pnu=4311231021106440002&amp;isNoScr=script&amp;mode=search",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68.90000000000001</v>
      </c>
      <c r="W356" s="4" t="n">
        <v>839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 IC 5분거리 대형차량 진입 가능 제조업소 가능</t>
        </is>
      </c>
      <c r="Q357" s="6">
        <f>HYPERLINK("https://fin.land.naver.com/articles/2652470388",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652-1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67000</v>
      </c>
      <c r="G358" s="4" t="n">
        <v>0</v>
      </c>
      <c r="H358" s="4" t="n">
        <v>1336</v>
      </c>
      <c r="I358" s="4" t="n">
        <v>404</v>
      </c>
      <c r="J358" s="5" t="n">
        <v>165.8</v>
      </c>
      <c r="K358" s="4" t="n">
        <v>228</v>
      </c>
      <c r="L358" s="4" t="n">
        <v>69</v>
      </c>
      <c r="M358" s="5" t="n">
        <v>971</v>
      </c>
      <c r="N358" s="3" t="inlineStr">
        <is>
          <t>1</t>
        </is>
      </c>
      <c r="O358" s="3" t="inlineStr">
        <is>
          <t>-</t>
        </is>
      </c>
      <c r="P358" s="3" t="inlineStr">
        <is>
          <t>즉시사용가능 민원 소재 없는 계획관리지역의 공장부지, 대형차량 진출입편리</t>
        </is>
      </c>
      <c r="Q358" s="6">
        <f>HYPERLINK("https://fin.land.naver.com/articles/2648836985", "매물Link")</f>
        <v/>
      </c>
      <c r="R358" s="6">
        <f>HYPERLINK("https://map.naver.com/p/search/남이면 척산리 652-1", "지도Link")</f>
        <v/>
      </c>
      <c r="S358" s="6">
        <f>HYPERLINK("http://www.eum.go.kr/web/ar/lu/luLandDet.jsp?pnu=4311231021106520001&amp;isNoScr=script&amp;mode=search", "토지이음")</f>
        <v/>
      </c>
      <c r="T358" s="3" t="inlineStr">
        <is>
          <t>대전토지로무소</t>
        </is>
      </c>
      <c r="U358" s="4" t="n">
        <v>1</v>
      </c>
      <c r="V358" s="5" t="n">
        <v>64.7</v>
      </c>
      <c r="W358" s="4" t="n">
        <v>1336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세로각지(가)</t>
        </is>
      </c>
    </row>
    <row r="359">
      <c r="A359" s="3" t="inlineStr">
        <is>
          <t>남이면 척산리 665-4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500</v>
      </c>
      <c r="G359" s="4" t="n">
        <v>65</v>
      </c>
      <c r="H359" s="4" t="n">
        <v>1057</v>
      </c>
      <c r="I359" s="4" t="n">
        <v>320</v>
      </c>
      <c r="J359" s="5" t="n">
        <v>0.2</v>
      </c>
      <c r="K359" s="4" t="n">
        <v>111</v>
      </c>
      <c r="L359" s="4" t="n">
        <v>34</v>
      </c>
      <c r="M359" s="5" t="n">
        <v>1.9</v>
      </c>
      <c r="N359" s="3" t="inlineStr">
        <is>
          <t>1</t>
        </is>
      </c>
      <c r="O359" s="3" t="inlineStr">
        <is>
          <t>-</t>
        </is>
      </c>
      <c r="P359" s="3" t="inlineStr">
        <is>
          <t>부담없는 임대료로 사용 가능한 실용적인 창고입니다.</t>
        </is>
      </c>
      <c r="Q359" s="6">
        <f>HYPERLINK("https://fin.land.naver.com/articles/2653037551", "매물Link")</f>
        <v/>
      </c>
      <c r="R359" s="6">
        <f>HYPERLINK("https://map.naver.com/p/search/남이면 척산리 665-4", "지도Link")</f>
        <v/>
      </c>
      <c r="S359" s="6">
        <f>HYPERLINK("http://www.eum.go.kr/web/ar/lu/luLandDet.jsp?pnu=4311231021106650004&amp;isNoScr=script&amp;mode=search", "토지이음")</f>
        <v/>
      </c>
      <c r="T359" s="3" t="inlineStr">
        <is>
          <t>진천금손</t>
        </is>
      </c>
      <c r="U359" s="4" t="n">
        <v>1</v>
      </c>
      <c r="V359" s="5" t="n">
        <v>61</v>
      </c>
      <c r="W359" s="4" t="n">
        <v>893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665-4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110</v>
      </c>
      <c r="H360" s="4" t="n">
        <v>1058</v>
      </c>
      <c r="I360" s="4" t="n">
        <v>320</v>
      </c>
      <c r="J360" s="5" t="n">
        <v>0.3</v>
      </c>
      <c r="K360" s="4" t="n">
        <v>189</v>
      </c>
      <c r="L360" s="4" t="n">
        <v>57</v>
      </c>
      <c r="M360" s="5" t="n">
        <v>1.9</v>
      </c>
      <c r="N360" s="3" t="inlineStr">
        <is>
          <t>1</t>
        </is>
      </c>
      <c r="O360" s="3" t="inlineStr">
        <is>
          <t>-</t>
        </is>
      </c>
      <c r="P360" s="3" t="inlineStr">
        <is>
          <t>건물 55형 일반창고 35형 사무실도 있음</t>
        </is>
      </c>
      <c r="Q360" s="6">
        <f>HYPERLINK("https://fin.land.naver.com/articles/2652949730", "매물Link")</f>
        <v/>
      </c>
      <c r="R360" s="6">
        <f>HYPERLINK("https://map.naver.com/p/search/남이면 척산리 665-4", "지도Link")</f>
        <v/>
      </c>
      <c r="S360" s="6">
        <f>HYPERLINK("http://www.eum.go.kr/web/ar/lu/luLandDet.jsp?pnu=4311231021106650004&amp;isNoScr=script&amp;mode=search",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61</v>
      </c>
      <c r="W360" s="4" t="n">
        <v>893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인근 척산리, 공장 창고, 넓은마당, 임대료 조절, 즉시입주</t>
        </is>
      </c>
      <c r="Q361" s="6">
        <f>HYPERLINK("https://fin.land.naver.com/articles/2651938990",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라인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760-7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350</v>
      </c>
      <c r="H362" s="4" t="n">
        <v>1357</v>
      </c>
      <c r="I362" s="4" t="n">
        <v>410</v>
      </c>
      <c r="J362" s="5" t="n">
        <v>0.9</v>
      </c>
      <c r="K362" s="4" t="n">
        <v>492</v>
      </c>
      <c r="L362" s="4" t="n">
        <v>149</v>
      </c>
      <c r="M362" s="5" t="n">
        <v>2.3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남청주IC 5분거리, 대형차 진입 가능, 내부사무실있음</t>
        </is>
      </c>
      <c r="Q362" s="6">
        <f>HYPERLINK("https://fin.land.naver.com/articles/2651038278", "매물Link")</f>
        <v/>
      </c>
      <c r="R362" s="6">
        <f>HYPERLINK("https://map.naver.com/p/search/남이면 척산리 760-7", "지도Link")</f>
        <v/>
      </c>
      <c r="S362" s="6">
        <f>HYPERLINK("http://www.eum.go.kr/web/ar/lu/luLandDet.jsp?pnu=4311231021107600007&amp;isNoScr=script&amp;mode=search", "토지이음")</f>
        <v/>
      </c>
      <c r="T362" s="3" t="inlineStr">
        <is>
          <t>태성</t>
        </is>
      </c>
      <c r="U362" s="4" t="n">
        <v>3</v>
      </c>
      <c r="V362" s="5" t="n">
        <v>70.8</v>
      </c>
      <c r="W362" s="4" t="n">
        <v>1357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330</v>
      </c>
      <c r="H363" s="4" t="n">
        <v>1357</v>
      </c>
      <c r="I363" s="4" t="n">
        <v>410</v>
      </c>
      <c r="J363" s="5" t="n">
        <v>0.8</v>
      </c>
      <c r="K363" s="4" t="n">
        <v>492</v>
      </c>
      <c r="L363" s="4" t="n">
        <v>149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건물150형 대지 410형 2종근생제조</t>
        </is>
      </c>
      <c r="Q363" s="6">
        <f>HYPERLINK("https://fin.land.naver.com/articles/2649343433",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제조업소 임대</t>
        </is>
      </c>
      <c r="Q364" s="6">
        <f>HYPERLINK("https://fin.land.naver.com/articles/2653029834",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월드</t>
        </is>
      </c>
      <c r="U364" s="4" t="n">
        <v>2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7분거리 2종근생 창고 대형차량 진입 편리</t>
        </is>
      </c>
      <c r="Q365" s="6">
        <f>HYPERLINK("https://fin.land.naver.com/articles/2650684873",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330</v>
      </c>
      <c r="H366" s="4" t="n">
        <v>1357</v>
      </c>
      <c r="I366" s="4" t="n">
        <v>410</v>
      </c>
      <c r="J366" s="5" t="n">
        <v>0.8</v>
      </c>
      <c r="K366" s="4" t="n">
        <v>492</v>
      </c>
      <c r="L366" s="4" t="n">
        <v>149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10분안쪽 물류창고 추천</t>
        </is>
      </c>
      <c r="Q366" s="6">
        <f>HYPERLINK("https://fin.land.naver.com/articles/2651018449",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진성</t>
        </is>
      </c>
      <c r="U366" s="4" t="n">
        <v>2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180</v>
      </c>
      <c r="H367" s="4" t="n">
        <v>1028</v>
      </c>
      <c r="I367" s="4" t="n">
        <v>311</v>
      </c>
      <c r="J367" s="5" t="n">
        <v>0.6</v>
      </c>
      <c r="K367" s="4" t="n">
        <v>330</v>
      </c>
      <c r="L367" s="4" t="n">
        <v>100</v>
      </c>
      <c r="M367" s="5" t="n">
        <v>1.8</v>
      </c>
      <c r="N367" s="3" t="inlineStr">
        <is>
          <t>1</t>
        </is>
      </c>
      <c r="O367" s="3" t="inlineStr">
        <is>
          <t>-</t>
        </is>
      </c>
      <c r="P367" s="3" t="inlineStr">
        <is>
          <t>도로에 접하는 물류이동이 좋은 위치의 창고용도의 임대 물건이예요</t>
        </is>
      </c>
      <c r="Q367" s="6">
        <f>HYPERLINK("https://fin.land.naver.com/articles/2649400817", "매물Link")</f>
        <v/>
      </c>
      <c r="R367" s="6">
        <f>HYPERLINK("https://map.naver.com/p/search/남이면 척산리 761", "지도Link")</f>
        <v/>
      </c>
      <c r="S367" s="6">
        <f>HYPERLINK("http://www.eum.go.kr/web/ar/lu/luLandDet.jsp?pnu=4311231021107610000&amp;isNoScr=script&amp;mode=search", "토지이음")</f>
        <v/>
      </c>
      <c r="T367" s="3" t="inlineStr">
        <is>
          <t>4989명품</t>
        </is>
      </c>
      <c r="U367" s="4" t="n">
        <v>1</v>
      </c>
      <c r="V367" s="5" t="n">
        <v>67.5</v>
      </c>
      <c r="W367" s="4" t="n">
        <v>1286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761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2000</v>
      </c>
      <c r="G368" s="4" t="n">
        <v>180</v>
      </c>
      <c r="H368" s="4" t="n">
        <v>1028</v>
      </c>
      <c r="I368" s="4" t="n">
        <v>311</v>
      </c>
      <c r="J368" s="5" t="n">
        <v>0.6</v>
      </c>
      <c r="K368" s="4" t="n">
        <v>330</v>
      </c>
      <c r="L368" s="4" t="n">
        <v>100</v>
      </c>
      <c r="M368" s="5" t="n">
        <v>1.8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</t>
        </is>
      </c>
      <c r="Q368" s="6">
        <f>HYPERLINK("https://fin.land.naver.com/articles/2648142628", "매물Link")</f>
        <v/>
      </c>
      <c r="R368" s="6">
        <f>HYPERLINK("https://map.naver.com/p/search/남이면 척산리 761", "지도Link")</f>
        <v/>
      </c>
      <c r="S368" s="6">
        <f>HYPERLINK("http://www.eum.go.kr/web/ar/lu/luLandDet.jsp?pnu=4311231021107610000&amp;isNoScr=script&amp;mode=search",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67.5</v>
      </c>
      <c r="W368" s="4" t="n">
        <v>1286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1286</v>
      </c>
      <c r="I369" s="4" t="n">
        <v>389</v>
      </c>
      <c r="J369" s="5" t="n">
        <v>0.5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1층 100형 2종근생제조업</t>
        </is>
      </c>
      <c r="Q369" s="6">
        <f>HYPERLINK("https://fin.land.naver.com/articles/2649343458",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HYPERLINK("https://fin.land.naver.com/articles/2648516676",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402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440</v>
      </c>
      <c r="H372" s="4" t="n">
        <v>1786</v>
      </c>
      <c r="I372" s="4" t="n">
        <v>540</v>
      </c>
      <c r="J372" s="5" t="n">
        <v>0.8</v>
      </c>
      <c r="K372" s="4" t="n">
        <v>493</v>
      </c>
      <c r="L372" s="4" t="n">
        <v>149</v>
      </c>
      <c r="M372" s="5" t="n">
        <v>3</v>
      </c>
      <c r="N372" s="3" t="inlineStr">
        <is>
          <t>2</t>
        </is>
      </c>
      <c r="O372" s="3" t="inlineStr">
        <is>
          <t>-</t>
        </is>
      </c>
      <c r="P372" s="3" t="inlineStr">
        <is>
          <t>nan</t>
        </is>
      </c>
      <c r="Q372" s="6">
        <f>HYPERLINK("https://fin.land.naver.com/articles/2648397794", "매물Link")</f>
        <v/>
      </c>
      <c r="R372" s="6">
        <f>HYPERLINK("https://map.naver.com/p/search/부강면 갈산리 402", "지도Link")</f>
        <v/>
      </c>
      <c r="S372" s="6">
        <f>HYPERLINK("http://www.eum.go.kr/web/ar/lu/luLandDet.jsp?pnu=3611033024104020000&amp;isNoScr=script&amp;mode=search", "토지이음")</f>
        <v/>
      </c>
      <c r="T372" s="3" t="inlineStr">
        <is>
          <t>e플러스</t>
        </is>
      </c>
      <c r="U372" s="4" t="n">
        <v>1</v>
      </c>
      <c r="V372" s="5" t="n">
        <v>85.09999999999999</v>
      </c>
      <c r="W372" s="4" t="n">
        <v>1786</v>
      </c>
      <c r="X372" s="3" t="inlineStr">
        <is>
          <t>A동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8.45m</t>
        </is>
      </c>
      <c r="AC372" s="3" t="inlineStr">
        <is>
          <t>2016-04</t>
        </is>
      </c>
      <c r="AD372" s="3" t="inlineStr">
        <is>
          <t>소로각지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758</v>
      </c>
      <c r="L373" s="4" t="n">
        <v>229</v>
      </c>
      <c r="M373" s="5" t="n">
        <v>1.9</v>
      </c>
      <c r="N373" s="3" t="inlineStr">
        <is>
          <t>2</t>
        </is>
      </c>
      <c r="O373" s="3" t="inlineStr">
        <is>
          <t>-</t>
        </is>
      </c>
      <c r="P373" s="3" t="inlineStr">
        <is>
          <t>접근성 편리한 부강면 공장창고임대, 대형차 출입용이</t>
        </is>
      </c>
      <c r="Q373" s="6">
        <f>HYPERLINK("https://fin.land.naver.com/articles/2650629262",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신탄진다온</t>
        </is>
      </c>
      <c r="U373" s="4" t="n">
        <v>1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접근성좋은 소형공장, 2차선변위치</t>
        </is>
      </c>
      <c r="Q374" s="6">
        <f>HYPERLINK("https://fin.land.naver.com/articles/2649707505",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창고의여왕</t>
        </is>
      </c>
      <c r="U374" s="4" t="n">
        <v>2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금호리 221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공장</t>
        </is>
      </c>
      <c r="E375" s="3" t="inlineStr">
        <is>
          <t>월세</t>
        </is>
      </c>
      <c r="F375" s="4" t="n">
        <v>10000</v>
      </c>
      <c r="G375" s="4" t="n">
        <v>400</v>
      </c>
      <c r="H375" s="4" t="n">
        <v>3831</v>
      </c>
      <c r="I375" s="4" t="n">
        <v>1159</v>
      </c>
      <c r="J375" s="5" t="n">
        <v>0.3</v>
      </c>
      <c r="K375" s="4" t="n">
        <v>386</v>
      </c>
      <c r="L375" s="4" t="n">
        <v>117</v>
      </c>
      <c r="M375" s="5" t="n">
        <v>3.4</v>
      </c>
      <c r="N375" s="3" t="inlineStr">
        <is>
          <t>1</t>
        </is>
      </c>
      <c r="O375" s="3" t="inlineStr">
        <is>
          <t>-</t>
        </is>
      </c>
      <c r="P375" s="3" t="inlineStr">
        <is>
          <t>nan</t>
        </is>
      </c>
      <c r="Q375" s="6">
        <f>HYPERLINK("https://fin.land.naver.com/articles/2651773820", "매물Link")</f>
        <v/>
      </c>
      <c r="R375" s="6">
        <f>HYPERLINK("https://map.naver.com/p/search/부강면 금호리 221", "지도Link")</f>
        <v/>
      </c>
      <c r="S375" s="6">
        <f>HYPERLINK("http://www.eum.go.kr/web/ar/lu/luLandDet.jsp?pnu=3611033028102210000&amp;isNoScr=script&amp;mode=search",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36.9</v>
      </c>
      <c r="W375" s="4" t="n">
        <v>948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맹지</t>
        </is>
      </c>
    </row>
    <row r="376">
      <c r="A376" s="3" t="inlineStr">
        <is>
          <t>부강면 금호리 222-1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10000</v>
      </c>
      <c r="G376" s="4" t="n">
        <v>400</v>
      </c>
      <c r="H376" s="4" t="n">
        <v>977</v>
      </c>
      <c r="I376" s="4" t="n">
        <v>296</v>
      </c>
      <c r="J376" s="5" t="n">
        <v>1.4</v>
      </c>
      <c r="K376" s="4" t="n">
        <v>306</v>
      </c>
      <c r="L376" s="4" t="n">
        <v>93</v>
      </c>
      <c r="M376" s="5" t="n">
        <v>4.3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HYPERLINK("https://fin.land.naver.com/articles/2648769930", "매물Link")</f>
        <v/>
      </c>
      <c r="R376" s="6">
        <f>HYPERLINK("https://map.naver.com/p/search/부강면 금호리 222-1", "지도Link")</f>
        <v/>
      </c>
      <c r="S376" s="6">
        <f>HYPERLINK("http://www.eum.go.kr/web/ar/lu/luLandDet.jsp?pnu=3611033028102220001&amp;isNoScr=script&amp;mode=search", "토지이음")</f>
        <v/>
      </c>
      <c r="T376" s="3" t="inlineStr">
        <is>
          <t>다온팩토리</t>
        </is>
      </c>
      <c r="U376" s="4" t="n">
        <v>1</v>
      </c>
      <c r="V376" s="5" t="n">
        <v>77.2</v>
      </c>
      <c r="W376" s="4" t="n">
        <v>799</v>
      </c>
      <c r="X376" s="3" t="inlineStr">
        <is>
          <t>A동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11.63m</t>
        </is>
      </c>
      <c r="AC376" s="3" t="inlineStr">
        <is>
          <t>2006-05</t>
        </is>
      </c>
      <c r="AD376" s="3" t="inlineStr">
        <is>
          <t>세로한면(가)</t>
        </is>
      </c>
    </row>
    <row r="377">
      <c r="A377" s="3" t="inlineStr">
        <is>
          <t>부강면 금호리 277-2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창고</t>
        </is>
      </c>
      <c r="E377" s="3" t="inlineStr">
        <is>
          <t>월세</t>
        </is>
      </c>
      <c r="F377" s="4" t="n">
        <v>3000</v>
      </c>
      <c r="G377" s="4" t="n">
        <v>260</v>
      </c>
      <c r="H377" s="4" t="n">
        <v>894</v>
      </c>
      <c r="I377" s="4" t="n">
        <v>270</v>
      </c>
      <c r="J377" s="5" t="n">
        <v>1</v>
      </c>
      <c r="K377" s="4" t="n">
        <v>352</v>
      </c>
      <c r="L377" s="4" t="n">
        <v>106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세종시 부강 산업단지 옆 공장 및 창고 입니다</t>
        </is>
      </c>
      <c r="Q377" s="6">
        <f>HYPERLINK("https://fin.land.naver.com/articles/2652016240", "매물Link")</f>
        <v/>
      </c>
      <c r="R377" s="6">
        <f>HYPERLINK("https://map.naver.com/p/search/부강면 금호리 277-2", "지도Link")</f>
        <v/>
      </c>
      <c r="S377" s="6">
        <f>HYPERLINK("http://www.eum.go.kr/web/ar/lu/luLandDet.jsp?pnu=3611033028102770002&amp;isNoScr=script&amp;mode=search", "토지이음")</f>
        <v/>
      </c>
      <c r="T377" s="3" t="inlineStr">
        <is>
          <t>더행복</t>
        </is>
      </c>
      <c r="U377" s="4" t="n">
        <v>1</v>
      </c>
      <c r="V377" s="5" t="n">
        <v>67.59999999999999</v>
      </c>
      <c r="W377" s="4" t="n">
        <v>894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2021-07</t>
        </is>
      </c>
      <c r="AD377" s="3" t="inlineStr">
        <is>
          <t>세로한면(가)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세종시 층고 높은 제조업소임대 보증금3000만원 월260만원 부가세 별도</t>
        </is>
      </c>
      <c r="Q378" s="6">
        <f>HYPERLINK("https://fin.land.naver.com/articles/2647680181",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대박</t>
        </is>
      </c>
      <c r="U378" s="4" t="n">
        <v>1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9분 세종 부강일반산업단지 옆 단독 소형 공장임대</t>
        </is>
      </c>
      <c r="Q379" s="6">
        <f>HYPERLINK("https://fin.land.naver.com/articles/2650873411",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더원</t>
        </is>
      </c>
      <c r="U379" s="4" t="n">
        <v>2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HYPERLINK("https://fin.land.naver.com/articles/2652988056",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1400000</v>
      </c>
      <c r="G382" s="4" t="n">
        <v>0</v>
      </c>
      <c r="H382" s="4" t="n">
        <v>13866</v>
      </c>
      <c r="I382" s="4" t="n">
        <v>4194</v>
      </c>
      <c r="J382" s="5" t="n">
        <v>333.8</v>
      </c>
      <c r="K382" s="4" t="n">
        <v>6367</v>
      </c>
      <c r="L382" s="4" t="n">
        <v>1926</v>
      </c>
      <c r="M382" s="5" t="n">
        <v>726.9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대형공장 1층 단층구조 연1926p</t>
        </is>
      </c>
      <c r="Q382" s="6">
        <f>HYPERLINK("https://fin.land.naver.com/articles/2653014661",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공장플러스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12000</v>
      </c>
      <c r="G384" s="4" t="n">
        <v>3700</v>
      </c>
      <c r="H384" s="4" t="n">
        <v>13866</v>
      </c>
      <c r="I384" s="4" t="n">
        <v>4194</v>
      </c>
      <c r="J384" s="5" t="n">
        <v>0.9</v>
      </c>
      <c r="K384" s="4" t="n">
        <v>6367</v>
      </c>
      <c r="L384" s="4" t="n">
        <v>1926</v>
      </c>
      <c r="M384" s="5" t="n">
        <v>1.9</v>
      </c>
      <c r="N384" s="3" t="inlineStr">
        <is>
          <t>1</t>
        </is>
      </c>
      <c r="O384" s="3" t="inlineStr">
        <is>
          <t>B1</t>
        </is>
      </c>
      <c r="P384" s="3" t="inlineStr">
        <is>
          <t>사진有 공장 임대</t>
        </is>
      </c>
      <c r="Q384" s="6">
        <f>HYPERLINK("https://fin.land.naver.com/articles/2652068004",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부강산업단지 인근 야적장 넓은 공장 창고 임대</t>
        </is>
      </c>
      <c r="Q385" s="6">
        <f>HYPERLINK("https://fin.land.naver.com/articles/2652390959",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KS</t>
        </is>
      </c>
      <c r="U385" s="4" t="n">
        <v>1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부강 산업단지 인접한 공장 및 창고 입니다</t>
        </is>
      </c>
      <c r="Q386" s="6">
        <f>HYPERLINK("https://fin.land.naver.com/articles/2652033586",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더행복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2종근생 공장 임대</t>
        </is>
      </c>
      <c r="Q387" s="6">
        <f>HYPERLINK("https://fin.land.naver.com/articles/2652988007",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층고 높고 마당 넓음, 부강산업단지 인근, 즉시입주 가능</t>
        </is>
      </c>
      <c r="Q388" s="6">
        <f>HYPERLINK("https://fin.land.naver.com/articles/2651475999",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제이</t>
        </is>
      </c>
      <c r="U388" s="4" t="n">
        <v>4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1167</v>
      </c>
      <c r="I389" s="4" t="n">
        <v>353</v>
      </c>
      <c r="J389" s="5" t="n">
        <v>906.5</v>
      </c>
      <c r="K389" s="4" t="n">
        <v>448</v>
      </c>
      <c r="L389" s="4" t="n">
        <v>136</v>
      </c>
      <c r="M389" s="5" t="n">
        <v>2352.9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폐기물재활용시설 공장 매매</t>
        </is>
      </c>
      <c r="Q389" s="6">
        <f>HYPERLINK("https://fin.land.naver.com/articles/2649598812",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90.5</v>
      </c>
      <c r="W389" s="4" t="n">
        <v>1167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자원순환관련시설</t>
        </is>
      </c>
      <c r="AB389" s="3" t="inlineStr">
        <is>
          <t>8.1m</t>
        </is>
      </c>
      <c r="AC389" s="3" t="inlineStr">
        <is>
          <t>2001-06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리모델링완비, 전시판매장추천,1000여평 국유지임대가능</t>
        </is>
      </c>
      <c r="Q390" s="6">
        <f>HYPERLINK("https://fin.land.naver.com/articles/2650894474",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소소사무소</t>
        </is>
      </c>
      <c r="U390" s="4" t="n">
        <v>1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210000</v>
      </c>
      <c r="G391" s="4" t="n">
        <v>0</v>
      </c>
      <c r="H391" s="4" t="n">
        <v>2498</v>
      </c>
      <c r="I391" s="4" t="n">
        <v>756</v>
      </c>
      <c r="J391" s="5" t="n">
        <v>277.8</v>
      </c>
      <c r="K391" s="4" t="n">
        <v>755</v>
      </c>
      <c r="L391" s="4" t="n">
        <v>228</v>
      </c>
      <c r="M391" s="5" t="n">
        <v>921.1</v>
      </c>
      <c r="N391" s="3" t="inlineStr">
        <is>
          <t>2</t>
        </is>
      </c>
      <c r="O391" s="3" t="inlineStr">
        <is>
          <t>-</t>
        </is>
      </c>
      <c r="P391" s="3" t="inlineStr">
        <is>
          <t>사진有 공장 매매</t>
        </is>
      </c>
      <c r="Q391" s="6">
        <f>HYPERLINK("https://fin.land.naver.com/articles/2651075109",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2498</v>
      </c>
      <c r="I392" s="4" t="n">
        <v>756</v>
      </c>
      <c r="J392" s="5" t="n">
        <v>264.6</v>
      </c>
      <c r="K392" s="4" t="n">
        <v>755</v>
      </c>
      <c r="L392" s="4" t="n">
        <v>228</v>
      </c>
      <c r="M392" s="5" t="n">
        <v>877.2</v>
      </c>
      <c r="N392" s="3" t="inlineStr">
        <is>
          <t>2</t>
        </is>
      </c>
      <c r="O392" s="3" t="inlineStr">
        <is>
          <t>-</t>
        </is>
      </c>
      <c r="P392" s="3" t="inlineStr">
        <is>
          <t>부강일반산업단지 인근 리모델링완료된 단독 공장 매매</t>
        </is>
      </c>
      <c r="Q392" s="6">
        <f>HYPERLINK("https://fin.land.naver.com/articles/2652199547",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드림사무소</t>
        </is>
      </c>
      <c r="U392" s="4" t="n">
        <v>2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5000</v>
      </c>
      <c r="G394" s="4" t="n">
        <v>500</v>
      </c>
      <c r="H394" s="4" t="n">
        <v>9585</v>
      </c>
      <c r="I394" s="4" t="n">
        <v>2899</v>
      </c>
      <c r="J394" s="5" t="n">
        <v>0.2</v>
      </c>
      <c r="K394" s="4" t="n">
        <v>716</v>
      </c>
      <c r="L394" s="4" t="n">
        <v>217</v>
      </c>
      <c r="M394" s="5" t="n">
        <v>2.3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남청주ic, 신탄진ic 접근성 우수 호이스트 설치된 공장</t>
        </is>
      </c>
      <c r="Q394" s="6">
        <f>HYPERLINK("https://fin.land.naver.com/articles/2650205472",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570000</v>
      </c>
      <c r="G395" s="4" t="n">
        <v>0</v>
      </c>
      <c r="H395" s="4" t="n">
        <v>9585</v>
      </c>
      <c r="I395" s="4" t="n">
        <v>2899</v>
      </c>
      <c r="J395" s="5" t="n">
        <v>196.6</v>
      </c>
      <c r="K395" s="4" t="n">
        <v>1793</v>
      </c>
      <c r="L395" s="4" t="n">
        <v>542</v>
      </c>
      <c r="M395" s="5" t="n">
        <v>1051.7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남청주ic, 신탄진ic 접근성 우수 호이스트설치 전력700kw</t>
        </is>
      </c>
      <c r="Q395" s="6">
        <f>HYPERLINK("https://fin.land.naver.com/articles/2650204516",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15000</v>
      </c>
      <c r="G396" s="4" t="n">
        <v>1500</v>
      </c>
      <c r="H396" s="4" t="n">
        <v>8600</v>
      </c>
      <c r="I396" s="4" t="n">
        <v>2602</v>
      </c>
      <c r="J396" s="5" t="n">
        <v>0.6</v>
      </c>
      <c r="K396" s="4" t="n">
        <v>1793</v>
      </c>
      <c r="L396" s="4" t="n">
        <v>542</v>
      </c>
      <c r="M396" s="5" t="n">
        <v>2.8</v>
      </c>
      <c r="N396" s="3" t="inlineStr">
        <is>
          <t>2</t>
        </is>
      </c>
      <c r="O396" s="3" t="inlineStr">
        <is>
          <t>-</t>
        </is>
      </c>
      <c r="P396" s="3" t="inlineStr">
        <is>
          <t>계획관리지역 넓은 야드 층고 높은 공장임대 보1억5천 월1500 매매가능</t>
        </is>
      </c>
      <c r="Q396" s="6">
        <f>HYPERLINK("https://fin.land.naver.com/articles/2648078347",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불당대원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9585</v>
      </c>
      <c r="I398" s="4" t="n">
        <v>2899</v>
      </c>
      <c r="J398" s="5" t="n">
        <v>196.6</v>
      </c>
      <c r="K398" s="4" t="n">
        <v>1793</v>
      </c>
      <c r="L398" s="4" t="n">
        <v>542</v>
      </c>
      <c r="M398" s="5" t="n">
        <v>1051.7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HYPERLINK("https://fin.land.naver.com/articles/2649597220",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8600</v>
      </c>
      <c r="I399" s="4" t="n">
        <v>2602</v>
      </c>
      <c r="J399" s="5" t="n">
        <v>219.1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노호리 부지 넓은 대형공장 매매</t>
        </is>
      </c>
      <c r="Q399" s="6">
        <f>HYPERLINK("https://fin.land.naver.com/articles/2652510293",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SK랜드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공장 임대</t>
        </is>
      </c>
      <c r="Q400" s="6">
        <f>HYPERLINK("https://fin.land.naver.com/articles/2652988033",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HYPERLINK("https://fin.land.naver.com/articles/2651586128",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76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3271</v>
      </c>
      <c r="I403" s="4" t="n">
        <v>989</v>
      </c>
      <c r="J403" s="5" t="n">
        <v>202.2</v>
      </c>
      <c r="K403" s="4" t="n">
        <v>1288</v>
      </c>
      <c r="L403" s="4" t="n">
        <v>390</v>
      </c>
      <c r="M403" s="5" t="n">
        <v>512.8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매매</t>
        </is>
      </c>
      <c r="Q403" s="6">
        <f>HYPERLINK("https://fin.land.naver.com/articles/2649597836", "매물Link")</f>
        <v/>
      </c>
      <c r="R403" s="6">
        <f>HYPERLINK("https://map.naver.com/p/search/부강면 노호리 76", "지도Link")</f>
        <v/>
      </c>
      <c r="S403" s="6">
        <f>HYPERLINK("http://www.eum.go.kr/web/ar/lu/luLandDet.jsp?pnu=3611033027100760000&amp;isNoScr=script&amp;mode=search",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55</v>
      </c>
      <c r="W403" s="4" t="n">
        <v>1155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10.2m</t>
        </is>
      </c>
      <c r="AC403" s="3" t="inlineStr">
        <is>
          <t>2015-05</t>
        </is>
      </c>
      <c r="AD403" s="3" t="inlineStr">
        <is>
          <t>세로한면(가)</t>
        </is>
      </c>
    </row>
    <row r="404">
      <c r="A404" s="3" t="inlineStr">
        <is>
          <t>부강면 등곡리 350-9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2580</v>
      </c>
      <c r="I404" s="4" t="n">
        <v>780</v>
      </c>
      <c r="J404" s="5" t="n">
        <v>256.4</v>
      </c>
      <c r="K404" s="4" t="n">
        <v>273</v>
      </c>
      <c r="L404" s="4" t="n">
        <v>83</v>
      </c>
      <c r="M404" s="5" t="n">
        <v>2409.6</v>
      </c>
      <c r="N404" s="3" t="inlineStr">
        <is>
          <t>2</t>
        </is>
      </c>
      <c r="O404" s="3" t="inlineStr">
        <is>
          <t>B2</t>
        </is>
      </c>
      <c r="P404" s="3" t="inlineStr">
        <is>
          <t>지정폐기물수집보관성업중</t>
        </is>
      </c>
      <c r="Q404" s="6">
        <f>HYPERLINK("https://fin.land.naver.com/articles/2649233153", "매물Link")</f>
        <v/>
      </c>
      <c r="R404" s="6">
        <f>HYPERLINK("https://map.naver.com/p/search/부강면 등곡리 350-9", "지도Link")</f>
        <v/>
      </c>
      <c r="S404" s="6">
        <f>HYPERLINK("http://www.eum.go.kr/web/ar/lu/luLandDet.jsp?pnu=3611033026103500009&amp;isNoScr=script&amp;mode=search", "토지이음")</f>
        <v/>
      </c>
      <c r="T404" s="3" t="inlineStr">
        <is>
          <t>우리래미안</t>
        </is>
      </c>
      <c r="U404" s="4" t="n">
        <v>1</v>
      </c>
      <c r="V404" s="5" t="n">
        <v>69.90000000000001</v>
      </c>
      <c r="W404" s="4" t="n">
        <v>2580</v>
      </c>
      <c r="X404" s="3" t="inlineStr">
        <is>
          <t>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위험물저장및처리시설</t>
        </is>
      </c>
      <c r="AB404" s="3" t="inlineStr">
        <is>
          <t>6.8m</t>
        </is>
      </c>
      <c r="AC404" s="3" t="inlineStr">
        <is>
          <t>2008-07</t>
        </is>
      </c>
      <c r="AD404" s="3" t="inlineStr">
        <is>
          <t>세로한면(가)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HYPERLINK("https://fin.land.naver.com/articles/2648909950",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남청주IC에서 4분</t>
        </is>
      </c>
      <c r="Q406" s="6">
        <f>HYPERLINK("https://fin.land.naver.com/articles/2651822681",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미더스</t>
        </is>
      </c>
      <c r="U406" s="4" t="n">
        <v>3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2303</v>
      </c>
      <c r="L407" s="4" t="n">
        <v>697</v>
      </c>
      <c r="M407" s="5" t="n">
        <v>1076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남청주IC 인근 창고, 대형차 진출입 용이</t>
        </is>
      </c>
      <c r="Q407" s="6">
        <f>HYPERLINK("https://fin.land.naver.com/articles/2649744370",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라이프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1408</v>
      </c>
      <c r="L408" s="4" t="n">
        <v>426</v>
      </c>
      <c r="M408" s="5" t="n">
        <v>1760.6</v>
      </c>
      <c r="N408" s="3" t="inlineStr">
        <is>
          <t>2</t>
        </is>
      </c>
      <c r="O408" s="3" t="inlineStr">
        <is>
          <t>-</t>
        </is>
      </c>
      <c r="P408" s="3" t="inlineStr">
        <is>
          <t>nan</t>
        </is>
      </c>
      <c r="Q408" s="6">
        <f>HYPERLINK("https://fin.land.naver.com/articles/2647508713",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다온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HYPERLINK("https://fin.land.naver.com/articles/2650626757",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주건축물제1동</t>
        </is>
      </c>
      <c r="Y409" s="7" t="inlineStr">
        <is>
          <t>2층</t>
        </is>
      </c>
      <c r="Z409" s="3" t="inlineStr">
        <is>
          <t>철근콘크리트구조</t>
        </is>
      </c>
      <c r="AA409" s="3" t="inlineStr">
        <is>
          <t>제1종근생</t>
        </is>
      </c>
      <c r="AB409" s="3" t="inlineStr">
        <is>
          <t>11.9m</t>
        </is>
      </c>
      <c r="AC409" s="3" t="inlineStr">
        <is>
          <t>2016-08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540000</v>
      </c>
      <c r="G410" s="4" t="n">
        <v>0</v>
      </c>
      <c r="H410" s="4" t="n">
        <v>5644</v>
      </c>
      <c r="I410" s="4" t="n">
        <v>1707</v>
      </c>
      <c r="J410" s="5" t="n">
        <v>316.3</v>
      </c>
      <c r="K410" s="4" t="n">
        <v>756</v>
      </c>
      <c r="L410" s="4" t="n">
        <v>229</v>
      </c>
      <c r="M410" s="5" t="n">
        <v>2358.1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 가깝고 대형차 진출입이 용이한 곳, 층고 11.5m</t>
        </is>
      </c>
      <c r="Q410" s="6">
        <f>HYPERLINK("https://fin.land.naver.com/articles/2649085169",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400000</v>
      </c>
      <c r="G411" s="4" t="n">
        <v>0</v>
      </c>
      <c r="H411" s="4" t="n">
        <v>5337</v>
      </c>
      <c r="I411" s="4" t="n">
        <v>1614</v>
      </c>
      <c r="J411" s="5" t="n">
        <v>247.8</v>
      </c>
      <c r="K411" s="4" t="n">
        <v>756</v>
      </c>
      <c r="L411" s="4" t="n">
        <v>229</v>
      </c>
      <c r="M411" s="5" t="n">
        <v>1746.7</v>
      </c>
      <c r="N411" s="3" t="inlineStr">
        <is>
          <t>1</t>
        </is>
      </c>
      <c r="O411" s="3" t="inlineStr">
        <is>
          <t>-</t>
        </is>
      </c>
      <c r="P411" s="3" t="inlineStr">
        <is>
          <t>접근성이 좋은 세종시에 위치한 제조공장 매매</t>
        </is>
      </c>
      <c r="Q411" s="6">
        <f>HYPERLINK("https://fin.land.naver.com/articles/2649150131",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한화타운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HYPERLINK("https://fin.land.naver.com/articles/2651081215",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물류창고 매매</t>
        </is>
      </c>
      <c r="Q413" s="6">
        <f>HYPERLINK("https://fin.land.naver.com/articles/2649599413",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5분 거리이며 2차선도로 접한 대형물류창고 도크시설 완비</t>
        </is>
      </c>
      <c r="Q414" s="6">
        <f>HYPERLINK("https://fin.land.naver.com/articles/2648089946",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17308</v>
      </c>
      <c r="I415" s="4" t="n">
        <v>5236</v>
      </c>
      <c r="J415" s="5" t="n">
        <v>343.8</v>
      </c>
      <c r="K415" s="4" t="n">
        <v>49869</v>
      </c>
      <c r="L415" s="4" t="n">
        <v>15085</v>
      </c>
      <c r="M415" s="5" t="n">
        <v>119.3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접근성양호하며 물류전문 창고로 추천드립니다</t>
        </is>
      </c>
      <c r="Q415" s="6">
        <f>HYPERLINK("https://fin.land.naver.com/articles/2652649229",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대박</t>
        </is>
      </c>
      <c r="U415" s="4" t="n">
        <v>2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사진0, 제조업 가능하고 대형차량 진입 자유로운 창고임대</t>
        </is>
      </c>
      <c r="Q416" s="6">
        <f>HYPERLINK("https://fin.land.naver.com/articles/2649726439",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비전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330</v>
      </c>
      <c r="I417" s="4" t="n">
        <v>100</v>
      </c>
      <c r="J417" s="5" t="n">
        <v>1.4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소형 창고 임대 대로변에 접하여 진출입 매우 용이 근생건물</t>
        </is>
      </c>
      <c r="Q417" s="6">
        <f>HYPERLINK("https://fin.land.naver.com/articles/2649200158",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195</v>
      </c>
      <c r="I419" s="4" t="n">
        <v>59</v>
      </c>
      <c r="J419" s="5" t="n">
        <v>2.4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B1</t>
        </is>
      </c>
      <c r="P419" s="3" t="inlineStr">
        <is>
          <t>10월중순 입주협의, 2개동까지 임대 가능, 연청로 근접</t>
        </is>
      </c>
      <c r="Q419" s="6">
        <f>HYPERLINK("https://fin.land.naver.com/articles/2649933957",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세종잘하는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HYPERLINK("https://fin.land.naver.com/articles/2648089835",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5분거리,대형차량 진출입 편리,민원 걱정 없는곳</t>
        </is>
      </c>
      <c r="Q421" s="6">
        <f>HYPERLINK("https://fin.land.naver.com/articles/2651904463",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8.5m</t>
        </is>
      </c>
      <c r="AC421" s="3" t="inlineStr">
        <is>
          <t>2007-07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HYPERLINK("https://fin.land.naver.com/articles/2647420368",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130000</v>
      </c>
      <c r="G423" s="4" t="n">
        <v>0</v>
      </c>
      <c r="H423" s="4" t="n">
        <v>1705</v>
      </c>
      <c r="I423" s="4" t="n">
        <v>516</v>
      </c>
      <c r="J423" s="5" t="n">
        <v>251.9</v>
      </c>
      <c r="K423" s="4" t="n">
        <v>929</v>
      </c>
      <c r="L423" s="4" t="n">
        <v>281</v>
      </c>
      <c r="M423" s="5" t="n">
        <v>462.6</v>
      </c>
      <c r="N423" s="3" t="inlineStr">
        <is>
          <t>2</t>
        </is>
      </c>
      <c r="O423" s="3" t="inlineStr">
        <is>
          <t>-</t>
        </is>
      </c>
      <c r="P423" s="3" t="inlineStr">
        <is>
          <t>민원 없는  남 청주 IC인근 대형차 진 출입 편리한 공장, 창고</t>
        </is>
      </c>
      <c r="Q423" s="6">
        <f>HYPERLINK("https://fin.land.naver.com/articles/2651947886",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대전토지로무소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240000</v>
      </c>
      <c r="G424" s="4" t="n">
        <v>0</v>
      </c>
      <c r="H424" s="4" t="n">
        <v>2874</v>
      </c>
      <c r="I424" s="4" t="n">
        <v>869</v>
      </c>
      <c r="J424" s="5" t="n">
        <v>276.2</v>
      </c>
      <c r="K424" s="4" t="n">
        <v>1375</v>
      </c>
      <c r="L424" s="4" t="n">
        <v>416</v>
      </c>
      <c r="M424" s="5" t="n">
        <v>576.9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남청주IC와가까워 대형차진출입이 용이,계획관리지역,6m 도로에접함</t>
        </is>
      </c>
      <c r="Q424" s="6">
        <f>HYPERLINK("https://fin.land.naver.com/articles/2651152338",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(주)미르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HYPERLINK("https://fin.land.naver.com/articles/2648014664",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953-7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1000</v>
      </c>
      <c r="G427" s="4" t="n">
        <v>100</v>
      </c>
      <c r="H427" s="4" t="n">
        <v>425</v>
      </c>
      <c r="I427" s="4" t="n">
        <v>129</v>
      </c>
      <c r="J427" s="5" t="n">
        <v>0.8</v>
      </c>
      <c r="K427" s="4" t="n">
        <v>168</v>
      </c>
      <c r="L427" s="4" t="n">
        <v>51</v>
      </c>
      <c r="M427" s="5" t="n">
        <v>2</v>
      </c>
      <c r="N427" s="3" t="inlineStr">
        <is>
          <t>1</t>
        </is>
      </c>
      <c r="O427" s="3" t="inlineStr">
        <is>
          <t>B1</t>
        </is>
      </c>
      <c r="P427" s="3" t="inlineStr">
        <is>
          <t>남청주 ic부근의 2차선변접한 교통좋고 위치좋은 창고</t>
        </is>
      </c>
      <c r="Q427" s="6">
        <f>HYPERLINK("https://fin.land.naver.com/articles/2651029325", "매물Link")</f>
        <v/>
      </c>
      <c r="R427" s="6">
        <f>HYPERLINK("https://map.naver.com/p/search/부강면 문곡리 953-7", "지도Link")</f>
        <v/>
      </c>
      <c r="S427" s="6">
        <f>HYPERLINK("http://www.eum.go.kr/web/ar/lu/luLandDet.jsp?pnu=3611033025109530007&amp;isNoScr=script&amp;mode=search",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137.6</v>
      </c>
      <c r="W427" s="4" t="n">
        <v>425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7.99m</t>
        </is>
      </c>
      <c r="AC427" s="3" t="inlineStr">
        <is>
          <t>1999-12</t>
        </is>
      </c>
      <c r="AD427" s="3" t="inlineStr">
        <is>
          <t>소로한면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 7분,공장등록가능, 대기업 사업 아이템인수가능</t>
        </is>
      </c>
      <c r="Q428" s="6">
        <f>HYPERLINK("https://fin.land.naver.com/articles/2649486165",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대성오투그란데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HYPERLINK("https://fin.land.naver.com/articles/2649470959",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산수리 105-1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5000</v>
      </c>
      <c r="G430" s="4" t="n">
        <v>500</v>
      </c>
      <c r="H430" s="4" t="n">
        <v>5826</v>
      </c>
      <c r="I430" s="4" t="n">
        <v>1762</v>
      </c>
      <c r="J430" s="5" t="n">
        <v>0.3</v>
      </c>
      <c r="K430" s="4" t="n">
        <v>793</v>
      </c>
      <c r="L430" s="4" t="n">
        <v>240</v>
      </c>
      <c r="M430" s="5" t="n">
        <v>2.1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좋은 위치 마당넓어 대형차 진출입 가능</t>
        </is>
      </c>
      <c r="Q430" s="6">
        <f>HYPERLINK("https://fin.land.naver.com/articles/2649683295", "매물Link")</f>
        <v/>
      </c>
      <c r="R430" s="6">
        <f>HYPERLINK("https://map.naver.com/p/search/부강면 산수리 105-1", "지도Link")</f>
        <v/>
      </c>
      <c r="S430" s="6">
        <f>HYPERLINK("http://www.eum.go.kr/web/ar/lu/luLandDet.jsp?pnu=3611033023101050001&amp;isNoScr=script&amp;mode=search",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77.90000000000001</v>
      </c>
      <c r="W430" s="4" t="n">
        <v>2209</v>
      </c>
      <c r="X430" s="3" t="inlineStr">
        <is>
          <t>6동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창고시설</t>
        </is>
      </c>
      <c r="AB430" s="3" t="inlineStr">
        <is>
          <t>8.3m</t>
        </is>
      </c>
      <c r="AC430" s="3" t="inlineStr">
        <is>
          <t>2007-10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4500</v>
      </c>
      <c r="G431" s="4" t="n">
        <v>450</v>
      </c>
      <c r="H431" s="4" t="n">
        <v>21410</v>
      </c>
      <c r="I431" s="4" t="n">
        <v>6477</v>
      </c>
      <c r="J431" s="5" t="n">
        <v>0.1</v>
      </c>
      <c r="K431" s="4" t="n">
        <v>726</v>
      </c>
      <c r="L431" s="4" t="n">
        <v>220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HYPERLINK("https://fin.land.naver.com/articles/2652988089",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월드</t>
        </is>
      </c>
      <c r="U431" s="4" t="n">
        <v>2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4500</v>
      </c>
      <c r="G432" s="4" t="n">
        <v>450</v>
      </c>
      <c r="H432" s="4" t="n">
        <v>21410</v>
      </c>
      <c r="I432" s="4" t="n">
        <v>6477</v>
      </c>
      <c r="J432" s="5" t="n">
        <v>0.1</v>
      </c>
      <c r="K432" s="4" t="n">
        <v>727</v>
      </c>
      <c r="L432" s="4" t="n">
        <v>220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남청주IC약 10분거리 공장 및 창고 입니다</t>
        </is>
      </c>
      <c r="Q432" s="6">
        <f>HYPERLINK("https://fin.land.naver.com/articles/2649720688",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더행복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4000</v>
      </c>
      <c r="G433" s="4" t="n">
        <v>440</v>
      </c>
      <c r="H433" s="4" t="n">
        <v>21410</v>
      </c>
      <c r="I433" s="4" t="n">
        <v>6477</v>
      </c>
      <c r="J433" s="5" t="n">
        <v>0.1</v>
      </c>
      <c r="K433" s="4" t="n">
        <v>733</v>
      </c>
      <c r="L433" s="4" t="n">
        <v>222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남청주IC인근 임대료 저렴한 넓은 창고임대 진출입 용이 전력높음</t>
        </is>
      </c>
      <c r="Q433" s="6">
        <f>HYPERLINK("https://fin.land.naver.com/articles/2649682702",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10000</v>
      </c>
      <c r="G434" s="4" t="n">
        <v>850</v>
      </c>
      <c r="H434" s="4" t="n">
        <v>21410</v>
      </c>
      <c r="I434" s="4" t="n">
        <v>6477</v>
      </c>
      <c r="J434" s="5" t="n">
        <v>0.1</v>
      </c>
      <c r="K434" s="4" t="n">
        <v>760</v>
      </c>
      <c r="L434" s="4" t="n">
        <v>230</v>
      </c>
      <c r="M434" s="5" t="n">
        <v>3.7</v>
      </c>
      <c r="N434" s="3" t="inlineStr">
        <is>
          <t>1</t>
        </is>
      </c>
      <c r="O434" s="3" t="inlineStr">
        <is>
          <t>-</t>
        </is>
      </c>
      <c r="P434" s="3" t="inlineStr">
        <is>
          <t>귀한 냉동창고와 냉장저온작업실을 구비한 창고 사무실 공간 완비</t>
        </is>
      </c>
      <c r="Q434" s="6">
        <f>HYPERLINK("https://fin.land.naver.com/articles/2648959391",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HYPERLINK("https://fin.land.naver.com/articles/2649581867",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6446</v>
      </c>
      <c r="I436" s="4" t="n">
        <v>1950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세종 청주 접근성 우수 2차선도로변 호이스트 3기 완비된 공장 임대</t>
        </is>
      </c>
      <c r="Q436" s="6">
        <f>HYPERLINK("https://fin.land.naver.com/articles/2649493657",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154-1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2000</v>
      </c>
      <c r="G437" s="4" t="n">
        <v>150</v>
      </c>
      <c r="H437" s="4" t="n">
        <v>2741</v>
      </c>
      <c r="I437" s="4" t="n">
        <v>829</v>
      </c>
      <c r="J437" s="5" t="n">
        <v>0.2</v>
      </c>
      <c r="K437" s="4" t="n">
        <v>192</v>
      </c>
      <c r="L437" s="4" t="n">
        <v>58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좋고 청주세종간도로인근 2차선도로변</t>
        </is>
      </c>
      <c r="Q437" s="6">
        <f>HYPERLINK("https://fin.land.naver.com/articles/2652625203", "매물Link")</f>
        <v/>
      </c>
      <c r="R437" s="6">
        <f>HYPERLINK("https://map.naver.com/p/search/부강면 행산리 154-1", "지도Link")</f>
        <v/>
      </c>
      <c r="S437" s="6">
        <f>HYPERLINK("http://www.eum.go.kr/web/ar/lu/luLandDet.jsp?pnu=3611033022101540001&amp;isNoScr=script&amp;mode=search",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59.9</v>
      </c>
      <c r="W437" s="4" t="n">
        <v>2741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제1종근생</t>
        </is>
      </c>
      <c r="AB437" s="3" t="inlineStr">
        <is>
          <t>8.1m</t>
        </is>
      </c>
      <c r="AC437" s="3" t="inlineStr">
        <is>
          <t>2022-07</t>
        </is>
      </c>
      <c r="AD437" s="3" t="inlineStr">
        <is>
          <t>소로한면</t>
        </is>
      </c>
    </row>
    <row r="438">
      <c r="A438" s="3" t="inlineStr">
        <is>
          <t>부강면 행산리 335-1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550</v>
      </c>
      <c r="H438" s="4" t="n">
        <v>20331</v>
      </c>
      <c r="I438" s="4" t="n">
        <v>6150</v>
      </c>
      <c r="J438" s="5" t="n">
        <v>0.1</v>
      </c>
      <c r="K438" s="4" t="n">
        <v>810</v>
      </c>
      <c r="L438" s="4" t="n">
        <v>245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공장하기 편리한곳, 민원없는곳 추천드립니다.</t>
        </is>
      </c>
      <c r="Q438" s="6">
        <f>HYPERLINK("https://fin.land.naver.com/articles/2652648109", "매물Link")</f>
        <v/>
      </c>
      <c r="R438" s="6">
        <f>HYPERLINK("https://map.naver.com/p/search/부강면 행산리 335-1", "지도Link")</f>
        <v/>
      </c>
      <c r="S438" s="6">
        <f>HYPERLINK("http://www.eum.go.kr/web/ar/lu/luLandDet.jsp?pnu=3611033022103350001&amp;isNoScr=script&amp;mode=search", "토지이음")</f>
        <v/>
      </c>
      <c r="T438" s="3" t="inlineStr">
        <is>
          <t>대박</t>
        </is>
      </c>
      <c r="U438" s="4" t="n">
        <v>2</v>
      </c>
      <c r="V438" s="5" t="n">
        <v>55.8</v>
      </c>
      <c r="W438" s="4" t="n">
        <v>20331</v>
      </c>
      <c r="X438" s="3" t="inlineStr">
        <is>
          <t>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10.6m</t>
        </is>
      </c>
      <c r="AC438" s="3" t="inlineStr">
        <is>
          <t>2004-05</t>
        </is>
      </c>
      <c r="AD438" s="3" t="inlineStr">
        <is>
          <t>세로한면(가)</t>
        </is>
      </c>
    </row>
    <row r="439">
      <c r="A439" s="3" t="inlineStr">
        <is>
          <t>부강면 행산리 371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</v>
      </c>
      <c r="G439" s="4" t="n">
        <v>0</v>
      </c>
      <c r="H439" s="4" t="n">
        <v>815</v>
      </c>
      <c r="I439" s="4" t="n">
        <v>247</v>
      </c>
      <c r="J439" s="5" t="n">
        <v>485.8</v>
      </c>
      <c r="K439" s="4" t="n">
        <v>360</v>
      </c>
      <c r="L439" s="4" t="n">
        <v>109</v>
      </c>
      <c r="M439" s="5" t="n">
        <v>1100.9</v>
      </c>
      <c r="N439" s="3" t="inlineStr">
        <is>
          <t>1</t>
        </is>
      </c>
      <c r="O439" s="3" t="inlineStr">
        <is>
          <t>-</t>
        </is>
      </c>
      <c r="P439" s="3" t="inlineStr">
        <is>
          <t>2종른린생활시설로 현재 식품공장</t>
        </is>
      </c>
      <c r="Q439" s="6">
        <f>HYPERLINK("https://fin.land.naver.com/articles/2650479799", "매물Link")</f>
        <v/>
      </c>
      <c r="R439" s="6">
        <f>HYPERLINK("https://map.naver.com/p/search/부강면 행산리 371", "지도Link")</f>
        <v/>
      </c>
      <c r="S439" s="6">
        <f>HYPERLINK("http://www.eum.go.kr/web/ar/lu/luLandDet.jsp?pnu=3611033022103710000&amp;isNoScr=script&amp;mode=search", "토지이음")</f>
        <v/>
      </c>
      <c r="T439" s="3" t="inlineStr">
        <is>
          <t>창고의여왕</t>
        </is>
      </c>
      <c r="U439" s="4" t="n">
        <v>1</v>
      </c>
      <c r="V439" s="5" t="n">
        <v>41.2</v>
      </c>
      <c r="W439" s="4" t="n">
        <v>815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동물및식물관련시설</t>
        </is>
      </c>
      <c r="AB439" s="3" t="inlineStr">
        <is>
          <t>8.2m</t>
        </is>
      </c>
      <c r="AC439" s="3" t="inlineStr">
        <is>
          <t>2022-06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HYPERLINK("https://fin.land.naver.com/articles/2650318649",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41.2</v>
      </c>
      <c r="W440" s="4" t="n">
        <v>815</v>
      </c>
      <c r="X440" s="3" t="inlineStr">
        <is>
          <t>주건축물제1동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동물및식물관련시설</t>
        </is>
      </c>
      <c r="AB440" s="3" t="inlineStr">
        <is>
          <t>8.2m</t>
        </is>
      </c>
      <c r="AC440" s="3" t="inlineStr">
        <is>
          <t>2022-06</t>
        </is>
      </c>
      <c r="AD440" s="3" t="inlineStr">
        <is>
          <t>세로한면(가)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1050000</v>
      </c>
      <c r="G441" s="4" t="n">
        <v>0</v>
      </c>
      <c r="H441" s="4" t="n">
        <v>9768</v>
      </c>
      <c r="I441" s="4" t="n">
        <v>2955</v>
      </c>
      <c r="J441" s="5" t="n">
        <v>355.3</v>
      </c>
      <c r="K441" s="4" t="n">
        <v>4329</v>
      </c>
      <c r="L441" s="4" t="n">
        <v>1310</v>
      </c>
      <c r="M441" s="5" t="n">
        <v>801.5</v>
      </c>
      <c r="N441" s="3" t="inlineStr">
        <is>
          <t>2</t>
        </is>
      </c>
      <c r="O441" s="3" t="inlineStr">
        <is>
          <t>-</t>
        </is>
      </c>
      <c r="P441" s="3" t="inlineStr">
        <is>
          <t>남청주IC 10분,세종시청 20분거리,빠른 입주 가능</t>
        </is>
      </c>
      <c r="Q441" s="6">
        <f>HYPERLINK("https://fin.land.naver.com/articles/2649056345",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30000</v>
      </c>
      <c r="G442" s="4" t="n">
        <v>3000</v>
      </c>
      <c r="H442" s="4" t="n">
        <v>9768</v>
      </c>
      <c r="I442" s="4" t="n">
        <v>2955</v>
      </c>
      <c r="J442" s="5" t="n">
        <v>1</v>
      </c>
      <c r="K442" s="4" t="n">
        <v>4329</v>
      </c>
      <c r="L442" s="4" t="n">
        <v>1310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천평 임대,층고5m 깔끔한 공장,현재 공실로 즉시입주 가능</t>
        </is>
      </c>
      <c r="Q442" s="6">
        <f>HYPERLINK("https://fin.land.naver.com/articles/2650689887",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1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3305</v>
      </c>
      <c r="L443" s="4" t="n">
        <v>1000</v>
      </c>
      <c r="M443" s="5" t="n">
        <v>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HYPERLINK("https://fin.land.naver.com/articles/2653040761",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연동면 내판리 공장 매매, 5생활권 및 명학산단 인근 위치, 국유지 사용</t>
        </is>
      </c>
      <c r="Q445" s="6">
        <f>HYPERLINK("https://fin.land.naver.com/articles/2649816046",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스카이</t>
        </is>
      </c>
      <c r="U445" s="4" t="n">
        <v>1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621-2</t>
        </is>
      </c>
      <c r="B447" s="3" t="inlineStr">
        <is>
          <t>보전관리지역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150</v>
      </c>
      <c r="H447" s="4" t="n">
        <v>2192</v>
      </c>
      <c r="I447" s="4" t="n">
        <v>663</v>
      </c>
      <c r="J447" s="5" t="n">
        <v>0.2</v>
      </c>
      <c r="K447" s="4" t="n">
        <v>187</v>
      </c>
      <c r="L447" s="4" t="n">
        <v>57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HYPERLINK("https://fin.land.naver.com/articles/2649624084", "매물Link")</f>
        <v/>
      </c>
      <c r="R447" s="6">
        <f>HYPERLINK("https://map.naver.com/p/search/연동면 명학리 621-2", "지도Link")</f>
        <v/>
      </c>
      <c r="S447" s="6">
        <f>HYPERLINK("http://www.eum.go.kr/web/ar/lu/luLandDet.jsp?pnu=3611032023106210002&amp;isNoScr=script&amp;mode=search", "토지이음")</f>
        <v/>
      </c>
      <c r="T447" s="3" t="inlineStr">
        <is>
          <t>효자</t>
        </is>
      </c>
      <c r="U447" s="4" t="n">
        <v>1</v>
      </c>
      <c r="V447" s="5" t="n">
        <v>76.40000000000001</v>
      </c>
      <c r="W447" s="4" t="n">
        <v>1868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제1종근생</t>
        </is>
      </c>
      <c r="AB447" s="3" t="inlineStr">
        <is>
          <t>5.15m</t>
        </is>
      </c>
      <c r="AC447" s="3" t="inlineStr">
        <is>
          <t>2020-12</t>
        </is>
      </c>
      <c r="AD447" s="3" t="inlineStr">
        <is>
          <t>세로한면(가)</t>
        </is>
      </c>
    </row>
    <row r="448">
      <c r="A448" s="3" t="inlineStr">
        <is>
          <t>연동면 명학리 964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3500000</v>
      </c>
      <c r="G448" s="4" t="n">
        <v>0</v>
      </c>
      <c r="H448" s="4" t="n">
        <v>21393</v>
      </c>
      <c r="I448" s="4" t="n">
        <v>6471</v>
      </c>
      <c r="J448" s="5" t="n">
        <v>540.9</v>
      </c>
      <c r="K448" s="4" t="n">
        <v>11128</v>
      </c>
      <c r="L448" s="4" t="n">
        <v>3366</v>
      </c>
      <c r="M448" s="5" t="n">
        <v>1039.8</v>
      </c>
      <c r="N448" s="3" t="inlineStr">
        <is>
          <t>3</t>
        </is>
      </c>
      <c r="O448" s="3" t="inlineStr">
        <is>
          <t>-</t>
        </is>
      </c>
      <c r="P448" s="3" t="inlineStr">
        <is>
          <t>세종시 일반공업지역의 호이스트 및 층고 높은 대형공장</t>
        </is>
      </c>
      <c r="Q448" s="6">
        <f>HYPERLINK("https://fin.land.naver.com/articles/2648890752", "매물Link")</f>
        <v/>
      </c>
      <c r="R448" s="6">
        <f>HYPERLINK("https://map.naver.com/p/search/연동면 명학리 964", "지도Link")</f>
        <v/>
      </c>
      <c r="S448" s="6">
        <f>HYPERLINK("http://www.eum.go.kr/web/ar/lu/luLandDet.jsp?pnu=3611032023109640000&amp;isNoScr=script&amp;mode=search", "토지이음")</f>
        <v/>
      </c>
      <c r="T448" s="3" t="inlineStr">
        <is>
          <t>(주)미르</t>
        </is>
      </c>
      <c r="U448" s="4" t="n">
        <v>2</v>
      </c>
      <c r="V448" s="5" t="n">
        <v>113.9</v>
      </c>
      <c r="W448" s="4" t="n">
        <v>21393.3</v>
      </c>
      <c r="X448" s="3" t="inlineStr">
        <is>
          <t>미표기</t>
        </is>
      </c>
      <c r="Y448" s="7" t="inlineStr">
        <is>
          <t>3층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14.2m</t>
        </is>
      </c>
      <c r="AC448" s="3" t="inlineStr">
        <is>
          <t>2017-06</t>
        </is>
      </c>
      <c r="AD448" s="3" t="inlineStr">
        <is>
          <t>중로한면</t>
        </is>
      </c>
    </row>
    <row r="449">
      <c r="A449" s="3" t="inlineStr">
        <is>
          <t>연동면 명학리 964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3500000</v>
      </c>
      <c r="G449" s="4" t="n">
        <v>0</v>
      </c>
      <c r="H449" s="4" t="n">
        <v>21393</v>
      </c>
      <c r="I449" s="4" t="n">
        <v>6471</v>
      </c>
      <c r="J449" s="5" t="n">
        <v>540.9</v>
      </c>
      <c r="K449" s="4" t="n">
        <v>11128</v>
      </c>
      <c r="L449" s="4" t="n">
        <v>3366</v>
      </c>
      <c r="M449" s="5" t="n">
        <v>1039.8</v>
      </c>
      <c r="N449" s="3" t="inlineStr">
        <is>
          <t>3</t>
        </is>
      </c>
      <c r="O449" s="3" t="inlineStr">
        <is>
          <t>-</t>
        </is>
      </c>
      <c r="P449" s="3" t="inlineStr">
        <is>
          <t>사진有 공장 매매</t>
        </is>
      </c>
      <c r="Q449" s="6">
        <f>HYPERLINK("https://fin.land.naver.com/articles/2649599958", "매물Link")</f>
        <v/>
      </c>
      <c r="R449" s="6">
        <f>HYPERLINK("https://map.naver.com/p/search/연동면 명학리 964", "지도Link")</f>
        <v/>
      </c>
      <c r="S449" s="6">
        <f>HYPERLINK("http://www.eum.go.kr/web/ar/lu/luLandDet.jsp?pnu=3611032023109640000&amp;isNoScr=script&amp;mode=search",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113.9</v>
      </c>
      <c r="W449" s="4" t="n">
        <v>21393.3</v>
      </c>
      <c r="X449" s="3" t="inlineStr">
        <is>
          <t>미표기</t>
        </is>
      </c>
      <c r="Y449" s="7" t="inlineStr">
        <is>
          <t>3층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14.2m</t>
        </is>
      </c>
      <c r="AC449" s="3" t="inlineStr">
        <is>
          <t>2017-06</t>
        </is>
      </c>
      <c r="AD449" s="3" t="inlineStr">
        <is>
          <t>중로한면</t>
        </is>
      </c>
    </row>
    <row r="450">
      <c r="A450" s="3" t="inlineStr">
        <is>
          <t>연동면 송용리 254-1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200</v>
      </c>
      <c r="H450" s="4" t="n">
        <v>164</v>
      </c>
      <c r="I450" s="4" t="n">
        <v>50</v>
      </c>
      <c r="J450" s="5" t="n">
        <v>4</v>
      </c>
      <c r="K450" s="4" t="n">
        <v>330</v>
      </c>
      <c r="L450" s="4" t="n">
        <v>100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카폐 및 창고사무실추천</t>
        </is>
      </c>
      <c r="Q450" s="6">
        <f>HYPERLINK("https://fin.land.naver.com/articles/2651027858", "매물Link")</f>
        <v/>
      </c>
      <c r="R450" s="6">
        <f>HYPERLINK("https://map.naver.com/p/search/연동면 송용리 254-1", "지도Link")</f>
        <v/>
      </c>
      <c r="S450" s="6">
        <f>HYPERLINK("http://www.eum.go.kr/web/ar/lu/luLandDet.jsp?pnu=3611032027102540001&amp;isNoScr=script&amp;mode=search", "토지이음")</f>
        <v/>
      </c>
      <c r="T450" s="3" t="inlineStr">
        <is>
          <t>연동스카이</t>
        </is>
      </c>
      <c r="U450" s="4" t="n">
        <v>1</v>
      </c>
      <c r="V450" s="5" t="n">
        <v>57.3</v>
      </c>
      <c r="W450" s="4" t="n">
        <v>1649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철근콘크리트구조</t>
        </is>
      </c>
      <c r="AA450" s="3" t="inlineStr">
        <is>
          <t>창고시설</t>
        </is>
      </c>
      <c r="AB450" s="3" t="inlineStr">
        <is>
          <t>-</t>
        </is>
      </c>
      <c r="AC450" s="3" t="inlineStr">
        <is>
          <t>1976-04</t>
        </is>
      </c>
      <c r="AD450" s="3" t="inlineStr">
        <is>
          <t>세로한면(가)</t>
        </is>
      </c>
    </row>
    <row r="451">
      <c r="A451" s="3" t="inlineStr">
        <is>
          <t>연동면 응암리 108-4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1600000</v>
      </c>
      <c r="G451" s="4" t="n">
        <v>0</v>
      </c>
      <c r="H451" s="4" t="n">
        <v>24760</v>
      </c>
      <c r="I451" s="4" t="n">
        <v>7490</v>
      </c>
      <c r="J451" s="5" t="n">
        <v>213.6</v>
      </c>
      <c r="K451" s="4" t="n">
        <v>4454</v>
      </c>
      <c r="L451" s="4" t="n">
        <v>1347</v>
      </c>
      <c r="M451" s="5" t="n">
        <v>1187.8</v>
      </c>
      <c r="N451" s="3" t="inlineStr">
        <is>
          <t>1</t>
        </is>
      </c>
      <c r="O451" s="3" t="inlineStr">
        <is>
          <t>-</t>
        </is>
      </c>
      <c r="P451" s="3" t="inlineStr">
        <is>
          <t>세종5생활권인근 대형공장 창고,남청주IC 10분거리 층고 13.45M</t>
        </is>
      </c>
      <c r="Q451" s="6">
        <f>HYPERLINK("https://fin.land.naver.com/articles/2652625576", "매물Link")</f>
        <v/>
      </c>
      <c r="R451" s="6">
        <f>HYPERLINK("https://map.naver.com/p/search/연동면 응암리 108-4", "지도Link")</f>
        <v/>
      </c>
      <c r="S451" s="6">
        <f>HYPERLINK("http://www.eum.go.kr/web/ar/lu/luLandDet.jsp?pnu=3611032024101080004&amp;isNoScr=script&amp;mode=search", "토지이음")</f>
        <v/>
      </c>
      <c r="T451" s="3" t="inlineStr">
        <is>
          <t>더원</t>
        </is>
      </c>
      <c r="U451" s="4" t="n">
        <v>2</v>
      </c>
      <c r="V451" s="5" t="n">
        <v>75.8</v>
      </c>
      <c r="W451" s="4" t="n">
        <v>24760</v>
      </c>
      <c r="X451" s="3" t="inlineStr">
        <is>
          <t>주1동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13.45m</t>
        </is>
      </c>
      <c r="AC451" s="3" t="inlineStr">
        <is>
          <t>2018-02</t>
        </is>
      </c>
      <c r="AD451" s="3" t="inlineStr">
        <is>
          <t>소로한면</t>
        </is>
      </c>
    </row>
    <row r="452">
      <c r="A452" s="3" t="inlineStr">
        <is>
          <t>연동면 응암리 108-4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1600000</v>
      </c>
      <c r="G452" s="4" t="n">
        <v>0</v>
      </c>
      <c r="H452" s="4" t="n">
        <v>24760</v>
      </c>
      <c r="I452" s="4" t="n">
        <v>7490</v>
      </c>
      <c r="J452" s="5" t="n">
        <v>213.6</v>
      </c>
      <c r="K452" s="4" t="n">
        <v>4454</v>
      </c>
      <c r="L452" s="4" t="n">
        <v>1347</v>
      </c>
      <c r="M452" s="5" t="n">
        <v>1187.8</v>
      </c>
      <c r="N452" s="3" t="inlineStr">
        <is>
          <t>1</t>
        </is>
      </c>
      <c r="O452" s="3" t="inlineStr">
        <is>
          <t>-</t>
        </is>
      </c>
      <c r="P452" s="3" t="inlineStr">
        <is>
          <t>세종5생활권 인근 대형공장, 창고,층고 13.4m, 마당넓고 깨끗함</t>
        </is>
      </c>
      <c r="Q452" s="6">
        <f>HYPERLINK("https://fin.land.naver.com/articles/2652356797", "매물Link")</f>
        <v/>
      </c>
      <c r="R452" s="6">
        <f>HYPERLINK("https://map.naver.com/p/search/연동면 응암리 108-4", "지도Link")</f>
        <v/>
      </c>
      <c r="S452" s="6">
        <f>HYPERLINK("http://www.eum.go.kr/web/ar/lu/luLandDet.jsp?pnu=3611032024101080004&amp;isNoScr=script&amp;mode=search",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75.8</v>
      </c>
      <c r="W452" s="4" t="n">
        <v>24760</v>
      </c>
      <c r="X452" s="3" t="inlineStr">
        <is>
          <t>주1동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13.45m</t>
        </is>
      </c>
      <c r="AC452" s="3" t="inlineStr">
        <is>
          <t>2018-02</t>
        </is>
      </c>
      <c r="AD452" s="3" t="inlineStr">
        <is>
          <t>소로한면</t>
        </is>
      </c>
    </row>
    <row r="453">
      <c r="A453" s="3" t="inlineStr">
        <is>
          <t>연동면 응암리 561-1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300000</v>
      </c>
      <c r="G453" s="4" t="n">
        <v>0</v>
      </c>
      <c r="H453" s="4" t="n">
        <v>2277</v>
      </c>
      <c r="I453" s="4" t="n">
        <v>689</v>
      </c>
      <c r="J453" s="5" t="n">
        <v>435.4</v>
      </c>
      <c r="K453" s="4" t="n">
        <v>1150</v>
      </c>
      <c r="L453" s="4" t="n">
        <v>348</v>
      </c>
      <c r="M453" s="5" t="n">
        <v>862.1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HYPERLINK("https://fin.land.naver.com/articles/2650955285", "매물Link")</f>
        <v/>
      </c>
      <c r="R453" s="6">
        <f>HYPERLINK("https://map.naver.com/p/search/연동면 응암리 561-1", "지도Link")</f>
        <v/>
      </c>
      <c r="S453" s="6">
        <f>HYPERLINK("http://www.eum.go.kr/web/ar/lu/luLandDet.jsp?pnu=3611032024105610001&amp;isNoScr=script&amp;mode=search", "토지이음")</f>
        <v/>
      </c>
      <c r="T453" s="3" t="inlineStr">
        <is>
          <t>세종땅전문</t>
        </is>
      </c>
      <c r="U453" s="4" t="n">
        <v>1</v>
      </c>
      <c r="V453" s="5" t="n">
        <v>68.8</v>
      </c>
      <c r="W453" s="4" t="n">
        <v>2277</v>
      </c>
      <c r="X453" s="3" t="inlineStr">
        <is>
          <t>주건축물제1동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9.3m</t>
        </is>
      </c>
      <c r="AC453" s="3" t="inlineStr">
        <is>
          <t>2011-10</t>
        </is>
      </c>
      <c r="AD453" s="3" t="inlineStr">
        <is>
          <t>소로한면</t>
        </is>
      </c>
    </row>
    <row r="454">
      <c r="A454" s="3" t="inlineStr">
        <is>
          <t>연동면 응암리 561-1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300000</v>
      </c>
      <c r="G454" s="4" t="n">
        <v>0</v>
      </c>
      <c r="H454" s="4" t="n">
        <v>2277</v>
      </c>
      <c r="I454" s="4" t="n">
        <v>689</v>
      </c>
      <c r="J454" s="5" t="n">
        <v>435.4</v>
      </c>
      <c r="K454" s="4" t="n">
        <v>1150</v>
      </c>
      <c r="L454" s="4" t="n">
        <v>348</v>
      </c>
      <c r="M454" s="5" t="n">
        <v>862.1</v>
      </c>
      <c r="N454" s="3" t="inlineStr">
        <is>
          <t>2</t>
        </is>
      </c>
      <c r="O454" s="3" t="inlineStr">
        <is>
          <t>-</t>
        </is>
      </c>
      <c r="P454" s="3" t="inlineStr">
        <is>
          <t>사진有 공장 매매</t>
        </is>
      </c>
      <c r="Q454" s="6">
        <f>HYPERLINK("https://fin.land.naver.com/articles/2649601039", "매물Link")</f>
        <v/>
      </c>
      <c r="R454" s="6">
        <f>HYPERLINK("https://map.naver.com/p/search/연동면 응암리 561-1", "지도Link")</f>
        <v/>
      </c>
      <c r="S454" s="6">
        <f>HYPERLINK("http://www.eum.go.kr/web/ar/lu/luLandDet.jsp?pnu=3611032024105610001&amp;isNoScr=script&amp;mode=search",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68.8</v>
      </c>
      <c r="W454" s="4" t="n">
        <v>2277</v>
      </c>
      <c r="X454" s="3" t="inlineStr">
        <is>
          <t>주건축물제1동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9.3m</t>
        </is>
      </c>
      <c r="AC454" s="3" t="inlineStr">
        <is>
          <t>2011-10</t>
        </is>
      </c>
      <c r="AD454" s="3" t="inlineStr">
        <is>
          <t>소로한면</t>
        </is>
      </c>
    </row>
    <row r="455">
      <c r="A455" s="3" t="inlineStr">
        <is>
          <t>연동면 응암리 561-1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300000</v>
      </c>
      <c r="G455" s="4" t="n">
        <v>0</v>
      </c>
      <c r="H455" s="4" t="n">
        <v>2277</v>
      </c>
      <c r="I455" s="4" t="n">
        <v>689</v>
      </c>
      <c r="J455" s="5" t="n">
        <v>435.4</v>
      </c>
      <c r="K455" s="4" t="n">
        <v>1150</v>
      </c>
      <c r="L455" s="4" t="n">
        <v>348</v>
      </c>
      <c r="M455" s="5" t="n">
        <v>862.1</v>
      </c>
      <c r="N455" s="3" t="inlineStr">
        <is>
          <t>2</t>
        </is>
      </c>
      <c r="O455" s="3" t="inlineStr">
        <is>
          <t>-</t>
        </is>
      </c>
      <c r="P455" s="3" t="inlineStr">
        <is>
          <t>행복도시 도심1분 최인접 명학산업단지 건너편 6차선도로 바로옆</t>
        </is>
      </c>
      <c r="Q455" s="6">
        <f>HYPERLINK("https://fin.land.naver.com/articles/2651087083", "매물Link")</f>
        <v/>
      </c>
      <c r="R455" s="6">
        <f>HYPERLINK("https://map.naver.com/p/search/연동면 응암리 561-1", "지도Link")</f>
        <v/>
      </c>
      <c r="S455" s="6">
        <f>HYPERLINK("http://www.eum.go.kr/web/ar/lu/luLandDet.jsp?pnu=3611032024105610001&amp;isNoScr=script&amp;mode=search", "토지이음")</f>
        <v/>
      </c>
      <c r="T455" s="3" t="inlineStr">
        <is>
          <t>세종스타</t>
        </is>
      </c>
      <c r="U455" s="4" t="n">
        <v>2</v>
      </c>
      <c r="V455" s="5" t="n">
        <v>68.8</v>
      </c>
      <c r="W455" s="4" t="n">
        <v>2277</v>
      </c>
      <c r="X455" s="3" t="inlineStr">
        <is>
          <t>주건축물제1동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9.3m</t>
        </is>
      </c>
      <c r="AC455" s="3" t="inlineStr">
        <is>
          <t>2011-10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3000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991</v>
      </c>
      <c r="L456" s="4" t="n">
        <v>300</v>
      </c>
      <c r="M456" s="5" t="n">
        <v>1.2</v>
      </c>
      <c r="N456" s="3" t="inlineStr">
        <is>
          <t>2</t>
        </is>
      </c>
      <c r="O456" s="3" t="inlineStr">
        <is>
          <t>B1</t>
        </is>
      </c>
      <c r="P456" s="3" t="inlineStr">
        <is>
          <t>공장 임대</t>
        </is>
      </c>
      <c r="Q456" s="6">
        <f>HYPERLINK("https://fin.land.naver.com/articles/2653033385",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6682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6.7m</t>
        </is>
      </c>
      <c r="AC456" s="3" t="inlineStr">
        <is>
          <t>1999-11</t>
        </is>
      </c>
      <c r="AD456" s="3" t="inlineStr">
        <is>
          <t>소로한면</t>
        </is>
      </c>
    </row>
    <row r="457">
      <c r="A457" s="3" t="inlineStr">
        <is>
          <t>연동면 응암리 666-1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4000</v>
      </c>
      <c r="G457" s="4" t="n">
        <v>360</v>
      </c>
      <c r="H457" s="4" t="n">
        <v>7015</v>
      </c>
      <c r="I457" s="4" t="n">
        <v>2122</v>
      </c>
      <c r="J457" s="5" t="n">
        <v>0.2</v>
      </c>
      <c r="K457" s="4" t="n">
        <v>4117</v>
      </c>
      <c r="L457" s="4" t="n">
        <v>1245</v>
      </c>
      <c r="M457" s="5" t="n">
        <v>0.3</v>
      </c>
      <c r="N457" s="3" t="inlineStr">
        <is>
          <t>2</t>
        </is>
      </c>
      <c r="O457" s="3" t="inlineStr">
        <is>
          <t>-</t>
        </is>
      </c>
      <c r="P457" s="3" t="inlineStr">
        <is>
          <t>공장 및 창고 가능, 즉시 입주 가능, 대형차 진출입 가능</t>
        </is>
      </c>
      <c r="Q457" s="6">
        <f>HYPERLINK("https://fin.land.naver.com/articles/2653062776", "매물Link")</f>
        <v/>
      </c>
      <c r="R457" s="6">
        <f>HYPERLINK("https://map.naver.com/p/search/연동면 응암리 666-1", "지도Link")</f>
        <v/>
      </c>
      <c r="S457" s="6">
        <f>HYPERLINK("http://www.eum.go.kr/web/ar/lu/luLandDet.jsp?pnu=3611032024106660001&amp;isNoScr=script&amp;mode=search", "토지이음")</f>
        <v/>
      </c>
      <c r="T457" s="3" t="inlineStr">
        <is>
          <t>주식회사 대기</t>
        </is>
      </c>
      <c r="U457" s="4" t="n">
        <v>1</v>
      </c>
      <c r="V457" s="5" t="n">
        <v>78.3</v>
      </c>
      <c r="W457" s="4" t="n">
        <v>6682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1990</t>
        </is>
      </c>
      <c r="AD457" s="3" t="inlineStr">
        <is>
          <t>소로한면</t>
        </is>
      </c>
    </row>
    <row r="458">
      <c r="A458" s="3" t="inlineStr">
        <is>
          <t>연동면 응암리 666-1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4000</v>
      </c>
      <c r="G458" s="4" t="n">
        <v>360</v>
      </c>
      <c r="H458" s="4" t="n">
        <v>7015</v>
      </c>
      <c r="I458" s="4" t="n">
        <v>2122</v>
      </c>
      <c r="J458" s="5" t="n">
        <v>0.2</v>
      </c>
      <c r="K458" s="4" t="n">
        <v>3266</v>
      </c>
      <c r="L458" s="4" t="n">
        <v>988</v>
      </c>
      <c r="M458" s="5" t="n">
        <v>0.4</v>
      </c>
      <c r="N458" s="3" t="inlineStr">
        <is>
          <t>2</t>
        </is>
      </c>
      <c r="O458" s="3" t="inlineStr">
        <is>
          <t>B1</t>
        </is>
      </c>
      <c r="P458" s="3" t="inlineStr">
        <is>
          <t>사통팔달세종시 창고 및 공장 임대</t>
        </is>
      </c>
      <c r="Q458" s="6">
        <f>HYPERLINK("https://fin.land.naver.com/articles/2652104001", "매물Link")</f>
        <v/>
      </c>
      <c r="R458" s="6">
        <f>HYPERLINK("https://map.naver.com/p/search/연동면 응암리 666-1", "지도Link")</f>
        <v/>
      </c>
      <c r="S458" s="6">
        <f>HYPERLINK("http://www.eum.go.kr/web/ar/lu/luLandDet.jsp?pnu=3611032024106660001&amp;isNoScr=script&amp;mode=search", "토지이음")</f>
        <v/>
      </c>
      <c r="T458" s="3" t="inlineStr">
        <is>
          <t>주식회사 써밋</t>
        </is>
      </c>
      <c r="U458" s="4" t="n">
        <v>1</v>
      </c>
      <c r="V458" s="5" t="n">
        <v>78.3</v>
      </c>
      <c r="W458" s="4" t="n">
        <v>6682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1990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3500</v>
      </c>
      <c r="G459" s="4" t="n">
        <v>240</v>
      </c>
      <c r="H459" s="4" t="n">
        <v>7015</v>
      </c>
      <c r="I459" s="4" t="n">
        <v>2122</v>
      </c>
      <c r="J459" s="5" t="n">
        <v>0.1</v>
      </c>
      <c r="K459" s="4" t="n">
        <v>4117</v>
      </c>
      <c r="L459" s="4" t="n">
        <v>1245</v>
      </c>
      <c r="M459" s="5" t="n">
        <v>0.2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및 창고 가능, 즉시 입주 가능, 대형차 진출입 가능</t>
        </is>
      </c>
      <c r="Q459" s="6">
        <f>HYPERLINK("https://fin.land.naver.com/articles/2653065571",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대기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670000</v>
      </c>
      <c r="G460" s="4" t="n">
        <v>0</v>
      </c>
      <c r="H460" s="4" t="n">
        <v>10093</v>
      </c>
      <c r="I460" s="4" t="n">
        <v>3053</v>
      </c>
      <c r="J460" s="5" t="n">
        <v>219.5</v>
      </c>
      <c r="K460" s="4" t="n">
        <v>5677</v>
      </c>
      <c r="L460" s="4" t="n">
        <v>1717</v>
      </c>
      <c r="M460" s="5" t="n">
        <v>390.2</v>
      </c>
      <c r="N460" s="3" t="inlineStr">
        <is>
          <t>2</t>
        </is>
      </c>
      <c r="O460" s="3" t="inlineStr">
        <is>
          <t>B1</t>
        </is>
      </c>
      <c r="P460" s="3" t="inlineStr">
        <is>
          <t>사진有 공장 매매</t>
        </is>
      </c>
      <c r="Q460" s="6">
        <f>HYPERLINK("https://fin.land.naver.com/articles/2649601593", "매물Link")</f>
        <v/>
      </c>
      <c r="R460" s="6">
        <f>HYPERLINK("https://map.naver.com/p/search/연동면 응암리 666-6", "지도Link")</f>
        <v/>
      </c>
      <c r="S460" s="6">
        <f>HYPERLINK("http://www.eum.go.kr/web/ar/lu/luLandDet.jsp?pnu=3611032024106660006&amp;isNoScr=script&amp;mode=search",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9368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/>
      <c r="AD460" s="3" t="inlineStr">
        <is>
          <t>소로한면</t>
        </is>
      </c>
    </row>
    <row r="461">
      <c r="A461" s="3" t="inlineStr">
        <is>
          <t>연동면 응암리 666-6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670000</v>
      </c>
      <c r="G461" s="4" t="n">
        <v>0</v>
      </c>
      <c r="H461" s="4" t="n">
        <v>100932</v>
      </c>
      <c r="I461" s="4" t="n">
        <v>30532</v>
      </c>
      <c r="J461" s="5" t="n">
        <v>21.9</v>
      </c>
      <c r="K461" s="4" t="n">
        <v>5677</v>
      </c>
      <c r="L461" s="4" t="n">
        <v>1717</v>
      </c>
      <c r="M461" s="5" t="n">
        <v>390.2</v>
      </c>
      <c r="N461" s="3" t="inlineStr">
        <is>
          <t>2</t>
        </is>
      </c>
      <c r="O461" s="3" t="inlineStr">
        <is>
          <t>-</t>
        </is>
      </c>
      <c r="P461" s="3" t="inlineStr">
        <is>
          <t>즉시입주 가능한 농공단지내 공장입니다</t>
        </is>
      </c>
      <c r="Q461" s="6">
        <f>HYPERLINK("https://fin.land.naver.com/articles/2649729485", "매물Link")</f>
        <v/>
      </c>
      <c r="R461" s="6">
        <f>HYPERLINK("https://map.naver.com/p/search/연동면 응암리 666-6", "지도Link")</f>
        <v/>
      </c>
      <c r="S461" s="6">
        <f>HYPERLINK("http://www.eum.go.kr/web/ar/lu/luLandDet.jsp?pnu=3611032024106660006&amp;isNoScr=script&amp;mode=search", "토지이음")</f>
        <v/>
      </c>
      <c r="T461" s="3" t="inlineStr">
        <is>
          <t>복댕이</t>
        </is>
      </c>
      <c r="U461" s="4" t="n">
        <v>2</v>
      </c>
      <c r="V461" s="5" t="n">
        <v>78.3</v>
      </c>
      <c r="W461" s="4" t="n">
        <v>9368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/>
      <c r="AD461" s="3" t="inlineStr">
        <is>
          <t>소로한면</t>
        </is>
      </c>
    </row>
    <row r="462">
      <c r="A462" s="3" t="inlineStr">
        <is>
          <t>연동면 응암리 666-6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670000</v>
      </c>
      <c r="G462" s="4" t="n">
        <v>0</v>
      </c>
      <c r="H462" s="4" t="n">
        <v>10093</v>
      </c>
      <c r="I462" s="4" t="n">
        <v>3053</v>
      </c>
      <c r="J462" s="5" t="n">
        <v>219.5</v>
      </c>
      <c r="K462" s="4" t="n">
        <v>10093</v>
      </c>
      <c r="L462" s="4" t="n">
        <v>3053</v>
      </c>
      <c r="M462" s="5" t="n">
        <v>219.5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세종시 5생활권 접 산업단지  공장매매</t>
        </is>
      </c>
      <c r="Q462" s="6">
        <f>HYPERLINK("https://fin.land.naver.com/articles/2652650620", "매물Link")</f>
        <v/>
      </c>
      <c r="R462" s="6">
        <f>HYPERLINK("https://map.naver.com/p/search/연동면 응암리 666-6", "지도Link")</f>
        <v/>
      </c>
      <c r="S462" s="6">
        <f>HYPERLINK("http://www.eum.go.kr/web/ar/lu/luLandDet.jsp?pnu=3611032024106660006&amp;isNoScr=script&amp;mode=search", "토지이음")</f>
        <v/>
      </c>
      <c r="T462" s="3" t="inlineStr">
        <is>
          <t>대박</t>
        </is>
      </c>
      <c r="U462" s="4" t="n">
        <v>1</v>
      </c>
      <c r="V462" s="5" t="n">
        <v>78.3</v>
      </c>
      <c r="W462" s="4" t="n">
        <v>9368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/>
      <c r="AD462" s="3" t="inlineStr">
        <is>
          <t>소로한면</t>
        </is>
      </c>
    </row>
    <row r="463">
      <c r="A463" s="3" t="inlineStr">
        <is>
          <t>연동면 응암리 676-12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7600</v>
      </c>
      <c r="G463" s="4" t="n">
        <v>760</v>
      </c>
      <c r="H463" s="4" t="n">
        <v>5241</v>
      </c>
      <c r="I463" s="4" t="n">
        <v>1585</v>
      </c>
      <c r="J463" s="5" t="n">
        <v>0.5</v>
      </c>
      <c r="K463" s="4" t="n">
        <v>1096</v>
      </c>
      <c r="L463" s="4" t="n">
        <v>332</v>
      </c>
      <c r="M463" s="5" t="n">
        <v>2.3</v>
      </c>
      <c r="N463" s="3" t="inlineStr">
        <is>
          <t>1</t>
        </is>
      </c>
      <c r="O463" s="3" t="inlineStr">
        <is>
          <t>-</t>
        </is>
      </c>
      <c r="P463" s="3" t="inlineStr">
        <is>
          <t>세종명학산업단지 초근접 2차선 도로변 공장, 물류창고 임대</t>
        </is>
      </c>
      <c r="Q463" s="6">
        <f>HYPERLINK("https://fin.land.naver.com/articles/2649815821", "매물Link")</f>
        <v/>
      </c>
      <c r="R463" s="6">
        <f>HYPERLINK("https://map.naver.com/p/search/연동면 응암리 676-12", "지도Link")</f>
        <v/>
      </c>
      <c r="S463" s="6">
        <f>HYPERLINK("http://www.eum.go.kr/web/ar/lu/luLandDet.jsp?pnu=3611032024106760012&amp;isNoScr=script&amp;mode=search",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63.9</v>
      </c>
      <c r="W463" s="4" t="n">
        <v>5241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10.25m</t>
        </is>
      </c>
      <c r="AC463" s="3" t="inlineStr">
        <is>
          <t>2015-03</t>
        </is>
      </c>
      <c r="AD463" s="3" t="inlineStr">
        <is>
          <t>소로한면</t>
        </is>
      </c>
    </row>
    <row r="464">
      <c r="A464" s="3" t="inlineStr">
        <is>
          <t>연서면 국촌리 7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1057000</v>
      </c>
      <c r="G464" s="4" t="n">
        <v>0</v>
      </c>
      <c r="H464" s="4" t="n">
        <v>6989</v>
      </c>
      <c r="I464" s="4" t="n">
        <v>2114</v>
      </c>
      <c r="J464" s="5" t="n">
        <v>500</v>
      </c>
      <c r="K464" s="4" t="n">
        <v>1217</v>
      </c>
      <c r="L464" s="4" t="n">
        <v>368</v>
      </c>
      <c r="M464" s="5" t="n">
        <v>2872.3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HYPERLINK("https://fin.land.naver.com/articles/2648077609", "매물Link")</f>
        <v/>
      </c>
      <c r="R464" s="6">
        <f>HYPERLINK("https://map.naver.com/p/search/연서면 국촌리 7", "지도Link")</f>
        <v/>
      </c>
      <c r="S464" s="6">
        <f>HYPERLINK("http://www.eum.go.kr/web/ar/lu/luLandDet.jsp?pnu=3611036030100070000&amp;isNoScr=script&amp;mode=search", "토지이음")</f>
        <v/>
      </c>
      <c r="T464" s="3" t="inlineStr">
        <is>
          <t>푸른들</t>
        </is>
      </c>
      <c r="U464" s="4" t="n">
        <v>1</v>
      </c>
      <c r="V464" s="5" t="n">
        <v>102.1</v>
      </c>
      <c r="W464" s="4" t="n">
        <v>4723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8.7m</t>
        </is>
      </c>
      <c r="AC464" s="3" t="inlineStr">
        <is>
          <t>2002-07</t>
        </is>
      </c>
      <c r="AD464" s="3" t="inlineStr">
        <is>
          <t>소로한면</t>
        </is>
      </c>
    </row>
    <row r="465">
      <c r="A465" s="3" t="inlineStr">
        <is>
          <t>연서면 봉암리 620-133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5000</v>
      </c>
      <c r="G465" s="4" t="n">
        <v>400</v>
      </c>
      <c r="H465" s="4" t="n">
        <v>2764</v>
      </c>
      <c r="I465" s="4" t="n">
        <v>836</v>
      </c>
      <c r="J465" s="5" t="n">
        <v>0.5</v>
      </c>
      <c r="K465" s="4" t="n">
        <v>655</v>
      </c>
      <c r="L465" s="4" t="n">
        <v>198</v>
      </c>
      <c r="M465" s="5" t="n">
        <v>2</v>
      </c>
      <c r="N465" s="3" t="inlineStr">
        <is>
          <t>1</t>
        </is>
      </c>
      <c r="O465" s="3" t="inlineStr">
        <is>
          <t>-</t>
        </is>
      </c>
      <c r="P465" s="3" t="inlineStr">
        <is>
          <t>월세조정가.6차선대로변접.화물차진입및회전가.대원네스트빌바로옆.SK주유소접</t>
        </is>
      </c>
      <c r="Q465" s="6">
        <f>HYPERLINK("https://fin.land.naver.com/articles/2649818490", "매물Link")</f>
        <v/>
      </c>
      <c r="R465" s="6">
        <f>HYPERLINK("https://map.naver.com/p/search/연서면 봉암리 620-133", "지도Link")</f>
        <v/>
      </c>
      <c r="S465" s="6">
        <f>HYPERLINK("http://www.eum.go.kr/web/ar/lu/luLandDet.jsp?pnu=3611036033106200133&amp;isNoScr=script&amp;mode=search", "토지이음")</f>
        <v/>
      </c>
      <c r="T465" s="3" t="inlineStr">
        <is>
          <t>돈방석</t>
        </is>
      </c>
      <c r="U465" s="4" t="n">
        <v>1</v>
      </c>
      <c r="V465" s="5" t="n">
        <v>171.6</v>
      </c>
      <c r="W465" s="4" t="n">
        <v>2764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제2종근생</t>
        </is>
      </c>
      <c r="AB465" s="3" t="inlineStr">
        <is>
          <t>6.0m</t>
        </is>
      </c>
      <c r="AC465" s="3" t="inlineStr">
        <is>
          <t>2007-04</t>
        </is>
      </c>
      <c r="AD465" s="3" t="inlineStr">
        <is>
          <t>세로한면(가)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조치원 일반산업단지 대형공장매매, 최근 리모델링으로 시설 굿</t>
        </is>
      </c>
      <c r="Q466" s="6">
        <f>HYPERLINK("https://fin.land.naver.com/articles/2648903978",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명진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-</t>
        </is>
      </c>
      <c r="P467" s="3" t="inlineStr">
        <is>
          <t>7동구조로 된 대형공장 컨디션 최상 고전력 다양한 유틸리티</t>
        </is>
      </c>
      <c r="Q467" s="6">
        <f>HYPERLINK("https://fin.land.naver.com/articles/2652437120",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공장플러스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1</t>
        </is>
      </c>
      <c r="O468" s="3" t="inlineStr">
        <is>
          <t>-</t>
        </is>
      </c>
      <c r="P468" s="3" t="inlineStr">
        <is>
          <t>세종조치원일반산업단지 대형공장매매 최근리모델링완비로 컨디션좋음</t>
        </is>
      </c>
      <c r="Q468" s="6">
        <f>HYPERLINK("https://fin.land.naver.com/articles/2650956049",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3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 조치원산업단지 대형 공장 매매</t>
        </is>
      </c>
      <c r="Q470" s="6">
        <f>HYPERLINK("https://fin.land.naver.com/articles/2651016586",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뉴대전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1</t>
        </is>
      </c>
      <c r="O471" s="3" t="inlineStr">
        <is>
          <t>-</t>
        </is>
      </c>
      <c r="P471" s="3" t="inlineStr">
        <is>
          <t>화학물질 제조 가능</t>
        </is>
      </c>
      <c r="Q471" s="6">
        <f>HYPERLINK("https://fin.land.naver.com/articles/2652703353",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미더스</t>
        </is>
      </c>
      <c r="U471" s="4" t="n">
        <v>2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월하천 뷰의 전망이 좋고 투자가치 탁월한 공장,창고 매매</t>
        </is>
      </c>
      <c r="Q473" s="6">
        <f>HYPERLINK("https://fin.land.naver.com/articles/2650985014",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비타민무소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500</v>
      </c>
      <c r="H474" s="4" t="n">
        <v>1616</v>
      </c>
      <c r="I474" s="4" t="n">
        <v>489</v>
      </c>
      <c r="J474" s="5" t="n">
        <v>1</v>
      </c>
      <c r="K474" s="4" t="n">
        <v>1254</v>
      </c>
      <c r="L474" s="4" t="n">
        <v>379</v>
      </c>
      <c r="M474" s="5" t="n">
        <v>1.3</v>
      </c>
      <c r="N474" s="3" t="inlineStr">
        <is>
          <t>2</t>
        </is>
      </c>
      <c r="O474" s="3" t="inlineStr">
        <is>
          <t>-</t>
        </is>
      </c>
      <c r="P474" s="3" t="inlineStr">
        <is>
          <t>공장  임대 입니다</t>
        </is>
      </c>
      <c r="Q474" s="6">
        <f>HYPERLINK("https://fin.land.naver.com/articles/2647433809",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마니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1000</v>
      </c>
      <c r="G475" s="4" t="n">
        <v>180</v>
      </c>
      <c r="H475" s="4" t="n">
        <v>919</v>
      </c>
      <c r="I475" s="4" t="n">
        <v>278</v>
      </c>
      <c r="J475" s="5" t="n">
        <v>0.6</v>
      </c>
      <c r="K475" s="4" t="n">
        <v>240</v>
      </c>
      <c r="L475" s="4" t="n">
        <v>73</v>
      </c>
      <c r="M475" s="5" t="n">
        <v>2.5</v>
      </c>
      <c r="N475" s="3" t="inlineStr">
        <is>
          <t>2</t>
        </is>
      </c>
      <c r="O475" s="3" t="inlineStr">
        <is>
          <t>-</t>
        </is>
      </c>
      <c r="P475" s="3" t="inlineStr">
        <is>
          <t>조치원과 고복저수지와 연서면 국가산업단지를 연결하는 성제사거리에 입지</t>
        </is>
      </c>
      <c r="Q475" s="6">
        <f>HYPERLINK("https://fin.land.naver.com/articles/2651406061",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세종베스트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HYPERLINK("https://fin.land.naver.com/articles/2647433840",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500</v>
      </c>
      <c r="H478" s="4" t="n">
        <v>1857</v>
      </c>
      <c r="I478" s="4" t="n">
        <v>562</v>
      </c>
      <c r="J478" s="5" t="n">
        <v>0.9</v>
      </c>
      <c r="K478" s="4" t="n">
        <v>1254</v>
      </c>
      <c r="L478" s="4" t="n">
        <v>379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전망 좋고 투자가치 높은 월하천 전망의 귀한 공장 창고 판매매장</t>
        </is>
      </c>
      <c r="Q478" s="6">
        <f>HYPERLINK("https://fin.land.naver.com/articles/2651831711",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번영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신대리 197-1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450</v>
      </c>
      <c r="H479" s="4" t="n">
        <v>3170</v>
      </c>
      <c r="I479" s="4" t="n">
        <v>959</v>
      </c>
      <c r="J479" s="5" t="n">
        <v>0.5</v>
      </c>
      <c r="K479" s="4" t="n">
        <v>802</v>
      </c>
      <c r="L479" s="4" t="n">
        <v>243</v>
      </c>
      <c r="M479" s="5" t="n">
        <v>1.9</v>
      </c>
      <c r="N479" s="3" t="inlineStr">
        <is>
          <t>1</t>
        </is>
      </c>
      <c r="O479" s="3" t="inlineStr">
        <is>
          <t>-</t>
        </is>
      </c>
      <c r="P479" s="3" t="inlineStr">
        <is>
          <t>사진有 공장 임대</t>
        </is>
      </c>
      <c r="Q479" s="6">
        <f>HYPERLINK("https://fin.land.naver.com/articles/2653032812", "매물Link")</f>
        <v/>
      </c>
      <c r="R479" s="6">
        <f>HYPERLINK("https://map.naver.com/p/search/연서면 신대리 197-1", "지도Link")</f>
        <v/>
      </c>
      <c r="S479" s="6">
        <f>HYPERLINK("http://www.eum.go.kr/web/ar/lu/luLandDet.jsp?pnu=3611036029101970001&amp;isNoScr=script&amp;mode=search", "토지이음")</f>
        <v/>
      </c>
      <c r="T479" s="3" t="inlineStr">
        <is>
          <t>월드</t>
        </is>
      </c>
      <c r="U479" s="4" t="n">
        <v>1</v>
      </c>
      <c r="V479" s="5" t="n">
        <v>58.4</v>
      </c>
      <c r="W479" s="4" t="n">
        <v>3009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7.3m</t>
        </is>
      </c>
      <c r="AC479" s="3" t="inlineStr">
        <is>
          <t>2005-06</t>
        </is>
      </c>
      <c r="AD479" s="3" t="inlineStr">
        <is>
          <t>소로한면</t>
        </is>
      </c>
    </row>
    <row r="480">
      <c r="A480" s="3" t="inlineStr">
        <is>
          <t>연서면 신대리 459-3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450000</v>
      </c>
      <c r="G480" s="4" t="n">
        <v>0</v>
      </c>
      <c r="H480" s="4" t="n">
        <v>9577</v>
      </c>
      <c r="I480" s="4" t="n">
        <v>2897</v>
      </c>
      <c r="J480" s="5" t="n">
        <v>155.3</v>
      </c>
      <c r="K480" s="4" t="n">
        <v>2697</v>
      </c>
      <c r="L480" s="4" t="n">
        <v>816</v>
      </c>
      <c r="M480" s="5" t="n">
        <v>551.5</v>
      </c>
      <c r="N480" s="3" t="inlineStr">
        <is>
          <t>3</t>
        </is>
      </c>
      <c r="O480" s="3" t="inlineStr">
        <is>
          <t>-</t>
        </is>
      </c>
      <c r="P480" s="3" t="inlineStr">
        <is>
          <t>세종스마트국가산업단지 인근 2차선 도로변 공장 매각</t>
        </is>
      </c>
      <c r="Q480" s="6">
        <f>HYPERLINK("https://fin.land.naver.com/articles/2651693675", "매물Link")</f>
        <v/>
      </c>
      <c r="R480" s="6">
        <f>HYPERLINK("https://map.naver.com/p/search/연서면 신대리 459-3", "지도Link")</f>
        <v/>
      </c>
      <c r="S480" s="6">
        <f>HYPERLINK("http://www.eum.go.kr/web/ar/lu/luLandDet.jsp?pnu=3611036029104590003&amp;isNoScr=script&amp;mode=search", "토지이음")</f>
        <v/>
      </c>
      <c r="T480" s="3" t="inlineStr">
        <is>
          <t>청담</t>
        </is>
      </c>
      <c r="U480" s="4" t="n">
        <v>1</v>
      </c>
      <c r="V480" s="5" t="n">
        <v>68.7</v>
      </c>
      <c r="W480" s="4" t="n">
        <v>9577</v>
      </c>
      <c r="X480" s="3" t="inlineStr">
        <is>
          <t>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위험물저장및처리시설</t>
        </is>
      </c>
      <c r="AB480" s="3" t="inlineStr">
        <is>
          <t>6.85m</t>
        </is>
      </c>
      <c r="AC480" s="3" t="inlineStr">
        <is>
          <t>2002-12</t>
        </is>
      </c>
      <c r="AD480" s="3" t="inlineStr">
        <is>
          <t>소로한면</t>
        </is>
      </c>
    </row>
    <row r="481">
      <c r="A481" s="3" t="inlineStr">
        <is>
          <t>연서면 신대리 459-3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450000</v>
      </c>
      <c r="G481" s="4" t="n">
        <v>0</v>
      </c>
      <c r="H481" s="4" t="n">
        <v>9577</v>
      </c>
      <c r="I481" s="4" t="n">
        <v>2897</v>
      </c>
      <c r="J481" s="5" t="n">
        <v>155.3</v>
      </c>
      <c r="K481" s="4" t="n">
        <v>2697</v>
      </c>
      <c r="L481" s="4" t="n">
        <v>816</v>
      </c>
      <c r="M481" s="5" t="n">
        <v>551.5</v>
      </c>
      <c r="N481" s="3" t="inlineStr">
        <is>
          <t>3</t>
        </is>
      </c>
      <c r="O481" s="3" t="inlineStr">
        <is>
          <t>-</t>
        </is>
      </c>
      <c r="P481" s="3" t="inlineStr">
        <is>
          <t>연서면 신대리 사옥 및 공장, 냉동 상온창고 총 6동 매매</t>
        </is>
      </c>
      <c r="Q481" s="6">
        <f>HYPERLINK("https://fin.land.naver.com/articles/2652165001", "매물Link")</f>
        <v/>
      </c>
      <c r="R481" s="6">
        <f>HYPERLINK("https://map.naver.com/p/search/연서면 신대리 459-3", "지도Link")</f>
        <v/>
      </c>
      <c r="S481" s="6">
        <f>HYPERLINK("http://www.eum.go.kr/web/ar/lu/luLandDet.jsp?pnu=3611036029104590003&amp;isNoScr=script&amp;mode=search", "토지이음")</f>
        <v/>
      </c>
      <c r="T481" s="3" t="inlineStr">
        <is>
          <t>뉴스카이</t>
        </is>
      </c>
      <c r="U481" s="4" t="n">
        <v>1</v>
      </c>
      <c r="V481" s="5" t="n">
        <v>68.7</v>
      </c>
      <c r="W481" s="4" t="n">
        <v>9577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위험물저장및처리시설</t>
        </is>
      </c>
      <c r="AB481" s="3" t="inlineStr">
        <is>
          <t>6.85m</t>
        </is>
      </c>
      <c r="AC481" s="3" t="inlineStr">
        <is>
          <t>2002-12</t>
        </is>
      </c>
      <c r="AD481" s="3" t="inlineStr">
        <is>
          <t>소로한면</t>
        </is>
      </c>
    </row>
    <row r="482">
      <c r="A482" s="3" t="inlineStr">
        <is>
          <t>연서면 신대리 532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86700</v>
      </c>
      <c r="G482" s="4" t="n">
        <v>0</v>
      </c>
      <c r="H482" s="4" t="n">
        <v>957</v>
      </c>
      <c r="I482" s="4" t="n">
        <v>289</v>
      </c>
      <c r="J482" s="5" t="n">
        <v>300</v>
      </c>
      <c r="K482" s="4" t="n">
        <v>233</v>
      </c>
      <c r="L482" s="4" t="n">
        <v>70</v>
      </c>
      <c r="M482" s="5" t="n">
        <v>1238.6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 도로접한 공장부지.근생용지로도 사용가능,카페,식당,창고추천</t>
        </is>
      </c>
      <c r="Q482" s="6">
        <f>HYPERLINK("https://fin.land.naver.com/articles/2652071695", "매물Link")</f>
        <v/>
      </c>
      <c r="R482" s="6">
        <f>HYPERLINK("https://map.naver.com/p/search/연서면 신대리 532", "지도Link")</f>
        <v/>
      </c>
      <c r="S482" s="6">
        <f>HYPERLINK("http://www.eum.go.kr/web/ar/lu/luLandDet.jsp?pnu=3611036029105320000&amp;isNoScr=script&amp;mode=search", "토지이음")</f>
        <v/>
      </c>
      <c r="T482" s="3" t="inlineStr">
        <is>
          <t>담뜰</t>
        </is>
      </c>
      <c r="U482" s="4" t="n">
        <v>1</v>
      </c>
      <c r="V482" s="5" t="n">
        <v>58.4</v>
      </c>
      <c r="W482" s="4" t="n">
        <v>957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5.4m</t>
        </is>
      </c>
      <c r="AC482" s="3" t="inlineStr">
        <is>
          <t>2002-10</t>
        </is>
      </c>
      <c r="AD482" s="3" t="inlineStr">
        <is>
          <t>소로한면</t>
        </is>
      </c>
    </row>
    <row r="483">
      <c r="A483" s="3" t="inlineStr">
        <is>
          <t>연서면 쌍류리 332-3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2000</v>
      </c>
      <c r="G483" s="4" t="n">
        <v>90</v>
      </c>
      <c r="H483" s="4" t="n">
        <v>1491</v>
      </c>
      <c r="I483" s="4" t="n">
        <v>451</v>
      </c>
      <c r="J483" s="5" t="n">
        <v>0.2</v>
      </c>
      <c r="K483" s="4" t="n">
        <v>199</v>
      </c>
      <c r="L483" s="4" t="n">
        <v>60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도로에 접한 창고 임대카페,창고,시무실 등 용도</t>
        </is>
      </c>
      <c r="Q483" s="6">
        <f>HYPERLINK("https://fin.land.naver.com/articles/2650858536", "매물Link")</f>
        <v/>
      </c>
      <c r="R483" s="6">
        <f>HYPERLINK("https://map.naver.com/p/search/연서면 쌍류리 332-3", "지도Link")</f>
        <v/>
      </c>
      <c r="S483" s="6">
        <f>HYPERLINK("http://www.eum.go.kr/web/ar/lu/luLandDet.jsp?pnu=3611036026103320003&amp;isNoScr=script&amp;mode=search", "토지이음")</f>
        <v/>
      </c>
      <c r="T483" s="3" t="inlineStr">
        <is>
          <t>세종대박</t>
        </is>
      </c>
      <c r="U483" s="4" t="n">
        <v>1</v>
      </c>
      <c r="V483" s="5" t="n">
        <v>47.6</v>
      </c>
      <c r="W483" s="4" t="n">
        <v>1000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제1종근생</t>
        </is>
      </c>
      <c r="AB483" s="3" t="inlineStr">
        <is>
          <t>4.7m</t>
        </is>
      </c>
      <c r="AC483" s="3" t="inlineStr">
        <is>
          <t>2011-12</t>
        </is>
      </c>
      <c r="AD483" s="3" t="inlineStr">
        <is>
          <t>세로한면(가)</t>
        </is>
      </c>
    </row>
    <row r="484">
      <c r="A484" s="3" t="inlineStr">
        <is>
          <t>연서면 와촌리 1119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1010000</v>
      </c>
      <c r="G484" s="4" t="n">
        <v>0</v>
      </c>
      <c r="H484" s="4" t="n">
        <v>22539</v>
      </c>
      <c r="I484" s="4" t="n">
        <v>6818</v>
      </c>
      <c r="J484" s="5" t="n">
        <v>148.1</v>
      </c>
      <c r="K484" s="4" t="n">
        <v>2654</v>
      </c>
      <c r="L484" s="4" t="n">
        <v>803</v>
      </c>
      <c r="M484" s="5" t="n">
        <v>1257.8</v>
      </c>
      <c r="N484" s="3" t="inlineStr">
        <is>
          <t>2</t>
        </is>
      </c>
      <c r="O484" s="3" t="inlineStr">
        <is>
          <t>-</t>
        </is>
      </c>
      <c r="P484" s="3" t="inlineStr">
        <is>
          <t>초급매 계획관리 공장용지 세종스마트국가산단 인근</t>
        </is>
      </c>
      <c r="Q484" s="6">
        <f>HYPERLINK("https://fin.land.naver.com/articles/2649918694", "매물Link")</f>
        <v/>
      </c>
      <c r="R484" s="6">
        <f>HYPERLINK("https://map.naver.com/p/search/연서면 와촌리 1119", "지도Link")</f>
        <v/>
      </c>
      <c r="S484" s="6">
        <f>HYPERLINK("http://www.eum.go.kr/web/ar/lu/luLandDet.jsp?pnu=3611036031111190000&amp;isNoScr=script&amp;mode=search", "토지이음")</f>
        <v/>
      </c>
      <c r="T484" s="3" t="inlineStr">
        <is>
          <t>미스터홈즈강남지사</t>
        </is>
      </c>
      <c r="U484" s="4" t="n">
        <v>1</v>
      </c>
      <c r="V484" s="5" t="n">
        <v>79.7</v>
      </c>
      <c r="W484" s="4" t="n">
        <v>6533</v>
      </c>
      <c r="X484" s="3" t="inlineStr">
        <is>
          <t>A동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8.9m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1119-2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5000</v>
      </c>
      <c r="G485" s="4" t="n">
        <v>600</v>
      </c>
      <c r="H485" s="4" t="n">
        <v>3250</v>
      </c>
      <c r="I485" s="4" t="n">
        <v>983</v>
      </c>
      <c r="J485" s="5" t="n">
        <v>0.6</v>
      </c>
      <c r="K485" s="4" t="n">
        <v>1552</v>
      </c>
      <c r="L485" s="4" t="n">
        <v>469</v>
      </c>
      <c r="M485" s="5" t="n">
        <v>1.3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HYPERLINK("https://fin.land.naver.com/articles/2653032582", "매물Link")</f>
        <v/>
      </c>
      <c r="R485" s="6">
        <f>HYPERLINK("https://map.naver.com/p/search/연서면 와촌리 1119-2", "지도Link")</f>
        <v/>
      </c>
      <c r="S485" s="6">
        <f>HYPERLINK("http://www.eum.go.kr/web/ar/lu/luLandDet.jsp?pnu=3611036031111190002&amp;isNoScr=script&amp;mode=search",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79.7</v>
      </c>
      <c r="W485" s="4" t="n">
        <v>3250</v>
      </c>
      <c r="X485" s="3" t="inlineStr">
        <is>
          <t>C동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1996-12</t>
        </is>
      </c>
      <c r="AD485" s="3" t="inlineStr">
        <is>
          <t>세로한면(가)</t>
        </is>
      </c>
    </row>
    <row r="486">
      <c r="A486" s="3" t="inlineStr">
        <is>
          <t>연서면 와촌리 1119-2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5000</v>
      </c>
      <c r="G486" s="4" t="n">
        <v>600</v>
      </c>
      <c r="H486" s="4" t="n">
        <v>3250</v>
      </c>
      <c r="I486" s="4" t="n">
        <v>983</v>
      </c>
      <c r="J486" s="5" t="n">
        <v>0.6</v>
      </c>
      <c r="K486" s="4" t="n">
        <v>1552</v>
      </c>
      <c r="L486" s="4" t="n">
        <v>469</v>
      </c>
      <c r="M486" s="5" t="n">
        <v>1.3</v>
      </c>
      <c r="N486" s="3" t="inlineStr">
        <is>
          <t>2</t>
        </is>
      </c>
      <c r="O486" s="3" t="inlineStr">
        <is>
          <t>-</t>
        </is>
      </c>
      <c r="P486" s="3" t="inlineStr">
        <is>
          <t>호이스트, 사무동, 기숙사 있는 대형공장 아주 아주 저렴한 임대</t>
        </is>
      </c>
      <c r="Q486" s="6">
        <f>HYPERLINK("https://fin.land.naver.com/articles/2651531957", "매물Link")</f>
        <v/>
      </c>
      <c r="R486" s="6">
        <f>HYPERLINK("https://map.naver.com/p/search/연서면 와촌리 1119-2", "지도Link")</f>
        <v/>
      </c>
      <c r="S486" s="6">
        <f>HYPERLINK("http://www.eum.go.kr/web/ar/lu/luLandDet.jsp?pnu=3611036031111190002&amp;isNoScr=script&amp;mode=search", "토지이음")</f>
        <v/>
      </c>
      <c r="T486" s="3" t="inlineStr">
        <is>
          <t>더오름</t>
        </is>
      </c>
      <c r="U486" s="4" t="n">
        <v>1</v>
      </c>
      <c r="V486" s="5" t="n">
        <v>79.7</v>
      </c>
      <c r="W486" s="4" t="n">
        <v>3250</v>
      </c>
      <c r="X486" s="3" t="inlineStr">
        <is>
          <t>C동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852-5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3000</v>
      </c>
      <c r="G488" s="4" t="n">
        <v>150</v>
      </c>
      <c r="H488" s="4" t="n">
        <v>932</v>
      </c>
      <c r="I488" s="4" t="n">
        <v>282</v>
      </c>
      <c r="J488" s="5" t="n">
        <v>0.5</v>
      </c>
      <c r="K488" s="4" t="n">
        <v>488</v>
      </c>
      <c r="L488" s="4" t="n">
        <v>148</v>
      </c>
      <c r="M488" s="5" t="n">
        <v>1</v>
      </c>
      <c r="N488" s="3" t="inlineStr">
        <is>
          <t>1</t>
        </is>
      </c>
      <c r="O488" s="3" t="inlineStr">
        <is>
          <t>-</t>
        </is>
      </c>
      <c r="P488" s="3" t="inlineStr">
        <is>
          <t>와촌리 창고월세,차량 진출입편리,창고내 지게차작업가능,주차편리,조율가능</t>
        </is>
      </c>
      <c r="Q488" s="6">
        <f>HYPERLINK("https://fin.land.naver.com/articles/2653116072", "매물Link")</f>
        <v/>
      </c>
      <c r="R488" s="6">
        <f>HYPERLINK("https://map.naver.com/p/search/연서면 와촌리 852-5", "지도Link")</f>
        <v/>
      </c>
      <c r="S488" s="6">
        <f>HYPERLINK("http://www.eum.go.kr/web/ar/lu/luLandDet.jsp?pnu=3611036031108520005&amp;isNoScr=script&amp;mode=search", "토지이음")</f>
        <v/>
      </c>
      <c r="T488" s="3" t="inlineStr">
        <is>
          <t>도안우미린사랑</t>
        </is>
      </c>
      <c r="U488" s="4" t="n">
        <v>1</v>
      </c>
      <c r="V488" s="5" t="n">
        <v>82.59999999999999</v>
      </c>
      <c r="W488" s="4" t="n">
        <v>932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제1종근생</t>
        </is>
      </c>
      <c r="AB488" s="3" t="inlineStr">
        <is>
          <t>6.15m</t>
        </is>
      </c>
      <c r="AC488" s="3" t="inlineStr">
        <is>
          <t>1997-05</t>
        </is>
      </c>
      <c r="AD488" s="3" t="inlineStr">
        <is>
          <t>세로한면(가)</t>
        </is>
      </c>
    </row>
    <row r="489">
      <c r="A489" s="3" t="inlineStr">
        <is>
          <t>연서면 와촌리 852-5</t>
        </is>
      </c>
      <c r="B489" s="3" t="inlineStr">
        <is>
          <t>계획관리지역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3000</v>
      </c>
      <c r="G489" s="4" t="n">
        <v>150</v>
      </c>
      <c r="H489" s="4" t="n">
        <v>928</v>
      </c>
      <c r="I489" s="4" t="n">
        <v>281</v>
      </c>
      <c r="J489" s="5" t="n">
        <v>0.5</v>
      </c>
      <c r="K489" s="4" t="n">
        <v>485</v>
      </c>
      <c r="L489" s="4" t="n">
        <v>147</v>
      </c>
      <c r="M489" s="5" t="n">
        <v>1</v>
      </c>
      <c r="N489" s="3" t="inlineStr">
        <is>
          <t>1</t>
        </is>
      </c>
      <c r="O489" s="3" t="inlineStr">
        <is>
          <t>-</t>
        </is>
      </c>
      <c r="P489" s="3" t="inlineStr">
        <is>
          <t>와촌리 창고임대 세종 초근접</t>
        </is>
      </c>
      <c r="Q489" s="6">
        <f>HYPERLINK("https://fin.land.naver.com/articles/2652499113", "매물Link")</f>
        <v/>
      </c>
      <c r="R489" s="6">
        <f>HYPERLINK("https://map.naver.com/p/search/연서면 와촌리 852-5", "지도Link")</f>
        <v/>
      </c>
      <c r="S489" s="6">
        <f>HYPERLINK("http://www.eum.go.kr/web/ar/lu/luLandDet.jsp?pnu=3611036031108520005&amp;isNoScr=script&amp;mode=search", "토지이음")</f>
        <v/>
      </c>
      <c r="T489" s="3" t="inlineStr">
        <is>
          <t>엄지척</t>
        </is>
      </c>
      <c r="U489" s="4" t="n">
        <v>1</v>
      </c>
      <c r="V489" s="5" t="n">
        <v>82.59999999999999</v>
      </c>
      <c r="W489" s="4" t="n">
        <v>932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제1종근생</t>
        </is>
      </c>
      <c r="AB489" s="3" t="inlineStr">
        <is>
          <t>6.15m</t>
        </is>
      </c>
      <c r="AC489" s="3" t="inlineStr">
        <is>
          <t>1997-05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월하리 902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4000</v>
      </c>
      <c r="G491" s="4" t="n">
        <v>180</v>
      </c>
      <c r="H491" s="4" t="n">
        <v>3244</v>
      </c>
      <c r="I491" s="4" t="n">
        <v>981</v>
      </c>
      <c r="J491" s="5" t="n">
        <v>0.2</v>
      </c>
      <c r="K491" s="4" t="n">
        <v>53</v>
      </c>
      <c r="L491" s="4" t="n">
        <v>16</v>
      </c>
      <c r="M491" s="5" t="n">
        <v>11.2</v>
      </c>
      <c r="N491" s="3" t="inlineStr">
        <is>
          <t>1</t>
        </is>
      </c>
      <c r="O491" s="3" t="inlineStr">
        <is>
          <t>-</t>
        </is>
      </c>
      <c r="P491" s="3" t="inlineStr">
        <is>
          <t>즉시입주 신축 2종근생  활용도 높은 건물임대</t>
        </is>
      </c>
      <c r="Q491" s="6">
        <f>HYPERLINK("https://fin.land.naver.com/articles/2647898557", "매물Link")</f>
        <v/>
      </c>
      <c r="R491" s="6">
        <f>HYPERLINK("https://map.naver.com/p/search/연서면 월하리 902", "지도Link")</f>
        <v/>
      </c>
      <c r="S491" s="6">
        <f>HYPERLINK("http://www.eum.go.kr/web/ar/lu/luLandDet.jsp?pnu=3611036021109020000&amp;isNoScr=script&amp;mode=search", "토지이음")</f>
        <v/>
      </c>
      <c r="T491" s="3" t="inlineStr">
        <is>
          <t>THE행복</t>
        </is>
      </c>
      <c r="U491" s="4" t="n">
        <v>1</v>
      </c>
      <c r="V491" s="5" t="n">
        <v>156.1</v>
      </c>
      <c r="W491" s="4" t="n">
        <v>3244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단독주택</t>
        </is>
      </c>
      <c r="AB491" s="3" t="inlineStr">
        <is>
          <t>4.57m</t>
        </is>
      </c>
      <c r="AC491" s="3" t="inlineStr">
        <is>
          <t>2022-04</t>
        </is>
      </c>
      <c r="AD491" s="3" t="inlineStr">
        <is>
          <t>소로한면</t>
        </is>
      </c>
    </row>
    <row r="492">
      <c r="A492" s="3" t="inlineStr">
        <is>
          <t>연서면 월하리 973-2</t>
        </is>
      </c>
      <c r="B492" s="3" t="inlineStr">
        <is>
          <t>자연녹지지역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80000</v>
      </c>
      <c r="G492" s="4" t="n">
        <v>0</v>
      </c>
      <c r="H492" s="4" t="n">
        <v>644</v>
      </c>
      <c r="I492" s="4" t="n">
        <v>195</v>
      </c>
      <c r="J492" s="5" t="n">
        <v>410.3</v>
      </c>
      <c r="K492" s="4" t="n">
        <v>212</v>
      </c>
      <c r="L492" s="4" t="n">
        <v>64</v>
      </c>
      <c r="M492" s="5" t="n">
        <v>1250</v>
      </c>
      <c r="N492" s="3" t="inlineStr">
        <is>
          <t>2</t>
        </is>
      </c>
      <c r="O492" s="3" t="inlineStr">
        <is>
          <t>-</t>
        </is>
      </c>
      <c r="P492" s="3" t="inlineStr">
        <is>
          <t>공공택지 예정지역내 공장매매</t>
        </is>
      </c>
      <c r="Q492" s="6">
        <f>HYPERLINK("https://fin.land.naver.com/articles/2648746844", "매물Link")</f>
        <v/>
      </c>
      <c r="R492" s="6">
        <f>HYPERLINK("https://map.naver.com/p/search/연서면 월하리 973-2", "지도Link")</f>
        <v/>
      </c>
      <c r="S492" s="6">
        <f>HYPERLINK("http://www.eum.go.kr/web/ar/lu/luLandDet.jsp?pnu=3611036021109730002&amp;isNoScr=script&amp;mode=search", "토지이음")</f>
        <v/>
      </c>
      <c r="T492" s="3" t="inlineStr">
        <is>
          <t>KB세종</t>
        </is>
      </c>
      <c r="U492" s="4" t="n">
        <v>1</v>
      </c>
      <c r="V492" s="5" t="n">
        <v>158.3</v>
      </c>
      <c r="W492" s="4" t="n">
        <v>644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제2종근생</t>
        </is>
      </c>
      <c r="AB492" s="3" t="inlineStr">
        <is>
          <t>8.94m</t>
        </is>
      </c>
      <c r="AC492" s="3" t="inlineStr">
        <is>
          <t>2003-05</t>
        </is>
      </c>
      <c r="AD492" s="3" t="inlineStr">
        <is>
          <t>세로한면(가)</t>
        </is>
      </c>
    </row>
    <row r="493">
      <c r="A493" s="3" t="inlineStr">
        <is>
          <t>오송읍 공북리 271-4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150</v>
      </c>
      <c r="H493" s="4" t="n">
        <v>660</v>
      </c>
      <c r="I493" s="4" t="n">
        <v>200</v>
      </c>
      <c r="J493" s="5" t="n">
        <v>0.8</v>
      </c>
      <c r="K493" s="4" t="n">
        <v>330</v>
      </c>
      <c r="L493" s="4" t="n">
        <v>100</v>
      </c>
      <c r="M493" s="5" t="n">
        <v>1.5</v>
      </c>
      <c r="N493" s="3" t="inlineStr">
        <is>
          <t>1</t>
        </is>
      </c>
      <c r="O493" s="3" t="inlineStr">
        <is>
          <t>B1</t>
        </is>
      </c>
      <c r="P493" s="3" t="inlineStr">
        <is>
          <t>층고 높고 넓은 창고전용,2차선도로옆</t>
        </is>
      </c>
      <c r="Q493" s="6">
        <f>HYPERLINK("https://fin.land.naver.com/articles/2652903125", "매물Link")</f>
        <v/>
      </c>
      <c r="R493" s="6">
        <f>HYPERLINK("https://map.naver.com/p/search/오송읍 공북리 271-4", "지도Link")</f>
        <v/>
      </c>
      <c r="S493" s="6">
        <f>HYPERLINK("http://www.eum.go.kr/web/ar/lu/luLandDet.jsp?pnu=4311325023102710004&amp;isNoScr=script&amp;mode=search", "토지이음")</f>
        <v/>
      </c>
      <c r="T493" s="3" t="inlineStr">
        <is>
          <t>오송올래</t>
        </is>
      </c>
      <c r="U493" s="4" t="n">
        <v>2</v>
      </c>
      <c r="V493" s="5" t="n">
        <v>77</v>
      </c>
      <c r="W493" s="4" t="n">
        <v>660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창고시설</t>
        </is>
      </c>
      <c r="AB493" s="3" t="inlineStr">
        <is>
          <t>-</t>
        </is>
      </c>
      <c r="AC493" s="3" t="inlineStr">
        <is>
          <t>1979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-</t>
        </is>
      </c>
      <c r="P494" s="3" t="inlineStr">
        <is>
          <t>저렴한 금액으로 대형 창고를 사용할수 있는 기회를 잡으세요</t>
        </is>
      </c>
      <c r="Q494" s="6">
        <f>HYPERLINK("https://fin.land.naver.com/articles/2651108355",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궁평리 308-4</t>
        </is>
      </c>
      <c r="B495" s="3" t="inlineStr">
        <is>
          <t>농림지역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2000</v>
      </c>
      <c r="G495" s="4" t="n">
        <v>100</v>
      </c>
      <c r="H495" s="4" t="n">
        <v>506</v>
      </c>
      <c r="I495" s="4" t="n">
        <v>153</v>
      </c>
      <c r="J495" s="5" t="n">
        <v>0.7</v>
      </c>
      <c r="K495" s="4" t="n">
        <v>100</v>
      </c>
      <c r="L495" s="4" t="n">
        <v>30</v>
      </c>
      <c r="M495" s="5" t="n">
        <v>3.3</v>
      </c>
      <c r="N495" s="3" t="inlineStr">
        <is>
          <t>1</t>
        </is>
      </c>
      <c r="O495" s="3" t="inlineStr">
        <is>
          <t>-</t>
        </is>
      </c>
      <c r="P495" s="3" t="inlineStr">
        <is>
          <t>오송역청주IC 인근 농업용창고 임대  농업용물류용 적합</t>
        </is>
      </c>
      <c r="Q495" s="6">
        <f>HYPERLINK("https://fin.land.naver.com/articles/2651828475", "매물Link")</f>
        <v/>
      </c>
      <c r="R495" s="6">
        <f>HYPERLINK("https://map.naver.com/p/search/오송읍 궁평리 308-4", "지도Link")</f>
        <v/>
      </c>
      <c r="S495" s="6">
        <f>HYPERLINK("http://www.eum.go.kr/web/ar/lu/luLandDet.jsp?pnu=4311325027103080004&amp;isNoScr=script&amp;mode=search", "토지이음")</f>
        <v/>
      </c>
      <c r="T495" s="3" t="inlineStr">
        <is>
          <t>오송시티</t>
        </is>
      </c>
      <c r="U495" s="4" t="n">
        <v>1</v>
      </c>
      <c r="V495" s="5" t="n">
        <v>41.8</v>
      </c>
      <c r="W495" s="4" t="n">
        <v>506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창고시설</t>
        </is>
      </c>
      <c r="AB495" s="3" t="inlineStr">
        <is>
          <t>6.1m</t>
        </is>
      </c>
      <c r="AC495" s="3" t="inlineStr">
        <is>
          <t>2022-12</t>
        </is>
      </c>
      <c r="AD495" s="3" t="inlineStr">
        <is>
          <t>세로한면(가)</t>
        </is>
      </c>
    </row>
    <row r="496">
      <c r="A496" s="3" t="inlineStr">
        <is>
          <t>오송읍 쌍청리 108-11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140000</v>
      </c>
      <c r="G496" s="4" t="n">
        <v>0</v>
      </c>
      <c r="H496" s="4" t="n">
        <v>2382</v>
      </c>
      <c r="I496" s="4" t="n">
        <v>721</v>
      </c>
      <c r="J496" s="5" t="n">
        <v>194.2</v>
      </c>
      <c r="K496" s="4" t="n">
        <v>696</v>
      </c>
      <c r="L496" s="4" t="n">
        <v>211</v>
      </c>
      <c r="M496" s="5" t="n">
        <v>663.5</v>
      </c>
      <c r="N496" s="3" t="inlineStr">
        <is>
          <t>1</t>
        </is>
      </c>
      <c r="O496" s="3" t="inlineStr">
        <is>
          <t>B1</t>
        </is>
      </c>
      <c r="P496" s="3" t="inlineStr">
        <is>
          <t>진입로6미터도로.주택,빌라,연립주택적합,투자적지</t>
        </is>
      </c>
      <c r="Q496" s="6">
        <f>HYPERLINK("https://fin.land.naver.com/articles/2649051237", "매물Link")</f>
        <v/>
      </c>
      <c r="R496" s="6">
        <f>HYPERLINK("https://map.naver.com/p/search/오송읍 쌍청리 108-11", "지도Link")</f>
        <v/>
      </c>
      <c r="S496" s="6">
        <f>HYPERLINK("http://www.eum.go.kr/web/ar/lu/luLandDet.jsp?pnu=4311325024101080011&amp;isNoScr=script&amp;mode=search", "토지이음")</f>
        <v/>
      </c>
      <c r="T496" s="3" t="inlineStr">
        <is>
          <t>이박사</t>
        </is>
      </c>
      <c r="U496" s="4" t="n">
        <v>1</v>
      </c>
      <c r="V496" s="5" t="n">
        <v>70.09999999999999</v>
      </c>
      <c r="W496" s="4" t="n">
        <v>68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세로한면(가)</t>
        </is>
      </c>
    </row>
    <row r="497">
      <c r="A497" s="3" t="inlineStr">
        <is>
          <t>오송읍 쌍청리 131-6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129600</v>
      </c>
      <c r="G497" s="4" t="n">
        <v>0</v>
      </c>
      <c r="H497" s="4" t="n">
        <v>2382</v>
      </c>
      <c r="I497" s="4" t="n">
        <v>721</v>
      </c>
      <c r="J497" s="5" t="n">
        <v>179.8</v>
      </c>
      <c r="K497" s="4" t="n">
        <v>7301</v>
      </c>
      <c r="L497" s="4" t="n">
        <v>2209</v>
      </c>
      <c r="M497" s="5" t="n">
        <v>58.7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쌍청리 폐 공장 매매</t>
        </is>
      </c>
      <c r="Q497" s="6">
        <f>HYPERLINK("https://fin.land.naver.com/articles/2652510813", "매물Link")</f>
        <v/>
      </c>
      <c r="R497" s="6">
        <f>HYPERLINK("https://map.naver.com/p/search/오송읍 쌍청리 131-6", "지도Link")</f>
        <v/>
      </c>
      <c r="S497" s="6">
        <f>HYPERLINK("http://www.eum.go.kr/web/ar/lu/luLandDet.jsp?pnu=4311325024101310006&amp;isNoScr=script&amp;mode=search", "토지이음")</f>
        <v/>
      </c>
      <c r="T497" s="3" t="inlineStr">
        <is>
          <t>365</t>
        </is>
      </c>
      <c r="U497" s="4" t="n">
        <v>1</v>
      </c>
      <c r="V497" s="5" t="n">
        <v>70.09999999999999</v>
      </c>
      <c r="W497" s="4" t="n">
        <v>1458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1991-05</t>
        </is>
      </c>
      <c r="AD497" s="3" t="inlineStr">
        <is>
          <t>세로한면(가)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HYPERLINK("https://fin.land.naver.com/articles/2648395242",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610-2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550000</v>
      </c>
      <c r="G500" s="4" t="n">
        <v>0</v>
      </c>
      <c r="H500" s="4" t="n">
        <v>6481</v>
      </c>
      <c r="I500" s="4" t="n">
        <v>1961</v>
      </c>
      <c r="J500" s="5" t="n">
        <v>280.5</v>
      </c>
      <c r="K500" s="4" t="n">
        <v>996</v>
      </c>
      <c r="L500" s="4" t="n">
        <v>301</v>
      </c>
      <c r="M500" s="5" t="n">
        <v>1827.2</v>
      </c>
      <c r="N500" s="3" t="inlineStr">
        <is>
          <t>1</t>
        </is>
      </c>
      <c r="O500" s="3" t="inlineStr">
        <is>
          <t>-</t>
        </is>
      </c>
      <c r="P500" s="3" t="inlineStr">
        <is>
          <t>옥산IC인근, 화학코드, 화장품, 바이오, 첨단업종 가능, 야드 넓음</t>
        </is>
      </c>
      <c r="Q500" s="6">
        <f>HYPERLINK("https://fin.land.naver.com/articles/2649948345", "매물Link")</f>
        <v/>
      </c>
      <c r="R500" s="6">
        <f>HYPERLINK("https://map.naver.com/p/search/오송읍 연제리 610-2", "지도Link")</f>
        <v/>
      </c>
      <c r="S500" s="6">
        <f>HYPERLINK("http://www.eum.go.kr/web/ar/lu/luLandDet.jsp?pnu=4311325026106100002&amp;isNoScr=script&amp;mode=search",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70.40000000000001</v>
      </c>
      <c r="W500" s="4" t="n">
        <v>2165.9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2016-11</t>
        </is>
      </c>
      <c r="AD500" s="3" t="inlineStr">
        <is>
          <t>중로각지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대지 1180. 기존 택배자리. 물류 창고 적합</t>
        </is>
      </c>
      <c r="Q501" s="6">
        <f>HYPERLINK("https://fin.land.naver.com/articles/2648710674",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청주1등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246-45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250</v>
      </c>
      <c r="H503" s="4" t="n">
        <v>1739</v>
      </c>
      <c r="I503" s="4" t="n">
        <v>526</v>
      </c>
      <c r="J503" s="5" t="n">
        <v>0.5</v>
      </c>
      <c r="K503" s="4" t="n">
        <v>440</v>
      </c>
      <c r="L503" s="4" t="n">
        <v>133</v>
      </c>
      <c r="M503" s="5" t="n">
        <v>1.9</v>
      </c>
      <c r="N503" s="3" t="inlineStr">
        <is>
          <t>1</t>
        </is>
      </c>
      <c r="O503" s="3" t="inlineStr">
        <is>
          <t>B1</t>
        </is>
      </c>
      <c r="P503" s="3" t="inlineStr">
        <is>
          <t>공장, 창고 l 교통 편리 l 6개동 일괄 임대</t>
        </is>
      </c>
      <c r="Q503" s="6">
        <f>HYPERLINK("https://fin.land.naver.com/articles/2650437203", "매물Link")</f>
        <v/>
      </c>
      <c r="R503" s="6">
        <f>HYPERLINK("https://map.naver.com/p/search/오송읍 오송리 246-45", "지도Link")</f>
        <v/>
      </c>
      <c r="S503" s="6">
        <f>HYPERLINK("http://www.eum.go.kr/web/ar/lu/luLandDet.jsp?pnu=4311325028102460045&amp;isNoScr=script&amp;mode=search", "토지이음")</f>
        <v/>
      </c>
      <c r="T503" s="3" t="inlineStr">
        <is>
          <t>에이스</t>
        </is>
      </c>
      <c r="U503" s="4" t="n">
        <v>1</v>
      </c>
      <c r="V503" s="5" t="n">
        <v>152.1</v>
      </c>
      <c r="W503" s="4" t="n">
        <v>1739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벽돌구조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1980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246-51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180</v>
      </c>
      <c r="H505" s="4" t="n">
        <v>1524</v>
      </c>
      <c r="I505" s="4" t="n">
        <v>461</v>
      </c>
      <c r="J505" s="5" t="n">
        <v>0.4</v>
      </c>
      <c r="K505" s="4" t="n">
        <v>536</v>
      </c>
      <c r="L505" s="4" t="n">
        <v>162</v>
      </c>
      <c r="M505" s="5" t="n">
        <v>1.1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HYPERLINK("https://fin.land.naver.com/articles/2652689876", "매물Link")</f>
        <v/>
      </c>
      <c r="R505" s="6">
        <f>HYPERLINK("https://map.naver.com/p/search/오송읍 오송리 246-51", "지도Link")</f>
        <v/>
      </c>
      <c r="S505" s="6">
        <f>HYPERLINK("http://www.eum.go.kr/web/ar/lu/luLandDet.jsp?pnu=4311325028102460051&amp;isNoScr=script&amp;mode=search", "토지이음")</f>
        <v/>
      </c>
      <c r="T505" s="3" t="inlineStr">
        <is>
          <t>365</t>
        </is>
      </c>
      <c r="U505" s="4" t="n">
        <v>2</v>
      </c>
      <c r="V505" s="5" t="n">
        <v>163.6</v>
      </c>
      <c r="W505" s="4" t="n">
        <v>1447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블록구조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1981-11</t>
        </is>
      </c>
      <c r="AD505" s="3" t="inlineStr">
        <is>
          <t>세로한면(가)</t>
        </is>
      </c>
    </row>
    <row r="506">
      <c r="A506" s="3" t="inlineStr">
        <is>
          <t>오송읍 오송리 246-71</t>
        </is>
      </c>
      <c r="B506" s="3" t="inlineStr">
        <is>
          <t>계획관리지역</t>
        </is>
      </c>
      <c r="C506" s="3" t="inlineStr">
        <is>
          <t>잡종지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</v>
      </c>
      <c r="G506" s="4" t="n">
        <v>100</v>
      </c>
      <c r="H506" s="4" t="n">
        <v>565</v>
      </c>
      <c r="I506" s="4" t="n">
        <v>171</v>
      </c>
      <c r="J506" s="5" t="n">
        <v>0.6</v>
      </c>
      <c r="K506" s="4" t="n">
        <v>227</v>
      </c>
      <c r="L506" s="4" t="n">
        <v>69</v>
      </c>
      <c r="M506" s="5" t="n">
        <v>1.4</v>
      </c>
      <c r="N506" s="3" t="inlineStr">
        <is>
          <t>1</t>
        </is>
      </c>
      <c r="O506" s="3" t="inlineStr">
        <is>
          <t>-</t>
        </is>
      </c>
      <c r="P506" s="3" t="inlineStr">
        <is>
          <t>창고와 별도 사무실이 있음</t>
        </is>
      </c>
      <c r="Q506" s="6">
        <f>HYPERLINK("https://fin.land.naver.com/articles/2649702312", "매물Link")</f>
        <v/>
      </c>
      <c r="R506" s="6">
        <f>HYPERLINK("https://map.naver.com/p/search/오송읍 오송리 246-71", "지도Link")</f>
        <v/>
      </c>
      <c r="S506" s="6">
        <f>HYPERLINK("http://www.eum.go.kr/web/ar/lu/luLandDet.jsp?pnu=4311325028102460071&amp;isNoScr=script&amp;mode=search", "토지이음")</f>
        <v/>
      </c>
      <c r="T506" s="3" t="inlineStr">
        <is>
          <t>금송</t>
        </is>
      </c>
      <c r="U506" s="4" t="n">
        <v>1</v>
      </c>
      <c r="V506" s="5" t="n">
        <v>152.1</v>
      </c>
      <c r="W506" s="4" t="n">
        <v>320</v>
      </c>
      <c r="X506" s="3" t="inlineStr">
        <is>
          <t>대장없음</t>
        </is>
      </c>
      <c r="Y506" s="7" t="inlineStr">
        <is>
          <t>대장없음</t>
        </is>
      </c>
      <c r="Z506" s="3" t="inlineStr">
        <is>
          <t>대장없음</t>
        </is>
      </c>
      <c r="AA506" s="3" t="inlineStr">
        <is>
          <t>대장없음</t>
        </is>
      </c>
      <c r="AB506" s="3" t="inlineStr">
        <is>
          <t>대장없음</t>
        </is>
      </c>
      <c r="AC506" s="3" t="inlineStr">
        <is>
          <t>대장없음</t>
        </is>
      </c>
      <c r="AD506" s="3" t="inlineStr">
        <is>
          <t>세로한면(불)</t>
        </is>
      </c>
    </row>
    <row r="507">
      <c r="A507" s="3" t="inlineStr">
        <is>
          <t>오송읍 오송리 63-8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매매</t>
        </is>
      </c>
      <c r="F507" s="4" t="n">
        <v>155000</v>
      </c>
      <c r="G507" s="4" t="n">
        <v>0</v>
      </c>
      <c r="H507" s="4" t="n">
        <v>1100</v>
      </c>
      <c r="I507" s="4" t="n">
        <v>333</v>
      </c>
      <c r="J507" s="5" t="n">
        <v>465.5</v>
      </c>
      <c r="K507" s="4" t="n">
        <v>464</v>
      </c>
      <c r="L507" s="4" t="n">
        <v>140</v>
      </c>
      <c r="M507" s="5" t="n">
        <v>1107.1</v>
      </c>
      <c r="N507" s="3" t="inlineStr">
        <is>
          <t>1</t>
        </is>
      </c>
      <c r="O507" s="3" t="inlineStr">
        <is>
          <t>-</t>
        </is>
      </c>
      <c r="P507" s="3" t="inlineStr">
        <is>
          <t>오송 역세권 위치좋은 창고시설</t>
        </is>
      </c>
      <c r="Q507" s="6">
        <f>HYPERLINK("https://fin.land.naver.com/articles/2648538814", "매물Link")</f>
        <v/>
      </c>
      <c r="R507" s="6">
        <f>HYPERLINK("https://map.naver.com/p/search/오송읍 오송리 63-8", "지도Link")</f>
        <v/>
      </c>
      <c r="S507" s="6">
        <f>HYPERLINK("http://www.eum.go.kr/web/ar/lu/luLandDet.jsp?pnu=4311325028100630008&amp;isNoScr=script&amp;mode=search", "토지이음")</f>
        <v/>
      </c>
      <c r="T507" s="3" t="inlineStr">
        <is>
          <t>동남조은집</t>
        </is>
      </c>
      <c r="U507" s="4" t="n">
        <v>1</v>
      </c>
      <c r="V507" s="5" t="n">
        <v>283.4</v>
      </c>
      <c r="W507" s="4" t="n">
        <v>1041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7.15m</t>
        </is>
      </c>
      <c r="AC507" s="3" t="inlineStr">
        <is>
          <t>2006-09</t>
        </is>
      </c>
      <c r="AD507" s="3" t="inlineStr">
        <is>
          <t>중로각지</t>
        </is>
      </c>
    </row>
    <row r="508">
      <c r="A508" s="3" t="inlineStr">
        <is>
          <t>오송읍 정중리 636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400000</v>
      </c>
      <c r="G508" s="4" t="n">
        <v>0</v>
      </c>
      <c r="H508" s="4" t="n">
        <v>2000</v>
      </c>
      <c r="I508" s="4" t="n">
        <v>605</v>
      </c>
      <c r="J508" s="5" t="n">
        <v>661.2</v>
      </c>
      <c r="K508" s="4" t="n">
        <v>501</v>
      </c>
      <c r="L508" s="4" t="n">
        <v>152</v>
      </c>
      <c r="M508" s="5" t="n">
        <v>2631.6</v>
      </c>
      <c r="N508" s="3" t="inlineStr">
        <is>
          <t>1</t>
        </is>
      </c>
      <c r="O508" s="3" t="inlineStr">
        <is>
          <t>-</t>
        </is>
      </c>
      <c r="P508" s="3" t="inlineStr">
        <is>
          <t>비금속광물,금속,기계,장비,자동차,운송장비 제조업 등 첨단관련 입주가능</t>
        </is>
      </c>
      <c r="Q508" s="6">
        <f>HYPERLINK("https://fin.land.naver.com/articles/2651580202", "매물Link")</f>
        <v/>
      </c>
      <c r="R508" s="6">
        <f>HYPERLINK("https://map.naver.com/p/search/오송읍 정중리 636", "지도Link")</f>
        <v/>
      </c>
      <c r="S508" s="6">
        <f>HYPERLINK("http://www.eum.go.kr/web/ar/lu/luLandDet.jsp?pnu=4311325032106360000&amp;isNoScr=script&amp;mode=search",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66.90000000000001</v>
      </c>
      <c r="W508" s="4" t="n">
        <v>2000.1</v>
      </c>
      <c r="X508" s="3" t="inlineStr">
        <is>
          <t>주2동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9.1m</t>
        </is>
      </c>
      <c r="AC508" s="3" t="inlineStr">
        <is>
          <t>2021-10</t>
        </is>
      </c>
      <c r="AD508" s="3" t="inlineStr">
        <is>
          <t>중로한면</t>
        </is>
      </c>
    </row>
    <row r="509">
      <c r="A509" s="3" t="inlineStr">
        <is>
          <t>오송읍 정중리 651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300</v>
      </c>
      <c r="H509" s="4" t="n">
        <v>16494</v>
      </c>
      <c r="I509" s="4" t="n">
        <v>4989</v>
      </c>
      <c r="J509" s="5" t="n">
        <v>0.1</v>
      </c>
      <c r="K509" s="4" t="n">
        <v>337</v>
      </c>
      <c r="L509" s="4" t="n">
        <v>102</v>
      </c>
      <c r="M509" s="5" t="n">
        <v>2.9</v>
      </c>
      <c r="N509" s="3" t="inlineStr">
        <is>
          <t>2</t>
        </is>
      </c>
      <c r="O509" s="3" t="inlineStr">
        <is>
          <t>-</t>
        </is>
      </c>
      <c r="P509" s="3" t="inlineStr">
        <is>
          <t>오송바이오폴리스지구,식품관련업종,사무실,공장 다 가능</t>
        </is>
      </c>
      <c r="Q509" s="6">
        <f>HYPERLINK("https://fin.land.naver.com/articles/2647583393", "매물Link")</f>
        <v/>
      </c>
      <c r="R509" s="6">
        <f>HYPERLINK("https://map.naver.com/p/search/오송읍 정중리 651", "지도Link")</f>
        <v/>
      </c>
      <c r="S509" s="6">
        <f>HYPERLINK("http://www.eum.go.kr/web/ar/lu/luLandDet.jsp?pnu=4311325032106510000&amp;isNoScr=script&amp;mode=search", "토지이음")</f>
        <v/>
      </c>
      <c r="T509" s="3" t="inlineStr">
        <is>
          <t>오송올래</t>
        </is>
      </c>
      <c r="U509" s="4" t="n">
        <v>1</v>
      </c>
      <c r="V509" s="5" t="n">
        <v>68.40000000000001</v>
      </c>
      <c r="W509" s="4" t="n">
        <v>16494.5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3.79m</t>
        </is>
      </c>
      <c r="AC509" s="3" t="inlineStr">
        <is>
          <t>2020-06</t>
        </is>
      </c>
      <c r="AD509" s="3" t="inlineStr">
        <is>
          <t>광대로한면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592</v>
      </c>
      <c r="L510" s="4" t="n">
        <v>179</v>
      </c>
      <c r="M510" s="5" t="n">
        <v>5.6</v>
      </c>
      <c r="N510" s="3" t="inlineStr">
        <is>
          <t>1</t>
        </is>
      </c>
      <c r="O510" s="3" t="inlineStr">
        <is>
          <t>-</t>
        </is>
      </c>
      <c r="P510" s="3" t="inlineStr">
        <is>
          <t>시설이 완벽하게 갖춰져 있는 건물,공장 월세 임대 가능한 매물입니다</t>
        </is>
      </c>
      <c r="Q510" s="6">
        <f>HYPERLINK("https://fin.land.naver.com/articles/2651110067",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오송2단지창조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999</v>
      </c>
      <c r="L511" s="4" t="n">
        <v>302</v>
      </c>
      <c r="M511" s="5" t="n">
        <v>3.3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HYPERLINK("https://fin.land.naver.com/articles/2650586118",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592</v>
      </c>
      <c r="L513" s="4" t="n">
        <v>179</v>
      </c>
      <c r="M513" s="5" t="n">
        <v>1955.3</v>
      </c>
      <c r="N513" s="3" t="inlineStr">
        <is>
          <t>1</t>
        </is>
      </c>
      <c r="O513" s="3" t="inlineStr">
        <is>
          <t>-</t>
        </is>
      </c>
      <c r="P513" s="3" t="inlineStr">
        <is>
          <t>창고부지제공, 공장 운영하기 좋은 구조 ,연구동,공장동</t>
        </is>
      </c>
      <c r="Q513" s="6">
        <f>HYPERLINK("https://fin.land.naver.com/articles/2652141929",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999</v>
      </c>
      <c r="L514" s="4" t="n">
        <v>302</v>
      </c>
      <c r="M514" s="5" t="n">
        <v>1158.9</v>
      </c>
      <c r="N514" s="3" t="inlineStr">
        <is>
          <t>2</t>
        </is>
      </c>
      <c r="O514" s="3" t="inlineStr">
        <is>
          <t>B1</t>
        </is>
      </c>
      <c r="P514" s="3" t="inlineStr">
        <is>
          <t>오송 2산업단지 대로면 접한 공장으로 의료기기 관련업종 즉시 입주 가능</t>
        </is>
      </c>
      <c r="Q514" s="6">
        <f>HYPERLINK("https://fin.land.naver.com/articles/2650796460",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우리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999</v>
      </c>
      <c r="L516" s="4" t="n">
        <v>302</v>
      </c>
      <c r="M516" s="5" t="n">
        <v>3.3</v>
      </c>
      <c r="N516" s="3" t="inlineStr">
        <is>
          <t>2</t>
        </is>
      </c>
      <c r="O516" s="3" t="inlineStr">
        <is>
          <t>-</t>
        </is>
      </c>
      <c r="P516" s="3" t="inlineStr">
        <is>
          <t>오송바이오폴리스 산업단지 사옥형 공장 임대 입주협의</t>
        </is>
      </c>
      <c r="Q516" s="6">
        <f>HYPERLINK("https://fin.land.naver.com/articles/2650873410",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420000</v>
      </c>
      <c r="G517" s="4" t="n">
        <v>0</v>
      </c>
      <c r="H517" s="4" t="n">
        <v>2169</v>
      </c>
      <c r="I517" s="4" t="n">
        <v>656</v>
      </c>
      <c r="J517" s="5" t="n">
        <v>640.2</v>
      </c>
      <c r="K517" s="4" t="n">
        <v>999</v>
      </c>
      <c r="L517" s="4" t="n">
        <v>302</v>
      </c>
      <c r="M517" s="5" t="n">
        <v>1390.7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산업단지 코너 대로접한 신축급 공장</t>
        </is>
      </c>
      <c r="Q517" s="6">
        <f>HYPERLINK("https://fin.land.naver.com/articles/2649742642",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자이원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-</t>
        </is>
      </c>
      <c r="P518" s="3" t="inlineStr">
        <is>
          <t>오송2산단 의료기기업종가능 사옥형 공장으로 추천</t>
        </is>
      </c>
      <c r="Q518" s="6">
        <f>HYPERLINK("https://fin.land.naver.com/articles/2649666291",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HYPERLINK("https://fin.land.naver.com/articles/2648733525",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15064</v>
      </c>
      <c r="L521" s="4" t="n">
        <v>4557</v>
      </c>
      <c r="M521" s="5" t="n">
        <v>0.8</v>
      </c>
      <c r="N521" s="3" t="inlineStr">
        <is>
          <t>5</t>
        </is>
      </c>
      <c r="O521" s="3" t="inlineStr">
        <is>
          <t>-</t>
        </is>
      </c>
      <c r="P521" s="3" t="inlineStr">
        <is>
          <t>크린룸,폐수처리,위험물저장소,전층공조시설,화물엘베 각층3개,신축급 공장</t>
        </is>
      </c>
      <c r="Q521" s="6">
        <f>HYPERLINK("https://fin.land.naver.com/articles/2650398819",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HYPERLINK("https://fin.land.naver.com/articles/2650525742",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100000</v>
      </c>
      <c r="G523" s="4" t="n">
        <v>10000</v>
      </c>
      <c r="H523" s="4" t="n">
        <v>10798</v>
      </c>
      <c r="I523" s="4" t="n">
        <v>3266</v>
      </c>
      <c r="J523" s="5" t="n">
        <v>3.1</v>
      </c>
      <c r="K523" s="4" t="n">
        <v>1476</v>
      </c>
      <c r="L523" s="4" t="n">
        <v>446</v>
      </c>
      <c r="M523" s="5" t="n">
        <v>22.4</v>
      </c>
      <c r="N523" s="3" t="inlineStr">
        <is>
          <t>5</t>
        </is>
      </c>
      <c r="O523" s="3" t="inlineStr">
        <is>
          <t>-</t>
        </is>
      </c>
      <c r="P523" s="3" t="inlineStr">
        <is>
          <t>전층공조시설완비,바닥 크리트마감, 신축공장,건기식,제약,화장품 추천</t>
        </is>
      </c>
      <c r="Q523" s="6">
        <f>HYPERLINK("https://fin.land.naver.com/articles/2650624911",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30000</v>
      </c>
      <c r="G524" s="4" t="n">
        <v>3000</v>
      </c>
      <c r="H524" s="4" t="n">
        <v>10798</v>
      </c>
      <c r="I524" s="4" t="n">
        <v>3266</v>
      </c>
      <c r="J524" s="5" t="n">
        <v>0.9</v>
      </c>
      <c r="K524" s="4" t="n">
        <v>2314</v>
      </c>
      <c r="L524" s="4" t="n">
        <v>700</v>
      </c>
      <c r="M524" s="5" t="n">
        <v>4.3</v>
      </c>
      <c r="N524" s="3" t="inlineStr">
        <is>
          <t>5</t>
        </is>
      </c>
      <c r="O524" s="3" t="inlineStr">
        <is>
          <t>-</t>
        </is>
      </c>
      <c r="P524" s="3" t="inlineStr">
        <is>
          <t>항온항습시설, GMP인증 시설. 신축, 1층 2층 부문임대가능</t>
        </is>
      </c>
      <c r="Q524" s="6">
        <f>HYPERLINK("https://fin.land.naver.com/articles/2648219901",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100000</v>
      </c>
      <c r="G525" s="4" t="n">
        <v>10000</v>
      </c>
      <c r="H525" s="4" t="n">
        <v>10798</v>
      </c>
      <c r="I525" s="4" t="n">
        <v>3266</v>
      </c>
      <c r="J525" s="5" t="n">
        <v>3.1</v>
      </c>
      <c r="K525" s="4" t="n">
        <v>15064</v>
      </c>
      <c r="L525" s="4" t="n">
        <v>4557</v>
      </c>
      <c r="M525" s="5" t="n">
        <v>2.2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HYPERLINK("https://fin.land.naver.com/articles/2649039082",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35000</v>
      </c>
      <c r="G526" s="4" t="n">
        <v>3500</v>
      </c>
      <c r="H526" s="4" t="n">
        <v>10798</v>
      </c>
      <c r="I526" s="4" t="n">
        <v>3266</v>
      </c>
      <c r="J526" s="5" t="n">
        <v>1.1</v>
      </c>
      <c r="K526" s="4" t="n">
        <v>3616</v>
      </c>
      <c r="L526" s="4" t="n">
        <v>1094</v>
      </c>
      <c r="M526" s="5" t="n">
        <v>3.2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HYPERLINK("https://fin.land.naver.com/articles/2649016336",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킹 사진0 규모의 경제 가시성 탁월 여기만 보임 압도적 존재감 절대적</t>
        </is>
      </c>
      <c r="Q527" s="6">
        <f>HYPERLINK("https://fin.land.naver.com/articles/2651362845",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킹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5000000</v>
      </c>
      <c r="G528" s="4" t="n">
        <v>0</v>
      </c>
      <c r="H528" s="4" t="n">
        <v>10798</v>
      </c>
      <c r="I528" s="4" t="n">
        <v>3266</v>
      </c>
      <c r="J528" s="5" t="n">
        <v>1530.9</v>
      </c>
      <c r="K528" s="4" t="n">
        <v>14761</v>
      </c>
      <c r="L528" s="4" t="n">
        <v>4465</v>
      </c>
      <c r="M528" s="5" t="n">
        <v>1119.8</v>
      </c>
      <c r="N528" s="3" t="inlineStr">
        <is>
          <t>5</t>
        </is>
      </c>
      <c r="O528" s="3" t="inlineStr">
        <is>
          <t>-</t>
        </is>
      </c>
      <c r="P528" s="3" t="inlineStr">
        <is>
          <t>청주ic 오송ktx 10분이내 오송산업단지공장 화학업종 가능</t>
        </is>
      </c>
      <c r="Q528" s="6">
        <f>HYPERLINK("https://fin.land.naver.com/articles/2649015627",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HYPERLINK("https://fin.land.naver.com/articles/2649326357",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5000</v>
      </c>
      <c r="I530" s="4" t="n">
        <v>1512</v>
      </c>
      <c r="J530" s="5" t="n">
        <v>760.6</v>
      </c>
      <c r="K530" s="4" t="n">
        <v>9900</v>
      </c>
      <c r="L530" s="4" t="n">
        <v>2995</v>
      </c>
      <c r="M530" s="5" t="n">
        <v>384</v>
      </c>
      <c r="N530" s="3" t="inlineStr">
        <is>
          <t>3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HYPERLINK("https://fin.land.naver.com/articles/2652985451",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일오팔팔(주)</t>
        </is>
      </c>
      <c r="U530" s="4" t="n">
        <v>3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45000</v>
      </c>
      <c r="G531" s="4" t="n">
        <v>4500</v>
      </c>
      <c r="H531" s="4" t="n">
        <v>4999</v>
      </c>
      <c r="I531" s="4" t="n">
        <v>1512</v>
      </c>
      <c r="J531" s="5" t="n">
        <v>3</v>
      </c>
      <c r="K531" s="4" t="n">
        <v>9796</v>
      </c>
      <c r="L531" s="4" t="n">
        <v>2963</v>
      </c>
      <c r="M531" s="5" t="n">
        <v>1.5</v>
      </c>
      <c r="N531" s="3" t="inlineStr">
        <is>
          <t>3</t>
        </is>
      </c>
      <c r="O531" s="3" t="inlineStr">
        <is>
          <t>-</t>
        </is>
      </c>
      <c r="P531" s="3" t="inlineStr">
        <is>
          <t>오송산단에 위치한 도로접한 공장, 사무실 및 공장 임대</t>
        </is>
      </c>
      <c r="Q531" s="6">
        <f>HYPERLINK("https://fin.land.naver.com/articles/2652357578",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조치원읍 번암리 53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2500000</v>
      </c>
      <c r="G533" s="4" t="n">
        <v>0</v>
      </c>
      <c r="H533" s="4" t="n">
        <v>9721</v>
      </c>
      <c r="I533" s="4" t="n">
        <v>2941</v>
      </c>
      <c r="J533" s="5" t="n">
        <v>850.1</v>
      </c>
      <c r="K533" s="4" t="n">
        <v>13496</v>
      </c>
      <c r="L533" s="4" t="n">
        <v>4083</v>
      </c>
      <c r="M533" s="5" t="n">
        <v>612.3</v>
      </c>
      <c r="N533" s="3" t="inlineStr">
        <is>
          <t>3</t>
        </is>
      </c>
      <c r="O533" s="3" t="inlineStr">
        <is>
          <t>B2</t>
        </is>
      </c>
      <c r="P533" s="3" t="inlineStr">
        <is>
          <t>데이터센터 물류창고 가능</t>
        </is>
      </c>
      <c r="Q533" s="6">
        <f>HYPERLINK("https://fin.land.naver.com/articles/2648311397", "매물Link")</f>
        <v/>
      </c>
      <c r="R533" s="6">
        <f>HYPERLINK("https://map.naver.com/p/search/조치원읍 번암리 53", "지도Link")</f>
        <v/>
      </c>
      <c r="S533" s="6">
        <f>HYPERLINK("http://www.eum.go.kr/web/ar/lu/luLandDet.jsp?pnu=3611025031100530000&amp;isNoScr=script&amp;mode=search",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298</v>
      </c>
      <c r="W533" s="4" t="n">
        <v>9721</v>
      </c>
      <c r="X533" s="3" t="inlineStr">
        <is>
          <t>미표기</t>
        </is>
      </c>
      <c r="Y533" s="7" t="inlineStr">
        <is>
          <t>3층</t>
        </is>
      </c>
      <c r="Z533" s="3" t="inlineStr">
        <is>
          <t>철근콘크리트구조</t>
        </is>
      </c>
      <c r="AA533" s="3" t="inlineStr">
        <is>
          <t>판매시설</t>
        </is>
      </c>
      <c r="AB533" s="3" t="inlineStr">
        <is>
          <t>22.31m</t>
        </is>
      </c>
      <c r="AC533" s="3" t="inlineStr">
        <is>
          <t>2008-04</t>
        </is>
      </c>
      <c r="AD533" s="3" t="inlineStr">
        <is>
          <t>광대로한면</t>
        </is>
      </c>
    </row>
    <row r="534">
      <c r="A534" s="3" t="inlineStr">
        <is>
          <t>조치원읍 서창리 202-5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140000</v>
      </c>
      <c r="G534" s="4" t="n">
        <v>0</v>
      </c>
      <c r="H534" s="4" t="n">
        <v>666</v>
      </c>
      <c r="I534" s="4" t="n">
        <v>201</v>
      </c>
      <c r="J534" s="5" t="n">
        <v>696.5</v>
      </c>
      <c r="K534" s="4" t="n">
        <v>397</v>
      </c>
      <c r="L534" s="4" t="n">
        <v>120</v>
      </c>
      <c r="M534" s="5" t="n">
        <v>1166.7</v>
      </c>
      <c r="N534" s="3" t="inlineStr">
        <is>
          <t>2</t>
        </is>
      </c>
      <c r="O534" s="3" t="inlineStr">
        <is>
          <t>-</t>
        </is>
      </c>
      <c r="P534" s="3" t="inlineStr">
        <is>
          <t>단독사용  2종근생  하수 직관  근생 창고 매매</t>
        </is>
      </c>
      <c r="Q534" s="6">
        <f>HYPERLINK("https://fin.land.naver.com/articles/2651733853", "매물Link")</f>
        <v/>
      </c>
      <c r="R534" s="6">
        <f>HYPERLINK("https://map.naver.com/p/search/조치원읍 서창리 202-5", "지도Link")</f>
        <v/>
      </c>
      <c r="S534" s="6">
        <f>HYPERLINK("http://www.eum.go.kr/web/ar/lu/luLandDet.jsp?pnu=3611025034102020005&amp;isNoScr=script&amp;mode=search", "토지이음")</f>
        <v/>
      </c>
      <c r="T534" s="3" t="inlineStr">
        <is>
          <t>THE행복</t>
        </is>
      </c>
      <c r="U534" s="4" t="n">
        <v>1</v>
      </c>
      <c r="V534" s="5" t="n">
        <v>344.8</v>
      </c>
      <c r="W534" s="4" t="n">
        <v>666</v>
      </c>
      <c r="X534" s="3" t="inlineStr">
        <is>
          <t>주건축물제1동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6.35m</t>
        </is>
      </c>
      <c r="AC534" s="3" t="inlineStr">
        <is>
          <t>2015-11</t>
        </is>
      </c>
      <c r="AD534" s="3" t="inlineStr">
        <is>
          <t>중로한면</t>
        </is>
      </c>
    </row>
    <row r="535">
      <c r="A535" s="3" t="inlineStr">
        <is>
          <t>집현동 1106</t>
        </is>
      </c>
      <c r="B535" s="3" t="inlineStr">
        <is>
          <t>준주거지역</t>
        </is>
      </c>
      <c r="C535" s="3" t="inlineStr">
        <is>
          <t>대</t>
        </is>
      </c>
      <c r="D535" s="3" t="inlineStr">
        <is>
          <t>공장</t>
        </is>
      </c>
      <c r="E535" s="3" t="inlineStr">
        <is>
          <t>월세</t>
        </is>
      </c>
      <c r="F535" s="4" t="n">
        <v>20000</v>
      </c>
      <c r="G535" s="4" t="n">
        <v>1500</v>
      </c>
      <c r="H535" s="4" t="n">
        <v>1915</v>
      </c>
      <c r="I535" s="4" t="n">
        <v>579</v>
      </c>
      <c r="J535" s="5" t="n">
        <v>2.6</v>
      </c>
      <c r="K535" s="4" t="n">
        <v>2130</v>
      </c>
      <c r="L535" s="4" t="n">
        <v>644</v>
      </c>
      <c r="M535" s="5" t="n">
        <v>2.3</v>
      </c>
      <c r="N535" s="3" t="inlineStr">
        <is>
          <t>4</t>
        </is>
      </c>
      <c r="O535" s="3" t="inlineStr">
        <is>
          <t>-</t>
        </is>
      </c>
      <c r="P535" s="3" t="inlineStr">
        <is>
          <t>건물통임대, 공장임대 각 층별 임대가능</t>
        </is>
      </c>
      <c r="Q535" s="6">
        <f>HYPERLINK("https://fin.land.naver.com/articles/2650822447", "매물Link")</f>
        <v/>
      </c>
      <c r="R535" s="6">
        <f>HYPERLINK("https://map.naver.com/p/search/집현동 1106", "지도Link")</f>
        <v/>
      </c>
      <c r="S535" s="6">
        <f>HYPERLINK("http://www.eum.go.kr/web/ar/lu/luLandDet.jsp?pnu=3611011800111060000&amp;isNoScr=script&amp;mode=search", "토지이음")</f>
        <v/>
      </c>
      <c r="T535" s="3" t="inlineStr">
        <is>
          <t>국제</t>
        </is>
      </c>
      <c r="U535" s="4" t="n">
        <v>1</v>
      </c>
      <c r="V535" s="5" t="n">
        <v>232.5</v>
      </c>
      <c r="W535" s="4" t="n">
        <v>1916.1</v>
      </c>
      <c r="X535" s="3" t="inlineStr">
        <is>
          <t>주 1동</t>
        </is>
      </c>
      <c r="Y535" s="7" t="inlineStr">
        <is>
          <t>4층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17.7m</t>
        </is>
      </c>
      <c r="AC535" s="3" t="inlineStr">
        <is>
          <t>2024-12</t>
        </is>
      </c>
      <c r="AD535" s="3" t="inlineStr">
        <is>
          <t>중로각지</t>
        </is>
      </c>
    </row>
    <row r="536">
      <c r="A536" s="3" t="inlineStr">
        <is>
          <t>집현동 1132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기타</t>
        </is>
      </c>
      <c r="E536" s="3" t="inlineStr">
        <is>
          <t>매매</t>
        </is>
      </c>
      <c r="F536" s="4" t="n">
        <v>2070000</v>
      </c>
      <c r="G536" s="4" t="n">
        <v>0</v>
      </c>
      <c r="H536" s="4" t="n">
        <v>2543</v>
      </c>
      <c r="I536" s="4" t="n">
        <v>769</v>
      </c>
      <c r="J536" s="5" t="n">
        <v>2691.8</v>
      </c>
      <c r="K536" s="4" t="n">
        <v>6273</v>
      </c>
      <c r="L536" s="4" t="n">
        <v>1898</v>
      </c>
      <c r="M536" s="5" t="n">
        <v>1090.6</v>
      </c>
      <c r="N536" s="3" t="inlineStr">
        <is>
          <t>7</t>
        </is>
      </c>
      <c r="O536" s="3" t="inlineStr">
        <is>
          <t>B2</t>
        </is>
      </c>
      <c r="P536" s="3" t="inlineStr">
        <is>
          <t>세종 신축 사옥 매매</t>
        </is>
      </c>
      <c r="Q536" s="6">
        <f>HYPERLINK("https://fin.land.naver.com/articles/2650482875", "매물Link")</f>
        <v/>
      </c>
      <c r="R536" s="6">
        <f>HYPERLINK("https://map.naver.com/p/search/집현동 1132", "지도Link")</f>
        <v/>
      </c>
      <c r="S536" s="6">
        <f>HYPERLINK("http://www.eum.go.kr/web/ar/lu/luLandDet.jsp?pnu=3611011800111320000&amp;isNoScr=script&amp;mode=search", "토지이음")</f>
        <v/>
      </c>
      <c r="T536" s="3" t="inlineStr">
        <is>
          <t>공장전문주식회사</t>
        </is>
      </c>
      <c r="U536" s="4" t="n">
        <v>1</v>
      </c>
      <c r="V536" s="5" t="n">
        <v>225.2</v>
      </c>
      <c r="W536" s="4" t="n">
        <v>2542.1</v>
      </c>
      <c r="X536" s="3" t="inlineStr">
        <is>
          <t>대장없음</t>
        </is>
      </c>
      <c r="Y536" s="7" t="inlineStr">
        <is>
          <t>대장없음</t>
        </is>
      </c>
      <c r="Z536" s="3" t="inlineStr">
        <is>
          <t>대장없음</t>
        </is>
      </c>
      <c r="AA536" s="3" t="inlineStr">
        <is>
          <t>대장없음</t>
        </is>
      </c>
      <c r="AB536" s="3" t="inlineStr">
        <is>
          <t>대장없음</t>
        </is>
      </c>
      <c r="AC536" s="3" t="inlineStr">
        <is>
          <t>대장없음</t>
        </is>
      </c>
      <c r="AD536" s="3" t="inlineStr">
        <is>
          <t>중로각지</t>
        </is>
      </c>
    </row>
  </sheetData>
  <autoFilter ref="A1:AD5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HYPERLINK("https://fin.land.naver.com/articles/2651773887",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공원조망 최상. 거실이 넓은 주택</t>
        </is>
      </c>
      <c r="P9" s="6">
        <f>HYPERLINK("https://fin.land.naver.com/articles/2652910037",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세종삼촌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1646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165000</v>
      </c>
      <c r="H14" s="4" t="n">
        <v>0</v>
      </c>
      <c r="I14" s="4" t="n">
        <v>374</v>
      </c>
      <c r="J14" s="4" t="n">
        <v>113</v>
      </c>
      <c r="K14" s="5" t="n">
        <v>1460.2</v>
      </c>
      <c r="L14" s="4" t="n">
        <v>182</v>
      </c>
      <c r="M14" s="4" t="n">
        <v>55</v>
      </c>
      <c r="N14" s="5" t="n">
        <v>3000</v>
      </c>
      <c r="O14" s="3" t="inlineStr">
        <is>
          <t>실개천옆 선호위치 초중고 모두 도보가능</t>
        </is>
      </c>
      <c r="P14" s="6">
        <f>HYPERLINK("https://fin.land.naver.com/articles/2653184770", "매물Link")</f>
        <v/>
      </c>
      <c r="Q14" s="6">
        <f>HYPERLINK("https://map.naver.com/p/search/고운동 1646", "지도Link")</f>
        <v/>
      </c>
      <c r="R14" s="6">
        <f>HYPERLINK("http://www.eum.go.kr/web/ar/lu/luLandDet.jsp?pnu=3611011200116460000&amp;isNoScr=script&amp;mode=search",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270.9</v>
      </c>
      <c r="V14" s="4" t="n">
        <v>374.1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HYPERLINK("https://fin.land.naver.com/articles/2652837282",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태양광, 어린이집, 유치원 인근, 조율가능</t>
        </is>
      </c>
      <c r="P18" s="6">
        <f>HYPERLINK("https://fin.land.naver.com/articles/2652844151",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HYPERLINK("https://fin.land.naver.com/articles/2653184611",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nan</t>
        </is>
      </c>
      <c r="P20" s="6">
        <f>HYPERLINK("https://fin.land.naver.com/articles/2652851445",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세종삼촌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태양광, 천정이 높은 거실. 2세대 가능</t>
        </is>
      </c>
      <c r="P21" s="6">
        <f>HYPERLINK("https://fin.land.naver.com/articles/2653080532",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최무연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1791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180000</v>
      </c>
      <c r="H22" s="4" t="n">
        <v>0</v>
      </c>
      <c r="I22" s="4" t="n">
        <v>366</v>
      </c>
      <c r="J22" s="4" t="n">
        <v>111</v>
      </c>
      <c r="K22" s="5" t="n">
        <v>1621.6</v>
      </c>
      <c r="L22" s="4" t="n">
        <v>199</v>
      </c>
      <c r="M22" s="4" t="n">
        <v>60</v>
      </c>
      <c r="N22" s="5" t="n">
        <v>3000</v>
      </c>
      <c r="O22" s="3" t="inlineStr">
        <is>
          <t>nan</t>
        </is>
      </c>
      <c r="P22" s="6">
        <f>HYPERLINK("https://fin.land.naver.com/articles/2652262074", "매물Link")</f>
        <v/>
      </c>
      <c r="Q22" s="6">
        <f>HYPERLINK("https://map.naver.com/p/search/고운동 1791", "지도Link")</f>
        <v/>
      </c>
      <c r="R22" s="6">
        <f>HYPERLINK("http://www.eum.go.kr/web/ar/lu/luLandDet.jsp?pnu=3611011200117910000&amp;isNoScr=script&amp;mode=search", "토지이음")</f>
        <v/>
      </c>
      <c r="S22" s="3" t="inlineStr">
        <is>
          <t>미래개발</t>
        </is>
      </c>
      <c r="T22" s="4" t="n">
        <v>1</v>
      </c>
      <c r="U22" s="5" t="n">
        <v>347.4</v>
      </c>
      <c r="V22" s="4" t="n">
        <v>366.1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중로각지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명성공인, 온빛초품아, 시스템에어컨, 남향 추천 매물</t>
        </is>
      </c>
      <c r="P24" s="6">
        <f>HYPERLINK("https://fin.land.naver.com/articles/2652725079",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명성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335</v>
      </c>
      <c r="J25" s="4" t="n">
        <v>101</v>
      </c>
      <c r="K25" s="5" t="n">
        <v>1584.2</v>
      </c>
      <c r="L25" s="4" t="n">
        <v>253</v>
      </c>
      <c r="M25" s="4" t="n">
        <v>77</v>
      </c>
      <c r="N25" s="5" t="n">
        <v>2077.9</v>
      </c>
      <c r="O25" s="3" t="inlineStr">
        <is>
          <t>프라이빗한 정원,  인네리어</t>
        </is>
      </c>
      <c r="P25" s="6">
        <f>HYPERLINK("https://fin.land.naver.com/articles/2649457044",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세종삼촌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356</v>
      </c>
      <c r="J26" s="4" t="n">
        <v>108</v>
      </c>
      <c r="K26" s="5" t="n">
        <v>1181.5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HYPERLINK("https://fin.land.naver.com/articles/2651673384",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131400</v>
      </c>
      <c r="H31" s="4" t="n">
        <v>0</v>
      </c>
      <c r="I31" s="4" t="n">
        <v>370</v>
      </c>
      <c r="J31" s="4" t="n">
        <v>112</v>
      </c>
      <c r="K31" s="5" t="n">
        <v>1173.2</v>
      </c>
      <c r="L31" s="4" t="n">
        <v>224</v>
      </c>
      <c r="M31" s="4" t="n">
        <v>68</v>
      </c>
      <c r="N31" s="5" t="n">
        <v>1932.4</v>
      </c>
      <c r="O31" s="3" t="inlineStr">
        <is>
          <t>아르티엠 더블랙 선임대 완료 급매</t>
        </is>
      </c>
      <c r="P31" s="6">
        <f>HYPERLINK("https://fin.land.naver.com/articles/2651673423",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HYPERLINK("https://fin.land.naver.com/articles/2652815452",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158000</v>
      </c>
      <c r="H34" s="4" t="n">
        <v>0</v>
      </c>
      <c r="I34" s="4" t="n">
        <v>418</v>
      </c>
      <c r="J34" s="4" t="n">
        <v>126</v>
      </c>
      <c r="K34" s="5" t="n">
        <v>1254</v>
      </c>
      <c r="L34" s="4" t="n">
        <v>253</v>
      </c>
      <c r="M34" s="4" t="n">
        <v>77</v>
      </c>
      <c r="N34" s="5" t="n">
        <v>2051.9</v>
      </c>
      <c r="O34" s="3" t="inlineStr">
        <is>
          <t>아르티엠 더블랙 C타입 선임대 완료 급매</t>
        </is>
      </c>
      <c r="P34" s="6">
        <f>HYPERLINK("https://fin.land.naver.com/articles/2651673445",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404</v>
      </c>
      <c r="J35" s="4" t="n">
        <v>122</v>
      </c>
      <c r="K35" s="5" t="n">
        <v>1311.5</v>
      </c>
      <c r="L35" s="4" t="n">
        <v>253</v>
      </c>
      <c r="M35" s="4" t="n">
        <v>77</v>
      </c>
      <c r="N35" s="5" t="n">
        <v>2077.9</v>
      </c>
      <c r="O35" s="3" t="inlineStr">
        <is>
          <t>인기C타입 마당넓음 탁트인조망 넓은3층면적</t>
        </is>
      </c>
      <c r="P35" s="6">
        <f>HYPERLINK("https://fin.land.naver.com/articles/2651086449",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323</v>
      </c>
      <c r="J36" s="4" t="n">
        <v>98</v>
      </c>
      <c r="K36" s="5" t="n">
        <v>1632.7</v>
      </c>
      <c r="L36" s="4" t="n">
        <v>253</v>
      </c>
      <c r="M36" s="4" t="n">
        <v>77</v>
      </c>
      <c r="N36" s="5" t="n">
        <v>2077.9</v>
      </c>
      <c r="O36" s="3" t="inlineStr">
        <is>
          <t>아르티엠 더블랙  초품아 프리미엄과 풀옵션이 만난 완벽한 타운하우스</t>
        </is>
      </c>
      <c r="P36" s="6">
        <f>HYPERLINK("https://fin.land.naver.com/articles/2651672445",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HYPERLINK("https://fin.land.naver.com/articles/2652588602",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HYPERLINK("https://fin.land.naver.com/articles/2653085610",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127600</v>
      </c>
      <c r="H39" s="4" t="n">
        <v>0</v>
      </c>
      <c r="I39" s="4" t="n">
        <v>353</v>
      </c>
      <c r="J39" s="4" t="n">
        <v>107</v>
      </c>
      <c r="K39" s="5" t="n">
        <v>1192.5</v>
      </c>
      <c r="L39" s="4" t="n">
        <v>224</v>
      </c>
      <c r="M39" s="4" t="n">
        <v>68</v>
      </c>
      <c r="N39" s="5" t="n">
        <v>1876.5</v>
      </c>
      <c r="O39" s="3" t="inlineStr">
        <is>
          <t>아르티엠 더블랙 선임대 완료 급매</t>
        </is>
      </c>
      <c r="P39" s="6">
        <f>HYPERLINK("https://fin.land.naver.com/articles/2650887284",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프라이빗 코너 호수의 완벽한 유럽풍 라이프</t>
        </is>
      </c>
      <c r="P40" s="6">
        <f>HYPERLINK("https://fin.land.naver.com/articles/2648068359",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HYPERLINK("https://fin.land.naver.com/articles/2652918003",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HYPERLINK("https://fin.land.naver.com/articles/2651945527",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희소성 높은 한옥 매매, 학군과 입지 좋은 위치</t>
        </is>
      </c>
      <c r="P44" s="6">
        <f>HYPERLINK("https://fin.land.naver.com/articles/2650893231",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HYPERLINK("https://fin.land.naver.com/articles/2652942703",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뒷마당이 산과 접한 안쪽위치, 여유로움,</t>
        </is>
      </c>
      <c r="P50" s="6">
        <f>HYPERLINK("https://fin.land.naver.com/articles/2652861851",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최무연</t>
        </is>
      </c>
      <c r="T50" s="4" t="n">
        <v>3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풀에어컨, 단독주택, 인테리어 완료된 주인거주로 관리잘된집</t>
        </is>
      </c>
      <c r="P51" s="6">
        <f>HYPERLINK("https://fin.land.naver.com/articles/2652843664",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협의입주</t>
        </is>
      </c>
      <c r="P53" s="6">
        <f>HYPERLINK("https://fin.land.naver.com/articles/2649591373",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105000</v>
      </c>
      <c r="H58" s="4" t="n">
        <v>0</v>
      </c>
      <c r="I58" s="4" t="n">
        <v>299</v>
      </c>
      <c r="J58" s="4" t="n">
        <v>90</v>
      </c>
      <c r="K58" s="5" t="n">
        <v>1166.7</v>
      </c>
      <c r="L58" s="4" t="n">
        <v>171</v>
      </c>
      <c r="M58" s="4" t="n">
        <v>52</v>
      </c>
      <c r="N58" s="5" t="n">
        <v>2019.2</v>
      </c>
      <c r="O58" s="3" t="inlineStr">
        <is>
          <t>급매 마피 신축 첫입주 추가조율협의가능</t>
        </is>
      </c>
      <c r="P58" s="6">
        <f>HYPERLINK("https://fin.land.naver.com/articles/2652943442",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115580</v>
      </c>
      <c r="H60" s="4" t="n">
        <v>0</v>
      </c>
      <c r="I60" s="4" t="n">
        <v>299</v>
      </c>
      <c r="J60" s="4" t="n">
        <v>90</v>
      </c>
      <c r="K60" s="5" t="n">
        <v>1284.2</v>
      </c>
      <c r="L60" s="4" t="n">
        <v>171</v>
      </c>
      <c r="M60" s="4" t="n">
        <v>52</v>
      </c>
      <c r="N60" s="5" t="n">
        <v>2222.7</v>
      </c>
      <c r="O60" s="3" t="inlineStr">
        <is>
          <t>인기 있는 타운하우스 , 매매추천합니다,</t>
        </is>
      </c>
      <c r="P60" s="6">
        <f>HYPERLINK("https://fin.land.naver.com/articles/2648837063",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HYPERLINK("https://fin.land.naver.com/articles/2652917993",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357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팬트하우스 형 주택 최고급</t>
        </is>
      </c>
      <c r="P62" s="6">
        <f>HYPERLINK("https://fin.land.naver.com/articles/2652832579",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세종삼촌</t>
        </is>
      </c>
      <c r="T62" s="4" t="n">
        <v>2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1년차 최신축 방4개 모던한 단독주택</t>
        </is>
      </c>
      <c r="P63" s="6">
        <f>HYPERLINK("https://fin.land.naver.com/articles/2652917981",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세종스타</t>
        </is>
      </c>
      <c r="T63" s="4" t="n">
        <v>4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말발굽 공원인근 귀한주택</t>
        </is>
      </c>
      <c r="P64" s="6">
        <f>HYPERLINK("https://fin.land.naver.com/articles/2652829525",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세종삼촌</t>
        </is>
      </c>
      <c r="T64" s="4" t="n">
        <v>4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도담동 마당넓은 단독주택, 초등학교 인근</t>
        </is>
      </c>
      <c r="P66" s="6">
        <f>HYPERLINK("https://fin.land.naver.com/articles/2650963994",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OK세종</t>
        </is>
      </c>
      <c r="T66" s="4" t="n">
        <v>2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조율가능, 2세대 가능한 독립구조, 전세8억, 지하有</t>
        </is>
      </c>
      <c r="P69" s="6">
        <f>HYPERLINK("https://fin.land.naver.com/articles/2651191939",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명진</t>
        </is>
      </c>
      <c r="T69" s="4" t="n">
        <v>2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급매. 위치 좋은 단독 주택, 구조가 이뻐요</t>
        </is>
      </c>
      <c r="P70" s="6">
        <f>HYPERLINK("https://fin.land.naver.com/articles/2652859350",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최무연</t>
        </is>
      </c>
      <c r="T70" s="4" t="n">
        <v>3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명성공인, 방4, 화4, 풀에어컨, 다락까지 있는 위치 좋은 추천 매물</t>
        </is>
      </c>
      <c r="P73" s="6">
        <f>HYPERLINK("https://fin.land.naver.com/articles/2650066777",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명성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도담동 최고입지 귀한 단독주택 넓은평수 목조주택</t>
        </is>
      </c>
      <c r="P74" s="6">
        <f>HYPERLINK("https://fin.land.naver.com/articles/2648380127",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HYPERLINK("https://fin.land.naver.com/articles/2652288526",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HYPERLINK("https://fin.land.naver.com/articles/2653120425",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425-9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26</v>
      </c>
      <c r="M86" s="4" t="n">
        <v>8</v>
      </c>
      <c r="N86" s="5" t="n">
        <v>4.4</v>
      </c>
      <c r="O86" s="3" t="inlineStr">
        <is>
          <t>대박 보안으로 입지 갑 원룸</t>
        </is>
      </c>
      <c r="P86" s="6">
        <f>HYPERLINK("https://fin.land.naver.com/articles/2652887447", "매물Link")</f>
        <v/>
      </c>
      <c r="Q86" s="6">
        <f>HYPERLINK("https://map.naver.com/p/search/부강면 부강리 425-9", "지도Link")</f>
        <v/>
      </c>
      <c r="R86" s="6">
        <f>HYPERLINK("http://www.eum.go.kr/web/ar/lu/luLandDet.jsp?pnu=3611033021104250009&amp;isNoScr=script&amp;mode=search", "토지이음")</f>
        <v/>
      </c>
      <c r="S86" s="3" t="inlineStr">
        <is>
          <t>부강대박</t>
        </is>
      </c>
      <c r="T86" s="4" t="n">
        <v>1</v>
      </c>
      <c r="U86" s="5" t="n">
        <v>256.5</v>
      </c>
      <c r="V86" s="4" t="n">
        <v>294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세로각지(가)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300</v>
      </c>
      <c r="H87" s="4" t="n">
        <v>50</v>
      </c>
      <c r="I87" s="4" t="n">
        <v>45</v>
      </c>
      <c r="J87" s="4" t="n">
        <v>14</v>
      </c>
      <c r="K87" s="5" t="n">
        <v>3.6</v>
      </c>
      <c r="L87" s="4" t="n">
        <v>33</v>
      </c>
      <c r="M87" s="4" t="n">
        <v>10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HYPERLINK("https://fin.land.naver.com/articles/2652929725",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다가구</t>
        </is>
      </c>
      <c r="F88" s="3" t="inlineStr">
        <is>
          <t>전세</t>
        </is>
      </c>
      <c r="G88" s="4" t="n">
        <v>5000</v>
      </c>
      <c r="H88" s="4" t="n">
        <v>0</v>
      </c>
      <c r="I88" s="4" t="n">
        <v>45</v>
      </c>
      <c r="J88" s="4" t="n">
        <v>14</v>
      </c>
      <c r="K88" s="5" t="n">
        <v>357.1</v>
      </c>
      <c r="L88" s="4" t="n">
        <v>35</v>
      </c>
      <c r="M88" s="4" t="n">
        <v>11</v>
      </c>
      <c r="N88" s="5" t="n">
        <v>454.5</v>
      </c>
      <c r="O88" s="3" t="inlineStr">
        <is>
          <t>주차용이, 편의시설 초근접 1.5룸</t>
        </is>
      </c>
      <c r="P88" s="6">
        <f>HYPERLINK("https://fin.land.naver.com/articles/2652929816",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55</v>
      </c>
      <c r="I90" s="4" t="n">
        <v>50</v>
      </c>
      <c r="J90" s="4" t="n">
        <v>15</v>
      </c>
      <c r="K90" s="5" t="n">
        <v>3.7</v>
      </c>
      <c r="L90" s="4" t="n">
        <v>40</v>
      </c>
      <c r="M90" s="4" t="n">
        <v>12</v>
      </c>
      <c r="N90" s="5" t="n">
        <v>4.6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남향집으로 따뜻한 집 입니다. 입주는 협의 가능하며 가격절충가능합니다.</t>
        </is>
      </c>
      <c r="P92" s="6">
        <f>HYPERLINK("https://fin.land.naver.com/articles/2647499785",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주황푸르지오</t>
        </is>
      </c>
      <c r="T92" s="4" t="n">
        <v>1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 있는 예쁜집, 정남향, 조율가능, 태양광</t>
        </is>
      </c>
      <c r="P93" s="6">
        <f>HYPERLINK("https://fin.land.naver.com/articles/2652843975",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세종무지개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조율가능 국제고인근 정남향 아이들의 놀이터같은 특색주택</t>
        </is>
      </c>
      <c r="P94" s="6">
        <f>HYPERLINK("https://fin.land.naver.com/articles/2648716323",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벽난로. 태양광, 국제고인근 남향. 가격조율 가능한</t>
        </is>
      </c>
      <c r="P95" s="6">
        <f>HYPERLINK("https://fin.land.naver.com/articles/2652825554",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최무연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HYPERLINK("https://fin.land.naver.com/articles/2652838554",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전원주택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튼튼하게 지어진 집   교통편리 정남향</t>
        </is>
      </c>
      <c r="P97" s="6">
        <f>HYPERLINK("https://fin.land.naver.com/articles/2652845581",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세종푸르지오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160</v>
      </c>
      <c r="J102" s="4" t="n">
        <v>48</v>
      </c>
      <c r="K102" s="5" t="n">
        <v>2916.7</v>
      </c>
      <c r="L102" s="4" t="n">
        <v>160</v>
      </c>
      <c r="M102" s="4" t="n">
        <v>48</v>
      </c>
      <c r="N102" s="5" t="n">
        <v>2916.7</v>
      </c>
      <c r="O102" s="3" t="inlineStr">
        <is>
          <t>2층주택, 현재 주인거주로 잘 관리된 집</t>
        </is>
      </c>
      <c r="P102" s="6">
        <f>HYPERLINK("https://fin.land.naver.com/articles/2652794190",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강아지풀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303</v>
      </c>
      <c r="J103" s="4" t="n">
        <v>92</v>
      </c>
      <c r="K103" s="5" t="n">
        <v>1576.1</v>
      </c>
      <c r="L103" s="4" t="n">
        <v>204</v>
      </c>
      <c r="M103" s="4" t="n">
        <v>62</v>
      </c>
      <c r="N103" s="5" t="n">
        <v>2338.7</v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HYPERLINK("https://fin.land.naver.com/articles/2649764622", "매물Link")</f>
        <v/>
      </c>
      <c r="Q103" s="6">
        <f>HYPERLINK("https://map.naver.com/p/search/아름동 1408", "지도Link")</f>
        <v/>
      </c>
      <c r="R103" s="6">
        <f>HYPERLINK("http://www.eum.go.kr/web/ar/lu/luLandDet.jsp?pnu=3611011300114080000&amp;isNoScr=script&amp;mode=search",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338.2</v>
      </c>
      <c r="V103" s="4" t="n">
        <v>303.7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올리모델링 방3개 욕실3개 시스템에어컨5대 조율가능</t>
        </is>
      </c>
      <c r="P106" s="6">
        <f>HYPERLINK("https://fin.land.naver.com/articles/2648979509",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HYPERLINK("https://fin.land.naver.com/articles/2652438889",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HYPERLINK("https://fin.land.naver.com/articles/2652844353",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방5개, 화장실2개, 고급 단독주택, 태양광</t>
        </is>
      </c>
      <c r="P113" s="6">
        <f>HYPERLINK("https://fin.land.naver.com/articles/2651949107",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HYPERLINK("https://fin.land.naver.com/articles/2651088324",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연동면 내판리 425-4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65000</v>
      </c>
      <c r="H115" s="4" t="n">
        <v>0</v>
      </c>
      <c r="I115" s="4" t="n">
        <v>579</v>
      </c>
      <c r="J115" s="4" t="n">
        <v>175</v>
      </c>
      <c r="K115" s="5" t="n">
        <v>371.4</v>
      </c>
      <c r="L115" s="4" t="n">
        <v>93</v>
      </c>
      <c r="M115" s="4" t="n">
        <v>28</v>
      </c>
      <c r="N115" s="5" t="n">
        <v>2321.4</v>
      </c>
      <c r="O115" s="3" t="inlineStr">
        <is>
          <t>조용하고 살기좋은 전원주택 매매</t>
        </is>
      </c>
      <c r="P115" s="6">
        <f>HYPERLINK("https://fin.land.naver.com/articles/2649113394", "매물Link")</f>
        <v/>
      </c>
      <c r="Q115" s="6">
        <f>HYPERLINK("https://map.naver.com/p/search/연동면 내판리 425-4", "지도Link")</f>
        <v/>
      </c>
      <c r="R115" s="6">
        <f>HYPERLINK("http://www.eum.go.kr/web/ar/lu/luLandDet.jsp?pnu=3611032021104250004&amp;isNoScr=script&amp;mode=search", "토지이음")</f>
        <v/>
      </c>
      <c r="S115" s="3" t="inlineStr">
        <is>
          <t>으뜸</t>
        </is>
      </c>
      <c r="T115" s="4" t="n">
        <v>1</v>
      </c>
      <c r="U115" s="5" t="n">
        <v>73.2</v>
      </c>
      <c r="V115" s="4" t="n">
        <v>499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노송리 28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1756</v>
      </c>
      <c r="J116" s="4" t="n">
        <v>531</v>
      </c>
      <c r="K116" s="5" t="n">
        <v>339</v>
      </c>
      <c r="L116" s="4" t="n">
        <v>191</v>
      </c>
      <c r="M116" s="4" t="n">
        <v>58</v>
      </c>
      <c r="N116" s="5" t="n">
        <v>3103.4</v>
      </c>
      <c r="O116" s="3" t="inlineStr">
        <is>
          <t>남향의 2층 전원주택</t>
        </is>
      </c>
      <c r="P116" s="6">
        <f>HYPERLINK("https://fin.land.naver.com/articles/2651838387", "매물Link")</f>
        <v/>
      </c>
      <c r="Q116" s="6">
        <f>HYPERLINK("https://map.naver.com/p/search/연동면 노송리 28", "지도Link")</f>
        <v/>
      </c>
      <c r="R116" s="6">
        <f>HYPERLINK("http://www.eum.go.kr/web/ar/lu/luLandDet.jsp?pnu=3611032025100280000&amp;isNoScr=script&amp;mode=search", "토지이음")</f>
        <v/>
      </c>
      <c r="S116" s="3" t="inlineStr">
        <is>
          <t>보람최고</t>
        </is>
      </c>
      <c r="T116" s="4" t="n">
        <v>1</v>
      </c>
      <c r="U116" s="5" t="n">
        <v>68.90000000000001</v>
      </c>
      <c r="V116" s="4" t="n">
        <v>1001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세로각지(가)</t>
        </is>
      </c>
    </row>
    <row r="117">
      <c r="A117" s="3" t="inlineStr">
        <is>
          <t>연동면 명학리 217-1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17000</v>
      </c>
      <c r="H117" s="4" t="n">
        <v>0</v>
      </c>
      <c r="I117" s="4" t="n">
        <v>176</v>
      </c>
      <c r="J117" s="4" t="n">
        <v>53</v>
      </c>
      <c r="K117" s="5" t="n">
        <v>320.8</v>
      </c>
      <c r="L117" s="4" t="n">
        <v>52</v>
      </c>
      <c r="M117" s="4" t="n">
        <v>16</v>
      </c>
      <c r="N117" s="5" t="n">
        <v>1062.5</v>
      </c>
      <c r="O117" s="3" t="inlineStr">
        <is>
          <t>태양광,도시가스 사용, 소액 투자, 세컨하우스, 주말별장, 실거주도 추천</t>
        </is>
      </c>
      <c r="P117" s="6">
        <f>HYPERLINK("https://fin.land.naver.com/articles/2652143034", "매물Link")</f>
        <v/>
      </c>
      <c r="Q117" s="6">
        <f>HYPERLINK("https://map.naver.com/p/search/연동면 명학리 217-1", "지도Link")</f>
        <v/>
      </c>
      <c r="R117" s="6">
        <f>HYPERLINK("http://www.eum.go.kr/web/ar/lu/luLandDet.jsp?pnu=3611032023102170001&amp;isNoScr=script&amp;mode=search", "토지이음")</f>
        <v/>
      </c>
      <c r="S117" s="3" t="inlineStr">
        <is>
          <t>수자인시티</t>
        </is>
      </c>
      <c r="T117" s="4" t="n">
        <v>1</v>
      </c>
      <c r="U117" s="5" t="n">
        <v>98.7</v>
      </c>
      <c r="V117" s="4" t="n">
        <v>176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예양리 640-1</t>
        </is>
      </c>
      <c r="B118" s="3" t="inlineStr">
        <is>
          <t>보전관리지역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21000</v>
      </c>
      <c r="H118" s="4" t="n">
        <v>0</v>
      </c>
      <c r="I118" s="4" t="n">
        <v>259</v>
      </c>
      <c r="J118" s="4" t="n">
        <v>78</v>
      </c>
      <c r="K118" s="5" t="n">
        <v>269.2</v>
      </c>
      <c r="L118" s="4" t="n">
        <v>92</v>
      </c>
      <c r="M118" s="4" t="n">
        <v>28</v>
      </c>
      <c r="N118" s="5" t="n">
        <v>750</v>
      </c>
      <c r="O118" s="3" t="inlineStr">
        <is>
          <t>세종시 공기좋고 한적한 곳 저렴한 시골집 세컨하우스 주말주택</t>
        </is>
      </c>
      <c r="P118" s="6">
        <f>HYPERLINK("https://fin.land.naver.com/articles/2651693393", "매물Link")</f>
        <v/>
      </c>
      <c r="Q118" s="6">
        <f>HYPERLINK("https://map.naver.com/p/search/연동면 예양리 640-1", "지도Link")</f>
        <v/>
      </c>
      <c r="R118" s="6">
        <f>HYPERLINK("http://www.eum.go.kr/web/ar/lu/luLandDet.jsp?pnu=3611032026106400001&amp;isNoScr=script&amp;mode=search", "토지이음")</f>
        <v/>
      </c>
      <c r="S118" s="3" t="inlineStr">
        <is>
          <t>청담</t>
        </is>
      </c>
      <c r="T118" s="4" t="n">
        <v>1</v>
      </c>
      <c r="U118" s="5" t="n">
        <v>60.4</v>
      </c>
      <c r="V118" s="4" t="n">
        <v>259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세로한면(가)</t>
        </is>
      </c>
    </row>
    <row r="119">
      <c r="A119" s="3" t="inlineStr">
        <is>
          <t>연동면 응암리 121-4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48000</v>
      </c>
      <c r="H119" s="4" t="n">
        <v>0</v>
      </c>
      <c r="I119" s="4" t="n">
        <v>1025</v>
      </c>
      <c r="J119" s="4" t="n">
        <v>310</v>
      </c>
      <c r="K119" s="5" t="n">
        <v>154.8</v>
      </c>
      <c r="L119" s="4" t="n">
        <v>103</v>
      </c>
      <c r="M119" s="4" t="n">
        <v>31</v>
      </c>
      <c r="N119" s="5" t="n">
        <v>1548.4</v>
      </c>
      <c r="O119" s="3" t="inlineStr">
        <is>
          <t>nan</t>
        </is>
      </c>
      <c r="P119" s="6">
        <f>HYPERLINK("https://fin.land.naver.com/articles/2648221451", "매물Link")</f>
        <v/>
      </c>
      <c r="Q119" s="6">
        <f>HYPERLINK("https://map.naver.com/p/search/연동면 응암리 121-4", "지도Link")</f>
        <v/>
      </c>
      <c r="R119" s="6">
        <f>HYPERLINK("http://www.eum.go.kr/web/ar/lu/luLandDet.jsp?pnu=3611032024101210004&amp;isNoScr=script&amp;mode=search", "토지이음")</f>
        <v/>
      </c>
      <c r="S119" s="3" t="inlineStr">
        <is>
          <t>세종지원</t>
        </is>
      </c>
      <c r="T119" s="4" t="n">
        <v>1</v>
      </c>
      <c r="U119" s="5" t="n">
        <v>67.5</v>
      </c>
      <c r="V119" s="4" t="n">
        <v>1025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응암리 199-4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27000</v>
      </c>
      <c r="H120" s="4" t="n">
        <v>0</v>
      </c>
      <c r="I120" s="4" t="n">
        <v>464</v>
      </c>
      <c r="J120" s="4" t="n">
        <v>140</v>
      </c>
      <c r="K120" s="5" t="n">
        <v>192.9</v>
      </c>
      <c r="L120" s="4" t="n">
        <v>89</v>
      </c>
      <c r="M120" s="4" t="n">
        <v>27</v>
      </c>
      <c r="N120" s="5" t="n">
        <v>1000</v>
      </c>
      <c r="O120" s="3" t="inlineStr">
        <is>
          <t>0초이스0 전세 안고 투자도 가능</t>
        </is>
      </c>
      <c r="P120" s="6">
        <f>HYPERLINK("https://fin.land.naver.com/articles/2649446382", "매물Link")</f>
        <v/>
      </c>
      <c r="Q120" s="6">
        <f>HYPERLINK("https://map.naver.com/p/search/연동면 응암리 199-4", "지도Link")</f>
        <v/>
      </c>
      <c r="R120" s="6">
        <f>HYPERLINK("http://www.eum.go.kr/web/ar/lu/luLandDet.jsp?pnu=3611032024101990004&amp;isNoScr=script&amp;mode=search", "토지이음")</f>
        <v/>
      </c>
      <c r="S120" s="3" t="inlineStr">
        <is>
          <t>세종초이스</t>
        </is>
      </c>
      <c r="T120" s="4" t="n">
        <v>1</v>
      </c>
      <c r="U120" s="5" t="n">
        <v>59.8</v>
      </c>
      <c r="V120" s="4" t="n">
        <v>464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세로각지(가)</t>
        </is>
      </c>
    </row>
    <row r="121">
      <c r="A121" s="3" t="inlineStr">
        <is>
          <t>연서면 고복리 415-34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54200</v>
      </c>
      <c r="H121" s="4" t="n">
        <v>0</v>
      </c>
      <c r="I121" s="4" t="n">
        <v>725</v>
      </c>
      <c r="J121" s="4" t="n">
        <v>219</v>
      </c>
      <c r="K121" s="5" t="n">
        <v>247.5</v>
      </c>
      <c r="L121" s="4" t="n">
        <v>72</v>
      </c>
      <c r="M121" s="4" t="n">
        <v>22</v>
      </c>
      <c r="N121" s="5" t="n">
        <v>2463.6</v>
      </c>
      <c r="O121" s="3" t="inlineStr">
        <is>
          <t>고복저수지 초근접 한 매물이며,별장으로 활용해도 좋아요</t>
        </is>
      </c>
      <c r="P121" s="6">
        <f>HYPERLINK("https://fin.land.naver.com/articles/2647765328", "매물Link")</f>
        <v/>
      </c>
      <c r="Q121" s="6">
        <f>HYPERLINK("https://map.naver.com/p/search/연서면 고복리 415-34", "지도Link")</f>
        <v/>
      </c>
      <c r="R121" s="6">
        <f>HYPERLINK("http://www.eum.go.kr/web/ar/lu/luLandDet.jsp?pnu=3611036024104150034&amp;isNoScr=script&amp;mode=search", "토지이음")</f>
        <v/>
      </c>
      <c r="S121" s="3" t="inlineStr">
        <is>
          <t>지호주식회사</t>
        </is>
      </c>
      <c r="T121" s="4" t="n">
        <v>1</v>
      </c>
      <c r="U121" s="5" t="n">
        <v>122.9</v>
      </c>
      <c r="V121" s="4" t="n">
        <v>725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고복리 460-2</t>
        </is>
      </c>
      <c r="B122" s="3" t="inlineStr">
        <is>
          <t>자연환경보전지역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195000</v>
      </c>
      <c r="H122" s="4" t="n">
        <v>0</v>
      </c>
      <c r="I122" s="4" t="n">
        <v>729</v>
      </c>
      <c r="J122" s="4" t="n">
        <v>221</v>
      </c>
      <c r="K122" s="5" t="n">
        <v>882.4</v>
      </c>
      <c r="L122" s="4" t="n">
        <v>378</v>
      </c>
      <c r="M122" s="4" t="n">
        <v>114</v>
      </c>
      <c r="N122" s="5" t="n">
        <v>1710.5</v>
      </c>
      <c r="O122" s="3" t="inlineStr">
        <is>
          <t>고복저수지가 보이는 곳에 2층 상가주택</t>
        </is>
      </c>
      <c r="P122" s="6">
        <f>HYPERLINK("https://fin.land.naver.com/articles/2651253733", "매물Link")</f>
        <v/>
      </c>
      <c r="Q122" s="6">
        <f>HYPERLINK("https://map.naver.com/p/search/연서면 고복리 460-2", "지도Link")</f>
        <v/>
      </c>
      <c r="R122" s="6">
        <f>HYPERLINK("http://www.eum.go.kr/web/ar/lu/luLandDet.jsp?pnu=3611036024104600002&amp;isNoScr=script&amp;mode=search", "토지이음")</f>
        <v/>
      </c>
      <c r="S122" s="3" t="inlineStr">
        <is>
          <t>세종토박이</t>
        </is>
      </c>
      <c r="T122" s="4" t="n">
        <v>1</v>
      </c>
      <c r="U122" s="5" t="n">
        <v>92.3</v>
      </c>
      <c r="V122" s="4" t="n">
        <v>729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기룡리 657-4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7000</v>
      </c>
      <c r="H123" s="4" t="n">
        <v>0</v>
      </c>
      <c r="I123" s="4" t="n">
        <v>304</v>
      </c>
      <c r="J123" s="4" t="n">
        <v>92</v>
      </c>
      <c r="K123" s="5" t="n">
        <v>76.09999999999999</v>
      </c>
      <c r="L123" s="4" t="n">
        <v>54</v>
      </c>
      <c r="M123" s="4" t="n">
        <v>16</v>
      </c>
      <c r="N123" s="5" t="n">
        <v>437.5</v>
      </c>
      <c r="O123" s="3" t="inlineStr">
        <is>
          <t>매매가 이하 저렴한 농가주택입니다</t>
        </is>
      </c>
      <c r="P123" s="6">
        <f>HYPERLINK("https://fin.land.naver.com/articles/2650597094", "매물Link")</f>
        <v/>
      </c>
      <c r="Q123" s="6">
        <f>HYPERLINK("https://map.naver.com/p/search/연서면 기룡리 657-4", "지도Link")</f>
        <v/>
      </c>
      <c r="R123" s="6">
        <f>HYPERLINK("http://www.eum.go.kr/web/ar/lu/luLandDet.jsp?pnu=3611036028106570004&amp;isNoScr=script&amp;mode=search", "토지이음")</f>
        <v/>
      </c>
      <c r="S123" s="3" t="inlineStr">
        <is>
          <t>캠퍼스</t>
        </is>
      </c>
      <c r="T123" s="4" t="n">
        <v>1</v>
      </c>
      <c r="U123" s="5" t="n">
        <v>66.7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HYPERLINK("https://fin.land.naver.com/articles/2652970391",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112-35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98000</v>
      </c>
      <c r="H126" s="4" t="n">
        <v>0</v>
      </c>
      <c r="I126" s="4" t="n">
        <v>410</v>
      </c>
      <c r="J126" s="4" t="n">
        <v>124</v>
      </c>
      <c r="K126" s="5" t="n">
        <v>790.3</v>
      </c>
      <c r="L126" s="4" t="n">
        <v>487</v>
      </c>
      <c r="M126" s="4" t="n">
        <v>147</v>
      </c>
      <c r="N126" s="5" t="n">
        <v>666.7</v>
      </c>
      <c r="O126" s="3" t="inlineStr">
        <is>
          <t>세종시 투자의 정석 공실 걱정 없는 안정적인 고수익 다가구주택</t>
        </is>
      </c>
      <c r="P126" s="6">
        <f>HYPERLINK("https://fin.land.naver.com/articles/2652498864", "매물Link")</f>
        <v/>
      </c>
      <c r="Q126" s="6">
        <f>HYPERLINK("https://map.naver.com/p/search/연서면 봉암리 112-35", "지도Link")</f>
        <v/>
      </c>
      <c r="R126" s="6">
        <f>HYPERLINK("http://www.eum.go.kr/web/ar/lu/luLandDet.jsp?pnu=3611036033101120035&amp;isNoScr=script&amp;mode=search",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194.8</v>
      </c>
      <c r="V126" s="4" t="n">
        <v>410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360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nan</t>
        </is>
      </c>
      <c r="P134" s="6">
        <f>HYPERLINK("https://fin.land.naver.com/articles/2652499431",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4000</v>
      </c>
      <c r="H140" s="4" t="n">
        <v>40</v>
      </c>
      <c r="I140" s="4" t="n">
        <v>0</v>
      </c>
      <c r="J140" s="4" t="n">
        <v>0</v>
      </c>
      <c r="K140" s="5" t="n">
        <v>0</v>
      </c>
      <c r="L140" s="4" t="n">
        <v>43</v>
      </c>
      <c r="M140" s="4" t="n">
        <v>13</v>
      </c>
      <c r="N140" s="5" t="n">
        <v>3.1</v>
      </c>
      <c r="O140" s="3" t="inlineStr">
        <is>
          <t>인기짱  신축 풀옵션 2룸 심플하고 깔끔한방  엘베설치  넓은주차장</t>
        </is>
      </c>
      <c r="P140" s="6">
        <f>HYPERLINK("https://fin.land.naver.com/articles/2652750077",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190000</v>
      </c>
      <c r="H141" s="4" t="n">
        <v>0</v>
      </c>
      <c r="I141" s="4" t="n">
        <v>570</v>
      </c>
      <c r="J141" s="4" t="n">
        <v>172</v>
      </c>
      <c r="K141" s="5" t="n">
        <v>1104.7</v>
      </c>
      <c r="L141" s="4" t="n">
        <v>568</v>
      </c>
      <c r="M141" s="4" t="n">
        <v>172</v>
      </c>
      <c r="N141" s="5" t="n">
        <v>1104.7</v>
      </c>
      <c r="O141" s="3" t="inlineStr">
        <is>
          <t>신축다가구건물, 엘리베이터 1층 카페,23층 원룸,투룸,1.5룸으로구성</t>
        </is>
      </c>
      <c r="P141" s="6">
        <f>HYPERLINK("https://fin.land.naver.com/articles/2650625683",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178</v>
      </c>
      <c r="J142" s="4" t="n">
        <v>54</v>
      </c>
      <c r="K142" s="5" t="n">
        <v>0.7</v>
      </c>
      <c r="L142" s="4" t="n">
        <v>25</v>
      </c>
      <c r="M142" s="4" t="n">
        <v>8</v>
      </c>
      <c r="N142" s="5" t="n">
        <v>5</v>
      </c>
      <c r="O142" s="3" t="inlineStr">
        <is>
          <t>신축 깔끔한 풀옵션완비방  엘베는기본  주차편리 정남향  정부청사10분</t>
        </is>
      </c>
      <c r="P142" s="6">
        <f>HYPERLINK("https://fin.land.naver.com/articles/2652712844",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4000</v>
      </c>
      <c r="H143" s="4" t="n">
        <v>40</v>
      </c>
      <c r="I143" s="4" t="n">
        <v>60</v>
      </c>
      <c r="J143" s="4" t="n">
        <v>18</v>
      </c>
      <c r="K143" s="5" t="n">
        <v>2.2</v>
      </c>
      <c r="L143" s="4" t="n">
        <v>30</v>
      </c>
      <c r="M143" s="4" t="n">
        <v>9</v>
      </c>
      <c r="N143" s="5" t="n">
        <v>4.4</v>
      </c>
      <c r="O143" s="3" t="inlineStr">
        <is>
          <t>투룸,11월입주 조율가능,금액조율가능,전세도 가능9천만원풀옵션</t>
        </is>
      </c>
      <c r="P143" s="6">
        <f>HYPERLINK("https://fin.land.naver.com/articles/2652335755",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500</v>
      </c>
      <c r="H144" s="4" t="n">
        <v>40</v>
      </c>
      <c r="I144" s="4" t="n">
        <v>33</v>
      </c>
      <c r="J144" s="4" t="n">
        <v>10</v>
      </c>
      <c r="K144" s="5" t="n">
        <v>4</v>
      </c>
      <c r="L144" s="4" t="n">
        <v>16</v>
      </c>
      <c r="M144" s="4" t="n">
        <v>5</v>
      </c>
      <c r="N144" s="5" t="n">
        <v>8</v>
      </c>
      <c r="O144" s="3" t="inlineStr">
        <is>
          <t>원룸,11월하순입주 가능,전세도 가능 6천만원 풀옵션</t>
        </is>
      </c>
      <c r="P144" s="6">
        <f>HYPERLINK("https://fin.land.naver.com/articles/2652745423",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부동리 80-2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43000</v>
      </c>
      <c r="H145" s="4" t="n">
        <v>0</v>
      </c>
      <c r="I145" s="4" t="n">
        <v>507</v>
      </c>
      <c r="J145" s="4" t="n">
        <v>153</v>
      </c>
      <c r="K145" s="5" t="n">
        <v>281</v>
      </c>
      <c r="L145" s="4" t="n">
        <v>92</v>
      </c>
      <c r="M145" s="4" t="n">
        <v>28</v>
      </c>
      <c r="N145" s="5" t="n">
        <v>1535.7</v>
      </c>
      <c r="O145" s="3" t="inlineStr">
        <is>
          <t>세종 스마트국가산업단지 인근 단독주택 도로지분포함 저렴하게 일괄매매.</t>
        </is>
      </c>
      <c r="P145" s="6">
        <f>HYPERLINK("https://fin.land.naver.com/articles/2652233102", "매물Link")</f>
        <v/>
      </c>
      <c r="Q145" s="6">
        <f>HYPERLINK("https://map.naver.com/p/search/연서면 부동리 80-2", "지도Link")</f>
        <v/>
      </c>
      <c r="R145" s="6">
        <f>HYPERLINK("http://www.eum.go.kr/web/ar/lu/luLandDet.jsp?pnu=3611036032100800002&amp;isNoScr=script&amp;mode=search", "토지이음")</f>
        <v/>
      </c>
      <c r="S145" s="3" t="inlineStr">
        <is>
          <t>세종대장</t>
        </is>
      </c>
      <c r="T145" s="4" t="n">
        <v>1</v>
      </c>
      <c r="U145" s="5" t="n">
        <v>86.40000000000001</v>
      </c>
      <c r="V145" s="4" t="n">
        <v>507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세로한면(불)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월세</t>
        </is>
      </c>
      <c r="G146" s="4" t="n">
        <v>5000</v>
      </c>
      <c r="H146" s="4" t="n">
        <v>120</v>
      </c>
      <c r="I146" s="4" t="n">
        <v>327</v>
      </c>
      <c r="J146" s="4" t="n">
        <v>99</v>
      </c>
      <c r="K146" s="5" t="n">
        <v>1.2</v>
      </c>
      <c r="L146" s="4" t="n">
        <v>168</v>
      </c>
      <c r="M146" s="4" t="n">
        <v>51</v>
      </c>
      <c r="N146" s="5" t="n">
        <v>2.4</v>
      </c>
      <c r="O146" s="3" t="inlineStr">
        <is>
          <t>깔끔한 전원주택</t>
        </is>
      </c>
      <c r="P146" s="6">
        <f>HYPERLINK("https://fin.land.naver.com/articles/2652285276",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40000</v>
      </c>
      <c r="H147" s="4" t="n">
        <v>0</v>
      </c>
      <c r="I147" s="4" t="n">
        <v>327</v>
      </c>
      <c r="J147" s="4" t="n">
        <v>99</v>
      </c>
      <c r="K147" s="5" t="n">
        <v>404</v>
      </c>
      <c r="L147" s="4" t="n">
        <v>168</v>
      </c>
      <c r="M147" s="4" t="n">
        <v>51</v>
      </c>
      <c r="N147" s="5" t="n">
        <v>784.3</v>
      </c>
      <c r="O147" s="3" t="inlineStr">
        <is>
          <t>조용한 전원생활, 초중학교 인접, 고복저수지 자연환경 전원주택 매매</t>
        </is>
      </c>
      <c r="P147" s="6">
        <f>HYPERLINK("https://fin.land.naver.com/articles/2652377919",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연기더조은</t>
        </is>
      </c>
      <c r="T147" s="4" t="n">
        <v>2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깔끔한 전원주택</t>
        </is>
      </c>
      <c r="P148" s="6">
        <f>HYPERLINK("https://fin.land.naver.com/articles/2652284182",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39000</v>
      </c>
      <c r="H149" s="4" t="n">
        <v>0</v>
      </c>
      <c r="I149" s="4" t="n">
        <v>327</v>
      </c>
      <c r="J149" s="4" t="n">
        <v>99</v>
      </c>
      <c r="K149" s="5" t="n">
        <v>393.9</v>
      </c>
      <c r="L149" s="4" t="n">
        <v>168</v>
      </c>
      <c r="M149" s="4" t="n">
        <v>51</v>
      </c>
      <c r="N149" s="5" t="n">
        <v>764.7</v>
      </c>
      <c r="O149" s="3" t="inlineStr">
        <is>
          <t>깔끔한 전원주택</t>
        </is>
      </c>
      <c r="P149" s="6">
        <f>HYPERLINK("https://fin.land.naver.com/articles/2652250435",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제일</t>
        </is>
      </c>
      <c r="T149" s="4" t="n">
        <v>1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30000</v>
      </c>
      <c r="H150" s="4" t="n">
        <v>0</v>
      </c>
      <c r="I150" s="4" t="n">
        <v>327</v>
      </c>
      <c r="J150" s="4" t="n">
        <v>99</v>
      </c>
      <c r="K150" s="5" t="n">
        <v>303</v>
      </c>
      <c r="L150" s="4" t="n">
        <v>168</v>
      </c>
      <c r="M150" s="4" t="n">
        <v>51</v>
      </c>
      <c r="N150" s="5" t="n">
        <v>588.2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HYPERLINK("https://fin.land.naver.com/articles/2652036901",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월세</t>
        </is>
      </c>
      <c r="G151" s="4" t="n">
        <v>5000</v>
      </c>
      <c r="H151" s="4" t="n">
        <v>120</v>
      </c>
      <c r="I151" s="4" t="n">
        <v>327</v>
      </c>
      <c r="J151" s="4" t="n">
        <v>99</v>
      </c>
      <c r="K151" s="5" t="n">
        <v>1.2</v>
      </c>
      <c r="L151" s="4" t="n">
        <v>168</v>
      </c>
      <c r="M151" s="4" t="n">
        <v>51</v>
      </c>
      <c r="N151" s="5" t="n">
        <v>2.4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HYPERLINK("https://fin.land.naver.com/articles/2652036207",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신대리 105-8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39000</v>
      </c>
      <c r="H152" s="4" t="n">
        <v>0</v>
      </c>
      <c r="I152" s="4" t="n">
        <v>327</v>
      </c>
      <c r="J152" s="4" t="n">
        <v>99</v>
      </c>
      <c r="K152" s="5" t="n">
        <v>393.9</v>
      </c>
      <c r="L152" s="4" t="n">
        <v>168</v>
      </c>
      <c r="M152" s="4" t="n">
        <v>51</v>
      </c>
      <c r="N152" s="5" t="n">
        <v>764.7</v>
      </c>
      <c r="O152" s="3" t="inlineStr">
        <is>
          <t>깨끗한 2층전원주택,주택바로뒤가 연서중학교 위치,3층다락방은 서비스면적</t>
        </is>
      </c>
      <c r="P152" s="6">
        <f>HYPERLINK("https://fin.land.naver.com/articles/2651289585", "매물Link")</f>
        <v/>
      </c>
      <c r="Q152" s="6">
        <f>HYPERLINK("https://map.naver.com/p/search/연서면 신대리 105-8", "지도Link")</f>
        <v/>
      </c>
      <c r="R152" s="6">
        <f>HYPERLINK("http://www.eum.go.kr/web/ar/lu/luLandDet.jsp?pnu=3611036029101050008&amp;isNoScr=script&amp;mode=search",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91.59999999999999</v>
      </c>
      <c r="V152" s="4" t="n">
        <v>327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쌍전리 159-2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624</v>
      </c>
      <c r="J153" s="4" t="n">
        <v>189</v>
      </c>
      <c r="K153" s="5" t="n">
        <v>291</v>
      </c>
      <c r="L153" s="4" t="n">
        <v>140</v>
      </c>
      <c r="M153" s="4" t="n">
        <v>42</v>
      </c>
      <c r="N153" s="5" t="n">
        <v>1309.5</v>
      </c>
      <c r="O153" s="3" t="inlineStr">
        <is>
          <t>급매. 쌍전리 뷰 좋고 관리 잘 된 2층 단독주택. 입주일 협의.</t>
        </is>
      </c>
      <c r="P153" s="6">
        <f>HYPERLINK("https://fin.land.naver.com/articles/2648074660", "매물Link")</f>
        <v/>
      </c>
      <c r="Q153" s="6">
        <f>HYPERLINK("https://map.naver.com/p/search/연서면 쌍전리 159-2", "지도Link")</f>
        <v/>
      </c>
      <c r="R153" s="6">
        <f>HYPERLINK("http://www.eum.go.kr/web/ar/lu/luLandDet.jsp?pnu=3611036022101590002&amp;isNoScr=script&amp;mode=search", "토지이음")</f>
        <v/>
      </c>
      <c r="S153" s="3" t="inlineStr">
        <is>
          <t>세종대장</t>
        </is>
      </c>
      <c r="T153" s="4" t="n">
        <v>1</v>
      </c>
      <c r="U153" s="5" t="n">
        <v>111.2</v>
      </c>
      <c r="V153" s="4" t="n">
        <v>635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1008-5</t>
        </is>
      </c>
      <c r="B155" s="3" t="inlineStr">
        <is>
          <t>제1종일반주거지역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단독</t>
        </is>
      </c>
      <c r="F155" s="3" t="inlineStr">
        <is>
          <t>전세</t>
        </is>
      </c>
      <c r="G155" s="4" t="n">
        <v>17000</v>
      </c>
      <c r="H155" s="4" t="n">
        <v>0</v>
      </c>
      <c r="I155" s="4" t="n">
        <v>84</v>
      </c>
      <c r="J155" s="4" t="n">
        <v>25</v>
      </c>
      <c r="K155" s="5" t="n">
        <v>680</v>
      </c>
      <c r="L155" s="4" t="n">
        <v>84</v>
      </c>
      <c r="M155" s="4" t="n">
        <v>25</v>
      </c>
      <c r="N155" s="5" t="n">
        <v>680</v>
      </c>
      <c r="O155" s="3" t="inlineStr">
        <is>
          <t>nan</t>
        </is>
      </c>
      <c r="P155" s="6">
        <f>HYPERLINK("https://fin.land.naver.com/articles/2649752267", "매물Link")</f>
        <v/>
      </c>
      <c r="Q155" s="6">
        <f>HYPERLINK("https://map.naver.com/p/search/연서면 월하리 1008-5", "지도Link")</f>
        <v/>
      </c>
      <c r="R155" s="6">
        <f>HYPERLINK("http://www.eum.go.kr/web/ar/lu/luLandDet.jsp?pnu=3611036021110080005&amp;isNoScr=script&amp;mode=search", "토지이음")</f>
        <v/>
      </c>
      <c r="S155" s="3" t="inlineStr">
        <is>
          <t>뉴스카이</t>
        </is>
      </c>
      <c r="T155" s="4" t="n">
        <v>1</v>
      </c>
      <c r="U155" s="5" t="n">
        <v>184.8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월하리 618-1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연립</t>
        </is>
      </c>
      <c r="F156" s="3" t="inlineStr">
        <is>
          <t>매매</t>
        </is>
      </c>
      <c r="G156" s="4" t="n">
        <v>8000</v>
      </c>
      <c r="H156" s="4" t="n">
        <v>0</v>
      </c>
      <c r="I156" s="4" t="n">
        <v>54</v>
      </c>
      <c r="J156" s="4" t="n">
        <v>16</v>
      </c>
      <c r="K156" s="5" t="n">
        <v>500</v>
      </c>
      <c r="L156" s="4" t="n">
        <v>54</v>
      </c>
      <c r="M156" s="4" t="n">
        <v>16</v>
      </c>
      <c r="N156" s="5" t="n">
        <v>500</v>
      </c>
      <c r="O156" s="3" t="inlineStr">
        <is>
          <t>욕실,주방,거실,샷시까지 올리모델링됨,세입자끼고매매,소액투자</t>
        </is>
      </c>
      <c r="P156" s="6">
        <f>HYPERLINK("https://fin.land.naver.com/articles/2650717018", "매물Link")</f>
        <v/>
      </c>
      <c r="Q156" s="6">
        <f>HYPERLINK("https://map.naver.com/p/search/연서면 월하리 618-1", "지도Link")</f>
        <v/>
      </c>
      <c r="R156" s="6">
        <f>HYPERLINK("http://www.eum.go.kr/web/ar/lu/luLandDet.jsp?pnu=3611036021106180001&amp;isNoScr=script&amp;mode=search", "토지이음")</f>
        <v/>
      </c>
      <c r="S156" s="3" t="inlineStr">
        <is>
          <t>신안무소</t>
        </is>
      </c>
      <c r="T156" s="4" t="n">
        <v>1</v>
      </c>
      <c r="U156" s="5" t="n">
        <v>151.2</v>
      </c>
      <c r="V156" s="4" t="n">
        <v>281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조치원읍 교리 11-6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상가주택</t>
        </is>
      </c>
      <c r="F157" s="3" t="inlineStr">
        <is>
          <t>매매</t>
        </is>
      </c>
      <c r="G157" s="4" t="n">
        <v>150000</v>
      </c>
      <c r="H157" s="4" t="n">
        <v>0</v>
      </c>
      <c r="I157" s="4" t="n">
        <v>396</v>
      </c>
      <c r="J157" s="4" t="n">
        <v>120</v>
      </c>
      <c r="K157" s="5" t="n">
        <v>1250</v>
      </c>
      <c r="L157" s="4" t="n">
        <v>616</v>
      </c>
      <c r="M157" s="4" t="n">
        <v>186</v>
      </c>
      <c r="N157" s="5" t="n">
        <v>806.5</v>
      </c>
      <c r="O157" s="3" t="inlineStr">
        <is>
          <t>상가주택, 2가구, 상가임대1, 가격조정가능, 주차가능</t>
        </is>
      </c>
      <c r="P157" s="6">
        <f>HYPERLINK("https://fin.land.naver.com/articles/2650985563", "매물Link")</f>
        <v/>
      </c>
      <c r="Q157" s="6">
        <f>HYPERLINK("https://map.naver.com/p/search/조치원읍 교리 11-6", "지도Link")</f>
        <v/>
      </c>
      <c r="R157" s="6">
        <f>HYPERLINK("http://www.eum.go.kr/web/ar/lu/luLandDet.jsp?pnu=3611025024100110006&amp;isNoScr=script&amp;mode=search", "토지이음")</f>
        <v/>
      </c>
      <c r="S157" s="3" t="inlineStr">
        <is>
          <t>엄마와딸</t>
        </is>
      </c>
      <c r="T157" s="4" t="n">
        <v>1</v>
      </c>
      <c r="U157" s="5" t="n">
        <v>283.3</v>
      </c>
      <c r="V157" s="4" t="n">
        <v>396.4</v>
      </c>
      <c r="W157" s="3" t="inlineStr">
        <is>
          <t>지정되지않음</t>
        </is>
      </c>
      <c r="X157" s="3" t="inlineStr">
        <is>
          <t>주상용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중로각지</t>
        </is>
      </c>
    </row>
    <row r="158">
      <c r="A158" s="3" t="inlineStr">
        <is>
          <t>조치원읍 교리 16-11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0</v>
      </c>
      <c r="J158" s="4" t="n">
        <v>0</v>
      </c>
      <c r="K158" s="5" t="n">
        <v>0</v>
      </c>
      <c r="L158" s="4" t="n">
        <v>23</v>
      </c>
      <c r="M158" s="4" t="n">
        <v>7</v>
      </c>
      <c r="N158" s="5" t="n">
        <v>4.3</v>
      </c>
      <c r="O158" s="3" t="inlineStr">
        <is>
          <t>메가박스 뒷편 조치원역 도보거리</t>
        </is>
      </c>
      <c r="P158" s="6">
        <f>HYPERLINK("https://fin.land.naver.com/articles/2652852845", "매물Link")</f>
        <v/>
      </c>
      <c r="Q158" s="6">
        <f>HYPERLINK("https://map.naver.com/p/search/조치원읍 교리 16-11", "지도Link")</f>
        <v/>
      </c>
      <c r="R158" s="6">
        <f>HYPERLINK("http://www.eum.go.kr/web/ar/lu/luLandDet.jsp?pnu=3611025024100160011&amp;isNoScr=script&amp;mode=search",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367.3</v>
      </c>
      <c r="V158" s="4" t="n">
        <v>445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소로각지</t>
        </is>
      </c>
    </row>
    <row r="159">
      <c r="A159" s="3" t="inlineStr">
        <is>
          <t>조치원읍 교리 16-5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103</v>
      </c>
      <c r="J159" s="4" t="n">
        <v>31</v>
      </c>
      <c r="K159" s="5" t="n">
        <v>1290.3</v>
      </c>
      <c r="L159" s="4" t="n">
        <v>67</v>
      </c>
      <c r="M159" s="4" t="n">
        <v>20</v>
      </c>
      <c r="N159" s="5" t="n">
        <v>2000</v>
      </c>
      <c r="O159" s="3" t="inlineStr">
        <is>
          <t>기업은행 바로 뒷편,구옥2채 매매 입니다.</t>
        </is>
      </c>
      <c r="P159" s="6">
        <f>HYPERLINK("https://fin.land.naver.com/articles/2647876689", "매물Link")</f>
        <v/>
      </c>
      <c r="Q159" s="6">
        <f>HYPERLINK("https://map.naver.com/p/search/조치원읍 교리 16-5", "지도Link")</f>
        <v/>
      </c>
      <c r="R159" s="6">
        <f>HYPERLINK("http://www.eum.go.kr/web/ar/lu/luLandDet.jsp?pnu=3611025024100160005&amp;isNoScr=script&amp;mode=search", "토지이음")</f>
        <v/>
      </c>
      <c r="S159" s="3" t="inlineStr">
        <is>
          <t>이음 사무소</t>
        </is>
      </c>
      <c r="T159" s="4" t="n">
        <v>1</v>
      </c>
      <c r="U159" s="5" t="n">
        <v>206.5</v>
      </c>
      <c r="V159" s="4" t="n">
        <v>103.5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세로한면(가)</t>
        </is>
      </c>
    </row>
    <row r="160">
      <c r="A160" s="3" t="inlineStr">
        <is>
          <t>조치원읍 남리 119-10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25</v>
      </c>
      <c r="I160" s="4" t="n">
        <v>33</v>
      </c>
      <c r="J160" s="4" t="n">
        <v>10</v>
      </c>
      <c r="K160" s="5" t="n">
        <v>2.5</v>
      </c>
      <c r="L160" s="4" t="n">
        <v>5</v>
      </c>
      <c r="M160" s="4" t="n">
        <v>2</v>
      </c>
      <c r="N160" s="5" t="n">
        <v>12.5</v>
      </c>
      <c r="O160" s="3" t="inlineStr">
        <is>
          <t>조치원역도보거리 저렴한 원룸 즉시입주</t>
        </is>
      </c>
      <c r="P160" s="6">
        <f>HYPERLINK("https://fin.land.naver.com/articles/2650728690", "매물Link")</f>
        <v/>
      </c>
      <c r="Q160" s="6">
        <f>HYPERLINK("https://map.naver.com/p/search/조치원읍 남리 119-10", "지도Link")</f>
        <v/>
      </c>
      <c r="R160" s="6">
        <f>HYPERLINK("http://www.eum.go.kr/web/ar/lu/luLandDet.jsp?pnu=3611025027101190010&amp;isNoScr=script&amp;mode=search",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242.2</v>
      </c>
      <c r="V160" s="4" t="n">
        <v>280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자루형</t>
        </is>
      </c>
      <c r="AA160" s="3" t="inlineStr">
        <is>
          <t>세로한면(가)</t>
        </is>
      </c>
    </row>
    <row r="161">
      <c r="A161" s="3" t="inlineStr">
        <is>
          <t>조치원읍 남리 119-10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200</v>
      </c>
      <c r="H161" s="4" t="n">
        <v>27</v>
      </c>
      <c r="I161" s="4" t="n">
        <v>33</v>
      </c>
      <c r="J161" s="4" t="n">
        <v>10</v>
      </c>
      <c r="K161" s="5" t="n">
        <v>2.7</v>
      </c>
      <c r="L161" s="4" t="n">
        <v>19</v>
      </c>
      <c r="M161" s="4" t="n">
        <v>6</v>
      </c>
      <c r="N161" s="5" t="n">
        <v>4.5</v>
      </c>
      <c r="O161" s="3" t="inlineStr">
        <is>
          <t>조치원역도보거리O막힘없는O깨끗한 원룸</t>
        </is>
      </c>
      <c r="P161" s="6">
        <f>HYPERLINK("https://fin.land.naver.com/articles/2651069139", "매물Link")</f>
        <v/>
      </c>
      <c r="Q161" s="6">
        <f>HYPERLINK("https://map.naver.com/p/search/조치원읍 남리 119-10", "지도Link")</f>
        <v/>
      </c>
      <c r="R161" s="6">
        <f>HYPERLINK("http://www.eum.go.kr/web/ar/lu/luLandDet.jsp?pnu=3611025027101190010&amp;isNoScr=script&amp;mode=search",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242.2</v>
      </c>
      <c r="V161" s="4" t="n">
        <v>280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조치원읍 남리 119-12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39</v>
      </c>
      <c r="J162" s="4" t="n">
        <v>12</v>
      </c>
      <c r="K162" s="5" t="n">
        <v>2.5</v>
      </c>
      <c r="L162" s="4" t="n">
        <v>26</v>
      </c>
      <c r="M162" s="4" t="n">
        <v>8</v>
      </c>
      <c r="N162" s="5" t="n">
        <v>3.8</v>
      </c>
      <c r="O162" s="3" t="inlineStr">
        <is>
          <t>남향 조치원시내권도보거리 주차시설완비 완벽풀옵션</t>
        </is>
      </c>
      <c r="P162" s="6">
        <f>HYPERLINK("https://fin.land.naver.com/articles/2652366588", "매물Link")</f>
        <v/>
      </c>
      <c r="Q162" s="6">
        <f>HYPERLINK("https://map.naver.com/p/search/조치원읍 남리 119-12", "지도Link")</f>
        <v/>
      </c>
      <c r="R162" s="6">
        <f>HYPERLINK("http://www.eum.go.kr/web/ar/lu/luLandDet.jsp?pnu=3611025027101190012&amp;isNoScr=script&amp;mode=search",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282.8</v>
      </c>
      <c r="V162" s="4" t="n">
        <v>485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25</v>
      </c>
      <c r="I163" s="4" t="n">
        <v>0</v>
      </c>
      <c r="J163" s="4" t="n">
        <v>0</v>
      </c>
      <c r="K163" s="5" t="n">
        <v>0</v>
      </c>
      <c r="L163" s="4" t="n">
        <v>19</v>
      </c>
      <c r="M163" s="4" t="n">
        <v>6</v>
      </c>
      <c r="N163" s="5" t="n">
        <v>4.2</v>
      </c>
      <c r="O163" s="3" t="inlineStr">
        <is>
          <t>남리 버스정류장 가까운 위치</t>
        </is>
      </c>
      <c r="P163" s="6">
        <f>HYPERLINK("https://fin.land.naver.com/articles/2648317995",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119-6</t>
        </is>
      </c>
      <c r="B164" s="3" t="inlineStr">
        <is>
          <t>제2종일반주거지역</t>
        </is>
      </c>
      <c r="C164" s="3" t="inlineStr">
        <is>
          <t>잡종지</t>
        </is>
      </c>
      <c r="D164" s="3" t="inlineStr">
        <is>
          <t>1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27</v>
      </c>
      <c r="I164" s="4" t="n">
        <v>16</v>
      </c>
      <c r="J164" s="4" t="n">
        <v>5</v>
      </c>
      <c r="K164" s="5" t="n">
        <v>5.4</v>
      </c>
      <c r="L164" s="4" t="n">
        <v>16</v>
      </c>
      <c r="M164" s="4" t="n">
        <v>5</v>
      </c>
      <c r="N164" s="5" t="n">
        <v>5.4</v>
      </c>
      <c r="O164" s="3" t="inlineStr">
        <is>
          <t>아늑하고 깔끔한 풀옵션,교통과 생활이 아주 편리,가성비 좋음,즉시 입주</t>
        </is>
      </c>
      <c r="P164" s="6">
        <f>HYPERLINK("https://fin.land.naver.com/articles/2651659898", "매물Link")</f>
        <v/>
      </c>
      <c r="Q164" s="6">
        <f>HYPERLINK("https://map.naver.com/p/search/조치원읍 남리 119-6", "지도Link")</f>
        <v/>
      </c>
      <c r="R164" s="6">
        <f>HYPERLINK("http://www.eum.go.kr/web/ar/lu/luLandDet.jsp?pnu=3611025027101190006&amp;isNoScr=script&amp;mode=search", "토지이음")</f>
        <v/>
      </c>
      <c r="S164" s="3" t="inlineStr">
        <is>
          <t>유정희</t>
        </is>
      </c>
      <c r="T164" s="4" t="n">
        <v>1</v>
      </c>
      <c r="U164" s="5" t="n">
        <v>285.5</v>
      </c>
      <c r="V164" s="4" t="n">
        <v>249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소로한면</t>
        </is>
      </c>
    </row>
    <row r="165">
      <c r="A165" s="3" t="inlineStr">
        <is>
          <t>조치원읍 남리 299-2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LH 가능.주방분리형.보증보험가능.시장1분. 역3분.깔끔한방</t>
        </is>
      </c>
      <c r="P165" s="6">
        <f>HYPERLINK("https://fin.land.naver.com/articles/2647870045", "매물Link")</f>
        <v/>
      </c>
      <c r="Q165" s="6">
        <f>HYPERLINK("https://map.naver.com/p/search/조치원읍 남리 299-2", "지도Link")</f>
        <v/>
      </c>
      <c r="R165" s="6">
        <f>HYPERLINK("http://www.eum.go.kr/web/ar/lu/luLandDet.jsp?pnu=3611025027102990002&amp;isNoScr=script&amp;mode=search",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223.9</v>
      </c>
      <c r="V165" s="4" t="n">
        <v>407.8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소로각지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조치원역도보거리.융자없음.깔끔한전세.즉시입주</t>
        </is>
      </c>
      <c r="P171" s="6">
        <f>HYPERLINK("https://fin.land.naver.com/articles/2651980466",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20</v>
      </c>
      <c r="J172" s="4" t="n">
        <v>6</v>
      </c>
      <c r="K172" s="5" t="n">
        <v>666.7</v>
      </c>
      <c r="L172" s="4" t="n">
        <v>19</v>
      </c>
      <c r="M172" s="4" t="n">
        <v>6</v>
      </c>
      <c r="N172" s="5" t="n">
        <v>666.7</v>
      </c>
      <c r="O172" s="3" t="inlineStr">
        <is>
          <t>LH가능.HUG.서울보증보험가능 .가성비갑.시장1분 역5분.</t>
        </is>
      </c>
      <c r="P172" s="6">
        <f>HYPERLINK("https://fin.land.naver.com/articles/2647397073",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45000</v>
      </c>
      <c r="H174" s="4" t="n">
        <v>0</v>
      </c>
      <c r="I174" s="4" t="n">
        <v>325</v>
      </c>
      <c r="J174" s="4" t="n">
        <v>98</v>
      </c>
      <c r="K174" s="5" t="n">
        <v>459.2</v>
      </c>
      <c r="L174" s="4" t="n">
        <v>218</v>
      </c>
      <c r="M174" s="4" t="n">
        <v>66</v>
      </c>
      <c r="N174" s="5" t="n">
        <v>681.8</v>
      </c>
      <c r="O174" s="3" t="inlineStr">
        <is>
          <t>교통과 생활이 편리한 위치,초등학교 인근,대지 넓은 단독주택</t>
        </is>
      </c>
      <c r="P174" s="6">
        <f>HYPERLINK("https://fin.land.naver.com/articles/2653047822", "매물Link")</f>
        <v/>
      </c>
      <c r="Q174" s="6">
        <f>HYPERLINK("https://map.naver.com/p/search/조치원읍 명리 51", "지도Link")</f>
        <v/>
      </c>
      <c r="R174" s="6">
        <f>HYPERLINK("http://www.eum.go.kr/web/ar/lu/luLandDet.jsp?pnu=3611025026100510000&amp;isNoScr=script&amp;mode=search", "토지이음")</f>
        <v/>
      </c>
      <c r="S174" s="3" t="inlineStr">
        <is>
          <t>유정희</t>
        </is>
      </c>
      <c r="T174" s="4" t="n">
        <v>1</v>
      </c>
      <c r="U174" s="5" t="n">
        <v>223.3</v>
      </c>
      <c r="V174" s="4" t="n">
        <v>318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소로한면</t>
        </is>
      </c>
    </row>
    <row r="175">
      <c r="A175" s="3" t="inlineStr">
        <is>
          <t>조치원읍 명리 54-12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다가구</t>
        </is>
      </c>
      <c r="F175" s="3" t="inlineStr">
        <is>
          <t>월세</t>
        </is>
      </c>
      <c r="G175" s="4" t="n">
        <v>300</v>
      </c>
      <c r="H175" s="4" t="n">
        <v>31</v>
      </c>
      <c r="I175" s="4" t="n">
        <v>26</v>
      </c>
      <c r="J175" s="4" t="n">
        <v>8</v>
      </c>
      <c r="K175" s="5" t="n">
        <v>3.9</v>
      </c>
      <c r="L175" s="4" t="n">
        <v>26</v>
      </c>
      <c r="M175" s="4" t="n">
        <v>8</v>
      </c>
      <c r="N175" s="5" t="n">
        <v>3.9</v>
      </c>
      <c r="O175" s="3" t="inlineStr">
        <is>
          <t>끌끔하고 위치좋은 원룸 2층</t>
        </is>
      </c>
      <c r="P175" s="6">
        <f>HYPERLINK("https://fin.land.naver.com/articles/2648560985", "매물Link")</f>
        <v/>
      </c>
      <c r="Q175" s="6">
        <f>HYPERLINK("https://map.naver.com/p/search/조치원읍 명리 54-12", "지도Link")</f>
        <v/>
      </c>
      <c r="R175" s="6">
        <f>HYPERLINK("http://www.eum.go.kr/web/ar/lu/luLandDet.jsp?pnu=3611025026100540012&amp;isNoScr=script&amp;mode=search", "토지이음")</f>
        <v/>
      </c>
      <c r="S175" s="3" t="inlineStr">
        <is>
          <t>세종베스트</t>
        </is>
      </c>
      <c r="T175" s="4" t="n">
        <v>1</v>
      </c>
      <c r="U175" s="5" t="n">
        <v>230.3</v>
      </c>
      <c r="V175" s="4" t="n">
        <v>520</v>
      </c>
      <c r="W175" s="3" t="inlineStr">
        <is>
          <t>지정되지않음</t>
        </is>
      </c>
      <c r="X175" s="3" t="inlineStr">
        <is>
          <t>주거기타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조치원읍 명리 79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95000</v>
      </c>
      <c r="H176" s="4" t="n">
        <v>0</v>
      </c>
      <c r="I176" s="4" t="n">
        <v>261</v>
      </c>
      <c r="J176" s="4" t="n">
        <v>79</v>
      </c>
      <c r="K176" s="5" t="n">
        <v>1202.5</v>
      </c>
      <c r="L176" s="4" t="n">
        <v>492</v>
      </c>
      <c r="M176" s="4" t="n">
        <v>149</v>
      </c>
      <c r="N176" s="5" t="n">
        <v>637.6</v>
      </c>
      <c r="O176" s="3" t="inlineStr">
        <is>
          <t>명리 코너 상가주택 1,2층 상가 3층주택</t>
        </is>
      </c>
      <c r="P176" s="6">
        <f>HYPERLINK("https://fin.land.naver.com/articles/2649283511", "매물Link")</f>
        <v/>
      </c>
      <c r="Q176" s="6">
        <f>HYPERLINK("https://map.naver.com/p/search/조치원읍 명리 79", "지도Link")</f>
        <v/>
      </c>
      <c r="R176" s="6">
        <f>HYPERLINK("http://www.eum.go.kr/web/ar/lu/luLandDet.jsp?pnu=3611025026100790000&amp;isNoScr=script&amp;mode=search",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358.3</v>
      </c>
      <c r="V176" s="4" t="n">
        <v>153</v>
      </c>
      <c r="W176" s="3" t="inlineStr">
        <is>
          <t>지정되지않음</t>
        </is>
      </c>
      <c r="X176" s="3" t="inlineStr">
        <is>
          <t>상업용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중로각지</t>
        </is>
      </c>
    </row>
    <row r="177">
      <c r="A177" s="3" t="inlineStr">
        <is>
          <t>조치원읍 번암리 110-1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75000</v>
      </c>
      <c r="H177" s="4" t="n">
        <v>0</v>
      </c>
      <c r="I177" s="4" t="n">
        <v>328</v>
      </c>
      <c r="J177" s="4" t="n">
        <v>99</v>
      </c>
      <c r="K177" s="5" t="n">
        <v>757.6</v>
      </c>
      <c r="L177" s="4" t="n">
        <v>421</v>
      </c>
      <c r="M177" s="4" t="n">
        <v>127</v>
      </c>
      <c r="N177" s="5" t="n">
        <v>590.6</v>
      </c>
      <c r="O177" s="3" t="inlineStr">
        <is>
          <t>번암리 홈플러스 맞은편 6차선 접한 상가주택 저렴합니다</t>
        </is>
      </c>
      <c r="P177" s="6">
        <f>HYPERLINK("https://fin.land.naver.com/articles/2649796407", "매물Link")</f>
        <v/>
      </c>
      <c r="Q177" s="6">
        <f>HYPERLINK("https://map.naver.com/p/search/조치원읍 번암리 110-1", "지도Link")</f>
        <v/>
      </c>
      <c r="R177" s="6">
        <f>HYPERLINK("http://www.eum.go.kr/web/ar/lu/luLandDet.jsp?pnu=3611025031101100001&amp;isNoScr=script&amp;mode=search",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341.8</v>
      </c>
      <c r="V177" s="4" t="n">
        <v>349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광대로한면</t>
        </is>
      </c>
    </row>
    <row r="178">
      <c r="A178" s="3" t="inlineStr">
        <is>
          <t>조치원읍 번암리 69-12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30</v>
      </c>
      <c r="I178" s="4" t="n">
        <v>0</v>
      </c>
      <c r="J178" s="4" t="n">
        <v>0</v>
      </c>
      <c r="K178" s="5" t="n">
        <v>0</v>
      </c>
      <c r="L178" s="4" t="n">
        <v>26</v>
      </c>
      <c r="M178" s="4" t="n">
        <v>8</v>
      </c>
      <c r="N178" s="5" t="n">
        <v>3.8</v>
      </c>
      <c r="O178" s="3" t="inlineStr">
        <is>
          <t>엘리베이터 있어요. 원 룸 분리형 구조</t>
        </is>
      </c>
      <c r="P178" s="6">
        <f>HYPERLINK("https://fin.land.naver.com/articles/2652478073", "매물Link")</f>
        <v/>
      </c>
      <c r="Q178" s="6">
        <f>HYPERLINK("https://map.naver.com/p/search/조치원읍 번암리 69-12", "지도Link")</f>
        <v/>
      </c>
      <c r="R178" s="6">
        <f>HYPERLINK("http://www.eum.go.kr/web/ar/lu/luLandDet.jsp?pnu=3611025031100690012&amp;isNoScr=script&amp;mode=search", "토지이음")</f>
        <v/>
      </c>
      <c r="S178" s="3" t="inlineStr">
        <is>
          <t>지성</t>
        </is>
      </c>
      <c r="T178" s="4" t="n">
        <v>1</v>
      </c>
      <c r="U178" s="5" t="n">
        <v>341.2</v>
      </c>
      <c r="V178" s="4" t="n">
        <v>338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광대로한면</t>
        </is>
      </c>
    </row>
    <row r="179">
      <c r="A179" s="3" t="inlineStr">
        <is>
          <t>조치원읍 봉산리 190-11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빌라</t>
        </is>
      </c>
      <c r="F179" s="3" t="inlineStr">
        <is>
          <t>매매</t>
        </is>
      </c>
      <c r="G179" s="4" t="n">
        <v>4500</v>
      </c>
      <c r="H179" s="4" t="n">
        <v>0</v>
      </c>
      <c r="I179" s="4" t="n">
        <v>21</v>
      </c>
      <c r="J179" s="4" t="n">
        <v>6</v>
      </c>
      <c r="K179" s="5" t="n">
        <v>750</v>
      </c>
      <c r="L179" s="4" t="n">
        <v>20</v>
      </c>
      <c r="M179" s="4" t="n">
        <v>6</v>
      </c>
      <c r="N179" s="5" t="n">
        <v>750</v>
      </c>
      <c r="O179" s="3" t="inlineStr">
        <is>
          <t>고려대 세종캠퍼스 인근 복층형 원룸 개별 매매</t>
        </is>
      </c>
      <c r="P179" s="6">
        <f>HYPERLINK("https://fin.land.naver.com/articles/2648580362", "매물Link")</f>
        <v/>
      </c>
      <c r="Q179" s="6">
        <f>HYPERLINK("https://map.naver.com/p/search/조치원읍 봉산리 190-11", "지도Link")</f>
        <v/>
      </c>
      <c r="R179" s="6">
        <f>HYPERLINK("http://www.eum.go.kr/web/ar/lu/luLandDet.jsp?pnu=3611025033101900011&amp;isNoScr=script&amp;mode=search", "토지이음")</f>
        <v/>
      </c>
      <c r="S179" s="3" t="inlineStr">
        <is>
          <t>고래</t>
        </is>
      </c>
      <c r="T179" s="4" t="n">
        <v>1</v>
      </c>
      <c r="U179" s="5" t="n">
        <v>168.4</v>
      </c>
      <c r="V179" s="4" t="n">
        <v>565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상리 132-1</t>
        </is>
      </c>
      <c r="B180" s="3" t="inlineStr">
        <is>
          <t>준주거지역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65000</v>
      </c>
      <c r="H180" s="4" t="n">
        <v>0</v>
      </c>
      <c r="I180" s="4" t="n">
        <v>116</v>
      </c>
      <c r="J180" s="4" t="n">
        <v>35</v>
      </c>
      <c r="K180" s="5" t="n">
        <v>1857.1</v>
      </c>
      <c r="L180" s="4" t="n">
        <v>184</v>
      </c>
      <c r="M180" s="4" t="n">
        <v>56</v>
      </c>
      <c r="N180" s="5" t="n">
        <v>1160.7</v>
      </c>
      <c r="O180" s="3" t="inlineStr">
        <is>
          <t>상리 세종문화원 맞은편 2차선 접한 전면 넓은 상가 광고효과 좋음</t>
        </is>
      </c>
      <c r="P180" s="6">
        <f>HYPERLINK("https://fin.land.naver.com/articles/2651593382", "매물Link")</f>
        <v/>
      </c>
      <c r="Q180" s="6">
        <f>HYPERLINK("https://map.naver.com/p/search/조치원읍 상리 132-1", "지도Link")</f>
        <v/>
      </c>
      <c r="R180" s="6">
        <f>HYPERLINK("http://www.eum.go.kr/web/ar/lu/luLandDet.jsp?pnu=3611025022101320001&amp;isNoScr=script&amp;mode=search",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640.7</v>
      </c>
      <c r="V180" s="4" t="n">
        <v>116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중로한면</t>
        </is>
      </c>
    </row>
    <row r="181">
      <c r="A181" s="3" t="inlineStr">
        <is>
          <t>조치원읍 상리 67-9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월세</t>
        </is>
      </c>
      <c r="G181" s="4" t="n">
        <v>200</v>
      </c>
      <c r="H181" s="4" t="n">
        <v>25</v>
      </c>
      <c r="I181" s="4" t="n">
        <v>19</v>
      </c>
      <c r="J181" s="4" t="n">
        <v>6</v>
      </c>
      <c r="K181" s="5" t="n">
        <v>4.2</v>
      </c>
      <c r="L181" s="4" t="n">
        <v>19</v>
      </c>
      <c r="M181" s="4" t="n">
        <v>6</v>
      </c>
      <c r="N181" s="5" t="n">
        <v>4.2</v>
      </c>
      <c r="O181" s="3" t="inlineStr">
        <is>
          <t>조치원읍 상리 단독주택 2층 월세</t>
        </is>
      </c>
      <c r="P181" s="6">
        <f>HYPERLINK("https://fin.land.naver.com/articles/2652494086", "매물Link")</f>
        <v/>
      </c>
      <c r="Q181" s="6">
        <f>HYPERLINK("https://map.naver.com/p/search/조치원읍 상리 67-9", "지도Link")</f>
        <v/>
      </c>
      <c r="R181" s="6">
        <f>HYPERLINK("http://www.eum.go.kr/web/ar/lu/luLandDet.jsp?pnu=3611025022100670009&amp;isNoScr=script&amp;mode=search", "토지이음")</f>
        <v/>
      </c>
      <c r="S181" s="3" t="inlineStr">
        <is>
          <t>동원</t>
        </is>
      </c>
      <c r="T181" s="4" t="n">
        <v>1</v>
      </c>
      <c r="U181" s="5" t="n">
        <v>154</v>
      </c>
      <c r="V181" s="4" t="n">
        <v>201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세로한면(불)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상리 터미널인근 깨끗한 원룸</t>
        </is>
      </c>
      <c r="P182" s="6">
        <f>HYPERLINK("https://fin.land.naver.com/articles/2652419757",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7</t>
        </is>
      </c>
      <c r="E184" s="3" t="inlineStr">
        <is>
          <t>일반원룸</t>
        </is>
      </c>
      <c r="F184" s="3" t="inlineStr">
        <is>
          <t>전세</t>
        </is>
      </c>
      <c r="G184" s="4" t="n">
        <v>4200</v>
      </c>
      <c r="H184" s="4" t="n">
        <v>0</v>
      </c>
      <c r="I184" s="4" t="n">
        <v>30</v>
      </c>
      <c r="J184" s="4" t="n">
        <v>9</v>
      </c>
      <c r="K184" s="5" t="n">
        <v>466.7</v>
      </c>
      <c r="L184" s="4" t="n">
        <v>20</v>
      </c>
      <c r="M184" s="4" t="n">
        <v>6</v>
      </c>
      <c r="N184" s="5" t="n">
        <v>700</v>
      </c>
      <c r="O184" s="3" t="inlineStr">
        <is>
          <t>깨끗한원룸.넓은방.협의입주가능.보안철저.주차시설완비</t>
        </is>
      </c>
      <c r="P184" s="6">
        <f>HYPERLINK("https://fin.land.naver.com/articles/2651544463",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5</t>
        </is>
      </c>
      <c r="E185" s="3" t="inlineStr">
        <is>
          <t>도시형생활주택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26</v>
      </c>
      <c r="J185" s="4" t="n">
        <v>8</v>
      </c>
      <c r="K185" s="5" t="n">
        <v>525</v>
      </c>
      <c r="L185" s="4" t="n">
        <v>18</v>
      </c>
      <c r="M185" s="4" t="n">
        <v>5</v>
      </c>
      <c r="N185" s="5" t="n">
        <v>840</v>
      </c>
      <c r="O185" s="3" t="inlineStr">
        <is>
          <t>풀옵션 깔끔한 도시형생활주택 무융자조건</t>
        </is>
      </c>
      <c r="P185" s="6">
        <f>HYPERLINK("https://fin.land.naver.com/articles/2650834927",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용죽부자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6</t>
        </is>
      </c>
      <c r="E186" s="3" t="inlineStr">
        <is>
          <t>도시형생활주택</t>
        </is>
      </c>
      <c r="F186" s="3" t="inlineStr">
        <is>
          <t>월세</t>
        </is>
      </c>
      <c r="G186" s="4" t="n">
        <v>300</v>
      </c>
      <c r="H186" s="4" t="n">
        <v>37</v>
      </c>
      <c r="I186" s="4" t="n">
        <v>26</v>
      </c>
      <c r="J186" s="4" t="n">
        <v>8</v>
      </c>
      <c r="K186" s="5" t="n">
        <v>4.6</v>
      </c>
      <c r="L186" s="4" t="n">
        <v>18</v>
      </c>
      <c r="M186" s="4" t="n">
        <v>5</v>
      </c>
      <c r="N186" s="5" t="n">
        <v>7.4</v>
      </c>
      <c r="O186" s="3" t="inlineStr">
        <is>
          <t>풀옵션 원룸 도시형생활주택 넓고 깔끔해요</t>
        </is>
      </c>
      <c r="P186" s="6">
        <f>HYPERLINK("https://fin.land.naver.com/articles/2650836138",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상리 79-3</t>
        </is>
      </c>
      <c r="B187" s="3" t="inlineStr">
        <is>
          <t>일반상업지역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36</v>
      </c>
      <c r="I187" s="4" t="n">
        <v>30</v>
      </c>
      <c r="J187" s="4" t="n">
        <v>9</v>
      </c>
      <c r="K187" s="5" t="n">
        <v>4</v>
      </c>
      <c r="L187" s="4" t="n">
        <v>20</v>
      </c>
      <c r="M187" s="4" t="n">
        <v>6</v>
      </c>
      <c r="N187" s="5" t="n">
        <v>6</v>
      </c>
      <c r="O187" s="3" t="inlineStr">
        <is>
          <t>깨끗한원룸.실사진.보안철저.주차시설완비</t>
        </is>
      </c>
      <c r="P187" s="6">
        <f>HYPERLINK("https://fin.land.naver.com/articles/2651069563", "매물Link")</f>
        <v/>
      </c>
      <c r="Q187" s="6">
        <f>HYPERLINK("https://map.naver.com/p/search/조치원읍 상리 79-3", "지도Link")</f>
        <v/>
      </c>
      <c r="R187" s="6">
        <f>HYPERLINK("http://www.eum.go.kr/web/ar/lu/luLandDet.jsp?pnu=3611025022100790003&amp;isNoScr=script&amp;mode=search",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318.4</v>
      </c>
      <c r="V187" s="4" t="n">
        <v>465</v>
      </c>
      <c r="W187" s="3" t="inlineStr">
        <is>
          <t>지정되지않음</t>
        </is>
      </c>
      <c r="X187" s="3" t="inlineStr">
        <is>
          <t>주상기타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소로한면</t>
        </is>
      </c>
    </row>
    <row r="188">
      <c r="A188" s="3" t="inlineStr">
        <is>
          <t>조치원읍 서창리 203-10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49000</v>
      </c>
      <c r="H188" s="4" t="n">
        <v>0</v>
      </c>
      <c r="I188" s="4" t="n">
        <v>654</v>
      </c>
      <c r="J188" s="4" t="n">
        <v>198</v>
      </c>
      <c r="K188" s="5" t="n">
        <v>247.5</v>
      </c>
      <c r="L188" s="4" t="n">
        <v>581</v>
      </c>
      <c r="M188" s="4" t="n">
        <v>176</v>
      </c>
      <c r="N188" s="5" t="n">
        <v>278.4</v>
      </c>
      <c r="O188" s="3" t="inlineStr">
        <is>
          <t>.급매. o수익률잘나옴 o관리잘되었어요</t>
        </is>
      </c>
      <c r="P188" s="6">
        <f>HYPERLINK("https://fin.land.naver.com/articles/2650552259", "매물Link")</f>
        <v/>
      </c>
      <c r="Q188" s="6">
        <f>HYPERLINK("https://map.naver.com/p/search/조치원읍 서창리 203-10", "지도Link")</f>
        <v/>
      </c>
      <c r="R188" s="6">
        <f>HYPERLINK("http://www.eum.go.kr/web/ar/lu/luLandDet.jsp?pnu=3611025034102030010&amp;isNoScr=script&amp;mode=search", "토지이음")</f>
        <v/>
      </c>
      <c r="S188" s="3" t="inlineStr">
        <is>
          <t>바다</t>
        </is>
      </c>
      <c r="T188" s="4" t="n">
        <v>1</v>
      </c>
      <c r="U188" s="5" t="n">
        <v>205.7</v>
      </c>
      <c r="V188" s="4" t="n">
        <v>415</v>
      </c>
      <c r="W188" s="3" t="inlineStr">
        <is>
          <t>자연녹지지역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서창리 290-5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29</v>
      </c>
      <c r="I189" s="4" t="n">
        <v>39</v>
      </c>
      <c r="J189" s="4" t="n">
        <v>12</v>
      </c>
      <c r="K189" s="5" t="n">
        <v>2.4</v>
      </c>
      <c r="L189" s="4" t="n">
        <v>26</v>
      </c>
      <c r="M189" s="4" t="n">
        <v>8</v>
      </c>
      <c r="N189" s="5" t="n">
        <v>3.6</v>
      </c>
      <c r="O189" s="3" t="inlineStr">
        <is>
          <t>서창리.모든게옵션.10월초 협의입주가능</t>
        </is>
      </c>
      <c r="P189" s="6">
        <f>HYPERLINK("https://fin.land.naver.com/articles/2649226212", "매물Link")</f>
        <v/>
      </c>
      <c r="Q189" s="6">
        <f>HYPERLINK("https://map.naver.com/p/search/조치원읍 서창리 290-5", "지도Link")</f>
        <v/>
      </c>
      <c r="R189" s="6">
        <f>HYPERLINK("http://www.eum.go.kr/web/ar/lu/luLandDet.jsp?pnu=3611025034102900005&amp;isNoScr=script&amp;mode=search", "토지이음")</f>
        <v/>
      </c>
      <c r="S189" s="3" t="inlineStr">
        <is>
          <t>척척</t>
        </is>
      </c>
      <c r="T189" s="4" t="n">
        <v>1</v>
      </c>
      <c r="U189" s="5" t="n">
        <v>319.2</v>
      </c>
      <c r="V189" s="4" t="n">
        <v>237.8</v>
      </c>
      <c r="W189" s="3" t="inlineStr">
        <is>
          <t>지정되지않음</t>
        </is>
      </c>
      <c r="X189" s="3" t="inlineStr">
        <is>
          <t>주상나지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세로한면(가)</t>
        </is>
      </c>
    </row>
    <row r="190">
      <c r="A190" s="3" t="inlineStr">
        <is>
          <t>조치원읍 서창리 296-8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317</v>
      </c>
      <c r="J190" s="4" t="n">
        <v>96</v>
      </c>
      <c r="K190" s="5" t="n">
        <v>729.2</v>
      </c>
      <c r="L190" s="4" t="n">
        <v>481</v>
      </c>
      <c r="M190" s="4" t="n">
        <v>146</v>
      </c>
      <c r="N190" s="5" t="n">
        <v>479.5</v>
      </c>
      <c r="O190" s="3" t="inlineStr">
        <is>
          <t>다가구 매매 실투자금 약 5억</t>
        </is>
      </c>
      <c r="P190" s="6">
        <f>HYPERLINK("https://fin.land.naver.com/articles/2651340270", "매물Link")</f>
        <v/>
      </c>
      <c r="Q190" s="6">
        <f>HYPERLINK("https://map.naver.com/p/search/조치원읍 서창리 296-8", "지도Link")</f>
        <v/>
      </c>
      <c r="R190" s="6">
        <f>HYPERLINK("http://www.eum.go.kr/web/ar/lu/luLandDet.jsp?pnu=3611025034102960008&amp;isNoScr=script&amp;mode=search", "토지이음")</f>
        <v/>
      </c>
      <c r="S190" s="3" t="inlineStr">
        <is>
          <t>상희</t>
        </is>
      </c>
      <c r="T190" s="4" t="n">
        <v>1</v>
      </c>
      <c r="U190" s="5" t="n">
        <v>321.1</v>
      </c>
      <c r="V190" s="4" t="n">
        <v>317.7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소로한면</t>
        </is>
      </c>
    </row>
    <row r="191">
      <c r="A191" s="3" t="inlineStr">
        <is>
          <t>조치원읍 서창리 66-35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76000</v>
      </c>
      <c r="H191" s="4" t="n">
        <v>0</v>
      </c>
      <c r="I191" s="4" t="n">
        <v>189</v>
      </c>
      <c r="J191" s="4" t="n">
        <v>57</v>
      </c>
      <c r="K191" s="5" t="n">
        <v>1333.3</v>
      </c>
      <c r="L191" s="4" t="n">
        <v>259</v>
      </c>
      <c r="M191" s="4" t="n">
        <v>78</v>
      </c>
      <c r="N191" s="5" t="n">
        <v>974.4</v>
      </c>
      <c r="O191" s="3" t="inlineStr">
        <is>
          <t>대학가 2억7천 투자 수익률7.5</t>
        </is>
      </c>
      <c r="P191" s="6">
        <f>HYPERLINK("https://fin.land.naver.com/articles/2648572698", "매물Link")</f>
        <v/>
      </c>
      <c r="Q191" s="6">
        <f>HYPERLINK("https://map.naver.com/p/search/조치원읍 서창리 66-35", "지도Link")</f>
        <v/>
      </c>
      <c r="R191" s="6">
        <f>HYPERLINK("http://www.eum.go.kr/web/ar/lu/luLandDet.jsp?pnu=3611025034100660035&amp;isNoScr=script&amp;mode=search", "토지이음")</f>
        <v/>
      </c>
      <c r="S191" s="3" t="inlineStr">
        <is>
          <t>고래</t>
        </is>
      </c>
      <c r="T191" s="4" t="n">
        <v>1</v>
      </c>
      <c r="U191" s="5" t="n">
        <v>401.7</v>
      </c>
      <c r="V191" s="4" t="n">
        <v>189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조치원읍 신안리 146-2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48000</v>
      </c>
      <c r="H192" s="4" t="n">
        <v>0</v>
      </c>
      <c r="I192" s="4" t="n">
        <v>283</v>
      </c>
      <c r="J192" s="4" t="n">
        <v>86</v>
      </c>
      <c r="K192" s="5" t="n">
        <v>558.1</v>
      </c>
      <c r="L192" s="4" t="n">
        <v>95</v>
      </c>
      <c r="M192" s="4" t="n">
        <v>29</v>
      </c>
      <c r="N192" s="5" t="n">
        <v>1655.2</v>
      </c>
      <c r="O192" s="3" t="inlineStr">
        <is>
          <t>편의성과 안락함을 다 갖춘 단독주택</t>
        </is>
      </c>
      <c r="P192" s="6">
        <f>HYPERLINK("https://fin.land.naver.com/articles/2647877367", "매물Link")</f>
        <v/>
      </c>
      <c r="Q192" s="6">
        <f>HYPERLINK("https://map.naver.com/p/search/조치원읍 신안리 146-2", "지도Link")</f>
        <v/>
      </c>
      <c r="R192" s="6">
        <f>HYPERLINK("http://www.eum.go.kr/web/ar/lu/luLandDet.jsp?pnu=3611025032101460002&amp;isNoScr=script&amp;mode=search", "토지이음")</f>
        <v/>
      </c>
      <c r="S192" s="3" t="inlineStr">
        <is>
          <t>무지개</t>
        </is>
      </c>
      <c r="T192" s="4" t="n">
        <v>1</v>
      </c>
      <c r="U192" s="5" t="n">
        <v>188.1</v>
      </c>
      <c r="V192" s="4" t="n">
        <v>247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168-4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</v>
      </c>
      <c r="H193" s="4" t="n">
        <v>23</v>
      </c>
      <c r="I193" s="4" t="n">
        <v>20</v>
      </c>
      <c r="J193" s="4" t="n">
        <v>6</v>
      </c>
      <c r="K193" s="5" t="n">
        <v>3.8</v>
      </c>
      <c r="L193" s="4" t="n">
        <v>20</v>
      </c>
      <c r="M193" s="4" t="n">
        <v>6</v>
      </c>
      <c r="N193" s="5" t="n">
        <v>3.8</v>
      </c>
      <c r="O193" s="3" t="inlineStr">
        <is>
          <t>신안리 홍대국제연수원인근 저렴한원룸 즉시 입주가능합니다</t>
        </is>
      </c>
      <c r="P193" s="6">
        <f>HYPERLINK("https://fin.land.naver.com/articles/2649980274", "매물Link")</f>
        <v/>
      </c>
      <c r="Q193" s="6">
        <f>HYPERLINK("https://map.naver.com/p/search/조치원읍 신안리 168-4", "지도Link")</f>
        <v/>
      </c>
      <c r="R193" s="6">
        <f>HYPERLINK("http://www.eum.go.kr/web/ar/lu/luLandDet.jsp?pnu=3611025032101680004&amp;isNoScr=script&amp;mode=search", "토지이음")</f>
        <v/>
      </c>
      <c r="S193" s="3" t="inlineStr">
        <is>
          <t>OK수</t>
        </is>
      </c>
      <c r="T193" s="4" t="n">
        <v>1</v>
      </c>
      <c r="U193" s="5" t="n">
        <v>171.6</v>
      </c>
      <c r="V193" s="4" t="n">
        <v>217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168-5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50000</v>
      </c>
      <c r="H194" s="4" t="n">
        <v>0</v>
      </c>
      <c r="I194" s="4" t="n">
        <v>208</v>
      </c>
      <c r="J194" s="4" t="n">
        <v>63</v>
      </c>
      <c r="K194" s="5" t="n">
        <v>793.7</v>
      </c>
      <c r="L194" s="4" t="n">
        <v>207</v>
      </c>
      <c r="M194" s="4" t="n">
        <v>63</v>
      </c>
      <c r="N194" s="5" t="n">
        <v>793.7</v>
      </c>
      <c r="O194" s="3" t="inlineStr">
        <is>
          <t>홍익대 조치원캠퍼스 인근 임대료 수익, 11호실</t>
        </is>
      </c>
      <c r="P194" s="6">
        <f>HYPERLINK("https://fin.land.naver.com/articles/2648906557", "매물Link")</f>
        <v/>
      </c>
      <c r="Q194" s="6">
        <f>HYPERLINK("https://map.naver.com/p/search/조치원읍 신안리 168-5", "지도Link")</f>
        <v/>
      </c>
      <c r="R194" s="6">
        <f>HYPERLINK("http://www.eum.go.kr/web/ar/lu/luLandDet.jsp?pnu=3611025032101680005&amp;isNoScr=script&amp;mode=search", "토지이음")</f>
        <v/>
      </c>
      <c r="S194" s="3" t="inlineStr">
        <is>
          <t>웰스플랜</t>
        </is>
      </c>
      <c r="T194" s="4" t="n">
        <v>1</v>
      </c>
      <c r="U194" s="5" t="n">
        <v>171.6</v>
      </c>
      <c r="V194" s="4" t="n">
        <v>208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99</v>
      </c>
      <c r="J195" s="4" t="n">
        <v>30</v>
      </c>
      <c r="K195" s="5" t="n">
        <v>550</v>
      </c>
      <c r="L195" s="4" t="n">
        <v>88</v>
      </c>
      <c r="M195" s="4" t="n">
        <v>27</v>
      </c>
      <c r="N195" s="5" t="n">
        <v>611.1</v>
      </c>
      <c r="O195" s="3" t="inlineStr">
        <is>
          <t>신축빌라,즉시입주가능,주차장 여유로움,올리모델링엘리베이터있음,</t>
        </is>
      </c>
      <c r="P195" s="6">
        <f>HYPERLINK("https://fin.land.naver.com/articles/2652138880",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담뜰</t>
        </is>
      </c>
      <c r="T195" s="4" t="n">
        <v>4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신축,즉시입주가능, 홍대근접,엘리베이터 있음 주차장 여유, 조용한 환경</t>
        </is>
      </c>
      <c r="P196" s="6">
        <f>HYPERLINK("https://fin.land.naver.com/articles/2651286294",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전원형 주거지신축빌라, 올리모델링, 급매 1억6500만원, 역세권예정</t>
        </is>
      </c>
      <c r="P197" s="6">
        <f>HYPERLINK("https://fin.land.naver.com/articles/2651743361",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대한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신안리 올리모델링 30p 빌라.복선전철 수혜 기대.즉시입주 가능</t>
        </is>
      </c>
      <c r="P200" s="6">
        <f>HYPERLINK("https://fin.land.naver.com/articles/2647419659",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하늘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조치원읍 신안리 신축 프리미엄 빌라 급매, 쓰리룸 엘리베이터 주차여유</t>
        </is>
      </c>
      <c r="P201" s="6">
        <f>HYPERLINK("https://fin.land.naver.com/articles/2647624029",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빅토리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383</v>
      </c>
      <c r="J202" s="4" t="n">
        <v>116</v>
      </c>
      <c r="K202" s="5" t="n">
        <v>142.2</v>
      </c>
      <c r="L202" s="4" t="n">
        <v>374</v>
      </c>
      <c r="M202" s="4" t="n">
        <v>113</v>
      </c>
      <c r="N202" s="5" t="n">
        <v>146</v>
      </c>
      <c r="O202" s="3" t="inlineStr">
        <is>
          <t>자연과 어우러진 전원형 빌라주거지 세종시와 청주. 오송방면 이동이편리함</t>
        </is>
      </c>
      <c r="P202" s="6">
        <f>HYPERLINK("https://fin.land.naver.com/articles/2649408871",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재원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올리모델링, 4층단독세대, 방3욕실2, 승강기, 적극협의</t>
        </is>
      </c>
      <c r="P203" s="6">
        <f>HYPERLINK("https://fin.land.naver.com/articles/2647198591",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보배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HYPERLINK("https://fin.land.naver.com/articles/2652407093",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197-3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595</v>
      </c>
      <c r="J205" s="4" t="n">
        <v>180</v>
      </c>
      <c r="K205" s="5" t="n">
        <v>388.9</v>
      </c>
      <c r="L205" s="4" t="n">
        <v>346</v>
      </c>
      <c r="M205" s="4" t="n">
        <v>105</v>
      </c>
      <c r="N205" s="5" t="n">
        <v>666.7</v>
      </c>
      <c r="O205" s="3" t="inlineStr">
        <is>
          <t>서창역인근,주인세대전세끼고,수익형다가구매매,인근대학교,연수원</t>
        </is>
      </c>
      <c r="P205" s="6">
        <f>HYPERLINK("https://fin.land.naver.com/articles/2652964849", "매물Link")</f>
        <v/>
      </c>
      <c r="Q205" s="6">
        <f>HYPERLINK("https://map.naver.com/p/search/조치원읍 신안리 197-3", "지도Link")</f>
        <v/>
      </c>
      <c r="R205" s="6">
        <f>HYPERLINK("http://www.eum.go.kr/web/ar/lu/luLandDet.jsp?pnu=3611025032101970003&amp;isNoScr=script&amp;mode=search", "토지이음")</f>
        <v/>
      </c>
      <c r="S205" s="3" t="inlineStr">
        <is>
          <t>에이팩시티지정</t>
        </is>
      </c>
      <c r="T205" s="4" t="n">
        <v>1</v>
      </c>
      <c r="U205" s="5" t="n">
        <v>171.6</v>
      </c>
      <c r="V205" s="4" t="n">
        <v>595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343-5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단독</t>
        </is>
      </c>
      <c r="F206" s="3" t="inlineStr">
        <is>
          <t>매매</t>
        </is>
      </c>
      <c r="G206" s="4" t="n">
        <v>230000</v>
      </c>
      <c r="H206" s="4" t="n">
        <v>0</v>
      </c>
      <c r="I206" s="4" t="n">
        <v>304</v>
      </c>
      <c r="J206" s="4" t="n">
        <v>92</v>
      </c>
      <c r="K206" s="5" t="n">
        <v>2500</v>
      </c>
      <c r="L206" s="4" t="n">
        <v>331</v>
      </c>
      <c r="M206" s="4" t="n">
        <v>100</v>
      </c>
      <c r="N206" s="5" t="n">
        <v>2300</v>
      </c>
      <c r="O206" s="3" t="inlineStr">
        <is>
          <t>고객만족1위, 앞상가 동시매매,세종시 홍익대, 고려대  인근, 투자 최상</t>
        </is>
      </c>
      <c r="P206" s="6">
        <f>HYPERLINK("https://fin.land.naver.com/articles/2651986134", "매물Link")</f>
        <v/>
      </c>
      <c r="Q206" s="6">
        <f>HYPERLINK("https://map.naver.com/p/search/조치원읍 신안리 343-5", "지도Link")</f>
        <v/>
      </c>
      <c r="R206" s="6">
        <f>HYPERLINK("http://www.eum.go.kr/web/ar/lu/luLandDet.jsp?pnu=3611025032103430005&amp;isNoScr=script&amp;mode=search",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299.6</v>
      </c>
      <c r="V206" s="4" t="n">
        <v>304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62000</v>
      </c>
      <c r="H207" s="4" t="n">
        <v>0</v>
      </c>
      <c r="I207" s="4" t="n">
        <v>158</v>
      </c>
      <c r="J207" s="4" t="n">
        <v>48</v>
      </c>
      <c r="K207" s="5" t="n">
        <v>1291.7</v>
      </c>
      <c r="L207" s="4" t="n">
        <v>264</v>
      </c>
      <c r="M207" s="4" t="n">
        <v>80</v>
      </c>
      <c r="N207" s="5" t="n">
        <v>775</v>
      </c>
      <c r="O207" s="3" t="inlineStr">
        <is>
          <t>nan</t>
        </is>
      </c>
      <c r="P207" s="6">
        <f>HYPERLINK("https://fin.land.naver.com/articles/2650552332",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바다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353-19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72500</v>
      </c>
      <c r="H208" s="4" t="n">
        <v>0</v>
      </c>
      <c r="I208" s="4" t="n">
        <v>156</v>
      </c>
      <c r="J208" s="4" t="n">
        <v>47</v>
      </c>
      <c r="K208" s="5" t="n">
        <v>1542.6</v>
      </c>
      <c r="L208" s="4" t="n">
        <v>264</v>
      </c>
      <c r="M208" s="4" t="n">
        <v>80</v>
      </c>
      <c r="N208" s="5" t="n">
        <v>906.2</v>
      </c>
      <c r="O208" s="3" t="inlineStr">
        <is>
          <t>고객만족1위, 홍익대부근세종캠, 고려대근방세종캠, 조치원역 부근</t>
        </is>
      </c>
      <c r="P208" s="6">
        <f>HYPERLINK("https://fin.land.naver.com/articles/2651992800", "매물Link")</f>
        <v/>
      </c>
      <c r="Q208" s="6">
        <f>HYPERLINK("https://map.naver.com/p/search/조치원읍 신안리 353-19", "지도Link")</f>
        <v/>
      </c>
      <c r="R208" s="6">
        <f>HYPERLINK("http://www.eum.go.kr/web/ar/lu/luLandDet.jsp?pnu=3611025032103530019&amp;isNoScr=script&amp;mode=search", "토지이음")</f>
        <v/>
      </c>
      <c r="S208" s="3" t="inlineStr">
        <is>
          <t>생생</t>
        </is>
      </c>
      <c r="T208" s="4" t="n">
        <v>1</v>
      </c>
      <c r="U208" s="5" t="n">
        <v>210.3</v>
      </c>
      <c r="V208" s="4" t="n">
        <v>156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384-2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35000</v>
      </c>
      <c r="H210" s="4" t="n">
        <v>0</v>
      </c>
      <c r="I210" s="4" t="n">
        <v>230</v>
      </c>
      <c r="J210" s="4" t="n">
        <v>70</v>
      </c>
      <c r="K210" s="5" t="n">
        <v>500</v>
      </c>
      <c r="L210" s="4" t="n">
        <v>156</v>
      </c>
      <c r="M210" s="4" t="n">
        <v>47</v>
      </c>
      <c r="N210" s="5" t="n">
        <v>744.7</v>
      </c>
      <c r="O210" s="3" t="inlineStr">
        <is>
          <t>세종시 홍익대 고려대 홍익대정책연구원 인근</t>
        </is>
      </c>
      <c r="P210" s="6">
        <f>HYPERLINK("https://fin.land.naver.com/articles/2647867345", "매물Link")</f>
        <v/>
      </c>
      <c r="Q210" s="6">
        <f>HYPERLINK("https://map.naver.com/p/search/조치원읍 신안리 384-2", "지도Link")</f>
        <v/>
      </c>
      <c r="R210" s="6">
        <f>HYPERLINK("http://www.eum.go.kr/web/ar/lu/luLandDet.jsp?pnu=3611025032103840002&amp;isNoScr=script&amp;mode=search", "토지이음")</f>
        <v/>
      </c>
      <c r="S210" s="3" t="inlineStr">
        <is>
          <t>서울(단지내)</t>
        </is>
      </c>
      <c r="T210" s="4" t="n">
        <v>1</v>
      </c>
      <c r="U210" s="5" t="n">
        <v>206.8</v>
      </c>
      <c r="V210" s="4" t="n">
        <v>252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조치원읍 신안리 385-12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60000</v>
      </c>
      <c r="H211" s="4" t="n">
        <v>0</v>
      </c>
      <c r="I211" s="4" t="n">
        <v>322</v>
      </c>
      <c r="J211" s="4" t="n">
        <v>97</v>
      </c>
      <c r="K211" s="5" t="n">
        <v>618.6</v>
      </c>
      <c r="L211" s="4" t="n">
        <v>493</v>
      </c>
      <c r="M211" s="4" t="n">
        <v>149</v>
      </c>
      <c r="N211" s="5" t="n">
        <v>402.7</v>
      </c>
      <c r="O211" s="3" t="inlineStr">
        <is>
          <t>홍익대학교 원룸 다가구매매.수익률잘나옴.</t>
        </is>
      </c>
      <c r="P211" s="6">
        <f>HYPERLINK("https://fin.land.naver.com/articles/2650552276", "매물Link")</f>
        <v/>
      </c>
      <c r="Q211" s="6">
        <f>HYPERLINK("https://map.naver.com/p/search/조치원읍 신안리 385-12", "지도Link")</f>
        <v/>
      </c>
      <c r="R211" s="6">
        <f>HYPERLINK("http://www.eum.go.kr/web/ar/lu/luLandDet.jsp?pnu=3611025032103850012&amp;isNoScr=script&amp;mode=search",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192.9</v>
      </c>
      <c r="V211" s="4" t="n">
        <v>322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다가구</t>
        </is>
      </c>
      <c r="F212" s="3" t="inlineStr">
        <is>
          <t>월세</t>
        </is>
      </c>
      <c r="G212" s="4" t="n">
        <v>100</v>
      </c>
      <c r="H212" s="4" t="n">
        <v>26</v>
      </c>
      <c r="I212" s="4" t="n">
        <v>26</v>
      </c>
      <c r="J212" s="4" t="n">
        <v>8</v>
      </c>
      <c r="K212" s="5" t="n">
        <v>3.2</v>
      </c>
      <c r="L212" s="4" t="n">
        <v>26</v>
      </c>
      <c r="M212" s="4" t="n">
        <v>8</v>
      </c>
      <c r="N212" s="5" t="n">
        <v>3.2</v>
      </c>
      <c r="O212" s="3" t="inlineStr">
        <is>
          <t>보증금과 월세가 저렴하고 넓은 방, 고려대, 홍익대 인근임</t>
        </is>
      </c>
      <c r="P212" s="6">
        <f>HYPERLINK("https://fin.land.naver.com/articles/2648513014", "매물Link")</f>
        <v/>
      </c>
      <c r="Q212" s="6">
        <f>HYPERLINK("https://map.naver.com/p/search/조치원읍 신안리 386", "지도Link")</f>
        <v/>
      </c>
      <c r="R212" s="6">
        <f>HYPERLINK("http://www.eum.go.kr/web/ar/lu/luLandDet.jsp?pnu=3611025032103860000&amp;isNoScr=script&amp;mode=search", "토지이음")</f>
        <v/>
      </c>
      <c r="S212" s="3" t="inlineStr">
        <is>
          <t>세종베스트</t>
        </is>
      </c>
      <c r="T212" s="4" t="n">
        <v>1</v>
      </c>
      <c r="U212" s="5" t="n">
        <v>192.9</v>
      </c>
      <c r="V212" s="4" t="n">
        <v>295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100</v>
      </c>
      <c r="H214" s="4" t="n">
        <v>20</v>
      </c>
      <c r="I214" s="4" t="n">
        <v>15</v>
      </c>
      <c r="J214" s="4" t="n">
        <v>5</v>
      </c>
      <c r="K214" s="5" t="n">
        <v>4</v>
      </c>
      <c r="L214" s="4" t="n">
        <v>15</v>
      </c>
      <c r="M214" s="4" t="n">
        <v>5</v>
      </c>
      <c r="N214" s="5" t="n">
        <v>4</v>
      </c>
      <c r="O214" s="3" t="inlineStr">
        <is>
          <t>한달28만원에 공과금 모두 포함, 추가금 없음</t>
        </is>
      </c>
      <c r="P214" s="6">
        <f>HYPERLINK("https://fin.land.naver.com/articles/2648554234",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394-12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30</v>
      </c>
      <c r="I215" s="4" t="n">
        <v>25</v>
      </c>
      <c r="J215" s="4" t="n">
        <v>8</v>
      </c>
      <c r="K215" s="5" t="n">
        <v>3.8</v>
      </c>
      <c r="L215" s="4" t="n">
        <v>25</v>
      </c>
      <c r="M215" s="4" t="n">
        <v>8</v>
      </c>
      <c r="N215" s="5" t="n">
        <v>3.8</v>
      </c>
      <c r="O215" s="3" t="inlineStr">
        <is>
          <t>음식점, 편의점, 버스정류장도 가까운 곳에 있는 집</t>
        </is>
      </c>
      <c r="P215" s="6">
        <f>HYPERLINK("https://fin.land.naver.com/articles/2649956802", "매물Link")</f>
        <v/>
      </c>
      <c r="Q215" s="6">
        <f>HYPERLINK("https://map.naver.com/p/search/조치원읍 신안리 394-12", "지도Link")</f>
        <v/>
      </c>
      <c r="R215" s="6">
        <f>HYPERLINK("http://www.eum.go.kr/web/ar/lu/luLandDet.jsp?pnu=3611025032103940012&amp;isNoScr=script&amp;mode=search",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302.3</v>
      </c>
      <c r="V215" s="4" t="n">
        <v>222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신안리 394-35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단독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311</v>
      </c>
      <c r="J216" s="4" t="n">
        <v>94</v>
      </c>
      <c r="K216" s="5" t="n">
        <v>957.4</v>
      </c>
      <c r="L216" s="4" t="n">
        <v>328</v>
      </c>
      <c r="M216" s="4" t="n">
        <v>99</v>
      </c>
      <c r="N216" s="5" t="n">
        <v>909.1</v>
      </c>
      <c r="O216" s="3" t="inlineStr">
        <is>
          <t>수익률 10 년수익 5,145만원 원룸 통매매</t>
        </is>
      </c>
      <c r="P216" s="6">
        <f>HYPERLINK("https://fin.land.naver.com/articles/2648570400", "매물Link")</f>
        <v/>
      </c>
      <c r="Q216" s="6">
        <f>HYPERLINK("https://map.naver.com/p/search/조치원읍 신안리 394-35", "지도Link")</f>
        <v/>
      </c>
      <c r="R216" s="6">
        <f>HYPERLINK("http://www.eum.go.kr/web/ar/lu/luLandDet.jsp?pnu=3611025032103940035&amp;isNoScr=script&amp;mode=search", "토지이음")</f>
        <v/>
      </c>
      <c r="S216" s="3" t="inlineStr">
        <is>
          <t>고래</t>
        </is>
      </c>
      <c r="T216" s="4" t="n">
        <v>1</v>
      </c>
      <c r="U216" s="5" t="n">
        <v>235.1</v>
      </c>
      <c r="V216" s="4" t="n">
        <v>311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394-38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100000</v>
      </c>
      <c r="H217" s="4" t="n">
        <v>0</v>
      </c>
      <c r="I217" s="4" t="n">
        <v>289</v>
      </c>
      <c r="J217" s="4" t="n">
        <v>87</v>
      </c>
      <c r="K217" s="5" t="n">
        <v>1149.4</v>
      </c>
      <c r="L217" s="4" t="n">
        <v>329</v>
      </c>
      <c r="M217" s="4" t="n">
        <v>100</v>
      </c>
      <c r="N217" s="5" t="n">
        <v>1000</v>
      </c>
      <c r="O217" s="3" t="inlineStr">
        <is>
          <t>인근 홍익대 위치로 공실없이 연세로 운영되며 수익률10프로 이상</t>
        </is>
      </c>
      <c r="P217" s="6">
        <f>HYPERLINK("https://fin.land.naver.com/articles/2651069625", "매물Link")</f>
        <v/>
      </c>
      <c r="Q217" s="6">
        <f>HYPERLINK("https://map.naver.com/p/search/조치원읍 신안리 394-38", "지도Link")</f>
        <v/>
      </c>
      <c r="R217" s="6">
        <f>HYPERLINK("http://www.eum.go.kr/web/ar/lu/luLandDet.jsp?pnu=3611025032103940038&amp;isNoScr=script&amp;mode=search", "토지이음")</f>
        <v/>
      </c>
      <c r="S217" s="3" t="inlineStr">
        <is>
          <t>한림신화</t>
        </is>
      </c>
      <c r="T217" s="4" t="n">
        <v>2</v>
      </c>
      <c r="U217" s="5" t="n">
        <v>227.9</v>
      </c>
      <c r="V217" s="4" t="n">
        <v>289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394-38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전세</t>
        </is>
      </c>
      <c r="G218" s="4" t="n">
        <v>5000</v>
      </c>
      <c r="H218" s="4" t="n">
        <v>0</v>
      </c>
      <c r="I218" s="4" t="n">
        <v>20</v>
      </c>
      <c r="J218" s="4" t="n">
        <v>6</v>
      </c>
      <c r="K218" s="5" t="n">
        <v>833.3</v>
      </c>
      <c r="L218" s="4" t="n">
        <v>20</v>
      </c>
      <c r="M218" s="4" t="n">
        <v>6</v>
      </c>
      <c r="N218" s="5" t="n">
        <v>833.3</v>
      </c>
      <c r="O218" s="3" t="inlineStr">
        <is>
          <t>귀한 원룸 전세매물</t>
        </is>
      </c>
      <c r="P218" s="6">
        <f>HYPERLINK("https://fin.land.naver.com/articles/2649956631", "매물Link")</f>
        <v/>
      </c>
      <c r="Q218" s="6">
        <f>HYPERLINK("https://map.naver.com/p/search/조치원읍 신안리 394-38", "지도Link")</f>
        <v/>
      </c>
      <c r="R218" s="6">
        <f>HYPERLINK("http://www.eum.go.kr/web/ar/lu/luLandDet.jsp?pnu=3611025032103940038&amp;isNoScr=script&amp;mode=search",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227.9</v>
      </c>
      <c r="V218" s="4" t="n">
        <v>289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세로한면(불)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394-8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월세</t>
        </is>
      </c>
      <c r="G220" s="4" t="n">
        <v>200</v>
      </c>
      <c r="H220" s="4" t="n">
        <v>31</v>
      </c>
      <c r="I220" s="4" t="n">
        <v>26</v>
      </c>
      <c r="J220" s="4" t="n">
        <v>8</v>
      </c>
      <c r="K220" s="5" t="n">
        <v>3.9</v>
      </c>
      <c r="L220" s="4" t="n">
        <v>26</v>
      </c>
      <c r="M220" s="4" t="n">
        <v>8</v>
      </c>
      <c r="N220" s="5" t="n">
        <v>3.9</v>
      </c>
      <c r="O220" s="3" t="inlineStr">
        <is>
          <t>깨끗한 풀옵션  원룸이며, 고려대학교와 홍익대학교와 가까움</t>
        </is>
      </c>
      <c r="P220" s="6">
        <f>HYPERLINK("https://fin.land.naver.com/articles/2651498722", "매물Link")</f>
        <v/>
      </c>
      <c r="Q220" s="6">
        <f>HYPERLINK("https://map.naver.com/p/search/조치원읍 신안리 394-8", "지도Link")</f>
        <v/>
      </c>
      <c r="R220" s="6">
        <f>HYPERLINK("http://www.eum.go.kr/web/ar/lu/luLandDet.jsp?pnu=3611025032103940008&amp;isNoScr=script&amp;mode=search",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255.5</v>
      </c>
      <c r="V220" s="4" t="n">
        <v>251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홍익대학교 도보 2분거리, 임대놓기 좋은 위치, 공실없음</t>
        </is>
      </c>
      <c r="P221" s="6">
        <f>HYPERLINK("https://fin.land.naver.com/articles/2650312958",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445-9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49000</v>
      </c>
      <c r="H222" s="4" t="n">
        <v>0</v>
      </c>
      <c r="I222" s="4" t="n">
        <v>268</v>
      </c>
      <c r="J222" s="4" t="n">
        <v>81</v>
      </c>
      <c r="K222" s="5" t="n">
        <v>604.9</v>
      </c>
      <c r="L222" s="4" t="n">
        <v>397</v>
      </c>
      <c r="M222" s="4" t="n">
        <v>120</v>
      </c>
      <c r="N222" s="5" t="n">
        <v>408.3</v>
      </c>
      <c r="O222" s="3" t="inlineStr">
        <is>
          <t>후문앞. 공실없는 원룸건물. 관리잘됨</t>
        </is>
      </c>
      <c r="P222" s="6">
        <f>HYPERLINK("https://fin.land.naver.com/articles/2650538930", "매물Link")</f>
        <v/>
      </c>
      <c r="Q222" s="6">
        <f>HYPERLINK("https://map.naver.com/p/search/조치원읍 신안리 445-9", "지도Link")</f>
        <v/>
      </c>
      <c r="R222" s="6">
        <f>HYPERLINK("http://www.eum.go.kr/web/ar/lu/luLandDet.jsp?pnu=3611025032104450009&amp;isNoScr=script&amp;mode=search",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217</v>
      </c>
      <c r="V222" s="4" t="n">
        <v>268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신흥리 17-2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빌라</t>
        </is>
      </c>
      <c r="F223" s="3" t="inlineStr">
        <is>
          <t>전세</t>
        </is>
      </c>
      <c r="G223" s="4" t="n">
        <v>3500</v>
      </c>
      <c r="H223" s="4" t="n">
        <v>0</v>
      </c>
      <c r="I223" s="4" t="n">
        <v>61</v>
      </c>
      <c r="J223" s="4" t="n">
        <v>18</v>
      </c>
      <c r="K223" s="5" t="n">
        <v>194.4</v>
      </c>
      <c r="L223" s="4" t="n">
        <v>55</v>
      </c>
      <c r="M223" s="4" t="n">
        <v>17</v>
      </c>
      <c r="N223" s="5" t="n">
        <v>205.9</v>
      </c>
      <c r="O223" s="3" t="inlineStr">
        <is>
          <t>일부리모델링 됨. 이사협의 가능. 도배.장판 새로.깨끗한 호실.</t>
        </is>
      </c>
      <c r="P223" s="6">
        <f>HYPERLINK("https://fin.land.naver.com/articles/2648775732", "매물Link")</f>
        <v/>
      </c>
      <c r="Q223" s="6">
        <f>HYPERLINK("https://map.naver.com/p/search/조치원읍 신흥리 17-2", "지도Link")</f>
        <v/>
      </c>
      <c r="R223" s="6">
        <f>HYPERLINK("http://www.eum.go.kr/web/ar/lu/luLandDet.jsp?pnu=3611025029100170002&amp;isNoScr=script&amp;mode=search", "토지이음")</f>
        <v/>
      </c>
      <c r="S223" s="3" t="inlineStr">
        <is>
          <t>굿모닝</t>
        </is>
      </c>
      <c r="T223" s="4" t="n">
        <v>1</v>
      </c>
      <c r="U223" s="5" t="n">
        <v>162.7</v>
      </c>
      <c r="V223" s="4" t="n">
        <v>451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조치원읍 신흥리 26-1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284</v>
      </c>
      <c r="J224" s="4" t="n">
        <v>86</v>
      </c>
      <c r="K224" s="5" t="n">
        <v>418.6</v>
      </c>
      <c r="L224" s="4" t="n">
        <v>73</v>
      </c>
      <c r="M224" s="4" t="n">
        <v>22</v>
      </c>
      <c r="N224" s="5" t="n">
        <v>1636.4</v>
      </c>
      <c r="O224" s="3" t="inlineStr">
        <is>
          <t>신흥리 위치 좋은 곳 단독주택</t>
        </is>
      </c>
      <c r="P224" s="6">
        <f>HYPERLINK("https://fin.land.naver.com/articles/2647576467", "매물Link")</f>
        <v/>
      </c>
      <c r="Q224" s="6">
        <f>HYPERLINK("https://map.naver.com/p/search/조치원읍 신흥리 26-1", "지도Link")</f>
        <v/>
      </c>
      <c r="R224" s="6">
        <f>HYPERLINK("http://www.eum.go.kr/web/ar/lu/luLandDet.jsp?pnu=3611025029100260001&amp;isNoScr=script&amp;mode=search",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185.6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소로각지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67</v>
      </c>
      <c r="J225" s="4" t="n">
        <v>20</v>
      </c>
      <c r="K225" s="5" t="n">
        <v>1300</v>
      </c>
      <c r="L225" s="4" t="n">
        <v>139</v>
      </c>
      <c r="M225" s="4" t="n">
        <v>42</v>
      </c>
      <c r="N225" s="5" t="n">
        <v>619</v>
      </c>
      <c r="O225" s="3" t="inlineStr">
        <is>
          <t>원리 서독안경원 골목 먹자골목내 자기상가하면서 거주하실분 추천</t>
        </is>
      </c>
      <c r="P225" s="6">
        <f>HYPERLINK("https://fin.land.naver.com/articles/2652877281",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42</v>
      </c>
      <c r="J226" s="4" t="n">
        <v>13</v>
      </c>
      <c r="K226" s="5" t="n">
        <v>2000</v>
      </c>
      <c r="L226" s="4" t="n">
        <v>139</v>
      </c>
      <c r="M226" s="4" t="n">
        <v>42</v>
      </c>
      <c r="N226" s="5" t="n">
        <v>619</v>
      </c>
      <c r="O226" s="3" t="inlineStr">
        <is>
          <t>소형 상가주택매매,장사하시면서 거주하시기 좋아요.</t>
        </is>
      </c>
      <c r="P226" s="6">
        <f>HYPERLINK("https://fin.land.naver.com/articles/2647881780",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이음 사무소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144-9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52000</v>
      </c>
      <c r="H230" s="4" t="n">
        <v>0</v>
      </c>
      <c r="I230" s="4" t="n">
        <v>129</v>
      </c>
      <c r="J230" s="4" t="n">
        <v>39</v>
      </c>
      <c r="K230" s="5" t="n">
        <v>1333.3</v>
      </c>
      <c r="L230" s="4" t="n">
        <v>144</v>
      </c>
      <c r="M230" s="4" t="n">
        <v>44</v>
      </c>
      <c r="N230" s="5" t="n">
        <v>1181.8</v>
      </c>
      <c r="O230" s="3" t="inlineStr">
        <is>
          <t>조치원역 서쪽 4차선 도로접함 1층 상가 2층 주택이용하실분 추천</t>
        </is>
      </c>
      <c r="P230" s="6">
        <f>HYPERLINK("https://fin.land.naver.com/articles/2652881315", "매물Link")</f>
        <v/>
      </c>
      <c r="Q230" s="6">
        <f>HYPERLINK("https://map.naver.com/p/search/조치원읍 침산리 144-9", "지도Link")</f>
        <v/>
      </c>
      <c r="R230" s="6">
        <f>HYPERLINK("http://www.eum.go.kr/web/ar/lu/luLandDet.jsp?pnu=3611025028101440009&amp;isNoScr=script&amp;mode=search",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404.6</v>
      </c>
      <c r="V230" s="4" t="n">
        <v>129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중로한면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500</v>
      </c>
      <c r="H231" s="4" t="n">
        <v>65</v>
      </c>
      <c r="I231" s="4" t="n">
        <v>46</v>
      </c>
      <c r="J231" s="4" t="n">
        <v>14</v>
      </c>
      <c r="K231" s="5" t="n">
        <v>4.6</v>
      </c>
      <c r="L231" s="4" t="n">
        <v>39</v>
      </c>
      <c r="M231" s="4" t="n">
        <v>12</v>
      </c>
      <c r="N231" s="5" t="n">
        <v>5.4</v>
      </c>
      <c r="O231" s="3" t="inlineStr">
        <is>
          <t>귀한 투룸.도도리파크앞.즉시입주 가능.</t>
        </is>
      </c>
      <c r="P231" s="6">
        <f>HYPERLINK("https://fin.land.naver.com/articles/2650140429",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척척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55</v>
      </c>
      <c r="I233" s="4" t="n">
        <v>130</v>
      </c>
      <c r="J233" s="4" t="n">
        <v>39</v>
      </c>
      <c r="K233" s="5" t="n">
        <v>1.4</v>
      </c>
      <c r="L233" s="4" t="n">
        <v>39</v>
      </c>
      <c r="M233" s="4" t="n">
        <v>12</v>
      </c>
      <c r="N233" s="5" t="n">
        <v>4.6</v>
      </c>
      <c r="O233" s="3" t="inlineStr">
        <is>
          <t>nan</t>
        </is>
      </c>
      <c r="P233" s="6">
        <f>HYPERLINK("https://fin.land.naver.com/articles/2647831340",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한뜰금빛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26</v>
      </c>
      <c r="M234" s="4" t="n">
        <v>8</v>
      </c>
      <c r="N234" s="5" t="n">
        <v>5.6</v>
      </c>
      <c r="O234" s="3" t="inlineStr">
        <is>
          <t>큰방2개 2룸</t>
        </is>
      </c>
      <c r="P234" s="6">
        <f>HYPERLINK("https://fin.land.naver.com/articles/2648309224",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255-12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상가주택</t>
        </is>
      </c>
      <c r="F236" s="3" t="inlineStr">
        <is>
          <t>매매</t>
        </is>
      </c>
      <c r="G236" s="4" t="n">
        <v>36000</v>
      </c>
      <c r="H236" s="4" t="n">
        <v>0</v>
      </c>
      <c r="I236" s="4" t="n">
        <v>217</v>
      </c>
      <c r="J236" s="4" t="n">
        <v>66</v>
      </c>
      <c r="K236" s="5" t="n">
        <v>545.5</v>
      </c>
      <c r="L236" s="4" t="n">
        <v>124</v>
      </c>
      <c r="M236" s="4" t="n">
        <v>38</v>
      </c>
      <c r="N236" s="5" t="n">
        <v>947.4</v>
      </c>
      <c r="O236" s="3" t="inlineStr">
        <is>
          <t>단층 건물 매매</t>
        </is>
      </c>
      <c r="P236" s="6">
        <f>HYPERLINK("https://fin.land.naver.com/articles/2651339266", "매물Link")</f>
        <v/>
      </c>
      <c r="Q236" s="6">
        <f>HYPERLINK("https://map.naver.com/p/search/조치원읍 침산리 255-12", "지도Link")</f>
        <v/>
      </c>
      <c r="R236" s="6">
        <f>HYPERLINK("http://www.eum.go.kr/web/ar/lu/luLandDet.jsp?pnu=3611025028102550012&amp;isNoScr=script&amp;mode=search",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292.7</v>
      </c>
      <c r="V236" s="4" t="n">
        <v>217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단기임대</t>
        </is>
      </c>
      <c r="G237" s="4" t="n">
        <v>200</v>
      </c>
      <c r="H237" s="4" t="n">
        <v>55</v>
      </c>
      <c r="I237" s="4" t="n">
        <v>46</v>
      </c>
      <c r="J237" s="4" t="n">
        <v>14</v>
      </c>
      <c r="K237" s="5" t="n">
        <v>14.3</v>
      </c>
      <c r="L237" s="4" t="n">
        <v>39</v>
      </c>
      <c r="M237" s="4" t="n">
        <v>12</v>
      </c>
      <c r="N237" s="5" t="n">
        <v>16.7</v>
      </c>
      <c r="O237" s="3" t="inlineStr">
        <is>
          <t>2인숙소.6개월 단기계약가능.에어컨2개.화장실2개</t>
        </is>
      </c>
      <c r="P237" s="6">
        <f>HYPERLINK("https://fin.land.naver.com/articles/2652556288",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129</v>
      </c>
      <c r="J239" s="4" t="n">
        <v>39</v>
      </c>
      <c r="K239" s="5" t="n">
        <v>1.2</v>
      </c>
      <c r="L239" s="4" t="n">
        <v>40</v>
      </c>
      <c r="M239" s="4" t="n">
        <v>12</v>
      </c>
      <c r="N239" s="5" t="n">
        <v>3.8</v>
      </c>
      <c r="O239" s="3" t="inlineStr">
        <is>
          <t>방2 화장실2</t>
        </is>
      </c>
      <c r="P239" s="6">
        <f>HYPERLINK("https://fin.land.naver.com/articles/2650123958",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28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</v>
      </c>
      <c r="O241" s="3" t="inlineStr">
        <is>
          <t>nan</t>
        </is>
      </c>
      <c r="P241" s="6">
        <f>HYPERLINK("https://fin.land.naver.com/articles/2648302133",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265-11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150</v>
      </c>
      <c r="H242" s="4" t="n">
        <v>25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3.6</v>
      </c>
      <c r="O242" s="3" t="inlineStr">
        <is>
          <t>nan</t>
        </is>
      </c>
      <c r="P242" s="6">
        <f>HYPERLINK("https://fin.land.naver.com/articles/2649877584", "매물Link")</f>
        <v/>
      </c>
      <c r="Q242" s="6">
        <f>HYPERLINK("https://map.naver.com/p/search/조치원읍 침산리 265-11", "지도Link")</f>
        <v/>
      </c>
      <c r="R242" s="6">
        <f>HYPERLINK("http://www.eum.go.kr/web/ar/lu/luLandDet.jsp?pnu=3611025028102650011&amp;isNoScr=script&amp;mode=search",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415.5</v>
      </c>
      <c r="V242" s="4" t="n">
        <v>190.7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265-9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40</v>
      </c>
      <c r="I243" s="4" t="n">
        <v>30</v>
      </c>
      <c r="J243" s="4" t="n">
        <v>9</v>
      </c>
      <c r="K243" s="5" t="n">
        <v>4.4</v>
      </c>
      <c r="L243" s="4" t="n">
        <v>30</v>
      </c>
      <c r="M243" s="4" t="n">
        <v>9</v>
      </c>
      <c r="N243" s="5" t="n">
        <v>4.4</v>
      </c>
      <c r="O243" s="3" t="inlineStr">
        <is>
          <t>투베이 분리형 이사협의</t>
        </is>
      </c>
      <c r="P243" s="6">
        <f>HYPERLINK("https://fin.land.naver.com/articles/2648493335", "매물Link")</f>
        <v/>
      </c>
      <c r="Q243" s="6">
        <f>HYPERLINK("https://map.naver.com/p/search/조치원읍 침산리 265-9", "지도Link")</f>
        <v/>
      </c>
      <c r="R243" s="6">
        <f>HYPERLINK("http://www.eum.go.kr/web/ar/lu/luLandDet.jsp?pnu=3611025028102650009&amp;isNoScr=script&amp;mode=search",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419.8</v>
      </c>
      <c r="V243" s="4" t="n">
        <v>274.8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조치원읍 침산리 266-12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100000</v>
      </c>
      <c r="H244" s="4" t="n">
        <v>0</v>
      </c>
      <c r="I244" s="4" t="n">
        <v>259</v>
      </c>
      <c r="J244" s="4" t="n">
        <v>78</v>
      </c>
      <c r="K244" s="5" t="n">
        <v>1282.1</v>
      </c>
      <c r="L244" s="4" t="n">
        <v>473</v>
      </c>
      <c r="M244" s="4" t="n">
        <v>143</v>
      </c>
      <c r="N244" s="5" t="n">
        <v>699.3</v>
      </c>
      <c r="O244" s="3" t="inlineStr">
        <is>
          <t>nan</t>
        </is>
      </c>
      <c r="P244" s="6">
        <f>HYPERLINK("https://fin.land.naver.com/articles/2649229764", "매물Link")</f>
        <v/>
      </c>
      <c r="Q244" s="6">
        <f>HYPERLINK("https://map.naver.com/p/search/조치원읍 침산리 266-12", "지도Link")</f>
        <v/>
      </c>
      <c r="R244" s="6">
        <f>HYPERLINK("http://www.eum.go.kr/web/ar/lu/luLandDet.jsp?pnu=3611025028102660012&amp;isNoScr=script&amp;mode=search",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318.2</v>
      </c>
      <c r="V244" s="4" t="n">
        <v>259.5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월세</t>
        </is>
      </c>
      <c r="G248" s="4" t="n">
        <v>2000</v>
      </c>
      <c r="H248" s="4" t="n">
        <v>10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1.4</v>
      </c>
      <c r="O248" s="3" t="inlineStr">
        <is>
          <t>전세,반전세 가능 도배예정</t>
        </is>
      </c>
      <c r="P248" s="6">
        <f>HYPERLINK("https://fin.land.naver.com/articles/2652860593",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279-15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전세</t>
        </is>
      </c>
      <c r="G249" s="4" t="n">
        <v>3000</v>
      </c>
      <c r="H249" s="4" t="n">
        <v>0</v>
      </c>
      <c r="I249" s="4" t="n">
        <v>0</v>
      </c>
      <c r="J249" s="4" t="n">
        <v>0</v>
      </c>
      <c r="K249" s="5" t="n">
        <v>0</v>
      </c>
      <c r="L249" s="4" t="n">
        <v>19</v>
      </c>
      <c r="M249" s="4" t="n">
        <v>6</v>
      </c>
      <c r="N249" s="5" t="n">
        <v>500</v>
      </c>
      <c r="O249" s="3" t="inlineStr">
        <is>
          <t>안전한 전세</t>
        </is>
      </c>
      <c r="P249" s="6">
        <f>HYPERLINK("https://fin.land.naver.com/articles/2652857402", "매물Link")</f>
        <v/>
      </c>
      <c r="Q249" s="6">
        <f>HYPERLINK("https://map.naver.com/p/search/조치원읍 침산리 279-15", "지도Link")</f>
        <v/>
      </c>
      <c r="R249" s="6">
        <f>HYPERLINK("http://www.eum.go.kr/web/ar/lu/luLandDet.jsp?pnu=3611025028102790015&amp;isNoScr=script&amp;mode=search",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279-15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110000</v>
      </c>
      <c r="H250" s="4" t="n">
        <v>0</v>
      </c>
      <c r="I250" s="4" t="n">
        <v>315</v>
      </c>
      <c r="J250" s="4" t="n">
        <v>95</v>
      </c>
      <c r="K250" s="5" t="n">
        <v>1157.9</v>
      </c>
      <c r="L250" s="4" t="n">
        <v>545</v>
      </c>
      <c r="M250" s="4" t="n">
        <v>165</v>
      </c>
      <c r="N250" s="5" t="n">
        <v>666.7</v>
      </c>
      <c r="O250" s="3" t="inlineStr">
        <is>
          <t>다가주주택 연수익률 8%</t>
        </is>
      </c>
      <c r="P250" s="6">
        <f>HYPERLINK("https://fin.land.naver.com/articles/2649673971", "매물Link")</f>
        <v/>
      </c>
      <c r="Q250" s="6">
        <f>HYPERLINK("https://map.naver.com/p/search/조치원읍 침산리 279-15", "지도Link")</f>
        <v/>
      </c>
      <c r="R250" s="6">
        <f>HYPERLINK("http://www.eum.go.kr/web/ar/lu/luLandDet.jsp?pnu=3611025028102790015&amp;isNoScr=script&amp;mode=search",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299.6</v>
      </c>
      <c r="V250" s="4" t="n">
        <v>315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침산리 282-13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전세</t>
        </is>
      </c>
      <c r="G251" s="4" t="n">
        <v>5000</v>
      </c>
      <c r="H251" s="4" t="n">
        <v>0</v>
      </c>
      <c r="I251" s="4" t="n">
        <v>47</v>
      </c>
      <c r="J251" s="4" t="n">
        <v>14</v>
      </c>
      <c r="K251" s="5" t="n">
        <v>357.1</v>
      </c>
      <c r="L251" s="4" t="n">
        <v>47</v>
      </c>
      <c r="M251" s="4" t="n">
        <v>14</v>
      </c>
      <c r="N251" s="5" t="n">
        <v>357.1</v>
      </c>
      <c r="O251" s="3" t="inlineStr">
        <is>
          <t>깨끗하고 넒은 원룸이며,  주저지역에 위치하여 교통 편리</t>
        </is>
      </c>
      <c r="P251" s="6">
        <f>HYPERLINK("https://fin.land.naver.com/articles/2651486371", "매물Link")</f>
        <v/>
      </c>
      <c r="Q251" s="6">
        <f>HYPERLINK("https://map.naver.com/p/search/조치원읍 침산리 282-13", "지도Link")</f>
        <v/>
      </c>
      <c r="R251" s="6">
        <f>HYPERLINK("http://www.eum.go.kr/web/ar/lu/luLandDet.jsp?pnu=3611025028102820013&amp;isNoScr=script&amp;mode=search",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314.3</v>
      </c>
      <c r="V251" s="4" t="n">
        <v>252.9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소로한면</t>
        </is>
      </c>
    </row>
    <row r="252">
      <c r="A252" s="3" t="inlineStr">
        <is>
          <t>조치원읍 침산리 283-12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32</v>
      </c>
      <c r="I252" s="4" t="n">
        <v>0</v>
      </c>
      <c r="J252" s="4" t="n">
        <v>0</v>
      </c>
      <c r="K252" s="5" t="n">
        <v>0</v>
      </c>
      <c r="L252" s="4" t="n">
        <v>24</v>
      </c>
      <c r="M252" s="4" t="n">
        <v>7</v>
      </c>
      <c r="N252" s="5" t="n">
        <v>4.6</v>
      </c>
      <c r="O252" s="3" t="inlineStr">
        <is>
          <t>인기좋은  풀옵션완비방   깔끔한 주거공간  넓은 수납공간  주차편함</t>
        </is>
      </c>
      <c r="P252" s="6">
        <f>HYPERLINK("https://fin.land.naver.com/articles/2652969124", "매물Link")</f>
        <v/>
      </c>
      <c r="Q252" s="6">
        <f>HYPERLINK("https://map.naver.com/p/search/조치원읍 침산리 283-12", "지도Link")</f>
        <v/>
      </c>
      <c r="R252" s="6">
        <f>HYPERLINK("http://www.eum.go.kr/web/ar/lu/luLandDet.jsp?pnu=3611025028102830012&amp;isNoScr=script&amp;mode=search",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263.5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283-16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전세</t>
        </is>
      </c>
      <c r="G253" s="4" t="n">
        <v>3500</v>
      </c>
      <c r="H253" s="4" t="n">
        <v>0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437.5</v>
      </c>
      <c r="O253" s="3" t="inlineStr">
        <is>
          <t>넓고 깔끔한  풀옵션 완비방  주방분리  짐만 가져오세요  바로입주</t>
        </is>
      </c>
      <c r="P253" s="6">
        <f>HYPERLINK("https://fin.land.naver.com/articles/2648568156", "매물Link")</f>
        <v/>
      </c>
      <c r="Q253" s="6">
        <f>HYPERLINK("https://map.naver.com/p/search/조치원읍 침산리 283-16", "지도Link")</f>
        <v/>
      </c>
      <c r="R253" s="6">
        <f>HYPERLINK("http://www.eum.go.kr/web/ar/lu/luLandDet.jsp?pnu=3611025028102830016&amp;isNoScr=script&amp;mode=search",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283.1</v>
      </c>
      <c r="V253" s="4" t="n">
        <v>281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평리 56-2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30</v>
      </c>
      <c r="I254" s="4" t="n">
        <v>39</v>
      </c>
      <c r="J254" s="4" t="n">
        <v>12</v>
      </c>
      <c r="K254" s="5" t="n">
        <v>2.5</v>
      </c>
      <c r="L254" s="4" t="n">
        <v>26</v>
      </c>
      <c r="M254" s="4" t="n">
        <v>8</v>
      </c>
      <c r="N254" s="5" t="n">
        <v>3.8</v>
      </c>
      <c r="O254" s="3" t="inlineStr">
        <is>
          <t>조치원터미널근방.엘리베이터있음.공동주차시설완비</t>
        </is>
      </c>
      <c r="P254" s="6">
        <f>HYPERLINK("https://fin.land.naver.com/articles/2651626263", "매물Link")</f>
        <v/>
      </c>
      <c r="Q254" s="6">
        <f>HYPERLINK("https://map.naver.com/p/search/조치원읍 평리 56-2", "지도Link")</f>
        <v/>
      </c>
      <c r="R254" s="6">
        <f>HYPERLINK("http://www.eum.go.kr/web/ar/lu/luLandDet.jsp?pnu=3611025023100560002&amp;isNoScr=script&amp;mode=search",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206.6</v>
      </c>
      <c r="V254" s="4" t="n">
        <v>575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조치원읍 평리 56-2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0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조치원역 도보거리</t>
        </is>
      </c>
      <c r="P255" s="6">
        <f>HYPERLINK("https://fin.land.naver.com/articles/2652856453", "매물Link")</f>
        <v/>
      </c>
      <c r="Q255" s="6">
        <f>HYPERLINK("https://map.naver.com/p/search/조치원읍 평리 56-2", "지도Link")</f>
        <v/>
      </c>
      <c r="R255" s="6">
        <f>HYPERLINK("http://www.eum.go.kr/web/ar/lu/luLandDet.jsp?pnu=3611025023100560002&amp;isNoScr=script&amp;mode=search",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206.6</v>
      </c>
      <c r="V255" s="4" t="n">
        <v>575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강추 보시면 감동입니다 몸만오세요   대지넓어요 연접지 내집땅처럼사용가능</t>
        </is>
      </c>
      <c r="P256" s="6">
        <f>HYPERLINK("https://fin.land.naver.com/articles/2651945106",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세종삼성래미안</t>
        </is>
      </c>
      <c r="T256" s="4" t="n">
        <v>3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HYPERLINK("https://fin.land.naver.com/articles/2651811636",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공원을 접한 단독주택, 여유로움을 누려보세요</t>
        </is>
      </c>
      <c r="P258" s="6">
        <f>HYPERLINK("https://fin.land.naver.com/articles/2652853639",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최무연</t>
        </is>
      </c>
      <c r="T258" s="4" t="n">
        <v>2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전용49.8p, 방3개 화장실2개, 사유지땅 사용가능</t>
        </is>
      </c>
      <c r="P259" s="6">
        <f>HYPERLINK("https://fin.land.naver.com/articles/2648834239",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1219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85000</v>
      </c>
      <c r="H261" s="4" t="n">
        <v>0</v>
      </c>
      <c r="I261" s="4" t="n">
        <v>394</v>
      </c>
      <c r="J261" s="4" t="n">
        <v>119</v>
      </c>
      <c r="K261" s="5" t="n">
        <v>714.3</v>
      </c>
      <c r="L261" s="4" t="n">
        <v>99</v>
      </c>
      <c r="M261" s="4" t="n">
        <v>30</v>
      </c>
      <c r="N261" s="5" t="n">
        <v>2833.3</v>
      </c>
      <c r="O261" s="3" t="inlineStr">
        <is>
          <t>급매 추가조율협의가능 단층 철근콘크리트 가성비 주택</t>
        </is>
      </c>
      <c r="P261" s="6">
        <f>HYPERLINK("https://fin.land.naver.com/articles/2649375331", "매물Link")</f>
        <v/>
      </c>
      <c r="Q261" s="6">
        <f>HYPERLINK("https://map.naver.com/p/search/한솔동 1219", "지도Link")</f>
        <v/>
      </c>
      <c r="R261" s="6">
        <f>HYPERLINK("http://www.eum.go.kr/web/ar/lu/luLandDet.jsp?pnu=3611010600112190000&amp;isNoScr=script&amp;mode=search", "토지이음")</f>
        <v/>
      </c>
      <c r="S261" s="3" t="inlineStr">
        <is>
          <t>세종스타</t>
        </is>
      </c>
      <c r="T261" s="4" t="n">
        <v>1</v>
      </c>
      <c r="U261" s="5" t="n">
        <v>373.6</v>
      </c>
      <c r="V261" s="4" t="n">
        <v>394.7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정원이 잘 가꾸어진 주택. 초,중, 고 도보권</t>
        </is>
      </c>
      <c r="P262" s="6">
        <f>HYPERLINK("https://fin.land.naver.com/articles/2649457945",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세종삼촌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867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95000</v>
      </c>
      <c r="H263" s="4" t="n">
        <v>0</v>
      </c>
      <c r="I263" s="4" t="n">
        <v>293</v>
      </c>
      <c r="J263" s="4" t="n">
        <v>89</v>
      </c>
      <c r="K263" s="5" t="n">
        <v>1067.4</v>
      </c>
      <c r="L263" s="4" t="n">
        <v>182</v>
      </c>
      <c r="M263" s="4" t="n">
        <v>55</v>
      </c>
      <c r="N263" s="5" t="n">
        <v>1727.3</v>
      </c>
      <c r="O263" s="3" t="inlineStr">
        <is>
          <t>막힘없이 좋아요 좋은 위치 brt 가까운 위치 입니다 방3, 화장실 2</t>
        </is>
      </c>
      <c r="P263" s="6">
        <f>HYPERLINK("https://fin.land.naver.com/articles/2651491871", "매물Link")</f>
        <v/>
      </c>
      <c r="Q263" s="6">
        <f>HYPERLINK("https://map.naver.com/p/search/한솔동 867", "지도Link")</f>
        <v/>
      </c>
      <c r="R263" s="6">
        <f>HYPERLINK("http://www.eum.go.kr/web/ar/lu/luLandDet.jsp?pnu=3611010600108670000&amp;isNoScr=script&amp;mode=search", "토지이음")</f>
        <v/>
      </c>
      <c r="S263" s="3" t="inlineStr">
        <is>
          <t>은성</t>
        </is>
      </c>
      <c r="T263" s="4" t="n">
        <v>1</v>
      </c>
      <c r="U263" s="5" t="n">
        <v>427.1</v>
      </c>
      <c r="V263" s="4" t="n">
        <v>293.3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공원옆 코너각지 남향 가격조절가 태양열 전기차충전기 정원에카페사용공간있음</t>
        </is>
      </c>
      <c r="P264" s="6">
        <f>HYPERLINK("https://fin.land.naver.com/articles/2649425303",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세종시해냄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997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130000</v>
      </c>
      <c r="H267" s="4" t="n">
        <v>0</v>
      </c>
      <c r="I267" s="4" t="n">
        <v>393</v>
      </c>
      <c r="J267" s="4" t="n">
        <v>119</v>
      </c>
      <c r="K267" s="5" t="n">
        <v>1092.4</v>
      </c>
      <c r="L267" s="4" t="n">
        <v>196</v>
      </c>
      <c r="M267" s="4" t="n">
        <v>59</v>
      </c>
      <c r="N267" s="5" t="n">
        <v>2203.4</v>
      </c>
      <c r="O267" s="3" t="inlineStr">
        <is>
          <t>급매 1년차 최신축 현대식 세련된 내부인테리어 방3개 욕실3개</t>
        </is>
      </c>
      <c r="P267" s="6">
        <f>HYPERLINK("https://fin.land.naver.com/articles/2652943099", "매물Link")</f>
        <v/>
      </c>
      <c r="Q267" s="6">
        <f>HYPERLINK("https://map.naver.com/p/search/한솔동 997", "지도Link")</f>
        <v/>
      </c>
      <c r="R267" s="6">
        <f>HYPERLINK("http://www.eum.go.kr/web/ar/lu/luLandDet.jsp?pnu=3611010600109970000&amp;isNoScr=script&amp;mode=search", "토지이음")</f>
        <v/>
      </c>
      <c r="S267" s="3" t="inlineStr">
        <is>
          <t>세종스타</t>
        </is>
      </c>
      <c r="T267" s="4" t="n">
        <v>1</v>
      </c>
      <c r="U267" s="5" t="n">
        <v>302.8</v>
      </c>
      <c r="V267" s="4" t="n">
        <v>393</v>
      </c>
      <c r="W267" s="3" t="inlineStr">
        <is>
          <t>지정되지않음</t>
        </is>
      </c>
      <c r="X267" s="3" t="inlineStr">
        <is>
          <t>주거나지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해밀동 665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전원주택</t>
        </is>
      </c>
      <c r="F268" s="3" t="inlineStr">
        <is>
          <t>월세</t>
        </is>
      </c>
      <c r="G268" s="4" t="n">
        <v>13000</v>
      </c>
      <c r="H268" s="4" t="n">
        <v>160</v>
      </c>
      <c r="I268" s="4" t="n">
        <v>34</v>
      </c>
      <c r="J268" s="4" t="n">
        <v>10</v>
      </c>
      <c r="K268" s="5" t="n">
        <v>16</v>
      </c>
      <c r="L268" s="4" t="n">
        <v>933</v>
      </c>
      <c r="M268" s="4" t="n">
        <v>282</v>
      </c>
      <c r="N268" s="5" t="n">
        <v>0.6</v>
      </c>
      <c r="O268" s="3" t="inlineStr">
        <is>
          <t>해밀동 라포르테 단독주택 월세</t>
        </is>
      </c>
      <c r="P268" s="6">
        <f>HYPERLINK("https://fin.land.naver.com/articles/2649244700", "매물Link")</f>
        <v/>
      </c>
      <c r="Q268" s="6">
        <f>HYPERLINK("https://map.naver.com/p/search/해밀동 665", "지도Link")</f>
        <v/>
      </c>
      <c r="R268" s="6">
        <f>HYPERLINK("http://www.eum.go.kr/web/ar/lu/luLandDet.jsp?pnu=3611011600106650000&amp;isNoScr=script&amp;mode=search", "토지이음")</f>
        <v/>
      </c>
      <c r="S268" s="3" t="inlineStr">
        <is>
          <t>태양</t>
        </is>
      </c>
      <c r="T268" s="4" t="n">
        <v>1</v>
      </c>
      <c r="U268" s="5" t="n">
        <v>215.1</v>
      </c>
      <c r="V268" s="4" t="n">
        <v>34519</v>
      </c>
      <c r="W268" s="3" t="inlineStr">
        <is>
          <t>지정되지않음</t>
        </is>
      </c>
      <c r="X268" s="3" t="inlineStr">
        <is>
          <t>연립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광대소각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HYPERLINK("https://fin.land.naver.com/articles/2651885054",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HYPERLINK("https://fin.land.naver.com/articles/2652176994",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강내면 토지</t>
        </is>
      </c>
      <c r="L162" s="6">
        <f>HYPERLINK("https://fin.land.naver.com/articles/2649592532",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오송채움</t>
        </is>
      </c>
      <c r="P162" s="4" t="n">
        <v>2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HYPERLINK("https://fin.land.naver.com/articles/2652625482",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1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30000</v>
      </c>
      <c r="G172" s="4" t="n">
        <v>2790</v>
      </c>
      <c r="H172" s="4" t="n">
        <v>844</v>
      </c>
      <c r="I172" s="5" t="n">
        <v>35.5</v>
      </c>
      <c r="J172" s="5" t="n">
        <v>16.4</v>
      </c>
      <c r="K172" s="3" t="inlineStr">
        <is>
          <t>진입로 있는 지목 답 자연녹지지역</t>
        </is>
      </c>
      <c r="L172" s="6">
        <f>HYPERLINK("https://fin.land.naver.com/articles/2651727712", "매물Link")</f>
        <v/>
      </c>
      <c r="M172" s="6">
        <f>HYPERLINK("https://map.naver.com/p/search/강내면 학천리 19", "지도Link")</f>
        <v/>
      </c>
      <c r="N172" s="6">
        <f>HYPERLINK("http://www.eum.go.kr/web/ar/lu/luLandDet.jsp?pnu=4311331035100190000&amp;isNoScr=script&amp;mode=search", "토지이음")</f>
        <v/>
      </c>
      <c r="O172" s="3" t="inlineStr">
        <is>
          <t>해모로더센트라</t>
        </is>
      </c>
      <c r="P172" s="4" t="n">
        <v>1</v>
      </c>
      <c r="Q172" s="4" t="n">
        <v>2790</v>
      </c>
      <c r="R172" s="3" t="inlineStr">
        <is>
          <t>보전녹지지역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도시지역 근교위치한 토지.접근성편리.농사. 대토</t>
        </is>
      </c>
      <c r="L182" s="6">
        <f>HYPERLINK("https://fin.land.naver.com/articles/2653097754",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자연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급매 공원조망 큰평수 위치최상</t>
        </is>
      </c>
      <c r="L195" s="6">
        <f>HYPERLINK("https://fin.land.naver.com/articles/2652917969",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세종스타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HYPERLINK("https://fin.land.naver.com/articles/2652418799",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61800</v>
      </c>
      <c r="G204" s="4" t="n">
        <v>338</v>
      </c>
      <c r="H204" s="4" t="n">
        <v>102</v>
      </c>
      <c r="I204" s="5" t="n">
        <v>605.9</v>
      </c>
      <c r="J204" s="5" t="n">
        <v>346.4</v>
      </c>
      <c r="K204" s="3" t="inlineStr">
        <is>
          <t>코너 위치. 근린공원과 함께 멋스러운 여유 .금액조율가능.</t>
        </is>
      </c>
      <c r="L204" s="6">
        <f>HYPERLINK("https://fin.land.naver.com/articles/2653119333", "매물Link")</f>
        <v/>
      </c>
      <c r="M204" s="6">
        <f>HYPERLINK("https://map.naver.com/p/search/고운동 1068", "지도Link")</f>
        <v/>
      </c>
      <c r="N204" s="6">
        <f>HYPERLINK("http://www.eum.go.kr/web/ar/lu/luLandDet.jsp?pnu=3611011200110680000&amp;isNoScr=script&amp;mode=search", "토지이음")</f>
        <v/>
      </c>
      <c r="O204" s="3" t="inlineStr">
        <is>
          <t>세종올리브</t>
        </is>
      </c>
      <c r="P204" s="4" t="n">
        <v>2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1069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51500</v>
      </c>
      <c r="G205" s="4" t="n">
        <v>341</v>
      </c>
      <c r="H205" s="4" t="n">
        <v>103</v>
      </c>
      <c r="I205" s="5" t="n">
        <v>500</v>
      </c>
      <c r="J205" s="5" t="n">
        <v>330.5</v>
      </c>
      <c r="K205" s="3" t="inlineStr">
        <is>
          <t>급매매,단독주택밀집.건너편 공원뷰</t>
        </is>
      </c>
      <c r="L205" s="6">
        <f>HYPERLINK("https://fin.land.naver.com/articles/2650539320", "매물Link")</f>
        <v/>
      </c>
      <c r="M205" s="6">
        <f>HYPERLINK("https://map.naver.com/p/search/고운동 1069", "지도Link")</f>
        <v/>
      </c>
      <c r="N205" s="6">
        <f>HYPERLINK("http://www.eum.go.kr/web/ar/lu/luLandDet.jsp?pnu=3611011200110690000&amp;isNoScr=script&amp;mode=search", "토지이음")</f>
        <v/>
      </c>
      <c r="O205" s="3" t="inlineStr">
        <is>
          <t>킹세종</t>
        </is>
      </c>
      <c r="P205" s="4" t="n">
        <v>3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HYPERLINK("https://fin.land.naver.com/articles/2651901460",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사거리 코너 각지 위치, 입지 좋은 토지매매</t>
        </is>
      </c>
      <c r="L209" s="6">
        <f>HYPERLINK("https://fin.land.naver.com/articles/2651778717",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급매위치좋은코너자리고운동학교 상권 이용편리</t>
        </is>
      </c>
      <c r="L211" s="6">
        <f>HYPERLINK("https://fin.land.naver.com/articles/2652006650",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1090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43000</v>
      </c>
      <c r="G212" s="4" t="n">
        <v>331</v>
      </c>
      <c r="H212" s="4" t="n">
        <v>100</v>
      </c>
      <c r="I212" s="5" t="n">
        <v>430</v>
      </c>
      <c r="J212" s="5" t="n">
        <v>320.9</v>
      </c>
      <c r="K212" s="3" t="inlineStr">
        <is>
          <t>급매 3면코너 위치최상 보행로접함 경사지</t>
        </is>
      </c>
      <c r="L212" s="6">
        <f>HYPERLINK("https://fin.land.naver.com/articles/2651086856", "매물Link")</f>
        <v/>
      </c>
      <c r="M212" s="6">
        <f>HYPERLINK("https://map.naver.com/p/search/고운동 1090", "지도Link")</f>
        <v/>
      </c>
      <c r="N212" s="6">
        <f>HYPERLINK("http://www.eum.go.kr/web/ar/lu/luLandDet.jsp?pnu=3611011200110900000&amp;isNoScr=script&amp;mode=search",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331.5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소로각지</t>
        </is>
      </c>
    </row>
    <row r="213">
      <c r="A213" s="3" t="inlineStr">
        <is>
          <t>고운동 1093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43500</v>
      </c>
      <c r="G213" s="4" t="n">
        <v>338</v>
      </c>
      <c r="H213" s="4" t="n">
        <v>102</v>
      </c>
      <c r="I213" s="5" t="n">
        <v>426.5</v>
      </c>
      <c r="J213" s="5" t="n">
        <v>346.4</v>
      </c>
      <c r="K213" s="3" t="inlineStr">
        <is>
          <t>급매, 조정가, 공원앞으로 상권 학교 이용편리</t>
        </is>
      </c>
      <c r="L213" s="6">
        <f>HYPERLINK("https://fin.land.naver.com/articles/2647450751", "매물Link")</f>
        <v/>
      </c>
      <c r="M213" s="6">
        <f>HYPERLINK("https://map.naver.com/p/search/고운동 1093", "지도Link")</f>
        <v/>
      </c>
      <c r="N213" s="6">
        <f>HYPERLINK("http://www.eum.go.kr/web/ar/lu/luLandDet.jsp?pnu=3611011200110930000&amp;isNoScr=script&amp;mode=search",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338.9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사거리 코너, 입지 좋은 토지, 3면 각지, 전원주택지 토지매매</t>
        </is>
      </c>
      <c r="L215" s="6">
        <f>HYPERLINK("https://fin.land.naver.com/articles/2651189033",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50000</v>
      </c>
      <c r="G217" s="4" t="n">
        <v>330</v>
      </c>
      <c r="H217" s="4" t="n">
        <v>100</v>
      </c>
      <c r="I217" s="5" t="n">
        <v>500</v>
      </c>
      <c r="J217" s="5" t="n">
        <v>346.4</v>
      </c>
      <c r="K217" s="3" t="inlineStr">
        <is>
          <t>nan</t>
        </is>
      </c>
      <c r="L217" s="6">
        <f>HYPERLINK("https://fin.land.naver.com/articles/2649599583", "매물Link")</f>
        <v/>
      </c>
      <c r="M217" s="6">
        <f>HYPERLINK("https://map.naver.com/p/search/고운동 1109", "지도Link")</f>
        <v/>
      </c>
      <c r="N217" s="6">
        <f>HYPERLINK("http://www.eum.go.kr/web/ar/lu/luLandDet.jsp?pnu=3611011200111090000&amp;isNoScr=script&amp;mode=search", "토지이음")</f>
        <v/>
      </c>
      <c r="O217" s="3" t="inlineStr">
        <is>
          <t>성훈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1119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351</v>
      </c>
      <c r="H218" s="4" t="n">
        <v>106</v>
      </c>
      <c r="I218" s="5" t="n">
        <v>566</v>
      </c>
      <c r="J218" s="5" t="n">
        <v>279.2</v>
      </c>
      <c r="K218" s="3" t="inlineStr">
        <is>
          <t>nan</t>
        </is>
      </c>
      <c r="L218" s="6">
        <f>HYPERLINK("https://fin.land.naver.com/articles/2648716272", "매물Link")</f>
        <v/>
      </c>
      <c r="M218" s="6">
        <f>HYPERLINK("https://map.naver.com/p/search/고운동 1119", "지도Link")</f>
        <v/>
      </c>
      <c r="N218" s="6">
        <f>HYPERLINK("http://www.eum.go.kr/web/ar/lu/luLandDet.jsp?pnu=3611011200111190000&amp;isNoScr=script&amp;mode=search",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세로한면(가)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nan</t>
        </is>
      </c>
      <c r="L221" s="6">
        <f>HYPERLINK("https://fin.land.naver.com/articles/2651033529",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o택지추천o 두루고 가락초 인근. 남향. 네모 반듯.</t>
        </is>
      </c>
      <c r="L223" s="6">
        <f>HYPERLINK("https://fin.land.naver.com/articles/2652096465",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세종썬</t>
        </is>
      </c>
      <c r="P223" s="4" t="n">
        <v>3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383</v>
      </c>
      <c r="H226" s="4" t="n">
        <v>116</v>
      </c>
      <c r="I226" s="5" t="n">
        <v>689.7</v>
      </c>
      <c r="J226" s="5" t="n">
        <v>279.2</v>
      </c>
      <c r="K226" s="3" t="inlineStr">
        <is>
          <t>고운동북측 전용주택지 , 상권,학교 인접 생활인프라 좋음.</t>
        </is>
      </c>
      <c r="L226" s="6">
        <f>HYPERLINK("https://fin.land.naver.com/articles/2647434704", "매물Link")</f>
        <v/>
      </c>
      <c r="M226" s="6">
        <f>HYPERLINK("https://map.naver.com/p/search/고운동 1145", "지도Link")</f>
        <v/>
      </c>
      <c r="N226" s="6">
        <f>HYPERLINK("http://www.eum.go.kr/web/ar/lu/luLandDet.jsp?pnu=3611011200111450000&amp;isNoScr=script&amp;mode=search", "토지이음")</f>
        <v/>
      </c>
      <c r="O226" s="3" t="inlineStr">
        <is>
          <t>세종만세</t>
        </is>
      </c>
      <c r="P226" s="4" t="n">
        <v>1</v>
      </c>
      <c r="Q226" s="4" t="n">
        <v>383.2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세로한면(가)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HYPERLINK("https://fin.land.naver.com/articles/2653085815",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HYPERLINK("https://fin.land.naver.com/articles/2652951622",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세종보물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HYPERLINK("https://fin.land.naver.com/articles/2652432869",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HYPERLINK("https://fin.land.naver.com/articles/2652931210",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대로변 코너각지 위치 최상의 귀한 근생부지 매매</t>
        </is>
      </c>
      <c r="L234" s="6">
        <f>HYPERLINK("https://fin.land.naver.com/articles/2652674815",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(주)정민근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1272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80000</v>
      </c>
      <c r="G236" s="4" t="n">
        <v>330</v>
      </c>
      <c r="H236" s="4" t="n">
        <v>100</v>
      </c>
      <c r="I236" s="5" t="n">
        <v>800</v>
      </c>
      <c r="J236" s="5" t="n">
        <v>383.8</v>
      </c>
      <c r="K236" s="3" t="inlineStr">
        <is>
          <t>코너각지, 실개천 주변으로 입지 좋은 토지매매</t>
        </is>
      </c>
      <c r="L236" s="6">
        <f>HYPERLINK("https://fin.land.naver.com/articles/2651778921", "매물Link")</f>
        <v/>
      </c>
      <c r="M236" s="6">
        <f>HYPERLINK("https://map.naver.com/p/search/고운동 1272", "지도Link")</f>
        <v/>
      </c>
      <c r="N236" s="6">
        <f>HYPERLINK("http://www.eum.go.kr/web/ar/lu/luLandDet.jsp?pnu=3611011200112720000&amp;isNoScr=script&amp;mode=search",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329</v>
      </c>
      <c r="H237" s="4" t="n">
        <v>100</v>
      </c>
      <c r="I237" s="5" t="n">
        <v>800</v>
      </c>
      <c r="J237" s="5" t="n">
        <v>383.8</v>
      </c>
      <c r="K237" s="3" t="inlineStr">
        <is>
          <t>삼거리 코너, 토지매매, 실개천 인근</t>
        </is>
      </c>
      <c r="L237" s="6">
        <f>HYPERLINK("https://fin.land.naver.com/articles/2651948549",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1293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95000</v>
      </c>
      <c r="G238" s="4" t="n">
        <v>332</v>
      </c>
      <c r="H238" s="4" t="n">
        <v>100</v>
      </c>
      <c r="I238" s="5" t="n">
        <v>950</v>
      </c>
      <c r="J238" s="5" t="n">
        <v>336.5</v>
      </c>
      <c r="K238" s="3" t="inlineStr">
        <is>
          <t>100.91p, 개방감 좋은 실개천 인근 토지</t>
        </is>
      </c>
      <c r="L238" s="6">
        <f>HYPERLINK("https://fin.land.naver.com/articles/2650893334", "매물Link")</f>
        <v/>
      </c>
      <c r="M238" s="6">
        <f>HYPERLINK("https://map.naver.com/p/search/고운동 1293", "지도Link")</f>
        <v/>
      </c>
      <c r="N238" s="6">
        <f>HYPERLINK("http://www.eum.go.kr/web/ar/lu/luLandDet.jsp?pnu=3611011200112930000&amp;isNoScr=script&amp;mode=search",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330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56000</v>
      </c>
      <c r="G240" s="4" t="n">
        <v>338</v>
      </c>
      <c r="H240" s="4" t="n">
        <v>102</v>
      </c>
      <c r="I240" s="5" t="n">
        <v>549</v>
      </c>
      <c r="J240" s="5" t="n">
        <v>369.3</v>
      </c>
      <c r="K240" s="3" t="inlineStr">
        <is>
          <t>공원바로옆 실개천옆고운동학군 상권 이용편리저렴한매매</t>
        </is>
      </c>
      <c r="L240" s="6">
        <f>HYPERLINK("https://fin.land.naver.com/articles/2652001713", "매물Link")</f>
        <v/>
      </c>
      <c r="M240" s="6">
        <f>HYPERLINK("https://map.naver.com/p/search/고운동 1297", "지도Link")</f>
        <v/>
      </c>
      <c r="N240" s="6">
        <f>HYPERLINK("http://www.eum.go.kr/web/ar/lu/luLandDet.jsp?pnu=3611011200112970000&amp;isNoScr=script&amp;mode=search", "토지이음")</f>
        <v/>
      </c>
      <c r="O240" s="3" t="inlineStr">
        <is>
          <t>세종시토지</t>
        </is>
      </c>
      <c r="P240" s="4" t="n">
        <v>2</v>
      </c>
      <c r="Q240" s="4" t="n">
        <v>338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고운동 1302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85000</v>
      </c>
      <c r="G241" s="4" t="n">
        <v>351</v>
      </c>
      <c r="H241" s="4" t="n">
        <v>106</v>
      </c>
      <c r="I241" s="5" t="n">
        <v>801.9</v>
      </c>
      <c r="J241" s="5" t="n">
        <v>336.5</v>
      </c>
      <c r="K241" s="3" t="inlineStr">
        <is>
          <t>106.3p, 실개천 앞, 공원인근</t>
        </is>
      </c>
      <c r="L241" s="6">
        <f>HYPERLINK("https://fin.land.naver.com/articles/2650427456", "매물Link")</f>
        <v/>
      </c>
      <c r="M241" s="6">
        <f>HYPERLINK("https://map.naver.com/p/search/고운동 1302", "지도Link")</f>
        <v/>
      </c>
      <c r="N241" s="6">
        <f>HYPERLINK("http://www.eum.go.kr/web/ar/lu/luLandDet.jsp?pnu=3611011200113020000&amp;isNoScr=script&amp;mode=search",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70000</v>
      </c>
      <c r="G243" s="4" t="n">
        <v>351</v>
      </c>
      <c r="H243" s="4" t="n">
        <v>106</v>
      </c>
      <c r="I243" s="5" t="n">
        <v>660.4</v>
      </c>
      <c r="J243" s="5" t="n">
        <v>336.5</v>
      </c>
      <c r="K243" s="3" t="inlineStr">
        <is>
          <t>전원주택지 산책로 및 실개천에 연접한 좋은위치 단독택지, 가락초 인근</t>
        </is>
      </c>
      <c r="L243" s="6">
        <f>HYPERLINK("https://fin.land.naver.com/articles/2650441767", "매물Link")</f>
        <v/>
      </c>
      <c r="M243" s="6">
        <f>HYPERLINK("https://map.naver.com/p/search/고운동 1310", "지도Link")</f>
        <v/>
      </c>
      <c r="N243" s="6">
        <f>HYPERLINK("http://www.eum.go.kr/web/ar/lu/luLandDet.jsp?pnu=3611011200113100000&amp;isNoScr=script&amp;mode=search",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위치좋고 저렴한 단독주택 용지 추천드립니다</t>
        </is>
      </c>
      <c r="L244" s="6">
        <f>HYPERLINK("https://fin.land.naver.com/articles/2650692446",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골드클래스</t>
        </is>
      </c>
      <c r="P244" s="4" t="n">
        <v>2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HYPERLINK("https://fin.land.naver.com/articles/2648840359",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HYPERLINK("https://fin.land.naver.com/articles/2649613023",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급매 추가조율가능 넓은평수 뒤로보행로접</t>
        </is>
      </c>
      <c r="L249" s="6">
        <f>HYPERLINK("https://fin.land.naver.com/articles/2652418961",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HYPERLINK("https://fin.land.naver.com/articles/2647421174",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1330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336</v>
      </c>
      <c r="H253" s="4" t="n">
        <v>102</v>
      </c>
      <c r="I253" s="5" t="n">
        <v>588.2</v>
      </c>
      <c r="J253" s="5" t="n">
        <v>336.5</v>
      </c>
      <c r="K253" s="3" t="inlineStr">
        <is>
          <t>햇빛 잘 들고 학교, 상가 가까워 생활 편리, 조율 가능</t>
        </is>
      </c>
      <c r="L253" s="6">
        <f>HYPERLINK("https://fin.land.naver.com/articles/2651034506", "매물Link")</f>
        <v/>
      </c>
      <c r="M253" s="6">
        <f>HYPERLINK("https://map.naver.com/p/search/고운동 1330", "지도Link")</f>
        <v/>
      </c>
      <c r="N253" s="6">
        <f>HYPERLINK("http://www.eum.go.kr/web/ar/lu/luLandDet.jsp?pnu=3611011200113300000&amp;isNoScr=script&amp;mode=search",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336.7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43000</v>
      </c>
      <c r="G257" s="4" t="n">
        <v>329</v>
      </c>
      <c r="H257" s="4" t="n">
        <v>100</v>
      </c>
      <c r="I257" s="5" t="n">
        <v>430</v>
      </c>
      <c r="J257" s="5" t="n">
        <v>336.5</v>
      </c>
      <c r="K257" s="3" t="inlineStr">
        <is>
          <t>급매 실개천 가락초 인근</t>
        </is>
      </c>
      <c r="L257" s="6">
        <f>HYPERLINK("https://fin.land.naver.com/articles/2650372143", "매물Link")</f>
        <v/>
      </c>
      <c r="M257" s="6">
        <f>HYPERLINK("https://map.naver.com/p/search/고운동 1334", "지도Link")</f>
        <v/>
      </c>
      <c r="N257" s="6">
        <f>HYPERLINK("http://www.eum.go.kr/web/ar/lu/luLandDet.jsp?pnu=3611011200113340000&amp;isNoScr=script&amp;mode=search",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329.7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1343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386</v>
      </c>
      <c r="H258" s="4" t="n">
        <v>117</v>
      </c>
      <c r="I258" s="5" t="n">
        <v>683.8</v>
      </c>
      <c r="J258" s="5" t="n">
        <v>349.4</v>
      </c>
      <c r="K258" s="3" t="inlineStr">
        <is>
          <t>넓은 평수 3면 도로접 개방감 최고, 학교 아파트 상가 가까워 생활편리</t>
        </is>
      </c>
      <c r="L258" s="6">
        <f>HYPERLINK("https://fin.land.naver.com/articles/2649698505", "매물Link")</f>
        <v/>
      </c>
      <c r="M258" s="6">
        <f>HYPERLINK("https://map.naver.com/p/search/고운동 1343", "지도Link")</f>
        <v/>
      </c>
      <c r="N258" s="6">
        <f>HYPERLINK("http://www.eum.go.kr/web/ar/lu/luLandDet.jsp?pnu=3611011200113430000&amp;isNoScr=script&amp;mode=search",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386.8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소로각지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348</v>
      </c>
      <c r="H260" s="4" t="n">
        <v>105</v>
      </c>
      <c r="I260" s="5" t="n">
        <v>609.5</v>
      </c>
      <c r="J260" s="5" t="n">
        <v>332.9</v>
      </c>
      <c r="K260" s="3" t="inlineStr">
        <is>
          <t>총 105.7p, 정남향, 상가인근 토지</t>
        </is>
      </c>
      <c r="L260" s="6">
        <f>HYPERLINK("https://fin.land.naver.com/articles/2647420830", "매물Link")</f>
        <v/>
      </c>
      <c r="M260" s="6">
        <f>HYPERLINK("https://map.naver.com/p/search/고운동 1344", "지도Link")</f>
        <v/>
      </c>
      <c r="N260" s="6">
        <f>HYPERLINK("http://www.eum.go.kr/web/ar/lu/luLandDet.jsp?pnu=3611011200113440000&amp;isNoScr=script&amp;mode=search",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348.8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소로한면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HYPERLINK("https://fin.land.naver.com/articles/2649699764",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1433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334</v>
      </c>
      <c r="H262" s="4" t="n">
        <v>101</v>
      </c>
      <c r="I262" s="5" t="n">
        <v>643.6</v>
      </c>
      <c r="J262" s="5" t="n">
        <v>334.9</v>
      </c>
      <c r="K262" s="3" t="inlineStr">
        <is>
          <t>nan</t>
        </is>
      </c>
      <c r="L262" s="6">
        <f>HYPERLINK("https://fin.land.naver.com/articles/2649619098", "매물Link")</f>
        <v/>
      </c>
      <c r="M262" s="6">
        <f>HYPERLINK("https://map.naver.com/p/search/고운동 1433", "지도Link")</f>
        <v/>
      </c>
      <c r="N262" s="6">
        <f>HYPERLINK("http://www.eum.go.kr/web/ar/lu/luLandDet.jsp?pnu=3611011200114330000&amp;isNoScr=script&amp;mode=search",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1462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358</v>
      </c>
      <c r="H263" s="4" t="n">
        <v>108</v>
      </c>
      <c r="I263" s="5" t="n">
        <v>555.6</v>
      </c>
      <c r="J263" s="5" t="n">
        <v>334.9</v>
      </c>
      <c r="K263" s="3" t="inlineStr">
        <is>
          <t>조율가능 넓은평수 지대높음</t>
        </is>
      </c>
      <c r="L263" s="6">
        <f>HYPERLINK("https://fin.land.naver.com/articles/2648615564", "매물Link")</f>
        <v/>
      </c>
      <c r="M263" s="6">
        <f>HYPERLINK("https://map.naver.com/p/search/고운동 1462", "지도Link")</f>
        <v/>
      </c>
      <c r="N263" s="6">
        <f>HYPERLINK("http://www.eum.go.kr/web/ar/lu/luLandDet.jsp?pnu=3611011200114620000&amp;isNoScr=script&amp;mode=search",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358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356</v>
      </c>
      <c r="H264" s="4" t="n">
        <v>108</v>
      </c>
      <c r="I264" s="5" t="n">
        <v>638.9</v>
      </c>
      <c r="J264" s="5" t="n">
        <v>334.9</v>
      </c>
      <c r="K264" s="3" t="inlineStr">
        <is>
          <t>고운동 단독주택지 저렴한 매물</t>
        </is>
      </c>
      <c r="L264" s="6">
        <f>HYPERLINK("https://fin.land.naver.com/articles/2648967212", "매물Link")</f>
        <v/>
      </c>
      <c r="M264" s="6">
        <f>HYPERLINK("https://map.naver.com/p/search/고운동 1463", "지도Link")</f>
        <v/>
      </c>
      <c r="N264" s="6">
        <f>HYPERLINK("http://www.eum.go.kr/web/ar/lu/luLandDet.jsp?pnu=3611011200114630000&amp;isNoScr=script&amp;mode=search",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356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357</v>
      </c>
      <c r="H265" s="4" t="n">
        <v>108</v>
      </c>
      <c r="I265" s="5" t="n">
        <v>555.6</v>
      </c>
      <c r="J265" s="5" t="n">
        <v>334.9</v>
      </c>
      <c r="K265" s="3" t="inlineStr">
        <is>
          <t>급매 우측시유지 넓은접함 조율가능</t>
        </is>
      </c>
      <c r="L265" s="6">
        <f>HYPERLINK("https://fin.land.naver.com/articles/2651088249", "매물Link")</f>
        <v/>
      </c>
      <c r="M265" s="6">
        <f>HYPERLINK("https://map.naver.com/p/search/고운동 1464", "지도Link")</f>
        <v/>
      </c>
      <c r="N265" s="6">
        <f>HYPERLINK("http://www.eum.go.kr/web/ar/lu/luLandDet.jsp?pnu=3611011200114640000&amp;isNoScr=script&amp;mode=search",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357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1491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325</v>
      </c>
      <c r="H266" s="4" t="n">
        <v>98</v>
      </c>
      <c r="I266" s="5" t="n">
        <v>612.2</v>
      </c>
      <c r="J266" s="5" t="n">
        <v>351.4</v>
      </c>
      <c r="K266" s="3" t="inlineStr">
        <is>
          <t>코너각지로 상가와복컴,학교가까운 위치좋은택지</t>
        </is>
      </c>
      <c r="L266" s="6">
        <f>HYPERLINK("https://fin.land.naver.com/articles/2649416314", "매물Link")</f>
        <v/>
      </c>
      <c r="M266" s="6">
        <f>HYPERLINK("https://map.naver.com/p/search/고운동 1491", "지도Link")</f>
        <v/>
      </c>
      <c r="N266" s="6">
        <f>HYPERLINK("http://www.eum.go.kr/web/ar/lu/luLandDet.jsp?pnu=3611011200114910000&amp;isNoScr=script&amp;mode=search", "토지이음")</f>
        <v/>
      </c>
      <c r="O266" s="3" t="inlineStr">
        <is>
          <t>세종황소</t>
        </is>
      </c>
      <c r="P266" s="4" t="n">
        <v>1</v>
      </c>
      <c r="Q266" s="4" t="n">
        <v>325.6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112000</v>
      </c>
      <c r="G267" s="4" t="n">
        <v>409</v>
      </c>
      <c r="H267" s="4" t="n">
        <v>124</v>
      </c>
      <c r="I267" s="5" t="n">
        <v>903.2</v>
      </c>
      <c r="J267" s="5" t="n">
        <v>787.1</v>
      </c>
      <c r="K267" s="3" t="inlineStr">
        <is>
          <t>귀한 근생용지o완전급매o</t>
        </is>
      </c>
      <c r="L267" s="6">
        <f>HYPERLINK("https://fin.land.naver.com/articles/2653032547", "매물Link")</f>
        <v/>
      </c>
      <c r="M267" s="6">
        <f>HYPERLINK("https://map.naver.com/p/search/고운동 1524", "지도Link")</f>
        <v/>
      </c>
      <c r="N267" s="6">
        <f>HYPERLINK("http://www.eum.go.kr/web/ar/lu/luLandDet.jsp?pnu=3611011200115240000&amp;isNoScr=script&amp;mode=search", "토지이음")</f>
        <v/>
      </c>
      <c r="O267" s="3" t="inlineStr">
        <is>
          <t>가치잇는</t>
        </is>
      </c>
      <c r="P267" s="4" t="n">
        <v>3</v>
      </c>
      <c r="Q267" s="4" t="n">
        <v>409.3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중로한면</t>
        </is>
      </c>
    </row>
    <row r="268">
      <c r="A268" s="3" t="inlineStr">
        <is>
          <t>고운동 1531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99000</v>
      </c>
      <c r="G268" s="4" t="n">
        <v>361</v>
      </c>
      <c r="H268" s="4" t="n">
        <v>109</v>
      </c>
      <c r="I268" s="5" t="n">
        <v>908.3</v>
      </c>
      <c r="J268" s="5" t="n">
        <v>771.9</v>
      </c>
      <c r="K268" s="3" t="inlineStr">
        <is>
          <t>I 급매 I 먹자골목 메인 대로변 파격 급매 근생용지, 직접 지어서 운영</t>
        </is>
      </c>
      <c r="L268" s="6">
        <f>HYPERLINK("https://fin.land.naver.com/articles/2648523071", "매물Link")</f>
        <v/>
      </c>
      <c r="M268" s="6">
        <f>HYPERLINK("https://map.naver.com/p/search/고운동 1531", "지도Link")</f>
        <v/>
      </c>
      <c r="N268" s="6">
        <f>HYPERLINK("http://www.eum.go.kr/web/ar/lu/luLandDet.jsp?pnu=3611011200115310000&amp;isNoScr=script&amp;mode=search",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361.8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중로한면</t>
        </is>
      </c>
    </row>
    <row r="269">
      <c r="A269" s="3" t="inlineStr">
        <is>
          <t>고운동 1531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361</v>
      </c>
      <c r="H269" s="4" t="n">
        <v>109</v>
      </c>
      <c r="I269" s="5" t="n">
        <v>1009.2</v>
      </c>
      <c r="J269" s="5" t="n">
        <v>771.9</v>
      </c>
      <c r="K269" s="3" t="inlineStr">
        <is>
          <t>대로변 근생부지 매매</t>
        </is>
      </c>
      <c r="L269" s="6">
        <f>HYPERLINK("https://fin.land.naver.com/articles/2651891397", "매물Link")</f>
        <v/>
      </c>
      <c r="M269" s="6">
        <f>HYPERLINK("https://map.naver.com/p/search/고운동 1531", "지도Link")</f>
        <v/>
      </c>
      <c r="N269" s="6">
        <f>HYPERLINK("http://www.eum.go.kr/web/ar/lu/luLandDet.jsp?pnu=3611011200115310000&amp;isNoScr=script&amp;mode=search", "토지이음")</f>
        <v/>
      </c>
      <c r="O269" s="3" t="inlineStr">
        <is>
          <t>창고의여왕</t>
        </is>
      </c>
      <c r="P269" s="4" t="n">
        <v>1</v>
      </c>
      <c r="Q269" s="4" t="n">
        <v>361.8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중로한면</t>
        </is>
      </c>
    </row>
    <row r="270">
      <c r="A270" s="3" t="inlineStr">
        <is>
          <t>고운동 1539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377</v>
      </c>
      <c r="H270" s="4" t="n">
        <v>114</v>
      </c>
      <c r="I270" s="5" t="n">
        <v>438.6</v>
      </c>
      <c r="J270" s="5" t="n">
        <v>340.2</v>
      </c>
      <c r="K270" s="3" t="inlineStr">
        <is>
          <t>급매 추가조율협의됨 넓은필지</t>
        </is>
      </c>
      <c r="L270" s="6">
        <f>HYPERLINK("https://fin.land.naver.com/articles/2651115388", "매물Link")</f>
        <v/>
      </c>
      <c r="M270" s="6">
        <f>HYPERLINK("https://map.naver.com/p/search/고운동 1539", "지도Link")</f>
        <v/>
      </c>
      <c r="N270" s="6">
        <f>HYPERLINK("http://www.eum.go.kr/web/ar/lu/luLandDet.jsp?pnu=3611011200115390000&amp;isNoScr=script&amp;mode=search",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377.1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소로각지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총 119.9p, 상가인근토지, 삼거리 위치</t>
        </is>
      </c>
      <c r="L273" s="6">
        <f>HYPERLINK("https://fin.land.naver.com/articles/2652843053",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HYPERLINK("https://fin.land.naver.com/articles/2649564858",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HYPERLINK("https://fin.land.naver.com/articles/2651035209",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340</v>
      </c>
      <c r="H276" s="4" t="n">
        <v>103</v>
      </c>
      <c r="I276" s="5" t="n">
        <v>534</v>
      </c>
      <c r="J276" s="5" t="n">
        <v>322.6</v>
      </c>
      <c r="K276" s="3" t="inlineStr">
        <is>
          <t>급매.상권가까운 저렴한 택지.</t>
        </is>
      </c>
      <c r="L276" s="6">
        <f>HYPERLINK("https://fin.land.naver.com/articles/2647592924", "매물Link")</f>
        <v/>
      </c>
      <c r="M276" s="6">
        <f>HYPERLINK("https://map.naver.com/p/search/고운동 1556", "지도Link")</f>
        <v/>
      </c>
      <c r="N276" s="6">
        <f>HYPERLINK("http://www.eum.go.kr/web/ar/lu/luLandDet.jsp?pnu=3611011200115560000&amp;isNoScr=script&amp;mode=search", "토지이음")</f>
        <v/>
      </c>
      <c r="O276" s="3" t="inlineStr">
        <is>
          <t>킹</t>
        </is>
      </c>
      <c r="P276" s="4" t="n">
        <v>1</v>
      </c>
      <c r="Q276" s="4" t="n">
        <v>340.8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1560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65000</v>
      </c>
      <c r="G277" s="4" t="n">
        <v>342</v>
      </c>
      <c r="H277" s="4" t="n">
        <v>103</v>
      </c>
      <c r="I277" s="5" t="n">
        <v>631.1</v>
      </c>
      <c r="J277" s="5" t="n">
        <v>335.2</v>
      </c>
      <c r="K277" s="3" t="inlineStr">
        <is>
          <t>2면도로 접한 코너땅,근린상가 근접 이용편의</t>
        </is>
      </c>
      <c r="L277" s="6">
        <f>HYPERLINK("https://fin.land.naver.com/articles/2649660852", "매물Link")</f>
        <v/>
      </c>
      <c r="M277" s="6">
        <f>HYPERLINK("https://map.naver.com/p/search/고운동 1560", "지도Link")</f>
        <v/>
      </c>
      <c r="N277" s="6">
        <f>HYPERLINK("http://www.eum.go.kr/web/ar/lu/luLandDet.jsp?pnu=3611011200115600000&amp;isNoScr=script&amp;mode=search", "토지이음")</f>
        <v/>
      </c>
      <c r="O277" s="3" t="inlineStr">
        <is>
          <t>킹세종</t>
        </is>
      </c>
      <c r="P277" s="4" t="n">
        <v>2</v>
      </c>
      <c r="Q277" s="4" t="n">
        <v>342.9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1568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55000</v>
      </c>
      <c r="G278" s="4" t="n">
        <v>356</v>
      </c>
      <c r="H278" s="4" t="n">
        <v>108</v>
      </c>
      <c r="I278" s="5" t="n">
        <v>509.3</v>
      </c>
      <c r="J278" s="5" t="n">
        <v>324.2</v>
      </c>
      <c r="K278" s="3" t="inlineStr">
        <is>
          <t>108.1p, 급매, 고운동 위치좋은 토지매매</t>
        </is>
      </c>
      <c r="L278" s="6">
        <f>HYPERLINK("https://fin.land.naver.com/articles/2651940835", "매물Link")</f>
        <v/>
      </c>
      <c r="M278" s="6">
        <f>HYPERLINK("https://map.naver.com/p/search/고운동 1568", "지도Link")</f>
        <v/>
      </c>
      <c r="N278" s="6">
        <f>HYPERLINK("http://www.eum.go.kr/web/ar/lu/luLandDet.jsp?pnu=3611011200115680000&amp;isNoScr=script&amp;mode=search",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356.8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1578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362</v>
      </c>
      <c r="H280" s="4" t="n">
        <v>110</v>
      </c>
      <c r="I280" s="5" t="n">
        <v>727.3</v>
      </c>
      <c r="J280" s="5" t="n">
        <v>340.2</v>
      </c>
      <c r="K280" s="3" t="inlineStr">
        <is>
          <t>조율가능 실개천 남향 코너각지</t>
        </is>
      </c>
      <c r="L280" s="6">
        <f>HYPERLINK("https://fin.land.naver.com/articles/2652418802", "매물Link")</f>
        <v/>
      </c>
      <c r="M280" s="6">
        <f>HYPERLINK("https://map.naver.com/p/search/고운동 1578", "지도Link")</f>
        <v/>
      </c>
      <c r="N280" s="6">
        <f>HYPERLINK("http://www.eum.go.kr/web/ar/lu/luLandDet.jsp?pnu=3611011200115780000&amp;isNoScr=script&amp;mode=search",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362.1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1595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</v>
      </c>
      <c r="G281" s="4" t="n">
        <v>393</v>
      </c>
      <c r="H281" s="4" t="n">
        <v>119</v>
      </c>
      <c r="I281" s="5" t="n">
        <v>445.4</v>
      </c>
      <c r="J281" s="5" t="n">
        <v>330.3</v>
      </c>
      <c r="K281" s="3" t="inlineStr">
        <is>
          <t>급매,학교앞 위치좋은곳,대지면적넓음</t>
        </is>
      </c>
      <c r="L281" s="6">
        <f>HYPERLINK("https://fin.land.naver.com/articles/2649455123", "매물Link")</f>
        <v/>
      </c>
      <c r="M281" s="6">
        <f>HYPERLINK("https://map.naver.com/p/search/고운동 1595", "지도Link")</f>
        <v/>
      </c>
      <c r="N281" s="6">
        <f>HYPERLINK("http://www.eum.go.kr/web/ar/lu/luLandDet.jsp?pnu=3611011200115950000&amp;isNoScr=script&amp;mode=search", "토지이음")</f>
        <v/>
      </c>
      <c r="O281" s="3" t="inlineStr">
        <is>
          <t>세종황소</t>
        </is>
      </c>
      <c r="P281" s="4" t="n">
        <v>1</v>
      </c>
      <c r="Q281" s="4" t="n">
        <v>393.6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소로각지</t>
        </is>
      </c>
    </row>
    <row r="282">
      <c r="A282" s="3" t="inlineStr">
        <is>
          <t>고운동 1598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340</v>
      </c>
      <c r="H282" s="4" t="n">
        <v>103</v>
      </c>
      <c r="I282" s="5" t="n">
        <v>563.1</v>
      </c>
      <c r="J282" s="5" t="n">
        <v>366</v>
      </c>
      <c r="K282" s="3" t="inlineStr">
        <is>
          <t>급매 3면코너각지 산조망 위치최상 조율가능</t>
        </is>
      </c>
      <c r="L282" s="6">
        <f>HYPERLINK("https://fin.land.naver.com/articles/2648615408", "매물Link")</f>
        <v/>
      </c>
      <c r="M282" s="6">
        <f>HYPERLINK("https://map.naver.com/p/search/고운동 1598", "지도Link")</f>
        <v/>
      </c>
      <c r="N282" s="6">
        <f>HYPERLINK("http://www.eum.go.kr/web/ar/lu/luLandDet.jsp?pnu=3611011200115980000&amp;isNoScr=script&amp;mode=search",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340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중로각지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HYPERLINK("https://fin.land.naver.com/articles/2650427880",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HYPERLINK("https://fin.land.naver.com/articles/2651944760",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총 105.5p, 공원 앞, 위치좋은 토지</t>
        </is>
      </c>
      <c r="L288" s="6">
        <f>HYPERLINK("https://fin.land.naver.com/articles/2652842395",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105.5p, 공원 옆 전망 좋은 단독주택 토지 매매</t>
        </is>
      </c>
      <c r="L289" s="6">
        <f>HYPERLINK("https://fin.land.naver.com/articles/2648127338",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HYPERLINK("https://fin.land.naver.com/articles/2648615800",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HYPERLINK("https://fin.land.naver.com/articles/2650653474",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334</v>
      </c>
      <c r="H297" s="4" t="n">
        <v>101</v>
      </c>
      <c r="I297" s="5" t="n">
        <v>564.4</v>
      </c>
      <c r="J297" s="5" t="n">
        <v>297.1</v>
      </c>
      <c r="K297" s="3" t="inlineStr">
        <is>
          <t>급매 조율가능 고운초중 도보3분 학원상권 복컴 도보5분</t>
        </is>
      </c>
      <c r="L297" s="6">
        <f>HYPERLINK("https://fin.land.naver.com/articles/2648979457",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HYPERLINK("https://fin.land.naver.com/articles/2652885247",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HYPERLINK("https://fin.land.naver.com/articles/2652917967",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nan</t>
        </is>
      </c>
      <c r="L302" s="6">
        <f>HYPERLINK("https://fin.land.naver.com/articles/2648024777",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세종지평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급매 코너각지 상권 학교 가까움 추가조율가능</t>
        </is>
      </c>
      <c r="L309" s="6">
        <f>HYPERLINK("https://fin.land.naver.com/articles/2652289680",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세종스타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52000</v>
      </c>
      <c r="G310" s="4" t="n">
        <v>334</v>
      </c>
      <c r="H310" s="4" t="n">
        <v>101</v>
      </c>
      <c r="I310" s="5" t="n">
        <v>514.9</v>
      </c>
      <c r="J310" s="5" t="n">
        <v>308.7</v>
      </c>
      <c r="K310" s="3" t="inlineStr">
        <is>
          <t>코너각지에 보행자도로 접하고 남향으로 반듯한 단독주택부지, 가격조정 가능</t>
        </is>
      </c>
      <c r="L310" s="6">
        <f>HYPERLINK("https://fin.land.naver.com/articles/2649697362",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온뜰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91000</v>
      </c>
      <c r="G319" s="4" t="n">
        <v>345</v>
      </c>
      <c r="H319" s="4" t="n">
        <v>104</v>
      </c>
      <c r="I319" s="5" t="n">
        <v>875</v>
      </c>
      <c r="J319" s="5" t="n">
        <v>297.2</v>
      </c>
      <c r="K319" s="3" t="inlineStr">
        <is>
          <t>도로 접한 남향 주택 건축하기좋은 면적과 모양</t>
        </is>
      </c>
      <c r="L319" s="6">
        <f>HYPERLINK("https://fin.land.naver.com/articles/2650774064",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학하랜드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530000</v>
      </c>
      <c r="G323" s="4" t="n">
        <v>615</v>
      </c>
      <c r="H323" s="4" t="n">
        <v>186</v>
      </c>
      <c r="I323" s="5" t="n">
        <v>2849.5</v>
      </c>
      <c r="J323" s="5" t="n">
        <v>1021.2</v>
      </c>
      <c r="K323" s="3" t="inlineStr">
        <is>
          <t>세종시 일반상업지 토지, 메디컬 및 상가빌딩 건축부지 추천</t>
        </is>
      </c>
      <c r="L323" s="6">
        <f>HYPERLINK("https://fin.land.naver.com/articles/2652799255",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혜성</t>
        </is>
      </c>
      <c r="P323" s="4" t="n">
        <v>1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HYPERLINK("https://fin.land.naver.com/articles/2652224485",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황금도장</t>
        </is>
      </c>
      <c r="P326" s="4" t="n">
        <v>4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전용 120.9p, 파크힐즈 단독주택 토지 매매</t>
        </is>
      </c>
      <c r="L329" s="6">
        <f>HYPERLINK("https://fin.land.naver.com/articles/2650891002",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398</v>
      </c>
      <c r="H330" s="4" t="n">
        <v>120</v>
      </c>
      <c r="I330" s="5" t="n">
        <v>666.7</v>
      </c>
      <c r="J330" s="5" t="n">
        <v>293.4</v>
      </c>
      <c r="K330" s="3" t="inlineStr">
        <is>
          <t>타운하우스내 대지, 고운뜰공원산책로 및 상권 인접</t>
        </is>
      </c>
      <c r="L330" s="6">
        <f>HYPERLINK("https://fin.land.naver.com/articles/2649399557",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세종해비치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HYPERLINK("https://fin.land.naver.com/articles/2648152800",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386</v>
      </c>
      <c r="H335" s="4" t="n">
        <v>117</v>
      </c>
      <c r="I335" s="5" t="n">
        <v>1025.6</v>
      </c>
      <c r="J335" s="5" t="n">
        <v>282.1</v>
      </c>
      <c r="K335" s="3" t="inlineStr">
        <is>
          <t>117.2p, 벙커주차장 가능한 단독토지, 고급타운하우스</t>
        </is>
      </c>
      <c r="L335" s="6">
        <f>HYPERLINK("https://fin.land.naver.com/articles/2650892488",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세종무지개</t>
        </is>
      </c>
      <c r="P335" s="4" t="n">
        <v>2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세종시 블록형 리안비채힐즈 단독택지</t>
        </is>
      </c>
      <c r="L339" s="6">
        <f>HYPERLINK("https://fin.land.naver.com/articles/2651559979",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부엉이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생명나무,리안비체힐즈 타운하우스 부지</t>
        </is>
      </c>
      <c r="L340" s="6">
        <f>HYPERLINK("https://fin.land.naver.com/articles/2650736949",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생명나무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HYPERLINK("https://fin.land.naver.com/articles/2649022250",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고운동 리안비체힐즈 단독주택 토지매매</t>
        </is>
      </c>
      <c r="L342" s="6">
        <f>HYPERLINK("https://fin.land.naver.com/articles/2649022173",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HYPERLINK("https://fin.land.naver.com/articles/2650427164",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73000</v>
      </c>
      <c r="G345" s="4" t="n">
        <v>357</v>
      </c>
      <c r="H345" s="4" t="n">
        <v>108</v>
      </c>
      <c r="I345" s="5" t="n">
        <v>675.9</v>
      </c>
      <c r="J345" s="5" t="n">
        <v>357.7</v>
      </c>
      <c r="K345" s="3" t="inlineStr">
        <is>
          <t>총 108.3p, 고운동 노블테라스 타운하우스 토지매매</t>
        </is>
      </c>
      <c r="L345" s="6">
        <f>HYPERLINK("https://fin.land.naver.com/articles/2649020706",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357</v>
      </c>
      <c r="H346" s="4" t="n">
        <v>108</v>
      </c>
      <c r="I346" s="5" t="n">
        <v>648.1</v>
      </c>
      <c r="J346" s="5" t="n">
        <v>357.7</v>
      </c>
      <c r="K346" s="3" t="inlineStr">
        <is>
          <t>108.3p, 노블테라스 토지매매, 분양가 이하</t>
        </is>
      </c>
      <c r="L346" s="6">
        <f>HYPERLINK("https://fin.land.naver.com/articles/2650890897",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HYPERLINK("https://fin.land.naver.com/articles/2652418949",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HYPERLINK("https://fin.land.naver.com/articles/2647424210",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295</v>
      </c>
      <c r="H354" s="4" t="n">
        <v>89</v>
      </c>
      <c r="I354" s="5" t="n">
        <v>561.8</v>
      </c>
      <c r="J354" s="5" t="n">
        <v>249.7</v>
      </c>
      <c r="K354" s="3" t="inlineStr">
        <is>
          <t>급매 산접한 최상위치 건축하기 좋은 토지모양</t>
        </is>
      </c>
      <c r="L354" s="6">
        <f>HYPERLINK("https://fin.land.naver.com/articles/2649424986",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한옥마을  귀한 근생 용지 .   커피숍 ,식당 등추천, 주변 아파트밀집</t>
        </is>
      </c>
      <c r="L357" s="6">
        <f>HYPERLINK("https://fin.land.naver.com/articles/2650760466",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세종특별시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고운동한옥마을 근생용지 도로변인접 노출이 잘되는 입지</t>
        </is>
      </c>
      <c r="L358" s="6">
        <f>HYPERLINK("https://fin.land.naver.com/articles/2651808448",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374</v>
      </c>
      <c r="H361" s="4" t="n">
        <v>113</v>
      </c>
      <c r="I361" s="5" t="n">
        <v>495.6</v>
      </c>
      <c r="J361" s="5" t="n">
        <v>319.6</v>
      </c>
      <c r="K361" s="3" t="inlineStr">
        <is>
          <t>고운동 단독주택지</t>
        </is>
      </c>
      <c r="L361" s="6">
        <f>HYPERLINK("https://fin.land.naver.com/articles/2648385636",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현대파라곤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코지빌 단독주택지, 도로지분 별도</t>
        </is>
      </c>
      <c r="L362" s="6">
        <f>HYPERLINK("https://fin.land.naver.com/articles/2647421619",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HYPERLINK("https://fin.land.naver.com/articles/2652839705",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코지빌 택지</t>
        </is>
      </c>
      <c r="L369" s="6">
        <f>HYPERLINK("https://fin.land.naver.com/articles/2651277381",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강아지풀</t>
        </is>
      </c>
      <c r="P369" s="4" t="n">
        <v>2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아파트 단지 바로 옆, 생활 인프라 좋은 토지매매</t>
        </is>
      </c>
      <c r="L384" s="6">
        <f>HYPERLINK("https://fin.land.naver.com/articles/2647421682",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HYPERLINK("https://fin.land.naver.com/articles/2647427194",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급매,넓은평수,복합커뮤니티센터,항아리중심상권 생활권 편리</t>
        </is>
      </c>
      <c r="L386" s="6">
        <f>HYPERLINK("https://fin.land.naver.com/articles/2650943280",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고운맘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HYPERLINK("https://fin.land.naver.com/articles/2649960869",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3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지대높아 전망좋은 토지</t>
        </is>
      </c>
      <c r="L398" s="6">
        <f>HYPERLINK("https://fin.land.naver.com/articles/2649578017",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킹세종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HYPERLINK("https://fin.land.naver.com/articles/2647421229",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코너각지,복합커뮤니티센터,항아리중심상권 생활권 편리,가격조정가능</t>
        </is>
      </c>
      <c r="L400" s="6">
        <f>HYPERLINK("https://fin.land.naver.com/articles/2650947653",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345</v>
      </c>
      <c r="H401" s="4" t="n">
        <v>104</v>
      </c>
      <c r="I401" s="5" t="n">
        <v>596.2</v>
      </c>
      <c r="J401" s="5" t="n">
        <v>329.9</v>
      </c>
      <c r="K401" s="3" t="inlineStr">
        <is>
          <t>입지 좋은 고운동 토지매매, 코너 각지 위치</t>
        </is>
      </c>
      <c r="L401" s="6">
        <f>HYPERLINK("https://fin.land.naver.com/articles/2651905795",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삼거리 코너 각지, 입지 좋은 토지매매</t>
        </is>
      </c>
      <c r="L402" s="6">
        <f>HYPERLINK("https://fin.land.naver.com/articles/2651188999",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978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70000</v>
      </c>
      <c r="G404" s="4" t="n">
        <v>332</v>
      </c>
      <c r="H404" s="4" t="n">
        <v>100</v>
      </c>
      <c r="I404" s="5" t="n">
        <v>700</v>
      </c>
      <c r="J404" s="5" t="n">
        <v>358.7</v>
      </c>
      <c r="K404" s="3" t="inlineStr">
        <is>
          <t>세종시 고운동 주택지 매매</t>
        </is>
      </c>
      <c r="L404" s="6">
        <f>HYPERLINK("https://fin.land.naver.com/articles/2647488846", "매물Link")</f>
        <v/>
      </c>
      <c r="M404" s="6">
        <f>HYPERLINK("https://map.naver.com/p/search/고운동 978", "지도Link")</f>
        <v/>
      </c>
      <c r="N404" s="6">
        <f>HYPERLINK("http://www.eum.go.kr/web/ar/lu/luLandDet.jsp?pnu=3611011200109780000&amp;isNoScr=script&amp;mode=search", "토지이음")</f>
        <v/>
      </c>
      <c r="O404" s="3" t="inlineStr">
        <is>
          <t>길운</t>
        </is>
      </c>
      <c r="P404" s="4" t="n">
        <v>1</v>
      </c>
      <c r="Q404" s="4" t="n">
        <v>332.8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중로각지</t>
        </is>
      </c>
    </row>
    <row r="405">
      <c r="A405" s="3" t="inlineStr">
        <is>
          <t>고운동 984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69000</v>
      </c>
      <c r="G405" s="4" t="n">
        <v>338</v>
      </c>
      <c r="H405" s="4" t="n">
        <v>102</v>
      </c>
      <c r="I405" s="5" t="n">
        <v>676.5</v>
      </c>
      <c r="J405" s="5" t="n">
        <v>317.5</v>
      </c>
      <c r="K405" s="3" t="inlineStr">
        <is>
          <t>nan</t>
        </is>
      </c>
      <c r="L405" s="6">
        <f>HYPERLINK("https://fin.land.naver.com/articles/2651027546", "매물Link")</f>
        <v/>
      </c>
      <c r="M405" s="6">
        <f>HYPERLINK("https://map.naver.com/p/search/고운동 984", "지도Link")</f>
        <v/>
      </c>
      <c r="N405" s="6">
        <f>HYPERLINK("http://www.eum.go.kr/web/ar/lu/luLandDet.jsp?pnu=3611011200109840000&amp;isNoScr=script&amp;mode=search",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338.6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고운동 994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57000</v>
      </c>
      <c r="G407" s="4" t="n">
        <v>359</v>
      </c>
      <c r="H407" s="4" t="n">
        <v>109</v>
      </c>
      <c r="I407" s="5" t="n">
        <v>522.9</v>
      </c>
      <c r="J407" s="5" t="n">
        <v>358.7</v>
      </c>
      <c r="K407" s="3" t="inlineStr">
        <is>
          <t>조절가능  위치좋은코너자리</t>
        </is>
      </c>
      <c r="L407" s="6">
        <f>HYPERLINK("https://fin.land.naver.com/articles/2650103114", "매물Link")</f>
        <v/>
      </c>
      <c r="M407" s="6">
        <f>HYPERLINK("https://map.naver.com/p/search/고운동 994", "지도Link")</f>
        <v/>
      </c>
      <c r="N407" s="6">
        <f>HYPERLINK("http://www.eum.go.kr/web/ar/lu/luLandDet.jsp?pnu=3611011200109940000&amp;isNoScr=script&amp;mode=search", "토지이음")</f>
        <v/>
      </c>
      <c r="O407" s="3" t="inlineStr">
        <is>
          <t>세종시토지</t>
        </is>
      </c>
      <c r="P407" s="4" t="n">
        <v>3</v>
      </c>
      <c r="Q407" s="4" t="n">
        <v>359.7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남이면 가마리 146-1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280000</v>
      </c>
      <c r="G408" s="4" t="n">
        <v>3752</v>
      </c>
      <c r="H408" s="4" t="n">
        <v>1135</v>
      </c>
      <c r="I408" s="5" t="n">
        <v>246.7</v>
      </c>
      <c r="J408" s="5" t="n">
        <v>96.40000000000001</v>
      </c>
      <c r="K408" s="3" t="inlineStr">
        <is>
          <t>nan</t>
        </is>
      </c>
      <c r="L408" s="6">
        <f>HYPERLINK("https://fin.land.naver.com/articles/2651710588", "매물Link")</f>
        <v/>
      </c>
      <c r="M408" s="6">
        <f>HYPERLINK("https://map.naver.com/p/search/남이면 가마리 146-1", "지도Link")</f>
        <v/>
      </c>
      <c r="N408" s="6">
        <f>HYPERLINK("http://www.eum.go.kr/web/ar/lu/luLandDet.jsp?pnu=4311231038101460001&amp;isNoScr=script&amp;mode=search",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3352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148-1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105000</v>
      </c>
      <c r="G409" s="4" t="n">
        <v>866</v>
      </c>
      <c r="H409" s="4" t="n">
        <v>262</v>
      </c>
      <c r="I409" s="5" t="n">
        <v>400.8</v>
      </c>
      <c r="J409" s="5" t="n">
        <v>113.5</v>
      </c>
      <c r="K409" s="3" t="inlineStr">
        <is>
          <t>가마리 4차선 대로변 토지매매</t>
        </is>
      </c>
      <c r="L409" s="6">
        <f>HYPERLINK("https://fin.land.naver.com/articles/2651766992", "매물Link")</f>
        <v/>
      </c>
      <c r="M409" s="6">
        <f>HYPERLINK("https://map.naver.com/p/search/남이면 가마리 148-1", "지도Link")</f>
        <v/>
      </c>
      <c r="N409" s="6">
        <f>HYPERLINK("http://www.eum.go.kr/web/ar/lu/luLandDet.jsp?pnu=4311231038101480001&amp;isNoScr=script&amp;mode=search", "토지이음")</f>
        <v/>
      </c>
      <c r="O409" s="3" t="inlineStr">
        <is>
          <t>한아름</t>
        </is>
      </c>
      <c r="P409" s="4" t="n">
        <v>1</v>
      </c>
      <c r="Q409" s="4" t="n">
        <v>781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중로한면</t>
        </is>
      </c>
    </row>
    <row r="410">
      <c r="A410" s="3" t="inlineStr">
        <is>
          <t>남이면 가마리 149-1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220000</v>
      </c>
      <c r="G410" s="4" t="n">
        <v>2103</v>
      </c>
      <c r="H410" s="4" t="n">
        <v>636</v>
      </c>
      <c r="I410" s="5" t="n">
        <v>345.9</v>
      </c>
      <c r="J410" s="5" t="n">
        <v>168.3</v>
      </c>
      <c r="K410" s="3" t="inlineStr">
        <is>
          <t>현재 화훼농원이며 건물신축 최적지</t>
        </is>
      </c>
      <c r="L410" s="6">
        <f>HYPERLINK("https://fin.land.naver.com/articles/2647531253", "매물Link")</f>
        <v/>
      </c>
      <c r="M410" s="6">
        <f>HYPERLINK("https://map.naver.com/p/search/남이면 가마리 149-1", "지도Link")</f>
        <v/>
      </c>
      <c r="N410" s="6">
        <f>HYPERLINK("http://www.eum.go.kr/web/ar/lu/luLandDet.jsp?pnu=4311231038101490001&amp;isNoScr=script&amp;mode=search", "토지이음")</f>
        <v/>
      </c>
      <c r="O410" s="3" t="inlineStr">
        <is>
          <t>산들</t>
        </is>
      </c>
      <c r="P410" s="4" t="n">
        <v>1</v>
      </c>
      <c r="Q410" s="4" t="n">
        <v>645</v>
      </c>
      <c r="R410" s="3" t="inlineStr">
        <is>
          <t>지정되지않음</t>
        </is>
      </c>
      <c r="S410" s="3" t="inlineStr">
        <is>
          <t>상업용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156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250000</v>
      </c>
      <c r="G411" s="4" t="n">
        <v>5481</v>
      </c>
      <c r="H411" s="4" t="n">
        <v>1658</v>
      </c>
      <c r="I411" s="5" t="n">
        <v>150.8</v>
      </c>
      <c r="J411" s="5" t="n">
        <v>69.3</v>
      </c>
      <c r="K411" s="3" t="inlineStr">
        <is>
          <t>남이면 가마리에 위치한 토지 매매</t>
        </is>
      </c>
      <c r="L411" s="6">
        <f>HYPERLINK("https://fin.land.naver.com/articles/2651761333", "매물Link")</f>
        <v/>
      </c>
      <c r="M411" s="6">
        <f>HYPERLINK("https://map.naver.com/p/search/남이면 가마리 156", "지도Link")</f>
        <v/>
      </c>
      <c r="N411" s="6">
        <f>HYPERLINK("http://www.eum.go.kr/web/ar/lu/luLandDet.jsp?pnu=4311231038101560000&amp;isNoScr=script&amp;mode=search", "토지이음")</f>
        <v/>
      </c>
      <c r="O411" s="3" t="inlineStr">
        <is>
          <t>대지</t>
        </is>
      </c>
      <c r="P411" s="4" t="n">
        <v>1</v>
      </c>
      <c r="Q411" s="4" t="n">
        <v>2446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160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1124</v>
      </c>
      <c r="H412" s="4" t="n">
        <v>340</v>
      </c>
      <c r="I412" s="5" t="n">
        <v>197.1</v>
      </c>
      <c r="J412" s="5" t="n">
        <v>58.5</v>
      </c>
      <c r="K412" s="3" t="inlineStr">
        <is>
          <t>남이면 2순환로 인근, 토목완료, 2종근생가능, 제조업 창고 건축 용도</t>
        </is>
      </c>
      <c r="L412" s="6">
        <f>HYPERLINK("https://fin.land.naver.com/articles/2649540693", "매물Link")</f>
        <v/>
      </c>
      <c r="M412" s="6">
        <f>HYPERLINK("https://map.naver.com/p/search/남이면 가마리 160", "지도Link")</f>
        <v/>
      </c>
      <c r="N412" s="6">
        <f>HYPERLINK("http://www.eum.go.kr/web/ar/lu/luLandDet.jsp?pnu=4311231038101600000&amp;isNoScr=script&amp;mode=search", "토지이음")</f>
        <v/>
      </c>
      <c r="O412" s="3" t="inlineStr">
        <is>
          <t>라인</t>
        </is>
      </c>
      <c r="P412" s="4" t="n">
        <v>1</v>
      </c>
      <c r="Q412" s="4" t="n">
        <v>2787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160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공장용지</t>
        </is>
      </c>
      <c r="E413" s="3" t="inlineStr">
        <is>
          <t>매매</t>
        </is>
      </c>
      <c r="F413" s="4" t="n">
        <v>67000</v>
      </c>
      <c r="G413" s="4" t="n">
        <v>1104</v>
      </c>
      <c r="H413" s="4" t="n">
        <v>334</v>
      </c>
      <c r="I413" s="5" t="n">
        <v>200.6</v>
      </c>
      <c r="J413" s="5" t="n">
        <v>58.5</v>
      </c>
      <c r="K413" s="3" t="inlineStr">
        <is>
          <t>사진 有, 토목공사 일부 완료된 공장용지 334형 매매</t>
        </is>
      </c>
      <c r="L413" s="6">
        <f>HYPERLINK("https://fin.land.naver.com/articles/2651813817", "매물Link")</f>
        <v/>
      </c>
      <c r="M413" s="6">
        <f>HYPERLINK("https://map.naver.com/p/search/남이면 가마리 160", "지도Link")</f>
        <v/>
      </c>
      <c r="N413" s="6">
        <f>HYPERLINK("http://www.eum.go.kr/web/ar/lu/luLandDet.jsp?pnu=4311231038101600000&amp;isNoScr=script&amp;mode=search", "토지이음")</f>
        <v/>
      </c>
      <c r="O413" s="3" t="inlineStr">
        <is>
          <t>태성</t>
        </is>
      </c>
      <c r="P413" s="4" t="n">
        <v>1</v>
      </c>
      <c r="Q413" s="4" t="n">
        <v>2787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168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48000</v>
      </c>
      <c r="G414" s="4" t="n">
        <v>1223</v>
      </c>
      <c r="H414" s="4" t="n">
        <v>370</v>
      </c>
      <c r="I414" s="5" t="n">
        <v>129.7</v>
      </c>
      <c r="J414" s="5" t="n">
        <v>46.8</v>
      </c>
      <c r="K414" s="3" t="inlineStr">
        <is>
          <t>자연녹지, 가마리 경지좋고 공기 좋아요, 주말농장으로 강추입니다.</t>
        </is>
      </c>
      <c r="L414" s="6">
        <f>HYPERLINK("https://fin.land.naver.com/articles/2649282375", "매물Link")</f>
        <v/>
      </c>
      <c r="M414" s="6">
        <f>HYPERLINK("https://map.naver.com/p/search/남이면 가마리 168", "지도Link")</f>
        <v/>
      </c>
      <c r="N414" s="6">
        <f>HYPERLINK("http://www.eum.go.kr/web/ar/lu/luLandDet.jsp?pnu=4311231038101680000&amp;isNoScr=script&amp;mode=search",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1223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168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48000</v>
      </c>
      <c r="G415" s="4" t="n">
        <v>1219</v>
      </c>
      <c r="H415" s="4" t="n">
        <v>369</v>
      </c>
      <c r="I415" s="5" t="n">
        <v>130.1</v>
      </c>
      <c r="J415" s="5" t="n">
        <v>46.8</v>
      </c>
      <c r="K415" s="3" t="inlineStr">
        <is>
          <t>가마리 토지매매 경치 좋아요 주말농장 원하시는 분 추천</t>
        </is>
      </c>
      <c r="L415" s="6">
        <f>HYPERLINK("https://fin.land.naver.com/articles/2649177273", "매물Link")</f>
        <v/>
      </c>
      <c r="M415" s="6">
        <f>HYPERLINK("https://map.naver.com/p/search/남이면 가마리 168", "지도Link")</f>
        <v/>
      </c>
      <c r="N415" s="6">
        <f>HYPERLINK("http://www.eum.go.kr/web/ar/lu/luLandDet.jsp?pnu=4311231038101680000&amp;isNoScr=script&amp;mode=search", "토지이음")</f>
        <v/>
      </c>
      <c r="O415" s="3" t="inlineStr">
        <is>
          <t>힐데스하임</t>
        </is>
      </c>
      <c r="P415" s="4" t="n">
        <v>1</v>
      </c>
      <c r="Q415" s="4" t="n">
        <v>1223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168-3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47250</v>
      </c>
      <c r="G416" s="4" t="n">
        <v>1041</v>
      </c>
      <c r="H416" s="4" t="n">
        <v>315</v>
      </c>
      <c r="I416" s="5" t="n">
        <v>150</v>
      </c>
      <c r="J416" s="5" t="n">
        <v>46.8</v>
      </c>
      <c r="K416" s="3" t="inlineStr">
        <is>
          <t>투자용 농지로 추천드리며,도로접해있고 옆에 개울도 있습니다</t>
        </is>
      </c>
      <c r="L416" s="6">
        <f>HYPERLINK("https://fin.land.naver.com/articles/2653080924", "매물Link")</f>
        <v/>
      </c>
      <c r="M416" s="6">
        <f>HYPERLINK("https://map.naver.com/p/search/남이면 가마리 168-3", "지도Link")</f>
        <v/>
      </c>
      <c r="N416" s="6">
        <f>HYPERLINK("http://www.eum.go.kr/web/ar/lu/luLandDet.jsp?pnu=4311231038101680003&amp;isNoScr=script&amp;mode=search", "토지이음")</f>
        <v/>
      </c>
      <c r="O416" s="3" t="inlineStr">
        <is>
          <t>대성합동사무소</t>
        </is>
      </c>
      <c r="P416" s="4" t="n">
        <v>1</v>
      </c>
      <c r="Q416" s="4" t="n">
        <v>1041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29700</v>
      </c>
      <c r="G430" s="4" t="n">
        <v>595</v>
      </c>
      <c r="H430" s="4" t="n">
        <v>180</v>
      </c>
      <c r="I430" s="5" t="n">
        <v>165</v>
      </c>
      <c r="J430" s="5" t="n">
        <v>52</v>
      </c>
      <c r="K430" s="3" t="inlineStr">
        <is>
          <t>청주 2순환도로 인근, 시내권 최고의 전원주택지</t>
        </is>
      </c>
      <c r="L430" s="6">
        <f>HYPERLINK("https://fin.land.naver.com/articles/2647922466",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천석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6-17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26100</v>
      </c>
      <c r="G431" s="4" t="n">
        <v>595</v>
      </c>
      <c r="H431" s="4" t="n">
        <v>180</v>
      </c>
      <c r="I431" s="5" t="n">
        <v>145</v>
      </c>
      <c r="J431" s="5" t="n">
        <v>52</v>
      </c>
      <c r="K431" s="3" t="inlineStr">
        <is>
          <t>청주 2순환로와 인접, 완전 시내권 전원주택지 시세대비 아주저렴</t>
        </is>
      </c>
      <c r="L431" s="6">
        <f>HYPERLINK("https://fin.land.naver.com/articles/2650170917", "매물Link")</f>
        <v/>
      </c>
      <c r="M431" s="6">
        <f>HYPERLINK("https://map.naver.com/p/search/남이면 가마리 산 6-17", "지도Link")</f>
        <v/>
      </c>
      <c r="N431" s="6">
        <f>HYPERLINK("http://www.eum.go.kr/web/ar/lu/luLandDet.jsp?pnu=4311231038200060017&amp;isNoScr=script&amp;mode=search",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510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남이면 가마리 산 6-2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40000</v>
      </c>
      <c r="G432" s="4" t="n">
        <v>661</v>
      </c>
      <c r="H432" s="4" t="n">
        <v>200</v>
      </c>
      <c r="I432" s="5" t="n">
        <v>200</v>
      </c>
      <c r="J432" s="5" t="n">
        <v>57.1</v>
      </c>
      <c r="K432" s="3" t="inlineStr">
        <is>
          <t>nan</t>
        </is>
      </c>
      <c r="L432" s="6">
        <f>HYPERLINK("https://fin.land.naver.com/articles/2649939735", "매물Link")</f>
        <v/>
      </c>
      <c r="M432" s="6">
        <f>HYPERLINK("https://map.naver.com/p/search/남이면 가마리 산 6-2", "지도Link")</f>
        <v/>
      </c>
      <c r="N432" s="6">
        <f>HYPERLINK("http://www.eum.go.kr/web/ar/lu/luLandDet.jsp?pnu=4311231038200060002&amp;isNoScr=script&amp;mode=search", "토지이음")</f>
        <v/>
      </c>
      <c r="O432" s="3" t="inlineStr">
        <is>
          <t>일등</t>
        </is>
      </c>
      <c r="P432" s="4" t="n">
        <v>1</v>
      </c>
      <c r="Q432" s="4" t="n">
        <v>1065</v>
      </c>
      <c r="R432" s="3" t="inlineStr">
        <is>
          <t>자연녹지지역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가마리 산6-6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45000</v>
      </c>
      <c r="G433" s="4" t="n">
        <v>876</v>
      </c>
      <c r="H433" s="4" t="n">
        <v>265</v>
      </c>
      <c r="I433" s="5" t="n">
        <v>169.8</v>
      </c>
      <c r="J433" s="5" t="n">
        <v>41.7</v>
      </c>
      <c r="K433" s="3" t="inlineStr">
        <is>
          <t>청주 서원 남이 가마리 2순환로 인근 전원주택용지 매매, 다양한면적 보유</t>
        </is>
      </c>
      <c r="L433" s="6">
        <f>HYPERLINK("https://fin.land.naver.com/articles/2649345544", "매물Link")</f>
        <v/>
      </c>
      <c r="M433" s="6">
        <f>HYPERLINK("https://map.naver.com/p/search/남이면 가마리 산6-6", "지도Link")</f>
        <v/>
      </c>
      <c r="N433" s="6">
        <f>HYPERLINK("http://www.eum.go.kr/web/ar/lu/luLandDet.jsp?pnu=4311231038200060006&amp;isNoScr=script&amp;mode=search", "토지이음")</f>
        <v/>
      </c>
      <c r="O433" s="3" t="inlineStr">
        <is>
          <t>라인</t>
        </is>
      </c>
      <c r="P433" s="4" t="n">
        <v>1</v>
      </c>
      <c r="Q433" s="4" t="n">
        <v>678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세로한면(불)</t>
        </is>
      </c>
    </row>
    <row r="434">
      <c r="A434" s="3" t="inlineStr">
        <is>
          <t>남이면 가좌리 122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54000</v>
      </c>
      <c r="G434" s="4" t="n">
        <v>1983</v>
      </c>
      <c r="H434" s="4" t="n">
        <v>600</v>
      </c>
      <c r="I434" s="5" t="n">
        <v>90</v>
      </c>
      <c r="J434" s="5" t="n">
        <v>26.8</v>
      </c>
      <c r="K434" s="3" t="inlineStr">
        <is>
          <t>자연녹지 도로접 주택지등</t>
        </is>
      </c>
      <c r="L434" s="6">
        <f>HYPERLINK("https://fin.land.naver.com/articles/2649473928", "매물Link")</f>
        <v/>
      </c>
      <c r="M434" s="6">
        <f>HYPERLINK("https://map.naver.com/p/search/남이면 가좌리 122", "지도Link")</f>
        <v/>
      </c>
      <c r="N434" s="6">
        <f>HYPERLINK("http://www.eum.go.kr/web/ar/lu/luLandDet.jsp?pnu=4311231036101220000&amp;isNoScr=script&amp;mode=search", "토지이음")</f>
        <v/>
      </c>
      <c r="O434" s="3" t="inlineStr">
        <is>
          <t>명장</t>
        </is>
      </c>
      <c r="P434" s="4" t="n">
        <v>1</v>
      </c>
      <c r="Q434" s="4" t="n">
        <v>1478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HYPERLINK("https://fin.land.naver.com/articles/2648030051",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129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28400</v>
      </c>
      <c r="G436" s="4" t="n">
        <v>1174</v>
      </c>
      <c r="H436" s="4" t="n">
        <v>355</v>
      </c>
      <c r="I436" s="5" t="n">
        <v>80</v>
      </c>
      <c r="J436" s="5" t="n">
        <v>26.8</v>
      </c>
      <c r="K436" s="3" t="inlineStr">
        <is>
          <t>2차선 도로에 접한 자연녹지지역의 전원주택 및 근린생활용지</t>
        </is>
      </c>
      <c r="L436" s="6">
        <f>HYPERLINK("https://fin.land.naver.com/articles/2649508253", "매물Link")</f>
        <v/>
      </c>
      <c r="M436" s="6">
        <f>HYPERLINK("https://map.naver.com/p/search/남이면 가좌리 129", "지도Link")</f>
        <v/>
      </c>
      <c r="N436" s="6">
        <f>HYPERLINK("http://www.eum.go.kr/web/ar/lu/luLandDet.jsp?pnu=4311231036101290000&amp;isNoScr=script&amp;mode=search", "토지이음")</f>
        <v/>
      </c>
      <c r="O436" s="3" t="inlineStr">
        <is>
          <t>강문구</t>
        </is>
      </c>
      <c r="P436" s="4" t="n">
        <v>2</v>
      </c>
      <c r="Q436" s="4" t="n">
        <v>1092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134-49</t>
        </is>
      </c>
      <c r="B438" s="3" t="inlineStr">
        <is>
          <t>보전녹지지역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120000</v>
      </c>
      <c r="G438" s="4" t="n">
        <v>6358</v>
      </c>
      <c r="H438" s="4" t="n">
        <v>1923</v>
      </c>
      <c r="I438" s="5" t="n">
        <v>62.4</v>
      </c>
      <c r="J438" s="5" t="n">
        <v>25.4</v>
      </c>
      <c r="K438" s="3" t="inlineStr">
        <is>
          <t>가좌리에 위치한 전원주택지 토지 급매</t>
        </is>
      </c>
      <c r="L438" s="6">
        <f>HYPERLINK("https://fin.land.naver.com/articles/2650047649", "매물Link")</f>
        <v/>
      </c>
      <c r="M438" s="6">
        <f>HYPERLINK("https://map.naver.com/p/search/남이면 가좌리 134-49", "지도Link")</f>
        <v/>
      </c>
      <c r="N438" s="6">
        <f>HYPERLINK("http://www.eum.go.kr/web/ar/lu/luLandDet.jsp?pnu=4311231036101340049&amp;isNoScr=script&amp;mode=search",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1953</v>
      </c>
      <c r="R438" s="3" t="inlineStr">
        <is>
          <t>자연녹지지역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64000</v>
      </c>
      <c r="G439" s="4" t="n">
        <v>1514</v>
      </c>
      <c r="H439" s="4" t="n">
        <v>458</v>
      </c>
      <c r="I439" s="5" t="n">
        <v>139.7</v>
      </c>
      <c r="J439" s="5" t="n">
        <v>34.5</v>
      </c>
      <c r="K439" s="3" t="inlineStr">
        <is>
          <t>남청주 IC 10분, 2차선 도로변, 성토 완료 공장창고 최적지</t>
        </is>
      </c>
      <c r="L439" s="6">
        <f>HYPERLINK("https://fin.land.naver.com/articles/2652919050", "매물Link")</f>
        <v/>
      </c>
      <c r="M439" s="6">
        <f>HYPERLINK("https://map.naver.com/p/search/남이면 가좌리 191", "지도Link")</f>
        <v/>
      </c>
      <c r="N439" s="6">
        <f>HYPERLINK("http://www.eum.go.kr/web/ar/lu/luLandDet.jsp?pnu=4311231036101910000&amp;isNoScr=script&amp;mode=search",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1514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191-2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98500</v>
      </c>
      <c r="G440" s="4" t="n">
        <v>993</v>
      </c>
      <c r="H440" s="4" t="n">
        <v>300</v>
      </c>
      <c r="I440" s="5" t="n">
        <v>328.3</v>
      </c>
      <c r="J440" s="5" t="n">
        <v>34.5</v>
      </c>
      <c r="K440" s="3" t="inlineStr">
        <is>
          <t>2차선 도로 접한 물류창고 최적 입지, 남청주IC 10분,</t>
        </is>
      </c>
      <c r="L440" s="6">
        <f>HYPERLINK("https://fin.land.naver.com/articles/2650782580", "매물Link")</f>
        <v/>
      </c>
      <c r="M440" s="6">
        <f>HYPERLINK("https://map.naver.com/p/search/남이면 가좌리 191-2", "지도Link")</f>
        <v/>
      </c>
      <c r="N440" s="6">
        <f>HYPERLINK("http://www.eum.go.kr/web/ar/lu/luLandDet.jsp?pnu=4311231036101910002&amp;isNoScr=script&amp;mode=search", "토지이음")</f>
        <v/>
      </c>
      <c r="O440" s="3" t="inlineStr">
        <is>
          <t>대성오투그란데</t>
        </is>
      </c>
      <c r="P440" s="4" t="n">
        <v>1</v>
      </c>
      <c r="Q440" s="4" t="n">
        <v>993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가좌리 219-1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55000</v>
      </c>
      <c r="G441" s="4" t="n">
        <v>2922</v>
      </c>
      <c r="H441" s="4" t="n">
        <v>884</v>
      </c>
      <c r="I441" s="5" t="n">
        <v>62.2</v>
      </c>
      <c r="J441" s="5" t="n">
        <v>25.9</v>
      </c>
      <c r="K441" s="3" t="inlineStr">
        <is>
          <t>전원주택, 창고용지,미래가치,도시지역</t>
        </is>
      </c>
      <c r="L441" s="6">
        <f>HYPERLINK("https://fin.land.naver.com/articles/2647401823", "매물Link")</f>
        <v/>
      </c>
      <c r="M441" s="6">
        <f>HYPERLINK("https://map.naver.com/p/search/남이면 가좌리 219-1", "지도Link")</f>
        <v/>
      </c>
      <c r="N441" s="6">
        <f>HYPERLINK("http://www.eum.go.kr/web/ar/lu/luLandDet.jsp?pnu=4311231036102190001&amp;isNoScr=script&amp;mode=search", "토지이음")</f>
        <v/>
      </c>
      <c r="O441" s="3" t="inlineStr">
        <is>
          <t>이박사</t>
        </is>
      </c>
      <c r="P441" s="4" t="n">
        <v>1</v>
      </c>
      <c r="Q441" s="4" t="n">
        <v>2922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223-104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18500</v>
      </c>
      <c r="G442" s="4" t="n">
        <v>461</v>
      </c>
      <c r="H442" s="4" t="n">
        <v>139</v>
      </c>
      <c r="I442" s="5" t="n">
        <v>133.1</v>
      </c>
      <c r="J442" s="5" t="n">
        <v>69.2</v>
      </c>
      <c r="K442" s="3" t="inlineStr">
        <is>
          <t>전원주택용지, 조율가능</t>
        </is>
      </c>
      <c r="L442" s="6">
        <f>HYPERLINK("https://fin.land.naver.com/articles/2648973411", "매물Link")</f>
        <v/>
      </c>
      <c r="M442" s="6">
        <f>HYPERLINK("https://map.naver.com/p/search/남이면 가좌리 223-104", "지도Link")</f>
        <v/>
      </c>
      <c r="N442" s="6">
        <f>HYPERLINK("http://www.eum.go.kr/web/ar/lu/luLandDet.jsp?pnu=4311231036102230104&amp;isNoScr=script&amp;mode=search", "토지이음")</f>
        <v/>
      </c>
      <c r="O442" s="3" t="inlineStr">
        <is>
          <t>더조은</t>
        </is>
      </c>
      <c r="P442" s="4" t="n">
        <v>1</v>
      </c>
      <c r="Q442" s="4" t="n">
        <v>461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223-160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11000</v>
      </c>
      <c r="G443" s="4" t="n">
        <v>454</v>
      </c>
      <c r="H443" s="4" t="n">
        <v>137</v>
      </c>
      <c r="I443" s="5" t="n">
        <v>80.3</v>
      </c>
      <c r="J443" s="5" t="n">
        <v>70.40000000000001</v>
      </c>
      <c r="K443" s="3" t="inlineStr">
        <is>
          <t>청주 남이 가좌리 어덕마을 전원주택지</t>
        </is>
      </c>
      <c r="L443" s="6">
        <f>HYPERLINK("https://fin.land.naver.com/articles/2652455060", "매물Link")</f>
        <v/>
      </c>
      <c r="M443" s="6">
        <f>HYPERLINK("https://map.naver.com/p/search/남이면 가좌리 223-160", "지도Link")</f>
        <v/>
      </c>
      <c r="N443" s="6">
        <f>HYPERLINK("http://www.eum.go.kr/web/ar/lu/luLandDet.jsp?pnu=4311231036102230160&amp;isNoScr=script&amp;mode=search",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146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223-163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13000</v>
      </c>
      <c r="G445" s="4" t="n">
        <v>540</v>
      </c>
      <c r="H445" s="4" t="n">
        <v>163</v>
      </c>
      <c r="I445" s="5" t="n">
        <v>79.8</v>
      </c>
      <c r="J445" s="5" t="n">
        <v>69.2</v>
      </c>
      <c r="K445" s="3" t="inlineStr">
        <is>
          <t>청주시 서원구 남이면 가좌리 어덕마을 전원주택지내 전원주택용 토지</t>
        </is>
      </c>
      <c r="L445" s="6">
        <f>HYPERLINK("https://fin.land.naver.com/articles/2652455294", "매물Link")</f>
        <v/>
      </c>
      <c r="M445" s="6">
        <f>HYPERLINK("https://map.naver.com/p/search/남이면 가좌리 223-163", "지도Link")</f>
        <v/>
      </c>
      <c r="N445" s="6">
        <f>HYPERLINK("http://www.eum.go.kr/web/ar/lu/luLandDet.jsp?pnu=4311231036102230163&amp;isNoScr=script&amp;mode=search", "토지이음")</f>
        <v/>
      </c>
      <c r="O445" s="3" t="inlineStr">
        <is>
          <t>좋은선택</t>
        </is>
      </c>
      <c r="P445" s="4" t="n">
        <v>1</v>
      </c>
      <c r="Q445" s="4" t="n">
        <v>474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223-28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18900</v>
      </c>
      <c r="G446" s="4" t="n">
        <v>126</v>
      </c>
      <c r="H446" s="4" t="n">
        <v>38</v>
      </c>
      <c r="I446" s="5" t="n">
        <v>497.4</v>
      </c>
      <c r="J446" s="5" t="n">
        <v>69.2</v>
      </c>
      <c r="K446" s="3" t="inlineStr">
        <is>
          <t>단독주택지 한가운데 위치한 토지, 탁트인 뷰, 카페자리추천</t>
        </is>
      </c>
      <c r="L446" s="6">
        <f>HYPERLINK("https://fin.land.naver.com/articles/2649972309", "매물Link")</f>
        <v/>
      </c>
      <c r="M446" s="6">
        <f>HYPERLINK("https://map.naver.com/p/search/남이면 가좌리 223-28", "지도Link")</f>
        <v/>
      </c>
      <c r="N446" s="6">
        <f>HYPERLINK("http://www.eum.go.kr/web/ar/lu/luLandDet.jsp?pnu=4311231036102230028&amp;isNoScr=script&amp;mode=search",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416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223-37</t>
        </is>
      </c>
      <c r="B447" s="3" t="inlineStr">
        <is>
          <t>자연녹지지역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16900</v>
      </c>
      <c r="G447" s="4" t="n">
        <v>538</v>
      </c>
      <c r="H447" s="4" t="n">
        <v>163</v>
      </c>
      <c r="I447" s="5" t="n">
        <v>103.7</v>
      </c>
      <c r="J447" s="5" t="n">
        <v>69.2</v>
      </c>
      <c r="K447" s="3" t="inlineStr">
        <is>
          <t>남이면 가좌리 어덕마을 전원주택부지 매매</t>
        </is>
      </c>
      <c r="L447" s="6">
        <f>HYPERLINK("https://fin.land.naver.com/articles/2649936591", "매물Link")</f>
        <v/>
      </c>
      <c r="M447" s="6">
        <f>HYPERLINK("https://map.naver.com/p/search/남이면 가좌리 223-37", "지도Link")</f>
        <v/>
      </c>
      <c r="N447" s="6">
        <f>HYPERLINK("http://www.eum.go.kr/web/ar/lu/luLandDet.jsp?pnu=4311231036102230037&amp;isNoScr=script&amp;mode=search", "토지이음")</f>
        <v/>
      </c>
      <c r="O447" s="3" t="inlineStr">
        <is>
          <t>탄탄</t>
        </is>
      </c>
      <c r="P447" s="4" t="n">
        <v>1</v>
      </c>
      <c r="Q447" s="4" t="n">
        <v>473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가좌리 235</t>
        </is>
      </c>
      <c r="B448" s="3" t="inlineStr">
        <is>
          <t>자연녹지지역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200000</v>
      </c>
      <c r="G448" s="4" t="n">
        <v>3130</v>
      </c>
      <c r="H448" s="4" t="n">
        <v>947</v>
      </c>
      <c r="I448" s="5" t="n">
        <v>211.2</v>
      </c>
      <c r="J448" s="5" t="n">
        <v>96.59999999999999</v>
      </c>
      <c r="K448" s="3" t="inlineStr">
        <is>
          <t>1층식당, 2층 주택, 대전 청주 17번 국도변에 위치</t>
        </is>
      </c>
      <c r="L448" s="6">
        <f>HYPERLINK("https://fin.land.naver.com/articles/2647424394", "매물Link")</f>
        <v/>
      </c>
      <c r="M448" s="6">
        <f>HYPERLINK("https://map.naver.com/p/search/남이면 가좌리 235", "지도Link")</f>
        <v/>
      </c>
      <c r="N448" s="6">
        <f>HYPERLINK("http://www.eum.go.kr/web/ar/lu/luLandDet.jsp?pnu=4311231036102350000&amp;isNoScr=script&amp;mode=search", "토지이음")</f>
        <v/>
      </c>
      <c r="O448" s="3" t="inlineStr">
        <is>
          <t>황제</t>
        </is>
      </c>
      <c r="P448" s="4" t="n">
        <v>1</v>
      </c>
      <c r="Q448" s="4" t="n">
        <v>3130</v>
      </c>
      <c r="R448" s="3" t="inlineStr">
        <is>
          <t>지정되지않음</t>
        </is>
      </c>
      <c r="S448" s="3" t="inlineStr">
        <is>
          <t>상업용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130000</v>
      </c>
      <c r="G449" s="4" t="n">
        <v>1237</v>
      </c>
      <c r="H449" s="4" t="n">
        <v>374</v>
      </c>
      <c r="I449" s="5" t="n">
        <v>347.6</v>
      </c>
      <c r="J449" s="5" t="n">
        <v>31.6</v>
      </c>
      <c r="K449" s="3" t="inlineStr">
        <is>
          <t>가시성 뛰어난 토지. 4차선 도로접</t>
        </is>
      </c>
      <c r="L449" s="6">
        <f>HYPERLINK("https://fin.land.naver.com/articles/2648191261",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터</t>
        </is>
      </c>
      <c r="P449" s="4" t="n">
        <v>2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131000</v>
      </c>
      <c r="G450" s="4" t="n">
        <v>1237</v>
      </c>
      <c r="H450" s="4" t="n">
        <v>374</v>
      </c>
      <c r="I450" s="5" t="n">
        <v>350.3</v>
      </c>
      <c r="J450" s="5" t="n">
        <v>31.6</v>
      </c>
      <c r="K450" s="3" t="inlineStr">
        <is>
          <t>대도로변 위치했어요. 다용도 건축가능. 절충가능해요.</t>
        </is>
      </c>
      <c r="L450" s="6">
        <f>HYPERLINK("https://fin.land.naver.com/articles/2649503128",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하니힐데스</t>
        </is>
      </c>
      <c r="P450" s="4" t="n">
        <v>1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259</t>
        </is>
      </c>
      <c r="B451" s="3" t="inlineStr">
        <is>
          <t>자연녹지지역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130000</v>
      </c>
      <c r="G451" s="4" t="n">
        <v>1237</v>
      </c>
      <c r="H451" s="4" t="n">
        <v>374</v>
      </c>
      <c r="I451" s="5" t="n">
        <v>347.6</v>
      </c>
      <c r="J451" s="5" t="n">
        <v>31.6</v>
      </c>
      <c r="K451" s="3" t="inlineStr">
        <is>
          <t>남이면 가좌리 4차선 대로 접한 토지 음식점, 카페 등 근생 추천</t>
        </is>
      </c>
      <c r="L451" s="6">
        <f>HYPERLINK("https://fin.land.naver.com/articles/2649260760", "매물Link")</f>
        <v/>
      </c>
      <c r="M451" s="6">
        <f>HYPERLINK("https://map.naver.com/p/search/남이면 가좌리 259", "지도Link")</f>
        <v/>
      </c>
      <c r="N451" s="6">
        <f>HYPERLINK("http://www.eum.go.kr/web/ar/lu/luLandDet.jsp?pnu=4311231036102590000&amp;isNoScr=script&amp;mode=search", "토지이음")</f>
        <v/>
      </c>
      <c r="O451" s="3" t="inlineStr">
        <is>
          <t>로앤홈즈</t>
        </is>
      </c>
      <c r="P451" s="4" t="n">
        <v>3</v>
      </c>
      <c r="Q451" s="4" t="n">
        <v>1237</v>
      </c>
      <c r="R451" s="3" t="inlineStr">
        <is>
          <t>보전녹지지역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중로한면</t>
        </is>
      </c>
    </row>
    <row r="452">
      <c r="A452" s="3" t="inlineStr">
        <is>
          <t>남이면 가좌리 308</t>
        </is>
      </c>
      <c r="B452" s="3" t="inlineStr">
        <is>
          <t>자연녹지지역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110000</v>
      </c>
      <c r="G452" s="4" t="n">
        <v>4692</v>
      </c>
      <c r="H452" s="4" t="n">
        <v>1419</v>
      </c>
      <c r="I452" s="5" t="n">
        <v>77.5</v>
      </c>
      <c r="J452" s="5" t="n">
        <v>25.1</v>
      </c>
      <c r="K452" s="3" t="inlineStr">
        <is>
          <t>남이면 가좌리 토목공사 완료된 토지 매매.제조업가능.</t>
        </is>
      </c>
      <c r="L452" s="6">
        <f>HYPERLINK("https://fin.land.naver.com/articles/2649624673", "매물Link")</f>
        <v/>
      </c>
      <c r="M452" s="6">
        <f>HYPERLINK("https://map.naver.com/p/search/남이면 가좌리 308", "지도Link")</f>
        <v/>
      </c>
      <c r="N452" s="6">
        <f>HYPERLINK("http://www.eum.go.kr/web/ar/lu/luLandDet.jsp?pnu=4311231036103080000&amp;isNoScr=script&amp;mode=search", "토지이음")</f>
        <v/>
      </c>
      <c r="O452" s="3" t="inlineStr">
        <is>
          <t>방서에이스</t>
        </is>
      </c>
      <c r="P452" s="4" t="n">
        <v>1</v>
      </c>
      <c r="Q452" s="4" t="n">
        <v>1711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54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46600</v>
      </c>
      <c r="G453" s="4" t="n">
        <v>2371</v>
      </c>
      <c r="H453" s="4" t="n">
        <v>717</v>
      </c>
      <c r="I453" s="5" t="n">
        <v>65</v>
      </c>
      <c r="J453" s="5" t="n">
        <v>24</v>
      </c>
      <c r="K453" s="3" t="inlineStr">
        <is>
          <t>nan</t>
        </is>
      </c>
      <c r="L453" s="6">
        <f>HYPERLINK("https://fin.land.naver.com/articles/2651710438", "매물Link")</f>
        <v/>
      </c>
      <c r="M453" s="6">
        <f>HYPERLINK("https://map.naver.com/p/search/남이면 가좌리 54", "지도Link")</f>
        <v/>
      </c>
      <c r="N453" s="6">
        <f>HYPERLINK("http://www.eum.go.kr/web/ar/lu/luLandDet.jsp?pnu=4311231036100540000&amp;isNoScr=script&amp;mode=search", "토지이음")</f>
        <v/>
      </c>
      <c r="O453" s="3" t="inlineStr">
        <is>
          <t>대길</t>
        </is>
      </c>
      <c r="P453" s="4" t="n">
        <v>1</v>
      </c>
      <c r="Q453" s="4" t="n">
        <v>2371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가좌리 97-2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35000</v>
      </c>
      <c r="G454" s="4" t="n">
        <v>655</v>
      </c>
      <c r="H454" s="4" t="n">
        <v>198</v>
      </c>
      <c r="I454" s="5" t="n">
        <v>176.8</v>
      </c>
      <c r="J454" s="5" t="n">
        <v>69.7</v>
      </c>
      <c r="K454" s="3" t="inlineStr">
        <is>
          <t>가좌리 도심접근성좋은 전원주택지 조용하고 쾌적한 전원생활</t>
        </is>
      </c>
      <c r="L454" s="6">
        <f>HYPERLINK("https://fin.land.naver.com/articles/2651026619", "매물Link")</f>
        <v/>
      </c>
      <c r="M454" s="6">
        <f>HYPERLINK("https://map.naver.com/p/search/남이면 가좌리 97-2", "지도Link")</f>
        <v/>
      </c>
      <c r="N454" s="6">
        <f>HYPERLINK("http://www.eum.go.kr/web/ar/lu/luLandDet.jsp?pnu=4311231036100970002&amp;isNoScr=script&amp;mode=search", "토지이음")</f>
        <v/>
      </c>
      <c r="O454" s="3" t="inlineStr">
        <is>
          <t>프라임</t>
        </is>
      </c>
      <c r="P454" s="4" t="n">
        <v>2</v>
      </c>
      <c r="Q454" s="4" t="n">
        <v>655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소로각지</t>
        </is>
      </c>
    </row>
    <row r="455">
      <c r="A455" s="3" t="inlineStr">
        <is>
          <t>남이면 가좌리 산 70-3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131800</v>
      </c>
      <c r="G455" s="4" t="n">
        <v>4990</v>
      </c>
      <c r="H455" s="4" t="n">
        <v>1509</v>
      </c>
      <c r="I455" s="5" t="n">
        <v>87.3</v>
      </c>
      <c r="J455" s="5" t="n">
        <v>3.7</v>
      </c>
      <c r="K455" s="3" t="inlineStr">
        <is>
          <t>사진 有 남청주ic구 청원ic 8분 접근성 좋은 창고부지</t>
        </is>
      </c>
      <c r="L455" s="6">
        <f>HYPERLINK("https://fin.land.naver.com/articles/2650890338", "매물Link")</f>
        <v/>
      </c>
      <c r="M455" s="6">
        <f>HYPERLINK("https://map.naver.com/p/search/남이면 가좌리 산 70-3", "지도Link")</f>
        <v/>
      </c>
      <c r="N455" s="6">
        <f>HYPERLINK("http://www.eum.go.kr/web/ar/lu/luLandDet.jsp?pnu=4311231036200700003&amp;isNoScr=script&amp;mode=search", "토지이음")</f>
        <v/>
      </c>
      <c r="O455" s="3" t="inlineStr">
        <is>
          <t>청주대장</t>
        </is>
      </c>
      <c r="P455" s="4" t="n">
        <v>1</v>
      </c>
      <c r="Q455" s="4" t="n">
        <v>2483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가좌리 산63-22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11000</v>
      </c>
      <c r="G456" s="4" t="n">
        <v>409</v>
      </c>
      <c r="H456" s="4" t="n">
        <v>124</v>
      </c>
      <c r="I456" s="5" t="n">
        <v>88.7</v>
      </c>
      <c r="J456" s="5" t="n">
        <v>19.5</v>
      </c>
      <c r="K456" s="3" t="inlineStr">
        <is>
          <t>nan</t>
        </is>
      </c>
      <c r="L456" s="6">
        <f>HYPERLINK("https://fin.land.naver.com/articles/2652058035", "매물Link")</f>
        <v/>
      </c>
      <c r="M456" s="6">
        <f>HYPERLINK("https://map.naver.com/p/search/남이면 가좌리 산63-22", "지도Link")</f>
        <v/>
      </c>
      <c r="N456" s="6">
        <f>HYPERLINK("http://www.eum.go.kr/web/ar/lu/luLandDet.jsp?pnu=4311231036200630022&amp;isNoScr=script&amp;mode=search", "토지이음")</f>
        <v/>
      </c>
      <c r="O456" s="3" t="inlineStr">
        <is>
          <t>거림</t>
        </is>
      </c>
      <c r="P456" s="4" t="n">
        <v>1</v>
      </c>
      <c r="Q456" s="4" t="n">
        <v>282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갈원리 207-3</t>
        </is>
      </c>
      <c r="B457" s="3" t="inlineStr">
        <is>
          <t>계획관리지역</t>
        </is>
      </c>
      <c r="C457" s="3" t="inlineStr">
        <is>
          <t>주유소용지</t>
        </is>
      </c>
      <c r="D457" s="3" t="inlineStr">
        <is>
          <t>주유소용지</t>
        </is>
      </c>
      <c r="E457" s="3" t="inlineStr">
        <is>
          <t>매매</t>
        </is>
      </c>
      <c r="F457" s="4" t="n">
        <v>180000</v>
      </c>
      <c r="G457" s="4" t="n">
        <v>1805</v>
      </c>
      <c r="H457" s="4" t="n">
        <v>546</v>
      </c>
      <c r="I457" s="5" t="n">
        <v>329.7</v>
      </c>
      <c r="J457" s="5" t="n">
        <v>66.2</v>
      </c>
      <c r="K457" s="3" t="inlineStr">
        <is>
          <t>갈원리 계획관리지역의 위치 좋은 주유소용지 매매이예요</t>
        </is>
      </c>
      <c r="L457" s="6">
        <f>HYPERLINK("https://fin.land.naver.com/articles/2651068722", "매물Link")</f>
        <v/>
      </c>
      <c r="M457" s="6">
        <f>HYPERLINK("https://map.naver.com/p/search/남이면 갈원리 207-3", "지도Link")</f>
        <v/>
      </c>
      <c r="N457" s="6">
        <f>HYPERLINK("http://www.eum.go.kr/web/ar/lu/luLandDet.jsp?pnu=4311231029102070003&amp;isNoScr=script&amp;mode=search", "토지이음")</f>
        <v/>
      </c>
      <c r="O457" s="3" t="inlineStr">
        <is>
          <t>4989명품</t>
        </is>
      </c>
      <c r="P457" s="4" t="n">
        <v>1</v>
      </c>
      <c r="Q457" s="4" t="n">
        <v>1484</v>
      </c>
      <c r="R457" s="3" t="inlineStr">
        <is>
          <t>지정되지않음</t>
        </is>
      </c>
      <c r="S457" s="3" t="inlineStr">
        <is>
          <t>상업용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갈원리 276</t>
        </is>
      </c>
      <c r="B458" s="3" t="inlineStr">
        <is>
          <t>생산관리지역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15000</v>
      </c>
      <c r="G458" s="4" t="n">
        <v>1033</v>
      </c>
      <c r="H458" s="4" t="n">
        <v>312</v>
      </c>
      <c r="I458" s="5" t="n">
        <v>48.1</v>
      </c>
      <c r="J458" s="5" t="n">
        <v>12.8</v>
      </c>
      <c r="K458" s="3" t="inlineStr">
        <is>
          <t>전, 생산관리, 갈원초 남쪽 길건너 인근, 접근성 양호</t>
        </is>
      </c>
      <c r="L458" s="6">
        <f>HYPERLINK("https://fin.land.naver.com/articles/2648577650", "매물Link")</f>
        <v/>
      </c>
      <c r="M458" s="6">
        <f>HYPERLINK("https://map.naver.com/p/search/남이면 갈원리 276", "지도Link")</f>
        <v/>
      </c>
      <c r="N458" s="6">
        <f>HYPERLINK("http://www.eum.go.kr/web/ar/lu/luLandDet.jsp?pnu=4311231029102760000&amp;isNoScr=script&amp;mode=search", "토지이음")</f>
        <v/>
      </c>
      <c r="O458" s="3" t="inlineStr">
        <is>
          <t>서일</t>
        </is>
      </c>
      <c r="P458" s="4" t="n">
        <v>1</v>
      </c>
      <c r="Q458" s="4" t="n">
        <v>1033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남이면 갈원리 6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1907</v>
      </c>
      <c r="H459" s="4" t="n">
        <v>577</v>
      </c>
      <c r="I459" s="5" t="n">
        <v>52</v>
      </c>
      <c r="J459" s="5" t="n">
        <v>21.8</v>
      </c>
      <c r="K459" s="3" t="inlineStr">
        <is>
          <t>남이면 주말농장 소개해드립니다</t>
        </is>
      </c>
      <c r="L459" s="6">
        <f>HYPERLINK("https://fin.land.naver.com/articles/2651733436", "매물Link")</f>
        <v/>
      </c>
      <c r="M459" s="6">
        <f>HYPERLINK("https://map.naver.com/p/search/남이면 갈원리 6", "지도Link")</f>
        <v/>
      </c>
      <c r="N459" s="6">
        <f>HYPERLINK("http://www.eum.go.kr/web/ar/lu/luLandDet.jsp?pnu=4311231029100060000&amp;isNoScr=script&amp;mode=search", "토지이음")</f>
        <v/>
      </c>
      <c r="O459" s="3" t="inlineStr">
        <is>
          <t>이로운 사무소</t>
        </is>
      </c>
      <c r="P459" s="4" t="n">
        <v>1</v>
      </c>
      <c r="Q459" s="4" t="n">
        <v>1907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갈원리 산 39-8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40000</v>
      </c>
      <c r="G460" s="4" t="n">
        <v>3300</v>
      </c>
      <c r="H460" s="4" t="n">
        <v>998</v>
      </c>
      <c r="I460" s="5" t="n">
        <v>40.1</v>
      </c>
      <c r="J460" s="5" t="n">
        <v>2.9</v>
      </c>
      <c r="K460" s="3" t="inlineStr">
        <is>
          <t>2차선 대로변 낮은 임야</t>
        </is>
      </c>
      <c r="L460" s="6">
        <f>HYPERLINK("https://fin.land.naver.com/articles/2648835324", "매물Link")</f>
        <v/>
      </c>
      <c r="M460" s="6">
        <f>HYPERLINK("https://map.naver.com/p/search/남이면 갈원리 산 39-8", "지도Link")</f>
        <v/>
      </c>
      <c r="N460" s="6">
        <f>HYPERLINK("http://www.eum.go.kr/web/ar/lu/luLandDet.jsp?pnu=4311231029200390008&amp;isNoScr=script&amp;mode=search", "토지이음")</f>
        <v/>
      </c>
      <c r="O460" s="3" t="inlineStr">
        <is>
          <t>수풀림</t>
        </is>
      </c>
      <c r="P460" s="4" t="n">
        <v>1</v>
      </c>
      <c r="Q460" s="4" t="n">
        <v>3300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189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공장용지</t>
        </is>
      </c>
      <c r="E462" s="3" t="inlineStr">
        <is>
          <t>매매</t>
        </is>
      </c>
      <c r="F462" s="4" t="n">
        <v>544000</v>
      </c>
      <c r="G462" s="4" t="n">
        <v>11240</v>
      </c>
      <c r="H462" s="4" t="n">
        <v>3400</v>
      </c>
      <c r="I462" s="5" t="n">
        <v>160</v>
      </c>
      <c r="J462" s="5" t="n">
        <v>21.5</v>
      </c>
      <c r="K462" s="3" t="inlineStr">
        <is>
          <t>공장 인허가 완료된 토지매매</t>
        </is>
      </c>
      <c r="L462" s="6">
        <f>HYPERLINK("https://fin.land.naver.com/articles/2652774322", "매물Link")</f>
        <v/>
      </c>
      <c r="M462" s="6">
        <f>HYPERLINK("https://map.naver.com/p/search/남이면 구미리 189", "지도Link")</f>
        <v/>
      </c>
      <c r="N462" s="6">
        <f>HYPERLINK("http://www.eum.go.kr/web/ar/lu/luLandDet.jsp?pnu=4311231027101890000&amp;isNoScr=script&amp;mode=search", "토지이음")</f>
        <v/>
      </c>
      <c r="O462" s="3" t="inlineStr">
        <is>
          <t>금화랜드</t>
        </is>
      </c>
      <c r="P462" s="4" t="n">
        <v>1</v>
      </c>
      <c r="Q462" s="4" t="n">
        <v>2144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구미리 192-3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736000</v>
      </c>
      <c r="G463" s="4" t="n">
        <v>18719</v>
      </c>
      <c r="H463" s="4" t="n">
        <v>5662</v>
      </c>
      <c r="I463" s="5" t="n">
        <v>130</v>
      </c>
      <c r="J463" s="5" t="n">
        <v>34.8</v>
      </c>
      <c r="K463" s="3" t="inlineStr">
        <is>
          <t>청주 남이면 구미리 2차선 도로접, 공장허가득한 토</t>
        </is>
      </c>
      <c r="L463" s="6">
        <f>HYPERLINK("https://fin.land.naver.com/articles/2652739615", "매물Link")</f>
        <v/>
      </c>
      <c r="M463" s="6">
        <f>HYPERLINK("https://map.naver.com/p/search/남이면 구미리 192-3", "지도Link")</f>
        <v/>
      </c>
      <c r="N463" s="6">
        <f>HYPERLINK("http://www.eum.go.kr/web/ar/lu/luLandDet.jsp?pnu=4311231027101920003&amp;isNoScr=script&amp;mode=search", "토지이음")</f>
        <v/>
      </c>
      <c r="O463" s="3" t="inlineStr">
        <is>
          <t>좋은선택</t>
        </is>
      </c>
      <c r="P463" s="4" t="n">
        <v>1</v>
      </c>
      <c r="Q463" s="4" t="n">
        <v>18455</v>
      </c>
      <c r="R463" s="3" t="inlineStr">
        <is>
          <t>농림지역</t>
        </is>
      </c>
      <c r="S463" s="3" t="inlineStr">
        <is>
          <t>공업나지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50000</v>
      </c>
      <c r="G464" s="4" t="n">
        <v>5058</v>
      </c>
      <c r="H464" s="4" t="n">
        <v>1530</v>
      </c>
      <c r="I464" s="5" t="n">
        <v>32.7</v>
      </c>
      <c r="J464" s="5" t="n">
        <v>13.1</v>
      </c>
      <c r="K464" s="3" t="inlineStr">
        <is>
          <t>nan</t>
        </is>
      </c>
      <c r="L464" s="6">
        <f>HYPERLINK("https://fin.land.naver.com/articles/2652237520",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김창수</t>
        </is>
      </c>
      <c r="P464" s="4" t="n">
        <v>3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223-1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51000</v>
      </c>
      <c r="G465" s="4" t="n">
        <v>5058</v>
      </c>
      <c r="H465" s="4" t="n">
        <v>1530</v>
      </c>
      <c r="I465" s="5" t="n">
        <v>33.3</v>
      </c>
      <c r="J465" s="5" t="n">
        <v>13.1</v>
      </c>
      <c r="K465" s="3" t="inlineStr">
        <is>
          <t>nan</t>
        </is>
      </c>
      <c r="L465" s="6">
        <f>HYPERLINK("https://fin.land.naver.com/articles/2650538806", "매물Link")</f>
        <v/>
      </c>
      <c r="M465" s="6">
        <f>HYPERLINK("https://map.naver.com/p/search/남이면 구미리 223-1", "지도Link")</f>
        <v/>
      </c>
      <c r="N465" s="6">
        <f>HYPERLINK("http://www.eum.go.kr/web/ar/lu/luLandDet.jsp?pnu=4311231027102230001&amp;isNoScr=script&amp;mode=search", "토지이음")</f>
        <v/>
      </c>
      <c r="O465" s="3" t="inlineStr">
        <is>
          <t>세종큰길</t>
        </is>
      </c>
      <c r="P465" s="4" t="n">
        <v>1</v>
      </c>
      <c r="Q465" s="4" t="n">
        <v>5058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구미리 302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439600</v>
      </c>
      <c r="G466" s="4" t="n">
        <v>7276</v>
      </c>
      <c r="H466" s="4" t="n">
        <v>2201</v>
      </c>
      <c r="I466" s="5" t="n">
        <v>199.7</v>
      </c>
      <c r="J466" s="5" t="n">
        <v>20.2</v>
      </c>
      <c r="K466" s="3" t="inlineStr">
        <is>
          <t>남이면 구미리 토지매매 왕복2차선 도로접</t>
        </is>
      </c>
      <c r="L466" s="6">
        <f>HYPERLINK("https://fin.land.naver.com/articles/2652822357", "매물Link")</f>
        <v/>
      </c>
      <c r="M466" s="6">
        <f>HYPERLINK("https://map.naver.com/p/search/남이면 구미리 302", "지도Link")</f>
        <v/>
      </c>
      <c r="N466" s="6">
        <f>HYPERLINK("http://www.eum.go.kr/web/ar/lu/luLandDet.jsp?pnu=4311231027103020000&amp;isNoScr=script&amp;mode=search", "토지이음")</f>
        <v/>
      </c>
      <c r="O466" s="3" t="inlineStr">
        <is>
          <t>탄탄</t>
        </is>
      </c>
      <c r="P466" s="4" t="n">
        <v>1</v>
      </c>
      <c r="Q466" s="4" t="n">
        <v>668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남이면 구미리 35</t>
        </is>
      </c>
      <c r="B467" s="3" t="inlineStr">
        <is>
          <t>계획관리지역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200000</v>
      </c>
      <c r="G467" s="4" t="n">
        <v>4553</v>
      </c>
      <c r="H467" s="4" t="n">
        <v>1377</v>
      </c>
      <c r="I467" s="5" t="n">
        <v>145.2</v>
      </c>
      <c r="J467" s="5" t="n">
        <v>20</v>
      </c>
      <c r="K467" s="3" t="inlineStr">
        <is>
          <t>2차선도로접. 분할가능. 연정교차로 인근.공장.창고추천</t>
        </is>
      </c>
      <c r="L467" s="6">
        <f>HYPERLINK("https://fin.land.naver.com/articles/2648196574", "매물Link")</f>
        <v/>
      </c>
      <c r="M467" s="6">
        <f>HYPERLINK("https://map.naver.com/p/search/남이면 구미리 35", "지도Link")</f>
        <v/>
      </c>
      <c r="N467" s="6">
        <f>HYPERLINK("http://www.eum.go.kr/web/ar/lu/luLandDet.jsp?pnu=4311231027100350000&amp;isNoScr=script&amp;mode=search", "토지이음")</f>
        <v/>
      </c>
      <c r="O467" s="3" t="inlineStr">
        <is>
          <t>플러스자이합동</t>
        </is>
      </c>
      <c r="P467" s="4" t="n">
        <v>1</v>
      </c>
      <c r="Q467" s="4" t="n">
        <v>4553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구미리 86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31000</v>
      </c>
      <c r="G468" s="4" t="n">
        <v>1402</v>
      </c>
      <c r="H468" s="4" t="n">
        <v>424</v>
      </c>
      <c r="I468" s="5" t="n">
        <v>73.09999999999999</v>
      </c>
      <c r="J468" s="5" t="n">
        <v>17.3</v>
      </c>
      <c r="K468" s="3" t="inlineStr">
        <is>
          <t>건축가능 계획관리지역</t>
        </is>
      </c>
      <c r="L468" s="6">
        <f>HYPERLINK("https://fin.land.naver.com/articles/2649471467", "매물Link")</f>
        <v/>
      </c>
      <c r="M468" s="6">
        <f>HYPERLINK("https://map.naver.com/p/search/남이면 구미리 86", "지도Link")</f>
        <v/>
      </c>
      <c r="N468" s="6">
        <f>HYPERLINK("http://www.eum.go.kr/web/ar/lu/luLandDet.jsp?pnu=4311231027100860000&amp;isNoScr=script&amp;mode=search", "토지이음")</f>
        <v/>
      </c>
      <c r="O468" s="3" t="inlineStr">
        <is>
          <t>오송원</t>
        </is>
      </c>
      <c r="P468" s="4" t="n">
        <v>1</v>
      </c>
      <c r="Q468" s="4" t="n">
        <v>1402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구미리 산19-9</t>
        </is>
      </c>
      <c r="B469" s="3" t="inlineStr">
        <is>
          <t>계획관리지역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62000</v>
      </c>
      <c r="G469" s="4" t="n">
        <v>2357</v>
      </c>
      <c r="H469" s="4" t="n">
        <v>713</v>
      </c>
      <c r="I469" s="5" t="n">
        <v>87</v>
      </c>
      <c r="J469" s="5" t="n">
        <v>8.5</v>
      </c>
      <c r="K469" s="3" t="inlineStr">
        <is>
          <t>계획관리지역 공장,창고 추천</t>
        </is>
      </c>
      <c r="L469" s="6">
        <f>HYPERLINK("https://fin.land.naver.com/articles/2651068418", "매물Link")</f>
        <v/>
      </c>
      <c r="M469" s="6">
        <f>HYPERLINK("https://map.naver.com/p/search/남이면 구미리 산19-9", "지도Link")</f>
        <v/>
      </c>
      <c r="N469" s="6">
        <f>HYPERLINK("http://www.eum.go.kr/web/ar/lu/luLandDet.jsp?pnu=4311231027200190009&amp;isNoScr=script&amp;mode=search", "토지이음")</f>
        <v/>
      </c>
      <c r="O469" s="3" t="inlineStr">
        <is>
          <t>새로이</t>
        </is>
      </c>
      <c r="P469" s="4" t="n">
        <v>1</v>
      </c>
      <c r="Q469" s="4" t="n">
        <v>2262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103-2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107000</v>
      </c>
      <c r="G471" s="4" t="n">
        <v>2354</v>
      </c>
      <c r="H471" s="4" t="n">
        <v>712</v>
      </c>
      <c r="I471" s="5" t="n">
        <v>150.3</v>
      </c>
      <c r="J471" s="5" t="n">
        <v>42.8</v>
      </c>
      <c r="K471" s="3" t="inlineStr">
        <is>
          <t>청주 세종간 4차선도로변 공장부지 근린생활시설</t>
        </is>
      </c>
      <c r="L471" s="6">
        <f>HYPERLINK("https://fin.land.naver.com/articles/2650505679", "매물Link")</f>
        <v/>
      </c>
      <c r="M471" s="6">
        <f>HYPERLINK("https://map.naver.com/p/search/남이면 구암리 103-2", "지도Link")</f>
        <v/>
      </c>
      <c r="N471" s="6">
        <f>HYPERLINK("http://www.eum.go.kr/web/ar/lu/luLandDet.jsp?pnu=4311231032101030002&amp;isNoScr=script&amp;mode=search", "토지이음")</f>
        <v/>
      </c>
      <c r="O471" s="3" t="inlineStr">
        <is>
          <t>두원</t>
        </is>
      </c>
      <c r="P471" s="4" t="n">
        <v>1</v>
      </c>
      <c r="Q471" s="4" t="n">
        <v>2095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남이면 구암리 11-1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103560</v>
      </c>
      <c r="G472" s="4" t="n">
        <v>2848</v>
      </c>
      <c r="H472" s="4" t="n">
        <v>862</v>
      </c>
      <c r="I472" s="5" t="n">
        <v>120.1</v>
      </c>
      <c r="J472" s="5" t="n">
        <v>17.3</v>
      </c>
      <c r="K472" s="3" t="inlineStr">
        <is>
          <t>석곡사거리 진입편리한 창고부지</t>
        </is>
      </c>
      <c r="L472" s="6">
        <f>HYPERLINK("https://fin.land.naver.com/articles/2649483994", "매물Link")</f>
        <v/>
      </c>
      <c r="M472" s="6">
        <f>HYPERLINK("https://map.naver.com/p/search/남이면 구암리 11-1", "지도Link")</f>
        <v/>
      </c>
      <c r="N472" s="6">
        <f>HYPERLINK("http://www.eum.go.kr/web/ar/lu/luLandDet.jsp?pnu=4311231032100110001&amp;isNoScr=script&amp;mode=search", "토지이음")</f>
        <v/>
      </c>
      <c r="O472" s="3" t="inlineStr">
        <is>
          <t>토담</t>
        </is>
      </c>
      <c r="P472" s="4" t="n">
        <v>1</v>
      </c>
      <c r="Q472" s="4" t="n">
        <v>2758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123-1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대</t>
        </is>
      </c>
      <c r="E473" s="3" t="inlineStr">
        <is>
          <t>매매</t>
        </is>
      </c>
      <c r="F473" s="4" t="n">
        <v>178800</v>
      </c>
      <c r="G473" s="4" t="n">
        <v>3940</v>
      </c>
      <c r="H473" s="4" t="n">
        <v>1192</v>
      </c>
      <c r="I473" s="5" t="n">
        <v>150</v>
      </c>
      <c r="J473" s="5" t="n">
        <v>46.1</v>
      </c>
      <c r="K473" s="3" t="inlineStr">
        <is>
          <t>nan</t>
        </is>
      </c>
      <c r="L473" s="6">
        <f>HYPERLINK("https://fin.land.naver.com/articles/2652111791", "매물Link")</f>
        <v/>
      </c>
      <c r="M473" s="6">
        <f>HYPERLINK("https://map.naver.com/p/search/남이면 구암리 123-1", "지도Link")</f>
        <v/>
      </c>
      <c r="N473" s="6">
        <f>HYPERLINK("http://www.eum.go.kr/web/ar/lu/luLandDet.jsp?pnu=4311231032101230001&amp;isNoScr=script&amp;mode=search", "토지이음")</f>
        <v/>
      </c>
      <c r="O473" s="3" t="inlineStr">
        <is>
          <t>교차로</t>
        </is>
      </c>
      <c r="P473" s="4" t="n">
        <v>1</v>
      </c>
      <c r="Q473" s="4" t="n">
        <v>3011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143-3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60000</v>
      </c>
      <c r="G474" s="4" t="n">
        <v>2791</v>
      </c>
      <c r="H474" s="4" t="n">
        <v>844</v>
      </c>
      <c r="I474" s="5" t="n">
        <v>71.09999999999999</v>
      </c>
      <c r="J474" s="5" t="n">
        <v>30.6</v>
      </c>
      <c r="K474" s="3" t="inlineStr">
        <is>
          <t>혜화학교 인근 자연녹지 토지로 활용도 많은 땅임.</t>
        </is>
      </c>
      <c r="L474" s="6">
        <f>HYPERLINK("https://fin.land.naver.com/articles/2648434228", "매물Link")</f>
        <v/>
      </c>
      <c r="M474" s="6">
        <f>HYPERLINK("https://map.naver.com/p/search/남이면 구암리 143-3", "지도Link")</f>
        <v/>
      </c>
      <c r="N474" s="6">
        <f>HYPERLINK("http://www.eum.go.kr/web/ar/lu/luLandDet.jsp?pnu=4311231032101430003&amp;isNoScr=script&amp;mode=search",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2791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남이면 구암리 232-31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19000</v>
      </c>
      <c r="G475" s="4" t="n">
        <v>431</v>
      </c>
      <c r="H475" s="4" t="n">
        <v>130</v>
      </c>
      <c r="I475" s="5" t="n">
        <v>146.2</v>
      </c>
      <c r="J475" s="5" t="n">
        <v>7.1</v>
      </c>
      <c r="K475" s="3" t="inlineStr">
        <is>
          <t>신축하기 좋은 전원주택 부지를 저렴하게 매매합니다.</t>
        </is>
      </c>
      <c r="L475" s="6">
        <f>HYPERLINK("https://fin.land.naver.com/articles/2651905087", "매물Link")</f>
        <v/>
      </c>
      <c r="M475" s="6">
        <f>HYPERLINK("https://map.naver.com/p/search/남이면 구암리 232-31", "지도Link")</f>
        <v/>
      </c>
      <c r="N475" s="6">
        <f>HYPERLINK("http://www.eum.go.kr/web/ar/lu/luLandDet.jsp?pnu=4311231032102320031&amp;isNoScr=script&amp;mode=search", "토지이음")</f>
        <v/>
      </c>
      <c r="O475" s="3" t="inlineStr">
        <is>
          <t>대전</t>
        </is>
      </c>
      <c r="P475" s="4" t="n">
        <v>1</v>
      </c>
      <c r="Q475" s="4" t="n">
        <v>4771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구암리 272-3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33000</v>
      </c>
      <c r="G476" s="4" t="n">
        <v>842</v>
      </c>
      <c r="H476" s="4" t="n">
        <v>255</v>
      </c>
      <c r="I476" s="5" t="n">
        <v>129.4</v>
      </c>
      <c r="J476" s="5" t="n">
        <v>60.6</v>
      </c>
      <c r="K476" s="3" t="inlineStr">
        <is>
          <t>2차선 도로에 접한 대지임,분할매매 가능함</t>
        </is>
      </c>
      <c r="L476" s="6">
        <f>HYPERLINK("https://fin.land.naver.com/articles/2652673956", "매물Link")</f>
        <v/>
      </c>
      <c r="M476" s="6">
        <f>HYPERLINK("https://map.naver.com/p/search/남이면 구암리 272-3", "지도Link")</f>
        <v/>
      </c>
      <c r="N476" s="6">
        <f>HYPERLINK("http://www.eum.go.kr/web/ar/lu/luLandDet.jsp?pnu=4311231032102720003&amp;isNoScr=script&amp;mode=search", "토지이음")</f>
        <v/>
      </c>
      <c r="O476" s="3" t="inlineStr">
        <is>
          <t>포시즌</t>
        </is>
      </c>
      <c r="P476" s="4" t="n">
        <v>2</v>
      </c>
      <c r="Q476" s="4" t="n">
        <v>842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308-16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1400000</v>
      </c>
      <c r="G477" s="4" t="n">
        <v>23228</v>
      </c>
      <c r="H477" s="4" t="n">
        <v>7026</v>
      </c>
      <c r="I477" s="5" t="n">
        <v>199.3</v>
      </c>
      <c r="J477" s="5" t="n">
        <v>49.5</v>
      </c>
      <c r="K477" s="3" t="inlineStr">
        <is>
          <t>고속도로  광고 가능</t>
        </is>
      </c>
      <c r="L477" s="6">
        <f>HYPERLINK("https://fin.land.naver.com/articles/2648837080", "매물Link")</f>
        <v/>
      </c>
      <c r="M477" s="6">
        <f>HYPERLINK("https://map.naver.com/p/search/남이면 구암리 308-16", "지도Link")</f>
        <v/>
      </c>
      <c r="N477" s="6">
        <f>HYPERLINK("http://www.eum.go.kr/web/ar/lu/luLandDet.jsp?pnu=4311231032103080016&amp;isNoScr=script&amp;mode=search", "토지이음")</f>
        <v/>
      </c>
      <c r="O477" s="3" t="inlineStr">
        <is>
          <t>조은</t>
        </is>
      </c>
      <c r="P477" s="4" t="n">
        <v>1</v>
      </c>
      <c r="Q477" s="4" t="n">
        <v>3524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세로각지(가)</t>
        </is>
      </c>
    </row>
    <row r="478">
      <c r="A478" s="3" t="inlineStr">
        <is>
          <t>남이면 구암리 93-2</t>
        </is>
      </c>
      <c r="B478" s="3" t="inlineStr">
        <is>
          <t>자연녹지지역</t>
        </is>
      </c>
      <c r="C478" s="3" t="inlineStr">
        <is>
          <t>답</t>
        </is>
      </c>
      <c r="D478" s="3" t="inlineStr">
        <is>
          <t>전</t>
        </is>
      </c>
      <c r="E478" s="3" t="inlineStr">
        <is>
          <t>매매</t>
        </is>
      </c>
      <c r="F478" s="4" t="n">
        <v>17500</v>
      </c>
      <c r="G478" s="4" t="n">
        <v>1448</v>
      </c>
      <c r="H478" s="4" t="n">
        <v>438</v>
      </c>
      <c r="I478" s="5" t="n">
        <v>40</v>
      </c>
      <c r="J478" s="5" t="n">
        <v>35.5</v>
      </c>
      <c r="K478" s="3" t="inlineStr">
        <is>
          <t>전원 주택지 적합</t>
        </is>
      </c>
      <c r="L478" s="6">
        <f>HYPERLINK("https://fin.land.naver.com/articles/2651956458", "매물Link")</f>
        <v/>
      </c>
      <c r="M478" s="6">
        <f>HYPERLINK("https://map.naver.com/p/search/남이면 구암리 93-2", "지도Link")</f>
        <v/>
      </c>
      <c r="N478" s="6">
        <f>HYPERLINK("http://www.eum.go.kr/web/ar/lu/luLandDet.jsp?pnu=4311231032100930002&amp;isNoScr=script&amp;mode=search", "토지이음")</f>
        <v/>
      </c>
      <c r="O478" s="3" t="inlineStr">
        <is>
          <t>효성</t>
        </is>
      </c>
      <c r="P478" s="4" t="n">
        <v>2</v>
      </c>
      <c r="Q478" s="4" t="n">
        <v>1448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14-1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74500</v>
      </c>
      <c r="G480" s="4" t="n">
        <v>41068</v>
      </c>
      <c r="H480" s="4" t="n">
        <v>12423</v>
      </c>
      <c r="I480" s="5" t="n">
        <v>6</v>
      </c>
      <c r="J480" s="5" t="n">
        <v>2.6</v>
      </c>
      <c r="K480" s="3" t="inlineStr">
        <is>
          <t>지목  임야     전</t>
        </is>
      </c>
      <c r="L480" s="6">
        <f>HYPERLINK("https://fin.land.naver.com/articles/2648314378", "매물Link")</f>
        <v/>
      </c>
      <c r="M480" s="6">
        <f>HYPERLINK("https://map.naver.com/p/search/남이면 구암리 산 14-1", "지도Link")</f>
        <v/>
      </c>
      <c r="N480" s="6">
        <f>HYPERLINK("http://www.eum.go.kr/web/ar/lu/luLandDet.jsp?pnu=4311231032200140001&amp;isNoScr=script&amp;mode=search", "토지이음")</f>
        <v/>
      </c>
      <c r="O480" s="3" t="inlineStr">
        <is>
          <t>단지내 구현대</t>
        </is>
      </c>
      <c r="P480" s="4" t="n">
        <v>1</v>
      </c>
      <c r="Q480" s="4" t="n">
        <v>39372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구암리 산 23-2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18700</v>
      </c>
      <c r="G481" s="4" t="n">
        <v>2470</v>
      </c>
      <c r="H481" s="4" t="n">
        <v>747</v>
      </c>
      <c r="I481" s="5" t="n">
        <v>25</v>
      </c>
      <c r="J481" s="5" t="n">
        <v>3.1</v>
      </c>
      <c r="K481" s="3" t="inlineStr">
        <is>
          <t>남이면 구암리 임야 매매</t>
        </is>
      </c>
      <c r="L481" s="6">
        <f>HYPERLINK("https://fin.land.naver.com/articles/2651762000", "매물Link")</f>
        <v/>
      </c>
      <c r="M481" s="6">
        <f>HYPERLINK("https://map.naver.com/p/search/남이면 구암리 산 23-2", "지도Link")</f>
        <v/>
      </c>
      <c r="N481" s="6">
        <f>HYPERLINK("http://www.eum.go.kr/web/ar/lu/luLandDet.jsp?pnu=4311231032200230002&amp;isNoScr=script&amp;mode=search", "토지이음")</f>
        <v/>
      </c>
      <c r="O481" s="3" t="inlineStr">
        <is>
          <t>대지</t>
        </is>
      </c>
      <c r="P481" s="4" t="n">
        <v>1</v>
      </c>
      <c r="Q481" s="4" t="n">
        <v>2470</v>
      </c>
      <c r="R481" s="3" t="inlineStr">
        <is>
          <t>지정되지않음</t>
        </is>
      </c>
      <c r="S481" s="3" t="inlineStr">
        <is>
          <t>임야기타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세로한면(불)</t>
        </is>
      </c>
    </row>
    <row r="482">
      <c r="A482" s="3" t="inlineStr">
        <is>
          <t>남이면 구암리 산 65-2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182000</v>
      </c>
      <c r="G482" s="4" t="n">
        <v>4628</v>
      </c>
      <c r="H482" s="4" t="n">
        <v>1400</v>
      </c>
      <c r="I482" s="5" t="n">
        <v>130</v>
      </c>
      <c r="J482" s="5" t="n">
        <v>2.7</v>
      </c>
      <c r="K482" s="3" t="inlineStr">
        <is>
          <t>사진有.청주 서부권 산업물류우수지, 토목완료된 개발사업지. 대형차량가능.</t>
        </is>
      </c>
      <c r="L482" s="6">
        <f>HYPERLINK("https://fin.land.naver.com/articles/2650206505", "매물Link")</f>
        <v/>
      </c>
      <c r="M482" s="6">
        <f>HYPERLINK("https://map.naver.com/p/search/남이면 구암리 산 65-2", "지도Link")</f>
        <v/>
      </c>
      <c r="N482" s="6">
        <f>HYPERLINK("http://www.eum.go.kr/web/ar/lu/luLandDet.jsp?pnu=4311231032200650002&amp;isNoScr=script&amp;mode=search", "토지이음")</f>
        <v/>
      </c>
      <c r="O482" s="3" t="inlineStr">
        <is>
          <t>오너스</t>
        </is>
      </c>
      <c r="P482" s="4" t="n">
        <v>1</v>
      </c>
      <c r="Q482" s="4" t="n">
        <v>6080</v>
      </c>
      <c r="R482" s="3" t="inlineStr">
        <is>
          <t>자연녹지지역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50000</v>
      </c>
      <c r="G484" s="4" t="n">
        <v>1667</v>
      </c>
      <c r="H484" s="4" t="n">
        <v>504</v>
      </c>
      <c r="I484" s="5" t="n">
        <v>99.2</v>
      </c>
      <c r="J484" s="5" t="n">
        <v>17.8</v>
      </c>
      <c r="K484" s="3" t="inlineStr">
        <is>
          <t>급매,추천,도로접함,위치좋음</t>
        </is>
      </c>
      <c r="L484" s="6">
        <f>HYPERLINK("https://fin.land.naver.com/articles/2651876026",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가경아이파크5단지일타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산21</t>
        </is>
      </c>
      <c r="B485" s="3" t="inlineStr">
        <is>
          <t>자연녹지지역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38000</v>
      </c>
      <c r="G485" s="4" t="n">
        <v>1665</v>
      </c>
      <c r="H485" s="4" t="n">
        <v>504</v>
      </c>
      <c r="I485" s="5" t="n">
        <v>75.40000000000001</v>
      </c>
      <c r="J485" s="5" t="n">
        <v>17.8</v>
      </c>
      <c r="K485" s="3" t="inlineStr">
        <is>
          <t>2차선도로접,석곡사거리에서2km로 5분거리,토목공사완료</t>
        </is>
      </c>
      <c r="L485" s="6">
        <f>HYPERLINK("https://fin.land.naver.com/articles/2647784396", "매물Link")</f>
        <v/>
      </c>
      <c r="M485" s="6">
        <f>HYPERLINK("https://map.naver.com/p/search/남이면 구암리 산21", "지도Link")</f>
        <v/>
      </c>
      <c r="N485" s="6">
        <f>HYPERLINK("http://www.eum.go.kr/web/ar/lu/luLandDet.jsp?pnu=4311231032200210000&amp;isNoScr=script&amp;mode=search", "토지이음")</f>
        <v/>
      </c>
      <c r="O485" s="3" t="inlineStr">
        <is>
          <t>GS자이</t>
        </is>
      </c>
      <c r="P485" s="4" t="n">
        <v>1</v>
      </c>
      <c r="Q485" s="4" t="n">
        <v>1667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구암리 산65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117000</v>
      </c>
      <c r="G486" s="4" t="n">
        <v>2975</v>
      </c>
      <c r="H486" s="4" t="n">
        <v>900</v>
      </c>
      <c r="I486" s="5" t="n">
        <v>130</v>
      </c>
      <c r="J486" s="5" t="n">
        <v>2.8</v>
      </c>
      <c r="K486" s="3" t="inlineStr">
        <is>
          <t>석곡4거리 4분거리, 제1종근생허가득, 창고추천</t>
        </is>
      </c>
      <c r="L486" s="6">
        <f>HYPERLINK("https://fin.land.naver.com/articles/2649887116", "매물Link")</f>
        <v/>
      </c>
      <c r="M486" s="6">
        <f>HYPERLINK("https://map.naver.com/p/search/남이면 구암리 산65", "지도Link")</f>
        <v/>
      </c>
      <c r="N486" s="6">
        <f>HYPERLINK("http://www.eum.go.kr/web/ar/lu/luLandDet.jsp?pnu=4311231032200650000&amp;isNoScr=script&amp;mode=search", "토지이음")</f>
        <v/>
      </c>
      <c r="O486" s="3" t="inlineStr">
        <is>
          <t>플러스자이합동</t>
        </is>
      </c>
      <c r="P486" s="4" t="n">
        <v>1</v>
      </c>
      <c r="Q486" s="4" t="n">
        <v>956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105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10700</v>
      </c>
      <c r="G487" s="4" t="n">
        <v>806</v>
      </c>
      <c r="H487" s="4" t="n">
        <v>244</v>
      </c>
      <c r="I487" s="5" t="n">
        <v>43.9</v>
      </c>
      <c r="J487" s="5" t="n">
        <v>17.5</v>
      </c>
      <c r="K487" s="3" t="inlineStr">
        <is>
          <t>도심근교 전원주택지에 있는  대지와 밭이 있는 땅임 .</t>
        </is>
      </c>
      <c r="L487" s="6">
        <f>HYPERLINK("https://fin.land.naver.com/articles/2649496090", "매물Link")</f>
        <v/>
      </c>
      <c r="M487" s="6">
        <f>HYPERLINK("https://map.naver.com/p/search/남이면 대련리 105", "지도Link")</f>
        <v/>
      </c>
      <c r="N487" s="6">
        <f>HYPERLINK("http://www.eum.go.kr/web/ar/lu/luLandDet.jsp?pnu=4311231035101050000&amp;isNoScr=script&amp;mode=search",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446</v>
      </c>
      <c r="R487" s="3" t="inlineStr">
        <is>
          <t>보전녹지지역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대련리 129-2</t>
        </is>
      </c>
      <c r="B488" s="3" t="inlineStr">
        <is>
          <t>자연녹지지역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39000</v>
      </c>
      <c r="G488" s="4" t="n">
        <v>2324</v>
      </c>
      <c r="H488" s="4" t="n">
        <v>703</v>
      </c>
      <c r="I488" s="5" t="n">
        <v>55.5</v>
      </c>
      <c r="J488" s="5" t="n">
        <v>24.5</v>
      </c>
      <c r="K488" s="3" t="inlineStr">
        <is>
          <t>도심근교에 있는, 자연녹지 지역 토지이며,  물류창고,등 추천함.</t>
        </is>
      </c>
      <c r="L488" s="6">
        <f>HYPERLINK("https://fin.land.naver.com/articles/2648865205", "매물Link")</f>
        <v/>
      </c>
      <c r="M488" s="6">
        <f>HYPERLINK("https://map.naver.com/p/search/남이면 대련리 129-2", "지도Link")</f>
        <v/>
      </c>
      <c r="N488" s="6">
        <f>HYPERLINK("http://www.eum.go.kr/web/ar/lu/luLandDet.jsp?pnu=4311231035101290002&amp;isNoScr=script&amp;mode=search", "토지이음")</f>
        <v/>
      </c>
      <c r="O488" s="3" t="inlineStr">
        <is>
          <t>포시즌</t>
        </is>
      </c>
      <c r="P488" s="4" t="n">
        <v>1</v>
      </c>
      <c r="Q488" s="4" t="n">
        <v>1663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대련리 2-1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56300</v>
      </c>
      <c r="G489" s="4" t="n">
        <v>3722</v>
      </c>
      <c r="H489" s="4" t="n">
        <v>1126</v>
      </c>
      <c r="I489" s="5" t="n">
        <v>50</v>
      </c>
      <c r="J489" s="5" t="n">
        <v>25.1</v>
      </c>
      <c r="K489" s="3" t="inlineStr">
        <is>
          <t>현황도로 있음 지적상은 맹지 매매가 절충가능</t>
        </is>
      </c>
      <c r="L489" s="6">
        <f>HYPERLINK("https://fin.land.naver.com/articles/2648325633", "매물Link")</f>
        <v/>
      </c>
      <c r="M489" s="6">
        <f>HYPERLINK("https://map.naver.com/p/search/남이면 대련리 2-1", "지도Link")</f>
        <v/>
      </c>
      <c r="N489" s="6">
        <f>HYPERLINK("http://www.eum.go.kr/web/ar/lu/luLandDet.jsp?pnu=4311231035100020001&amp;isNoScr=script&amp;mode=search", "토지이음")</f>
        <v/>
      </c>
      <c r="O489" s="3" t="inlineStr">
        <is>
          <t>세종</t>
        </is>
      </c>
      <c r="P489" s="4" t="n">
        <v>1</v>
      </c>
      <c r="Q489" s="4" t="n">
        <v>2297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대련리 224-3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27000</v>
      </c>
      <c r="G490" s="4" t="n">
        <v>1001</v>
      </c>
      <c r="H490" s="4" t="n">
        <v>303</v>
      </c>
      <c r="I490" s="5" t="n">
        <v>89.09999999999999</v>
      </c>
      <c r="J490" s="5" t="n">
        <v>23.6</v>
      </c>
      <c r="K490" s="3" t="inlineStr">
        <is>
          <t>남이면 대련리 도로 접한 자연녹지 밭 급매 모양 좋음 주택.근생.창고</t>
        </is>
      </c>
      <c r="L490" s="6">
        <f>HYPERLINK("https://fin.land.naver.com/articles/2651840508", "매물Link")</f>
        <v/>
      </c>
      <c r="M490" s="6">
        <f>HYPERLINK("https://map.naver.com/p/search/남이면 대련리 224-3", "지도Link")</f>
        <v/>
      </c>
      <c r="N490" s="6">
        <f>HYPERLINK("http://www.eum.go.kr/web/ar/lu/luLandDet.jsp?pnu=4311231035102240003&amp;isNoScr=script&amp;mode=search", "토지이음")</f>
        <v/>
      </c>
      <c r="O490" s="3" t="inlineStr">
        <is>
          <t>그린</t>
        </is>
      </c>
      <c r="P490" s="4" t="n">
        <v>2</v>
      </c>
      <c r="Q490" s="4" t="n">
        <v>1001</v>
      </c>
      <c r="R490" s="3" t="inlineStr">
        <is>
          <t>지정되지않음</t>
        </is>
      </c>
      <c r="S490" s="3" t="inlineStr">
        <is>
          <t>전기타</t>
        </is>
      </c>
      <c r="T490" s="3" t="inlineStr">
        <is>
          <t>완경사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대련리 25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29500</v>
      </c>
      <c r="G491" s="4" t="n">
        <v>771</v>
      </c>
      <c r="H491" s="4" t="n">
        <v>233</v>
      </c>
      <c r="I491" s="5" t="n">
        <v>126.6</v>
      </c>
      <c r="J491" s="5" t="n">
        <v>57.3</v>
      </c>
      <c r="K491" s="3" t="inlineStr">
        <is>
          <t>토지뒷편으로 마을동산이 있어요  전원주택지 자주좋아요</t>
        </is>
      </c>
      <c r="L491" s="6">
        <f>HYPERLINK("https://fin.land.naver.com/articles/2649112638", "매물Link")</f>
        <v/>
      </c>
      <c r="M491" s="6">
        <f>HYPERLINK("https://map.naver.com/p/search/남이면 대련리 25", "지도Link")</f>
        <v/>
      </c>
      <c r="N491" s="6">
        <f>HYPERLINK("http://www.eum.go.kr/web/ar/lu/luLandDet.jsp?pnu=4311231035100250000&amp;isNoScr=script&amp;mode=search", "토지이음")</f>
        <v/>
      </c>
      <c r="O491" s="3" t="inlineStr">
        <is>
          <t>신화</t>
        </is>
      </c>
      <c r="P491" s="4" t="n">
        <v>1</v>
      </c>
      <c r="Q491" s="4" t="n">
        <v>717.7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220000</v>
      </c>
      <c r="G492" s="4" t="n">
        <v>2062</v>
      </c>
      <c r="H492" s="4" t="n">
        <v>624</v>
      </c>
      <c r="I492" s="5" t="n">
        <v>352.6</v>
      </c>
      <c r="J492" s="5" t="n">
        <v>86</v>
      </c>
      <c r="K492" s="3" t="inlineStr">
        <is>
          <t>nan</t>
        </is>
      </c>
      <c r="L492" s="6">
        <f>HYPERLINK("https://fin.land.naver.com/articles/2651957545",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청주 합동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270-1</t>
        </is>
      </c>
      <c r="B494" s="3" t="inlineStr">
        <is>
          <t>자연녹지지역</t>
        </is>
      </c>
      <c r="C494" s="3" t="inlineStr">
        <is>
          <t>잡종지</t>
        </is>
      </c>
      <c r="D494" s="3" t="inlineStr">
        <is>
          <t>잡종지</t>
        </is>
      </c>
      <c r="E494" s="3" t="inlineStr">
        <is>
          <t>매매</t>
        </is>
      </c>
      <c r="F494" s="4" t="n">
        <v>270000</v>
      </c>
      <c r="G494" s="4" t="n">
        <v>2062</v>
      </c>
      <c r="H494" s="4" t="n">
        <v>624</v>
      </c>
      <c r="I494" s="5" t="n">
        <v>432.7</v>
      </c>
      <c r="J494" s="5" t="n">
        <v>86</v>
      </c>
      <c r="K494" s="3" t="inlineStr">
        <is>
          <t>대도로변 접, 다용도 활용가능한 잡종지, 유통 물류, 광고효과</t>
        </is>
      </c>
      <c r="L494" s="6">
        <f>HYPERLINK("https://fin.land.naver.com/articles/2650955489", "매물Link")</f>
        <v/>
      </c>
      <c r="M494" s="6">
        <f>HYPERLINK("https://map.naver.com/p/search/남이면 대련리 270-1", "지도Link")</f>
        <v/>
      </c>
      <c r="N494" s="6">
        <f>HYPERLINK("http://www.eum.go.kr/web/ar/lu/luLandDet.jsp?pnu=4311231035102700001&amp;isNoScr=script&amp;mode=search", "토지이음")</f>
        <v/>
      </c>
      <c r="O494" s="3" t="inlineStr">
        <is>
          <t>두진하트</t>
        </is>
      </c>
      <c r="P494" s="4" t="n">
        <v>1</v>
      </c>
      <c r="Q494" s="4" t="n">
        <v>987</v>
      </c>
      <c r="R494" s="3" t="inlineStr">
        <is>
          <t>지정되지않음</t>
        </is>
      </c>
      <c r="S494" s="3" t="inlineStr">
        <is>
          <t>공업용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중로한면</t>
        </is>
      </c>
    </row>
    <row r="495">
      <c r="A495" s="3" t="inlineStr">
        <is>
          <t>남이면 대련리 75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168800</v>
      </c>
      <c r="G495" s="4" t="n">
        <v>3487</v>
      </c>
      <c r="H495" s="4" t="n">
        <v>1055</v>
      </c>
      <c r="I495" s="5" t="n">
        <v>160</v>
      </c>
      <c r="J495" s="5" t="n">
        <v>35.5</v>
      </c>
      <c r="K495" s="3" t="inlineStr">
        <is>
          <t>nan</t>
        </is>
      </c>
      <c r="L495" s="6">
        <f>HYPERLINK("https://fin.land.naver.com/articles/2652941172", "매물Link")</f>
        <v/>
      </c>
      <c r="M495" s="6">
        <f>HYPERLINK("https://map.naver.com/p/search/남이면 대련리 75", "지도Link")</f>
        <v/>
      </c>
      <c r="N495" s="6">
        <f>HYPERLINK("http://www.eum.go.kr/web/ar/lu/luLandDet.jsp?pnu=4311231035100750000&amp;isNoScr=script&amp;mode=search",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3487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자루형</t>
        </is>
      </c>
      <c r="V495" s="3" t="inlineStr">
        <is>
          <t>세로한면(가)</t>
        </is>
      </c>
    </row>
    <row r="496">
      <c r="A496" s="3" t="inlineStr">
        <is>
          <t>남이면 대련리 88-1</t>
        </is>
      </c>
      <c r="B496" s="3" t="inlineStr">
        <is>
          <t>자연녹지지역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10650</v>
      </c>
      <c r="G496" s="4" t="n">
        <v>236</v>
      </c>
      <c r="H496" s="4" t="n">
        <v>71</v>
      </c>
      <c r="I496" s="5" t="n">
        <v>150</v>
      </c>
      <c r="J496" s="5" t="n">
        <v>33.4</v>
      </c>
      <c r="K496" s="3" t="inlineStr">
        <is>
          <t>모든 건축행위 가능한 2차선 접한 귀한 소액물건</t>
        </is>
      </c>
      <c r="L496" s="6">
        <f>HYPERLINK("https://fin.land.naver.com/articles/2648325969", "매물Link")</f>
        <v/>
      </c>
      <c r="M496" s="6">
        <f>HYPERLINK("https://map.naver.com/p/search/남이면 대련리 88-1", "지도Link")</f>
        <v/>
      </c>
      <c r="N496" s="6">
        <f>HYPERLINK("http://www.eum.go.kr/web/ar/lu/luLandDet.jsp?pnu=4311231035100880001&amp;isNoScr=script&amp;mode=search", "토지이음")</f>
        <v/>
      </c>
      <c r="O496" s="3" t="inlineStr">
        <is>
          <t>세종</t>
        </is>
      </c>
      <c r="P496" s="4" t="n">
        <v>1</v>
      </c>
      <c r="Q496" s="4" t="n">
        <v>236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남이면 대련리 산 56-3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40000</v>
      </c>
      <c r="G497" s="4" t="n">
        <v>6557</v>
      </c>
      <c r="H497" s="4" t="n">
        <v>1983</v>
      </c>
      <c r="I497" s="5" t="n">
        <v>20.2</v>
      </c>
      <c r="J497" s="5" t="n">
        <v>3.3</v>
      </c>
      <c r="K497" s="3" t="inlineStr">
        <is>
          <t>남이면 대련리 임야 매매 차량 진입 원활 일부 밭 사용 가능 도시공원</t>
        </is>
      </c>
      <c r="L497" s="6">
        <f>HYPERLINK("https://fin.land.naver.com/articles/2652211222", "매물Link")</f>
        <v/>
      </c>
      <c r="M497" s="6">
        <f>HYPERLINK("https://map.naver.com/p/search/남이면 대련리 산 56-3", "지도Link")</f>
        <v/>
      </c>
      <c r="N497" s="6">
        <f>HYPERLINK("http://www.eum.go.kr/web/ar/lu/luLandDet.jsp?pnu=4311231035200560003&amp;isNoScr=script&amp;mode=search",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6557</v>
      </c>
      <c r="R497" s="3" t="inlineStr">
        <is>
          <t>자연녹지지역</t>
        </is>
      </c>
      <c r="S497" s="3" t="inlineStr">
        <is>
          <t>자연림</t>
        </is>
      </c>
      <c r="T497" s="3" t="inlineStr">
        <is>
          <t>급경사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남이면 문동리 143-1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29500</v>
      </c>
      <c r="G498" s="4" t="n">
        <v>978</v>
      </c>
      <c r="H498" s="4" t="n">
        <v>296</v>
      </c>
      <c r="I498" s="5" t="n">
        <v>99.7</v>
      </c>
      <c r="J498" s="5" t="n">
        <v>14.7</v>
      </c>
      <c r="K498" s="3" t="inlineStr">
        <is>
          <t>문동리 2차선도로 접합, 세리모텔근처, 충청살수환경옆</t>
        </is>
      </c>
      <c r="L498" s="6">
        <f>HYPERLINK("https://fin.land.naver.com/articles/2652439169", "매물Link")</f>
        <v/>
      </c>
      <c r="M498" s="6">
        <f>HYPERLINK("https://map.naver.com/p/search/남이면 문동리 143-1", "지도Link")</f>
        <v/>
      </c>
      <c r="N498" s="6">
        <f>HYPERLINK("http://www.eum.go.kr/web/ar/lu/luLandDet.jsp?pnu=4311231023101430001&amp;isNoScr=script&amp;mode=search", "토지이음")</f>
        <v/>
      </c>
      <c r="O498" s="3" t="inlineStr">
        <is>
          <t>길</t>
        </is>
      </c>
      <c r="P498" s="4" t="n">
        <v>1</v>
      </c>
      <c r="Q498" s="4" t="n">
        <v>978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192-1</t>
        </is>
      </c>
      <c r="B499" s="3" t="inlineStr">
        <is>
          <t>자연녹지지역</t>
        </is>
      </c>
      <c r="C499" s="3" t="inlineStr">
        <is>
          <t>잡종지</t>
        </is>
      </c>
      <c r="D499" s="3" t="inlineStr">
        <is>
          <t>잡종지</t>
        </is>
      </c>
      <c r="E499" s="3" t="inlineStr">
        <is>
          <t>매매</t>
        </is>
      </c>
      <c r="F499" s="4" t="n">
        <v>130000</v>
      </c>
      <c r="G499" s="4" t="n">
        <v>2395</v>
      </c>
      <c r="H499" s="4" t="n">
        <v>724</v>
      </c>
      <c r="I499" s="5" t="n">
        <v>179.6</v>
      </c>
      <c r="J499" s="5" t="n">
        <v>36.5</v>
      </c>
      <c r="K499" s="3" t="inlineStr">
        <is>
          <t>고물상, 쓰레기처리시설 추천</t>
        </is>
      </c>
      <c r="L499" s="6">
        <f>HYPERLINK("https://fin.land.naver.com/articles/2647956129", "매물Link")</f>
        <v/>
      </c>
      <c r="M499" s="6">
        <f>HYPERLINK("https://map.naver.com/p/search/남이면 문동리 192-1", "지도Link")</f>
        <v/>
      </c>
      <c r="N499" s="6">
        <f>HYPERLINK("http://www.eum.go.kr/web/ar/lu/luLandDet.jsp?pnu=4311231023101920001&amp;isNoScr=script&amp;mode=search", "토지이음")</f>
        <v/>
      </c>
      <c r="O499" s="3" t="inlineStr">
        <is>
          <t>노블</t>
        </is>
      </c>
      <c r="P499" s="4" t="n">
        <v>1</v>
      </c>
      <c r="Q499" s="4" t="n">
        <v>1520</v>
      </c>
      <c r="R499" s="3" t="inlineStr">
        <is>
          <t>지정되지않음</t>
        </is>
      </c>
      <c r="S499" s="3" t="inlineStr">
        <is>
          <t>주거기타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205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38000</v>
      </c>
      <c r="G500" s="4" t="n">
        <v>1300</v>
      </c>
      <c r="H500" s="4" t="n">
        <v>393</v>
      </c>
      <c r="I500" s="5" t="n">
        <v>96.7</v>
      </c>
      <c r="J500" s="5" t="n">
        <v>80.8</v>
      </c>
      <c r="K500" s="3" t="inlineStr">
        <is>
          <t>nan</t>
        </is>
      </c>
      <c r="L500" s="6">
        <f>HYPERLINK("https://fin.land.naver.com/articles/2650890944", "매물Link")</f>
        <v/>
      </c>
      <c r="M500" s="6">
        <f>HYPERLINK("https://map.naver.com/p/search/남이면 문동리 205", "지도Link")</f>
        <v/>
      </c>
      <c r="N500" s="6">
        <f>HYPERLINK("http://www.eum.go.kr/web/ar/lu/luLandDet.jsp?pnu=4311231023102050000&amp;isNoScr=script&amp;mode=search", "토지이음")</f>
        <v/>
      </c>
      <c r="O500" s="3" t="inlineStr">
        <is>
          <t>대웅</t>
        </is>
      </c>
      <c r="P500" s="4" t="n">
        <v>1</v>
      </c>
      <c r="Q500" s="4" t="n">
        <v>940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21-1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11500</v>
      </c>
      <c r="G501" s="4" t="n">
        <v>760</v>
      </c>
      <c r="H501" s="4" t="n">
        <v>230</v>
      </c>
      <c r="I501" s="5" t="n">
        <v>50</v>
      </c>
      <c r="J501" s="5" t="n">
        <v>15.7</v>
      </c>
      <c r="K501" s="3" t="inlineStr">
        <is>
          <t>정남향의 전원주택지.바로옆에 도랑이 사계절 흐름.</t>
        </is>
      </c>
      <c r="L501" s="6">
        <f>HYPERLINK("https://fin.land.naver.com/articles/2651081704", "매물Link")</f>
        <v/>
      </c>
      <c r="M501" s="6">
        <f>HYPERLINK("https://map.naver.com/p/search/남이면 문동리 21-1", "지도Link")</f>
        <v/>
      </c>
      <c r="N501" s="6">
        <f>HYPERLINK("http://www.eum.go.kr/web/ar/lu/luLandDet.jsp?pnu=4311231023100210001&amp;isNoScr=script&amp;mode=search", "토지이음")</f>
        <v/>
      </c>
      <c r="O501" s="3" t="inlineStr">
        <is>
          <t>청와대합동사무소</t>
        </is>
      </c>
      <c r="P501" s="4" t="n">
        <v>1</v>
      </c>
      <c r="Q501" s="4" t="n">
        <v>261</v>
      </c>
      <c r="R501" s="3" t="inlineStr">
        <is>
          <t>지정되지않음</t>
        </is>
      </c>
      <c r="S501" s="3" t="inlineStr">
        <is>
          <t>전기타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259-2</t>
        </is>
      </c>
      <c r="B502" s="3" t="inlineStr">
        <is>
          <t>생산관리지역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12100</v>
      </c>
      <c r="G502" s="4" t="n">
        <v>800</v>
      </c>
      <c r="H502" s="4" t="n">
        <v>242</v>
      </c>
      <c r="I502" s="5" t="n">
        <v>50</v>
      </c>
      <c r="J502" s="5" t="n">
        <v>14.5</v>
      </c>
      <c r="K502" s="3" t="inlineStr">
        <is>
          <t>남이면 문동리 토지매매</t>
        </is>
      </c>
      <c r="L502" s="6">
        <f>HYPERLINK("https://fin.land.naver.com/articles/2649157038", "매물Link")</f>
        <v/>
      </c>
      <c r="M502" s="6">
        <f>HYPERLINK("https://map.naver.com/p/search/남이면 문동리 259-2", "지도Link")</f>
        <v/>
      </c>
      <c r="N502" s="6">
        <f>HYPERLINK("http://www.eum.go.kr/web/ar/lu/luLandDet.jsp?pnu=4311231023102590002&amp;isNoScr=script&amp;mode=search", "토지이음")</f>
        <v/>
      </c>
      <c r="O502" s="3" t="inlineStr">
        <is>
          <t>세원</t>
        </is>
      </c>
      <c r="P502" s="4" t="n">
        <v>2</v>
      </c>
      <c r="Q502" s="4" t="n">
        <v>800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262-1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12000</v>
      </c>
      <c r="G503" s="4" t="n">
        <v>629</v>
      </c>
      <c r="H503" s="4" t="n">
        <v>190</v>
      </c>
      <c r="I503" s="5" t="n">
        <v>63.2</v>
      </c>
      <c r="J503" s="5" t="n">
        <v>32.6</v>
      </c>
      <c r="K503" s="3" t="inlineStr">
        <is>
          <t>서원구 남이면 문동리 위치한 전원주택지입니다.</t>
        </is>
      </c>
      <c r="L503" s="6">
        <f>HYPERLINK("https://fin.land.naver.com/articles/2649649052", "매물Link")</f>
        <v/>
      </c>
      <c r="M503" s="6">
        <f>HYPERLINK("https://map.naver.com/p/search/남이면 문동리 262-1", "지도Link")</f>
        <v/>
      </c>
      <c r="N503" s="6">
        <f>HYPERLINK("http://www.eum.go.kr/web/ar/lu/luLandDet.jsp?pnu=4311231023102620001&amp;isNoScr=script&amp;mode=search", "토지이음")</f>
        <v/>
      </c>
      <c r="O503" s="3" t="inlineStr">
        <is>
          <t>세원</t>
        </is>
      </c>
      <c r="P503" s="4" t="n">
        <v>1</v>
      </c>
      <c r="Q503" s="4" t="n">
        <v>629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264-3</t>
        </is>
      </c>
      <c r="B504" s="3" t="inlineStr">
        <is>
          <t>생산관리지역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</v>
      </c>
      <c r="G504" s="4" t="n">
        <v>555</v>
      </c>
      <c r="H504" s="4" t="n">
        <v>168</v>
      </c>
      <c r="I504" s="5" t="n">
        <v>59.5</v>
      </c>
      <c r="J504" s="5" t="n">
        <v>32.9</v>
      </c>
      <c r="K504" s="3" t="inlineStr">
        <is>
          <t>남이면 문동리 토지매매</t>
        </is>
      </c>
      <c r="L504" s="6">
        <f>HYPERLINK("https://fin.land.naver.com/articles/2649158340", "매물Link")</f>
        <v/>
      </c>
      <c r="M504" s="6">
        <f>HYPERLINK("https://map.naver.com/p/search/남이면 문동리 264-3", "지도Link")</f>
        <v/>
      </c>
      <c r="N504" s="6">
        <f>HYPERLINK("http://www.eum.go.kr/web/ar/lu/luLandDet.jsp?pnu=4311231023102640003&amp;isNoScr=script&amp;mode=search", "토지이음")</f>
        <v/>
      </c>
      <c r="O504" s="3" t="inlineStr">
        <is>
          <t>세원</t>
        </is>
      </c>
      <c r="P504" s="4" t="n">
        <v>2</v>
      </c>
      <c r="Q504" s="4" t="n">
        <v>555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세로각지(가)</t>
        </is>
      </c>
    </row>
    <row r="505">
      <c r="A505" s="3" t="inlineStr">
        <is>
          <t>남이면 문동리 326-1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70000</v>
      </c>
      <c r="G505" s="4" t="n">
        <v>3644</v>
      </c>
      <c r="H505" s="4" t="n">
        <v>1102</v>
      </c>
      <c r="I505" s="5" t="n">
        <v>63.5</v>
      </c>
      <c r="J505" s="5" t="n">
        <v>17</v>
      </c>
      <c r="K505" s="3" t="inlineStr">
        <is>
          <t>2차선접 전원주택지 카페건축 창고건축추천</t>
        </is>
      </c>
      <c r="L505" s="6">
        <f>HYPERLINK("https://fin.land.naver.com/articles/2648989710", "매물Link")</f>
        <v/>
      </c>
      <c r="M505" s="6">
        <f>HYPERLINK("https://map.naver.com/p/search/남이면 문동리 326-1", "지도Link")</f>
        <v/>
      </c>
      <c r="N505" s="6">
        <f>HYPERLINK("http://www.eum.go.kr/web/ar/lu/luLandDet.jsp?pnu=4311231023103260001&amp;isNoScr=script&amp;mode=search", "토지이음")</f>
        <v/>
      </c>
      <c r="O505" s="3" t="inlineStr">
        <is>
          <t>청주푸르지오</t>
        </is>
      </c>
      <c r="P505" s="4" t="n">
        <v>2</v>
      </c>
      <c r="Q505" s="4" t="n">
        <v>3644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남이면 문동리 338-1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14000</v>
      </c>
      <c r="G506" s="4" t="n">
        <v>756</v>
      </c>
      <c r="H506" s="4" t="n">
        <v>229</v>
      </c>
      <c r="I506" s="5" t="n">
        <v>61.1</v>
      </c>
      <c r="J506" s="5" t="n">
        <v>13.6</v>
      </c>
      <c r="K506" s="3" t="inlineStr">
        <is>
          <t>2차선도로에 접한땅임.소매 물류창고추천</t>
        </is>
      </c>
      <c r="L506" s="6">
        <f>HYPERLINK("https://fin.land.naver.com/articles/2648869433", "매물Link")</f>
        <v/>
      </c>
      <c r="M506" s="6">
        <f>HYPERLINK("https://map.naver.com/p/search/남이면 문동리 338-1", "지도Link")</f>
        <v/>
      </c>
      <c r="N506" s="6">
        <f>HYPERLINK("http://www.eum.go.kr/web/ar/lu/luLandDet.jsp?pnu=4311231023103380001&amp;isNoScr=script&amp;mode=search", "토지이음")</f>
        <v/>
      </c>
      <c r="O506" s="3" t="inlineStr">
        <is>
          <t>포시즌</t>
        </is>
      </c>
      <c r="P506" s="4" t="n">
        <v>1</v>
      </c>
      <c r="Q506" s="4" t="n">
        <v>756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344</t>
        </is>
      </c>
      <c r="B507" s="3" t="inlineStr">
        <is>
          <t>자연환경보전지역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17000</v>
      </c>
      <c r="G507" s="4" t="n">
        <v>2939</v>
      </c>
      <c r="H507" s="4" t="n">
        <v>889</v>
      </c>
      <c r="I507" s="5" t="n">
        <v>19.1</v>
      </c>
      <c r="J507" s="5" t="n">
        <v>8.9</v>
      </c>
      <c r="K507" s="3" t="inlineStr">
        <is>
          <t>남이면 문동리 전 매매</t>
        </is>
      </c>
      <c r="L507" s="6">
        <f>HYPERLINK("https://fin.land.naver.com/articles/2650251867", "매물Link")</f>
        <v/>
      </c>
      <c r="M507" s="6">
        <f>HYPERLINK("https://map.naver.com/p/search/남이면 문동리 344", "지도Link")</f>
        <v/>
      </c>
      <c r="N507" s="6">
        <f>HYPERLINK("http://www.eum.go.kr/web/ar/lu/luLandDet.jsp?pnu=4311231023103440000&amp;isNoScr=script&amp;mode=search", "토지이음")</f>
        <v/>
      </c>
      <c r="O507" s="3" t="inlineStr">
        <is>
          <t>터와뜰</t>
        </is>
      </c>
      <c r="P507" s="4" t="n">
        <v>1</v>
      </c>
      <c r="Q507" s="4" t="n">
        <v>2939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477</t>
        </is>
      </c>
      <c r="B508" s="3" t="inlineStr">
        <is>
          <t>자연환경보전지역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9000</v>
      </c>
      <c r="G508" s="4" t="n">
        <v>734</v>
      </c>
      <c r="H508" s="4" t="n">
        <v>222</v>
      </c>
      <c r="I508" s="5" t="n">
        <v>40.5</v>
      </c>
      <c r="J508" s="5" t="n">
        <v>23</v>
      </c>
      <c r="K508" s="3" t="inlineStr">
        <is>
          <t>남청주 iC 에서 차로 15분 내 진입가능 토목공사 완료 됨 건축가능</t>
        </is>
      </c>
      <c r="L508" s="6">
        <f>HYPERLINK("https://fin.land.naver.com/articles/2650931497", "매물Link")</f>
        <v/>
      </c>
      <c r="M508" s="6">
        <f>HYPERLINK("https://map.naver.com/p/search/남이면 문동리 477", "지도Link")</f>
        <v/>
      </c>
      <c r="N508" s="6">
        <f>HYPERLINK("http://www.eum.go.kr/web/ar/lu/luLandDet.jsp?pnu=4311231023104770000&amp;isNoScr=script&amp;mode=search", "토지이음")</f>
        <v/>
      </c>
      <c r="O508" s="3" t="inlineStr">
        <is>
          <t>하나</t>
        </is>
      </c>
      <c r="P508" s="4" t="n">
        <v>1</v>
      </c>
      <c r="Q508" s="4" t="n">
        <v>734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자루형</t>
        </is>
      </c>
      <c r="V508" s="3" t="inlineStr">
        <is>
          <t>세로한면(불)</t>
        </is>
      </c>
    </row>
    <row r="509">
      <c r="A509" s="3" t="inlineStr">
        <is>
          <t>남이면 문동리 산 26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78000</v>
      </c>
      <c r="G509" s="4" t="n">
        <v>3224</v>
      </c>
      <c r="H509" s="4" t="n">
        <v>975</v>
      </c>
      <c r="I509" s="5" t="n">
        <v>80</v>
      </c>
      <c r="J509" s="5" t="n">
        <v>30</v>
      </c>
      <c r="K509" s="3" t="inlineStr">
        <is>
          <t>nan</t>
        </is>
      </c>
      <c r="L509" s="6">
        <f>HYPERLINK("https://fin.land.naver.com/articles/2650275971", "매물Link")</f>
        <v/>
      </c>
      <c r="M509" s="6">
        <f>HYPERLINK("https://map.naver.com/p/search/남이면 문동리 산 26", "지도Link")</f>
        <v/>
      </c>
      <c r="N509" s="6">
        <f>HYPERLINK("http://www.eum.go.kr/web/ar/lu/luLandDet.jsp?pnu=4311231023200260000&amp;isNoScr=script&amp;mode=search", "토지이음")</f>
        <v/>
      </c>
      <c r="O509" s="3" t="inlineStr">
        <is>
          <t>일등</t>
        </is>
      </c>
      <c r="P509" s="4" t="n">
        <v>1</v>
      </c>
      <c r="Q509" s="4" t="n">
        <v>772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26-51</t>
        </is>
      </c>
      <c r="B510" s="3" t="inlineStr">
        <is>
          <t>보전녹지지역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17000</v>
      </c>
      <c r="G510" s="4" t="n">
        <v>718</v>
      </c>
      <c r="H510" s="4" t="n">
        <v>217</v>
      </c>
      <c r="I510" s="5" t="n">
        <v>78.3</v>
      </c>
      <c r="J510" s="5" t="n">
        <v>30</v>
      </c>
      <c r="K510" s="3" t="inlineStr">
        <is>
          <t>남이면 문동리 토목공사 완료된 택지 매매 주택 세컨드하우스등 추천</t>
        </is>
      </c>
      <c r="L510" s="6">
        <f>HYPERLINK("https://fin.land.naver.com/articles/2652464628", "매물Link")</f>
        <v/>
      </c>
      <c r="M510" s="6">
        <f>HYPERLINK("https://map.naver.com/p/search/남이면 문동리 산 26-51", "지도Link")</f>
        <v/>
      </c>
      <c r="N510" s="6">
        <f>HYPERLINK("http://www.eum.go.kr/web/ar/lu/luLandDet.jsp?pnu=4311231023200260051&amp;isNoScr=script&amp;mode=search", "토지이음")</f>
        <v/>
      </c>
      <c r="O510" s="3" t="inlineStr">
        <is>
          <t>그린</t>
        </is>
      </c>
      <c r="P510" s="4" t="n">
        <v>1</v>
      </c>
      <c r="Q510" s="4" t="n">
        <v>652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완경사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산 59-7</t>
        </is>
      </c>
      <c r="B511" s="3" t="inlineStr">
        <is>
          <t>생산관리지역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45000</v>
      </c>
      <c r="G511" s="4" t="n">
        <v>3019</v>
      </c>
      <c r="H511" s="4" t="n">
        <v>913</v>
      </c>
      <c r="I511" s="5" t="n">
        <v>49.3</v>
      </c>
      <c r="J511" s="5" t="n">
        <v>2.6</v>
      </c>
      <c r="K511" s="3" t="inlineStr">
        <is>
          <t>nan</t>
        </is>
      </c>
      <c r="L511" s="6">
        <f>HYPERLINK("https://fin.land.naver.com/articles/2649486291", "매물Link")</f>
        <v/>
      </c>
      <c r="M511" s="6">
        <f>HYPERLINK("https://map.naver.com/p/search/남이면 문동리 산 59-7", "지도Link")</f>
        <v/>
      </c>
      <c r="N511" s="6">
        <f>HYPERLINK("http://www.eum.go.kr/web/ar/lu/luLandDet.jsp?pnu=4311231023200590007&amp;isNoScr=script&amp;mode=search", "토지이음")</f>
        <v/>
      </c>
      <c r="O511" s="3" t="inlineStr">
        <is>
          <t>금맥</t>
        </is>
      </c>
      <c r="P511" s="4" t="n">
        <v>1</v>
      </c>
      <c r="Q511" s="4" t="n">
        <v>1805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산26-20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25000</v>
      </c>
      <c r="G513" s="4" t="n">
        <v>1528</v>
      </c>
      <c r="H513" s="4" t="n">
        <v>462</v>
      </c>
      <c r="I513" s="5" t="n">
        <v>54.1</v>
      </c>
      <c r="J513" s="5" t="n">
        <v>29.7</v>
      </c>
      <c r="K513" s="3" t="inlineStr">
        <is>
          <t>문동리 토목공사 완료된 전원주택지 매매, 1종근생가능</t>
        </is>
      </c>
      <c r="L513" s="6">
        <f>HYPERLINK("https://fin.land.naver.com/articles/2647589340", "매물Link")</f>
        <v/>
      </c>
      <c r="M513" s="6">
        <f>HYPERLINK("https://map.naver.com/p/search/남이면 문동리 산26-20", "지도Link")</f>
        <v/>
      </c>
      <c r="N513" s="6">
        <f>HYPERLINK("http://www.eum.go.kr/web/ar/lu/luLandDet.jsp?pnu=4311231023200260020&amp;isNoScr=script&amp;mode=search", "토지이음")</f>
        <v/>
      </c>
      <c r="O513" s="3" t="inlineStr">
        <is>
          <t>원탑</t>
        </is>
      </c>
      <c r="P513" s="4" t="n">
        <v>1</v>
      </c>
      <c r="Q513" s="4" t="n">
        <v>1528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문동리 산26-7</t>
        </is>
      </c>
      <c r="B514" s="3" t="inlineStr">
        <is>
          <t>보전녹지지역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15000</v>
      </c>
      <c r="G514" s="4" t="n">
        <v>1435</v>
      </c>
      <c r="H514" s="4" t="n">
        <v>434</v>
      </c>
      <c r="I514" s="5" t="n">
        <v>34.6</v>
      </c>
      <c r="J514" s="5" t="n">
        <v>5.2</v>
      </c>
      <c r="K514" s="3" t="inlineStr">
        <is>
          <t>문동리한의사마을 전원주택지 매매</t>
        </is>
      </c>
      <c r="L514" s="6">
        <f>HYPERLINK("https://fin.land.naver.com/articles/2649169881", "매물Link")</f>
        <v/>
      </c>
      <c r="M514" s="6">
        <f>HYPERLINK("https://map.naver.com/p/search/남이면 문동리 산26-7", "지도Link")</f>
        <v/>
      </c>
      <c r="N514" s="6">
        <f>HYPERLINK("http://www.eum.go.kr/web/ar/lu/luLandDet.jsp?pnu=4311231023200260007&amp;isNoScr=script&amp;mode=search", "토지이음")</f>
        <v/>
      </c>
      <c r="O514" s="3" t="inlineStr">
        <is>
          <t>스피드</t>
        </is>
      </c>
      <c r="P514" s="4" t="n">
        <v>1</v>
      </c>
      <c r="Q514" s="4" t="n">
        <v>1435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1069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4513</v>
      </c>
      <c r="H516" s="4" t="n">
        <v>1365</v>
      </c>
      <c r="I516" s="5" t="n">
        <v>124.5</v>
      </c>
      <c r="J516" s="5" t="n">
        <v>45.3</v>
      </c>
      <c r="K516" s="3" t="inlineStr">
        <is>
          <t>nan</t>
        </is>
      </c>
      <c r="L516" s="6">
        <f>HYPERLINK("https://fin.land.naver.com/articles/2649045180", "매물Link")</f>
        <v/>
      </c>
      <c r="M516" s="6">
        <f>HYPERLINK("https://map.naver.com/p/search/남이면 부용외천리 1069", "지도Link")</f>
        <v/>
      </c>
      <c r="N516" s="6">
        <f>HYPERLINK("http://www.eum.go.kr/web/ar/lu/luLandDet.jsp?pnu=4311231040110690000&amp;isNoScr=script&amp;mode=search", "토지이음")</f>
        <v/>
      </c>
      <c r="O516" s="3" t="inlineStr">
        <is>
          <t>포도</t>
        </is>
      </c>
      <c r="P516" s="4" t="n">
        <v>1</v>
      </c>
      <c r="Q516" s="4" t="n">
        <v>2801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남이면 부용외천리 254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49700</v>
      </c>
      <c r="G517" s="4" t="n">
        <v>607</v>
      </c>
      <c r="H517" s="4" t="n">
        <v>184</v>
      </c>
      <c r="I517" s="5" t="n">
        <v>270.1</v>
      </c>
      <c r="J517" s="5" t="n">
        <v>67.09999999999999</v>
      </c>
      <c r="K517" s="3" t="inlineStr">
        <is>
          <t>남청주IC 인근 대로 접한 계획관리 토지</t>
        </is>
      </c>
      <c r="L517" s="6">
        <f>HYPERLINK("https://fin.land.naver.com/articles/2650137056", "매물Link")</f>
        <v/>
      </c>
      <c r="M517" s="6">
        <f>HYPERLINK("https://map.naver.com/p/search/남이면 부용외천리 254", "지도Link")</f>
        <v/>
      </c>
      <c r="N517" s="6">
        <f>HYPERLINK("http://www.eum.go.kr/web/ar/lu/luLandDet.jsp?pnu=4311231040102540000&amp;isNoScr=script&amp;mode=search", "토지이음")</f>
        <v/>
      </c>
      <c r="O517" s="3" t="inlineStr">
        <is>
          <t>정민</t>
        </is>
      </c>
      <c r="P517" s="4" t="n">
        <v>1</v>
      </c>
      <c r="Q517" s="4" t="n">
        <v>607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중로한면</t>
        </is>
      </c>
    </row>
    <row r="518">
      <c r="A518" s="3" t="inlineStr">
        <is>
          <t>남이면 부용외천리 63-1</t>
        </is>
      </c>
      <c r="B518" s="3" t="inlineStr">
        <is>
          <t>계획관리지역</t>
        </is>
      </c>
      <c r="C518" s="3" t="inlineStr">
        <is>
          <t>창고용지</t>
        </is>
      </c>
      <c r="D518" s="3" t="inlineStr">
        <is>
          <t>창고용지</t>
        </is>
      </c>
      <c r="E518" s="3" t="inlineStr">
        <is>
          <t>매매</t>
        </is>
      </c>
      <c r="F518" s="4" t="n">
        <v>250000</v>
      </c>
      <c r="G518" s="4" t="n">
        <v>5703</v>
      </c>
      <c r="H518" s="4" t="n">
        <v>1725</v>
      </c>
      <c r="I518" s="5" t="n">
        <v>144.9</v>
      </c>
      <c r="J518" s="5" t="n">
        <v>33.1</v>
      </c>
      <c r="K518" s="3" t="inlineStr">
        <is>
          <t>남청주IC 인근, 토지 및 건축물 매매, 가격절충가능</t>
        </is>
      </c>
      <c r="L518" s="6">
        <f>HYPERLINK("https://fin.land.naver.com/articles/2651985023", "매물Link")</f>
        <v/>
      </c>
      <c r="M518" s="6">
        <f>HYPERLINK("https://map.naver.com/p/search/남이면 부용외천리 63-1", "지도Link")</f>
        <v/>
      </c>
      <c r="N518" s="6">
        <f>HYPERLINK("http://www.eum.go.kr/web/ar/lu/luLandDet.jsp?pnu=4311231040100630001&amp;isNoScr=script&amp;mode=search", "토지이음")</f>
        <v/>
      </c>
      <c r="O518" s="3" t="inlineStr">
        <is>
          <t>라인</t>
        </is>
      </c>
      <c r="P518" s="4" t="n">
        <v>1</v>
      </c>
      <c r="Q518" s="4" t="n">
        <v>4923</v>
      </c>
      <c r="R518" s="3" t="inlineStr">
        <is>
          <t>지정되지않음</t>
        </is>
      </c>
      <c r="S518" s="3" t="inlineStr">
        <is>
          <t>주거기타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부용외천리 634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850000</v>
      </c>
      <c r="G519" s="4" t="n">
        <v>103313</v>
      </c>
      <c r="H519" s="4" t="n">
        <v>31252</v>
      </c>
      <c r="I519" s="5" t="n">
        <v>27.2</v>
      </c>
      <c r="J519" s="5" t="n">
        <v>16.4</v>
      </c>
      <c r="K519" s="3" t="inlineStr">
        <is>
          <t>골프연습장, 공장.창고부지  급매물 입니다</t>
        </is>
      </c>
      <c r="L519" s="6">
        <f>HYPERLINK("https://fin.land.naver.com/articles/2651017851", "매물Link")</f>
        <v/>
      </c>
      <c r="M519" s="6">
        <f>HYPERLINK("https://map.naver.com/p/search/남이면 부용외천리 634", "지도Link")</f>
        <v/>
      </c>
      <c r="N519" s="6">
        <f>HYPERLINK("http://www.eum.go.kr/web/ar/lu/luLandDet.jsp?pnu=4311231040106340000&amp;isNoScr=script&amp;mode=search",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1481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고지</t>
        </is>
      </c>
      <c r="U519" s="3" t="inlineStr">
        <is>
          <t>사다리형</t>
        </is>
      </c>
      <c r="V519" s="3" t="inlineStr">
        <is>
          <t>맹지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과수원</t>
        </is>
      </c>
      <c r="E526" s="3" t="inlineStr">
        <is>
          <t>매매</t>
        </is>
      </c>
      <c r="F526" s="4" t="n">
        <v>750000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HYPERLINK("https://fin.land.naver.com/articles/2647424341",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비룡리 181-1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32050</v>
      </c>
      <c r="G530" s="4" t="n">
        <v>4238</v>
      </c>
      <c r="H530" s="4" t="n">
        <v>1282</v>
      </c>
      <c r="I530" s="5" t="n">
        <v>25</v>
      </c>
      <c r="J530" s="5" t="n">
        <v>9.4</v>
      </c>
      <c r="K530" s="3" t="inlineStr">
        <is>
          <t>nan</t>
        </is>
      </c>
      <c r="L530" s="6">
        <f>HYPERLINK("https://fin.land.naver.com/articles/2649834524", "매물Link")</f>
        <v/>
      </c>
      <c r="M530" s="6">
        <f>HYPERLINK("https://map.naver.com/p/search/남이면 비룡리 181-1", "지도Link")</f>
        <v/>
      </c>
      <c r="N530" s="6">
        <f>HYPERLINK("http://www.eum.go.kr/web/ar/lu/luLandDet.jsp?pnu=4311231026101810001&amp;isNoScr=script&amp;mode=search", "토지이음")</f>
        <v/>
      </c>
      <c r="O530" s="3" t="inlineStr">
        <is>
          <t>소소사무소</t>
        </is>
      </c>
      <c r="P530" s="4" t="n">
        <v>1</v>
      </c>
      <c r="Q530" s="4" t="n">
        <v>516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218-3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2038</v>
      </c>
      <c r="H531" s="4" t="n">
        <v>616</v>
      </c>
      <c r="I531" s="5" t="n">
        <v>170.5</v>
      </c>
      <c r="J531" s="5" t="n">
        <v>14.3</v>
      </c>
      <c r="K531" s="3" t="inlineStr">
        <is>
          <t>토지급매 세종청주 고속도로 강내IC2030년 예정 최대 수혜</t>
        </is>
      </c>
      <c r="L531" s="6">
        <f>HYPERLINK("https://fin.land.naver.com/articles/2651661050", "매물Link")</f>
        <v/>
      </c>
      <c r="M531" s="6">
        <f>HYPERLINK("https://map.naver.com/p/search/남이면 비룡리 218-3", "지도Link")</f>
        <v/>
      </c>
      <c r="N531" s="6">
        <f>HYPERLINK("http://www.eum.go.kr/web/ar/lu/luLandDet.jsp?pnu=4311231026102180003&amp;isNoScr=script&amp;mode=search", "토지이음")</f>
        <v/>
      </c>
      <c r="O531" s="3" t="inlineStr">
        <is>
          <t>타임합동사무소</t>
        </is>
      </c>
      <c r="P531" s="4" t="n">
        <v>1</v>
      </c>
      <c r="Q531" s="4" t="n">
        <v>147</v>
      </c>
      <c r="R531" s="3" t="inlineStr">
        <is>
          <t>지정되지않음</t>
        </is>
      </c>
      <c r="S531" s="3" t="inlineStr">
        <is>
          <t>도로등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비룡리 32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15000</v>
      </c>
      <c r="G532" s="4" t="n">
        <v>2160</v>
      </c>
      <c r="H532" s="4" t="n">
        <v>653</v>
      </c>
      <c r="I532" s="5" t="n">
        <v>23</v>
      </c>
      <c r="J532" s="5" t="n">
        <v>10</v>
      </c>
      <c r="K532" s="3" t="inlineStr">
        <is>
          <t>공기좋은 비룡리토지 비닐하우스 안 컨테이너농막 풍부한지하수 주말농장추천</t>
        </is>
      </c>
      <c r="L532" s="6">
        <f>HYPERLINK("https://fin.land.naver.com/articles/2653069463", "매물Link")</f>
        <v/>
      </c>
      <c r="M532" s="6">
        <f>HYPERLINK("https://map.naver.com/p/search/남이면 비룡리 32", "지도Link")</f>
        <v/>
      </c>
      <c r="N532" s="6">
        <f>HYPERLINK("http://www.eum.go.kr/web/ar/lu/luLandDet.jsp?pnu=4311231026100320000&amp;isNoScr=script&amp;mode=search", "토지이음")</f>
        <v/>
      </c>
      <c r="O532" s="3" t="inlineStr">
        <is>
          <t>행복도시</t>
        </is>
      </c>
      <c r="P532" s="4" t="n">
        <v>2</v>
      </c>
      <c r="Q532" s="4" t="n">
        <v>2160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비룡리 325-3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185000</v>
      </c>
      <c r="G533" s="4" t="n">
        <v>585</v>
      </c>
      <c r="H533" s="4" t="n">
        <v>177</v>
      </c>
      <c r="I533" s="5" t="n">
        <v>1045.2</v>
      </c>
      <c r="J533" s="5" t="n">
        <v>28.9</v>
      </c>
      <c r="K533" s="3" t="inlineStr">
        <is>
          <t>o사진o 계획관리 도로접한 공장용지</t>
        </is>
      </c>
      <c r="L533" s="6">
        <f>HYPERLINK("https://fin.land.naver.com/articles/2648467642", "매물Link")</f>
        <v/>
      </c>
      <c r="M533" s="6">
        <f>HYPERLINK("https://map.naver.com/p/search/남이면 비룡리 325-3", "지도Link")</f>
        <v/>
      </c>
      <c r="N533" s="6">
        <f>HYPERLINK("http://www.eum.go.kr/web/ar/lu/luLandDet.jsp?pnu=4311231026103250003&amp;isNoScr=script&amp;mode=search", "토지이음")</f>
        <v/>
      </c>
      <c r="O533" s="3" t="inlineStr">
        <is>
          <t>서초만땅</t>
        </is>
      </c>
      <c r="P533" s="4" t="n">
        <v>1</v>
      </c>
      <c r="Q533" s="4" t="n">
        <v>2630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남이면 비룡리 463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27000</v>
      </c>
      <c r="G534" s="4" t="n">
        <v>2441</v>
      </c>
      <c r="H534" s="4" t="n">
        <v>738</v>
      </c>
      <c r="I534" s="5" t="n">
        <v>36.6</v>
      </c>
      <c r="J534" s="5" t="n">
        <v>19.9</v>
      </c>
      <c r="K534" s="3" t="inlineStr">
        <is>
          <t>생산관리 토지 매매</t>
        </is>
      </c>
      <c r="L534" s="6">
        <f>HYPERLINK("https://fin.land.naver.com/articles/2653037411", "매물Link")</f>
        <v/>
      </c>
      <c r="M534" s="6">
        <f>HYPERLINK("https://map.naver.com/p/search/남이면 비룡리 463", "지도Link")</f>
        <v/>
      </c>
      <c r="N534" s="6">
        <f>HYPERLINK("http://www.eum.go.kr/web/ar/lu/luLandDet.jsp?pnu=4311231026104630000&amp;isNoScr=script&amp;mode=search", "토지이음")</f>
        <v/>
      </c>
      <c r="O534" s="3" t="inlineStr">
        <is>
          <t>정민</t>
        </is>
      </c>
      <c r="P534" s="4" t="n">
        <v>1</v>
      </c>
      <c r="Q534" s="4" t="n">
        <v>2441.7</v>
      </c>
      <c r="R534" s="3" t="inlineStr">
        <is>
          <t>농림지역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사동리 128-1</t>
        </is>
      </c>
      <c r="B535" s="3" t="inlineStr">
        <is>
          <t>보전녹지지역</t>
        </is>
      </c>
      <c r="C535" s="3" t="inlineStr">
        <is>
          <t>답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960</v>
      </c>
      <c r="H535" s="4" t="n">
        <v>290</v>
      </c>
      <c r="I535" s="5" t="n">
        <v>51.7</v>
      </c>
      <c r="J535" s="5" t="n">
        <v>17</v>
      </c>
      <c r="K535" s="3" t="inlineStr">
        <is>
          <t>2필지(전,답)으로 구성된 토지로 투자용 매매 적극 추천 합니다</t>
        </is>
      </c>
      <c r="L535" s="6">
        <f>HYPERLINK("https://fin.land.naver.com/articles/2653019296", "매물Link")</f>
        <v/>
      </c>
      <c r="M535" s="6">
        <f>HYPERLINK("https://map.naver.com/p/search/남이면 사동리 128-1", "지도Link")</f>
        <v/>
      </c>
      <c r="N535" s="6">
        <f>HYPERLINK("http://www.eum.go.kr/web/ar/lu/luLandDet.jsp?pnu=4311231028101280001&amp;isNoScr=script&amp;mode=search", "토지이음")</f>
        <v/>
      </c>
      <c r="O535" s="3" t="inlineStr">
        <is>
          <t>투자</t>
        </is>
      </c>
      <c r="P535" s="4" t="n">
        <v>1</v>
      </c>
      <c r="Q535" s="4" t="n">
        <v>250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산막리 247-1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18000</v>
      </c>
      <c r="G536" s="4" t="n">
        <v>1464</v>
      </c>
      <c r="H536" s="4" t="n">
        <v>443</v>
      </c>
      <c r="I536" s="5" t="n">
        <v>40.6</v>
      </c>
      <c r="J536" s="5" t="n">
        <v>12.3</v>
      </c>
      <c r="K536" s="3" t="inlineStr">
        <is>
          <t>남이면 산막리 도로접한 토지 매매</t>
        </is>
      </c>
      <c r="L536" s="6">
        <f>HYPERLINK("https://fin.land.naver.com/articles/2651762335", "매물Link")</f>
        <v/>
      </c>
      <c r="M536" s="6">
        <f>HYPERLINK("https://map.naver.com/p/search/남이면 산막리 247-1", "지도Link")</f>
        <v/>
      </c>
      <c r="N536" s="6">
        <f>HYPERLINK("http://www.eum.go.kr/web/ar/lu/luLandDet.jsp?pnu=4311231025102470001&amp;isNoScr=script&amp;mode=search",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1464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산막리 263-2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16000</v>
      </c>
      <c r="G537" s="4" t="n">
        <v>1326</v>
      </c>
      <c r="H537" s="4" t="n">
        <v>401</v>
      </c>
      <c r="I537" s="5" t="n">
        <v>39.9</v>
      </c>
      <c r="J537" s="5" t="n">
        <v>12.3</v>
      </c>
      <c r="K537" s="3" t="inlineStr">
        <is>
          <t>남이면 산막리 시도21호선 접한 토지 매매</t>
        </is>
      </c>
      <c r="L537" s="6">
        <f>HYPERLINK("https://fin.land.naver.com/articles/2651761606", "매물Link")</f>
        <v/>
      </c>
      <c r="M537" s="6">
        <f>HYPERLINK("https://map.naver.com/p/search/남이면 산막리 263-2", "지도Link")</f>
        <v/>
      </c>
      <c r="N537" s="6">
        <f>HYPERLINK("http://www.eum.go.kr/web/ar/lu/luLandDet.jsp?pnu=4311231025102630002&amp;isNoScr=script&amp;mode=search",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1326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37</t>
        </is>
      </c>
      <c r="B538" s="3" t="inlineStr">
        <is>
          <t>농림지역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1360</v>
      </c>
      <c r="G538" s="4" t="n">
        <v>450</v>
      </c>
      <c r="H538" s="4" t="n">
        <v>136</v>
      </c>
      <c r="I538" s="5" t="n">
        <v>10</v>
      </c>
      <c r="J538" s="5" t="n">
        <v>8.800000000000001</v>
      </c>
      <c r="K538" s="3" t="inlineStr">
        <is>
          <t>농업진흥구역의 농림지역 주말농장으로추천함. 구거접함</t>
        </is>
      </c>
      <c r="L538" s="6">
        <f>HYPERLINK("https://fin.land.naver.com/articles/2651088390", "매물Link")</f>
        <v/>
      </c>
      <c r="M538" s="6">
        <f>HYPERLINK("https://map.naver.com/p/search/남이면 산막리 37", "지도Link")</f>
        <v/>
      </c>
      <c r="N538" s="6">
        <f>HYPERLINK("http://www.eum.go.kr/web/ar/lu/luLandDet.jsp?pnu=4311231025100370000&amp;isNoScr=script&amp;mode=search", "토지이음")</f>
        <v/>
      </c>
      <c r="O538" s="3" t="inlineStr">
        <is>
          <t>청주원</t>
        </is>
      </c>
      <c r="P538" s="4" t="n">
        <v>1</v>
      </c>
      <c r="Q538" s="4" t="n">
        <v>414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남이면 산막리 52-2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1515</v>
      </c>
      <c r="H539" s="4" t="n">
        <v>458</v>
      </c>
      <c r="I539" s="5" t="n">
        <v>54.6</v>
      </c>
      <c r="J539" s="5" t="n">
        <v>16.5</v>
      </c>
      <c r="K539" s="3" t="inlineStr">
        <is>
          <t>한적한 곳에 전원주택및부지, 인접 전,도로용지 포 3필지,주말농장 활용</t>
        </is>
      </c>
      <c r="L539" s="6">
        <f>HYPERLINK("https://fin.land.naver.com/articles/2648336390", "매물Link")</f>
        <v/>
      </c>
      <c r="M539" s="6">
        <f>HYPERLINK("https://map.naver.com/p/search/남이면 산막리 52-2", "지도Link")</f>
        <v/>
      </c>
      <c r="N539" s="6">
        <f>HYPERLINK("http://www.eum.go.kr/web/ar/lu/luLandDet.jsp?pnu=4311231025100520002&amp;isNoScr=script&amp;mode=search", "토지이음")</f>
        <v/>
      </c>
      <c r="O539" s="3" t="inlineStr">
        <is>
          <t>우리</t>
        </is>
      </c>
      <c r="P539" s="4" t="n">
        <v>1</v>
      </c>
      <c r="Q539" s="4" t="n">
        <v>980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세로한면(불)</t>
        </is>
      </c>
    </row>
    <row r="540">
      <c r="A540" s="3" t="inlineStr">
        <is>
          <t>남이면 상발리 108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55000</v>
      </c>
      <c r="G540" s="4" t="n">
        <v>2603</v>
      </c>
      <c r="H540" s="4" t="n">
        <v>787</v>
      </c>
      <c r="I540" s="5" t="n">
        <v>69.90000000000001</v>
      </c>
      <c r="J540" s="5" t="n">
        <v>16.7</v>
      </c>
      <c r="K540" s="3" t="inlineStr">
        <is>
          <t>남이면 상발리에 위치한 도로 접한 토지 매매</t>
        </is>
      </c>
      <c r="L540" s="6">
        <f>HYPERLINK("https://fin.land.naver.com/articles/2651110651", "매물Link")</f>
        <v/>
      </c>
      <c r="M540" s="6">
        <f>HYPERLINK("https://map.naver.com/p/search/남이면 상발리 108", "지도Link")</f>
        <v/>
      </c>
      <c r="N540" s="6">
        <f>HYPERLINK("http://www.eum.go.kr/web/ar/lu/luLandDet.jsp?pnu=4311231031101080000&amp;isNoScr=script&amp;mode=search", "토지이음")</f>
        <v/>
      </c>
      <c r="O540" s="3" t="inlineStr">
        <is>
          <t>대지</t>
        </is>
      </c>
      <c r="P540" s="4" t="n">
        <v>6</v>
      </c>
      <c r="Q540" s="4" t="n">
        <v>2603</v>
      </c>
      <c r="R540" s="3" t="inlineStr">
        <is>
          <t>보전녹지지역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55090</v>
      </c>
      <c r="G541" s="4" t="n">
        <v>2603</v>
      </c>
      <c r="H541" s="4" t="n">
        <v>787</v>
      </c>
      <c r="I541" s="5" t="n">
        <v>70</v>
      </c>
      <c r="J541" s="5" t="n">
        <v>16.7</v>
      </c>
      <c r="K541" s="3" t="inlineStr">
        <is>
          <t>남이면 상발리 토지매매</t>
        </is>
      </c>
      <c r="L541" s="6">
        <f>HYPERLINK("https://fin.land.naver.com/articles/2649645214",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탄탄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16-2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245000</v>
      </c>
      <c r="G542" s="4" t="n">
        <v>8008</v>
      </c>
      <c r="H542" s="4" t="n">
        <v>2422</v>
      </c>
      <c r="I542" s="5" t="n">
        <v>101.2</v>
      </c>
      <c r="J542" s="5" t="n">
        <v>31.6</v>
      </c>
      <c r="K542" s="3" t="inlineStr">
        <is>
          <t>청주 남이면 상발리, 투자개발 최적지 토지 매매</t>
        </is>
      </c>
      <c r="L542" s="6">
        <f>HYPERLINK("https://fin.land.naver.com/articles/2650045640", "매물Link")</f>
        <v/>
      </c>
      <c r="M542" s="6">
        <f>HYPERLINK("https://map.naver.com/p/search/남이면 상발리 16-2", "지도Link")</f>
        <v/>
      </c>
      <c r="N542" s="6">
        <f>HYPERLINK("http://www.eum.go.kr/web/ar/lu/luLandDet.jsp?pnu=4311231031100160002&amp;isNoScr=script&amp;mode=search",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2865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남이면 상발리 26</t>
        </is>
      </c>
      <c r="B543" s="3" t="inlineStr">
        <is>
          <t>자연녹지지역</t>
        </is>
      </c>
      <c r="C543" s="3" t="inlineStr">
        <is>
          <t>창고용지</t>
        </is>
      </c>
      <c r="D543" s="3" t="inlineStr">
        <is>
          <t>대</t>
        </is>
      </c>
      <c r="E543" s="3" t="inlineStr">
        <is>
          <t>매매</t>
        </is>
      </c>
      <c r="F543" s="4" t="n">
        <v>333500</v>
      </c>
      <c r="G543" s="4" t="n">
        <v>11025</v>
      </c>
      <c r="H543" s="4" t="n">
        <v>3335</v>
      </c>
      <c r="I543" s="5" t="n">
        <v>100</v>
      </c>
      <c r="J543" s="5" t="n">
        <v>35.7</v>
      </c>
      <c r="K543" s="3" t="inlineStr">
        <is>
          <t>6M도로접 물류창고및 야적장추천</t>
        </is>
      </c>
      <c r="L543" s="6">
        <f>HYPERLINK("https://fin.land.naver.com/articles/2647429380", "매물Link")</f>
        <v/>
      </c>
      <c r="M543" s="6">
        <f>HYPERLINK("https://map.naver.com/p/search/남이면 상발리 26", "지도Link")</f>
        <v/>
      </c>
      <c r="N543" s="6">
        <f>HYPERLINK("http://www.eum.go.kr/web/ar/lu/luLandDet.jsp?pnu=4311231031100260000&amp;isNoScr=script&amp;mode=search", "토지이음")</f>
        <v/>
      </c>
      <c r="O543" s="3" t="inlineStr">
        <is>
          <t>플러스태양</t>
        </is>
      </c>
      <c r="P543" s="4" t="n">
        <v>1</v>
      </c>
      <c r="Q543" s="4" t="n">
        <v>495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상발리 27-1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48000</v>
      </c>
      <c r="G544" s="4" t="n">
        <v>990</v>
      </c>
      <c r="H544" s="4" t="n">
        <v>299</v>
      </c>
      <c r="I544" s="5" t="n">
        <v>160.5</v>
      </c>
      <c r="J544" s="5" t="n">
        <v>37.7</v>
      </c>
      <c r="K544" s="3" t="inlineStr">
        <is>
          <t>남이면 상발리 2차선 도로접한 자연녹지 토지 매매</t>
        </is>
      </c>
      <c r="L544" s="6">
        <f>HYPERLINK("https://fin.land.naver.com/articles/2651764848", "매물Link")</f>
        <v/>
      </c>
      <c r="M544" s="6">
        <f>HYPERLINK("https://map.naver.com/p/search/남이면 상발리 27-1", "지도Link")</f>
        <v/>
      </c>
      <c r="N544" s="6">
        <f>HYPERLINK("http://www.eum.go.kr/web/ar/lu/luLandDet.jsp?pnu=4311231031100270001&amp;isNoScr=script&amp;mode=search", "토지이음")</f>
        <v/>
      </c>
      <c r="O544" s="3" t="inlineStr">
        <is>
          <t>대지</t>
        </is>
      </c>
      <c r="P544" s="4" t="n">
        <v>3</v>
      </c>
      <c r="Q544" s="4" t="n">
        <v>990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남이면 상발리 산14-35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24200</v>
      </c>
      <c r="G545" s="4" t="n">
        <v>660</v>
      </c>
      <c r="H545" s="4" t="n">
        <v>200</v>
      </c>
      <c r="I545" s="5" t="n">
        <v>121</v>
      </c>
      <c r="J545" s="5" t="n">
        <v>2.9</v>
      </c>
      <c r="K545" s="3" t="inlineStr">
        <is>
          <t>전원주택 부지로 최적</t>
        </is>
      </c>
      <c r="L545" s="6">
        <f>HYPERLINK("https://fin.land.naver.com/articles/2648935083", "매물Link")</f>
        <v/>
      </c>
      <c r="M545" s="6">
        <f>HYPERLINK("https://map.naver.com/p/search/남이면 상발리 산14-35", "지도Link")</f>
        <v/>
      </c>
      <c r="N545" s="6">
        <f>HYPERLINK("http://www.eum.go.kr/web/ar/lu/luLandDet.jsp?pnu=4311231031200140035&amp;isNoScr=script&amp;mode=search", "토지이음")</f>
        <v/>
      </c>
      <c r="O545" s="3" t="inlineStr">
        <is>
          <t>다미</t>
        </is>
      </c>
      <c r="P545" s="4" t="n">
        <v>1</v>
      </c>
      <c r="Q545" s="4" t="n">
        <v>660</v>
      </c>
      <c r="R545" s="3" t="inlineStr">
        <is>
          <t>지정되지않음</t>
        </is>
      </c>
      <c r="S545" s="3" t="inlineStr">
        <is>
          <t>임야기타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석실리 198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25000</v>
      </c>
      <c r="G546" s="4" t="n">
        <v>591</v>
      </c>
      <c r="H546" s="4" t="n">
        <v>179</v>
      </c>
      <c r="I546" s="5" t="n">
        <v>139.7</v>
      </c>
      <c r="J546" s="5" t="n">
        <v>62.1</v>
      </c>
      <c r="K546" s="3" t="inlineStr">
        <is>
          <t>석실리  전원생활 꿈꾸시는분께 추천합니다.</t>
        </is>
      </c>
      <c r="L546" s="6">
        <f>HYPERLINK("https://fin.land.naver.com/articles/2650276733", "매물Link")</f>
        <v/>
      </c>
      <c r="M546" s="6">
        <f>HYPERLINK("https://map.naver.com/p/search/남이면 석실리 198", "지도Link")</f>
        <v/>
      </c>
      <c r="N546" s="6">
        <f>HYPERLINK("http://www.eum.go.kr/web/ar/lu/luLandDet.jsp?pnu=4311231033101980000&amp;isNoScr=script&amp;mode=search", "토지이음")</f>
        <v/>
      </c>
      <c r="O546" s="3" t="inlineStr">
        <is>
          <t>용암해온</t>
        </is>
      </c>
      <c r="P546" s="4" t="n">
        <v>1</v>
      </c>
      <c r="Q546" s="4" t="n">
        <v>591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222-2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102000</v>
      </c>
      <c r="G547" s="4" t="n">
        <v>2050</v>
      </c>
      <c r="H547" s="4" t="n">
        <v>620</v>
      </c>
      <c r="I547" s="5" t="n">
        <v>164.5</v>
      </c>
      <c r="J547" s="5" t="n">
        <v>43.6</v>
      </c>
      <c r="K547" s="3" t="inlineStr">
        <is>
          <t>nan</t>
        </is>
      </c>
      <c r="L547" s="6">
        <f>HYPERLINK("https://fin.land.naver.com/articles/2648997676", "매물Link")</f>
        <v/>
      </c>
      <c r="M547" s="6">
        <f>HYPERLINK("https://map.naver.com/p/search/남이면 석실리 222-2", "지도Link")</f>
        <v/>
      </c>
      <c r="N547" s="6">
        <f>HYPERLINK("http://www.eum.go.kr/web/ar/lu/luLandDet.jsp?pnu=4311231033102220002&amp;isNoScr=script&amp;mode=search",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2050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222-6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월세</t>
        </is>
      </c>
      <c r="F548" s="4" t="n">
        <v>1000</v>
      </c>
      <c r="G548" s="4" t="n">
        <v>975</v>
      </c>
      <c r="H548" s="4" t="n">
        <v>295</v>
      </c>
      <c r="I548" s="5" t="n">
        <v>0.4</v>
      </c>
      <c r="J548" s="5" t="n">
        <v>94</v>
      </c>
      <c r="K548" s="3" t="inlineStr">
        <is>
          <t>나대지 토지 295형 임대</t>
        </is>
      </c>
      <c r="L548" s="6">
        <f>HYPERLINK("https://fin.land.naver.com/articles/2649343452", "매물Link")</f>
        <v/>
      </c>
      <c r="M548" s="6">
        <f>HYPERLINK("https://map.naver.com/p/search/남이면 석실리 222-6", "지도Link")</f>
        <v/>
      </c>
      <c r="N548" s="6">
        <f>HYPERLINK("http://www.eum.go.kr/web/ar/lu/luLandDet.jsp?pnu=4311231033102220006&amp;isNoScr=script&amp;mode=search", "토지이음")</f>
        <v/>
      </c>
      <c r="O548" s="3" t="inlineStr">
        <is>
          <t>위더스</t>
        </is>
      </c>
      <c r="P548" s="4" t="n">
        <v>1</v>
      </c>
      <c r="Q548" s="4" t="n">
        <v>976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261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대</t>
        </is>
      </c>
      <c r="E550" s="3" t="inlineStr">
        <is>
          <t>매매</t>
        </is>
      </c>
      <c r="F550" s="4" t="n">
        <v>15000</v>
      </c>
      <c r="G550" s="4" t="n">
        <v>450</v>
      </c>
      <c r="H550" s="4" t="n">
        <v>136</v>
      </c>
      <c r="I550" s="5" t="n">
        <v>110.3</v>
      </c>
      <c r="J550" s="5" t="n">
        <v>37.9</v>
      </c>
      <c r="K550" s="3" t="inlineStr">
        <is>
          <t>비닐하우스에 전기 .화장실있음.농막사용가능</t>
        </is>
      </c>
      <c r="L550" s="6">
        <f>HYPERLINK("https://fin.land.naver.com/articles/2651478225", "매물Link")</f>
        <v/>
      </c>
      <c r="M550" s="6">
        <f>HYPERLINK("https://map.naver.com/p/search/남이면 석실리 261", "지도Link")</f>
        <v/>
      </c>
      <c r="N550" s="6">
        <f>HYPERLINK("http://www.eum.go.kr/web/ar/lu/luLandDet.jsp?pnu=4311231033102610000&amp;isNoScr=script&amp;mode=search", "토지이음")</f>
        <v/>
      </c>
      <c r="O550" s="3" t="inlineStr">
        <is>
          <t>주공3단지</t>
        </is>
      </c>
      <c r="P550" s="4" t="n">
        <v>1</v>
      </c>
      <c r="Q550" s="4" t="n">
        <v>450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석실리 339-2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873</v>
      </c>
      <c r="H551" s="4" t="n">
        <v>264</v>
      </c>
      <c r="I551" s="5" t="n">
        <v>0.5</v>
      </c>
      <c r="J551" s="5" t="n">
        <v>101.7</v>
      </c>
      <c r="K551" s="3" t="inlineStr">
        <is>
          <t>무인운영 천연잔디 애견카페 인테리어 최상 매매도 가능</t>
        </is>
      </c>
      <c r="L551" s="6">
        <f>HYPERLINK("https://fin.land.naver.com/articles/2652477469", "매물Link")</f>
        <v/>
      </c>
      <c r="M551" s="6">
        <f>HYPERLINK("https://map.naver.com/p/search/남이면 석실리 339-2", "지도Link")</f>
        <v/>
      </c>
      <c r="N551" s="6">
        <f>HYPERLINK("http://www.eum.go.kr/web/ar/lu/luLandDet.jsp?pnu=4311231033103390002&amp;isNoScr=script&amp;mode=search", "토지이음")</f>
        <v/>
      </c>
      <c r="O551" s="3" t="inlineStr">
        <is>
          <t>라라랜드  사무소</t>
        </is>
      </c>
      <c r="P551" s="4" t="n">
        <v>1</v>
      </c>
      <c r="Q551" s="4" t="n">
        <v>873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남이면 석실리 352-3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160000</v>
      </c>
      <c r="G552" s="4" t="n">
        <v>3300</v>
      </c>
      <c r="H552" s="4" t="n">
        <v>998</v>
      </c>
      <c r="I552" s="5" t="n">
        <v>160.3</v>
      </c>
      <c r="J552" s="5" t="n">
        <v>45.2</v>
      </c>
      <c r="K552" s="3" t="inlineStr">
        <is>
          <t>2차선도로접, 사무실,공장,창고 등 다용도활용가능</t>
        </is>
      </c>
      <c r="L552" s="6">
        <f>HYPERLINK("https://fin.land.naver.com/articles/2648195133", "매물Link")</f>
        <v/>
      </c>
      <c r="M552" s="6">
        <f>HYPERLINK("https://map.naver.com/p/search/남이면 석실리 352-3", "지도Link")</f>
        <v/>
      </c>
      <c r="N552" s="6">
        <f>HYPERLINK("http://www.eum.go.kr/web/ar/lu/luLandDet.jsp?pnu=4311231033103520003&amp;isNoScr=script&amp;mode=search", "토지이음")</f>
        <v/>
      </c>
      <c r="O552" s="3" t="inlineStr">
        <is>
          <t>플러스자이합동</t>
        </is>
      </c>
      <c r="P552" s="4" t="n">
        <v>1</v>
      </c>
      <c r="Q552" s="4" t="n">
        <v>3300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367-3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17900</v>
      </c>
      <c r="G553" s="4" t="n">
        <v>1478</v>
      </c>
      <c r="H553" s="4" t="n">
        <v>447</v>
      </c>
      <c r="I553" s="5" t="n">
        <v>40</v>
      </c>
      <c r="J553" s="5" t="n">
        <v>16.6</v>
      </c>
      <c r="K553" s="3" t="inlineStr">
        <is>
          <t>대토용 토지, 주말농장으로 추천. 전기,농막있음</t>
        </is>
      </c>
      <c r="L553" s="6">
        <f>HYPERLINK("https://fin.land.naver.com/articles/2649835083", "매물Link")</f>
        <v/>
      </c>
      <c r="M553" s="6">
        <f>HYPERLINK("https://map.naver.com/p/search/남이면 석실리 367-3", "지도Link")</f>
        <v/>
      </c>
      <c r="N553" s="6">
        <f>HYPERLINK("http://www.eum.go.kr/web/ar/lu/luLandDet.jsp?pnu=4311231033103670003&amp;isNoScr=script&amp;mode=search", "토지이음")</f>
        <v/>
      </c>
      <c r="O553" s="3" t="inlineStr">
        <is>
          <t>소소사무소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376</t>
        </is>
      </c>
      <c r="B554" s="3" t="inlineStr">
        <is>
          <t>자연녹지지역</t>
        </is>
      </c>
      <c r="C554" s="3" t="inlineStr">
        <is>
          <t>창고용지</t>
        </is>
      </c>
      <c r="D554" s="3" t="inlineStr">
        <is>
          <t>창고용지</t>
        </is>
      </c>
      <c r="E554" s="3" t="inlineStr">
        <is>
          <t>매매</t>
        </is>
      </c>
      <c r="F554" s="4" t="n">
        <v>230000</v>
      </c>
      <c r="G554" s="4" t="n">
        <v>5728</v>
      </c>
      <c r="H554" s="4" t="n">
        <v>1733</v>
      </c>
      <c r="I554" s="5" t="n">
        <v>132.7</v>
      </c>
      <c r="J554" s="5" t="n">
        <v>51.2</v>
      </c>
      <c r="K554" s="3" t="inlineStr">
        <is>
          <t>남이면 석실리 2차선 도로접한 광고효과 좋은 토지매매</t>
        </is>
      </c>
      <c r="L554" s="6">
        <f>HYPERLINK("https://fin.land.naver.com/articles/2651764275", "매물Link")</f>
        <v/>
      </c>
      <c r="M554" s="6">
        <f>HYPERLINK("https://map.naver.com/p/search/남이면 석실리 376", "지도Link")</f>
        <v/>
      </c>
      <c r="N554" s="6">
        <f>HYPERLINK("http://www.eum.go.kr/web/ar/lu/luLandDet.jsp?pnu=4311231033103760000&amp;isNoScr=script&amp;mode=search", "토지이음")</f>
        <v/>
      </c>
      <c r="O554" s="3" t="inlineStr">
        <is>
          <t>대지</t>
        </is>
      </c>
      <c r="P554" s="4" t="n">
        <v>1</v>
      </c>
      <c r="Q554" s="4" t="n">
        <v>705</v>
      </c>
      <c r="R554" s="3" t="inlineStr">
        <is>
          <t>지정되지않음</t>
        </is>
      </c>
      <c r="S554" s="3" t="inlineStr">
        <is>
          <t>전창고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석실리 산 2-1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150000</v>
      </c>
      <c r="G555" s="4" t="n">
        <v>4972</v>
      </c>
      <c r="H555" s="4" t="n">
        <v>1504</v>
      </c>
      <c r="I555" s="5" t="n">
        <v>99.7</v>
      </c>
      <c r="J555" s="5" t="n">
        <v>7.6</v>
      </c>
      <c r="K555" s="3" t="inlineStr">
        <is>
          <t>6m도로접,제2종근생제조업 허가득,공장,창고,등 다용도활용가능</t>
        </is>
      </c>
      <c r="L555" s="6">
        <f>HYPERLINK("https://fin.land.naver.com/articles/2651059878", "매물Link")</f>
        <v/>
      </c>
      <c r="M555" s="6">
        <f>HYPERLINK("https://map.naver.com/p/search/남이면 석실리 산 2-1", "지도Link")</f>
        <v/>
      </c>
      <c r="N555" s="6">
        <f>HYPERLINK("http://www.eum.go.kr/web/ar/lu/luLandDet.jsp?pnu=4311231033200020001&amp;isNoScr=script&amp;mode=search", "토지이음")</f>
        <v/>
      </c>
      <c r="O555" s="3" t="inlineStr">
        <is>
          <t>플러스자이합동</t>
        </is>
      </c>
      <c r="P555" s="4" t="n">
        <v>1</v>
      </c>
      <c r="Q555" s="4" t="n">
        <v>20887</v>
      </c>
      <c r="R555" s="3" t="inlineStr">
        <is>
          <t>자연녹지지역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산 78-8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305000</v>
      </c>
      <c r="G556" s="4" t="n">
        <v>6740</v>
      </c>
      <c r="H556" s="4" t="n">
        <v>2039</v>
      </c>
      <c r="I556" s="5" t="n">
        <v>149.6</v>
      </c>
      <c r="J556" s="5" t="n">
        <v>2.4</v>
      </c>
      <c r="K556" s="3" t="inlineStr">
        <is>
          <t>nan</t>
        </is>
      </c>
      <c r="L556" s="6">
        <f>HYPERLINK("https://fin.land.naver.com/articles/2652140110", "매물Link")</f>
        <v/>
      </c>
      <c r="M556" s="6">
        <f>HYPERLINK("https://map.naver.com/p/search/남이면 석실리 산 78-8", "지도Link")</f>
        <v/>
      </c>
      <c r="N556" s="6">
        <f>HYPERLINK("http://www.eum.go.kr/web/ar/lu/luLandDet.jsp?pnu=4311231033200780008&amp;isNoScr=script&amp;mode=search", "토지이음")</f>
        <v/>
      </c>
      <c r="O556" s="3" t="inlineStr">
        <is>
          <t>정</t>
        </is>
      </c>
      <c r="P556" s="4" t="n">
        <v>1</v>
      </c>
      <c r="Q556" s="4" t="n">
        <v>3770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석실리 산2-19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140000</v>
      </c>
      <c r="G557" s="4" t="n">
        <v>3610</v>
      </c>
      <c r="H557" s="4" t="n">
        <v>1092</v>
      </c>
      <c r="I557" s="5" t="n">
        <v>128.2</v>
      </c>
      <c r="J557" s="5" t="n">
        <v>13</v>
      </c>
      <c r="K557" s="3" t="inlineStr">
        <is>
          <t>2차선 도로 접, 2종근생허가득, 접근성 좋고 교통편리,</t>
        </is>
      </c>
      <c r="L557" s="6">
        <f>HYPERLINK("https://fin.land.naver.com/articles/2649235597", "매물Link")</f>
        <v/>
      </c>
      <c r="M557" s="6">
        <f>HYPERLINK("https://map.naver.com/p/search/남이면 석실리 산2-19", "지도Link")</f>
        <v/>
      </c>
      <c r="N557" s="6">
        <f>HYPERLINK("http://www.eum.go.kr/web/ar/lu/luLandDet.jsp?pnu=4311231033200020019&amp;isNoScr=script&amp;mode=search", "토지이음")</f>
        <v/>
      </c>
      <c r="O557" s="3" t="inlineStr">
        <is>
          <t>진</t>
        </is>
      </c>
      <c r="P557" s="4" t="n">
        <v>1</v>
      </c>
      <c r="Q557" s="4" t="n">
        <v>3610</v>
      </c>
      <c r="R557" s="3" t="inlineStr">
        <is>
          <t>보전녹지지역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2차도로변, 2종근생허가득,부지정리해놓음</t>
        </is>
      </c>
      <c r="L558" s="6">
        <f>HYPERLINK("https://fin.land.naver.com/articles/2648332247",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만땅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산2-4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250000</v>
      </c>
      <c r="G559" s="4" t="n">
        <v>4426</v>
      </c>
      <c r="H559" s="4" t="n">
        <v>1339</v>
      </c>
      <c r="I559" s="5" t="n">
        <v>186.7</v>
      </c>
      <c r="J559" s="5" t="n">
        <v>5.9</v>
      </c>
      <c r="K559" s="3" t="inlineStr">
        <is>
          <t>nan</t>
        </is>
      </c>
      <c r="L559" s="6">
        <f>HYPERLINK("https://fin.land.naver.com/articles/2648336138", "매물Link")</f>
        <v/>
      </c>
      <c r="M559" s="6">
        <f>HYPERLINK("https://map.naver.com/p/search/남이면 석실리 산2-4", "지도Link")</f>
        <v/>
      </c>
      <c r="N559" s="6">
        <f>HYPERLINK("http://www.eum.go.kr/web/ar/lu/luLandDet.jsp?pnu=4311231033200020004&amp;isNoScr=script&amp;mode=search",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3611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80000</v>
      </c>
      <c r="G560" s="4" t="n">
        <v>3611</v>
      </c>
      <c r="H560" s="4" t="n">
        <v>1092</v>
      </c>
      <c r="I560" s="5" t="n">
        <v>73.3</v>
      </c>
      <c r="J560" s="5" t="n">
        <v>5.9</v>
      </c>
      <c r="K560" s="3" t="inlineStr">
        <is>
          <t>nan</t>
        </is>
      </c>
      <c r="L560" s="6">
        <f>HYPERLINK("https://fin.land.naver.com/articles/2648337236",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산78-7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200000</v>
      </c>
      <c r="G562" s="4" t="n">
        <v>4238</v>
      </c>
      <c r="H562" s="4" t="n">
        <v>1282</v>
      </c>
      <c r="I562" s="5" t="n">
        <v>156</v>
      </c>
      <c r="J562" s="5" t="n">
        <v>2.5</v>
      </c>
      <c r="K562" s="3" t="inlineStr">
        <is>
          <t>청주시 서원구 남이면 석실리 2차선도로변토지매매</t>
        </is>
      </c>
      <c r="L562" s="6">
        <f>HYPERLINK("https://fin.land.naver.com/articles/2650376518", "매물Link")</f>
        <v/>
      </c>
      <c r="M562" s="6">
        <f>HYPERLINK("https://map.naver.com/p/search/남이면 석실리 산78-7", "지도Link")</f>
        <v/>
      </c>
      <c r="N562" s="6">
        <f>HYPERLINK("http://www.eum.go.kr/web/ar/lu/luLandDet.jsp?pnu=4311231033200780007&amp;isNoScr=script&amp;mode=search", "토지이음")</f>
        <v/>
      </c>
      <c r="O562" s="3" t="inlineStr">
        <is>
          <t>충대</t>
        </is>
      </c>
      <c r="P562" s="4" t="n">
        <v>1</v>
      </c>
      <c r="Q562" s="4" t="n">
        <v>2185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남이면 석판리 129-1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88000</v>
      </c>
      <c r="G563" s="4" t="n">
        <v>1007</v>
      </c>
      <c r="H563" s="4" t="n">
        <v>305</v>
      </c>
      <c r="I563" s="5" t="n">
        <v>288.5</v>
      </c>
      <c r="J563" s="5" t="n">
        <v>47.5</v>
      </c>
      <c r="K563" s="3" t="inlineStr">
        <is>
          <t>사진有 석판리 2차선 도로옆 토지매매 공장창고 상가건물 추천</t>
        </is>
      </c>
      <c r="L563" s="6">
        <f>HYPERLINK("https://fin.land.naver.com/articles/2653063879", "매물Link")</f>
        <v/>
      </c>
      <c r="M563" s="6">
        <f>HYPERLINK("https://map.naver.com/p/search/남이면 석판리 129-1", "지도Link")</f>
        <v/>
      </c>
      <c r="N563" s="6">
        <f>HYPERLINK("http://www.eum.go.kr/web/ar/lu/luLandDet.jsp?pnu=4311231034101290001&amp;isNoScr=script&amp;mode=search", "토지이음")</f>
        <v/>
      </c>
      <c r="O563" s="3" t="inlineStr">
        <is>
          <t>행복도시</t>
        </is>
      </c>
      <c r="P563" s="4" t="n">
        <v>1</v>
      </c>
      <c r="Q563" s="4" t="n">
        <v>562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석판리 131-1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403000</v>
      </c>
      <c r="G564" s="4" t="n">
        <v>5795</v>
      </c>
      <c r="H564" s="4" t="n">
        <v>1753</v>
      </c>
      <c r="I564" s="5" t="n">
        <v>229.9</v>
      </c>
      <c r="J564" s="5" t="n">
        <v>47.5</v>
      </c>
      <c r="K564" s="3" t="inlineStr">
        <is>
          <t>2차선도로접 4필지매매 시세이하 투자및 공장추천</t>
        </is>
      </c>
      <c r="L564" s="6">
        <f>HYPERLINK("https://fin.land.naver.com/articles/2648132812", "매물Link")</f>
        <v/>
      </c>
      <c r="M564" s="6">
        <f>HYPERLINK("https://map.naver.com/p/search/남이면 석판리 131-1", "지도Link")</f>
        <v/>
      </c>
      <c r="N564" s="6">
        <f>HYPERLINK("http://www.eum.go.kr/web/ar/lu/luLandDet.jsp?pnu=4311231034101310001&amp;isNoScr=script&amp;mode=search", "토지이음")</f>
        <v/>
      </c>
      <c r="O564" s="3" t="inlineStr">
        <is>
          <t>플러스태양</t>
        </is>
      </c>
      <c r="P564" s="4" t="n">
        <v>1</v>
      </c>
      <c r="Q564" s="4" t="n">
        <v>1854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139-5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답</t>
        </is>
      </c>
      <c r="E565" s="3" t="inlineStr">
        <is>
          <t>매매</t>
        </is>
      </c>
      <c r="F565" s="4" t="n">
        <v>438000</v>
      </c>
      <c r="G565" s="4" t="n">
        <v>5791</v>
      </c>
      <c r="H565" s="4" t="n">
        <v>1752</v>
      </c>
      <c r="I565" s="5" t="n">
        <v>250</v>
      </c>
      <c r="J565" s="5" t="n">
        <v>116.5</v>
      </c>
      <c r="K565" s="3" t="inlineStr">
        <is>
          <t>돈되는 투자처 모든 개발호재 독식 석판리 제2종근생 제조 개발허가득</t>
        </is>
      </c>
      <c r="L565" s="6">
        <f>HYPERLINK("https://fin.land.naver.com/articles/2652823732", "매물Link")</f>
        <v/>
      </c>
      <c r="M565" s="6">
        <f>HYPERLINK("https://map.naver.com/p/search/남이면 석판리 139-5", "지도Link")</f>
        <v/>
      </c>
      <c r="N565" s="6">
        <f>HYPERLINK("http://www.eum.go.kr/web/ar/lu/luLandDet.jsp?pnu=4311231034101390005&amp;isNoScr=script&amp;mode=search", "토지이음")</f>
        <v/>
      </c>
      <c r="O565" s="3" t="inlineStr">
        <is>
          <t>그랜드사무소</t>
        </is>
      </c>
      <c r="P565" s="4" t="n">
        <v>1</v>
      </c>
      <c r="Q565" s="4" t="n">
        <v>3120</v>
      </c>
      <c r="R565" s="3" t="inlineStr">
        <is>
          <t>지정되지않음</t>
        </is>
      </c>
      <c r="S565" s="3" t="inlineStr">
        <is>
          <t>주상기타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222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17000</v>
      </c>
      <c r="G566" s="4" t="n">
        <v>420</v>
      </c>
      <c r="H566" s="4" t="n">
        <v>127</v>
      </c>
      <c r="I566" s="5" t="n">
        <v>133.9</v>
      </c>
      <c r="J566" s="5" t="n">
        <v>38.7</v>
      </c>
      <c r="K566" s="3" t="inlineStr">
        <is>
          <t>밭, 포장도로 접, 가격 절충, 주말농장 하다가 전원주택 지을 분 환영</t>
        </is>
      </c>
      <c r="L566" s="6">
        <f>HYPERLINK("https://fin.land.naver.com/articles/2649852025", "매물Link")</f>
        <v/>
      </c>
      <c r="M566" s="6">
        <f>HYPERLINK("https://map.naver.com/p/search/남이면 석판리 222", "지도Link")</f>
        <v/>
      </c>
      <c r="N566" s="6">
        <f>HYPERLINK("http://www.eum.go.kr/web/ar/lu/luLandDet.jsp?pnu=4311231034102220000&amp;isNoScr=script&amp;mode=search", "토지이음")</f>
        <v/>
      </c>
      <c r="O566" s="3" t="inlineStr">
        <is>
          <t>큰터</t>
        </is>
      </c>
      <c r="P566" s="4" t="n">
        <v>1</v>
      </c>
      <c r="Q566" s="4" t="n">
        <v>420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248-1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49600</v>
      </c>
      <c r="G567" s="4" t="n">
        <v>1364</v>
      </c>
      <c r="H567" s="4" t="n">
        <v>413</v>
      </c>
      <c r="I567" s="5" t="n">
        <v>120.1</v>
      </c>
      <c r="J567" s="5" t="n">
        <v>23.1</v>
      </c>
      <c r="K567" s="3" t="inlineStr">
        <is>
          <t>nan</t>
        </is>
      </c>
      <c r="L567" s="6">
        <f>HYPERLINK("https://fin.land.naver.com/articles/2651049567", "매물Link")</f>
        <v/>
      </c>
      <c r="M567" s="6">
        <f>HYPERLINK("https://map.naver.com/p/search/남이면 석판리 248-1", "지도Link")</f>
        <v/>
      </c>
      <c r="N567" s="6">
        <f>HYPERLINK("http://www.eum.go.kr/web/ar/lu/luLandDet.jsp?pnu=4311231034102480001&amp;isNoScr=script&amp;mode=search", "토지이음")</f>
        <v/>
      </c>
      <c r="O567" s="3" t="inlineStr">
        <is>
          <t>오송파라곤하늘</t>
        </is>
      </c>
      <c r="P567" s="4" t="n">
        <v>1</v>
      </c>
      <c r="Q567" s="4" t="n">
        <v>1364.4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석판리 26-1</t>
        </is>
      </c>
      <c r="B568" s="3" t="inlineStr">
        <is>
          <t>자연녹지지역</t>
        </is>
      </c>
      <c r="C568" s="3" t="inlineStr">
        <is>
          <t>잡종지</t>
        </is>
      </c>
      <c r="D568" s="3" t="inlineStr">
        <is>
          <t>잡종지</t>
        </is>
      </c>
      <c r="E568" s="3" t="inlineStr">
        <is>
          <t>매매</t>
        </is>
      </c>
      <c r="F568" s="4" t="n">
        <v>169400</v>
      </c>
      <c r="G568" s="4" t="n">
        <v>1600</v>
      </c>
      <c r="H568" s="4" t="n">
        <v>484</v>
      </c>
      <c r="I568" s="5" t="n">
        <v>350</v>
      </c>
      <c r="J568" s="5" t="n">
        <v>140.4</v>
      </c>
      <c r="K568" s="3" t="inlineStr">
        <is>
          <t>석판리 대로변 토지 매매 .광고효과 최고</t>
        </is>
      </c>
      <c r="L568" s="6">
        <f>HYPERLINK("https://fin.land.naver.com/articles/2647772526", "매물Link")</f>
        <v/>
      </c>
      <c r="M568" s="6">
        <f>HYPERLINK("https://map.naver.com/p/search/남이면 석판리 26-1", "지도Link")</f>
        <v/>
      </c>
      <c r="N568" s="6">
        <f>HYPERLINK("http://www.eum.go.kr/web/ar/lu/luLandDet.jsp?pnu=4311231034100260001&amp;isNoScr=script&amp;mode=search",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660</v>
      </c>
      <c r="R568" s="3" t="inlineStr">
        <is>
          <t>지정되지않음</t>
        </is>
      </c>
      <c r="S568" s="3" t="inlineStr">
        <is>
          <t>상업용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석판리 26-11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170000</v>
      </c>
      <c r="G569" s="4" t="n">
        <v>1600</v>
      </c>
      <c r="H569" s="4" t="n">
        <v>484</v>
      </c>
      <c r="I569" s="5" t="n">
        <v>351.2</v>
      </c>
      <c r="J569" s="5" t="n">
        <v>43.9</v>
      </c>
      <c r="K569" s="3" t="inlineStr">
        <is>
          <t>남이면 석판리 왕복2차선 도로 접한 토지 매매</t>
        </is>
      </c>
      <c r="L569" s="6">
        <f>HYPERLINK("https://fin.land.naver.com/articles/2648995874", "매물Link")</f>
        <v/>
      </c>
      <c r="M569" s="6">
        <f>HYPERLINK("https://map.naver.com/p/search/남이면 석판리 26-11", "지도Link")</f>
        <v/>
      </c>
      <c r="N569" s="6">
        <f>HYPERLINK("http://www.eum.go.kr/web/ar/lu/luLandDet.jsp?pnu=4311231034100260011&amp;isNoScr=script&amp;mode=search", "토지이음")</f>
        <v/>
      </c>
      <c r="O569" s="3" t="inlineStr">
        <is>
          <t>대지</t>
        </is>
      </c>
      <c r="P569" s="4" t="n">
        <v>1</v>
      </c>
      <c r="Q569" s="4" t="n">
        <v>941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석판리 3-1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220000</v>
      </c>
      <c r="G570" s="4" t="n">
        <v>1462</v>
      </c>
      <c r="H570" s="4" t="n">
        <v>442</v>
      </c>
      <c r="I570" s="5" t="n">
        <v>497.7</v>
      </c>
      <c r="J570" s="5" t="n">
        <v>210</v>
      </c>
      <c r="K570" s="3" t="inlineStr">
        <is>
          <t>2종 근생건물 토지 제조업 허가 매매 향후 투자가치 좋음</t>
        </is>
      </c>
      <c r="L570" s="6">
        <f>HYPERLINK("https://fin.land.naver.com/articles/2652729659", "매물Link")</f>
        <v/>
      </c>
      <c r="M570" s="6">
        <f>HYPERLINK("https://map.naver.com/p/search/남이면 석판리 3-1", "지도Link")</f>
        <v/>
      </c>
      <c r="N570" s="6">
        <f>HYPERLINK("http://www.eum.go.kr/web/ar/lu/luLandDet.jsp?pnu=4311231034100030001&amp;isNoScr=script&amp;mode=search", "토지이음")</f>
        <v/>
      </c>
      <c r="O570" s="3" t="inlineStr">
        <is>
          <t>반석</t>
        </is>
      </c>
      <c r="P570" s="4" t="n">
        <v>1</v>
      </c>
      <c r="Q570" s="4" t="n">
        <v>1462</v>
      </c>
      <c r="R570" s="3" t="inlineStr">
        <is>
          <t>지정되지않음</t>
        </is>
      </c>
      <c r="S570" s="3" t="inlineStr">
        <is>
          <t>상업기타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중로한면</t>
        </is>
      </c>
    </row>
    <row r="571">
      <c r="A571" s="3" t="inlineStr">
        <is>
          <t>남이면 석판리 313-2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73000</v>
      </c>
      <c r="G571" s="4" t="n">
        <v>2014</v>
      </c>
      <c r="H571" s="4" t="n">
        <v>609</v>
      </c>
      <c r="I571" s="5" t="n">
        <v>119.9</v>
      </c>
      <c r="J571" s="5" t="n">
        <v>49.9</v>
      </c>
      <c r="K571" s="3" t="inlineStr">
        <is>
          <t>대로변인근,진입로확보,주변시세보다 전렴한가격,물류창고,차고지추천</t>
        </is>
      </c>
      <c r="L571" s="6">
        <f>HYPERLINK("https://fin.land.naver.com/articles/2647853642", "매물Link")</f>
        <v/>
      </c>
      <c r="M571" s="6">
        <f>HYPERLINK("https://map.naver.com/p/search/남이면 석판리 313-2", "지도Link")</f>
        <v/>
      </c>
      <c r="N571" s="6">
        <f>HYPERLINK("http://www.eum.go.kr/web/ar/lu/luLandDet.jsp?pnu=4311231034103130002&amp;isNoScr=script&amp;mode=search", "토지이음")</f>
        <v/>
      </c>
      <c r="O571" s="3" t="inlineStr">
        <is>
          <t>지웰부자</t>
        </is>
      </c>
      <c r="P571" s="4" t="n">
        <v>1</v>
      </c>
      <c r="Q571" s="4" t="n">
        <v>2014.9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49000</v>
      </c>
      <c r="G574" s="4" t="n">
        <v>946</v>
      </c>
      <c r="H574" s="4" t="n">
        <v>286</v>
      </c>
      <c r="I574" s="5" t="n">
        <v>171.3</v>
      </c>
      <c r="J574" s="5" t="n">
        <v>56.9</v>
      </c>
      <c r="K574" s="3" t="inlineStr">
        <is>
          <t>프라임공인 전원주택짓기 좋은자리 도심권10분 생활권편리</t>
        </is>
      </c>
      <c r="L574" s="6">
        <f>HYPERLINK("https://fin.land.naver.com/articles/2650480283",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프라임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11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66000</v>
      </c>
      <c r="G579" s="4" t="n">
        <v>731</v>
      </c>
      <c r="H579" s="4" t="n">
        <v>221</v>
      </c>
      <c r="I579" s="5" t="n">
        <v>298.6</v>
      </c>
      <c r="J579" s="5" t="n">
        <v>60.8</v>
      </c>
      <c r="K579" s="3" t="inlineStr">
        <is>
          <t>4차로변 광고효과 탁월, 상가건물 추천</t>
        </is>
      </c>
      <c r="L579" s="6">
        <f>HYPERLINK("https://fin.land.naver.com/articles/2650137179", "매물Link")</f>
        <v/>
      </c>
      <c r="M579" s="6">
        <f>HYPERLINK("https://map.naver.com/p/search/남이면 수대리 11", "지도Link")</f>
        <v/>
      </c>
      <c r="N579" s="6">
        <f>HYPERLINK("http://www.eum.go.kr/web/ar/lu/luLandDet.jsp?pnu=4311231039100110000&amp;isNoScr=script&amp;mode=search", "토지이음")</f>
        <v/>
      </c>
      <c r="O579" s="3" t="inlineStr">
        <is>
          <t>정민</t>
        </is>
      </c>
      <c r="P579" s="4" t="n">
        <v>1</v>
      </c>
      <c r="Q579" s="4" t="n">
        <v>560</v>
      </c>
      <c r="R579" s="3" t="inlineStr">
        <is>
          <t>지정되지않음</t>
        </is>
      </c>
      <c r="S579" s="3" t="inlineStr">
        <is>
          <t>전기타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중로한면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남이면 수대리 대로변 자연녹지 매매 창고 근생 자동차관련등 추천</t>
        </is>
      </c>
      <c r="L580" s="6">
        <f>HYPERLINK("https://fin.land.naver.com/articles/2648439073",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114-7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13000</v>
      </c>
      <c r="G581" s="4" t="n">
        <v>508</v>
      </c>
      <c r="H581" s="4" t="n">
        <v>154</v>
      </c>
      <c r="I581" s="5" t="n">
        <v>84.40000000000001</v>
      </c>
      <c r="J581" s="5" t="n">
        <v>25.3</v>
      </c>
      <c r="K581" s="3" t="inlineStr">
        <is>
          <t>도심근교  주말쉼터 , 세컨하우스 좋은곳임.</t>
        </is>
      </c>
      <c r="L581" s="6">
        <f>HYPERLINK("https://fin.land.naver.com/articles/2651814384", "매물Link")</f>
        <v/>
      </c>
      <c r="M581" s="6">
        <f>HYPERLINK("https://map.naver.com/p/search/남이면 수대리 114-7", "지도Link")</f>
        <v/>
      </c>
      <c r="N581" s="6">
        <f>HYPERLINK("http://www.eum.go.kr/web/ar/lu/luLandDet.jsp?pnu=4311231039101140007&amp;isNoScr=script&amp;mode=search", "토지이음")</f>
        <v/>
      </c>
      <c r="O581" s="3" t="inlineStr">
        <is>
          <t>포시즌</t>
        </is>
      </c>
      <c r="P581" s="4" t="n">
        <v>2</v>
      </c>
      <c r="Q581" s="4" t="n">
        <v>445.3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수대리 115-6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80200</v>
      </c>
      <c r="G582" s="4" t="n">
        <v>2283</v>
      </c>
      <c r="H582" s="4" t="n">
        <v>691</v>
      </c>
      <c r="I582" s="5" t="n">
        <v>116.1</v>
      </c>
      <c r="J582" s="5" t="n">
        <v>28.8</v>
      </c>
      <c r="K582" s="3" t="inlineStr">
        <is>
          <t>수대리 진입도로있음 산 밑햇볕잘들고 현재 비닐하우스농장으로사용중</t>
        </is>
      </c>
      <c r="L582" s="6">
        <f>HYPERLINK("https://fin.land.naver.com/articles/2649952440", "매물Link")</f>
        <v/>
      </c>
      <c r="M582" s="6">
        <f>HYPERLINK("https://map.naver.com/p/search/남이면 수대리 115-6", "지도Link")</f>
        <v/>
      </c>
      <c r="N582" s="6">
        <f>HYPERLINK("http://www.eum.go.kr/web/ar/lu/luLandDet.jsp?pnu=4311231039101150006&amp;isNoScr=script&amp;mode=search", "토지이음")</f>
        <v/>
      </c>
      <c r="O582" s="3" t="inlineStr">
        <is>
          <t>건우다솔무소</t>
        </is>
      </c>
      <c r="P582" s="4" t="n">
        <v>1</v>
      </c>
      <c r="Q582" s="4" t="n">
        <v>2283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170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27000</v>
      </c>
      <c r="G583" s="4" t="n">
        <v>1785</v>
      </c>
      <c r="H583" s="4" t="n">
        <v>540</v>
      </c>
      <c r="I583" s="5" t="n">
        <v>50</v>
      </c>
      <c r="J583" s="5" t="n">
        <v>22.4</v>
      </c>
      <c r="K583" s="3" t="inlineStr">
        <is>
          <t>청주 서원구 남이면 수대리 토지  매매</t>
        </is>
      </c>
      <c r="L583" s="6">
        <f>HYPERLINK("https://fin.land.naver.com/articles/2652888421", "매물Link")</f>
        <v/>
      </c>
      <c r="M583" s="6">
        <f>HYPERLINK("https://map.naver.com/p/search/남이면 수대리 170", "지도Link")</f>
        <v/>
      </c>
      <c r="N583" s="6">
        <f>HYPERLINK("http://www.eum.go.kr/web/ar/lu/luLandDet.jsp?pnu=4311231039101700000&amp;isNoScr=script&amp;mode=search",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1785</v>
      </c>
      <c r="R583" s="3" t="inlineStr">
        <is>
          <t>보전녹지지역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수대리 186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130000</v>
      </c>
      <c r="G584" s="4" t="n">
        <v>5031</v>
      </c>
      <c r="H584" s="4" t="n">
        <v>1522</v>
      </c>
      <c r="I584" s="5" t="n">
        <v>85.40000000000001</v>
      </c>
      <c r="J584" s="5" t="n">
        <v>32</v>
      </c>
      <c r="K584" s="3" t="inlineStr">
        <is>
          <t>수대리 도로접한 토지 매매.</t>
        </is>
      </c>
      <c r="L584" s="6">
        <f>HYPERLINK("https://fin.land.naver.com/articles/2647746845", "매물Link")</f>
        <v/>
      </c>
      <c r="M584" s="6">
        <f>HYPERLINK("https://map.naver.com/p/search/남이면 수대리 186", "지도Link")</f>
        <v/>
      </c>
      <c r="N584" s="6">
        <f>HYPERLINK("http://www.eum.go.kr/web/ar/lu/luLandDet.jsp?pnu=4311231039101860000&amp;isNoScr=script&amp;mode=search",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3233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수대리 20-1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250000</v>
      </c>
      <c r="G585" s="4" t="n">
        <v>3048</v>
      </c>
      <c r="H585" s="4" t="n">
        <v>922</v>
      </c>
      <c r="I585" s="5" t="n">
        <v>271.1</v>
      </c>
      <c r="J585" s="5" t="n">
        <v>38.3</v>
      </c>
      <c r="K585" s="3" t="inlineStr">
        <is>
          <t>6차선도로바로옆 건물건축후임대수익또는직접사용가능 전시장,아울렛등추천</t>
        </is>
      </c>
      <c r="L585" s="6">
        <f>HYPERLINK("https://fin.land.naver.com/articles/2647885690", "매물Link")</f>
        <v/>
      </c>
      <c r="M585" s="6">
        <f>HYPERLINK("https://map.naver.com/p/search/남이면 수대리 20-1", "지도Link")</f>
        <v/>
      </c>
      <c r="N585" s="6">
        <f>HYPERLINK("http://www.eum.go.kr/web/ar/lu/luLandDet.jsp?pnu=4311231039100200001&amp;isNoScr=script&amp;mode=search", "토지이음")</f>
        <v/>
      </c>
      <c r="O585" s="3" t="inlineStr">
        <is>
          <t>하트리움</t>
        </is>
      </c>
      <c r="P585" s="4" t="n">
        <v>1</v>
      </c>
      <c r="Q585" s="4" t="n">
        <v>1831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229-1</t>
        </is>
      </c>
      <c r="B586" s="3" t="inlineStr">
        <is>
          <t>보전녹지지역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140000</v>
      </c>
      <c r="G586" s="4" t="n">
        <v>4423</v>
      </c>
      <c r="H586" s="4" t="n">
        <v>1338</v>
      </c>
      <c r="I586" s="5" t="n">
        <v>104.6</v>
      </c>
      <c r="J586" s="5" t="n">
        <v>3.2</v>
      </c>
      <c r="K586" s="3" t="inlineStr">
        <is>
          <t>4차선 도로접 토지</t>
        </is>
      </c>
      <c r="L586" s="6">
        <f>HYPERLINK("https://fin.land.naver.com/articles/2650759433", "매물Link")</f>
        <v/>
      </c>
      <c r="M586" s="6">
        <f>HYPERLINK("https://map.naver.com/p/search/남이면 수대리 229-1", "지도Link")</f>
        <v/>
      </c>
      <c r="N586" s="6">
        <f>HYPERLINK("http://www.eum.go.kr/web/ar/lu/luLandDet.jsp?pnu=4311231039102290001&amp;isNoScr=script&amp;mode=search", "토지이음")</f>
        <v/>
      </c>
      <c r="O586" s="3" t="inlineStr">
        <is>
          <t>김창수</t>
        </is>
      </c>
      <c r="P586" s="4" t="n">
        <v>1</v>
      </c>
      <c r="Q586" s="4" t="n">
        <v>3933</v>
      </c>
      <c r="R586" s="3" t="inlineStr">
        <is>
          <t>자연녹지지역</t>
        </is>
      </c>
      <c r="S586" s="3" t="inlineStr">
        <is>
          <t>자연림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수대리 25-1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68000</v>
      </c>
      <c r="G587" s="4" t="n">
        <v>2988</v>
      </c>
      <c r="H587" s="4" t="n">
        <v>904</v>
      </c>
      <c r="I587" s="5" t="n">
        <v>75.2</v>
      </c>
      <c r="J587" s="5" t="n">
        <v>25.3</v>
      </c>
      <c r="K587" s="3" t="inlineStr">
        <is>
          <t>도시지역 자연녹지지역</t>
        </is>
      </c>
      <c r="L587" s="6">
        <f>HYPERLINK("https://fin.land.naver.com/articles/2652234500", "매물Link")</f>
        <v/>
      </c>
      <c r="M587" s="6">
        <f>HYPERLINK("https://map.naver.com/p/search/남이면 수대리 25-1", "지도Link")</f>
        <v/>
      </c>
      <c r="N587" s="6">
        <f>HYPERLINK("http://www.eum.go.kr/web/ar/lu/luLandDet.jsp?pnu=4311231039100250001&amp;isNoScr=script&amp;mode=search",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2988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수대리 282-1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150000</v>
      </c>
      <c r="G588" s="4" t="n">
        <v>19500</v>
      </c>
      <c r="H588" s="4" t="n">
        <v>5899</v>
      </c>
      <c r="I588" s="5" t="n">
        <v>25.4</v>
      </c>
      <c r="J588" s="5" t="n">
        <v>37.1</v>
      </c>
      <c r="K588" s="3" t="inlineStr">
        <is>
          <t>남이면 수대리 전, 임야 2필지 매매</t>
        </is>
      </c>
      <c r="L588" s="6">
        <f>HYPERLINK("https://fin.land.naver.com/articles/2651321062", "매물Link")</f>
        <v/>
      </c>
      <c r="M588" s="6">
        <f>HYPERLINK("https://map.naver.com/p/search/남이면 수대리 282-1", "지도Link")</f>
        <v/>
      </c>
      <c r="N588" s="6">
        <f>HYPERLINK("http://www.eum.go.kr/web/ar/lu/luLandDet.jsp?pnu=4311231039102820001&amp;isNoScr=script&amp;mode=search", "토지이음")</f>
        <v/>
      </c>
      <c r="O588" s="3" t="inlineStr">
        <is>
          <t>서초</t>
        </is>
      </c>
      <c r="P588" s="4" t="n">
        <v>1</v>
      </c>
      <c r="Q588" s="4" t="n">
        <v>1622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95-2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34000</v>
      </c>
      <c r="G589" s="4" t="n">
        <v>1439</v>
      </c>
      <c r="H589" s="4" t="n">
        <v>435</v>
      </c>
      <c r="I589" s="5" t="n">
        <v>78.2</v>
      </c>
      <c r="J589" s="5" t="n">
        <v>20.4</v>
      </c>
      <c r="K589" s="3" t="inlineStr">
        <is>
          <t>수대리 자연녹지 밭 매매 주택 쉼터용 주말용등 추천</t>
        </is>
      </c>
      <c r="L589" s="6">
        <f>HYPERLINK("https://fin.land.naver.com/articles/2649621870", "매물Link")</f>
        <v/>
      </c>
      <c r="M589" s="6">
        <f>HYPERLINK("https://map.naver.com/p/search/남이면 수대리 95-2", "지도Link")</f>
        <v/>
      </c>
      <c r="N589" s="6">
        <f>HYPERLINK("http://www.eum.go.kr/web/ar/lu/luLandDet.jsp?pnu=4311231039100950002&amp;isNoScr=script&amp;mode=search", "토지이음")</f>
        <v/>
      </c>
      <c r="O589" s="3" t="inlineStr">
        <is>
          <t>그린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수대리 산 26-1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33000</v>
      </c>
      <c r="G590" s="4" t="n">
        <v>3361</v>
      </c>
      <c r="H590" s="4" t="n">
        <v>1017</v>
      </c>
      <c r="I590" s="5" t="n">
        <v>32.4</v>
      </c>
      <c r="J590" s="5" t="n">
        <v>2.6</v>
      </c>
      <c r="K590" s="3" t="inlineStr">
        <is>
          <t>선산,물류센터,전원주택단지 추천</t>
        </is>
      </c>
      <c r="L590" s="6">
        <f>HYPERLINK("https://fin.land.naver.com/articles/2652445357", "매물Link")</f>
        <v/>
      </c>
      <c r="M590" s="6">
        <f>HYPERLINK("https://map.naver.com/p/search/남이면 수대리 산 26-1", "지도Link")</f>
        <v/>
      </c>
      <c r="N590" s="6">
        <f>HYPERLINK("http://www.eum.go.kr/web/ar/lu/luLandDet.jsp?pnu=4311231039200260001&amp;isNoScr=script&amp;mode=search", "토지이음")</f>
        <v/>
      </c>
      <c r="O590" s="3" t="inlineStr">
        <is>
          <t>건국</t>
        </is>
      </c>
      <c r="P590" s="4" t="n">
        <v>1</v>
      </c>
      <c r="Q590" s="4" t="n">
        <v>3361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급경사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산4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</v>
      </c>
      <c r="G591" s="4" t="n">
        <v>5157</v>
      </c>
      <c r="H591" s="4" t="n">
        <v>1560</v>
      </c>
      <c r="I591" s="5" t="n">
        <v>40.4</v>
      </c>
      <c r="J591" s="5" t="n">
        <v>4.1</v>
      </c>
      <c r="K591" s="3" t="inlineStr">
        <is>
          <t>청주시 서원구 남이면 수대리 토지 매매</t>
        </is>
      </c>
      <c r="L591" s="6">
        <f>HYPERLINK("https://fin.land.naver.com/articles/2652887612", "매물Link")</f>
        <v/>
      </c>
      <c r="M591" s="6">
        <f>HYPERLINK("https://map.naver.com/p/search/남이면 수대리 산4", "지도Link")</f>
        <v/>
      </c>
      <c r="N591" s="6">
        <f>HYPERLINK("http://www.eum.go.kr/web/ar/lu/luLandDet.jsp?pnu=4311231039200040000&amp;isNoScr=script&amp;mode=search", "토지이음")</f>
        <v/>
      </c>
      <c r="O591" s="3" t="inlineStr">
        <is>
          <t>일등무소</t>
        </is>
      </c>
      <c r="P591" s="4" t="n">
        <v>1</v>
      </c>
      <c r="Q591" s="4" t="n">
        <v>5157</v>
      </c>
      <c r="R591" s="3" t="inlineStr">
        <is>
          <t>자연녹지지역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양촌리 125-3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140000</v>
      </c>
      <c r="G592" s="4" t="n">
        <v>2099</v>
      </c>
      <c r="H592" s="4" t="n">
        <v>635</v>
      </c>
      <c r="I592" s="5" t="n">
        <v>220.5</v>
      </c>
      <c r="J592" s="5" t="n">
        <v>56.6</v>
      </c>
      <c r="K592" s="3" t="inlineStr">
        <is>
          <t>청주시내 접근성 좋은 남이면 양촌리 근생으로 개발하면 좋을 토지매매</t>
        </is>
      </c>
      <c r="L592" s="6">
        <f>HYPERLINK("https://fin.land.naver.com/articles/2649722883", "매물Link")</f>
        <v/>
      </c>
      <c r="M592" s="6">
        <f>HYPERLINK("https://map.naver.com/p/search/남이면 양촌리 125-3", "지도Link")</f>
        <v/>
      </c>
      <c r="N592" s="6">
        <f>HYPERLINK("http://www.eum.go.kr/web/ar/lu/luLandDet.jsp?pnu=4311231037101250003&amp;isNoScr=script&amp;mode=search",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2099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152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168000</v>
      </c>
      <c r="G593" s="4" t="n">
        <v>5293</v>
      </c>
      <c r="H593" s="4" t="n">
        <v>1601</v>
      </c>
      <c r="I593" s="5" t="n">
        <v>104.9</v>
      </c>
      <c r="J593" s="5" t="n">
        <v>65.40000000000001</v>
      </c>
      <c r="K593" s="3" t="inlineStr">
        <is>
          <t>3차 우회도로 인근 공장 및 창고부지로 추천함</t>
        </is>
      </c>
      <c r="L593" s="6">
        <f>HYPERLINK("https://fin.land.naver.com/articles/2651557248", "매물Link")</f>
        <v/>
      </c>
      <c r="M593" s="6">
        <f>HYPERLINK("https://map.naver.com/p/search/남이면 양촌리 152", "지도Link")</f>
        <v/>
      </c>
      <c r="N593" s="6">
        <f>HYPERLINK("http://www.eum.go.kr/web/ar/lu/luLandDet.jsp?pnu=4311231037101520000&amp;isNoScr=script&amp;mode=search", "토지이음")</f>
        <v/>
      </c>
      <c r="O593" s="3" t="inlineStr">
        <is>
          <t>청주원</t>
        </is>
      </c>
      <c r="P593" s="4" t="n">
        <v>1</v>
      </c>
      <c r="Q593" s="4" t="n">
        <v>2302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양촌리 156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50000</v>
      </c>
      <c r="G594" s="4" t="n">
        <v>1435</v>
      </c>
      <c r="H594" s="4" t="n">
        <v>434</v>
      </c>
      <c r="I594" s="5" t="n">
        <v>115.2</v>
      </c>
      <c r="J594" s="5" t="n">
        <v>36.1</v>
      </c>
      <c r="K594" s="3" t="inlineStr">
        <is>
          <t>양촌리  자연녹지</t>
        </is>
      </c>
      <c r="L594" s="6">
        <f>HYPERLINK("https://fin.land.naver.com/articles/2648754692", "매물Link")</f>
        <v/>
      </c>
      <c r="M594" s="6">
        <f>HYPERLINK("https://map.naver.com/p/search/남이면 양촌리 156", "지도Link")</f>
        <v/>
      </c>
      <c r="N594" s="6">
        <f>HYPERLINK("http://www.eum.go.kr/web/ar/lu/luLandDet.jsp?pnu=4311231037101560000&amp;isNoScr=script&amp;mode=search", "토지이음")</f>
        <v/>
      </c>
      <c r="O594" s="3" t="inlineStr">
        <is>
          <t>우리</t>
        </is>
      </c>
      <c r="P594" s="4" t="n">
        <v>1</v>
      </c>
      <c r="Q594" s="4" t="n">
        <v>1175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165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11940</v>
      </c>
      <c r="G595" s="4" t="n">
        <v>394</v>
      </c>
      <c r="H595" s="4" t="n">
        <v>119</v>
      </c>
      <c r="I595" s="5" t="n">
        <v>100.3</v>
      </c>
      <c r="J595" s="5" t="n">
        <v>36.1</v>
      </c>
      <c r="K595" s="3" t="inlineStr">
        <is>
          <t>단독주택짓기 좋은 부지</t>
        </is>
      </c>
      <c r="L595" s="6">
        <f>HYPERLINK("https://fin.land.naver.com/articles/2649551990", "매물Link")</f>
        <v/>
      </c>
      <c r="M595" s="6">
        <f>HYPERLINK("https://map.naver.com/p/search/남이면 양촌리 165", "지도Link")</f>
        <v/>
      </c>
      <c r="N595" s="6">
        <f>HYPERLINK("http://www.eum.go.kr/web/ar/lu/luLandDet.jsp?pnu=4311231037101650000&amp;isNoScr=script&amp;mode=search", "토지이음")</f>
        <v/>
      </c>
      <c r="O595" s="3" t="inlineStr">
        <is>
          <t>홍길동</t>
        </is>
      </c>
      <c r="P595" s="4" t="n">
        <v>2</v>
      </c>
      <c r="Q595" s="4" t="n">
        <v>394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268-6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70000</v>
      </c>
      <c r="G596" s="4" t="n">
        <v>626</v>
      </c>
      <c r="H596" s="4" t="n">
        <v>189</v>
      </c>
      <c r="I596" s="5" t="n">
        <v>370.4</v>
      </c>
      <c r="J596" s="5" t="n">
        <v>133.1</v>
      </c>
      <c r="K596" s="3" t="inlineStr">
        <is>
          <t>양촌카플주차장 인근, 인접토지건물 연계 매매23억원, 가격 절충</t>
        </is>
      </c>
      <c r="L596" s="6">
        <f>HYPERLINK("https://fin.land.naver.com/articles/2647916494", "매물Link")</f>
        <v/>
      </c>
      <c r="M596" s="6">
        <f>HYPERLINK("https://map.naver.com/p/search/남이면 양촌리 268-6", "지도Link")</f>
        <v/>
      </c>
      <c r="N596" s="6">
        <f>HYPERLINK("http://www.eum.go.kr/web/ar/lu/luLandDet.jsp?pnu=4311231037102680006&amp;isNoScr=script&amp;mode=search",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626</v>
      </c>
      <c r="R596" s="3" t="inlineStr">
        <is>
          <t>지정되지않음</t>
        </is>
      </c>
      <c r="S596" s="3" t="inlineStr">
        <is>
          <t>상업용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314-2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44000</v>
      </c>
      <c r="G597" s="4" t="n">
        <v>969</v>
      </c>
      <c r="H597" s="4" t="n">
        <v>293</v>
      </c>
      <c r="I597" s="5" t="n">
        <v>150.2</v>
      </c>
      <c r="J597" s="5" t="n">
        <v>68.8</v>
      </c>
      <c r="K597" s="3" t="inlineStr">
        <is>
          <t>도로접한 전원주택지 매매</t>
        </is>
      </c>
      <c r="L597" s="6">
        <f>HYPERLINK("https://fin.land.naver.com/articles/2649060801", "매물Link")</f>
        <v/>
      </c>
      <c r="M597" s="6">
        <f>HYPERLINK("https://map.naver.com/p/search/남이면 양촌리 314-2", "지도Link")</f>
        <v/>
      </c>
      <c r="N597" s="6">
        <f>HYPERLINK("http://www.eum.go.kr/web/ar/lu/luLandDet.jsp?pnu=4311231037103140002&amp;isNoScr=script&amp;mode=search", "토지이음")</f>
        <v/>
      </c>
      <c r="O597" s="3" t="inlineStr">
        <is>
          <t>원탑</t>
        </is>
      </c>
      <c r="P597" s="4" t="n">
        <v>1</v>
      </c>
      <c r="Q597" s="4" t="n">
        <v>969</v>
      </c>
      <c r="R597" s="3" t="inlineStr">
        <is>
          <t>보전녹지지역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317-2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53000</v>
      </c>
      <c r="G598" s="4" t="n">
        <v>1309</v>
      </c>
      <c r="H598" s="4" t="n">
        <v>396</v>
      </c>
      <c r="I598" s="5" t="n">
        <v>133.8</v>
      </c>
      <c r="J598" s="5" t="n">
        <v>48.1</v>
      </c>
      <c r="K598" s="3" t="inlineStr">
        <is>
          <t>남이면 양촌리 도로 접한 자연녹지 밭 매매 창고.근생등 추천</t>
        </is>
      </c>
      <c r="L598" s="6">
        <f>HYPERLINK("https://fin.land.naver.com/articles/2651924628", "매물Link")</f>
        <v/>
      </c>
      <c r="M598" s="6">
        <f>HYPERLINK("https://map.naver.com/p/search/남이면 양촌리 317-2", "지도Link")</f>
        <v/>
      </c>
      <c r="N598" s="6">
        <f>HYPERLINK("http://www.eum.go.kr/web/ar/lu/luLandDet.jsp?pnu=4311231037103170002&amp;isNoScr=script&amp;mode=search", "토지이음")</f>
        <v/>
      </c>
      <c r="O598" s="3" t="inlineStr">
        <is>
          <t>그린</t>
        </is>
      </c>
      <c r="P598" s="4" t="n">
        <v>1</v>
      </c>
      <c r="Q598" s="4" t="n">
        <v>1309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324-1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2580</v>
      </c>
      <c r="H599" s="4" t="n">
        <v>780</v>
      </c>
      <c r="I599" s="5" t="n">
        <v>198.7</v>
      </c>
      <c r="J599" s="5" t="n">
        <v>111.3</v>
      </c>
      <c r="K599" s="3" t="inlineStr">
        <is>
          <t>nan</t>
        </is>
      </c>
      <c r="L599" s="6">
        <f>HYPERLINK("https://fin.land.naver.com/articles/2648031461", "매물Link")</f>
        <v/>
      </c>
      <c r="M599" s="6">
        <f>HYPERLINK("https://map.naver.com/p/search/남이면 양촌리 324-1", "지도Link")</f>
        <v/>
      </c>
      <c r="N599" s="6">
        <f>HYPERLINK("http://www.eum.go.kr/web/ar/lu/luLandDet.jsp?pnu=4311231037103240001&amp;isNoScr=script&amp;mode=search", "토지이음")</f>
        <v/>
      </c>
      <c r="O599" s="3" t="inlineStr">
        <is>
          <t>둥지</t>
        </is>
      </c>
      <c r="P599" s="4" t="n">
        <v>1</v>
      </c>
      <c r="Q599" s="4" t="n">
        <v>2228</v>
      </c>
      <c r="R599" s="3" t="inlineStr">
        <is>
          <t>지정되지않음</t>
        </is>
      </c>
      <c r="S599" s="3" t="inlineStr">
        <is>
          <t>주거기타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HYPERLINK("https://fin.land.naver.com/articles/2647463672",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nan</t>
        </is>
      </c>
      <c r="L613" s="6">
        <f>HYPERLINK("https://fin.land.naver.com/articles/2651009859",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노른자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외천리 계획관리지역내의 반듯한 모양의 작은 토지 매매이예요</t>
        </is>
      </c>
      <c r="L614" s="6">
        <f>HYPERLINK("https://fin.land.naver.com/articles/2651072689",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4989명품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497-1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46700</v>
      </c>
      <c r="G629" s="4" t="n">
        <v>1544</v>
      </c>
      <c r="H629" s="4" t="n">
        <v>467</v>
      </c>
      <c r="I629" s="5" t="n">
        <v>100</v>
      </c>
      <c r="J629" s="5" t="n">
        <v>42</v>
      </c>
      <c r="K629" s="3" t="inlineStr">
        <is>
          <t>전남향 전원주택 주말농원 적합 버스정류장에서 약300미터</t>
        </is>
      </c>
      <c r="L629" s="6">
        <f>HYPERLINK("https://fin.land.naver.com/articles/2647728244", "매물Link")</f>
        <v/>
      </c>
      <c r="M629" s="6">
        <f>HYPERLINK("https://map.naver.com/p/search/남이면 척산리 497-1", "지도Link")</f>
        <v/>
      </c>
      <c r="N629" s="6">
        <f>HYPERLINK("http://www.eum.go.kr/web/ar/lu/luLandDet.jsp?pnu=4311231021104970001&amp;isNoScr=script&amp;mode=search", "토지이음")</f>
        <v/>
      </c>
      <c r="O629" s="3" t="inlineStr">
        <is>
          <t>한진인사무소</t>
        </is>
      </c>
      <c r="P629" s="4" t="n">
        <v>1</v>
      </c>
      <c r="Q629" s="4" t="n">
        <v>1544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척산리 528-4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21000</v>
      </c>
      <c r="G630" s="4" t="n">
        <v>635</v>
      </c>
      <c r="H630" s="4" t="n">
        <v>192</v>
      </c>
      <c r="I630" s="5" t="n">
        <v>109.4</v>
      </c>
      <c r="J630" s="5" t="n">
        <v>54.9</v>
      </c>
      <c r="K630" s="3" t="inlineStr">
        <is>
          <t>남이면 사무소근처 척산리 전원주택부지 대지 매매</t>
        </is>
      </c>
      <c r="L630" s="6">
        <f>HYPERLINK("https://fin.land.naver.com/articles/2651683218", "매물Link")</f>
        <v/>
      </c>
      <c r="M630" s="6">
        <f>HYPERLINK("https://map.naver.com/p/search/남이면 척산리 528-4", "지도Link")</f>
        <v/>
      </c>
      <c r="N630" s="6">
        <f>HYPERLINK("http://www.eum.go.kr/web/ar/lu/luLandDet.jsp?pnu=4311231021105280004&amp;isNoScr=script&amp;mode=search", "토지이음")</f>
        <v/>
      </c>
      <c r="O630" s="3" t="inlineStr">
        <is>
          <t>두원</t>
        </is>
      </c>
      <c r="P630" s="4" t="n">
        <v>1</v>
      </c>
      <c r="Q630" s="4" t="n">
        <v>635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693</t>
        </is>
      </c>
      <c r="B631" s="3" t="inlineStr">
        <is>
          <t>생산관리지역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16200</v>
      </c>
      <c r="G631" s="4" t="n">
        <v>1785</v>
      </c>
      <c r="H631" s="4" t="n">
        <v>540</v>
      </c>
      <c r="I631" s="5" t="n">
        <v>30</v>
      </c>
      <c r="J631" s="5" t="n">
        <v>11.9</v>
      </c>
      <c r="K631" s="3" t="inlineStr">
        <is>
          <t>nan</t>
        </is>
      </c>
      <c r="L631" s="6">
        <f>HYPERLINK("https://fin.land.naver.com/articles/2651478139", "매물Link")</f>
        <v/>
      </c>
      <c r="M631" s="6">
        <f>HYPERLINK("https://map.naver.com/p/search/남이면 척산리 693", "지도Link")</f>
        <v/>
      </c>
      <c r="N631" s="6">
        <f>HYPERLINK("http://www.eum.go.kr/web/ar/lu/luLandDet.jsp?pnu=4311231021106930000&amp;isNoScr=script&amp;mode=search", "토지이음")</f>
        <v/>
      </c>
      <c r="O631" s="3" t="inlineStr">
        <is>
          <t>주공3단지</t>
        </is>
      </c>
      <c r="P631" s="4" t="n">
        <v>1</v>
      </c>
      <c r="Q631" s="4" t="n">
        <v>1785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척산리 79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34600</v>
      </c>
      <c r="G632" s="4" t="n">
        <v>4241</v>
      </c>
      <c r="H632" s="4" t="n">
        <v>1283</v>
      </c>
      <c r="I632" s="5" t="n">
        <v>27</v>
      </c>
      <c r="J632" s="5" t="n">
        <v>12</v>
      </c>
      <c r="K632" s="3" t="inlineStr">
        <is>
          <t>주변 토지 매입 가능. 도로 확장 협의.</t>
        </is>
      </c>
      <c r="L632" s="6">
        <f>HYPERLINK("https://fin.land.naver.com/articles/2649153231", "매물Link")</f>
        <v/>
      </c>
      <c r="M632" s="6">
        <f>HYPERLINK("https://map.naver.com/p/search/남이면 척산리 79", "지도Link")</f>
        <v/>
      </c>
      <c r="N632" s="6">
        <f>HYPERLINK("http://www.eum.go.kr/web/ar/lu/luLandDet.jsp?pnu=4311231021100790000&amp;isNoScr=script&amp;mode=search", "토지이음")</f>
        <v/>
      </c>
      <c r="O632" s="3" t="inlineStr">
        <is>
          <t>태광</t>
        </is>
      </c>
      <c r="P632" s="4" t="n">
        <v>1</v>
      </c>
      <c r="Q632" s="4" t="n">
        <v>2188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122-1</t>
        </is>
      </c>
      <c r="B636" s="3" t="inlineStr">
        <is>
          <t>자연녹지지역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25000</v>
      </c>
      <c r="G636" s="4" t="n">
        <v>793</v>
      </c>
      <c r="H636" s="4" t="n">
        <v>240</v>
      </c>
      <c r="I636" s="5" t="n">
        <v>104.2</v>
      </c>
      <c r="J636" s="5" t="n">
        <v>25.2</v>
      </c>
      <c r="K636" s="3" t="inlineStr">
        <is>
          <t>자연녹지 도로접 주택지 창고부지등 추천</t>
        </is>
      </c>
      <c r="L636" s="6">
        <f>HYPERLINK("https://fin.land.naver.com/articles/2649941376", "매물Link")</f>
        <v/>
      </c>
      <c r="M636" s="6">
        <f>HYPERLINK("https://map.naver.com/p/search/남이면 팔봉리 122-1", "지도Link")</f>
        <v/>
      </c>
      <c r="N636" s="6">
        <f>HYPERLINK("http://www.eum.go.kr/web/ar/lu/luLandDet.jsp?pnu=4311231030101220001&amp;isNoScr=script&amp;mode=search", "토지이음")</f>
        <v/>
      </c>
      <c r="O636" s="3" t="inlineStr">
        <is>
          <t>명장</t>
        </is>
      </c>
      <c r="P636" s="4" t="n">
        <v>1</v>
      </c>
      <c r="Q636" s="4" t="n">
        <v>793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147-4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59700</v>
      </c>
      <c r="G637" s="4" t="n">
        <v>2015</v>
      </c>
      <c r="H637" s="4" t="n">
        <v>610</v>
      </c>
      <c r="I637" s="5" t="n">
        <v>97.90000000000001</v>
      </c>
      <c r="J637" s="5" t="n">
        <v>15.3</v>
      </c>
      <c r="K637" s="3" t="inlineStr">
        <is>
          <t>2차선접 남향 활용도 높은 토지</t>
        </is>
      </c>
      <c r="L637" s="6">
        <f>HYPERLINK("https://fin.land.naver.com/articles/2649741316", "매물Link")</f>
        <v/>
      </c>
      <c r="M637" s="6">
        <f>HYPERLINK("https://map.naver.com/p/search/남이면 팔봉리 147-4", "지도Link")</f>
        <v/>
      </c>
      <c r="N637" s="6">
        <f>HYPERLINK("http://www.eum.go.kr/web/ar/lu/luLandDet.jsp?pnu=4311231030101470004&amp;isNoScr=script&amp;mode=search", "토지이음")</f>
        <v/>
      </c>
      <c r="O637" s="3" t="inlineStr">
        <is>
          <t>학사</t>
        </is>
      </c>
      <c r="P637" s="4" t="n">
        <v>1</v>
      </c>
      <c r="Q637" s="4" t="n">
        <v>1076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남이면 팔봉리 264-5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45360</v>
      </c>
      <c r="G638" s="4" t="n">
        <v>1874</v>
      </c>
      <c r="H638" s="4" t="n">
        <v>567</v>
      </c>
      <c r="I638" s="5" t="n">
        <v>80</v>
      </c>
      <c r="J638" s="5" t="n">
        <v>20.4</v>
      </c>
      <c r="K638" s="3" t="inlineStr">
        <is>
          <t>급매,2차선 도로접함,투자,창고용도 추천</t>
        </is>
      </c>
      <c r="L638" s="6">
        <f>HYPERLINK("https://fin.land.naver.com/articles/2651873712", "매물Link")</f>
        <v/>
      </c>
      <c r="M638" s="6">
        <f>HYPERLINK("https://map.naver.com/p/search/남이면 팔봉리 264-5", "지도Link")</f>
        <v/>
      </c>
      <c r="N638" s="6">
        <f>HYPERLINK("http://www.eum.go.kr/web/ar/lu/luLandDet.jsp?pnu=4311231030102640005&amp;isNoScr=script&amp;mode=search", "토지이음")</f>
        <v/>
      </c>
      <c r="O638" s="3" t="inlineStr">
        <is>
          <t>가경아이파크5단지일타</t>
        </is>
      </c>
      <c r="P638" s="4" t="n">
        <v>1</v>
      </c>
      <c r="Q638" s="4" t="n">
        <v>1874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팔봉리 2차선접 투자용 저렴한 토지매매</t>
        </is>
      </c>
      <c r="L639" s="6">
        <f>HYPERLINK("https://fin.land.naver.com/articles/2648674531",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학사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297-9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30000</v>
      </c>
      <c r="G640" s="4" t="n">
        <v>662</v>
      </c>
      <c r="H640" s="4" t="n">
        <v>200</v>
      </c>
      <c r="I640" s="5" t="n">
        <v>150</v>
      </c>
      <c r="J640" s="5" t="n">
        <v>14.8</v>
      </c>
      <c r="K640" s="3" t="inlineStr">
        <is>
          <t>투자 가치 좋은  임야, 해당필지 외 5필지 통 매매도 가능</t>
        </is>
      </c>
      <c r="L640" s="6">
        <f>HYPERLINK("https://fin.land.naver.com/articles/2647629153", "매물Link")</f>
        <v/>
      </c>
      <c r="M640" s="6">
        <f>HYPERLINK("https://map.naver.com/p/search/남이면 팔봉리 297-9", "지도Link")</f>
        <v/>
      </c>
      <c r="N640" s="6">
        <f>HYPERLINK("http://www.eum.go.kr/web/ar/lu/luLandDet.jsp?pnu=4311231030102970009&amp;isNoScr=script&amp;mode=search", "토지이음")</f>
        <v/>
      </c>
      <c r="O640" s="3" t="inlineStr">
        <is>
          <t>현담</t>
        </is>
      </c>
      <c r="P640" s="4" t="n">
        <v>1</v>
      </c>
      <c r="Q640" s="4" t="n">
        <v>662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HYPERLINK("https://fin.land.naver.com/articles/2647855633",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HYPERLINK("https://fin.land.naver.com/articles/2647569997",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HYPERLINK("https://fin.land.naver.com/articles/2647658777",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2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535</v>
      </c>
      <c r="H649" s="4" t="n">
        <v>162</v>
      </c>
      <c r="I649" s="5" t="n">
        <v>419.8</v>
      </c>
      <c r="J649" s="5" t="n">
        <v>278</v>
      </c>
      <c r="K649" s="3" t="inlineStr">
        <is>
          <t>162.1p, 평단가 낮은 다정동 급매 토지</t>
        </is>
      </c>
      <c r="L649" s="6">
        <f>HYPERLINK("https://fin.land.naver.com/articles/2649006160",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643</v>
      </c>
      <c r="H650" s="4" t="n">
        <v>195</v>
      </c>
      <c r="I650" s="5" t="n">
        <v>348.7</v>
      </c>
      <c r="J650" s="5" t="n">
        <v>278</v>
      </c>
      <c r="K650" s="3" t="inlineStr">
        <is>
          <t>급매매 큰땅입니다</t>
        </is>
      </c>
      <c r="L650" s="6">
        <f>HYPERLINK("https://fin.land.naver.com/articles/2648362434",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킹세종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조용한 단독주택지, 정남향</t>
        </is>
      </c>
      <c r="L651" s="6">
        <f>HYPERLINK("https://fin.land.naver.com/articles/2652842480",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급매 정남향 넓은 시유지접함 조율가능</t>
        </is>
      </c>
      <c r="L652" s="6">
        <f>HYPERLINK("https://fin.land.naver.com/articles/2652136487",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세종스타</t>
        </is>
      </c>
      <c r="P652" s="4" t="n">
        <v>2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총 90.9p, 다정동 가격좋은 조용한 위치 토지매매</t>
        </is>
      </c>
      <c r="L653" s="6">
        <f>HYPERLINK("https://fin.land.naver.com/articles/2648902119",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HYPERLINK("https://fin.land.naver.com/articles/2647425840",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2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조용한 단독주택지,급매</t>
        </is>
      </c>
      <c r="L659" s="6">
        <f>HYPERLINK("https://fin.land.naver.com/articles/2648806860",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세종금주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조율가능 편의시설옆 건축하기 좋은 모양</t>
        </is>
      </c>
      <c r="L660" s="6">
        <f>HYPERLINK("https://fin.land.naver.com/articles/2651087752",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다정동 단독주택토지, 코너입지, 111.8p</t>
        </is>
      </c>
      <c r="L661" s="6">
        <f>HYPERLINK("https://fin.land.naver.com/articles/2652838896",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368</v>
      </c>
      <c r="H662" s="4" t="n">
        <v>111</v>
      </c>
      <c r="I662" s="5" t="n">
        <v>603.6</v>
      </c>
      <c r="J662" s="5" t="n">
        <v>341.2</v>
      </c>
      <c r="K662" s="3" t="inlineStr">
        <is>
          <t>111.8p, 삼거리 코너, 정남향, 다정동 단독주택 토지매매</t>
        </is>
      </c>
      <c r="L662" s="6">
        <f>HYPERLINK("https://fin.land.naver.com/articles/2648138253",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2면도로 접,주변 60m가로 공원근접함</t>
        </is>
      </c>
      <c r="L663" s="6">
        <f>HYPERLINK("https://fin.land.naver.com/articles/2649639476",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킹세종</t>
        </is>
      </c>
      <c r="P663" s="4" t="n">
        <v>2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279</v>
      </c>
      <c r="H667" s="4" t="n">
        <v>84</v>
      </c>
      <c r="I667" s="5" t="n">
        <v>827.4</v>
      </c>
      <c r="J667" s="5" t="n">
        <v>304.6</v>
      </c>
      <c r="K667" s="3" t="inlineStr">
        <is>
          <t>84.8p, 정남향, 다정동 단독주택지</t>
        </is>
      </c>
      <c r="L667" s="6">
        <f>HYPERLINK("https://fin.land.naver.com/articles/2647425898",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69700</v>
      </c>
      <c r="G668" s="4" t="n">
        <v>279</v>
      </c>
      <c r="H668" s="4" t="n">
        <v>84</v>
      </c>
      <c r="I668" s="5" t="n">
        <v>829.8</v>
      </c>
      <c r="J668" s="5" t="n">
        <v>304.6</v>
      </c>
      <c r="K668" s="3" t="inlineStr">
        <is>
          <t>다정동 접근성 좋은 주택지 매매</t>
        </is>
      </c>
      <c r="L668" s="6">
        <f>HYPERLINK("https://fin.land.naver.com/articles/2652651256",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태양</t>
        </is>
      </c>
      <c r="P668" s="4" t="n">
        <v>2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HYPERLINK("https://fin.land.naver.com/articles/2647427873",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총 95.5p, 조율가능, 다정동 단독주택지</t>
        </is>
      </c>
      <c r="L679" s="6">
        <f>HYPERLINK("https://fin.land.naver.com/articles/2649022530",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95.5p, 유치원 맞은편, 가운데 토지</t>
        </is>
      </c>
      <c r="L680" s="6">
        <f>HYPERLINK("https://fin.land.naver.com/articles/2648833463",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유치원 인근 다정동 토지매매</t>
        </is>
      </c>
      <c r="L682" s="6">
        <f>HYPERLINK("https://fin.land.naver.com/articles/2649571368",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49000</v>
      </c>
      <c r="G683" s="4" t="n">
        <v>315</v>
      </c>
      <c r="H683" s="4" t="n">
        <v>95</v>
      </c>
      <c r="I683" s="5" t="n">
        <v>515.8</v>
      </c>
      <c r="J683" s="5" t="n">
        <v>318.9</v>
      </c>
      <c r="K683" s="3" t="inlineStr">
        <is>
          <t>급매 조율가능 조용한 선호하는 안쪽위치</t>
        </is>
      </c>
      <c r="L683" s="6">
        <f>HYPERLINK("https://fin.land.naver.com/articles/2652419011",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세종스타</t>
        </is>
      </c>
      <c r="P683" s="4" t="n">
        <v>2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HYPERLINK("https://fin.land.naver.com/articles/2652841282",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53000</v>
      </c>
      <c r="G687" s="4" t="n">
        <v>374</v>
      </c>
      <c r="H687" s="4" t="n">
        <v>113</v>
      </c>
      <c r="I687" s="5" t="n">
        <v>469</v>
      </c>
      <c r="J687" s="5" t="n">
        <v>353.7</v>
      </c>
      <c r="K687" s="3" t="inlineStr">
        <is>
          <t>급매로 추가 조율이 가능한 다정동 택지 급매물입니다.</t>
        </is>
      </c>
      <c r="L687" s="6">
        <f>HYPERLINK("https://fin.land.naver.com/articles/2650944049",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스마일세종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HYPERLINK("https://fin.land.naver.com/articles/2647429203",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nan</t>
        </is>
      </c>
      <c r="L700" s="6">
        <f>HYPERLINK("https://fin.land.naver.com/articles/2652567664",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진달래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99.1p, 도담동 말발굽 토지, 공원 보행로 접해 있음</t>
        </is>
      </c>
      <c r="L701" s="6">
        <f>HYPERLINK("https://fin.land.naver.com/articles/2647428982",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말발굽모양 택지 중 가장 조용하고 남향으로 집을 지을수 있는 대지</t>
        </is>
      </c>
      <c r="L703" s="6">
        <f>HYPERLINK("https://fin.land.naver.com/articles/2653002631",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스마일세종</t>
        </is>
      </c>
      <c r="P703" s="4" t="n">
        <v>3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총 92.1p, 말발굽 최고입지, 넓은 공원 인근</t>
        </is>
      </c>
      <c r="L705" s="6">
        <f>HYPERLINK("https://fin.land.naver.com/articles/2647421924",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조율가능 반원호내 좋은위치</t>
        </is>
      </c>
      <c r="L706" s="6">
        <f>HYPERLINK("https://fin.land.naver.com/articles/2649296288",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335</v>
      </c>
      <c r="H707" s="4" t="n">
        <v>101</v>
      </c>
      <c r="I707" s="5" t="n">
        <v>920.8</v>
      </c>
      <c r="J707" s="5" t="n">
        <v>358.3</v>
      </c>
      <c r="K707" s="3" t="inlineStr">
        <is>
          <t>조율가능한 말발굽 위치 좋은 토지 매매, 코너각지</t>
        </is>
      </c>
      <c r="L707" s="6">
        <f>HYPERLINK("https://fin.land.naver.com/articles/2650427728",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337</v>
      </c>
      <c r="H708" s="4" t="n">
        <v>102</v>
      </c>
      <c r="I708" s="5" t="n">
        <v>911.8</v>
      </c>
      <c r="J708" s="5" t="n">
        <v>358.3</v>
      </c>
      <c r="K708" s="3" t="inlineStr">
        <is>
          <t>102.1p, 코너자리, 말발굽 좋은위치, 조율가능</t>
        </is>
      </c>
      <c r="L708" s="6">
        <f>HYPERLINK("https://fin.land.naver.com/articles/2648898954",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급매 양지초인근 땅모양좋음 공원용지 접함</t>
        </is>
      </c>
      <c r="L709" s="6">
        <f>HYPERLINK("https://fin.land.naver.com/articles/2649479469",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세종스타</t>
        </is>
      </c>
      <c r="P709" s="4" t="n">
        <v>2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96.9p, 유.초등학교 인근, 삼거리 입지 좋은 토지</t>
        </is>
      </c>
      <c r="L710" s="6">
        <f>HYPERLINK("https://fin.land.naver.com/articles/2648832742",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330</v>
      </c>
      <c r="H711" s="4" t="n">
        <v>100</v>
      </c>
      <c r="I711" s="5" t="n">
        <v>800</v>
      </c>
      <c r="J711" s="5" t="n">
        <v>366.9</v>
      </c>
      <c r="K711" s="3" t="inlineStr">
        <is>
          <t>양지초 양지유치원 정문 건너편 최선호 위치 주변시세보다 저렴 추천매물</t>
        </is>
      </c>
      <c r="L711" s="6">
        <f>HYPERLINK("https://fin.land.naver.com/articles/2649479494",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99.9p, 유.초등학교 인근, 사거리 코너자리</t>
        </is>
      </c>
      <c r="L714" s="6">
        <f>HYPERLINK("https://fin.land.naver.com/articles/2648839579",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급매, 총 116p, 대형토지, 도담동 말발굽토지, 조율가능</t>
        </is>
      </c>
      <c r="L715" s="6">
        <f>HYPERLINK("https://fin.land.naver.com/articles/2651944411",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말발굽토지 급매, 사거리 코너 최고 입지, 총 116p</t>
        </is>
      </c>
      <c r="L716" s="6">
        <f>HYPERLINK("https://fin.land.naver.com/articles/2650892606",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급매,도담동 말발굽택지 116P 코너,조율가능</t>
        </is>
      </c>
      <c r="L717" s="6">
        <f>HYPERLINK("https://fin.land.naver.com/articles/2652729660",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광장</t>
        </is>
      </c>
      <c r="P717" s="4" t="n">
        <v>3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HYPERLINK("https://fin.land.naver.com/articles/2647645491",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충남대 병원 인접, 중앙청사 도보로 출퇴근 가능</t>
        </is>
      </c>
      <c r="L722" s="6">
        <f>HYPERLINK("https://fin.land.naver.com/articles/2652967371",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오케이태복</t>
        </is>
      </c>
      <c r="P722" s="4" t="n">
        <v>2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693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319</v>
      </c>
      <c r="H725" s="4" t="n">
        <v>96</v>
      </c>
      <c r="I725" s="5" t="n">
        <v>937.5</v>
      </c>
      <c r="J725" s="5" t="n">
        <v>382.1</v>
      </c>
      <c r="K725" s="3" t="inlineStr">
        <is>
          <t>위치최상 정남향 늘봄초앞 남북트인곳</t>
        </is>
      </c>
      <c r="L725" s="6">
        <f>HYPERLINK("https://fin.land.naver.com/articles/2648041586", "매물Link")</f>
        <v/>
      </c>
      <c r="M725" s="6">
        <f>HYPERLINK("https://map.naver.com/p/search/도담동 693", "지도Link")</f>
        <v/>
      </c>
      <c r="N725" s="6">
        <f>HYPERLINK("http://www.eum.go.kr/web/ar/lu/luLandDet.jsp?pnu=3611011400106930000&amp;isNoScr=script&amp;mode=search",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319.6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705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84000</v>
      </c>
      <c r="G726" s="4" t="n">
        <v>276</v>
      </c>
      <c r="H726" s="4" t="n">
        <v>83</v>
      </c>
      <c r="I726" s="5" t="n">
        <v>1012</v>
      </c>
      <c r="J726" s="5" t="n">
        <v>382.1</v>
      </c>
      <c r="K726" s="3" t="inlineStr">
        <is>
          <t>조율가능 남향 늘봄초앞 BRT도보가능</t>
        </is>
      </c>
      <c r="L726" s="6">
        <f>HYPERLINK("https://fin.land.naver.com/articles/2652943779", "매물Link")</f>
        <v/>
      </c>
      <c r="M726" s="6">
        <f>HYPERLINK("https://map.naver.com/p/search/도담동 705", "지도Link")</f>
        <v/>
      </c>
      <c r="N726" s="6">
        <f>HYPERLINK("http://www.eum.go.kr/web/ar/lu/luLandDet.jsp?pnu=3611011400107050000&amp;isNoScr=script&amp;mode=search",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산조망 코너각지 정남향 입지최상</t>
        </is>
      </c>
      <c r="L727" s="6">
        <f>HYPERLINK("https://fin.land.naver.com/articles/2649479678",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도담동 입지 좋은 단독주택지, 조율가능</t>
        </is>
      </c>
      <c r="L728" s="6">
        <f>HYPERLINK("https://fin.land.naver.com/articles/2648297361",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도담동 근린생활용지</t>
        </is>
      </c>
      <c r="L730" s="6">
        <f>HYPERLINK("https://fin.land.naver.com/articles/2653002307",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OK세종 사무소</t>
        </is>
      </c>
      <c r="P730" s="4" t="n">
        <v>2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도담동근생용지 주변입지좋아요. 가격조정가능</t>
        </is>
      </c>
      <c r="L731" s="6">
        <f>HYPERLINK("https://fin.land.naver.com/articles/2650454199",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고운동리치세종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입지 좋은 도담동 근린생활용지 토지 매매, 대로변</t>
        </is>
      </c>
      <c r="L732" s="6">
        <f>HYPERLINK("https://fin.land.naver.com/articles/2649607976",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 입지우수한 근생 용지 부지, 매매의사 확실,가격조율가능</t>
        </is>
      </c>
      <c r="L733" s="6">
        <f>HYPERLINK("https://fin.land.naver.com/articles/2647797836",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짱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730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319</v>
      </c>
      <c r="H734" s="4" t="n">
        <v>96</v>
      </c>
      <c r="I734" s="5" t="n">
        <v>802.1</v>
      </c>
      <c r="J734" s="5" t="n">
        <v>382.1</v>
      </c>
      <c r="K734" s="3" t="inlineStr">
        <is>
          <t>급매 도담동 최고입지 프라이버스 완벽하고 지대높은 위치최상</t>
        </is>
      </c>
      <c r="L734" s="6">
        <f>HYPERLINK("https://fin.land.naver.com/articles/2651087923", "매물Link")</f>
        <v/>
      </c>
      <c r="M734" s="6">
        <f>HYPERLINK("https://map.naver.com/p/search/도담동 730", "지도Link")</f>
        <v/>
      </c>
      <c r="N734" s="6">
        <f>HYPERLINK("http://www.eum.go.kr/web/ar/lu/luLandDet.jsp?pnu=3611011400107300000&amp;isNoScr=script&amp;mode=search",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319.5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757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92000</v>
      </c>
      <c r="G735" s="4" t="n">
        <v>324</v>
      </c>
      <c r="H735" s="4" t="n">
        <v>98</v>
      </c>
      <c r="I735" s="5" t="n">
        <v>938.8</v>
      </c>
      <c r="J735" s="5" t="n">
        <v>410.6</v>
      </c>
      <c r="K735" s="3" t="inlineStr">
        <is>
          <t>홈플러스와 충대병원사이에 위치함 3면코너각지 청사및체육시설근거리이용</t>
        </is>
      </c>
      <c r="L735" s="6">
        <f>HYPERLINK("https://fin.land.naver.com/articles/2647502682", "매물Link")</f>
        <v/>
      </c>
      <c r="M735" s="6">
        <f>HYPERLINK("https://map.naver.com/p/search/도담동 757", "지도Link")</f>
        <v/>
      </c>
      <c r="N735" s="6">
        <f>HYPERLINK("http://www.eum.go.kr/web/ar/lu/luLandDet.jsp?pnu=3611011400107570000&amp;isNoScr=script&amp;mode=search", "토지이음")</f>
        <v/>
      </c>
      <c r="O735" s="3" t="inlineStr">
        <is>
          <t>세종마당</t>
        </is>
      </c>
      <c r="P735" s="4" t="n">
        <v>1</v>
      </c>
      <c r="Q735" s="4" t="n">
        <v>324.6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입지 좋은 도담동 단독주택 토지매매</t>
        </is>
      </c>
      <c r="L736" s="6">
        <f>HYPERLINK("https://fin.land.naver.com/articles/2650427773",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최적의 위치,정남향으로 단독주택수있는 예쁜 토지</t>
        </is>
      </c>
      <c r="L737" s="6">
        <f>HYPERLINK("https://fin.land.naver.com/articles/2652106915",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대한</t>
        </is>
      </c>
      <c r="P737" s="4" t="n">
        <v>2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776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97000</v>
      </c>
      <c r="G739" s="4" t="n">
        <v>321</v>
      </c>
      <c r="H739" s="4" t="n">
        <v>97</v>
      </c>
      <c r="I739" s="5" t="n">
        <v>1000</v>
      </c>
      <c r="J739" s="5" t="n">
        <v>406.6</v>
      </c>
      <c r="K739" s="3" t="inlineStr">
        <is>
          <t>생명나무,도담동 홈플러스 근접거리  귀한 단독주택자리</t>
        </is>
      </c>
      <c r="L739" s="6">
        <f>HYPERLINK("https://fin.land.naver.com/articles/2651385820", "매물Link")</f>
        <v/>
      </c>
      <c r="M739" s="6">
        <f>HYPERLINK("https://map.naver.com/p/search/도담동 776", "지도Link")</f>
        <v/>
      </c>
      <c r="N739" s="6">
        <f>HYPERLINK("http://www.eum.go.kr/web/ar/lu/luLandDet.jsp?pnu=3611011400107760000&amp;isNoScr=script&amp;mode=search", "토지이음")</f>
        <v/>
      </c>
      <c r="O739" s="3" t="inlineStr">
        <is>
          <t>생명나무</t>
        </is>
      </c>
      <c r="P739" s="4" t="n">
        <v>1</v>
      </c>
      <c r="Q739" s="4" t="n">
        <v>321.7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778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95000</v>
      </c>
      <c r="G740" s="4" t="n">
        <v>320</v>
      </c>
      <c r="H740" s="4" t="n">
        <v>97</v>
      </c>
      <c r="I740" s="5" t="n">
        <v>979.4</v>
      </c>
      <c r="J740" s="5" t="n">
        <v>391.1</v>
      </c>
      <c r="K740" s="3" t="inlineStr">
        <is>
          <t>홈플러스 가까운 도담동 위치좋은 주택지</t>
        </is>
      </c>
      <c r="L740" s="6">
        <f>HYPERLINK("https://fin.land.naver.com/articles/2653001478", "매물Link")</f>
        <v/>
      </c>
      <c r="M740" s="6">
        <f>HYPERLINK("https://map.naver.com/p/search/도담동 778", "지도Link")</f>
        <v/>
      </c>
      <c r="N740" s="6">
        <f>HYPERLINK("http://www.eum.go.kr/web/ar/lu/luLandDet.jsp?pnu=3611011400107780000&amp;isNoScr=script&amp;mode=search", "토지이음")</f>
        <v/>
      </c>
      <c r="O740" s="3" t="inlineStr">
        <is>
          <t>OK세종 사무소</t>
        </is>
      </c>
      <c r="P740" s="4" t="n">
        <v>1</v>
      </c>
      <c r="Q740" s="4" t="n">
        <v>320.6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779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320</v>
      </c>
      <c r="H741" s="4" t="n">
        <v>97</v>
      </c>
      <c r="I741" s="5" t="n">
        <v>927.8</v>
      </c>
      <c r="J741" s="5" t="n">
        <v>410.6</v>
      </c>
      <c r="K741" s="3" t="inlineStr">
        <is>
          <t>BRT라인 상권,방축천 라인,청사,홈플러스,충대병원과 근접한 생활권 위치</t>
        </is>
      </c>
      <c r="L741" s="6">
        <f>HYPERLINK("https://fin.land.naver.com/articles/2652105304", "매물Link")</f>
        <v/>
      </c>
      <c r="M741" s="6">
        <f>HYPERLINK("https://map.naver.com/p/search/도담동 779", "지도Link")</f>
        <v/>
      </c>
      <c r="N741" s="6">
        <f>HYPERLINK("http://www.eum.go.kr/web/ar/lu/luLandDet.jsp?pnu=3611011400107790000&amp;isNoScr=script&amp;mode=search", "토지이음")</f>
        <v/>
      </c>
      <c r="O741" s="3" t="inlineStr">
        <is>
          <t>세종웅진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784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341</v>
      </c>
      <c r="H742" s="4" t="n">
        <v>103</v>
      </c>
      <c r="I742" s="5" t="n">
        <v>747.6</v>
      </c>
      <c r="J742" s="5" t="n">
        <v>410.6</v>
      </c>
      <c r="K742" s="3" t="inlineStr">
        <is>
          <t>도담동 생활권 입지 좋은 단독주택지 매매</t>
        </is>
      </c>
      <c r="L742" s="6">
        <f>HYPERLINK("https://fin.land.naver.com/articles/2647429882", "매물Link")</f>
        <v/>
      </c>
      <c r="M742" s="6">
        <f>HYPERLINK("https://map.naver.com/p/search/도담동 784", "지도Link")</f>
        <v/>
      </c>
      <c r="N742" s="6">
        <f>HYPERLINK("http://www.eum.go.kr/web/ar/lu/luLandDet.jsp?pnu=3611011400107840000&amp;isNoScr=script&amp;mode=search",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341.5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사거리 코너, 생활권 좋은 위치 단독주택지</t>
        </is>
      </c>
      <c r="L743" s="6">
        <f>HYPERLINK("https://fin.land.naver.com/articles/2647425170",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코너 유치원 홈플러스 늘봄초인근 조율가능</t>
        </is>
      </c>
      <c r="L744" s="6">
        <f>HYPERLINK("https://fin.land.naver.com/articles/2649812078",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104000</v>
      </c>
      <c r="G745" s="4" t="n">
        <v>342</v>
      </c>
      <c r="H745" s="4" t="n">
        <v>103</v>
      </c>
      <c r="I745" s="5" t="n">
        <v>1009.7</v>
      </c>
      <c r="J745" s="5" t="n">
        <v>410.6</v>
      </c>
      <c r="K745" s="3" t="inlineStr">
        <is>
          <t>103.7p, 단지 맞은편, 유치원 인근</t>
        </is>
      </c>
      <c r="L745" s="6">
        <f>HYPERLINK("https://fin.land.naver.com/articles/2648833697", "매물Link")</f>
        <v/>
      </c>
      <c r="M745" s="6">
        <f>HYPERLINK("https://map.naver.com/p/search/도담동 790", "지도Link")</f>
        <v/>
      </c>
      <c r="N745" s="6">
        <f>HYPERLINK("http://www.eum.go.kr/web/ar/lu/luLandDet.jsp?pnu=3611011400107900000&amp;isNoScr=script&amp;mode=search",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342.1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HYPERLINK("https://fin.land.naver.com/articles/2647422061",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808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62500</v>
      </c>
      <c r="G747" s="4" t="n">
        <v>318</v>
      </c>
      <c r="H747" s="4" t="n">
        <v>96</v>
      </c>
      <c r="I747" s="5" t="n">
        <v>651</v>
      </c>
      <c r="J747" s="5" t="n">
        <v>391.1</v>
      </c>
      <c r="K747" s="3" t="inlineStr">
        <is>
          <t>급매 도로접한 모양좋은 대지  홈플러스 청사인접</t>
        </is>
      </c>
      <c r="L747" s="6">
        <f>HYPERLINK("https://fin.land.naver.com/articles/2651702853", "매물Link")</f>
        <v/>
      </c>
      <c r="M747" s="6">
        <f>HYPERLINK("https://map.naver.com/p/search/도담동 808", "지도Link")</f>
        <v/>
      </c>
      <c r="N747" s="6">
        <f>HYPERLINK("http://www.eum.go.kr/web/ar/lu/luLandDet.jsp?pnu=3611011400108080000&amp;isNoScr=script&amp;mode=search", "토지이음")</f>
        <v/>
      </c>
      <c r="O747" s="3" t="inlineStr">
        <is>
          <t>예예</t>
        </is>
      </c>
      <c r="P747" s="4" t="n">
        <v>2</v>
      </c>
      <c r="Q747" s="4" t="n">
        <v>318.7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813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95000</v>
      </c>
      <c r="G748" s="4" t="n">
        <v>333</v>
      </c>
      <c r="H748" s="4" t="n">
        <v>101</v>
      </c>
      <c r="I748" s="5" t="n">
        <v>940.6</v>
      </c>
      <c r="J748" s="5" t="n">
        <v>391.1</v>
      </c>
      <c r="K748" s="3" t="inlineStr">
        <is>
          <t>도담동 위치좋은 주택지</t>
        </is>
      </c>
      <c r="L748" s="6">
        <f>HYPERLINK("https://fin.land.naver.com/articles/2653001833", "매물Link")</f>
        <v/>
      </c>
      <c r="M748" s="6">
        <f>HYPERLINK("https://map.naver.com/p/search/도담동 813", "지도Link")</f>
        <v/>
      </c>
      <c r="N748" s="6">
        <f>HYPERLINK("http://www.eum.go.kr/web/ar/lu/luLandDet.jsp?pnu=3611011400108130000&amp;isNoScr=script&amp;mode=search", "토지이음")</f>
        <v/>
      </c>
      <c r="O748" s="3" t="inlineStr">
        <is>
          <t>OK세종 사무소</t>
        </is>
      </c>
      <c r="P748" s="4" t="n">
        <v>1</v>
      </c>
      <c r="Q748" s="4" t="n">
        <v>333.7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824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100000</v>
      </c>
      <c r="G749" s="4" t="n">
        <v>313</v>
      </c>
      <c r="H749" s="4" t="n">
        <v>95</v>
      </c>
      <c r="I749" s="5" t="n">
        <v>1052.6</v>
      </c>
      <c r="J749" s="5" t="n">
        <v>391.1</v>
      </c>
      <c r="K749" s="3" t="inlineStr">
        <is>
          <t>남향필지 최선호지역 BRT도보가능 홈플러스인근</t>
        </is>
      </c>
      <c r="L749" s="6">
        <f>HYPERLINK("https://fin.land.naver.com/articles/2648615509", "매물Link")</f>
        <v/>
      </c>
      <c r="M749" s="6">
        <f>HYPERLINK("https://map.naver.com/p/search/도담동 824", "지도Link")</f>
        <v/>
      </c>
      <c r="N749" s="6">
        <f>HYPERLINK("http://www.eum.go.kr/web/ar/lu/luLandDet.jsp?pnu=3611011400108240000&amp;isNoScr=script&amp;mode=search",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313.1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837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90000</v>
      </c>
      <c r="G750" s="4" t="n">
        <v>315</v>
      </c>
      <c r="H750" s="4" t="n">
        <v>95</v>
      </c>
      <c r="I750" s="5" t="n">
        <v>947.4</v>
      </c>
      <c r="J750" s="5" t="n">
        <v>391.1</v>
      </c>
      <c r="K750" s="3" t="inlineStr">
        <is>
          <t>도담동 위치 좋은 단독주택, 홈플러스 인근</t>
        </is>
      </c>
      <c r="L750" s="6">
        <f>HYPERLINK("https://fin.land.naver.com/articles/2650892389", "매물Link")</f>
        <v/>
      </c>
      <c r="M750" s="6">
        <f>HYPERLINK("https://map.naver.com/p/search/도담동 837", "지도Link")</f>
        <v/>
      </c>
      <c r="N750" s="6">
        <f>HYPERLINK("http://www.eum.go.kr/web/ar/lu/luLandDet.jsp?pnu=3611011400108370000&amp;isNoScr=script&amp;mode=search",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315.9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95.7p, 도담동 홈플러스인근, 단독주택 토지매매</t>
        </is>
      </c>
      <c r="L751" s="6">
        <f>HYPERLINK("https://fin.land.naver.com/articles/2648899707",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315</v>
      </c>
      <c r="H752" s="4" t="n">
        <v>95</v>
      </c>
      <c r="I752" s="5" t="n">
        <v>736.8</v>
      </c>
      <c r="J752" s="5" t="n">
        <v>391.1</v>
      </c>
      <c r="K752" s="3" t="inlineStr">
        <is>
          <t>강추매물, 가격좋은 토지, 홈플인접</t>
        </is>
      </c>
      <c r="L752" s="6">
        <f>HYPERLINK("https://fin.land.naver.com/articles/2651289273",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사이다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897-1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140000</v>
      </c>
      <c r="G753" s="4" t="n">
        <v>400</v>
      </c>
      <c r="H753" s="4" t="n">
        <v>121</v>
      </c>
      <c r="I753" s="5" t="n">
        <v>1157</v>
      </c>
      <c r="J753" s="5" t="n">
        <v>353.1</v>
      </c>
      <c r="K753" s="3" t="inlineStr">
        <is>
          <t>트로아힐스 건축 가능한 토지 매매</t>
        </is>
      </c>
      <c r="L753" s="6">
        <f>HYPERLINK("https://fin.land.naver.com/articles/2650423114", "매물Link")</f>
        <v/>
      </c>
      <c r="M753" s="6">
        <f>HYPERLINK("https://map.naver.com/p/search/도담동 897-1", "지도Link")</f>
        <v/>
      </c>
      <c r="N753" s="6">
        <f>HYPERLINK("http://www.eum.go.kr/web/ar/lu/luLandDet.jsp?pnu=3611011400108970001&amp;isNoScr=script&amp;mode=search", "토지이음")</f>
        <v/>
      </c>
      <c r="O753" s="3" t="inlineStr">
        <is>
          <t>세종시티</t>
        </is>
      </c>
      <c r="P753" s="4" t="n">
        <v>1</v>
      </c>
      <c r="Q753" s="4" t="n">
        <v>400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도담동 897-18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356.7</v>
      </c>
      <c r="K754" s="3" t="inlineStr">
        <is>
          <t>세종 고급 타운하우스 선호 필지 매매</t>
        </is>
      </c>
      <c r="L754" s="6">
        <f>HYPERLINK("https://fin.land.naver.com/articles/2650423079", "매물Link")</f>
        <v/>
      </c>
      <c r="M754" s="6">
        <f>HYPERLINK("https://map.naver.com/p/search/도담동 897-18", "지도Link")</f>
        <v/>
      </c>
      <c r="N754" s="6">
        <f>HYPERLINK("http://www.eum.go.kr/web/ar/lu/luLandDet.jsp?pnu=3611011400108970018&amp;isNoScr=script&amp;mode=search",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도담동 897-20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도담동 고급 전원주택 단지 앞이 트여 있어 좋아요.</t>
        </is>
      </c>
      <c r="L755" s="6">
        <f>HYPERLINK("https://fin.land.naver.com/articles/2649482553", "매물Link")</f>
        <v/>
      </c>
      <c r="M755" s="6">
        <f>HYPERLINK("https://map.naver.com/p/search/도담동 897-20", "지도Link")</f>
        <v/>
      </c>
      <c r="N755" s="6">
        <f>HYPERLINK("http://www.eum.go.kr/web/ar/lu/luLandDet.jsp?pnu=3611011400108970020&amp;isNoScr=script&amp;mode=search", "토지이음")</f>
        <v/>
      </c>
      <c r="O755" s="3" t="inlineStr">
        <is>
          <t>세종조이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150000</v>
      </c>
      <c r="G756" s="4" t="n">
        <v>400</v>
      </c>
      <c r="H756" s="4" t="n">
        <v>121</v>
      </c>
      <c r="I756" s="5" t="n">
        <v>1239.7</v>
      </c>
      <c r="J756" s="5" t="n">
        <v>356.7</v>
      </c>
      <c r="K756" s="3" t="inlineStr">
        <is>
          <t>nan</t>
        </is>
      </c>
      <c r="L756" s="6">
        <f>HYPERLINK("https://fin.land.naver.com/articles/2652942895", "매물Link")</f>
        <v/>
      </c>
      <c r="M756" s="6">
        <f>HYPERLINK("https://map.naver.com/p/search/도담동 897-24", "지도Link")</f>
        <v/>
      </c>
      <c r="N756" s="6">
        <f>HYPERLINK("http://www.eum.go.kr/web/ar/lu/luLandDet.jsp?pnu=3611011400108970024&amp;isNoScr=script&amp;mode=search",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반곡동 1003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190</v>
      </c>
      <c r="H757" s="4" t="n">
        <v>57</v>
      </c>
      <c r="I757" s="5" t="n">
        <v>789.5</v>
      </c>
      <c r="J757" s="5" t="n">
        <v>262.3</v>
      </c>
      <c r="K757" s="3" t="inlineStr">
        <is>
          <t>반곡동D3 소형 건폐율50 가격조율 협의가능</t>
        </is>
      </c>
      <c r="L757" s="6">
        <f>HYPERLINK("https://fin.land.naver.com/articles/2651086283", "매물Link")</f>
        <v/>
      </c>
      <c r="M757" s="6">
        <f>HYPERLINK("https://map.naver.com/p/search/반곡동 1003", "지도Link")</f>
        <v/>
      </c>
      <c r="N757" s="6">
        <f>HYPERLINK("http://www.eum.go.kr/web/ar/lu/luLandDet.jsp?pnu=3611010100110030000&amp;isNoScr=script&amp;mode=search",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190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1005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35000</v>
      </c>
      <c r="G758" s="4" t="n">
        <v>154</v>
      </c>
      <c r="H758" s="4" t="n">
        <v>47</v>
      </c>
      <c r="I758" s="5" t="n">
        <v>744.7</v>
      </c>
      <c r="J758" s="5" t="n">
        <v>262.3</v>
      </c>
      <c r="K758" s="3" t="inlineStr">
        <is>
          <t>조율가능 코너각지 소형 건폐율50프로</t>
        </is>
      </c>
      <c r="L758" s="6">
        <f>HYPERLINK("https://fin.land.naver.com/articles/2650653499", "매물Link")</f>
        <v/>
      </c>
      <c r="M758" s="6">
        <f>HYPERLINK("https://map.naver.com/p/search/반곡동 1005", "지도Link")</f>
        <v/>
      </c>
      <c r="N758" s="6">
        <f>HYPERLINK("http://www.eum.go.kr/web/ar/lu/luLandDet.jsp?pnu=3611010100110050000&amp;isNoScr=script&amp;mode=search",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154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1061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478</v>
      </c>
      <c r="H759" s="4" t="n">
        <v>145</v>
      </c>
      <c r="I759" s="5" t="n">
        <v>482.8</v>
      </c>
      <c r="J759" s="5" t="n">
        <v>302.2</v>
      </c>
      <c r="K759" s="3" t="inlineStr">
        <is>
          <t>반곡동 토지매매, 대형평형</t>
        </is>
      </c>
      <c r="L759" s="6">
        <f>HYPERLINK("https://fin.land.naver.com/articles/2649001111", "매물Link")</f>
        <v/>
      </c>
      <c r="M759" s="6">
        <f>HYPERLINK("https://map.naver.com/p/search/반곡동 1061", "지도Link")</f>
        <v/>
      </c>
      <c r="N759" s="6">
        <f>HYPERLINK("http://www.eum.go.kr/web/ar/lu/luLandDet.jsp?pnu=3611010100110610000&amp;isNoScr=script&amp;mode=search",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478.4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1077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445</v>
      </c>
      <c r="H761" s="4" t="n">
        <v>135</v>
      </c>
      <c r="I761" s="5" t="n">
        <v>481.5</v>
      </c>
      <c r="J761" s="5" t="n">
        <v>308</v>
      </c>
      <c r="K761" s="3" t="inlineStr">
        <is>
          <t>공원 앞, 사거리 코너 각지 위치, 입지 좋은 토지</t>
        </is>
      </c>
      <c r="L761" s="6">
        <f>HYPERLINK("https://fin.land.naver.com/articles/2647427000", "매물Link")</f>
        <v/>
      </c>
      <c r="M761" s="6">
        <f>HYPERLINK("https://map.naver.com/p/search/반곡동 1077", "지도Link")</f>
        <v/>
      </c>
      <c r="N761" s="6">
        <f>HYPERLINK("http://www.eum.go.kr/web/ar/lu/luLandDet.jsp?pnu=3611010100110770000&amp;isNoScr=script&amp;mode=search",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445.5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소로각지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445</v>
      </c>
      <c r="H762" s="4" t="n">
        <v>135</v>
      </c>
      <c r="I762" s="5" t="n">
        <v>481.5</v>
      </c>
      <c r="J762" s="5" t="n">
        <v>308</v>
      </c>
      <c r="K762" s="3" t="inlineStr">
        <is>
          <t>적극조율가능 공원앞 코너각지 135p</t>
        </is>
      </c>
      <c r="L762" s="6">
        <f>HYPERLINK("https://fin.land.naver.com/articles/2648758746",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445</v>
      </c>
      <c r="H763" s="4" t="n">
        <v>135</v>
      </c>
      <c r="I763" s="5" t="n">
        <v>592.6</v>
      </c>
      <c r="J763" s="5" t="n">
        <v>308</v>
      </c>
      <c r="K763" s="3" t="inlineStr">
        <is>
          <t>135p, 넓은 단독주택 토지매매, 공원앞, 입지 굿</t>
        </is>
      </c>
      <c r="L763" s="6">
        <f>HYPERLINK("https://fin.land.naver.com/articles/2647421791",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1107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67000</v>
      </c>
      <c r="G764" s="4" t="n">
        <v>436</v>
      </c>
      <c r="H764" s="4" t="n">
        <v>132</v>
      </c>
      <c r="I764" s="5" t="n">
        <v>507.6</v>
      </c>
      <c r="J764" s="5" t="n">
        <v>311.3</v>
      </c>
      <c r="K764" s="3" t="inlineStr">
        <is>
          <t>급매 코너각지 132p 추가조율가능</t>
        </is>
      </c>
      <c r="L764" s="6">
        <f>HYPERLINK("https://fin.land.naver.com/articles/2649805637", "매물Link")</f>
        <v/>
      </c>
      <c r="M764" s="6">
        <f>HYPERLINK("https://map.naver.com/p/search/반곡동 1107", "지도Link")</f>
        <v/>
      </c>
      <c r="N764" s="6">
        <f>HYPERLINK("http://www.eum.go.kr/web/ar/lu/luLandDet.jsp?pnu=3611010100111070000&amp;isNoScr=script&amp;mode=search",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436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삼거리 코너, 위치 좋은 반곡동 토지매매</t>
        </is>
      </c>
      <c r="L765" s="6">
        <f>HYPERLINK("https://fin.land.naver.com/articles/2648999169",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1129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74400</v>
      </c>
      <c r="G766" s="4" t="n">
        <v>184</v>
      </c>
      <c r="H766" s="4" t="n">
        <v>56</v>
      </c>
      <c r="I766" s="5" t="n">
        <v>1328.6</v>
      </c>
      <c r="J766" s="5" t="n">
        <v>406.3</v>
      </c>
      <c r="K766" s="3" t="inlineStr">
        <is>
          <t>상가주택용 토지,설계도면무료제공</t>
        </is>
      </c>
      <c r="L766" s="6">
        <f>HYPERLINK("https://fin.land.naver.com/articles/2650423010", "매물Link")</f>
        <v/>
      </c>
      <c r="M766" s="6">
        <f>HYPERLINK("https://map.naver.com/p/search/반곡동 1129", "지도Link")</f>
        <v/>
      </c>
      <c r="N766" s="6">
        <f>HYPERLINK("http://www.eum.go.kr/web/ar/lu/luLandDet.jsp?pnu=3611010100111290000&amp;isNoScr=script&amp;mode=search", "토지이음")</f>
        <v/>
      </c>
      <c r="O766" s="3" t="inlineStr">
        <is>
          <t>세종시티</t>
        </is>
      </c>
      <c r="P766" s="4" t="n">
        <v>1</v>
      </c>
      <c r="Q766" s="4" t="n">
        <v>184.4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1130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76000</v>
      </c>
      <c r="G767" s="4" t="n">
        <v>186</v>
      </c>
      <c r="H767" s="4" t="n">
        <v>56</v>
      </c>
      <c r="I767" s="5" t="n">
        <v>1357.1</v>
      </c>
      <c r="J767" s="5" t="n">
        <v>406.3</v>
      </c>
      <c r="K767" s="3" t="inlineStr">
        <is>
          <t>상가주택지매매, 협의가능, 설계도면제공원할시.
자세한건 사무실로 연락~</t>
        </is>
      </c>
      <c r="L767" s="6">
        <f>HYPERLINK("https://fin.land.naver.com/articles/2650423044", "매물Link")</f>
        <v/>
      </c>
      <c r="M767" s="6">
        <f>HYPERLINK("https://map.naver.com/p/search/반곡동 1130", "지도Link")</f>
        <v/>
      </c>
      <c r="N767" s="6">
        <f>HYPERLINK("http://www.eum.go.kr/web/ar/lu/luLandDet.jsp?pnu=3611010100111300000&amp;isNoScr=script&amp;mode=search",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186.4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231</v>
      </c>
      <c r="H768" s="4" t="n">
        <v>70</v>
      </c>
      <c r="I768" s="5" t="n">
        <v>1142.9</v>
      </c>
      <c r="J768" s="5" t="n">
        <v>450.6</v>
      </c>
      <c r="K768" s="3" t="inlineStr">
        <is>
          <t>세종시 유일 점포 주택, 반곡동 단독주택지  괴화산 수루배마을 중심부</t>
        </is>
      </c>
      <c r="L768" s="6">
        <f>HYPERLINK("https://fin.land.naver.com/articles/2650832993", "매물Link")</f>
        <v/>
      </c>
      <c r="M768" s="6">
        <f>HYPERLINK("https://map.naver.com/p/search/반곡동 1137", "지도Link")</f>
        <v/>
      </c>
      <c r="N768" s="6">
        <f>HYPERLINK("http://www.eum.go.kr/web/ar/lu/luLandDet.jsp?pnu=3611010100111370000&amp;isNoScr=script&amp;mode=search", "토지이음")</f>
        <v/>
      </c>
      <c r="O768" s="3" t="inlineStr">
        <is>
          <t>세종디아트114</t>
        </is>
      </c>
      <c r="P768" s="4" t="n">
        <v>1</v>
      </c>
      <c r="Q768" s="4" t="n">
        <v>230.7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중로각지</t>
        </is>
      </c>
    </row>
    <row r="769">
      <c r="A769" s="3" t="inlineStr">
        <is>
          <t>반곡동 1156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210000</v>
      </c>
      <c r="G769" s="4" t="n">
        <v>617</v>
      </c>
      <c r="H769" s="4" t="n">
        <v>187</v>
      </c>
      <c r="I769" s="5" t="n">
        <v>1123</v>
      </c>
      <c r="J769" s="5" t="n">
        <v>581.2</v>
      </c>
      <c r="K769" s="3" t="inlineStr">
        <is>
          <t>nan</t>
        </is>
      </c>
      <c r="L769" s="6">
        <f>HYPERLINK("https://fin.land.naver.com/articles/2651653557", "매물Link")</f>
        <v/>
      </c>
      <c r="M769" s="6">
        <f>HYPERLINK("https://map.naver.com/p/search/반곡동 1156", "지도Link")</f>
        <v/>
      </c>
      <c r="N769" s="6">
        <f>HYPERLINK("http://www.eum.go.kr/web/ar/lu/luLandDet.jsp?pnu=3611010100111560000&amp;isNoScr=script&amp;mode=search", "토지이음")</f>
        <v/>
      </c>
      <c r="O769" s="3" t="inlineStr">
        <is>
          <t>국제</t>
        </is>
      </c>
      <c r="P769" s="4" t="n">
        <v>2</v>
      </c>
      <c r="Q769" s="4" t="n">
        <v>617</v>
      </c>
      <c r="R769" s="3" t="inlineStr">
        <is>
          <t>지정되지않음</t>
        </is>
      </c>
      <c r="S769" s="3" t="inlineStr">
        <is>
          <t>상업나지</t>
        </is>
      </c>
      <c r="T769" s="3" t="inlineStr">
        <is>
          <t>평지</t>
        </is>
      </c>
      <c r="U769" s="3" t="inlineStr">
        <is>
          <t>정방형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901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88000</v>
      </c>
      <c r="G771" s="4" t="n">
        <v>289</v>
      </c>
      <c r="H771" s="4" t="n">
        <v>87</v>
      </c>
      <c r="I771" s="5" t="n">
        <v>1011.5</v>
      </c>
      <c r="J771" s="5" t="n">
        <v>262.6</v>
      </c>
      <c r="K771" s="3" t="inlineStr">
        <is>
          <t>세종시 반곡동 초품아 단독주택용지 I 숲세권, 공지 인접 최상급 위치</t>
        </is>
      </c>
      <c r="L771" s="6">
        <f>HYPERLINK("https://fin.land.naver.com/articles/2652173646", "매물Link")</f>
        <v/>
      </c>
      <c r="M771" s="6">
        <f>HYPERLINK("https://map.naver.com/p/search/반곡동 901", "지도Link")</f>
        <v/>
      </c>
      <c r="N771" s="6">
        <f>HYPERLINK("http://www.eum.go.kr/web/ar/lu/luLandDet.jsp?pnu=3611010100109010000&amp;isNoScr=script&amp;mode=search", "토지이음")</f>
        <v/>
      </c>
      <c r="O771" s="3" t="inlineStr">
        <is>
          <t>세종신한</t>
        </is>
      </c>
      <c r="P771" s="4" t="n">
        <v>2</v>
      </c>
      <c r="Q771" s="4" t="n">
        <v>289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80000</v>
      </c>
      <c r="G773" s="4" t="n">
        <v>321</v>
      </c>
      <c r="H773" s="4" t="n">
        <v>97</v>
      </c>
      <c r="I773" s="5" t="n">
        <v>824.7</v>
      </c>
      <c r="J773" s="5" t="n">
        <v>270.5</v>
      </c>
      <c r="K773" s="3" t="inlineStr">
        <is>
          <t>3면코너 시유지접함 위치최상</t>
        </is>
      </c>
      <c r="L773" s="6">
        <f>HYPERLINK("https://fin.land.naver.com/articles/2649625832", "매물Link")</f>
        <v/>
      </c>
      <c r="M773" s="6">
        <f>HYPERLINK("https://map.naver.com/p/search/반곡동 908", "지도Link")</f>
        <v/>
      </c>
      <c r="N773" s="6">
        <f>HYPERLINK("http://www.eum.go.kr/web/ar/lu/luLandDet.jsp?pnu=3611010100109080000&amp;isNoScr=script&amp;mode=search",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321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소로각지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913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64000</v>
      </c>
      <c r="G775" s="4" t="n">
        <v>294</v>
      </c>
      <c r="H775" s="4" t="n">
        <v>89</v>
      </c>
      <c r="I775" s="5" t="n">
        <v>719.1</v>
      </c>
      <c r="J775" s="5" t="n">
        <v>262.6</v>
      </c>
      <c r="K775" s="3" t="inlineStr">
        <is>
          <t>괴화산과 공지 품은 힐링되는 귀한 반곡동 단독주택 필지</t>
        </is>
      </c>
      <c r="L775" s="6">
        <f>HYPERLINK("https://fin.land.naver.com/articles/2650850082", "매물Link")</f>
        <v/>
      </c>
      <c r="M775" s="6">
        <f>HYPERLINK("https://map.naver.com/p/search/반곡동 913", "지도Link")</f>
        <v/>
      </c>
      <c r="N775" s="6">
        <f>HYPERLINK("http://www.eum.go.kr/web/ar/lu/luLandDet.jsp?pnu=3611010100109130000&amp;isNoScr=script&amp;mode=search", "토지이음")</f>
        <v/>
      </c>
      <c r="O775" s="3" t="inlineStr">
        <is>
          <t>세종신한</t>
        </is>
      </c>
      <c r="P775" s="4" t="n">
        <v>1</v>
      </c>
      <c r="Q775" s="4" t="n">
        <v>294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915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295</v>
      </c>
      <c r="H776" s="4" t="n">
        <v>89</v>
      </c>
      <c r="I776" s="5" t="n">
        <v>730.3</v>
      </c>
      <c r="J776" s="5" t="n">
        <v>262.6</v>
      </c>
      <c r="K776" s="3" t="inlineStr">
        <is>
          <t>산접한곳 숲유치원 초등학교 인근</t>
        </is>
      </c>
      <c r="L776" s="6">
        <f>HYPERLINK("https://fin.land.naver.com/articles/2649626129", "매물Link")</f>
        <v/>
      </c>
      <c r="M776" s="6">
        <f>HYPERLINK("https://map.naver.com/p/search/반곡동 915", "지도Link")</f>
        <v/>
      </c>
      <c r="N776" s="6">
        <f>HYPERLINK("http://www.eum.go.kr/web/ar/lu/luLandDet.jsp?pnu=3611010100109150000&amp;isNoScr=script&amp;mode=search",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295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유치원. 초등학교 인근, 조용한 입지 토지</t>
        </is>
      </c>
      <c r="L777" s="6">
        <f>HYPERLINK("https://fin.land.naver.com/articles/2649002989",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932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97000</v>
      </c>
      <c r="G778" s="4" t="n">
        <v>321</v>
      </c>
      <c r="H778" s="4" t="n">
        <v>97</v>
      </c>
      <c r="I778" s="5" t="n">
        <v>1000</v>
      </c>
      <c r="J778" s="5" t="n">
        <v>262.3</v>
      </c>
      <c r="K778" s="3" t="inlineStr">
        <is>
          <t>시유지접한 코너각지 조용한위치 조율가능</t>
        </is>
      </c>
      <c r="L778" s="6">
        <f>HYPERLINK("https://fin.land.naver.com/articles/2651085953", "매물Link")</f>
        <v/>
      </c>
      <c r="M778" s="6">
        <f>HYPERLINK("https://map.naver.com/p/search/반곡동 932", "지도Link")</f>
        <v/>
      </c>
      <c r="N778" s="6">
        <f>HYPERLINK("http://www.eum.go.kr/web/ar/lu/luLandDet.jsp?pnu=3611010100109320000&amp;isNoScr=script&amp;mode=search",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321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73000</v>
      </c>
      <c r="G780" s="4" t="n">
        <v>350</v>
      </c>
      <c r="H780" s="4" t="n">
        <v>106</v>
      </c>
      <c r="I780" s="5" t="n">
        <v>688.7</v>
      </c>
      <c r="J780" s="5" t="n">
        <v>262.3</v>
      </c>
      <c r="K780" s="3" t="inlineStr">
        <is>
          <t>실개천옆 벙커주차장 설계가능 적극조율 협의가능</t>
        </is>
      </c>
      <c r="L780" s="6">
        <f>HYPERLINK("https://fin.land.naver.com/articles/2649625471", "매물Link")</f>
        <v/>
      </c>
      <c r="M780" s="6">
        <f>HYPERLINK("https://map.naver.com/p/search/반곡동 943", "지도Link")</f>
        <v/>
      </c>
      <c r="N780" s="6">
        <f>HYPERLINK("http://www.eum.go.kr/web/ar/lu/luLandDet.jsp?pnu=3611010100109430000&amp;isNoScr=script&amp;mode=search",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350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조율가능, 벙커주차장가능, 반곡동 토지매매</t>
        </is>
      </c>
      <c r="L781" s="6">
        <f>HYPERLINK("https://fin.land.naver.com/articles/2648987702",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947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83000</v>
      </c>
      <c r="G782" s="4" t="n">
        <v>343</v>
      </c>
      <c r="H782" s="4" t="n">
        <v>104</v>
      </c>
      <c r="I782" s="5" t="n">
        <v>798.1</v>
      </c>
      <c r="J782" s="5" t="n">
        <v>262.3</v>
      </c>
      <c r="K782" s="3" t="inlineStr">
        <is>
          <t>조율가능 산조망 조용한곳 땅모양 네모반듯</t>
        </is>
      </c>
      <c r="L782" s="6">
        <f>HYPERLINK("https://fin.land.naver.com/articles/2650653583", "매물Link")</f>
        <v/>
      </c>
      <c r="M782" s="6">
        <f>HYPERLINK("https://map.naver.com/p/search/반곡동 947", "지도Link")</f>
        <v/>
      </c>
      <c r="N782" s="6">
        <f>HYPERLINK("http://www.eum.go.kr/web/ar/lu/luLandDet.jsp?pnu=3611010100109470000&amp;isNoScr=script&amp;mode=search",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343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959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88000</v>
      </c>
      <c r="G783" s="4" t="n">
        <v>361</v>
      </c>
      <c r="H783" s="4" t="n">
        <v>109</v>
      </c>
      <c r="I783" s="5" t="n">
        <v>807.3</v>
      </c>
      <c r="J783" s="5" t="n">
        <v>262.3</v>
      </c>
      <c r="K783" s="3" t="inlineStr">
        <is>
          <t>추가조율가능 벙커주차장가능 지대높고 개인사생활최상</t>
        </is>
      </c>
      <c r="L783" s="6">
        <f>HYPERLINK("https://fin.land.naver.com/articles/2651086630", "매물Link")</f>
        <v/>
      </c>
      <c r="M783" s="6">
        <f>HYPERLINK("https://map.naver.com/p/search/반곡동 959", "지도Link")</f>
        <v/>
      </c>
      <c r="N783" s="6">
        <f>HYPERLINK("http://www.eum.go.kr/web/ar/lu/luLandDet.jsp?pnu=3611010100109590000&amp;isNoScr=script&amp;mode=search",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361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308</v>
      </c>
      <c r="H784" s="4" t="n">
        <v>93</v>
      </c>
      <c r="I784" s="5" t="n">
        <v>698.9</v>
      </c>
      <c r="J784" s="5" t="n">
        <v>262.3</v>
      </c>
      <c r="K784" s="3" t="inlineStr">
        <is>
          <t>산접한곳 벙커주차장가능 남향보행로접 조율가능</t>
        </is>
      </c>
      <c r="L784" s="6">
        <f>HYPERLINK("https://fin.land.naver.com/articles/2648979040", "매물Link")</f>
        <v/>
      </c>
      <c r="M784" s="6">
        <f>HYPERLINK("https://map.naver.com/p/search/반곡동 962", "지도Link")</f>
        <v/>
      </c>
      <c r="N784" s="6">
        <f>HYPERLINK("http://www.eum.go.kr/web/ar/lu/luLandDet.jsp?pnu=3611010100109620000&amp;isNoScr=script&amp;mode=search", "토지이음")</f>
        <v/>
      </c>
      <c r="O784" s="3" t="inlineStr">
        <is>
          <t>세종스타</t>
        </is>
      </c>
      <c r="P784" s="4" t="n">
        <v>2</v>
      </c>
      <c r="Q784" s="4" t="n">
        <v>308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90000</v>
      </c>
      <c r="G785" s="4" t="n">
        <v>423</v>
      </c>
      <c r="H785" s="4" t="n">
        <v>128</v>
      </c>
      <c r="I785" s="5" t="n">
        <v>703.1</v>
      </c>
      <c r="J785" s="5" t="n">
        <v>262.3</v>
      </c>
      <c r="K785" s="3" t="inlineStr">
        <is>
          <t>넓은평수,넓은지하주차장가능,고급 단독주택지,조율가</t>
        </is>
      </c>
      <c r="L785" s="6">
        <f>HYPERLINK("https://fin.land.naver.com/articles/2650422992", "매물Link")</f>
        <v/>
      </c>
      <c r="M785" s="6">
        <f>HYPERLINK("https://map.naver.com/p/search/반곡동 963", "지도Link")</f>
        <v/>
      </c>
      <c r="N785" s="6">
        <f>HYPERLINK("http://www.eum.go.kr/web/ar/lu/luLandDet.jsp?pnu=3611010100109630000&amp;isNoScr=script&amp;mode=search", "토지이음")</f>
        <v/>
      </c>
      <c r="O785" s="3" t="inlineStr">
        <is>
          <t>세종시티</t>
        </is>
      </c>
      <c r="P785" s="4" t="n">
        <v>1</v>
      </c>
      <c r="Q785" s="4" t="n">
        <v>423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I 신한 I  국회 집무실 인근  BRT 상권 학교 모두 품은 귀한 택지</t>
        </is>
      </c>
      <c r="L786" s="6">
        <f>HYPERLINK("https://fin.land.naver.com/articles/2650547909",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세종신한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979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68000</v>
      </c>
      <c r="G787" s="4" t="n">
        <v>324</v>
      </c>
      <c r="H787" s="4" t="n">
        <v>98</v>
      </c>
      <c r="I787" s="5" t="n">
        <v>693.9</v>
      </c>
      <c r="J787" s="5" t="n">
        <v>262.3</v>
      </c>
      <c r="K787" s="3" t="inlineStr">
        <is>
          <t>반곡동 위치 좋은 단독주택, 코너입지</t>
        </is>
      </c>
      <c r="L787" s="6">
        <f>HYPERLINK("https://fin.land.naver.com/articles/2648962092", "매물Link")</f>
        <v/>
      </c>
      <c r="M787" s="6">
        <f>HYPERLINK("https://map.naver.com/p/search/반곡동 979", "지도Link")</f>
        <v/>
      </c>
      <c r="N787" s="6">
        <f>HYPERLINK("http://www.eum.go.kr/web/ar/lu/luLandDet.jsp?pnu=3611010100109790000&amp;isNoScr=script&amp;mode=search",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324.4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급매 3면코너 최고위치 조율협의가능</t>
        </is>
      </c>
      <c r="L788" s="6">
        <f>HYPERLINK("https://fin.land.naver.com/articles/2649625260",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994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162</v>
      </c>
      <c r="H789" s="4" t="n">
        <v>49</v>
      </c>
      <c r="I789" s="5" t="n">
        <v>714.3</v>
      </c>
      <c r="J789" s="5" t="n">
        <v>262.3</v>
      </c>
      <c r="K789" s="3" t="inlineStr">
        <is>
          <t>급매 추가조율협의가능 네모반듯 소형택지</t>
        </is>
      </c>
      <c r="L789" s="6">
        <f>HYPERLINK("https://fin.land.naver.com/articles/2653171946", "매물Link")</f>
        <v/>
      </c>
      <c r="M789" s="6">
        <f>HYPERLINK("https://map.naver.com/p/search/반곡동 994", "지도Link")</f>
        <v/>
      </c>
      <c r="N789" s="6">
        <f>HYPERLINK("http://www.eum.go.kr/web/ar/lu/luLandDet.jsp?pnu=3611010100109940000&amp;isNoScr=script&amp;mode=search",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162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168</v>
      </c>
      <c r="H790" s="4" t="n">
        <v>51</v>
      </c>
      <c r="I790" s="5" t="n">
        <v>980.4</v>
      </c>
      <c r="J790" s="5" t="n">
        <v>265</v>
      </c>
      <c r="K790" s="3" t="inlineStr">
        <is>
          <t>나대지,  전용주거지역, 조용하고 깨끗한 도시</t>
        </is>
      </c>
      <c r="L790" s="6">
        <f>HYPERLINK("https://fin.land.naver.com/articles/2650584726", "매물Link")</f>
        <v/>
      </c>
      <c r="M790" s="6">
        <f>HYPERLINK("https://map.naver.com/p/search/반곡동 995", "지도Link")</f>
        <v/>
      </c>
      <c r="N790" s="6">
        <f>HYPERLINK("http://www.eum.go.kr/web/ar/lu/luLandDet.jsp?pnu=3611010100109950000&amp;isNoScr=script&amp;mode=search", "토지이음")</f>
        <v/>
      </c>
      <c r="O790" s="3" t="inlineStr">
        <is>
          <t>상계랜드 무소</t>
        </is>
      </c>
      <c r="P790" s="4" t="n">
        <v>1</v>
      </c>
      <c r="Q790" s="4" t="n">
        <v>168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부강면 갈산리 176-3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27000</v>
      </c>
      <c r="G791" s="4" t="n">
        <v>494</v>
      </c>
      <c r="H791" s="4" t="n">
        <v>149</v>
      </c>
      <c r="I791" s="5" t="n">
        <v>181.2</v>
      </c>
      <c r="J791" s="5" t="n">
        <v>43.4</v>
      </c>
      <c r="K791" s="3" t="inlineStr">
        <is>
          <t>nan</t>
        </is>
      </c>
      <c r="L791" s="6">
        <f>HYPERLINK("https://fin.land.naver.com/articles/2651704286", "매물Link")</f>
        <v/>
      </c>
      <c r="M791" s="6">
        <f>HYPERLINK("https://map.naver.com/p/search/부강면 갈산리 176-3", "지도Link")</f>
        <v/>
      </c>
      <c r="N791" s="6">
        <f>HYPERLINK("http://www.eum.go.kr/web/ar/lu/luLandDet.jsp?pnu=3611033024101760003&amp;isNoScr=script&amp;mode=search", "토지이음")</f>
        <v/>
      </c>
      <c r="O791" s="3" t="inlineStr">
        <is>
          <t>장원</t>
        </is>
      </c>
      <c r="P791" s="4" t="n">
        <v>1</v>
      </c>
      <c r="Q791" s="4" t="n">
        <v>494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갈산리 212-1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35000</v>
      </c>
      <c r="G792" s="4" t="n">
        <v>654</v>
      </c>
      <c r="H792" s="4" t="n">
        <v>198</v>
      </c>
      <c r="I792" s="5" t="n">
        <v>176.8</v>
      </c>
      <c r="J792" s="5" t="n">
        <v>40.6</v>
      </c>
      <c r="K792" s="3" t="inlineStr">
        <is>
          <t>수도,전기  시설물 하우스 전원주택지로 최상입니다.</t>
        </is>
      </c>
      <c r="L792" s="6">
        <f>HYPERLINK("https://fin.land.naver.com/articles/2652967855", "매물Link")</f>
        <v/>
      </c>
      <c r="M792" s="6">
        <f>HYPERLINK("https://map.naver.com/p/search/부강면 갈산리 212-1", "지도Link")</f>
        <v/>
      </c>
      <c r="N792" s="6">
        <f>HYPERLINK("http://www.eum.go.kr/web/ar/lu/luLandDet.jsp?pnu=3611033024102120001&amp;isNoScr=script&amp;mode=search", "토지이음")</f>
        <v/>
      </c>
      <c r="O792" s="3" t="inlineStr">
        <is>
          <t>강남뜰</t>
        </is>
      </c>
      <c r="P792" s="4" t="n">
        <v>1</v>
      </c>
      <c r="Q792" s="4" t="n">
        <v>654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부강면 갈산리 260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57000</v>
      </c>
      <c r="G793" s="4" t="n">
        <v>1190</v>
      </c>
      <c r="H793" s="4" t="n">
        <v>360</v>
      </c>
      <c r="I793" s="5" t="n">
        <v>158.3</v>
      </c>
      <c r="J793" s="5" t="n">
        <v>32.6</v>
      </c>
      <c r="K793" s="3" t="inlineStr">
        <is>
          <t>청주 및 남청주ic에서 세종 진입하는 도로에 접한 광고성 좋은 토지</t>
        </is>
      </c>
      <c r="L793" s="6">
        <f>HYPERLINK("https://fin.land.naver.com/articles/2652067827", "매물Link")</f>
        <v/>
      </c>
      <c r="M793" s="6">
        <f>HYPERLINK("https://map.naver.com/p/search/부강면 갈산리 260", "지도Link")</f>
        <v/>
      </c>
      <c r="N793" s="6">
        <f>HYPERLINK("http://www.eum.go.kr/web/ar/lu/luLandDet.jsp?pnu=3611033024102600000&amp;isNoScr=script&amp;mode=search", "토지이음")</f>
        <v/>
      </c>
      <c r="O793" s="3" t="inlineStr">
        <is>
          <t>연동스카이</t>
        </is>
      </c>
      <c r="P793" s="4" t="n">
        <v>2</v>
      </c>
      <c r="Q793" s="4" t="n">
        <v>1190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갈산리 395</t>
        </is>
      </c>
      <c r="B794" s="3" t="inlineStr">
        <is>
          <t>계획관리지역</t>
        </is>
      </c>
      <c r="C794" s="3" t="inlineStr">
        <is>
          <t>공장용지</t>
        </is>
      </c>
      <c r="D794" s="3" t="inlineStr">
        <is>
          <t>공장용지</t>
        </is>
      </c>
      <c r="E794" s="3" t="inlineStr">
        <is>
          <t>매매</t>
        </is>
      </c>
      <c r="F794" s="4" t="n">
        <v>630000</v>
      </c>
      <c r="G794" s="4" t="n">
        <v>13872</v>
      </c>
      <c r="H794" s="4" t="n">
        <v>4196</v>
      </c>
      <c r="I794" s="5" t="n">
        <v>150.1</v>
      </c>
      <c r="J794" s="5" t="n">
        <v>79.40000000000001</v>
      </c>
      <c r="K794" s="3" t="inlineStr">
        <is>
          <t>4200 남청주ic 5분 공장용지 물류센터 창고</t>
        </is>
      </c>
      <c r="L794" s="6">
        <f>HYPERLINK("https://fin.land.naver.com/articles/2650949462", "매물Link")</f>
        <v/>
      </c>
      <c r="M794" s="6">
        <f>HYPERLINK("https://map.naver.com/p/search/부강면 갈산리 395", "지도Link")</f>
        <v/>
      </c>
      <c r="N794" s="6">
        <f>HYPERLINK("http://www.eum.go.kr/web/ar/lu/luLandDet.jsp?pnu=3611033024103950000&amp;isNoScr=script&amp;mode=search", "토지이음")</f>
        <v/>
      </c>
      <c r="O794" s="3" t="inlineStr">
        <is>
          <t>반포더드림</t>
        </is>
      </c>
      <c r="P794" s="4" t="n">
        <v>1</v>
      </c>
      <c r="Q794" s="4" t="n">
        <v>1283</v>
      </c>
      <c r="R794" s="3" t="inlineStr">
        <is>
          <t>지정되지않음</t>
        </is>
      </c>
      <c r="S794" s="3" t="inlineStr">
        <is>
          <t>공업용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갈산리 395</t>
        </is>
      </c>
      <c r="B795" s="3" t="inlineStr">
        <is>
          <t>계획관리지역</t>
        </is>
      </c>
      <c r="C795" s="3" t="inlineStr">
        <is>
          <t>공장용지</t>
        </is>
      </c>
      <c r="D795" s="3" t="inlineStr">
        <is>
          <t>공장용지</t>
        </is>
      </c>
      <c r="E795" s="3" t="inlineStr">
        <is>
          <t>매매</t>
        </is>
      </c>
      <c r="F795" s="4" t="n">
        <v>630000</v>
      </c>
      <c r="G795" s="4" t="n">
        <v>13872</v>
      </c>
      <c r="H795" s="4" t="n">
        <v>4196</v>
      </c>
      <c r="I795" s="5" t="n">
        <v>150.1</v>
      </c>
      <c r="J795" s="5" t="n">
        <v>79.40000000000001</v>
      </c>
      <c r="K795" s="3" t="inlineStr">
        <is>
          <t>남청주 ic 5분, 2차선에서 진입가능한 공장부지</t>
        </is>
      </c>
      <c r="L795" s="6">
        <f>HYPERLINK("https://fin.land.naver.com/articles/2649865459", "매물Link")</f>
        <v/>
      </c>
      <c r="M795" s="6">
        <f>HYPERLINK("https://map.naver.com/p/search/부강면 갈산리 395", "지도Link")</f>
        <v/>
      </c>
      <c r="N795" s="6">
        <f>HYPERLINK("http://www.eum.go.kr/web/ar/lu/luLandDet.jsp?pnu=3611033024103950000&amp;isNoScr=script&amp;mode=search",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1283</v>
      </c>
      <c r="R795" s="3" t="inlineStr">
        <is>
          <t>지정되지않음</t>
        </is>
      </c>
      <c r="S795" s="3" t="inlineStr">
        <is>
          <t>공업용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갈산리 398-4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13896</v>
      </c>
      <c r="H796" s="4" t="n">
        <v>4204</v>
      </c>
      <c r="I796" s="5" t="n">
        <v>149.9</v>
      </c>
      <c r="J796" s="5" t="n">
        <v>80.3</v>
      </c>
      <c r="K796" s="3" t="inlineStr">
        <is>
          <t>nan</t>
        </is>
      </c>
      <c r="L796" s="6">
        <f>HYPERLINK("https://fin.land.naver.com/articles/2652010967", "매물Link")</f>
        <v/>
      </c>
      <c r="M796" s="6">
        <f>HYPERLINK("https://map.naver.com/p/search/부강면 갈산리 398-4", "지도Link")</f>
        <v/>
      </c>
      <c r="N796" s="6">
        <f>HYPERLINK("http://www.eum.go.kr/web/ar/lu/luLandDet.jsp?pnu=3611033024103980004&amp;isNoScr=script&amp;mode=search", "토지이음")</f>
        <v/>
      </c>
      <c r="O796" s="3" t="inlineStr">
        <is>
          <t>오너스</t>
        </is>
      </c>
      <c r="P796" s="4" t="n">
        <v>1</v>
      </c>
      <c r="Q796" s="4" t="n">
        <v>7677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451-2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98200</v>
      </c>
      <c r="G797" s="4" t="n">
        <v>3246</v>
      </c>
      <c r="H797" s="4" t="n">
        <v>982</v>
      </c>
      <c r="I797" s="5" t="n">
        <v>100</v>
      </c>
      <c r="J797" s="5" t="n">
        <v>23.1</v>
      </c>
      <c r="K797" s="3" t="inlineStr">
        <is>
          <t>세종시 부강의 농업보호구역 농지 매매</t>
        </is>
      </c>
      <c r="L797" s="6">
        <f>HYPERLINK("https://fin.land.naver.com/articles/2648835409", "매물Link")</f>
        <v/>
      </c>
      <c r="M797" s="6">
        <f>HYPERLINK("https://map.naver.com/p/search/부강면 갈산리 451-2", "지도Link")</f>
        <v/>
      </c>
      <c r="N797" s="6">
        <f>HYPERLINK("http://www.eum.go.kr/web/ar/lu/luLandDet.jsp?pnu=3611033024104510002&amp;isNoScr=script&amp;mode=search", "토지이음")</f>
        <v/>
      </c>
      <c r="O797" s="3" t="inlineStr">
        <is>
          <t>대하</t>
        </is>
      </c>
      <c r="P797" s="4" t="n">
        <v>1</v>
      </c>
      <c r="Q797" s="4" t="n">
        <v>2194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갈산리 66-6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59500</v>
      </c>
      <c r="G798" s="4" t="n">
        <v>1964</v>
      </c>
      <c r="H798" s="4" t="n">
        <v>594</v>
      </c>
      <c r="I798" s="5" t="n">
        <v>100.2</v>
      </c>
      <c r="J798" s="5" t="n">
        <v>43.6</v>
      </c>
      <c r="K798" s="3" t="inlineStr">
        <is>
          <t>급매,투자추천,도로접,계획관리.</t>
        </is>
      </c>
      <c r="L798" s="6">
        <f>HYPERLINK("https://fin.land.naver.com/articles/2650666463", "매물Link")</f>
        <v/>
      </c>
      <c r="M798" s="6">
        <f>HYPERLINK("https://map.naver.com/p/search/부강면 갈산리 66-6", "지도Link")</f>
        <v/>
      </c>
      <c r="N798" s="6">
        <f>HYPERLINK("http://www.eum.go.kr/web/ar/lu/luLandDet.jsp?pnu=3611033024100660006&amp;isNoScr=script&amp;mode=search", "토지이음")</f>
        <v/>
      </c>
      <c r="O798" s="3" t="inlineStr">
        <is>
          <t>새롬공간</t>
        </is>
      </c>
      <c r="P798" s="4" t="n">
        <v>1</v>
      </c>
      <c r="Q798" s="4" t="n">
        <v>1964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세로각지(가)</t>
        </is>
      </c>
    </row>
    <row r="799">
      <c r="A799" s="3" t="inlineStr">
        <is>
          <t>부강면 갈산리 산18-1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1450000</v>
      </c>
      <c r="G799" s="4" t="n">
        <v>86930</v>
      </c>
      <c r="H799" s="4" t="n">
        <v>26296</v>
      </c>
      <c r="I799" s="5" t="n">
        <v>55.1</v>
      </c>
      <c r="J799" s="5" t="n">
        <v>7.6</v>
      </c>
      <c r="K799" s="3" t="inlineStr">
        <is>
          <t>6m도로 확보, 갈산교차로 인접, 도로변 광고효과</t>
        </is>
      </c>
      <c r="L799" s="6">
        <f>HYPERLINK("https://fin.land.naver.com/articles/2647676820", "매물Link")</f>
        <v/>
      </c>
      <c r="M799" s="6">
        <f>HYPERLINK("https://map.naver.com/p/search/부강면 갈산리 산18-1", "지도Link")</f>
        <v/>
      </c>
      <c r="N799" s="6">
        <f>HYPERLINK("http://www.eum.go.kr/web/ar/lu/luLandDet.jsp?pnu=3611033024200180001&amp;isNoScr=script&amp;mode=search",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40759</v>
      </c>
      <c r="R799" s="3" t="inlineStr">
        <is>
          <t>계획관리지역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갈산리 산51-12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32000</v>
      </c>
      <c r="G800" s="4" t="n">
        <v>833</v>
      </c>
      <c r="H800" s="4" t="n">
        <v>252</v>
      </c>
      <c r="I800" s="5" t="n">
        <v>127</v>
      </c>
      <c r="J800" s="5" t="n">
        <v>11</v>
      </c>
      <c r="K800" s="3" t="inlineStr">
        <is>
          <t>소규모 공장이나 창고, 주차장 추천</t>
        </is>
      </c>
      <c r="L800" s="6">
        <f>HYPERLINK("https://fin.land.naver.com/articles/2652093328", "매물Link")</f>
        <v/>
      </c>
      <c r="M800" s="6">
        <f>HYPERLINK("https://map.naver.com/p/search/부강면 갈산리 산51-12", "지도Link")</f>
        <v/>
      </c>
      <c r="N800" s="6">
        <f>HYPERLINK("http://www.eum.go.kr/web/ar/lu/luLandDet.jsp?pnu=3611033024200510012&amp;isNoScr=script&amp;mode=search",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832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금호리 100</t>
        </is>
      </c>
      <c r="B801" s="3" t="inlineStr">
        <is>
          <t>생산관리지역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125000</v>
      </c>
      <c r="G801" s="4" t="n">
        <v>1390</v>
      </c>
      <c r="H801" s="4" t="n">
        <v>420</v>
      </c>
      <c r="I801" s="5" t="n">
        <v>297.6</v>
      </c>
      <c r="J801" s="5" t="n">
        <v>75.59999999999999</v>
      </c>
      <c r="K801" s="3" t="inlineStr">
        <is>
          <t>nan</t>
        </is>
      </c>
      <c r="L801" s="6">
        <f>HYPERLINK("https://fin.land.naver.com/articles/2649462827", "매물Link")</f>
        <v/>
      </c>
      <c r="M801" s="6">
        <f>HYPERLINK("https://map.naver.com/p/search/부강면 금호리 100", "지도Link")</f>
        <v/>
      </c>
      <c r="N801" s="6">
        <f>HYPERLINK("http://www.eum.go.kr/web/ar/lu/luLandDet.jsp?pnu=3611033028101000000&amp;isNoScr=script&amp;mode=search", "토지이음")</f>
        <v/>
      </c>
      <c r="O801" s="3" t="inlineStr">
        <is>
          <t>이레</t>
        </is>
      </c>
      <c r="P801" s="4" t="n">
        <v>1</v>
      </c>
      <c r="Q801" s="4" t="n">
        <v>791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부강면 금호리 100-5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대</t>
        </is>
      </c>
      <c r="E802" s="3" t="inlineStr">
        <is>
          <t>매매</t>
        </is>
      </c>
      <c r="F802" s="4" t="n">
        <v>380000</v>
      </c>
      <c r="G802" s="4" t="n">
        <v>13605</v>
      </c>
      <c r="H802" s="4" t="n">
        <v>4116</v>
      </c>
      <c r="I802" s="5" t="n">
        <v>92.3</v>
      </c>
      <c r="J802" s="5" t="n">
        <v>40.7</v>
      </c>
      <c r="K802" s="3" t="inlineStr">
        <is>
          <t>nan</t>
        </is>
      </c>
      <c r="L802" s="6">
        <f>HYPERLINK("https://fin.land.naver.com/articles/2651714892", "매물Link")</f>
        <v/>
      </c>
      <c r="M802" s="6">
        <f>HYPERLINK("https://map.naver.com/p/search/부강면 금호리 100-5", "지도Link")</f>
        <v/>
      </c>
      <c r="N802" s="6">
        <f>HYPERLINK("http://www.eum.go.kr/web/ar/lu/luLandDet.jsp?pnu=3611033028101000005&amp;isNoScr=script&amp;mode=search",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부강면 금호리 108</t>
        </is>
      </c>
      <c r="B803" s="3" t="inlineStr">
        <is>
          <t>생산관리지역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70000</v>
      </c>
      <c r="G803" s="4" t="n">
        <v>1772</v>
      </c>
      <c r="H803" s="4" t="n">
        <v>536</v>
      </c>
      <c r="I803" s="5" t="n">
        <v>130.6</v>
      </c>
      <c r="J803" s="5" t="n">
        <v>29.3</v>
      </c>
      <c r="K803" s="3" t="inlineStr">
        <is>
          <t>금강 뷰 전망 최고 둘레길 주변 전원주택 조성중</t>
        </is>
      </c>
      <c r="L803" s="6">
        <f>HYPERLINK("https://fin.land.naver.com/articles/2649144441", "매물Link")</f>
        <v/>
      </c>
      <c r="M803" s="6">
        <f>HYPERLINK("https://map.naver.com/p/search/부강면 금호리 108", "지도Link")</f>
        <v/>
      </c>
      <c r="N803" s="6">
        <f>HYPERLINK("http://www.eum.go.kr/web/ar/lu/luLandDet.jsp?pnu=3611033028101080000&amp;isNoScr=script&amp;mode=search", "토지이음")</f>
        <v/>
      </c>
      <c r="O803" s="3" t="inlineStr">
        <is>
          <t>광장(프라자)</t>
        </is>
      </c>
      <c r="P803" s="4" t="n">
        <v>1</v>
      </c>
      <c r="Q803" s="4" t="n">
        <v>1772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110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22000</v>
      </c>
      <c r="G804" s="4" t="n">
        <v>307</v>
      </c>
      <c r="H804" s="4" t="n">
        <v>93</v>
      </c>
      <c r="I804" s="5" t="n">
        <v>236.6</v>
      </c>
      <c r="J804" s="5" t="n">
        <v>29.5</v>
      </c>
      <c r="K804" s="3" t="inlineStr">
        <is>
          <t>주변토지 전원주택지 조성중 대도로 금강 인접함</t>
        </is>
      </c>
      <c r="L804" s="6">
        <f>HYPERLINK("https://fin.land.naver.com/articles/2651904858", "매물Link")</f>
        <v/>
      </c>
      <c r="M804" s="6">
        <f>HYPERLINK("https://map.naver.com/p/search/부강면 금호리 110", "지도Link")</f>
        <v/>
      </c>
      <c r="N804" s="6">
        <f>HYPERLINK("http://www.eum.go.kr/web/ar/lu/luLandDet.jsp?pnu=3611033028101100000&amp;isNoScr=script&amp;mode=search", "토지이음")</f>
        <v/>
      </c>
      <c r="O804" s="3" t="inlineStr">
        <is>
          <t>광장(프라자)</t>
        </is>
      </c>
      <c r="P804" s="4" t="n">
        <v>1</v>
      </c>
      <c r="Q804" s="4" t="n">
        <v>307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155-6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250000</v>
      </c>
      <c r="G805" s="4" t="n">
        <v>4257</v>
      </c>
      <c r="H805" s="4" t="n">
        <v>1288</v>
      </c>
      <c r="I805" s="5" t="n">
        <v>194.1</v>
      </c>
      <c r="J805" s="5" t="n">
        <v>42.9</v>
      </c>
      <c r="K805" s="3" t="inlineStr">
        <is>
          <t>근생허가받은 토지. 북대전ic~ 부강 4차선 도로 예정
급매</t>
        </is>
      </c>
      <c r="L805" s="6">
        <f>HYPERLINK("https://fin.land.naver.com/articles/2651714945", "매물Link")</f>
        <v/>
      </c>
      <c r="M805" s="6">
        <f>HYPERLINK("https://map.naver.com/p/search/부강면 금호리 155-6", "지도Link")</f>
        <v/>
      </c>
      <c r="N805" s="6">
        <f>HYPERLINK("http://www.eum.go.kr/web/ar/lu/luLandDet.jsp?pnu=3611033028101550006&amp;isNoScr=script&amp;mode=search",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874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157-1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85000</v>
      </c>
      <c r="G806" s="4" t="n">
        <v>1100</v>
      </c>
      <c r="H806" s="4" t="n">
        <v>333</v>
      </c>
      <c r="I806" s="5" t="n">
        <v>255.3</v>
      </c>
      <c r="J806" s="5" t="n">
        <v>42.9</v>
      </c>
      <c r="K806" s="3" t="inlineStr">
        <is>
          <t>nan</t>
        </is>
      </c>
      <c r="L806" s="6">
        <f>HYPERLINK("https://fin.land.naver.com/articles/2648030293", "매물Link")</f>
        <v/>
      </c>
      <c r="M806" s="6">
        <f>HYPERLINK("https://map.naver.com/p/search/부강면 금호리 157-1", "지도Link")</f>
        <v/>
      </c>
      <c r="N806" s="6">
        <f>HYPERLINK("http://www.eum.go.kr/web/ar/lu/luLandDet.jsp?pnu=3611033028101570001&amp;isNoScr=script&amp;mode=search",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852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157-4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120000</v>
      </c>
      <c r="G807" s="4" t="n">
        <v>2060</v>
      </c>
      <c r="H807" s="4" t="n">
        <v>623</v>
      </c>
      <c r="I807" s="5" t="n">
        <v>192.6</v>
      </c>
      <c r="J807" s="5" t="n">
        <v>42.9</v>
      </c>
      <c r="K807" s="3" t="inlineStr">
        <is>
          <t>근생허가 받은 계획관리 토지.  뷱대전 ic 4차선 연결 도로 인근</t>
        </is>
      </c>
      <c r="L807" s="6">
        <f>HYPERLINK("https://fin.land.naver.com/articles/2651714913", "매물Link")</f>
        <v/>
      </c>
      <c r="M807" s="6">
        <f>HYPERLINK("https://map.naver.com/p/search/부강면 금호리 157-4", "지도Link")</f>
        <v/>
      </c>
      <c r="N807" s="6">
        <f>HYPERLINK("http://www.eum.go.kr/web/ar/lu/luLandDet.jsp?pnu=3611033028101570004&amp;isNoScr=script&amp;mode=search",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1723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165-1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55000</v>
      </c>
      <c r="G808" s="4" t="n">
        <v>1038</v>
      </c>
      <c r="H808" s="4" t="n">
        <v>314</v>
      </c>
      <c r="I808" s="5" t="n">
        <v>175.2</v>
      </c>
      <c r="J808" s="5" t="n">
        <v>78.7</v>
      </c>
      <c r="K808" s="3" t="inlineStr">
        <is>
          <t>급매, 단독주택 포함 매매, 총 314p</t>
        </is>
      </c>
      <c r="L808" s="6">
        <f>HYPERLINK("https://fin.land.naver.com/articles/2651773765", "매물Link")</f>
        <v/>
      </c>
      <c r="M808" s="6">
        <f>HYPERLINK("https://map.naver.com/p/search/부강면 금호리 165-1", "지도Link")</f>
        <v/>
      </c>
      <c r="N808" s="6">
        <f>HYPERLINK("http://www.eum.go.kr/web/ar/lu/luLandDet.jsp?pnu=3611033028101650001&amp;isNoScr=script&amp;mode=search",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359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172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67000</v>
      </c>
      <c r="G809" s="4" t="n">
        <v>797</v>
      </c>
      <c r="H809" s="4" t="n">
        <v>241</v>
      </c>
      <c r="I809" s="5" t="n">
        <v>278</v>
      </c>
      <c r="J809" s="5" t="n">
        <v>78.7</v>
      </c>
      <c r="K809" s="3" t="inlineStr">
        <is>
          <t>금강 뷰가 내려 보이는 조망 최고의 전원주택 부지. 신도심 접근성 용이</t>
        </is>
      </c>
      <c r="L809" s="6">
        <f>HYPERLINK("https://fin.land.naver.com/articles/2652917254", "매물Link")</f>
        <v/>
      </c>
      <c r="M809" s="6">
        <f>HYPERLINK("https://map.naver.com/p/search/부강면 금호리 172", "지도Link")</f>
        <v/>
      </c>
      <c r="N809" s="6">
        <f>HYPERLINK("http://www.eum.go.kr/web/ar/lu/luLandDet.jsp?pnu=3611033028101720000&amp;isNoScr=script&amp;mode=search", "토지이음")</f>
        <v/>
      </c>
      <c r="O809" s="3" t="inlineStr">
        <is>
          <t>신영</t>
        </is>
      </c>
      <c r="P809" s="4" t="n">
        <v>1</v>
      </c>
      <c r="Q809" s="4" t="n">
        <v>797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207-3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171300</v>
      </c>
      <c r="G810" s="4" t="n">
        <v>5663</v>
      </c>
      <c r="H810" s="4" t="n">
        <v>1713</v>
      </c>
      <c r="I810" s="5" t="n">
        <v>100</v>
      </c>
      <c r="J810" s="5" t="n">
        <v>42.9</v>
      </c>
      <c r="K810" s="3" t="inlineStr">
        <is>
          <t>부강산업단지 바로 옆 저렴한 계획관리 토지</t>
        </is>
      </c>
      <c r="L810" s="6">
        <f>HYPERLINK("https://fin.land.naver.com/articles/2652099993", "매물Link")</f>
        <v/>
      </c>
      <c r="M810" s="6">
        <f>HYPERLINK("https://map.naver.com/p/search/부강면 금호리 207-3", "지도Link")</f>
        <v/>
      </c>
      <c r="N810" s="6">
        <f>HYPERLINK("http://www.eum.go.kr/web/ar/lu/luLandDet.jsp?pnu=3611033028102070003&amp;isNoScr=script&amp;mode=search", "토지이음")</f>
        <v/>
      </c>
      <c r="O810" s="3" t="inlineStr">
        <is>
          <t>미스터홈즈강남지사</t>
        </is>
      </c>
      <c r="P810" s="4" t="n">
        <v>2</v>
      </c>
      <c r="Q810" s="4" t="n">
        <v>2707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234-5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109000</v>
      </c>
      <c r="G811" s="4" t="n">
        <v>939</v>
      </c>
      <c r="H811" s="4" t="n">
        <v>284</v>
      </c>
      <c r="I811" s="5" t="n">
        <v>383.8</v>
      </c>
      <c r="J811" s="5" t="n">
        <v>89.90000000000001</v>
      </c>
      <c r="K811" s="3" t="inlineStr">
        <is>
          <t>인테리어 걱정 없는 완벽한 카페 건물 및 조경 포함</t>
        </is>
      </c>
      <c r="L811" s="6">
        <f>HYPERLINK("https://fin.land.naver.com/articles/2650931748", "매물Link")</f>
        <v/>
      </c>
      <c r="M811" s="6">
        <f>HYPERLINK("https://map.naver.com/p/search/부강면 금호리 234-5", "지도Link")</f>
        <v/>
      </c>
      <c r="N811" s="6">
        <f>HYPERLINK("http://www.eum.go.kr/web/ar/lu/luLandDet.jsp?pnu=3611033028102340005&amp;isNoScr=script&amp;mode=search", "토지이음")</f>
        <v/>
      </c>
      <c r="O811" s="3" t="inlineStr">
        <is>
          <t>하임</t>
        </is>
      </c>
      <c r="P811" s="4" t="n">
        <v>1</v>
      </c>
      <c r="Q811" s="4" t="n">
        <v>939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240-10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82500</v>
      </c>
      <c r="G812" s="4" t="n">
        <v>819</v>
      </c>
      <c r="H812" s="4" t="n">
        <v>248</v>
      </c>
      <c r="I812" s="5" t="n">
        <v>332.7</v>
      </c>
      <c r="J812" s="5" t="n">
        <v>59.7</v>
      </c>
      <c r="K812" s="3" t="inlineStr">
        <is>
          <t>계획관리지역. 성장관리계획구역. 기존산업단지와 연결되는 인접 토지 매매</t>
        </is>
      </c>
      <c r="L812" s="6">
        <f>HYPERLINK("https://fin.land.naver.com/articles/2648117869", "매물Link")</f>
        <v/>
      </c>
      <c r="M812" s="6">
        <f>HYPERLINK("https://map.naver.com/p/search/부강면 금호리 240-10", "지도Link")</f>
        <v/>
      </c>
      <c r="N812" s="6">
        <f>HYPERLINK("http://www.eum.go.kr/web/ar/lu/luLandDet.jsp?pnu=3611033028102400010&amp;isNoScr=script&amp;mode=search", "토지이음")</f>
        <v/>
      </c>
      <c r="O812" s="3" t="inlineStr">
        <is>
          <t>진행</t>
        </is>
      </c>
      <c r="P812" s="4" t="n">
        <v>1</v>
      </c>
      <c r="Q812" s="4" t="n">
        <v>819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부강면 금호리 30-2</t>
        </is>
      </c>
      <c r="B813" s="3" t="inlineStr">
        <is>
          <t>계획관리지역</t>
        </is>
      </c>
      <c r="C813" s="3" t="inlineStr">
        <is>
          <t>공장용지</t>
        </is>
      </c>
      <c r="D813" s="3" t="inlineStr">
        <is>
          <t>공장용지</t>
        </is>
      </c>
      <c r="E813" s="3" t="inlineStr">
        <is>
          <t>매매</t>
        </is>
      </c>
      <c r="F813" s="4" t="n">
        <v>210000</v>
      </c>
      <c r="G813" s="4" t="n">
        <v>4328</v>
      </c>
      <c r="H813" s="4" t="n">
        <v>1309</v>
      </c>
      <c r="I813" s="5" t="n">
        <v>160.4</v>
      </c>
      <c r="J813" s="5" t="n">
        <v>80.7</v>
      </c>
      <c r="K813" s="3" t="inlineStr">
        <is>
          <t>공장용지로 지리적위치 접근성이좋고 산업폐기물 인.허가 득하여 투자성이좋음</t>
        </is>
      </c>
      <c r="L813" s="6">
        <f>HYPERLINK("https://fin.land.naver.com/articles/2650435382", "매물Link")</f>
        <v/>
      </c>
      <c r="M813" s="6">
        <f>HYPERLINK("https://map.naver.com/p/search/부강면 금호리 30-2", "지도Link")</f>
        <v/>
      </c>
      <c r="N813" s="6">
        <f>HYPERLINK("http://www.eum.go.kr/web/ar/lu/luLandDet.jsp?pnu=3611033028100300002&amp;isNoScr=script&amp;mode=search", "토지이음")</f>
        <v/>
      </c>
      <c r="O813" s="3" t="inlineStr">
        <is>
          <t>오투그린1</t>
        </is>
      </c>
      <c r="P813" s="4" t="n">
        <v>1</v>
      </c>
      <c r="Q813" s="4" t="n">
        <v>4328</v>
      </c>
      <c r="R813" s="3" t="inlineStr">
        <is>
          <t>지정되지않음</t>
        </is>
      </c>
      <c r="S813" s="3" t="inlineStr">
        <is>
          <t>공업기타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358-4</t>
        </is>
      </c>
      <c r="B814" s="3" t="inlineStr">
        <is>
          <t>보전관리지역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</v>
      </c>
      <c r="G814" s="4" t="n">
        <v>1263</v>
      </c>
      <c r="H814" s="4" t="n">
        <v>382</v>
      </c>
      <c r="I814" s="5" t="n">
        <v>65.40000000000001</v>
      </c>
      <c r="J814" s="5" t="n">
        <v>5.2</v>
      </c>
      <c r="K814" s="3" t="inlineStr">
        <is>
          <t>즉시 신축 가능 매매 급매물 상.하수도 전기 기반공사 완료돼있고 건축허가</t>
        </is>
      </c>
      <c r="L814" s="6">
        <f>HYPERLINK("https://fin.land.naver.com/articles/2648082259", "매물Link")</f>
        <v/>
      </c>
      <c r="M814" s="6">
        <f>HYPERLINK("https://map.naver.com/p/search/부강면 금호리 358-4", "지도Link")</f>
        <v/>
      </c>
      <c r="N814" s="6">
        <f>HYPERLINK("http://www.eum.go.kr/web/ar/lu/luLandDet.jsp?pnu=3611033028103580004&amp;isNoScr=script&amp;mode=search", "토지이음")</f>
        <v/>
      </c>
      <c r="O814" s="3" t="inlineStr">
        <is>
          <t>세종시삼성래미안</t>
        </is>
      </c>
      <c r="P814" s="4" t="n">
        <v>1</v>
      </c>
      <c r="Q814" s="4" t="n">
        <v>995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정방형</t>
        </is>
      </c>
      <c r="V814" s="3" t="inlineStr">
        <is>
          <t>맹지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2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금강 조망 가능한 도로접 계획관리 전원형 토지</t>
        </is>
      </c>
      <c r="L820" s="6">
        <f>HYPERLINK("https://fin.land.naver.com/articles/2648834433",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세종소담황금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447-1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25000</v>
      </c>
      <c r="G824" s="4" t="n">
        <v>423</v>
      </c>
      <c r="H824" s="4" t="n">
        <v>128</v>
      </c>
      <c r="I824" s="5" t="n">
        <v>195.3</v>
      </c>
      <c r="J824" s="5" t="n">
        <v>79.09999999999999</v>
      </c>
      <c r="K824" s="3" t="inlineStr">
        <is>
          <t>부강면 금호리 자연취락지구 계획관리 대지</t>
        </is>
      </c>
      <c r="L824" s="6">
        <f>HYPERLINK("https://fin.land.naver.com/articles/2649283317", "매물Link")</f>
        <v/>
      </c>
      <c r="M824" s="6">
        <f>HYPERLINK("https://map.naver.com/p/search/부강면 금호리 447-1", "지도Link")</f>
        <v/>
      </c>
      <c r="N824" s="6">
        <f>HYPERLINK("http://www.eum.go.kr/web/ar/lu/luLandDet.jsp?pnu=3611033028104470001&amp;isNoScr=script&amp;mode=search",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523.4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613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50000</v>
      </c>
      <c r="G825" s="4" t="n">
        <v>679</v>
      </c>
      <c r="H825" s="4" t="n">
        <v>205</v>
      </c>
      <c r="I825" s="5" t="n">
        <v>243.9</v>
      </c>
      <c r="J825" s="5" t="n">
        <v>88</v>
      </c>
      <c r="K825" s="3" t="inlineStr">
        <is>
          <t>주택, 텃밭, 카페 추천</t>
        </is>
      </c>
      <c r="L825" s="6">
        <f>HYPERLINK("https://fin.land.naver.com/articles/2647424368", "매물Link")</f>
        <v/>
      </c>
      <c r="M825" s="6">
        <f>HYPERLINK("https://map.naver.com/p/search/부강면 금호리 613", "지도Link")</f>
        <v/>
      </c>
      <c r="N825" s="6">
        <f>HYPERLINK("http://www.eum.go.kr/web/ar/lu/luLandDet.jsp?pnu=3611033028106130000&amp;isNoScr=script&amp;mode=search", "토지이음")</f>
        <v/>
      </c>
      <c r="O825" s="3" t="inlineStr">
        <is>
          <t>황제</t>
        </is>
      </c>
      <c r="P825" s="4" t="n">
        <v>1</v>
      </c>
      <c r="Q825" s="4" t="n">
        <v>679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금호리 614-1</t>
        </is>
      </c>
      <c r="B826" s="3" t="inlineStr">
        <is>
          <t>보전관리지역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180000</v>
      </c>
      <c r="G826" s="4" t="n">
        <v>7235</v>
      </c>
      <c r="H826" s="4" t="n">
        <v>2189</v>
      </c>
      <c r="I826" s="5" t="n">
        <v>82.2</v>
      </c>
      <c r="J826" s="5" t="n">
        <v>4.9</v>
      </c>
      <c r="K826" s="3" t="inlineStr">
        <is>
          <t>개발가능한 임야</t>
        </is>
      </c>
      <c r="L826" s="6">
        <f>HYPERLINK("https://fin.land.naver.com/articles/2647807421", "매물Link")</f>
        <v/>
      </c>
      <c r="M826" s="6">
        <f>HYPERLINK("https://map.naver.com/p/search/부강면 금호리 614-1", "지도Link")</f>
        <v/>
      </c>
      <c r="N826" s="6">
        <f>HYPERLINK("http://www.eum.go.kr/web/ar/lu/luLandDet.jsp?pnu=3611033028106140001&amp;isNoScr=script&amp;mode=search", "토지이음")</f>
        <v/>
      </c>
      <c r="O826" s="3" t="inlineStr">
        <is>
          <t>골든타임</t>
        </is>
      </c>
      <c r="P826" s="4" t="n">
        <v>1</v>
      </c>
      <c r="Q826" s="4" t="n">
        <v>6576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부강면 금호리 652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40000</v>
      </c>
      <c r="G827" s="4" t="n">
        <v>525</v>
      </c>
      <c r="H827" s="4" t="n">
        <v>159</v>
      </c>
      <c r="I827" s="5" t="n">
        <v>251.6</v>
      </c>
      <c r="J827" s="5" t="n">
        <v>92.5</v>
      </c>
      <c r="K827" s="3" t="inlineStr">
        <is>
          <t>세종시 부강면 금호리  토지 매매</t>
        </is>
      </c>
      <c r="L827" s="6">
        <f>HYPERLINK("https://fin.land.naver.com/articles/2650695624", "매물Link")</f>
        <v/>
      </c>
      <c r="M827" s="6">
        <f>HYPERLINK("https://map.naver.com/p/search/부강면 금호리 652", "지도Link")</f>
        <v/>
      </c>
      <c r="N827" s="6">
        <f>HYPERLINK("http://www.eum.go.kr/web/ar/lu/luLandDet.jsp?pnu=3611033028106520000&amp;isNoScr=script&amp;mode=search", "토지이음")</f>
        <v/>
      </c>
      <c r="O827" s="3" t="inlineStr">
        <is>
          <t>세종행복한</t>
        </is>
      </c>
      <c r="P827" s="4" t="n">
        <v>1</v>
      </c>
      <c r="Q827" s="4" t="n">
        <v>403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700-17</t>
        </is>
      </c>
      <c r="B828" s="3" t="inlineStr">
        <is>
          <t>계획관리지역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매매</t>
        </is>
      </c>
      <c r="F828" s="4" t="n">
        <v>80000</v>
      </c>
      <c r="G828" s="4" t="n">
        <v>660</v>
      </c>
      <c r="H828" s="4" t="n">
        <v>200</v>
      </c>
      <c r="I828" s="5" t="n">
        <v>400</v>
      </c>
      <c r="J828" s="5" t="n">
        <v>112.4</v>
      </c>
      <c r="K828" s="3" t="inlineStr">
        <is>
          <t>2차선 대로변 계획관리.5생활권 대학부지10분이내거리</t>
        </is>
      </c>
      <c r="L828" s="6">
        <f>HYPERLINK("https://fin.land.naver.com/articles/2649065861", "매물Link")</f>
        <v/>
      </c>
      <c r="M828" s="6">
        <f>HYPERLINK("https://map.naver.com/p/search/부강면 금호리 700-17", "지도Link")</f>
        <v/>
      </c>
      <c r="N828" s="6">
        <f>HYPERLINK("http://www.eum.go.kr/web/ar/lu/luLandDet.jsp?pnu=3611033028107000017&amp;isNoScr=script&amp;mode=search", "토지이음")</f>
        <v/>
      </c>
      <c r="O828" s="3" t="inlineStr">
        <is>
          <t>황금나무</t>
        </is>
      </c>
      <c r="P828" s="4" t="n">
        <v>1</v>
      </c>
      <c r="Q828" s="4" t="n">
        <v>660</v>
      </c>
      <c r="R828" s="3" t="inlineStr">
        <is>
          <t>지정되지않음</t>
        </is>
      </c>
      <c r="S828" s="3" t="inlineStr">
        <is>
          <t>공업용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708-2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전</t>
        </is>
      </c>
      <c r="E829" s="3" t="inlineStr">
        <is>
          <t>매매</t>
        </is>
      </c>
      <c r="F829" s="4" t="n">
        <v>52400</v>
      </c>
      <c r="G829" s="4" t="n">
        <v>867</v>
      </c>
      <c r="H829" s="4" t="n">
        <v>262</v>
      </c>
      <c r="I829" s="5" t="n">
        <v>200</v>
      </c>
      <c r="J829" s="5" t="n">
        <v>59.7</v>
      </c>
      <c r="K829" s="3" t="inlineStr">
        <is>
          <t>nan</t>
        </is>
      </c>
      <c r="L829" s="6">
        <f>HYPERLINK("https://fin.land.naver.com/articles/2649528902", "매물Link")</f>
        <v/>
      </c>
      <c r="M829" s="6">
        <f>HYPERLINK("https://map.naver.com/p/search/부강면 금호리 708-2", "지도Link")</f>
        <v/>
      </c>
      <c r="N829" s="6">
        <f>HYPERLINK("http://www.eum.go.kr/web/ar/lu/luLandDet.jsp?pnu=3611033028107080002&amp;isNoScr=script&amp;mode=search", "토지이음")</f>
        <v/>
      </c>
      <c r="O829" s="3" t="inlineStr">
        <is>
          <t>경남아너스빌</t>
        </is>
      </c>
      <c r="P829" s="4" t="n">
        <v>1</v>
      </c>
      <c r="Q829" s="4" t="n">
        <v>434</v>
      </c>
      <c r="R829" s="3" t="inlineStr">
        <is>
          <t>지정되지않음</t>
        </is>
      </c>
      <c r="S829" s="3" t="inlineStr">
        <is>
          <t>전기타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소로한면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계획관리자연취락 대지 및 기존주택, 산단세종오송 접근 우수</t>
        </is>
      </c>
      <c r="L830" s="6">
        <f>HYPERLINK("https://fin.land.naver.com/articles/2650898603",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세종소담황금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712-16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379</v>
      </c>
      <c r="H831" s="4" t="n">
        <v>115</v>
      </c>
      <c r="I831" s="5" t="n">
        <v>304.3</v>
      </c>
      <c r="J831" s="5" t="n">
        <v>94.5</v>
      </c>
      <c r="K831" s="3" t="inlineStr">
        <is>
          <t>남청주IC 자동차로 약17분거리10km</t>
        </is>
      </c>
      <c r="L831" s="6">
        <f>HYPERLINK("https://fin.land.naver.com/articles/2648088822", "매물Link")</f>
        <v/>
      </c>
      <c r="M831" s="6">
        <f>HYPERLINK("https://map.naver.com/p/search/부강면 금호리 712-16", "지도Link")</f>
        <v/>
      </c>
      <c r="N831" s="6">
        <f>HYPERLINK("http://www.eum.go.kr/web/ar/lu/luLandDet.jsp?pnu=3611033028107120016&amp;isNoScr=script&amp;mode=search", "토지이음")</f>
        <v/>
      </c>
      <c r="O831" s="3" t="inlineStr">
        <is>
          <t>지장고</t>
        </is>
      </c>
      <c r="P831" s="4" t="n">
        <v>1</v>
      </c>
      <c r="Q831" s="4" t="n">
        <v>379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731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174600</v>
      </c>
      <c r="G832" s="4" t="n">
        <v>2885</v>
      </c>
      <c r="H832" s="4" t="n">
        <v>873</v>
      </c>
      <c r="I832" s="5" t="n">
        <v>200</v>
      </c>
      <c r="J832" s="5" t="n">
        <v>64.59999999999999</v>
      </c>
      <c r="K832" s="3" t="inlineStr">
        <is>
          <t>세종시 부강면 산업단지 인근 시세보다 저렴한 토지 매매</t>
        </is>
      </c>
      <c r="L832" s="6">
        <f>HYPERLINK("https://fin.land.naver.com/articles/2649751521", "매물Link")</f>
        <v/>
      </c>
      <c r="M832" s="6">
        <f>HYPERLINK("https://map.naver.com/p/search/부강면 금호리 731", "지도Link")</f>
        <v/>
      </c>
      <c r="N832" s="6">
        <f>HYPERLINK("http://www.eum.go.kr/web/ar/lu/luLandDet.jsp?pnu=3611033028107310000&amp;isNoScr=script&amp;mode=search", "토지이음")</f>
        <v/>
      </c>
      <c r="O832" s="3" t="inlineStr">
        <is>
          <t>뉴스카이</t>
        </is>
      </c>
      <c r="P832" s="4" t="n">
        <v>1</v>
      </c>
      <c r="Q832" s="4" t="n">
        <v>1274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산10-1</t>
        </is>
      </c>
      <c r="B833" s="3" t="inlineStr">
        <is>
          <t>생산관리지역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30000</v>
      </c>
      <c r="G833" s="4" t="n">
        <v>992</v>
      </c>
      <c r="H833" s="4" t="n">
        <v>300</v>
      </c>
      <c r="I833" s="5" t="n">
        <v>100</v>
      </c>
      <c r="J833" s="5" t="n">
        <v>5.4</v>
      </c>
      <c r="K833" s="3" t="inlineStr">
        <is>
          <t>nan</t>
        </is>
      </c>
      <c r="L833" s="6">
        <f>HYPERLINK("https://fin.land.naver.com/articles/2651583522", "매물Link")</f>
        <v/>
      </c>
      <c r="M833" s="6">
        <f>HYPERLINK("https://map.naver.com/p/search/부강면 금호리 산10-1", "지도Link")</f>
        <v/>
      </c>
      <c r="N833" s="6">
        <f>HYPERLINK("http://www.eum.go.kr/web/ar/lu/luLandDet.jsp?pnu=3611033028200100001&amp;isNoScr=script&amp;mode=search", "토지이음")</f>
        <v/>
      </c>
      <c r="O833" s="3" t="inlineStr">
        <is>
          <t>세종몽땅</t>
        </is>
      </c>
      <c r="P833" s="4" t="n">
        <v>1</v>
      </c>
      <c r="Q833" s="4" t="n">
        <v>992</v>
      </c>
      <c r="R833" s="3" t="inlineStr">
        <is>
          <t>지정되지않음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맹지</t>
        </is>
      </c>
    </row>
    <row r="834">
      <c r="A834" s="3" t="inlineStr">
        <is>
          <t>부강면 금호리 산46-4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65000</v>
      </c>
      <c r="G834" s="4" t="n">
        <v>4247</v>
      </c>
      <c r="H834" s="4" t="n">
        <v>1285</v>
      </c>
      <c r="I834" s="5" t="n">
        <v>50.6</v>
      </c>
      <c r="J834" s="5" t="n">
        <v>6</v>
      </c>
      <c r="K834" s="3" t="inlineStr">
        <is>
          <t>부강면 금호리는 4생활권에서 5분거리, 금호교건너면 바로앞 금강임.</t>
        </is>
      </c>
      <c r="L834" s="6">
        <f>HYPERLINK("https://fin.land.naver.com/articles/2647579496", "매물Link")</f>
        <v/>
      </c>
      <c r="M834" s="6">
        <f>HYPERLINK("https://map.naver.com/p/search/부강면 금호리 산46-4", "지도Link")</f>
        <v/>
      </c>
      <c r="N834" s="6">
        <f>HYPERLINK("http://www.eum.go.kr/web/ar/lu/luLandDet.jsp?pnu=3611033028200460004&amp;isNoScr=script&amp;mode=search", "토지이음")</f>
        <v/>
      </c>
      <c r="O834" s="3" t="inlineStr">
        <is>
          <t>꿈드림</t>
        </is>
      </c>
      <c r="P834" s="4" t="n">
        <v>1</v>
      </c>
      <c r="Q834" s="4" t="n">
        <v>1653</v>
      </c>
      <c r="R834" s="3" t="inlineStr">
        <is>
          <t>계획관리지역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부강면 금호리 산5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250000</v>
      </c>
      <c r="G835" s="4" t="n">
        <v>11846</v>
      </c>
      <c r="H835" s="4" t="n">
        <v>3583</v>
      </c>
      <c r="I835" s="5" t="n">
        <v>69.8</v>
      </c>
      <c r="J835" s="5" t="n">
        <v>3.6</v>
      </c>
      <c r="K835" s="3" t="inlineStr">
        <is>
          <t>nan</t>
        </is>
      </c>
      <c r="L835" s="6">
        <f>HYPERLINK("https://fin.land.naver.com/articles/2651714956", "매물Link")</f>
        <v/>
      </c>
      <c r="M835" s="6">
        <f>HYPERLINK("https://map.naver.com/p/search/부강면 금호리 산5", "지도Link")</f>
        <v/>
      </c>
      <c r="N835" s="6">
        <f>HYPERLINK("http://www.eum.go.kr/web/ar/lu/luLandDet.jsp?pnu=3611033028200050000&amp;isNoScr=script&amp;mode=search", "토지이음")</f>
        <v/>
      </c>
      <c r="O835" s="3" t="inlineStr">
        <is>
          <t>이레</t>
        </is>
      </c>
      <c r="P835" s="4" t="n">
        <v>1</v>
      </c>
      <c r="Q835" s="4" t="n">
        <v>11603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세로한면(불)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부강면노호리 생산관리지역 마을인접 가격조정가능</t>
        </is>
      </c>
      <c r="L839" s="6">
        <f>HYPERLINK("https://fin.land.naver.com/articles/2649144191",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고운동리치세종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71930</v>
      </c>
      <c r="G840" s="4" t="n">
        <v>3963</v>
      </c>
      <c r="H840" s="4" t="n">
        <v>1199</v>
      </c>
      <c r="I840" s="5" t="n">
        <v>60</v>
      </c>
      <c r="J840" s="5" t="n">
        <v>25.8</v>
      </c>
      <c r="K840" s="3" t="inlineStr">
        <is>
          <t>매포역 인근 금강 변, 국도 인접 생산관리지역, 개발호재 많은 투자 물건</t>
        </is>
      </c>
      <c r="L840" s="6">
        <f>HYPERLINK("https://fin.land.naver.com/articles/2650180451",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오송3산단  사무소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 노호리 도로접한 토지매매.</t>
        </is>
      </c>
      <c r="L841" s="6">
        <f>HYPERLINK("https://fin.land.naver.com/articles/2647631268",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방서에이스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</v>
      </c>
      <c r="G848" s="4" t="n">
        <v>2099</v>
      </c>
      <c r="H848" s="4" t="n">
        <v>635</v>
      </c>
      <c r="I848" s="5" t="n">
        <v>23.6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 3분거리, 2차선 접한 토지, 대형차량 진출입 용이</t>
        </is>
      </c>
      <c r="L852" s="6">
        <f>HYPERLINK("https://fin.land.naver.com/articles/2652777976",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금화랜드</t>
        </is>
      </c>
      <c r="P852" s="4" t="n">
        <v>3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114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500000</v>
      </c>
      <c r="G854" s="4" t="n">
        <v>8992</v>
      </c>
      <c r="H854" s="4" t="n">
        <v>2720</v>
      </c>
      <c r="I854" s="5" t="n">
        <v>183.8</v>
      </c>
      <c r="J854" s="5" t="n">
        <v>55.3</v>
      </c>
      <c r="K854" s="3" t="inlineStr">
        <is>
          <t>2차선 도로와 연결로 대형차 진출입이 편리, 남청주IC인근에 위치</t>
        </is>
      </c>
      <c r="L854" s="6">
        <f>HYPERLINK("https://fin.land.naver.com/articles/2651013918", "매물Link")</f>
        <v/>
      </c>
      <c r="M854" s="6">
        <f>HYPERLINK("https://map.naver.com/p/search/부강면 문곡리 114", "지도Link")</f>
        <v/>
      </c>
      <c r="N854" s="6">
        <f>HYPERLINK("http://www.eum.go.kr/web/ar/lu/luLandDet.jsp?pnu=3611033025101140000&amp;isNoScr=script&amp;mode=search",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2435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205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27000</v>
      </c>
      <c r="G855" s="4" t="n">
        <v>849</v>
      </c>
      <c r="H855" s="4" t="n">
        <v>257</v>
      </c>
      <c r="I855" s="5" t="n">
        <v>105.1</v>
      </c>
      <c r="J855" s="5" t="n">
        <v>63.7</v>
      </c>
      <c r="K855" s="3" t="inlineStr">
        <is>
          <t>정남향의 지대높고 예쁜마을에 있는 단독주택</t>
        </is>
      </c>
      <c r="L855" s="6">
        <f>HYPERLINK("https://fin.land.naver.com/articles/2652071617", "매물Link")</f>
        <v/>
      </c>
      <c r="M855" s="6">
        <f>HYPERLINK("https://map.naver.com/p/search/부강면 문곡리 205", "지도Link")</f>
        <v/>
      </c>
      <c r="N855" s="6">
        <f>HYPERLINK("http://www.eum.go.kr/web/ar/lu/luLandDet.jsp?pnu=3611033025102050000&amp;isNoScr=script&amp;mode=search",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848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세로각지(가)</t>
        </is>
      </c>
    </row>
    <row r="856">
      <c r="A856" s="3" t="inlineStr">
        <is>
          <t>부강면 문곡리 240-1</t>
        </is>
      </c>
      <c r="B856" s="3" t="inlineStr">
        <is>
          <t>보전관리지역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130000</v>
      </c>
      <c r="G856" s="4" t="n">
        <v>1470</v>
      </c>
      <c r="H856" s="4" t="n">
        <v>445</v>
      </c>
      <c r="I856" s="5" t="n">
        <v>292.1</v>
      </c>
      <c r="J856" s="5" t="n">
        <v>46.1</v>
      </c>
      <c r="K856" s="3" t="inlineStr">
        <is>
          <t>1층단독한옥주택 준공완료,일괄매매,친환경 힐링하실분,뻥뷰</t>
        </is>
      </c>
      <c r="L856" s="6">
        <f>HYPERLINK("https://fin.land.naver.com/articles/2650882939", "매물Link")</f>
        <v/>
      </c>
      <c r="M856" s="6">
        <f>HYPERLINK("https://map.naver.com/p/search/부강면 문곡리 240-1", "지도Link")</f>
        <v/>
      </c>
      <c r="N856" s="6">
        <f>HYPERLINK("http://www.eum.go.kr/web/ar/lu/luLandDet.jsp?pnu=3611033025102400001&amp;isNoScr=script&amp;mode=search", "토지이음")</f>
        <v/>
      </c>
      <c r="O856" s="3" t="inlineStr">
        <is>
          <t>힐스테이트행복</t>
        </is>
      </c>
      <c r="P856" s="4" t="n">
        <v>1</v>
      </c>
      <c r="Q856" s="4" t="n">
        <v>1470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364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32000</v>
      </c>
      <c r="G857" s="4" t="n">
        <v>966</v>
      </c>
      <c r="H857" s="4" t="n">
        <v>292</v>
      </c>
      <c r="I857" s="5" t="n">
        <v>109.6</v>
      </c>
      <c r="J857" s="5" t="n">
        <v>36.1</v>
      </c>
      <c r="K857" s="3" t="inlineStr">
        <is>
          <t>부강면 문곡리 2차선 도로옆 토지, 세레니티cc 진입로, 건축가능</t>
        </is>
      </c>
      <c r="L857" s="6">
        <f>HYPERLINK("https://fin.land.naver.com/articles/2647851904", "매물Link")</f>
        <v/>
      </c>
      <c r="M857" s="6">
        <f>HYPERLINK("https://map.naver.com/p/search/부강면 문곡리 364", "지도Link")</f>
        <v/>
      </c>
      <c r="N857" s="6">
        <f>HYPERLINK("http://www.eum.go.kr/web/ar/lu/luLandDet.jsp?pnu=3611033025103640000&amp;isNoScr=script&amp;mode=search", "토지이음")</f>
        <v/>
      </c>
      <c r="O857" s="3" t="inlineStr">
        <is>
          <t>스카이</t>
        </is>
      </c>
      <c r="P857" s="4" t="n">
        <v>1</v>
      </c>
      <c r="Q857" s="4" t="n">
        <v>966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30000</v>
      </c>
      <c r="G858" s="4" t="n">
        <v>966</v>
      </c>
      <c r="H858" s="4" t="n">
        <v>292</v>
      </c>
      <c r="I858" s="5" t="n">
        <v>102.7</v>
      </c>
      <c r="J858" s="5" t="n">
        <v>36.1</v>
      </c>
      <c r="K858" s="3" t="inlineStr">
        <is>
          <t>계획관리지역 주목</t>
        </is>
      </c>
      <c r="L858" s="6">
        <f>HYPERLINK("https://fin.land.naver.com/articles/2649735022",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세종몽땅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370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14000</v>
      </c>
      <c r="G859" s="4" t="n">
        <v>592</v>
      </c>
      <c r="H859" s="4" t="n">
        <v>179</v>
      </c>
      <c r="I859" s="5" t="n">
        <v>78.2</v>
      </c>
      <c r="J859" s="5" t="n">
        <v>28.1</v>
      </c>
      <c r="K859" s="3" t="inlineStr">
        <is>
          <t>문곡리 대국터, 계획관리지역, 성장관리계획구역, 매매가 협의 가능</t>
        </is>
      </c>
      <c r="L859" s="6">
        <f>HYPERLINK("https://fin.land.naver.com/articles/2650784515", "매물Link")</f>
        <v/>
      </c>
      <c r="M859" s="6">
        <f>HYPERLINK("https://map.naver.com/p/search/부강면 문곡리 370", "지도Link")</f>
        <v/>
      </c>
      <c r="N859" s="6">
        <f>HYPERLINK("http://www.eum.go.kr/web/ar/lu/luLandDet.jsp?pnu=3611033025103700000&amp;isNoScr=script&amp;mode=search", "토지이음")</f>
        <v/>
      </c>
      <c r="O859" s="3" t="inlineStr">
        <is>
          <t>탑</t>
        </is>
      </c>
      <c r="P859" s="4" t="n">
        <v>1</v>
      </c>
      <c r="Q859" s="4" t="n">
        <v>592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가로장방</t>
        </is>
      </c>
      <c r="V859" s="3" t="inlineStr">
        <is>
          <t>맹지</t>
        </is>
      </c>
    </row>
    <row r="860">
      <c r="A860" s="3" t="inlineStr">
        <is>
          <t>부강면 문곡리 384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대</t>
        </is>
      </c>
      <c r="E860" s="3" t="inlineStr">
        <is>
          <t>매매</t>
        </is>
      </c>
      <c r="F860" s="4" t="n">
        <v>130000</v>
      </c>
      <c r="G860" s="4" t="n">
        <v>1656</v>
      </c>
      <c r="H860" s="4" t="n">
        <v>501</v>
      </c>
      <c r="I860" s="5" t="n">
        <v>259.5</v>
      </c>
      <c r="J860" s="5" t="n">
        <v>55.6</v>
      </c>
      <c r="K860" s="3" t="inlineStr">
        <is>
          <t>남청주IC 2분거리,대로변 접한 토지로 광고효과,대형차량 진출입 편리</t>
        </is>
      </c>
      <c r="L860" s="6">
        <f>HYPERLINK("https://fin.land.naver.com/articles/2648918435", "매물Link")</f>
        <v/>
      </c>
      <c r="M860" s="6">
        <f>HYPERLINK("https://map.naver.com/p/search/부강면 문곡리 384", "지도Link")</f>
        <v/>
      </c>
      <c r="N860" s="6">
        <f>HYPERLINK("http://www.eum.go.kr/web/ar/lu/luLandDet.jsp?pnu=3611033025103840000&amp;isNoScr=script&amp;mode=search",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1406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부강면 문곡리 437</t>
        </is>
      </c>
      <c r="B861" s="3" t="inlineStr">
        <is>
          <t>계획관리지역</t>
        </is>
      </c>
      <c r="C861" s="3" t="inlineStr">
        <is>
          <t>공장용지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95000</v>
      </c>
      <c r="G861" s="4" t="n">
        <v>1652</v>
      </c>
      <c r="H861" s="4" t="n">
        <v>500</v>
      </c>
      <c r="I861" s="5" t="n">
        <v>190</v>
      </c>
      <c r="J861" s="5" t="n">
        <v>82</v>
      </c>
      <c r="K861" s="3" t="inlineStr">
        <is>
          <t>공장등록 가능한 공장 용지, 남청주 IC 5분 거리, 대형차 진출입 용이</t>
        </is>
      </c>
      <c r="L861" s="6">
        <f>HYPERLINK("https://fin.land.naver.com/articles/2647644287", "매물Link")</f>
        <v/>
      </c>
      <c r="M861" s="6">
        <f>HYPERLINK("https://map.naver.com/p/search/부강면 문곡리 437", "지도Link")</f>
        <v/>
      </c>
      <c r="N861" s="6">
        <f>HYPERLINK("http://www.eum.go.kr/web/ar/lu/luLandDet.jsp?pnu=3611033025104370000&amp;isNoScr=script&amp;mode=search", "토지이음")</f>
        <v/>
      </c>
      <c r="O861" s="3" t="inlineStr">
        <is>
          <t>에이스</t>
        </is>
      </c>
      <c r="P861" s="4" t="n">
        <v>1</v>
      </c>
      <c r="Q861" s="4" t="n">
        <v>3358</v>
      </c>
      <c r="R861" s="3" t="inlineStr">
        <is>
          <t>지정되지않음</t>
        </is>
      </c>
      <c r="S861" s="3" t="inlineStr">
        <is>
          <t>공업용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1815</v>
      </c>
      <c r="H869" s="4" t="n">
        <v>549</v>
      </c>
      <c r="I869" s="5" t="n">
        <v>91.09999999999999</v>
      </c>
      <c r="J869" s="5" t="n">
        <v>25.9</v>
      </c>
      <c r="K869" s="3" t="inlineStr">
        <is>
          <t>계획관리지역,  세종에서 10분이내거리</t>
        </is>
      </c>
      <c r="L869" s="6">
        <f>HYPERLINK("https://fin.land.naver.com/articles/2649059214",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이담</t>
        </is>
      </c>
      <c r="P869" s="4" t="n">
        <v>1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901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123000</v>
      </c>
      <c r="G871" s="4" t="n">
        <v>2710</v>
      </c>
      <c r="H871" s="4" t="n">
        <v>820</v>
      </c>
      <c r="I871" s="5" t="n">
        <v>150</v>
      </c>
      <c r="J871" s="5" t="n">
        <v>22.5</v>
      </c>
      <c r="K871" s="3" t="inlineStr">
        <is>
          <t>도로에 접한 계획관리 토지공장허가득함</t>
        </is>
      </c>
      <c r="L871" s="6">
        <f>HYPERLINK("https://fin.land.naver.com/articles/2650858523", "매물Link")</f>
        <v/>
      </c>
      <c r="M871" s="6">
        <f>HYPERLINK("https://map.naver.com/p/search/부강면 문곡리 901", "지도Link")</f>
        <v/>
      </c>
      <c r="N871" s="6">
        <f>HYPERLINK("http://www.eum.go.kr/web/ar/lu/luLandDet.jsp?pnu=3611033025109010000&amp;isNoScr=script&amp;mode=search", "토지이음")</f>
        <v/>
      </c>
      <c r="O871" s="3" t="inlineStr">
        <is>
          <t>세종대박</t>
        </is>
      </c>
      <c r="P871" s="4" t="n">
        <v>1</v>
      </c>
      <c r="Q871" s="4" t="n">
        <v>2147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부강면 문곡리 902-1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98800</v>
      </c>
      <c r="G872" s="4" t="n">
        <v>2334</v>
      </c>
      <c r="H872" s="4" t="n">
        <v>706</v>
      </c>
      <c r="I872" s="5" t="n">
        <v>139.9</v>
      </c>
      <c r="J872" s="5" t="n">
        <v>24.7</v>
      </c>
      <c r="K872" s="3" t="inlineStr">
        <is>
          <t>남청주IC 인근 대형 계획관리 토지</t>
        </is>
      </c>
      <c r="L872" s="6">
        <f>HYPERLINK("https://fin.land.naver.com/articles/2651936276", "매물Link")</f>
        <v/>
      </c>
      <c r="M872" s="6">
        <f>HYPERLINK("https://map.naver.com/p/search/부강면 문곡리 902-1", "지도Link")</f>
        <v/>
      </c>
      <c r="N872" s="6">
        <f>HYPERLINK("http://www.eum.go.kr/web/ar/lu/luLandDet.jsp?pnu=3611033025109020001&amp;isNoScr=script&amp;mode=search", "토지이음")</f>
        <v/>
      </c>
      <c r="O872" s="3" t="inlineStr">
        <is>
          <t>강아지풀</t>
        </is>
      </c>
      <c r="P872" s="4" t="n">
        <v>4</v>
      </c>
      <c r="Q872" s="4" t="n">
        <v>2334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즉시 건축 가능한 공장 및 창고부지 계획관리지역 남청주 IC인근</t>
        </is>
      </c>
      <c r="L873" s="6">
        <f>HYPERLINK("https://fin.land.naver.com/articles/2651924940",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대전토지로무소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918-1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250000</v>
      </c>
      <c r="G875" s="4" t="n">
        <v>2991</v>
      </c>
      <c r="H875" s="4" t="n">
        <v>905</v>
      </c>
      <c r="I875" s="5" t="n">
        <v>276.2</v>
      </c>
      <c r="J875" s="5" t="n">
        <v>96.2</v>
      </c>
      <c r="K875" s="3" t="inlineStr">
        <is>
          <t>조율가능 2차선변 진입로넓음 토지모양 평탄화 컨디션최상</t>
        </is>
      </c>
      <c r="L875" s="6">
        <f>HYPERLINK("https://fin.land.naver.com/articles/2652943481", "매물Link")</f>
        <v/>
      </c>
      <c r="M875" s="6">
        <f>HYPERLINK("https://map.naver.com/p/search/부강면 문곡리 918-1", "지도Link")</f>
        <v/>
      </c>
      <c r="N875" s="6">
        <f>HYPERLINK("http://www.eum.go.kr/web/ar/lu/luLandDet.jsp?pnu=3611033025109180001&amp;isNoScr=script&amp;mode=search", "토지이음")</f>
        <v/>
      </c>
      <c r="O875" s="3" t="inlineStr">
        <is>
          <t>세종스타</t>
        </is>
      </c>
      <c r="P875" s="4" t="n">
        <v>1</v>
      </c>
      <c r="Q875" s="4" t="n">
        <v>2063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부강면 문곡리 산73-8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67000</v>
      </c>
      <c r="G876" s="4" t="n">
        <v>4426</v>
      </c>
      <c r="H876" s="4" t="n">
        <v>1339</v>
      </c>
      <c r="I876" s="5" t="n">
        <v>50</v>
      </c>
      <c r="J876" s="5" t="n">
        <v>5.8</v>
      </c>
      <c r="K876" s="3" t="inlineStr">
        <is>
          <t>도로확보조건이며, 정남향의 토지로 주택개발이나 투자 추천</t>
        </is>
      </c>
      <c r="L876" s="6">
        <f>HYPERLINK("https://fin.land.naver.com/articles/2648262020", "매물Link")</f>
        <v/>
      </c>
      <c r="M876" s="6">
        <f>HYPERLINK("https://map.naver.com/p/search/부강면 문곡리 산73-8", "지도Link")</f>
        <v/>
      </c>
      <c r="N876" s="6">
        <f>HYPERLINK("http://www.eum.go.kr/web/ar/lu/luLandDet.jsp?pnu=3611033025200730008&amp;isNoScr=script&amp;mode=search",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3426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정방형</t>
        </is>
      </c>
      <c r="V876" s="3" t="inlineStr">
        <is>
          <t>맹지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113-2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35000</v>
      </c>
      <c r="G879" s="4" t="n">
        <v>233</v>
      </c>
      <c r="H879" s="4" t="n">
        <v>70</v>
      </c>
      <c r="I879" s="5" t="n">
        <v>500</v>
      </c>
      <c r="J879" s="5" t="n">
        <v>190.6</v>
      </c>
      <c r="K879" s="3" t="inlineStr">
        <is>
          <t>5생활권 분양시작으로 인한 원투룸이 부족한상태이므로 다가구부지추천</t>
        </is>
      </c>
      <c r="L879" s="6">
        <f>HYPERLINK("https://fin.land.naver.com/articles/2648254762", "매물Link")</f>
        <v/>
      </c>
      <c r="M879" s="6">
        <f>HYPERLINK("https://map.naver.com/p/search/부강면 부강리 113-2", "지도Link")</f>
        <v/>
      </c>
      <c r="N879" s="6">
        <f>HYPERLINK("http://www.eum.go.kr/web/ar/lu/luLandDet.jsp?pnu=3611033021101130002&amp;isNoScr=script&amp;mode=search",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233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1215-2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58000</v>
      </c>
      <c r="G880" s="4" t="n">
        <v>766</v>
      </c>
      <c r="H880" s="4" t="n">
        <v>232</v>
      </c>
      <c r="I880" s="5" t="n">
        <v>250</v>
      </c>
      <c r="J880" s="5" t="n">
        <v>40</v>
      </c>
      <c r="K880" s="3" t="inlineStr">
        <is>
          <t>대토추천, 세로한면불토지</t>
        </is>
      </c>
      <c r="L880" s="6">
        <f>HYPERLINK("https://fin.land.naver.com/articles/2650179837", "매물Link")</f>
        <v/>
      </c>
      <c r="M880" s="6">
        <f>HYPERLINK("https://map.naver.com/p/search/부강면 부강리 1215-2", "지도Link")</f>
        <v/>
      </c>
      <c r="N880" s="6">
        <f>HYPERLINK("http://www.eum.go.kr/web/ar/lu/luLandDet.jsp?pnu=3611033021112150002&amp;isNoScr=script&amp;mode=search",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766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부강면 부강리 1230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170000</v>
      </c>
      <c r="G881" s="4" t="n">
        <v>2365</v>
      </c>
      <c r="H881" s="4" t="n">
        <v>715</v>
      </c>
      <c r="I881" s="5" t="n">
        <v>237.8</v>
      </c>
      <c r="J881" s="5" t="n">
        <v>37.7</v>
      </c>
      <c r="K881" s="3" t="inlineStr">
        <is>
          <t>계획관리지역, 농막, 비닐하우스, 성토완료, 지하수있음</t>
        </is>
      </c>
      <c r="L881" s="6">
        <f>HYPERLINK("https://fin.land.naver.com/articles/2648785151", "매물Link")</f>
        <v/>
      </c>
      <c r="M881" s="6">
        <f>HYPERLINK("https://map.naver.com/p/search/부강면 부강리 1230", "지도Link")</f>
        <v/>
      </c>
      <c r="N881" s="6">
        <f>HYPERLINK("http://www.eum.go.kr/web/ar/lu/luLandDet.jsp?pnu=3611033021112300000&amp;isNoScr=script&amp;mode=search", "토지이음")</f>
        <v/>
      </c>
      <c r="O881" s="3" t="inlineStr">
        <is>
          <t>이담</t>
        </is>
      </c>
      <c r="P881" s="4" t="n">
        <v>1</v>
      </c>
      <c r="Q881" s="4" t="n">
        <v>2365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부강면 부강리 1252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1000000</v>
      </c>
      <c r="G882" s="4" t="n">
        <v>8347</v>
      </c>
      <c r="H882" s="4" t="n">
        <v>2525</v>
      </c>
      <c r="I882" s="5" t="n">
        <v>396</v>
      </c>
      <c r="J882" s="5" t="n">
        <v>97.40000000000001</v>
      </c>
      <c r="K882" s="3" t="inlineStr">
        <is>
          <t>세종 부강면 부강리 소재 토지 잡종지라 활용 방향 검토 폭이 넓은 편 계</t>
        </is>
      </c>
      <c r="L882" s="6">
        <f>HYPERLINK("https://fin.land.naver.com/articles/2651604812", "매물Link")</f>
        <v/>
      </c>
      <c r="M882" s="6">
        <f>HYPERLINK("https://map.naver.com/p/search/부강면 부강리 1252", "지도Link")</f>
        <v/>
      </c>
      <c r="N882" s="6">
        <f>HYPERLINK("http://www.eum.go.kr/web/ar/lu/luLandDet.jsp?pnu=3611033021112520000&amp;isNoScr=script&amp;mode=search",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4832</v>
      </c>
      <c r="R882" s="3" t="inlineStr">
        <is>
          <t>지정되지않음</t>
        </is>
      </c>
      <c r="S882" s="3" t="inlineStr">
        <is>
          <t>공업나지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부강리 343-1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29500</v>
      </c>
      <c r="G883" s="4" t="n">
        <v>420</v>
      </c>
      <c r="H883" s="4" t="n">
        <v>127</v>
      </c>
      <c r="I883" s="5" t="n">
        <v>232.3</v>
      </c>
      <c r="J883" s="5" t="n">
        <v>94.90000000000001</v>
      </c>
      <c r="K883" s="3" t="inlineStr">
        <is>
          <t>코너각지땅모양예쁜땅,지대가높아확트인조망,행복도시10분이내</t>
        </is>
      </c>
      <c r="L883" s="6">
        <f>HYPERLINK("https://fin.land.naver.com/articles/2651590776", "매물Link")</f>
        <v/>
      </c>
      <c r="M883" s="6">
        <f>HYPERLINK("https://map.naver.com/p/search/부강면 부강리 343-1", "지도Link")</f>
        <v/>
      </c>
      <c r="N883" s="6">
        <f>HYPERLINK("http://www.eum.go.kr/web/ar/lu/luLandDet.jsp?pnu=3611033021103430001&amp;isNoScr=script&amp;mode=search", "토지이음")</f>
        <v/>
      </c>
      <c r="O883" s="3" t="inlineStr">
        <is>
          <t>타이밍</t>
        </is>
      </c>
      <c r="P883" s="4" t="n">
        <v>1</v>
      </c>
      <c r="Q883" s="4" t="n">
        <v>420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부강면 부강리 386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50000</v>
      </c>
      <c r="G884" s="4" t="n">
        <v>664</v>
      </c>
      <c r="H884" s="4" t="n">
        <v>201</v>
      </c>
      <c r="I884" s="5" t="n">
        <v>248.8</v>
      </c>
      <c r="J884" s="5" t="n">
        <v>110</v>
      </c>
      <c r="K884" s="3" t="inlineStr">
        <is>
          <t>5생활권 인근  주택  유통 할수 있고 미래 투자가치  좋은대지.</t>
        </is>
      </c>
      <c r="L884" s="6">
        <f>HYPERLINK("https://fin.land.naver.com/articles/2647755692", "매물Link")</f>
        <v/>
      </c>
      <c r="M884" s="6">
        <f>HYPERLINK("https://map.naver.com/p/search/부강면 부강리 386", "지도Link")</f>
        <v/>
      </c>
      <c r="N884" s="6">
        <f>HYPERLINK("http://www.eum.go.kr/web/ar/lu/luLandDet.jsp?pnu=3611033021103860000&amp;isNoScr=script&amp;mode=search", "토지이음")</f>
        <v/>
      </c>
      <c r="O884" s="3" t="inlineStr">
        <is>
          <t>강남뜰</t>
        </is>
      </c>
      <c r="P884" s="4" t="n">
        <v>1</v>
      </c>
      <c r="Q884" s="4" t="n">
        <v>664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446-13</t>
        </is>
      </c>
      <c r="B885" s="3" t="inlineStr">
        <is>
          <t>일반상업지역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140000</v>
      </c>
      <c r="G885" s="4" t="n">
        <v>522</v>
      </c>
      <c r="H885" s="4" t="n">
        <v>158</v>
      </c>
      <c r="I885" s="5" t="n">
        <v>886.1</v>
      </c>
      <c r="J885" s="5" t="n">
        <v>502.5</v>
      </c>
      <c r="K885" s="3" t="inlineStr">
        <is>
          <t>추천.  현재 식당 운영 입지좋은 위치 상업시설 짓기 좋은 곳</t>
        </is>
      </c>
      <c r="L885" s="6">
        <f>HYPERLINK("https://fin.land.naver.com/articles/2652475989", "매물Link")</f>
        <v/>
      </c>
      <c r="M885" s="6">
        <f>HYPERLINK("https://map.naver.com/p/search/부강면 부강리 446-13", "지도Link")</f>
        <v/>
      </c>
      <c r="N885" s="6">
        <f>HYPERLINK("http://www.eum.go.kr/web/ar/lu/luLandDet.jsp?pnu=3611033021104460013&amp;isNoScr=script&amp;mode=search", "토지이음")</f>
        <v/>
      </c>
      <c r="O885" s="3" t="inlineStr">
        <is>
          <t>한강롯데(단지내)</t>
        </is>
      </c>
      <c r="P885" s="4" t="n">
        <v>1</v>
      </c>
      <c r="Q885" s="4" t="n">
        <v>522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소로각지</t>
        </is>
      </c>
    </row>
    <row r="886">
      <c r="A886" s="3" t="inlineStr">
        <is>
          <t>부강면 부강리 457-3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95000</v>
      </c>
      <c r="G886" s="4" t="n">
        <v>767</v>
      </c>
      <c r="H886" s="4" t="n">
        <v>232</v>
      </c>
      <c r="I886" s="5" t="n">
        <v>409.5</v>
      </c>
      <c r="J886" s="5" t="n">
        <v>311.3</v>
      </c>
      <c r="K886" s="3" t="inlineStr">
        <is>
          <t>세종시의 주거 상업용지로  개발가치및 인프라좋은 저렴한 매물</t>
        </is>
      </c>
      <c r="L886" s="6">
        <f>HYPERLINK("https://fin.land.naver.com/articles/2651952349", "매물Link")</f>
        <v/>
      </c>
      <c r="M886" s="6">
        <f>HYPERLINK("https://map.naver.com/p/search/부강면 부강리 457-3", "지도Link")</f>
        <v/>
      </c>
      <c r="N886" s="6">
        <f>HYPERLINK("http://www.eum.go.kr/web/ar/lu/luLandDet.jsp?pnu=3611033021104570003&amp;isNoScr=script&amp;mode=search", "토지이음")</f>
        <v/>
      </c>
      <c r="O886" s="3" t="inlineStr">
        <is>
          <t>매그놀리아</t>
        </is>
      </c>
      <c r="P886" s="4" t="n">
        <v>2</v>
      </c>
      <c r="Q886" s="4" t="n">
        <v>767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부강리 486-3</t>
        </is>
      </c>
      <c r="B887" s="3" t="inlineStr">
        <is>
          <t>제2종일반주거지역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68000</v>
      </c>
      <c r="G887" s="4" t="n">
        <v>545</v>
      </c>
      <c r="H887" s="4" t="n">
        <v>165</v>
      </c>
      <c r="I887" s="5" t="n">
        <v>412.1</v>
      </c>
      <c r="J887" s="5" t="n">
        <v>204.5</v>
      </c>
      <c r="K887" s="3" t="inlineStr">
        <is>
          <t>부강초등학교 인근에 있는 일반주거지역으로 다가구주택 부지로 좋은 대지</t>
        </is>
      </c>
      <c r="L887" s="6">
        <f>HYPERLINK("https://fin.land.naver.com/articles/2651241494", "매물Link")</f>
        <v/>
      </c>
      <c r="M887" s="6">
        <f>HYPERLINK("https://map.naver.com/p/search/부강면 부강리 486-3", "지도Link")</f>
        <v/>
      </c>
      <c r="N887" s="6">
        <f>HYPERLINK("http://www.eum.go.kr/web/ar/lu/luLandDet.jsp?pnu=3611033021104860003&amp;isNoScr=script&amp;mode=search",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545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580-1</t>
        </is>
      </c>
      <c r="B888" s="3" t="inlineStr">
        <is>
          <t>일반공업지역</t>
        </is>
      </c>
      <c r="C888" s="3" t="inlineStr">
        <is>
          <t>답</t>
        </is>
      </c>
      <c r="D888" s="3" t="inlineStr">
        <is>
          <t>공장용지</t>
        </is>
      </c>
      <c r="E888" s="3" t="inlineStr">
        <is>
          <t>매매</t>
        </is>
      </c>
      <c r="F888" s="4" t="n">
        <v>346000</v>
      </c>
      <c r="G888" s="4" t="n">
        <v>3808</v>
      </c>
      <c r="H888" s="4" t="n">
        <v>1152</v>
      </c>
      <c r="I888" s="5" t="n">
        <v>300.3</v>
      </c>
      <c r="J888" s="5" t="n">
        <v>40.9</v>
      </c>
      <c r="K888" s="3" t="inlineStr">
        <is>
          <t>입지 좋은 접근성 최상의 토지, 대로 2류 착공 예정, 가격 상승 기대</t>
        </is>
      </c>
      <c r="L888" s="6">
        <f>HYPERLINK("https://fin.land.naver.com/articles/2651106962", "매물Link")</f>
        <v/>
      </c>
      <c r="M888" s="6">
        <f>HYPERLINK("https://map.naver.com/p/search/부강면 부강리 580-1", "지도Link")</f>
        <v/>
      </c>
      <c r="N888" s="6">
        <f>HYPERLINK("http://www.eum.go.kr/web/ar/lu/luLandDet.jsp?pnu=3611033021105800001&amp;isNoScr=script&amp;mode=search", "토지이음")</f>
        <v/>
      </c>
      <c r="O888" s="3" t="inlineStr">
        <is>
          <t>행복한무소</t>
        </is>
      </c>
      <c r="P888" s="4" t="n">
        <v>1</v>
      </c>
      <c r="Q888" s="4" t="n">
        <v>3127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세로한면(불)</t>
        </is>
      </c>
    </row>
    <row r="889">
      <c r="A889" s="3" t="inlineStr">
        <is>
          <t>부강면 부강리 717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66000</v>
      </c>
      <c r="G889" s="4" t="n">
        <v>545</v>
      </c>
      <c r="H889" s="4" t="n">
        <v>165</v>
      </c>
      <c r="I889" s="5" t="n">
        <v>400</v>
      </c>
      <c r="J889" s="5" t="n">
        <v>80.90000000000001</v>
      </c>
      <c r="K889" s="3" t="inlineStr">
        <is>
          <t>다용도로사용가능.현재사무실및창고용건물존재116.64제곱.금강변인접</t>
        </is>
      </c>
      <c r="L889" s="6">
        <f>HYPERLINK("https://fin.land.naver.com/articles/2648371246", "매물Link")</f>
        <v/>
      </c>
      <c r="M889" s="6">
        <f>HYPERLINK("https://map.naver.com/p/search/부강면 부강리 717", "지도Link")</f>
        <v/>
      </c>
      <c r="N889" s="6">
        <f>HYPERLINK("http://www.eum.go.kr/web/ar/lu/luLandDet.jsp?pnu=3611033021107170000&amp;isNoScr=script&amp;mode=search", "토지이음")</f>
        <v/>
      </c>
      <c r="O889" s="3" t="inlineStr">
        <is>
          <t>돈방석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부강리 729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34000</v>
      </c>
      <c r="G890" s="4" t="n">
        <v>894</v>
      </c>
      <c r="H890" s="4" t="n">
        <v>270</v>
      </c>
      <c r="I890" s="5" t="n">
        <v>125.9</v>
      </c>
      <c r="J890" s="5" t="n">
        <v>77.59999999999999</v>
      </c>
      <c r="K890" s="3" t="inlineStr">
        <is>
          <t>부강면과 북대전IC간 광역도로 개통 호재 있는 부강면 계획관리 대지 급매</t>
        </is>
      </c>
      <c r="L890" s="6">
        <f>HYPERLINK("https://fin.land.naver.com/articles/2651693416", "매물Link")</f>
        <v/>
      </c>
      <c r="M890" s="6">
        <f>HYPERLINK("https://map.naver.com/p/search/부강면 부강리 729", "지도Link")</f>
        <v/>
      </c>
      <c r="N890" s="6">
        <f>HYPERLINK("http://www.eum.go.kr/web/ar/lu/luLandDet.jsp?pnu=3611033021107290000&amp;isNoScr=script&amp;mode=search", "토지이음")</f>
        <v/>
      </c>
      <c r="O890" s="3" t="inlineStr">
        <is>
          <t>청담</t>
        </is>
      </c>
      <c r="P890" s="4" t="n">
        <v>1</v>
      </c>
      <c r="Q890" s="4" t="n">
        <v>600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758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28000</v>
      </c>
      <c r="G891" s="4" t="n">
        <v>634</v>
      </c>
      <c r="H891" s="4" t="n">
        <v>192</v>
      </c>
      <c r="I891" s="5" t="n">
        <v>145.8</v>
      </c>
      <c r="J891" s="5" t="n">
        <v>40.8</v>
      </c>
      <c r="K891" s="3" t="inlineStr">
        <is>
          <t>도로 인접</t>
        </is>
      </c>
      <c r="L891" s="6">
        <f>HYPERLINK("https://fin.land.naver.com/articles/2648271909", "매물Link")</f>
        <v/>
      </c>
      <c r="M891" s="6">
        <f>HYPERLINK("https://map.naver.com/p/search/부강면 부강리 758", "지도Link")</f>
        <v/>
      </c>
      <c r="N891" s="6">
        <f>HYPERLINK("http://www.eum.go.kr/web/ar/lu/luLandDet.jsp?pnu=3611033021107580000&amp;isNoScr=script&amp;mode=search", "토지이음")</f>
        <v/>
      </c>
      <c r="O891" s="3" t="inlineStr">
        <is>
          <t>세종제일1</t>
        </is>
      </c>
      <c r="P891" s="4" t="n">
        <v>2</v>
      </c>
      <c r="Q891" s="4" t="n">
        <v>631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825-4</t>
        </is>
      </c>
      <c r="B892" s="3" t="inlineStr">
        <is>
          <t>생산녹지지역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45000</v>
      </c>
      <c r="G892" s="4" t="n">
        <v>1337</v>
      </c>
      <c r="H892" s="4" t="n">
        <v>404</v>
      </c>
      <c r="I892" s="5" t="n">
        <v>111.4</v>
      </c>
      <c r="J892" s="5" t="n">
        <v>30.9</v>
      </c>
      <c r="K892" s="3" t="inlineStr">
        <is>
          <t>급매,가격협의가능, 대토 또는 투자로 추천</t>
        </is>
      </c>
      <c r="L892" s="6">
        <f>HYPERLINK("https://fin.land.naver.com/articles/2652281535", "매물Link")</f>
        <v/>
      </c>
      <c r="M892" s="6">
        <f>HYPERLINK("https://map.naver.com/p/search/부강면 부강리 825-4", "지도Link")</f>
        <v/>
      </c>
      <c r="N892" s="6">
        <f>HYPERLINK("http://www.eum.go.kr/web/ar/lu/luLandDet.jsp?pnu=3611033021108250004&amp;isNoScr=script&amp;mode=search", "토지이음")</f>
        <v/>
      </c>
      <c r="O892" s="3" t="inlineStr">
        <is>
          <t>담뜰</t>
        </is>
      </c>
      <c r="P892" s="4" t="n">
        <v>1</v>
      </c>
      <c r="Q892" s="4" t="n">
        <v>1337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맹지</t>
        </is>
      </c>
    </row>
    <row r="893">
      <c r="A893" s="3" t="inlineStr">
        <is>
          <t>부강면 부강리 885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279000</v>
      </c>
      <c r="G893" s="4" t="n">
        <v>3075</v>
      </c>
      <c r="H893" s="4" t="n">
        <v>930</v>
      </c>
      <c r="I893" s="5" t="n">
        <v>300</v>
      </c>
      <c r="J893" s="5" t="n">
        <v>34.4</v>
      </c>
      <c r="K893" s="3" t="inlineStr">
        <is>
          <t>도시지역,2차선접,땅모양좋아요</t>
        </is>
      </c>
      <c r="L893" s="6">
        <f>HYPERLINK("https://fin.land.naver.com/articles/2650425544", "매물Link")</f>
        <v/>
      </c>
      <c r="M893" s="6">
        <f>HYPERLINK("https://map.naver.com/p/search/부강면 부강리 885", "지도Link")</f>
        <v/>
      </c>
      <c r="N893" s="6">
        <f>HYPERLINK("http://www.eum.go.kr/web/ar/lu/luLandDet.jsp?pnu=3611033021108850000&amp;isNoScr=script&amp;mode=search", "토지이음")</f>
        <v/>
      </c>
      <c r="O893" s="3" t="inlineStr">
        <is>
          <t>힐스테이트행복</t>
        </is>
      </c>
      <c r="P893" s="4" t="n">
        <v>1</v>
      </c>
      <c r="Q893" s="4" t="n">
        <v>833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부강면 부강리 888-1</t>
        </is>
      </c>
      <c r="B894" s="3" t="inlineStr">
        <is>
          <t>생산녹지지역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58000</v>
      </c>
      <c r="G894" s="4" t="n">
        <v>1758</v>
      </c>
      <c r="H894" s="4" t="n">
        <v>532</v>
      </c>
      <c r="I894" s="5" t="n">
        <v>109</v>
      </c>
      <c r="J894" s="5" t="n">
        <v>38.9</v>
      </c>
      <c r="K894" s="3" t="inlineStr">
        <is>
          <t>행복도시완성시  큰그림을 그릴수있는 위치의 토지로 주택이나 장기투자</t>
        </is>
      </c>
      <c r="L894" s="6">
        <f>HYPERLINK("https://fin.land.naver.com/articles/2652072270", "매물Link")</f>
        <v/>
      </c>
      <c r="M894" s="6">
        <f>HYPERLINK("https://map.naver.com/p/search/부강면 부강리 888-1", "지도Link")</f>
        <v/>
      </c>
      <c r="N894" s="6">
        <f>HYPERLINK("http://www.eum.go.kr/web/ar/lu/luLandDet.jsp?pnu=3611033021108880001&amp;isNoScr=script&amp;mode=search",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1759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894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28000</v>
      </c>
      <c r="G895" s="4" t="n">
        <v>733</v>
      </c>
      <c r="H895" s="4" t="n">
        <v>222</v>
      </c>
      <c r="I895" s="5" t="n">
        <v>126.1</v>
      </c>
      <c r="J895" s="5" t="n">
        <v>40.9</v>
      </c>
      <c r="K895" s="3" t="inlineStr">
        <is>
          <t>소액으로 투자할수있는 가격저렴한 작은토지로 최상</t>
        </is>
      </c>
      <c r="L895" s="6">
        <f>HYPERLINK("https://fin.land.naver.com/articles/2650178056", "매물Link")</f>
        <v/>
      </c>
      <c r="M895" s="6">
        <f>HYPERLINK("https://map.naver.com/p/search/부강면 부강리 894", "지도Link")</f>
        <v/>
      </c>
      <c r="N895" s="6">
        <f>HYPERLINK("http://www.eum.go.kr/web/ar/lu/luLandDet.jsp?pnu=3611033021108940000&amp;isNoScr=script&amp;mode=search",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735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세로한면(불)</t>
        </is>
      </c>
    </row>
    <row r="896">
      <c r="A896" s="3" t="inlineStr">
        <is>
          <t>부강면 부강리 933-7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697</v>
      </c>
      <c r="H896" s="4" t="n">
        <v>211</v>
      </c>
      <c r="I896" s="5" t="n">
        <v>402.8</v>
      </c>
      <c r="J896" s="5" t="n">
        <v>53.1</v>
      </c>
      <c r="K896" s="3" t="inlineStr">
        <is>
          <t>nan</t>
        </is>
      </c>
      <c r="L896" s="6">
        <f>HYPERLINK("https://fin.land.naver.com/articles/2649292999", "매물Link")</f>
        <v/>
      </c>
      <c r="M896" s="6">
        <f>HYPERLINK("https://map.naver.com/p/search/부강면 부강리 933-7", "지도Link")</f>
        <v/>
      </c>
      <c r="N896" s="6">
        <f>HYPERLINK("http://www.eum.go.kr/web/ar/lu/luLandDet.jsp?pnu=3611033021109330007&amp;isNoScr=script&amp;mode=search", "토지이음")</f>
        <v/>
      </c>
      <c r="O896" s="3" t="inlineStr">
        <is>
          <t>해밀마을공간</t>
        </is>
      </c>
      <c r="P896" s="4" t="n">
        <v>1</v>
      </c>
      <c r="Q896" s="4" t="n">
        <v>696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중로한면</t>
        </is>
      </c>
    </row>
    <row r="897">
      <c r="A897" s="3" t="inlineStr">
        <is>
          <t>부강면 부강리 951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35000</v>
      </c>
      <c r="G897" s="4" t="n">
        <v>288</v>
      </c>
      <c r="H897" s="4" t="n">
        <v>87</v>
      </c>
      <c r="I897" s="5" t="n">
        <v>402.3</v>
      </c>
      <c r="J897" s="5" t="n">
        <v>172.3</v>
      </c>
      <c r="K897" s="3" t="inlineStr">
        <is>
          <t>급매, 절충가능한 다가구 주택 부지로 적합한 제2종일반주거지역의 토지</t>
        </is>
      </c>
      <c r="L897" s="6">
        <f>HYPERLINK("https://fin.land.naver.com/articles/2647476137", "매물Link")</f>
        <v/>
      </c>
      <c r="M897" s="6">
        <f>HYPERLINK("https://map.naver.com/p/search/부강면 부강리 951", "지도Link")</f>
        <v/>
      </c>
      <c r="N897" s="6">
        <f>HYPERLINK("http://www.eum.go.kr/web/ar/lu/luLandDet.jsp?pnu=3611033021109510000&amp;isNoScr=script&amp;mode=search", "토지이음")</f>
        <v/>
      </c>
      <c r="O897" s="3" t="inlineStr">
        <is>
          <t>스마일세종</t>
        </is>
      </c>
      <c r="P897" s="4" t="n">
        <v>1</v>
      </c>
      <c r="Q897" s="4" t="n">
        <v>288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부강리 955-1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1002</v>
      </c>
      <c r="H898" s="4" t="n">
        <v>303</v>
      </c>
      <c r="I898" s="5" t="n">
        <v>280.5</v>
      </c>
      <c r="J898" s="5" t="n">
        <v>50.6</v>
      </c>
      <c r="K898" s="3" t="inlineStr">
        <is>
          <t>nan</t>
        </is>
      </c>
      <c r="L898" s="6">
        <f>HYPERLINK("https://fin.land.naver.com/articles/2650177835", "매물Link")</f>
        <v/>
      </c>
      <c r="M898" s="6">
        <f>HYPERLINK("https://map.naver.com/p/search/부강면 부강리 955-1", "지도Link")</f>
        <v/>
      </c>
      <c r="N898" s="6">
        <f>HYPERLINK("http://www.eum.go.kr/web/ar/lu/luLandDet.jsp?pnu=3611033021109550001&amp;isNoScr=script&amp;mode=search",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1002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부강면 부강리 961-1</t>
        </is>
      </c>
      <c r="B899" s="3" t="inlineStr">
        <is>
          <t>제2종일반주거지역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200000</v>
      </c>
      <c r="G899" s="4" t="n">
        <v>1220</v>
      </c>
      <c r="H899" s="4" t="n">
        <v>369</v>
      </c>
      <c r="I899" s="5" t="n">
        <v>542</v>
      </c>
      <c r="J899" s="5" t="n">
        <v>172.3</v>
      </c>
      <c r="K899" s="3" t="inlineStr">
        <is>
          <t>부강리 제2종일반주거지역으로 다가구 주택을 지으면 수익율 좋은 토지입니다</t>
        </is>
      </c>
      <c r="L899" s="6">
        <f>HYPERLINK("https://fin.land.naver.com/articles/2651928780", "매물Link")</f>
        <v/>
      </c>
      <c r="M899" s="6">
        <f>HYPERLINK("https://map.naver.com/p/search/부강면 부강리 961-1", "지도Link")</f>
        <v/>
      </c>
      <c r="N899" s="6">
        <f>HYPERLINK("http://www.eum.go.kr/web/ar/lu/luLandDet.jsp?pnu=3611033021109610001&amp;isNoScr=script&amp;mode=search",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1049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967-4</t>
        </is>
      </c>
      <c r="B900" s="3" t="inlineStr">
        <is>
          <t>제2종일반주거지역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120000</v>
      </c>
      <c r="G900" s="4" t="n">
        <v>990</v>
      </c>
      <c r="H900" s="4" t="n">
        <v>299</v>
      </c>
      <c r="I900" s="5" t="n">
        <v>401.3</v>
      </c>
      <c r="J900" s="5" t="n">
        <v>179.6</v>
      </c>
      <c r="K900" s="3" t="inlineStr">
        <is>
          <t>nan</t>
        </is>
      </c>
      <c r="L900" s="6">
        <f>HYPERLINK("https://fin.land.naver.com/articles/2647515151", "매물Link")</f>
        <v/>
      </c>
      <c r="M900" s="6">
        <f>HYPERLINK("https://map.naver.com/p/search/부강면 부강리 967-4", "지도Link")</f>
        <v/>
      </c>
      <c r="N900" s="6">
        <f>HYPERLINK("http://www.eum.go.kr/web/ar/lu/luLandDet.jsp?pnu=3611033021109670004&amp;isNoScr=script&amp;mode=search", "토지이음")</f>
        <v/>
      </c>
      <c r="O900" s="3" t="inlineStr">
        <is>
          <t>안성대로</t>
        </is>
      </c>
      <c r="P900" s="4" t="n">
        <v>1</v>
      </c>
      <c r="Q900" s="4" t="n">
        <v>990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부강면 부강리 973-26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40000</v>
      </c>
      <c r="G901" s="4" t="n">
        <v>331</v>
      </c>
      <c r="H901" s="4" t="n">
        <v>100</v>
      </c>
      <c r="I901" s="5" t="n">
        <v>400</v>
      </c>
      <c r="J901" s="5" t="n">
        <v>179.6</v>
      </c>
      <c r="K901" s="3" t="inlineStr">
        <is>
          <t>8미터 계획도로접한 2종일반주거 다가구,상가 건축가능 오배수연결완료됨</t>
        </is>
      </c>
      <c r="L901" s="6">
        <f>HYPERLINK("https://fin.land.naver.com/articles/2652983558", "매물Link")</f>
        <v/>
      </c>
      <c r="M901" s="6">
        <f>HYPERLINK("https://map.naver.com/p/search/부강면 부강리 973-26", "지도Link")</f>
        <v/>
      </c>
      <c r="N901" s="6">
        <f>HYPERLINK("http://www.eum.go.kr/web/ar/lu/luLandDet.jsp?pnu=3611033021109730026&amp;isNoScr=script&amp;mode=search", "토지이음")</f>
        <v/>
      </c>
      <c r="O901" s="3" t="inlineStr">
        <is>
          <t>향기나는방</t>
        </is>
      </c>
      <c r="P901" s="4" t="n">
        <v>1</v>
      </c>
      <c r="Q901" s="4" t="n">
        <v>311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부강면 부강리 973-3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35000</v>
      </c>
      <c r="G902" s="4" t="n">
        <v>263</v>
      </c>
      <c r="H902" s="4" t="n">
        <v>80</v>
      </c>
      <c r="I902" s="5" t="n">
        <v>437.5</v>
      </c>
      <c r="J902" s="5" t="n">
        <v>179.6</v>
      </c>
      <c r="K902" s="3" t="inlineStr">
        <is>
          <t>8미터 계획도로접한 2종일반주거 다가구,상가 건축가능 오배수연결완료됨</t>
        </is>
      </c>
      <c r="L902" s="6">
        <f>HYPERLINK("https://fin.land.naver.com/articles/2652983187", "매물Link")</f>
        <v/>
      </c>
      <c r="M902" s="6">
        <f>HYPERLINK("https://map.naver.com/p/search/부강면 부강리 973-3", "지도Link")</f>
        <v/>
      </c>
      <c r="N902" s="6">
        <f>HYPERLINK("http://www.eum.go.kr/web/ar/lu/luLandDet.jsp?pnu=3611033021109730003&amp;isNoScr=script&amp;mode=search", "토지이음")</f>
        <v/>
      </c>
      <c r="O902" s="3" t="inlineStr">
        <is>
          <t>향기나는방</t>
        </is>
      </c>
      <c r="P902" s="4" t="n">
        <v>1</v>
      </c>
      <c r="Q902" s="4" t="n">
        <v>263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산수리 128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42500</v>
      </c>
      <c r="G903" s="4" t="n">
        <v>934</v>
      </c>
      <c r="H903" s="4" t="n">
        <v>283</v>
      </c>
      <c r="I903" s="5" t="n">
        <v>150.2</v>
      </c>
      <c r="J903" s="5" t="n">
        <v>53.5</v>
      </c>
      <c r="K903" s="3" t="inlineStr">
        <is>
          <t>계획관리 대지 전원주택용 투자처로 추천</t>
        </is>
      </c>
      <c r="L903" s="6">
        <f>HYPERLINK("https://fin.land.naver.com/articles/2652998399", "매물Link")</f>
        <v/>
      </c>
      <c r="M903" s="6">
        <f>HYPERLINK("https://map.naver.com/p/search/부강면 산수리 128", "지도Link")</f>
        <v/>
      </c>
      <c r="N903" s="6">
        <f>HYPERLINK("http://www.eum.go.kr/web/ar/lu/luLandDet.jsp?pnu=3611033023101280000&amp;isNoScr=script&amp;mode=search",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934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산수리 162-1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42000</v>
      </c>
      <c r="G904" s="4" t="n">
        <v>1712</v>
      </c>
      <c r="H904" s="4" t="n">
        <v>518</v>
      </c>
      <c r="I904" s="5" t="n">
        <v>81.09999999999999</v>
      </c>
      <c r="J904" s="5" t="n">
        <v>35.2</v>
      </c>
      <c r="K904" s="3" t="inlineStr">
        <is>
          <t>식재된 나무 포함한 가격이며, 정남향의 아늑한토지</t>
        </is>
      </c>
      <c r="L904" s="6">
        <f>HYPERLINK("https://fin.land.naver.com/articles/2652065200", "매물Link")</f>
        <v/>
      </c>
      <c r="M904" s="6">
        <f>HYPERLINK("https://map.naver.com/p/search/부강면 산수리 162-1", "지도Link")</f>
        <v/>
      </c>
      <c r="N904" s="6">
        <f>HYPERLINK("http://www.eum.go.kr/web/ar/lu/luLandDet.jsp?pnu=3611033023101620001&amp;isNoScr=script&amp;mode=search",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1228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산수리 207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38000</v>
      </c>
      <c r="G905" s="4" t="n">
        <v>943</v>
      </c>
      <c r="H905" s="4" t="n">
        <v>285</v>
      </c>
      <c r="I905" s="5" t="n">
        <v>133.3</v>
      </c>
      <c r="J905" s="5" t="n">
        <v>32.8</v>
      </c>
      <c r="K905" s="3" t="inlineStr">
        <is>
          <t>계획관리 투자 또는 전원생활 최적지로 강력 추천</t>
        </is>
      </c>
      <c r="L905" s="6">
        <f>HYPERLINK("https://fin.land.naver.com/articles/2648544454", "매물Link")</f>
        <v/>
      </c>
      <c r="M905" s="6">
        <f>HYPERLINK("https://map.naver.com/p/search/부강면 산수리 207", "지도Link")</f>
        <v/>
      </c>
      <c r="N905" s="6">
        <f>HYPERLINK("http://www.eum.go.kr/web/ar/lu/luLandDet.jsp?pnu=3611033023102070000&amp;isNoScr=script&amp;mode=search",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943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세로각지(불)</t>
        </is>
      </c>
    </row>
    <row r="906">
      <c r="A906" s="3" t="inlineStr">
        <is>
          <t>부강면 산수리 243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100000</v>
      </c>
      <c r="G906" s="4" t="n">
        <v>5421</v>
      </c>
      <c r="H906" s="4" t="n">
        <v>1640</v>
      </c>
      <c r="I906" s="5" t="n">
        <v>61</v>
      </c>
      <c r="J906" s="5" t="n">
        <v>64.59999999999999</v>
      </c>
      <c r="K906" s="3" t="inlineStr">
        <is>
          <t>주택허가축사경작지 일괄, 축산승계귀농농장 추천</t>
        </is>
      </c>
      <c r="L906" s="6">
        <f>HYPERLINK("https://fin.land.naver.com/articles/2649836388", "매물Link")</f>
        <v/>
      </c>
      <c r="M906" s="6">
        <f>HYPERLINK("https://map.naver.com/p/search/부강면 산수리 243", "지도Link")</f>
        <v/>
      </c>
      <c r="N906" s="6">
        <f>HYPERLINK("http://www.eum.go.kr/web/ar/lu/luLandDet.jsp?pnu=3611033023102430000&amp;isNoScr=script&amp;mode=search", "토지이음")</f>
        <v/>
      </c>
      <c r="O906" s="3" t="inlineStr">
        <is>
          <t>세종소담황금</t>
        </is>
      </c>
      <c r="P906" s="4" t="n">
        <v>1</v>
      </c>
      <c r="Q906" s="4" t="n">
        <v>660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세로한면(가)</t>
        </is>
      </c>
    </row>
    <row r="907">
      <c r="A907" s="3" t="inlineStr">
        <is>
          <t>부강면 산수리 243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100000</v>
      </c>
      <c r="G907" s="4" t="n">
        <v>5421</v>
      </c>
      <c r="H907" s="4" t="n">
        <v>1640</v>
      </c>
      <c r="I907" s="5" t="n">
        <v>61</v>
      </c>
      <c r="J907" s="5" t="n">
        <v>64.59999999999999</v>
      </c>
      <c r="K907" s="3" t="inlineStr">
        <is>
          <t>세종시 부강면 주택, 축사·부속시설, 전 사통팔달 교통,계획관리알짜 급매</t>
        </is>
      </c>
      <c r="L907" s="6">
        <f>HYPERLINK("https://fin.land.naver.com/articles/2650006026", "매물Link")</f>
        <v/>
      </c>
      <c r="M907" s="6">
        <f>HYPERLINK("https://map.naver.com/p/search/부강면 산수리 243", "지도Link")</f>
        <v/>
      </c>
      <c r="N907" s="6">
        <f>HYPERLINK("http://www.eum.go.kr/web/ar/lu/luLandDet.jsp?pnu=3611033023102430000&amp;isNoScr=script&amp;mode=search", "토지이음")</f>
        <v/>
      </c>
      <c r="O907" s="3" t="inlineStr">
        <is>
          <t>세종</t>
        </is>
      </c>
      <c r="P907" s="4" t="n">
        <v>2</v>
      </c>
      <c r="Q907" s="4" t="n">
        <v>660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세로한면(가)</t>
        </is>
      </c>
    </row>
    <row r="908">
      <c r="A908" s="3" t="inlineStr">
        <is>
          <t>부강면 산수리 243-2</t>
        </is>
      </c>
      <c r="B908" s="3" t="inlineStr">
        <is>
          <t>계획관리지역</t>
        </is>
      </c>
      <c r="C908" s="3" t="inlineStr">
        <is>
          <t>목장용지</t>
        </is>
      </c>
      <c r="D908" s="3" t="inlineStr">
        <is>
          <t>목장용지</t>
        </is>
      </c>
      <c r="E908" s="3" t="inlineStr">
        <is>
          <t>매매</t>
        </is>
      </c>
      <c r="F908" s="4" t="n">
        <v>147600</v>
      </c>
      <c r="G908" s="4" t="n">
        <v>5421</v>
      </c>
      <c r="H908" s="4" t="n">
        <v>1640</v>
      </c>
      <c r="I908" s="5" t="n">
        <v>90</v>
      </c>
      <c r="J908" s="5" t="n">
        <v>33.6</v>
      </c>
      <c r="K908" s="3" t="inlineStr">
        <is>
          <t>투자유망 세종관내 목장, 주택등 매매</t>
        </is>
      </c>
      <c r="L908" s="6">
        <f>HYPERLINK("https://fin.land.naver.com/articles/2648634114", "매물Link")</f>
        <v/>
      </c>
      <c r="M908" s="6">
        <f>HYPERLINK("https://map.naver.com/p/search/부강면 산수리 243-2", "지도Link")</f>
        <v/>
      </c>
      <c r="N908" s="6">
        <f>HYPERLINK("http://www.eum.go.kr/web/ar/lu/luLandDet.jsp?pnu=3611033023102430002&amp;isNoScr=script&amp;mode=search", "토지이음")</f>
        <v/>
      </c>
      <c r="O908" s="3" t="inlineStr">
        <is>
          <t>대하</t>
        </is>
      </c>
      <c r="P908" s="4" t="n">
        <v>1</v>
      </c>
      <c r="Q908" s="4" t="n">
        <v>2503</v>
      </c>
      <c r="R908" s="3" t="inlineStr">
        <is>
          <t>지정되지않음</t>
        </is>
      </c>
      <c r="S908" s="3" t="inlineStr">
        <is>
          <t>전축사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243-2</t>
        </is>
      </c>
      <c r="B909" s="3" t="inlineStr">
        <is>
          <t>계획관리지역</t>
        </is>
      </c>
      <c r="C909" s="3" t="inlineStr">
        <is>
          <t>목장용지</t>
        </is>
      </c>
      <c r="D909" s="3" t="inlineStr">
        <is>
          <t>목장용지</t>
        </is>
      </c>
      <c r="E909" s="3" t="inlineStr">
        <is>
          <t>매매</t>
        </is>
      </c>
      <c r="F909" s="4" t="n">
        <v>100000</v>
      </c>
      <c r="G909" s="4" t="n">
        <v>5429</v>
      </c>
      <c r="H909" s="4" t="n">
        <v>1642</v>
      </c>
      <c r="I909" s="5" t="n">
        <v>60.9</v>
      </c>
      <c r="J909" s="5" t="n">
        <v>33.6</v>
      </c>
      <c r="K909" s="3" t="inlineStr">
        <is>
          <t>세종시 부강면 목장용지, 단독주택, 전으로 구성된 4필지 통매매가 10억</t>
        </is>
      </c>
      <c r="L909" s="6">
        <f>HYPERLINK("https://fin.land.naver.com/articles/2650228512", "매물Link")</f>
        <v/>
      </c>
      <c r="M909" s="6">
        <f>HYPERLINK("https://map.naver.com/p/search/부강면 산수리 243-2", "지도Link")</f>
        <v/>
      </c>
      <c r="N909" s="6">
        <f>HYPERLINK("http://www.eum.go.kr/web/ar/lu/luLandDet.jsp?pnu=3611033023102430002&amp;isNoScr=script&amp;mode=search", "토지이음")</f>
        <v/>
      </c>
      <c r="O909" s="3" t="inlineStr">
        <is>
          <t>5프로</t>
        </is>
      </c>
      <c r="P909" s="4" t="n">
        <v>1</v>
      </c>
      <c r="Q909" s="4" t="n">
        <v>2503</v>
      </c>
      <c r="R909" s="3" t="inlineStr">
        <is>
          <t>지정되지않음</t>
        </is>
      </c>
      <c r="S909" s="3" t="inlineStr">
        <is>
          <t>전축사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산수리 35-7</t>
        </is>
      </c>
      <c r="B910" s="3" t="inlineStr">
        <is>
          <t>농림지역</t>
        </is>
      </c>
      <c r="C910" s="3" t="inlineStr">
        <is>
          <t>창고용지</t>
        </is>
      </c>
      <c r="D910" s="3" t="inlineStr">
        <is>
          <t>창고용지</t>
        </is>
      </c>
      <c r="E910" s="3" t="inlineStr">
        <is>
          <t>매매</t>
        </is>
      </c>
      <c r="F910" s="4" t="n">
        <v>56000</v>
      </c>
      <c r="G910" s="4" t="n">
        <v>1237</v>
      </c>
      <c r="H910" s="4" t="n">
        <v>374</v>
      </c>
      <c r="I910" s="5" t="n">
        <v>149.7</v>
      </c>
      <c r="J910" s="5" t="n">
        <v>24.3</v>
      </c>
      <c r="K910" s="3" t="inlineStr">
        <is>
          <t>농림지역, 현 창고 ,산수삼거리 인접, 창고, 편의점, 소매, 고물상추천</t>
        </is>
      </c>
      <c r="L910" s="6">
        <f>HYPERLINK("https://fin.land.naver.com/articles/2650412987", "매물Link")</f>
        <v/>
      </c>
      <c r="M910" s="6">
        <f>HYPERLINK("https://map.naver.com/p/search/부강면 산수리 35-7", "지도Link")</f>
        <v/>
      </c>
      <c r="N910" s="6">
        <f>HYPERLINK("http://www.eum.go.kr/web/ar/lu/luLandDet.jsp?pnu=3611033023100350007&amp;isNoScr=script&amp;mode=search", "토지이음")</f>
        <v/>
      </c>
      <c r="O910" s="3" t="inlineStr">
        <is>
          <t>청주모충사모1/2LH트릴로채명성</t>
        </is>
      </c>
      <c r="P910" s="4" t="n">
        <v>1</v>
      </c>
      <c r="Q910" s="4" t="n">
        <v>1237</v>
      </c>
      <c r="R910" s="3" t="inlineStr">
        <is>
          <t>지정되지않음</t>
        </is>
      </c>
      <c r="S910" s="3" t="inlineStr">
        <is>
          <t>전창고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부강면 산수리 366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40000</v>
      </c>
      <c r="G911" s="4" t="n">
        <v>3719</v>
      </c>
      <c r="H911" s="4" t="n">
        <v>1125</v>
      </c>
      <c r="I911" s="5" t="n">
        <v>35.6</v>
      </c>
      <c r="J911" s="5" t="n">
        <v>17.6</v>
      </c>
      <c r="K911" s="3" t="inlineStr">
        <is>
          <t>nan</t>
        </is>
      </c>
      <c r="L911" s="6">
        <f>HYPERLINK("https://fin.land.naver.com/articles/2649606859", "매물Link")</f>
        <v/>
      </c>
      <c r="M911" s="6">
        <f>HYPERLINK("https://map.naver.com/p/search/부강면 산수리 366", "지도Link")</f>
        <v/>
      </c>
      <c r="N911" s="6">
        <f>HYPERLINK("http://www.eum.go.kr/web/ar/lu/luLandDet.jsp?pnu=3611033023103660000&amp;isNoScr=script&amp;mode=search", "토지이음")</f>
        <v/>
      </c>
      <c r="O911" s="3" t="inlineStr">
        <is>
          <t>행복가득한</t>
        </is>
      </c>
      <c r="P911" s="4" t="n">
        <v>1</v>
      </c>
      <c r="Q911" s="4" t="n">
        <v>3719.7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세로한면(불)</t>
        </is>
      </c>
    </row>
    <row r="912">
      <c r="A912" s="3" t="inlineStr">
        <is>
          <t>부강면 산수리 397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31000</v>
      </c>
      <c r="G912" s="4" t="n">
        <v>3650</v>
      </c>
      <c r="H912" s="4" t="n">
        <v>1104</v>
      </c>
      <c r="I912" s="5" t="n">
        <v>28.1</v>
      </c>
      <c r="J912" s="5" t="n">
        <v>18</v>
      </c>
      <c r="K912" s="3" t="inlineStr">
        <is>
          <t>농지 급매  세종시 농지 매도합니다. 대토 추천</t>
        </is>
      </c>
      <c r="L912" s="6">
        <f>HYPERLINK("https://fin.land.naver.com/articles/2649906361", "매물Link")</f>
        <v/>
      </c>
      <c r="M912" s="6">
        <f>HYPERLINK("https://map.naver.com/p/search/부강면 산수리 397", "지도Link")</f>
        <v/>
      </c>
      <c r="N912" s="6">
        <f>HYPERLINK("http://www.eum.go.kr/web/ar/lu/luLandDet.jsp?pnu=3611033023103970000&amp;isNoScr=script&amp;mode=search", "토지이음")</f>
        <v/>
      </c>
      <c r="O912" s="3" t="inlineStr">
        <is>
          <t>미스터홈즈강남지사</t>
        </is>
      </c>
      <c r="P912" s="4" t="n">
        <v>1</v>
      </c>
      <c r="Q912" s="4" t="n">
        <v>3650.9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부강면 산수리 539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2201</v>
      </c>
      <c r="H913" s="4" t="n">
        <v>666</v>
      </c>
      <c r="I913" s="5" t="n">
        <v>60.1</v>
      </c>
      <c r="J913" s="5" t="n">
        <v>17.9</v>
      </c>
      <c r="K913" s="3" t="inlineStr">
        <is>
          <t>세종시 부강면에 위치한 토지 매매</t>
        </is>
      </c>
      <c r="L913" s="6">
        <f>HYPERLINK("https://fin.land.naver.com/articles/2647590296", "매물Link")</f>
        <v/>
      </c>
      <c r="M913" s="6">
        <f>HYPERLINK("https://map.naver.com/p/search/부강면 산수리 539", "지도Link")</f>
        <v/>
      </c>
      <c r="N913" s="6">
        <f>HYPERLINK("http://www.eum.go.kr/web/ar/lu/luLandDet.jsp?pnu=3611033023105390000&amp;isNoScr=script&amp;mode=search",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2201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산수리 92-2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대</t>
        </is>
      </c>
      <c r="E914" s="3" t="inlineStr">
        <is>
          <t>매매</t>
        </is>
      </c>
      <c r="F914" s="4" t="n">
        <v>35000</v>
      </c>
      <c r="G914" s="4" t="n">
        <v>1352</v>
      </c>
      <c r="H914" s="4" t="n">
        <v>409</v>
      </c>
      <c r="I914" s="5" t="n">
        <v>85.59999999999999</v>
      </c>
      <c r="J914" s="5" t="n">
        <v>37.2</v>
      </c>
      <c r="K914" s="3" t="inlineStr">
        <is>
          <t>산수리 계획관리지역 대지 전 매매</t>
        </is>
      </c>
      <c r="L914" s="6">
        <f>HYPERLINK("https://fin.land.naver.com/articles/2652837621", "매물Link")</f>
        <v/>
      </c>
      <c r="M914" s="6">
        <f>HYPERLINK("https://map.naver.com/p/search/부강면 산수리 92-2", "지도Link")</f>
        <v/>
      </c>
      <c r="N914" s="6">
        <f>HYPERLINK("http://www.eum.go.kr/web/ar/lu/luLandDet.jsp?pnu=3611033023100920002&amp;isNoScr=script&amp;mode=search", "토지이음")</f>
        <v/>
      </c>
      <c r="O914" s="3" t="inlineStr">
        <is>
          <t>진성</t>
        </is>
      </c>
      <c r="P914" s="4" t="n">
        <v>1</v>
      </c>
      <c r="Q914" s="4" t="n">
        <v>939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산수리 92-2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35000</v>
      </c>
      <c r="G915" s="4" t="n">
        <v>1352</v>
      </c>
      <c r="H915" s="4" t="n">
        <v>409</v>
      </c>
      <c r="I915" s="5" t="n">
        <v>85.59999999999999</v>
      </c>
      <c r="J915" s="5" t="n">
        <v>37.2</v>
      </c>
      <c r="K915" s="3" t="inlineStr">
        <is>
          <t>산수리 계획관리지역으로 전과 대로 이뤄진 2필지 급매</t>
        </is>
      </c>
      <c r="L915" s="6">
        <f>HYPERLINK("https://fin.land.naver.com/articles/2652535526", "매물Link")</f>
        <v/>
      </c>
      <c r="M915" s="6">
        <f>HYPERLINK("https://map.naver.com/p/search/부강면 산수리 92-2", "지도Link")</f>
        <v/>
      </c>
      <c r="N915" s="6">
        <f>HYPERLINK("http://www.eum.go.kr/web/ar/lu/luLandDet.jsp?pnu=3611033023100920002&amp;isNoScr=script&amp;mode=search", "토지이음")</f>
        <v/>
      </c>
      <c r="O915" s="3" t="inlineStr">
        <is>
          <t>세종대장</t>
        </is>
      </c>
      <c r="P915" s="4" t="n">
        <v>1</v>
      </c>
      <c r="Q915" s="4" t="n">
        <v>939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118-11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16000</v>
      </c>
      <c r="G916" s="4" t="n">
        <v>155</v>
      </c>
      <c r="H916" s="4" t="n">
        <v>47</v>
      </c>
      <c r="I916" s="5" t="n">
        <v>340.4</v>
      </c>
      <c r="J916" s="5" t="n">
        <v>53.8</v>
      </c>
      <c r="K916" s="3" t="inlineStr">
        <is>
          <t>nan</t>
        </is>
      </c>
      <c r="L916" s="6">
        <f>HYPERLINK("https://fin.land.naver.com/articles/2653076920", "매물Link")</f>
        <v/>
      </c>
      <c r="M916" s="6">
        <f>HYPERLINK("https://map.naver.com/p/search/부강면 행산리 118-11", "지도Link")</f>
        <v/>
      </c>
      <c r="N916" s="6">
        <f>HYPERLINK("http://www.eum.go.kr/web/ar/lu/luLandDet.jsp?pnu=3611033022101180011&amp;isNoScr=script&amp;mode=search", "토지이음")</f>
        <v/>
      </c>
      <c r="O916" s="3" t="inlineStr">
        <is>
          <t>세종제일1</t>
        </is>
      </c>
      <c r="P916" s="4" t="n">
        <v>1</v>
      </c>
      <c r="Q916" s="4" t="n">
        <v>155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행산리 141-11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33900</v>
      </c>
      <c r="G917" s="4" t="n">
        <v>1130</v>
      </c>
      <c r="H917" s="4" t="n">
        <v>342</v>
      </c>
      <c r="I917" s="5" t="n">
        <v>99.09999999999999</v>
      </c>
      <c r="J917" s="5" t="n">
        <v>25</v>
      </c>
      <c r="K917" s="3" t="inlineStr">
        <is>
          <t>농사짓는 도로 인접</t>
        </is>
      </c>
      <c r="L917" s="6">
        <f>HYPERLINK("https://fin.land.naver.com/articles/2653077327", "매물Link")</f>
        <v/>
      </c>
      <c r="M917" s="6">
        <f>HYPERLINK("https://map.naver.com/p/search/부강면 행산리 141-11", "지도Link")</f>
        <v/>
      </c>
      <c r="N917" s="6">
        <f>HYPERLINK("http://www.eum.go.kr/web/ar/lu/luLandDet.jsp?pnu=3611033022101410011&amp;isNoScr=script&amp;mode=search", "토지이음")</f>
        <v/>
      </c>
      <c r="O917" s="3" t="inlineStr">
        <is>
          <t>세종제일1</t>
        </is>
      </c>
      <c r="P917" s="4" t="n">
        <v>1</v>
      </c>
      <c r="Q917" s="4" t="n">
        <v>1130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부강면 행산리 163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33000</v>
      </c>
      <c r="G918" s="4" t="n">
        <v>1359</v>
      </c>
      <c r="H918" s="4" t="n">
        <v>411</v>
      </c>
      <c r="I918" s="5" t="n">
        <v>80.3</v>
      </c>
      <c r="J918" s="5" t="n">
        <v>38</v>
      </c>
      <c r="K918" s="3" t="inlineStr">
        <is>
          <t>청주전용도로 부근의 작고 아담한 계획관리 토지</t>
        </is>
      </c>
      <c r="L918" s="6">
        <f>HYPERLINK("https://fin.land.naver.com/articles/2650177374", "매물Link")</f>
        <v/>
      </c>
      <c r="M918" s="6">
        <f>HYPERLINK("https://map.naver.com/p/search/부강면 행산리 163", "지도Link")</f>
        <v/>
      </c>
      <c r="N918" s="6">
        <f>HYPERLINK("http://www.eum.go.kr/web/ar/lu/luLandDet.jsp?pnu=3611033022101630000&amp;isNoScr=script&amp;mode=search", "토지이음")</f>
        <v/>
      </c>
      <c r="O918" s="3" t="inlineStr">
        <is>
          <t>연동스카이</t>
        </is>
      </c>
      <c r="P918" s="4" t="n">
        <v>2</v>
      </c>
      <c r="Q918" s="4" t="n">
        <v>1359</v>
      </c>
      <c r="R918" s="3" t="inlineStr">
        <is>
          <t>농림지역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223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64000</v>
      </c>
      <c r="G919" s="4" t="n">
        <v>3034</v>
      </c>
      <c r="H919" s="4" t="n">
        <v>918</v>
      </c>
      <c r="I919" s="5" t="n">
        <v>69.7</v>
      </c>
      <c r="J919" s="5" t="n">
        <v>26.8</v>
      </c>
      <c r="K919" s="3" t="inlineStr">
        <is>
          <t>2차선 도로에서 30m 떨어진 계획관리토지로 공장이나 창고추천</t>
        </is>
      </c>
      <c r="L919" s="6">
        <f>HYPERLINK("https://fin.land.naver.com/articles/2648255658", "매물Link")</f>
        <v/>
      </c>
      <c r="M919" s="6">
        <f>HYPERLINK("https://map.naver.com/p/search/부강면 행산리 223", "지도Link")</f>
        <v/>
      </c>
      <c r="N919" s="6">
        <f>HYPERLINK("http://www.eum.go.kr/web/ar/lu/luLandDet.jsp?pnu=3611033022102230000&amp;isNoScr=script&amp;mode=search", "토지이음")</f>
        <v/>
      </c>
      <c r="O919" s="3" t="inlineStr">
        <is>
          <t>연동스카이</t>
        </is>
      </c>
      <c r="P919" s="4" t="n">
        <v>1</v>
      </c>
      <c r="Q919" s="4" t="n">
        <v>2066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부강면 행산리 224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85000</v>
      </c>
      <c r="G920" s="4" t="n">
        <v>1660</v>
      </c>
      <c r="H920" s="4" t="n">
        <v>502</v>
      </c>
      <c r="I920" s="5" t="n">
        <v>169.3</v>
      </c>
      <c r="J920" s="5" t="n">
        <v>34.1</v>
      </c>
      <c r="K920" s="3" t="inlineStr">
        <is>
          <t>세종시 부강면 행산리 2차선 도로변  토지 매매</t>
        </is>
      </c>
      <c r="L920" s="6">
        <f>HYPERLINK("https://fin.land.naver.com/articles/2650697330", "매물Link")</f>
        <v/>
      </c>
      <c r="M920" s="6">
        <f>HYPERLINK("https://map.naver.com/p/search/부강면 행산리 224", "지도Link")</f>
        <v/>
      </c>
      <c r="N920" s="6">
        <f>HYPERLINK("http://www.eum.go.kr/web/ar/lu/luLandDet.jsp?pnu=3611033022102240000&amp;isNoScr=script&amp;mode=search", "토지이음")</f>
        <v/>
      </c>
      <c r="O920" s="3" t="inlineStr">
        <is>
          <t>세종행복한</t>
        </is>
      </c>
      <c r="P920" s="4" t="n">
        <v>1</v>
      </c>
      <c r="Q920" s="4" t="n">
        <v>1660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296</t>
        </is>
      </c>
      <c r="B921" s="3" t="inlineStr">
        <is>
          <t>계획관리지역</t>
        </is>
      </c>
      <c r="C921" s="3" t="inlineStr">
        <is>
          <t>목장용지</t>
        </is>
      </c>
      <c r="D921" s="3" t="inlineStr">
        <is>
          <t>목장용지</t>
        </is>
      </c>
      <c r="E921" s="3" t="inlineStr">
        <is>
          <t>매매</t>
        </is>
      </c>
      <c r="F921" s="4" t="n">
        <v>196500</v>
      </c>
      <c r="G921" s="4" t="n">
        <v>2713</v>
      </c>
      <c r="H921" s="4" t="n">
        <v>821</v>
      </c>
      <c r="I921" s="5" t="n">
        <v>239.3</v>
      </c>
      <c r="J921" s="5" t="n">
        <v>71.5</v>
      </c>
      <c r="K921" s="3" t="inlineStr">
        <is>
          <t>부강면 계획관리지역 목장용지, 토지 5,143.4제곱미터 매매</t>
        </is>
      </c>
      <c r="L921" s="6">
        <f>HYPERLINK("https://fin.land.naver.com/articles/2648919249", "매물Link")</f>
        <v/>
      </c>
      <c r="M921" s="6">
        <f>HYPERLINK("https://map.naver.com/p/search/부강면 행산리 296", "지도Link")</f>
        <v/>
      </c>
      <c r="N921" s="6">
        <f>HYPERLINK("http://www.eum.go.kr/web/ar/lu/luLandDet.jsp?pnu=3611033022102960000&amp;isNoScr=script&amp;mode=search", "토지이음")</f>
        <v/>
      </c>
      <c r="O921" s="3" t="inlineStr">
        <is>
          <t>진행</t>
        </is>
      </c>
      <c r="P921" s="4" t="n">
        <v>2</v>
      </c>
      <c r="Q921" s="4" t="n">
        <v>2713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부강면 행산리 389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52000</v>
      </c>
      <c r="G922" s="4" t="n">
        <v>1725</v>
      </c>
      <c r="H922" s="4" t="n">
        <v>522</v>
      </c>
      <c r="I922" s="5" t="n">
        <v>99.59999999999999</v>
      </c>
      <c r="J922" s="5" t="n">
        <v>24.8</v>
      </c>
      <c r="K922" s="3" t="inlineStr">
        <is>
          <t>계획관리지역의 과수원으로 전기 및 인터넷, 상수도 배수시설이 완비된 토지</t>
        </is>
      </c>
      <c r="L922" s="6">
        <f>HYPERLINK("https://fin.land.naver.com/articles/2649861654", "매물Link")</f>
        <v/>
      </c>
      <c r="M922" s="6">
        <f>HYPERLINK("https://map.naver.com/p/search/부강면 행산리 389", "지도Link")</f>
        <v/>
      </c>
      <c r="N922" s="6">
        <f>HYPERLINK("http://www.eum.go.kr/web/ar/lu/luLandDet.jsp?pnu=3611033022103890000&amp;isNoScr=script&amp;mode=search", "토지이음")</f>
        <v/>
      </c>
      <c r="O922" s="3" t="inlineStr">
        <is>
          <t>스마일세종</t>
        </is>
      </c>
      <c r="P922" s="4" t="n">
        <v>2</v>
      </c>
      <c r="Q922" s="4" t="n">
        <v>1725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52000</v>
      </c>
      <c r="G923" s="4" t="n">
        <v>1725</v>
      </c>
      <c r="H923" s="4" t="n">
        <v>522</v>
      </c>
      <c r="I923" s="5" t="n">
        <v>99.59999999999999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HYPERLINK("https://fin.land.naver.com/articles/2649493659", "매물Link")</f>
        <v/>
      </c>
      <c r="M923" s="6">
        <f>HYPERLINK("https://map.naver.com/p/search/부강면 행산리 389", "지도Link")</f>
        <v/>
      </c>
      <c r="N923" s="6">
        <f>HYPERLINK("http://www.eum.go.kr/web/ar/lu/luLandDet.jsp?pnu=3611033022103890000&amp;isNoScr=script&amp;mode=search",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1725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389-3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23600</v>
      </c>
      <c r="G926" s="4" t="n">
        <v>779</v>
      </c>
      <c r="H926" s="4" t="n">
        <v>236</v>
      </c>
      <c r="I926" s="5" t="n">
        <v>100</v>
      </c>
      <c r="J926" s="5" t="n">
        <v>24.8</v>
      </c>
      <c r="K926" s="3" t="inlineStr">
        <is>
          <t>계획관리지역의 과수원으로 농촌 체류형 쉼터나 공방 및 전원주택지로 좋은</t>
        </is>
      </c>
      <c r="L926" s="6">
        <f>HYPERLINK("https://fin.land.naver.com/articles/2650242112", "매물Link")</f>
        <v/>
      </c>
      <c r="M926" s="6">
        <f>HYPERLINK("https://map.naver.com/p/search/부강면 행산리 389-3", "지도Link")</f>
        <v/>
      </c>
      <c r="N926" s="6">
        <f>HYPERLINK("http://www.eum.go.kr/web/ar/lu/luLandDet.jsp?pnu=3611033022103890003&amp;isNoScr=script&amp;mode=search", "토지이음")</f>
        <v/>
      </c>
      <c r="O926" s="3" t="inlineStr">
        <is>
          <t>스마일세종</t>
        </is>
      </c>
      <c r="P926" s="4" t="n">
        <v>1</v>
      </c>
      <c r="Q926" s="4" t="n">
        <v>779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389-3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23600</v>
      </c>
      <c r="G927" s="4" t="n">
        <v>779</v>
      </c>
      <c r="H927" s="4" t="n">
        <v>236</v>
      </c>
      <c r="I927" s="5" t="n">
        <v>100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HYPERLINK("https://fin.land.naver.com/articles/2649114293", "매물Link")</f>
        <v/>
      </c>
      <c r="M927" s="6">
        <f>HYPERLINK("https://map.naver.com/p/search/부강면 행산리 389-3", "지도Link")</f>
        <v/>
      </c>
      <c r="N927" s="6">
        <f>HYPERLINK("http://www.eum.go.kr/web/ar/lu/luLandDet.jsp?pnu=3611033022103890003&amp;isNoScr=script&amp;mode=search",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779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389-4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15000</v>
      </c>
      <c r="G928" s="4" t="n">
        <v>494</v>
      </c>
      <c r="H928" s="4" t="n">
        <v>149</v>
      </c>
      <c r="I928" s="5" t="n">
        <v>100.7</v>
      </c>
      <c r="J928" s="5" t="n">
        <v>24.8</v>
      </c>
      <c r="K928" s="3" t="inlineStr">
        <is>
          <t>급매,도로접한 계획관리지역,다용도 사용목적 가능,투자용 추천</t>
        </is>
      </c>
      <c r="L928" s="6">
        <f>HYPERLINK("https://fin.land.naver.com/articles/2649114004", "매물Link")</f>
        <v/>
      </c>
      <c r="M928" s="6">
        <f>HYPERLINK("https://map.naver.com/p/search/부강면 행산리 389-4", "지도Link")</f>
        <v/>
      </c>
      <c r="N928" s="6">
        <f>HYPERLINK("http://www.eum.go.kr/web/ar/lu/luLandDet.jsp?pnu=3611033022103890004&amp;isNoScr=script&amp;mode=search", "토지이음")</f>
        <v/>
      </c>
      <c r="O928" s="3" t="inlineStr">
        <is>
          <t>고운맘</t>
        </is>
      </c>
      <c r="P928" s="4" t="n">
        <v>1</v>
      </c>
      <c r="Q928" s="4" t="n">
        <v>494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389-4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15000</v>
      </c>
      <c r="G929" s="4" t="n">
        <v>494</v>
      </c>
      <c r="H929" s="4" t="n">
        <v>149</v>
      </c>
      <c r="I929" s="5" t="n">
        <v>100.7</v>
      </c>
      <c r="J929" s="5" t="n">
        <v>24.8</v>
      </c>
      <c r="K929" s="3" t="inlineStr">
        <is>
          <t>행산리 황금필지, 세종5생활권의 최대의 수익지 , 건축바로가능</t>
        </is>
      </c>
      <c r="L929" s="6">
        <f>HYPERLINK("https://fin.land.naver.com/articles/2652566007", "매물Link")</f>
        <v/>
      </c>
      <c r="M929" s="6">
        <f>HYPERLINK("https://map.naver.com/p/search/부강면 행산리 389-4", "지도Link")</f>
        <v/>
      </c>
      <c r="N929" s="6">
        <f>HYPERLINK("http://www.eum.go.kr/web/ar/lu/luLandDet.jsp?pnu=3611033022103890004&amp;isNoScr=script&amp;mode=search", "토지이음")</f>
        <v/>
      </c>
      <c r="O929" s="3" t="inlineStr">
        <is>
          <t>이담</t>
        </is>
      </c>
      <c r="P929" s="4" t="n">
        <v>3</v>
      </c>
      <c r="Q929" s="4" t="n">
        <v>494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393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82000</v>
      </c>
      <c r="G930" s="4" t="n">
        <v>8984</v>
      </c>
      <c r="H930" s="4" t="n">
        <v>2718</v>
      </c>
      <c r="I930" s="5" t="n">
        <v>30.2</v>
      </c>
      <c r="J930" s="5" t="n">
        <v>19.6</v>
      </c>
      <c r="K930" s="3" t="inlineStr">
        <is>
          <t>nan</t>
        </is>
      </c>
      <c r="L930" s="6">
        <f>HYPERLINK("https://fin.land.naver.com/articles/2650179359", "매물Link")</f>
        <v/>
      </c>
      <c r="M930" s="6">
        <f>HYPERLINK("https://map.naver.com/p/search/부강면 행산리 393", "지도Link")</f>
        <v/>
      </c>
      <c r="N930" s="6">
        <f>HYPERLINK("http://www.eum.go.kr/web/ar/lu/luLandDet.jsp?pnu=3611033022103930000&amp;isNoScr=script&amp;mode=search", "토지이음")</f>
        <v/>
      </c>
      <c r="O930" s="3" t="inlineStr">
        <is>
          <t>연동스카이</t>
        </is>
      </c>
      <c r="P930" s="4" t="n">
        <v>1</v>
      </c>
      <c r="Q930" s="4" t="n">
        <v>3269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447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24800</v>
      </c>
      <c r="G931" s="4" t="n">
        <v>1490</v>
      </c>
      <c r="H931" s="4" t="n">
        <v>451</v>
      </c>
      <c r="I931" s="5" t="n">
        <v>55</v>
      </c>
      <c r="J931" s="5" t="n">
        <v>18.3</v>
      </c>
      <c r="K931" s="3" t="inlineStr">
        <is>
          <t>대토농지로 추천</t>
        </is>
      </c>
      <c r="L931" s="6">
        <f>HYPERLINK("https://fin.land.naver.com/articles/2651993752", "매물Link")</f>
        <v/>
      </c>
      <c r="M931" s="6">
        <f>HYPERLINK("https://map.naver.com/p/search/부강면 행산리 447", "지도Link")</f>
        <v/>
      </c>
      <c r="N931" s="6">
        <f>HYPERLINK("http://www.eum.go.kr/web/ar/lu/luLandDet.jsp?pnu=3611033022104470000&amp;isNoScr=script&amp;mode=search", "토지이음")</f>
        <v/>
      </c>
      <c r="O931" s="3" t="inlineStr">
        <is>
          <t>담뜰</t>
        </is>
      </c>
      <c r="P931" s="4" t="n">
        <v>2</v>
      </c>
      <c r="Q931" s="4" t="n">
        <v>1490.7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447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24800</v>
      </c>
      <c r="G932" s="4" t="n">
        <v>1491</v>
      </c>
      <c r="H932" s="4" t="n">
        <v>451</v>
      </c>
      <c r="I932" s="5" t="n">
        <v>55</v>
      </c>
      <c r="J932" s="5" t="n">
        <v>18.3</v>
      </c>
      <c r="K932" s="3" t="inlineStr">
        <is>
          <t>매매가 할인2,200만원 대토농지</t>
        </is>
      </c>
      <c r="L932" s="6">
        <f>HYPERLINK("https://fin.land.naver.com/articles/2651396371", "매물Link")</f>
        <v/>
      </c>
      <c r="M932" s="6">
        <f>HYPERLINK("https://map.naver.com/p/search/부강면 행산리 447", "지도Link")</f>
        <v/>
      </c>
      <c r="N932" s="6">
        <f>HYPERLINK("http://www.eum.go.kr/web/ar/lu/luLandDet.jsp?pnu=3611033022104470000&amp;isNoScr=script&amp;mode=search", "토지이음")</f>
        <v/>
      </c>
      <c r="O932" s="3" t="inlineStr">
        <is>
          <t>로데오상가</t>
        </is>
      </c>
      <c r="P932" s="4" t="n">
        <v>1</v>
      </c>
      <c r="Q932" s="4" t="n">
        <v>1490.7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448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129600</v>
      </c>
      <c r="G933" s="4" t="n">
        <v>7791</v>
      </c>
      <c r="H933" s="4" t="n">
        <v>2357</v>
      </c>
      <c r="I933" s="5" t="n">
        <v>55</v>
      </c>
      <c r="J933" s="5" t="n">
        <v>18.3</v>
      </c>
      <c r="K933" s="3" t="inlineStr">
        <is>
          <t>행산리 농림지역 대토 농지 논 답</t>
        </is>
      </c>
      <c r="L933" s="6">
        <f>HYPERLINK("https://fin.land.naver.com/articles/2651396542", "매물Link")</f>
        <v/>
      </c>
      <c r="M933" s="6">
        <f>HYPERLINK("https://map.naver.com/p/search/부강면 행산리 448", "지도Link")</f>
        <v/>
      </c>
      <c r="N933" s="6">
        <f>HYPERLINK("http://www.eum.go.kr/web/ar/lu/luLandDet.jsp?pnu=3611033022104480000&amp;isNoScr=script&amp;mode=search", "토지이음")</f>
        <v/>
      </c>
      <c r="O933" s="3" t="inlineStr">
        <is>
          <t>로데오상가</t>
        </is>
      </c>
      <c r="P933" s="4" t="n">
        <v>2</v>
      </c>
      <c r="Q933" s="4" t="n">
        <v>7790.7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448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141000</v>
      </c>
      <c r="G934" s="4" t="n">
        <v>7790</v>
      </c>
      <c r="H934" s="4" t="n">
        <v>2356</v>
      </c>
      <c r="I934" s="5" t="n">
        <v>59.8</v>
      </c>
      <c r="J934" s="5" t="n">
        <v>18.3</v>
      </c>
      <c r="K934" s="3" t="inlineStr">
        <is>
          <t>2차선 도로 인접 토지 매매</t>
        </is>
      </c>
      <c r="L934" s="6">
        <f>HYPERLINK("https://fin.land.naver.com/articles/2653135877", "매물Link")</f>
        <v/>
      </c>
      <c r="M934" s="6">
        <f>HYPERLINK("https://map.naver.com/p/search/부강면 행산리 448", "지도Link")</f>
        <v/>
      </c>
      <c r="N934" s="6">
        <f>HYPERLINK("http://www.eum.go.kr/web/ar/lu/luLandDet.jsp?pnu=3611033022104480000&amp;isNoScr=script&amp;mode=search", "토지이음")</f>
        <v/>
      </c>
      <c r="O934" s="3" t="inlineStr">
        <is>
          <t>주식회사넥서스</t>
        </is>
      </c>
      <c r="P934" s="4" t="n">
        <v>4</v>
      </c>
      <c r="Q934" s="4" t="n">
        <v>7790.7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448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129000</v>
      </c>
      <c r="G935" s="4" t="n">
        <v>7790</v>
      </c>
      <c r="H935" s="4" t="n">
        <v>2356</v>
      </c>
      <c r="I935" s="5" t="n">
        <v>54.8</v>
      </c>
      <c r="J935" s="5" t="n">
        <v>18.3</v>
      </c>
      <c r="K935" s="3" t="inlineStr">
        <is>
          <t>부강면 행산리 2차선 도로에 접한 투자용 토지 급매물입니다</t>
        </is>
      </c>
      <c r="L935" s="6">
        <f>HYPERLINK("https://fin.land.naver.com/articles/2651951463", "매물Link")</f>
        <v/>
      </c>
      <c r="M935" s="6">
        <f>HYPERLINK("https://map.naver.com/p/search/부강면 행산리 448", "지도Link")</f>
        <v/>
      </c>
      <c r="N935" s="6">
        <f>HYPERLINK("http://www.eum.go.kr/web/ar/lu/luLandDet.jsp?pnu=3611033022104480000&amp;isNoScr=script&amp;mode=search", "토지이음")</f>
        <v/>
      </c>
      <c r="O935" s="3" t="inlineStr">
        <is>
          <t>스마일세종</t>
        </is>
      </c>
      <c r="P935" s="4" t="n">
        <v>4</v>
      </c>
      <c r="Q935" s="4" t="n">
        <v>7790.7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552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38000</v>
      </c>
      <c r="G936" s="4" t="n">
        <v>2853</v>
      </c>
      <c r="H936" s="4" t="n">
        <v>863</v>
      </c>
      <c r="I936" s="5" t="n">
        <v>44</v>
      </c>
      <c r="J936" s="5" t="n">
        <v>16.9</v>
      </c>
      <c r="K936" s="3" t="inlineStr">
        <is>
          <t>급매물 입니다 평당 45만원 입니다.</t>
        </is>
      </c>
      <c r="L936" s="6">
        <f>HYPERLINK("https://fin.land.naver.com/articles/2649632999", "매물Link")</f>
        <v/>
      </c>
      <c r="M936" s="6">
        <f>HYPERLINK("https://map.naver.com/p/search/부강면 행산리 552", "지도Link")</f>
        <v/>
      </c>
      <c r="N936" s="6">
        <f>HYPERLINK("http://www.eum.go.kr/web/ar/lu/luLandDet.jsp?pnu=3611033022105520000&amp;isNoScr=script&amp;mode=search", "토지이음")</f>
        <v/>
      </c>
      <c r="O936" s="3" t="inlineStr">
        <is>
          <t>승미</t>
        </is>
      </c>
      <c r="P936" s="4" t="n">
        <v>2</v>
      </c>
      <c r="Q936" s="4" t="n">
        <v>2853.3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615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57600</v>
      </c>
      <c r="G937" s="4" t="n">
        <v>1871</v>
      </c>
      <c r="H937" s="4" t="n">
        <v>566</v>
      </c>
      <c r="I937" s="5" t="n">
        <v>101.8</v>
      </c>
      <c r="J937" s="5" t="n">
        <v>18.1</v>
      </c>
      <c r="K937" s="3" t="inlineStr">
        <is>
          <t>급매 아스콘 포장도로에 길게 접한 농림지역의 답으로 농업용 창고나 투자용</t>
        </is>
      </c>
      <c r="L937" s="6">
        <f>HYPERLINK("https://fin.land.naver.com/articles/2650731936", "매물Link")</f>
        <v/>
      </c>
      <c r="M937" s="6">
        <f>HYPERLINK("https://map.naver.com/p/search/부강면 행산리 615", "지도Link")</f>
        <v/>
      </c>
      <c r="N937" s="6">
        <f>HYPERLINK("http://www.eum.go.kr/web/ar/lu/luLandDet.jsp?pnu=3611033022106150000&amp;isNoScr=script&amp;mode=search",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1871.1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부강면 행산리 산65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18300</v>
      </c>
      <c r="G938" s="4" t="n">
        <v>6236</v>
      </c>
      <c r="H938" s="4" t="n">
        <v>1886</v>
      </c>
      <c r="I938" s="5" t="n">
        <v>9.699999999999999</v>
      </c>
      <c r="J938" s="5" t="n">
        <v>2.6</v>
      </c>
      <c r="K938" s="3" t="inlineStr">
        <is>
          <t>현황도로 접, 뽕나무 등 식재, 자연인  이나 휴식용공간으로 추천</t>
        </is>
      </c>
      <c r="L938" s="6">
        <f>HYPERLINK("https://fin.land.naver.com/articles/2649547090", "매물Link")</f>
        <v/>
      </c>
      <c r="M938" s="6">
        <f>HYPERLINK("https://map.naver.com/p/search/부강면 행산리 산65", "지도Link")</f>
        <v/>
      </c>
      <c r="N938" s="6">
        <f>HYPERLINK("http://www.eum.go.kr/web/ar/lu/luLandDet.jsp?pnu=3611033022200650000&amp;isNoScr=script&amp;mode=search", "토지이음")</f>
        <v/>
      </c>
      <c r="O938" s="3" t="inlineStr">
        <is>
          <t>박단아사사무소</t>
        </is>
      </c>
      <c r="P938" s="4" t="n">
        <v>1</v>
      </c>
      <c r="Q938" s="4" t="n">
        <v>6236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아름동 1016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51000</v>
      </c>
      <c r="G939" s="4" t="n">
        <v>291</v>
      </c>
      <c r="H939" s="4" t="n">
        <v>88</v>
      </c>
      <c r="I939" s="5" t="n">
        <v>579.5</v>
      </c>
      <c r="J939" s="5" t="n">
        <v>331.9</v>
      </c>
      <c r="K939" s="3" t="inlineStr">
        <is>
          <t>동문에 남향 집 지을 수 있는 땅</t>
        </is>
      </c>
      <c r="L939" s="6">
        <f>HYPERLINK("https://fin.land.naver.com/articles/2652409741", "매물Link")</f>
        <v/>
      </c>
      <c r="M939" s="6">
        <f>HYPERLINK("https://map.naver.com/p/search/아름동 1016", "지도Link")</f>
        <v/>
      </c>
      <c r="N939" s="6">
        <f>HYPERLINK("http://www.eum.go.kr/web/ar/lu/luLandDet.jsp?pnu=3611011300110160000&amp;isNoScr=script&amp;mode=search", "토지이음")</f>
        <v/>
      </c>
      <c r="O939" s="3" t="inlineStr">
        <is>
          <t>세종다정랜드</t>
        </is>
      </c>
      <c r="P939" s="4" t="n">
        <v>1</v>
      </c>
      <c r="Q939" s="4" t="n">
        <v>291.5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소로한면</t>
        </is>
      </c>
    </row>
    <row r="940">
      <c r="A940" s="3" t="inlineStr">
        <is>
          <t>아름동 1037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331</v>
      </c>
      <c r="H940" s="4" t="n">
        <v>100</v>
      </c>
      <c r="I940" s="5" t="n">
        <v>650</v>
      </c>
      <c r="J940" s="5" t="n">
        <v>335.5</v>
      </c>
      <c r="K940" s="3" t="inlineStr">
        <is>
          <t>총 100.5p, 위치좋은 아름동 단독주택지 토지</t>
        </is>
      </c>
      <c r="L940" s="6">
        <f>HYPERLINK("https://fin.land.naver.com/articles/2649022307", "매물Link")</f>
        <v/>
      </c>
      <c r="M940" s="6">
        <f>HYPERLINK("https://map.naver.com/p/search/아름동 1037", "지도Link")</f>
        <v/>
      </c>
      <c r="N940" s="6">
        <f>HYPERLINK("http://www.eum.go.kr/web/ar/lu/luLandDet.jsp?pnu=3611011300110370000&amp;isNoScr=script&amp;mode=search",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331.9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1037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331</v>
      </c>
      <c r="H941" s="4" t="n">
        <v>100</v>
      </c>
      <c r="I941" s="5" t="n">
        <v>650</v>
      </c>
      <c r="J941" s="5" t="n">
        <v>335.5</v>
      </c>
      <c r="K941" s="3" t="inlineStr">
        <is>
          <t>전용100.5p, 국제고인근, 아름동 단독주택지</t>
        </is>
      </c>
      <c r="L941" s="6">
        <f>HYPERLINK("https://fin.land.naver.com/articles/2652837740", "매물Link")</f>
        <v/>
      </c>
      <c r="M941" s="6">
        <f>HYPERLINK("https://map.naver.com/p/search/아름동 1037", "지도Link")</f>
        <v/>
      </c>
      <c r="N941" s="6">
        <f>HYPERLINK("http://www.eum.go.kr/web/ar/lu/luLandDet.jsp?pnu=3611011300110370000&amp;isNoScr=script&amp;mode=search",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331.9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1049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363</v>
      </c>
      <c r="H942" s="4" t="n">
        <v>110</v>
      </c>
      <c r="I942" s="5" t="n">
        <v>754.5</v>
      </c>
      <c r="J942" s="5" t="n">
        <v>366.6</v>
      </c>
      <c r="K942" s="3" t="inlineStr">
        <is>
          <t>코너각지, 위치와 접근성 좋은 전원주택지</t>
        </is>
      </c>
      <c r="L942" s="6">
        <f>HYPERLINK("https://fin.land.naver.com/articles/2648804023", "매물Link")</f>
        <v/>
      </c>
      <c r="M942" s="6">
        <f>HYPERLINK("https://map.naver.com/p/search/아름동 1049", "지도Link")</f>
        <v/>
      </c>
      <c r="N942" s="6">
        <f>HYPERLINK("http://www.eum.go.kr/web/ar/lu/luLandDet.jsp?pnu=3611011300110490000&amp;isNoScr=script&amp;mode=search", "토지이음")</f>
        <v/>
      </c>
      <c r="O942" s="3" t="inlineStr">
        <is>
          <t>부엉이</t>
        </is>
      </c>
      <c r="P942" s="4" t="n">
        <v>1</v>
      </c>
      <c r="Q942" s="4" t="n">
        <v>363.6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소로각지</t>
        </is>
      </c>
    </row>
    <row r="943">
      <c r="A943" s="3" t="inlineStr">
        <is>
          <t>아름동 1049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363</v>
      </c>
      <c r="H943" s="4" t="n">
        <v>110</v>
      </c>
      <c r="I943" s="5" t="n">
        <v>754.5</v>
      </c>
      <c r="J943" s="5" t="n">
        <v>366.6</v>
      </c>
      <c r="K943" s="3" t="inlineStr">
        <is>
          <t>nan</t>
        </is>
      </c>
      <c r="L943" s="6">
        <f>HYPERLINK("https://fin.land.naver.com/articles/2652410495", "매물Link")</f>
        <v/>
      </c>
      <c r="M943" s="6">
        <f>HYPERLINK("https://map.naver.com/p/search/아름동 1049", "지도Link")</f>
        <v/>
      </c>
      <c r="N943" s="6">
        <f>HYPERLINK("http://www.eum.go.kr/web/ar/lu/luLandDet.jsp?pnu=3611011300110490000&amp;isNoScr=script&amp;mode=search", "토지이음")</f>
        <v/>
      </c>
      <c r="O943" s="3" t="inlineStr">
        <is>
          <t>생명나무</t>
        </is>
      </c>
      <c r="P943" s="4" t="n">
        <v>1</v>
      </c>
      <c r="Q943" s="4" t="n">
        <v>363.6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소로각지</t>
        </is>
      </c>
    </row>
    <row r="944">
      <c r="A944" s="3" t="inlineStr">
        <is>
          <t>아름동 1079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357</v>
      </c>
      <c r="H944" s="4" t="n">
        <v>108</v>
      </c>
      <c r="I944" s="5" t="n">
        <v>601.9</v>
      </c>
      <c r="J944" s="5" t="n">
        <v>353.1</v>
      </c>
      <c r="K944" s="3" t="inlineStr">
        <is>
          <t>위치최상 벙커주차장가능 언덕 탁트인시야</t>
        </is>
      </c>
      <c r="L944" s="6">
        <f>HYPERLINK("https://fin.land.naver.com/articles/2648042320", "매물Link")</f>
        <v/>
      </c>
      <c r="M944" s="6">
        <f>HYPERLINK("https://map.naver.com/p/search/아름동 1079", "지도Link")</f>
        <v/>
      </c>
      <c r="N944" s="6">
        <f>HYPERLINK("http://www.eum.go.kr/web/ar/lu/luLandDet.jsp?pnu=3611011300110790000&amp;isNoScr=script&amp;mode=search",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357.1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1116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359</v>
      </c>
      <c r="H945" s="4" t="n">
        <v>109</v>
      </c>
      <c r="I945" s="5" t="n">
        <v>761.5</v>
      </c>
      <c r="J945" s="5" t="n">
        <v>373.9</v>
      </c>
      <c r="K945" s="3" t="inlineStr">
        <is>
          <t>총 108.9p, 사거리코너 위치좋은 입지</t>
        </is>
      </c>
      <c r="L945" s="6">
        <f>HYPERLINK("https://fin.land.naver.com/articles/2647422006", "매물Link")</f>
        <v/>
      </c>
      <c r="M945" s="6">
        <f>HYPERLINK("https://map.naver.com/p/search/아름동 1116", "지도Link")</f>
        <v/>
      </c>
      <c r="N945" s="6">
        <f>HYPERLINK("http://www.eum.go.kr/web/ar/lu/luLandDet.jsp?pnu=3611011300111160000&amp;isNoScr=script&amp;mode=search",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359.5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1116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359</v>
      </c>
      <c r="H946" s="4" t="n">
        <v>109</v>
      </c>
      <c r="I946" s="5" t="n">
        <v>761.5</v>
      </c>
      <c r="J946" s="5" t="n">
        <v>373.9</v>
      </c>
      <c r="K946" s="3" t="inlineStr">
        <is>
          <t>108.9p, 사거리 코너자리, 아름동 최고입지</t>
        </is>
      </c>
      <c r="L946" s="6">
        <f>HYPERLINK("https://fin.land.naver.com/articles/2648835394", "매물Link")</f>
        <v/>
      </c>
      <c r="M946" s="6">
        <f>HYPERLINK("https://map.naver.com/p/search/아름동 1116", "지도Link")</f>
        <v/>
      </c>
      <c r="N946" s="6">
        <f>HYPERLINK("http://www.eum.go.kr/web/ar/lu/luLandDet.jsp?pnu=3611011300111160000&amp;isNoScr=script&amp;mode=search",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359.5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1118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57000</v>
      </c>
      <c r="G947" s="4" t="n">
        <v>327</v>
      </c>
      <c r="H947" s="4" t="n">
        <v>99</v>
      </c>
      <c r="I947" s="5" t="n">
        <v>575.8</v>
      </c>
      <c r="J947" s="5" t="n">
        <v>373.9</v>
      </c>
      <c r="K947" s="3" t="inlineStr">
        <is>
          <t>코너 정남향 위치최상 조율가능</t>
        </is>
      </c>
      <c r="L947" s="6">
        <f>HYPERLINK("https://fin.land.naver.com/articles/2652418851", "매물Link")</f>
        <v/>
      </c>
      <c r="M947" s="6">
        <f>HYPERLINK("https://map.naver.com/p/search/아름동 1118", "지도Link")</f>
        <v/>
      </c>
      <c r="N947" s="6">
        <f>HYPERLINK("http://www.eum.go.kr/web/ar/lu/luLandDet.jsp?pnu=3611011300111180000&amp;isNoScr=script&amp;mode=search",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327.4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1121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355</v>
      </c>
      <c r="H948" s="4" t="n">
        <v>107</v>
      </c>
      <c r="I948" s="5" t="n">
        <v>560.7</v>
      </c>
      <c r="J948" s="5" t="n">
        <v>373.9</v>
      </c>
      <c r="K948" s="3" t="inlineStr">
        <is>
          <t>공원옆 큰평수 추가조율가능</t>
        </is>
      </c>
      <c r="L948" s="6">
        <f>HYPERLINK("https://fin.land.naver.com/articles/2652289224", "매물Link")</f>
        <v/>
      </c>
      <c r="M948" s="6">
        <f>HYPERLINK("https://map.naver.com/p/search/아름동 1121", "지도Link")</f>
        <v/>
      </c>
      <c r="N948" s="6">
        <f>HYPERLINK("http://www.eum.go.kr/web/ar/lu/luLandDet.jsp?pnu=3611011300111210000&amp;isNoScr=script&amp;mode=search", "토지이음")</f>
        <v/>
      </c>
      <c r="O948" s="3" t="inlineStr">
        <is>
          <t>세종스타</t>
        </is>
      </c>
      <c r="P948" s="4" t="n">
        <v>1</v>
      </c>
      <c r="Q948" s="4" t="n">
        <v>355.4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1130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85000</v>
      </c>
      <c r="G949" s="4" t="n">
        <v>348</v>
      </c>
      <c r="H949" s="4" t="n">
        <v>105</v>
      </c>
      <c r="I949" s="5" t="n">
        <v>809.5</v>
      </c>
      <c r="J949" s="5" t="n">
        <v>356.4</v>
      </c>
      <c r="K949" s="3" t="inlineStr">
        <is>
          <t>어린이공원 접한 주택지, 위치 좋아요, 가격 잘 맞춰보겠습니다</t>
        </is>
      </c>
      <c r="L949" s="6">
        <f>HYPERLINK("https://fin.land.naver.com/articles/2653004367", "매물Link")</f>
        <v/>
      </c>
      <c r="M949" s="6">
        <f>HYPERLINK("https://map.naver.com/p/search/아름동 1130", "지도Link")</f>
        <v/>
      </c>
      <c r="N949" s="6">
        <f>HYPERLINK("http://www.eum.go.kr/web/ar/lu/luLandDet.jsp?pnu=3611011300111300000&amp;isNoScr=script&amp;mode=search", "토지이음")</f>
        <v/>
      </c>
      <c r="O949" s="3" t="inlineStr">
        <is>
          <t>OK세종 사무소</t>
        </is>
      </c>
      <c r="P949" s="4" t="n">
        <v>1</v>
      </c>
      <c r="Q949" s="4" t="n">
        <v>348.3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1135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83000</v>
      </c>
      <c r="G950" s="4" t="n">
        <v>343</v>
      </c>
      <c r="H950" s="4" t="n">
        <v>104</v>
      </c>
      <c r="I950" s="5" t="n">
        <v>798.1</v>
      </c>
      <c r="J950" s="5" t="n">
        <v>356.4</v>
      </c>
      <c r="K950" s="3" t="inlineStr">
        <is>
          <t>아름동 위치좋은 주택지 급매</t>
        </is>
      </c>
      <c r="L950" s="6">
        <f>HYPERLINK("https://fin.land.naver.com/articles/2653003944", "매물Link")</f>
        <v/>
      </c>
      <c r="M950" s="6">
        <f>HYPERLINK("https://map.naver.com/p/search/아름동 1135", "지도Link")</f>
        <v/>
      </c>
      <c r="N950" s="6">
        <f>HYPERLINK("http://www.eum.go.kr/web/ar/lu/luLandDet.jsp?pnu=3611011300111350000&amp;isNoScr=script&amp;mode=search", "토지이음")</f>
        <v/>
      </c>
      <c r="O950" s="3" t="inlineStr">
        <is>
          <t>OK세종 사무소</t>
        </is>
      </c>
      <c r="P950" s="4" t="n">
        <v>1</v>
      </c>
      <c r="Q950" s="4" t="n">
        <v>343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1142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321</v>
      </c>
      <c r="H951" s="4" t="n">
        <v>97</v>
      </c>
      <c r="I951" s="5" t="n">
        <v>536.1</v>
      </c>
      <c r="J951" s="5" t="n">
        <v>356.4</v>
      </c>
      <c r="K951" s="3" t="inlineStr">
        <is>
          <t>97.6p, 충대병원 인근 토지 급매, 조율도가능</t>
        </is>
      </c>
      <c r="L951" s="6">
        <f>HYPERLINK("https://fin.land.naver.com/articles/2647420786", "매물Link")</f>
        <v/>
      </c>
      <c r="M951" s="6">
        <f>HYPERLINK("https://map.naver.com/p/search/아름동 1142", "지도Link")</f>
        <v/>
      </c>
      <c r="N951" s="6">
        <f>HYPERLINK("http://www.eum.go.kr/web/ar/lu/luLandDet.jsp?pnu=3611011300111420000&amp;isNoScr=script&amp;mode=search",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321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급매 추가조율가능 입지좋은 충대병원인근</t>
        </is>
      </c>
      <c r="L952" s="6">
        <f>HYPERLINK("https://fin.land.naver.com/articles/2651133638",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세종스타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348</v>
      </c>
      <c r="H954" s="4" t="n">
        <v>105</v>
      </c>
      <c r="I954" s="5" t="n">
        <v>571.4</v>
      </c>
      <c r="J954" s="5" t="n">
        <v>373.9</v>
      </c>
      <c r="K954" s="3" t="inlineStr">
        <is>
          <t>최상 단독주택 용지, 입지 매우 좋음, 생활 인프라 등 학군 우수 지역</t>
        </is>
      </c>
      <c r="L954" s="6">
        <f>HYPERLINK("https://fin.land.naver.com/articles/2652685471", "매물Link")</f>
        <v/>
      </c>
      <c r="M954" s="6">
        <f>HYPERLINK("https://map.naver.com/p/search/아름동 1144", "지도Link")</f>
        <v/>
      </c>
      <c r="N954" s="6">
        <f>HYPERLINK("http://www.eum.go.kr/web/ar/lu/luLandDet.jsp?pnu=3611011300111440000&amp;isNoScr=script&amp;mode=search", "토지이음")</f>
        <v/>
      </c>
      <c r="O954" s="3" t="inlineStr">
        <is>
          <t>방배탑</t>
        </is>
      </c>
      <c r="P954" s="4" t="n">
        <v>1</v>
      </c>
      <c r="Q954" s="4" t="n">
        <v>348.5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소로각지</t>
        </is>
      </c>
    </row>
    <row r="955">
      <c r="A955" s="3" t="inlineStr">
        <is>
          <t>아름동 1154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70000</v>
      </c>
      <c r="G955" s="4" t="n">
        <v>342</v>
      </c>
      <c r="H955" s="4" t="n">
        <v>103</v>
      </c>
      <c r="I955" s="5" t="n">
        <v>679.6</v>
      </c>
      <c r="J955" s="5" t="n">
        <v>356.4</v>
      </c>
      <c r="K955" s="3" t="inlineStr">
        <is>
          <t>산조망 조용한위치 18만평 근린공원접함 지대높음</t>
        </is>
      </c>
      <c r="L955" s="6">
        <f>HYPERLINK("https://fin.land.naver.com/articles/2652917974", "매물Link")</f>
        <v/>
      </c>
      <c r="M955" s="6">
        <f>HYPERLINK("https://map.naver.com/p/search/아름동 1154", "지도Link")</f>
        <v/>
      </c>
      <c r="N955" s="6">
        <f>HYPERLINK("http://www.eum.go.kr/web/ar/lu/luLandDet.jsp?pnu=3611011300111540000&amp;isNoScr=script&amp;mode=search",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342.4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정방형</t>
        </is>
      </c>
      <c r="V955" s="3" t="inlineStr">
        <is>
          <t>소로한면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공원인근, 조용한 단독주택 토지</t>
        </is>
      </c>
      <c r="L956" s="6">
        <f>HYPERLINK("https://fin.land.naver.com/articles/2652115592",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1160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71000</v>
      </c>
      <c r="G957" s="4" t="n">
        <v>365</v>
      </c>
      <c r="H957" s="4" t="n">
        <v>110</v>
      </c>
      <c r="I957" s="5" t="n">
        <v>645.5</v>
      </c>
      <c r="J957" s="5" t="n">
        <v>402.6</v>
      </c>
      <c r="K957" s="3" t="inlineStr">
        <is>
          <t>nan</t>
        </is>
      </c>
      <c r="L957" s="6">
        <f>HYPERLINK("https://fin.land.naver.com/articles/2649329264", "매물Link")</f>
        <v/>
      </c>
      <c r="M957" s="6">
        <f>HYPERLINK("https://map.naver.com/p/search/아름동 1160", "지도Link")</f>
        <v/>
      </c>
      <c r="N957" s="6">
        <f>HYPERLINK("http://www.eum.go.kr/web/ar/lu/luLandDet.jsp?pnu=3611011300111600000&amp;isNoScr=script&amp;mode=search", "토지이음")</f>
        <v/>
      </c>
      <c r="O957" s="3" t="inlineStr">
        <is>
          <t>국제</t>
        </is>
      </c>
      <c r="P957" s="4" t="n">
        <v>1</v>
      </c>
      <c r="Q957" s="4" t="n">
        <v>365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중로각지</t>
        </is>
      </c>
    </row>
    <row r="958">
      <c r="A958" s="3" t="inlineStr">
        <is>
          <t>아름동 1163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180000</v>
      </c>
      <c r="G958" s="4" t="n">
        <v>293</v>
      </c>
      <c r="H958" s="4" t="n">
        <v>89</v>
      </c>
      <c r="I958" s="5" t="n">
        <v>2022.5</v>
      </c>
      <c r="J958" s="5" t="n">
        <v>734.2</v>
      </c>
      <c r="K958" s="3" t="inlineStr">
        <is>
          <t>대로변 코너 노출 좋은 입지좋은 근생 토지 매매</t>
        </is>
      </c>
      <c r="L958" s="6">
        <f>HYPERLINK("https://fin.land.naver.com/articles/2651943193", "매물Link")</f>
        <v/>
      </c>
      <c r="M958" s="6">
        <f>HYPERLINK("https://map.naver.com/p/search/아름동 1163", "지도Link")</f>
        <v/>
      </c>
      <c r="N958" s="6">
        <f>HYPERLINK("http://www.eum.go.kr/web/ar/lu/luLandDet.jsp?pnu=3611011300111630000&amp;isNoScr=script&amp;mode=search",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293.7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충대병원, 약국추천자리, 근생토지, 대로변 노출 좋은 자리</t>
        </is>
      </c>
      <c r="L959" s="6">
        <f>HYPERLINK("https://fin.land.naver.com/articles/2651770352",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 인접한 아름동 근생용지, 약국위치로 좋아요</t>
        </is>
      </c>
      <c r="L960" s="6">
        <f>HYPERLINK("https://fin.land.naver.com/articles/2650939008",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1182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756.7</v>
      </c>
      <c r="K961" s="3" t="inlineStr">
        <is>
          <t>근생용지, 도로변 광고효과 및 상권우수, 조율가능</t>
        </is>
      </c>
      <c r="L961" s="6">
        <f>HYPERLINK("https://fin.land.naver.com/articles/2651035239", "매물Link")</f>
        <v/>
      </c>
      <c r="M961" s="6">
        <f>HYPERLINK("https://map.naver.com/p/search/아름동 1182", "지도Link")</f>
        <v/>
      </c>
      <c r="N961" s="6">
        <f>HYPERLINK("http://www.eum.go.kr/web/ar/lu/luLandDet.jsp?pnu=3611011300111820000&amp;isNoScr=script&amp;mode=search", "토지이음")</f>
        <v/>
      </c>
      <c r="O961" s="3" t="inlineStr">
        <is>
          <t>한방</t>
        </is>
      </c>
      <c r="P961" s="4" t="n">
        <v>2</v>
      </c>
      <c r="Q961" s="4" t="n">
        <v>317.1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1183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724</v>
      </c>
      <c r="K962" s="3" t="inlineStr">
        <is>
          <t>96.1p, 근생용지, 도로변 위치 굿, 건축허가완료</t>
        </is>
      </c>
      <c r="L962" s="6">
        <f>HYPERLINK("https://fin.land.naver.com/articles/2647421008", "매물Link")</f>
        <v/>
      </c>
      <c r="M962" s="6">
        <f>HYPERLINK("https://map.naver.com/p/search/아름동 1183", "지도Link")</f>
        <v/>
      </c>
      <c r="N962" s="6">
        <f>HYPERLINK("http://www.eum.go.kr/web/ar/lu/luLandDet.jsp?pnu=3611011300111830000&amp;isNoScr=script&amp;mode=search",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317.2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아름동 대로변 근생용지, 96.1p</t>
        </is>
      </c>
      <c r="L963" s="6">
        <f>HYPERLINK("https://fin.land.naver.com/articles/2652839304",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1191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75000</v>
      </c>
      <c r="G965" s="4" t="n">
        <v>360</v>
      </c>
      <c r="H965" s="4" t="n">
        <v>109</v>
      </c>
      <c r="I965" s="5" t="n">
        <v>688.1</v>
      </c>
      <c r="J965" s="5" t="n">
        <v>349.4</v>
      </c>
      <c r="K965" s="3" t="inlineStr">
        <is>
          <t>사거리 코너입지 최고, 조율도 가능</t>
        </is>
      </c>
      <c r="L965" s="6">
        <f>HYPERLINK("https://fin.land.naver.com/articles/2648832400", "매물Link")</f>
        <v/>
      </c>
      <c r="M965" s="6">
        <f>HYPERLINK("https://map.naver.com/p/search/아름동 1191", "지도Link")</f>
        <v/>
      </c>
      <c r="N965" s="6">
        <f>HYPERLINK("http://www.eum.go.kr/web/ar/lu/luLandDet.jsp?pnu=3611011300111910000&amp;isNoScr=script&amp;mode=search",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360.6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급매 남향 코너각지 조율가능 옆필지 연접매매가능</t>
        </is>
      </c>
      <c r="L967" s="6">
        <f>HYPERLINK("https://fin.land.naver.com/articles/2649375248",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세종스타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374</v>
      </c>
      <c r="H968" s="4" t="n">
        <v>113</v>
      </c>
      <c r="I968" s="5" t="n">
        <v>619.5</v>
      </c>
      <c r="J968" s="5" t="n">
        <v>349.4</v>
      </c>
      <c r="K968" s="3" t="inlineStr">
        <is>
          <t>조율가능 남향 코너각지 산조망 옆토지와 통매매 가능</t>
        </is>
      </c>
      <c r="L968" s="6">
        <f>HYPERLINK("https://fin.land.naver.com/articles/2652943609", "매물Link")</f>
        <v/>
      </c>
      <c r="M968" s="6">
        <f>HYPERLINK("https://map.naver.com/p/search/아름동 1192", "지도Link")</f>
        <v/>
      </c>
      <c r="N968" s="6">
        <f>HYPERLINK("http://www.eum.go.kr/web/ar/lu/luLandDet.jsp?pnu=3611011300111920000&amp;isNoScr=script&amp;mode=search",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374.8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80000</v>
      </c>
      <c r="G969" s="4" t="n">
        <v>374</v>
      </c>
      <c r="H969" s="4" t="n">
        <v>113</v>
      </c>
      <c r="I969" s="5" t="n">
        <v>708</v>
      </c>
      <c r="J969" s="5" t="n">
        <v>335.2</v>
      </c>
      <c r="K969" s="3" t="inlineStr">
        <is>
          <t>충남대학병원 근접,양방향도로 접,아파트단지 주변 택지</t>
        </is>
      </c>
      <c r="L969" s="6">
        <f>HYPERLINK("https://fin.land.naver.com/articles/2649459551", "매물Link")</f>
        <v/>
      </c>
      <c r="M969" s="6">
        <f>HYPERLINK("https://map.naver.com/p/search/아름동 1193", "지도Link")</f>
        <v/>
      </c>
      <c r="N969" s="6">
        <f>HYPERLINK("http://www.eum.go.kr/web/ar/lu/luLandDet.jsp?pnu=3611011300111930000&amp;isNoScr=script&amp;mode=search", "토지이음")</f>
        <v/>
      </c>
      <c r="O969" s="3" t="inlineStr">
        <is>
          <t>해밀마을공간</t>
        </is>
      </c>
      <c r="P969" s="4" t="n">
        <v>2</v>
      </c>
      <c r="Q969" s="4" t="n">
        <v>374.7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1204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308</v>
      </c>
      <c r="H970" s="4" t="n">
        <v>93</v>
      </c>
      <c r="I970" s="5" t="n">
        <v>645.2</v>
      </c>
      <c r="J970" s="5" t="n">
        <v>349.4</v>
      </c>
      <c r="K970" s="3" t="inlineStr">
        <is>
          <t>코너,대단지인접,충남대병원도보5분,조율가능</t>
        </is>
      </c>
      <c r="L970" s="6">
        <f>HYPERLINK("https://fin.land.naver.com/articles/2650482125", "매물Link")</f>
        <v/>
      </c>
      <c r="M970" s="6">
        <f>HYPERLINK("https://map.naver.com/p/search/아름동 1204", "지도Link")</f>
        <v/>
      </c>
      <c r="N970" s="6">
        <f>HYPERLINK("http://www.eum.go.kr/web/ar/lu/luLandDet.jsp?pnu=3611011300112040000&amp;isNoScr=script&amp;mode=search", "토지이음")</f>
        <v/>
      </c>
      <c r="O970" s="3" t="inlineStr">
        <is>
          <t>똑똑</t>
        </is>
      </c>
      <c r="P970" s="4" t="n">
        <v>2</v>
      </c>
      <c r="Q970" s="4" t="n">
        <v>308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1219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67100</v>
      </c>
      <c r="G971" s="4" t="n">
        <v>364</v>
      </c>
      <c r="H971" s="4" t="n">
        <v>110</v>
      </c>
      <c r="I971" s="5" t="n">
        <v>610</v>
      </c>
      <c r="J971" s="5" t="n">
        <v>349.4</v>
      </c>
      <c r="K971" s="3" t="inlineStr">
        <is>
          <t>조망이 아주 뛰어납니다.확 트인 시야</t>
        </is>
      </c>
      <c r="L971" s="6">
        <f>HYPERLINK("https://fin.land.naver.com/articles/2652406933", "매물Link")</f>
        <v/>
      </c>
      <c r="M971" s="6">
        <f>HYPERLINK("https://map.naver.com/p/search/아름동 1219", "지도Link")</f>
        <v/>
      </c>
      <c r="N971" s="6">
        <f>HYPERLINK("http://www.eum.go.kr/web/ar/lu/luLandDet.jsp?pnu=3611011300112190000&amp;isNoScr=script&amp;mode=search", "토지이음")</f>
        <v/>
      </c>
      <c r="O971" s="3" t="inlineStr">
        <is>
          <t>세종공주제일</t>
        </is>
      </c>
      <c r="P971" s="4" t="n">
        <v>1</v>
      </c>
      <c r="Q971" s="4" t="n">
        <v>364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1221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364</v>
      </c>
      <c r="H972" s="4" t="n">
        <v>110</v>
      </c>
      <c r="I972" s="5" t="n">
        <v>590.9</v>
      </c>
      <c r="J972" s="5" t="n">
        <v>335.2</v>
      </c>
      <c r="K972" s="3" t="inlineStr">
        <is>
          <t>nan</t>
        </is>
      </c>
      <c r="L972" s="6">
        <f>HYPERLINK("https://fin.land.naver.com/articles/2651708627", "매물Link")</f>
        <v/>
      </c>
      <c r="M972" s="6">
        <f>HYPERLINK("https://map.naver.com/p/search/아름동 1221", "지도Link")</f>
        <v/>
      </c>
      <c r="N972" s="6">
        <f>HYPERLINK("http://www.eum.go.kr/web/ar/lu/luLandDet.jsp?pnu=3611011300112210000&amp;isNoScr=script&amp;mode=search", "토지이음")</f>
        <v/>
      </c>
      <c r="O972" s="3" t="inlineStr">
        <is>
          <t>세종시삼성래미안</t>
        </is>
      </c>
      <c r="P972" s="4" t="n">
        <v>1</v>
      </c>
      <c r="Q972" s="4" t="n">
        <v>364.4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 아름동학원가, 상권이용편리로얄택지, 금액조율가능, 추천매매</t>
        </is>
      </c>
      <c r="L974" s="6">
        <f>HYPERLINK("https://fin.land.naver.com/articles/2653093272",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한방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아름동 학교 가까운 주택지</t>
        </is>
      </c>
      <c r="L976" s="6">
        <f>HYPERLINK("https://fin.land.naver.com/articles/2653003576",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OK세종 사무소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70000</v>
      </c>
      <c r="G979" s="4" t="n">
        <v>354</v>
      </c>
      <c r="H979" s="4" t="n">
        <v>107</v>
      </c>
      <c r="I979" s="5" t="n">
        <v>654.2</v>
      </c>
      <c r="J979" s="5" t="n">
        <v>343.1</v>
      </c>
      <c r="K979" s="3" t="inlineStr">
        <is>
          <t>총 107.4p, 아름초인근, 위치좋은 단독주택지 추천</t>
        </is>
      </c>
      <c r="L979" s="6">
        <f>HYPERLINK("https://fin.land.naver.com/articles/2651902228", "매물Link")</f>
        <v/>
      </c>
      <c r="M979" s="6">
        <f>HYPERLINK("https://map.naver.com/p/search/아름동 1256", "지도Link")</f>
        <v/>
      </c>
      <c r="N979" s="6">
        <f>HYPERLINK("http://www.eum.go.kr/web/ar/lu/luLandDet.jsp?pnu=3611011300112560000&amp;isNoScr=script&amp;mode=search",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354.3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조율가능 학원가최인접 땅모양 건축하기 좋음</t>
        </is>
      </c>
      <c r="L980" s="6">
        <f>HYPERLINK("https://fin.land.naver.com/articles/2652682812",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세종스타</t>
        </is>
      </c>
      <c r="P980" s="4" t="n">
        <v>4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1365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52000</v>
      </c>
      <c r="G982" s="4" t="n">
        <v>342</v>
      </c>
      <c r="H982" s="4" t="n">
        <v>103</v>
      </c>
      <c r="I982" s="5" t="n">
        <v>504.9</v>
      </c>
      <c r="J982" s="5" t="n">
        <v>380.5</v>
      </c>
      <c r="K982" s="3" t="inlineStr">
        <is>
          <t>총 103.7p, 아름동 삼거리 코너, 아파트 단지 근처</t>
        </is>
      </c>
      <c r="L982" s="6">
        <f>HYPERLINK("https://fin.land.naver.com/articles/2652842249", "매물Link")</f>
        <v/>
      </c>
      <c r="M982" s="6">
        <f>HYPERLINK("https://map.naver.com/p/search/아름동 1365", "지도Link")</f>
        <v/>
      </c>
      <c r="N982" s="6">
        <f>HYPERLINK("http://www.eum.go.kr/web/ar/lu/luLandDet.jsp?pnu=3611011300113650000&amp;isNoScr=script&amp;mode=search",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342.1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중로각지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1370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363</v>
      </c>
      <c r="H985" s="4" t="n">
        <v>110</v>
      </c>
      <c r="I985" s="5" t="n">
        <v>545.5</v>
      </c>
      <c r="J985" s="5" t="n">
        <v>338.2</v>
      </c>
      <c r="K985" s="3" t="inlineStr">
        <is>
          <t>아름동 단독주택 토지매매, 위치 좋은 자리</t>
        </is>
      </c>
      <c r="L985" s="6">
        <f>HYPERLINK("https://fin.land.naver.com/articles/2649577908", "매물Link")</f>
        <v/>
      </c>
      <c r="M985" s="6">
        <f>HYPERLINK("https://map.naver.com/p/search/아름동 1370", "지도Link")</f>
        <v/>
      </c>
      <c r="N985" s="6">
        <f>HYPERLINK("http://www.eum.go.kr/web/ar/lu/luLandDet.jsp?pnu=3611011300113700000&amp;isNoScr=script&amp;mode=search",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학교, 편의시설, 정부청사 가까워 생활편리, 보행도로접 코너각지</t>
        </is>
      </c>
      <c r="L986" s="6">
        <f>HYPERLINK("https://fin.land.naver.com/articles/2649697166",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온뜰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HYPERLINK("https://fin.land.naver.com/articles/2648138484",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아름동 영무예다음아파트 앞에 위치,하루종일 햇볕 받을수 있는 곳,주택지</t>
        </is>
      </c>
      <c r="L988" s="6">
        <f>HYPERLINK("https://fin.land.naver.com/articles/2648233324",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세종지원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급매, 총 91p, 삼거리코너, 아파트 단지 밑</t>
        </is>
      </c>
      <c r="L990" s="6">
        <f>HYPERLINK("https://fin.land.naver.com/articles/2652838634",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아파트와 중심상권지역에 위치함</t>
        </is>
      </c>
      <c r="L992" s="6">
        <f>HYPERLINK("https://fin.land.naver.com/articles/2653068274",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장수</t>
        </is>
      </c>
      <c r="P992" s="4" t="n">
        <v>13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급매 아름동학원가, 상권이용편리로얄택지, 금액조율가능, 추천매매</t>
        </is>
      </c>
      <c r="L993" s="6">
        <f>HYPERLINK("https://fin.land.naver.com/articles/2650559948",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한방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1392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304</v>
      </c>
      <c r="H994" s="4" t="n">
        <v>92</v>
      </c>
      <c r="I994" s="5" t="n">
        <v>652.2</v>
      </c>
      <c r="J994" s="5" t="n">
        <v>352.4</v>
      </c>
      <c r="K994" s="3" t="inlineStr">
        <is>
          <t>학원가와 가까운 입지의 코너 토지 급매매</t>
        </is>
      </c>
      <c r="L994" s="6">
        <f>HYPERLINK("https://fin.land.naver.com/articles/2651281497", "매물Link")</f>
        <v/>
      </c>
      <c r="M994" s="6">
        <f>HYPERLINK("https://map.naver.com/p/search/아름동 1392", "지도Link")</f>
        <v/>
      </c>
      <c r="N994" s="6">
        <f>HYPERLINK("http://www.eum.go.kr/web/ar/lu/luLandDet.jsp?pnu=3611011300113920000&amp;isNoScr=script&amp;mode=search", "토지이음")</f>
        <v/>
      </c>
      <c r="O994" s="3" t="inlineStr">
        <is>
          <t>킹세종</t>
        </is>
      </c>
      <c r="P994" s="4" t="n">
        <v>1</v>
      </c>
      <c r="Q994" s="4" t="n">
        <v>304.3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아름동 최상의 택지,학군,상권,충남대병원 생활권 편리,밀마루전망대  인근</t>
        </is>
      </c>
      <c r="L996" s="6">
        <f>HYPERLINK("https://fin.land.naver.com/articles/2647931377",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고운맘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303</v>
      </c>
      <c r="H997" s="4" t="n">
        <v>92</v>
      </c>
      <c r="I997" s="5" t="n">
        <v>597.8</v>
      </c>
      <c r="J997" s="5" t="n">
        <v>352.4</v>
      </c>
      <c r="K997" s="3" t="inlineStr">
        <is>
          <t>코너각지 홈플러스인근 아름동학원가 인접 조율가능</t>
        </is>
      </c>
      <c r="L997" s="6">
        <f>HYPERLINK("https://fin.land.naver.com/articles/2648615417", "매물Link")</f>
        <v/>
      </c>
      <c r="M997" s="6">
        <f>HYPERLINK("https://map.naver.com/p/search/아름동 1418", "지도Link")</f>
        <v/>
      </c>
      <c r="N997" s="6">
        <f>HYPERLINK("http://www.eum.go.kr/web/ar/lu/luLandDet.jsp?pnu=3611011300114180000&amp;isNoScr=script&amp;mode=search", "토지이음")</f>
        <v/>
      </c>
      <c r="O997" s="3" t="inlineStr">
        <is>
          <t>세종스타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1420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70000</v>
      </c>
      <c r="G998" s="4" t="n">
        <v>303</v>
      </c>
      <c r="H998" s="4" t="n">
        <v>92</v>
      </c>
      <c r="I998" s="5" t="n">
        <v>760.9</v>
      </c>
      <c r="J998" s="5" t="n">
        <v>338.2</v>
      </c>
      <c r="K998" s="3" t="inlineStr">
        <is>
          <t>92.1p, 단지 바로 옆, 아름동 단독주택지</t>
        </is>
      </c>
      <c r="L998" s="6">
        <f>HYPERLINK("https://fin.land.naver.com/articles/2649008450", "매물Link")</f>
        <v/>
      </c>
      <c r="M998" s="6">
        <f>HYPERLINK("https://map.naver.com/p/search/아름동 1420", "지도Link")</f>
        <v/>
      </c>
      <c r="N998" s="6">
        <f>HYPERLINK("http://www.eum.go.kr/web/ar/lu/luLandDet.jsp?pnu=3611011300114200000&amp;isNoScr=script&amp;mode=search",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1443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65000</v>
      </c>
      <c r="G1000" s="4" t="n">
        <v>344</v>
      </c>
      <c r="H1000" s="4" t="n">
        <v>104</v>
      </c>
      <c r="I1000" s="5" t="n">
        <v>625</v>
      </c>
      <c r="J1000" s="5" t="n">
        <v>338.2</v>
      </c>
      <c r="K1000" s="3" t="inlineStr">
        <is>
          <t>접근성 좋은 아름동 택지</t>
        </is>
      </c>
      <c r="L1000" s="6">
        <f>HYPERLINK("https://fin.land.naver.com/articles/2652794578", "매물Link")</f>
        <v/>
      </c>
      <c r="M1000" s="6">
        <f>HYPERLINK("https://map.naver.com/p/search/아름동 1443", "지도Link")</f>
        <v/>
      </c>
      <c r="N1000" s="6">
        <f>HYPERLINK("http://www.eum.go.kr/web/ar/lu/luLandDet.jsp?pnu=3611011300114430000&amp;isNoScr=script&amp;mode=search", "토지이음")</f>
        <v/>
      </c>
      <c r="O1000" s="3" t="inlineStr">
        <is>
          <t>강아지풀</t>
        </is>
      </c>
      <c r="P1000" s="4" t="n">
        <v>1</v>
      </c>
      <c r="Q1000" s="4" t="n">
        <v>344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1452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319</v>
      </c>
      <c r="H1002" s="4" t="n">
        <v>96</v>
      </c>
      <c r="I1002" s="5" t="n">
        <v>572.9</v>
      </c>
      <c r="J1002" s="5" t="n">
        <v>334.5</v>
      </c>
      <c r="K1002" s="3" t="inlineStr">
        <is>
          <t>총 96.7p, 12단지 맞은편 위치좋은 단독주택지</t>
        </is>
      </c>
      <c r="L1002" s="6">
        <f>HYPERLINK("https://fin.land.naver.com/articles/2651908937", "매물Link")</f>
        <v/>
      </c>
      <c r="M1002" s="6">
        <f>HYPERLINK("https://map.naver.com/p/search/아름동 1452", "지도Link")</f>
        <v/>
      </c>
      <c r="N1002" s="6">
        <f>HYPERLINK("http://www.eum.go.kr/web/ar/lu/luLandDet.jsp?pnu=3611011300114520000&amp;isNoScr=script&amp;mode=search",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319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151.5p, 데이터센터, 방송관련 사옥 추천, 조율가능, 입지좋은 토지</t>
        </is>
      </c>
      <c r="L1004" s="6">
        <f>HYPERLINK("https://fin.land.naver.com/articles/2649023062",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방송통신용지 데이터센터 또는 방송관련 사옥으로 최적 가격조율가능</t>
        </is>
      </c>
      <c r="L1005" s="6">
        <f>HYPERLINK("https://fin.land.naver.com/articles/2653000172",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뉴엘리트탑</t>
        </is>
      </c>
      <c r="P1005" s="4" t="n">
        <v>2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국제고 인근, 충대병원 가까운 아름동 단독주택 토지매매</t>
        </is>
      </c>
      <c r="L1006" s="6">
        <f>HYPERLINK("https://fin.land.naver.com/articles/2652839214",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826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305</v>
      </c>
      <c r="H1007" s="4" t="n">
        <v>92</v>
      </c>
      <c r="I1007" s="5" t="n">
        <v>706.5</v>
      </c>
      <c r="J1007" s="5" t="n">
        <v>339.5</v>
      </c>
      <c r="K1007" s="3" t="inlineStr">
        <is>
          <t>아름동 국제고 인근, 입지좋은 단독주택 토지매매</t>
        </is>
      </c>
      <c r="L1007" s="6">
        <f>HYPERLINK("https://fin.land.naver.com/articles/2648188007", "매물Link")</f>
        <v/>
      </c>
      <c r="M1007" s="6">
        <f>HYPERLINK("https://map.naver.com/p/search/아름동 826", "지도Link")</f>
        <v/>
      </c>
      <c r="N1007" s="6">
        <f>HYPERLINK("http://www.eum.go.kr/web/ar/lu/luLandDet.jsp?pnu=3611011300108260000&amp;isNoScr=script&amp;mode=search",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305.5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아름동 847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347</v>
      </c>
      <c r="H1008" s="4" t="n">
        <v>105</v>
      </c>
      <c r="I1008" s="5" t="n">
        <v>619</v>
      </c>
      <c r="J1008" s="5" t="n">
        <v>339.8</v>
      </c>
      <c r="K1008" s="3" t="inlineStr">
        <is>
          <t>급매, 땅모양 방향 최적의 위치, 추천매매</t>
        </is>
      </c>
      <c r="L1008" s="6">
        <f>HYPERLINK("https://fin.land.naver.com/articles/2648795212", "매물Link")</f>
        <v/>
      </c>
      <c r="M1008" s="6">
        <f>HYPERLINK("https://map.naver.com/p/search/아름동 847", "지도Link")</f>
        <v/>
      </c>
      <c r="N1008" s="6">
        <f>HYPERLINK("http://www.eum.go.kr/web/ar/lu/luLandDet.jsp?pnu=3611011300108470000&amp;isNoScr=script&amp;mode=search", "토지이음")</f>
        <v/>
      </c>
      <c r="O1008" s="3" t="inlineStr">
        <is>
          <t>한림신화</t>
        </is>
      </c>
      <c r="P1008" s="4" t="n">
        <v>1</v>
      </c>
      <c r="Q1008" s="4" t="n">
        <v>346.5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80000</v>
      </c>
      <c r="G1009" s="4" t="n">
        <v>316</v>
      </c>
      <c r="H1009" s="4" t="n">
        <v>96</v>
      </c>
      <c r="I1009" s="5" t="n">
        <v>833.3</v>
      </c>
      <c r="J1009" s="5" t="n">
        <v>339.8</v>
      </c>
      <c r="K1009" s="3" t="inlineStr">
        <is>
          <t>세종 국제고, 영재고, 충대병원, 공원인접한 살기 좋은 동네 택지</t>
        </is>
      </c>
      <c r="L1009" s="6">
        <f>HYPERLINK("https://fin.land.naver.com/articles/2650958863", "매물Link")</f>
        <v/>
      </c>
      <c r="M1009" s="6">
        <f>HYPERLINK("https://map.naver.com/p/search/아름동 863", "지도Link")</f>
        <v/>
      </c>
      <c r="N1009" s="6">
        <f>HYPERLINK("http://www.eum.go.kr/web/ar/lu/luLandDet.jsp?pnu=3611011300108630000&amp;isNoScr=script&amp;mode=search", "토지이음")</f>
        <v/>
      </c>
      <c r="O1009" s="3" t="inlineStr">
        <is>
          <t>새롬삼둥이</t>
        </is>
      </c>
      <c r="P1009" s="4" t="n">
        <v>2</v>
      </c>
      <c r="Q1009" s="4" t="n">
        <v>316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874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70000</v>
      </c>
      <c r="G1010" s="4" t="n">
        <v>340</v>
      </c>
      <c r="H1010" s="4" t="n">
        <v>103</v>
      </c>
      <c r="I1010" s="5" t="n">
        <v>679.6</v>
      </c>
      <c r="J1010" s="5" t="n">
        <v>339.5</v>
      </c>
      <c r="K1010" s="3" t="inlineStr">
        <is>
          <t>103p, 충대병원인근, 아름동 입지좋은 토지</t>
        </is>
      </c>
      <c r="L1010" s="6">
        <f>HYPERLINK("https://fin.land.naver.com/articles/2648832833", "매물Link")</f>
        <v/>
      </c>
      <c r="M1010" s="6">
        <f>HYPERLINK("https://map.naver.com/p/search/아름동 874", "지도Link")</f>
        <v/>
      </c>
      <c r="N1010" s="6">
        <f>HYPERLINK("http://www.eum.go.kr/web/ar/lu/luLandDet.jsp?pnu=3611011300108740000&amp;isNoScr=script&amp;mode=search",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340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뒤로 넓은 공원낀위치 우측 연결녹지 넓어 쾌적한곳</t>
        </is>
      </c>
      <c r="L1011" s="6">
        <f>HYPERLINK("https://fin.land.naver.com/articles/2652418910",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59000</v>
      </c>
      <c r="G1012" s="4" t="n">
        <v>321</v>
      </c>
      <c r="H1012" s="4" t="n">
        <v>97</v>
      </c>
      <c r="I1012" s="5" t="n">
        <v>608.2</v>
      </c>
      <c r="J1012" s="5" t="n">
        <v>339.8</v>
      </c>
      <c r="K1012" s="3" t="inlineStr">
        <is>
          <t>급매 ,아름동 최상 택지,충남대병원 인접 생활권 편리,어린이공원접</t>
        </is>
      </c>
      <c r="L1012" s="6">
        <f>HYPERLINK("https://fin.land.naver.com/articles/2650851626", "매물Link")</f>
        <v/>
      </c>
      <c r="M1012" s="6">
        <f>HYPERLINK("https://map.naver.com/p/search/아름동 879", "지도Link")</f>
        <v/>
      </c>
      <c r="N1012" s="6">
        <f>HYPERLINK("http://www.eum.go.kr/web/ar/lu/luLandDet.jsp?pnu=3611011300108790000&amp;isNoScr=script&amp;mode=search", "토지이음")</f>
        <v/>
      </c>
      <c r="O1012" s="3" t="inlineStr">
        <is>
          <t>고운맘</t>
        </is>
      </c>
      <c r="P1012" s="4" t="n">
        <v>1</v>
      </c>
      <c r="Q1012" s="4" t="n">
        <v>321.9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881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74000</v>
      </c>
      <c r="G1013" s="4" t="n">
        <v>326</v>
      </c>
      <c r="H1013" s="4" t="n">
        <v>99</v>
      </c>
      <c r="I1013" s="5" t="n">
        <v>747.5</v>
      </c>
      <c r="J1013" s="5" t="n">
        <v>339.8</v>
      </c>
      <c r="K1013" s="3" t="inlineStr">
        <is>
          <t>입출입이 편리한 단독주택지입니다.</t>
        </is>
      </c>
      <c r="L1013" s="6">
        <f>HYPERLINK("https://fin.land.naver.com/articles/2652479836", "매물Link")</f>
        <v/>
      </c>
      <c r="M1013" s="6">
        <f>HYPERLINK("https://map.naver.com/p/search/아름동 881", "지도Link")</f>
        <v/>
      </c>
      <c r="N1013" s="6">
        <f>HYPERLINK("http://www.eum.go.kr/web/ar/lu/luLandDet.jsp?pnu=3611011300108810000&amp;isNoScr=script&amp;mode=search", "토지이음")</f>
        <v/>
      </c>
      <c r="O1013" s="3" t="inlineStr">
        <is>
          <t>아름</t>
        </is>
      </c>
      <c r="P1013" s="4" t="n">
        <v>1</v>
      </c>
      <c r="Q1013" s="4" t="n">
        <v>326.2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914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80000</v>
      </c>
      <c r="G1014" s="4" t="n">
        <v>318</v>
      </c>
      <c r="H1014" s="4" t="n">
        <v>96</v>
      </c>
      <c r="I1014" s="5" t="n">
        <v>833.3</v>
      </c>
      <c r="J1014" s="5" t="n">
        <v>330.6</v>
      </c>
      <c r="K1014" s="3" t="inlineStr">
        <is>
          <t>네모 반듯한 예쁜 토지.국제고,영재고 인근.햇볕 잘 드는 최고의 토지.</t>
        </is>
      </c>
      <c r="L1014" s="6">
        <f>HYPERLINK("https://fin.land.naver.com/articles/2650707732", "매물Link")</f>
        <v/>
      </c>
      <c r="M1014" s="6">
        <f>HYPERLINK("https://map.naver.com/p/search/아름동 914", "지도Link")</f>
        <v/>
      </c>
      <c r="N1014" s="6">
        <f>HYPERLINK("http://www.eum.go.kr/web/ar/lu/luLandDet.jsp?pnu=3611011300109140000&amp;isNoScr=script&amp;mode=search", "토지이음")</f>
        <v/>
      </c>
      <c r="O1014" s="3" t="inlineStr">
        <is>
          <t>수자인</t>
        </is>
      </c>
      <c r="P1014" s="4" t="n">
        <v>1</v>
      </c>
      <c r="Q1014" s="4" t="n">
        <v>318.7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국제고 인근, 공원인접, 조율가능</t>
        </is>
      </c>
      <c r="L1015" s="6">
        <f>HYPERLINK("https://fin.land.naver.com/articles/2650427336",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925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82000</v>
      </c>
      <c r="G1016" s="4" t="n">
        <v>298</v>
      </c>
      <c r="H1016" s="4" t="n">
        <v>90</v>
      </c>
      <c r="I1016" s="5" t="n">
        <v>911.1</v>
      </c>
      <c r="J1016" s="5" t="n">
        <v>339.8</v>
      </c>
      <c r="K1016" s="3" t="inlineStr">
        <is>
          <t>90.6p, 아름동 국제고 인근 위치 좋은 토지 매매</t>
        </is>
      </c>
      <c r="L1016" s="6">
        <f>HYPERLINK("https://fin.land.naver.com/articles/2651940283", "매물Link")</f>
        <v/>
      </c>
      <c r="M1016" s="6">
        <f>HYPERLINK("https://map.naver.com/p/search/아름동 925", "지도Link")</f>
        <v/>
      </c>
      <c r="N1016" s="6">
        <f>HYPERLINK("http://www.eum.go.kr/web/ar/lu/luLandDet.jsp?pnu=3611011300109250000&amp;isNoScr=script&amp;mode=search",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국제고인근 위치좋은 코너각지, 공원인접,보행로연결</t>
        </is>
      </c>
      <c r="L1017" s="6">
        <f>HYPERLINK("https://fin.land.naver.com/articles/2650825128",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똑똑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63000</v>
      </c>
      <c r="G1019" s="4" t="n">
        <v>299</v>
      </c>
      <c r="H1019" s="4" t="n">
        <v>90</v>
      </c>
      <c r="I1019" s="5" t="n">
        <v>700</v>
      </c>
      <c r="J1019" s="5" t="n">
        <v>339.8</v>
      </c>
      <c r="K1019" s="3" t="inlineStr">
        <is>
          <t>총 90.6p, 국제고인근 단독주택 토지매매</t>
        </is>
      </c>
      <c r="L1019" s="6">
        <f>HYPERLINK("https://fin.land.naver.com/articles/2652842317", "매물Link")</f>
        <v/>
      </c>
      <c r="M1019" s="6">
        <f>HYPERLINK("https://map.naver.com/p/search/아름동 929", "지도Link")</f>
        <v/>
      </c>
      <c r="N1019" s="6">
        <f>HYPERLINK("http://www.eum.go.kr/web/ar/lu/luLandDet.jsp?pnu=3611011300109290000&amp;isNoScr=script&amp;mode=search",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조율가능 공공조경접함 건축하기 좋은 땅모양</t>
        </is>
      </c>
      <c r="L1020" s="6">
        <f>HYPERLINK("https://fin.land.naver.com/articles/2652418932",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65000</v>
      </c>
      <c r="G1021" s="4" t="n">
        <v>299</v>
      </c>
      <c r="H1021" s="4" t="n">
        <v>90</v>
      </c>
      <c r="I1021" s="5" t="n">
        <v>722.2</v>
      </c>
      <c r="J1021" s="5" t="n">
        <v>344.5</v>
      </c>
      <c r="K1021" s="3" t="inlineStr">
        <is>
          <t>삼거리 코너, 아름동 입지 좋은 단독주택지</t>
        </is>
      </c>
      <c r="L1021" s="6">
        <f>HYPERLINK("https://fin.land.naver.com/articles/2647424901", "매물Link")</f>
        <v/>
      </c>
      <c r="M1021" s="6">
        <f>HYPERLINK("https://map.naver.com/p/search/아름동 961", "지도Link")</f>
        <v/>
      </c>
      <c r="N1021" s="6">
        <f>HYPERLINK("http://www.eum.go.kr/web/ar/lu/luLandDet.jsp?pnu=3611011300109610000&amp;isNoScr=script&amp;mode=search",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소로각지</t>
        </is>
      </c>
    </row>
    <row r="1022">
      <c r="A1022" s="3" t="inlineStr">
        <is>
          <t>아름동 961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65000</v>
      </c>
      <c r="G1022" s="4" t="n">
        <v>299</v>
      </c>
      <c r="H1022" s="4" t="n">
        <v>90</v>
      </c>
      <c r="I1022" s="5" t="n">
        <v>722.2</v>
      </c>
      <c r="J1022" s="5" t="n">
        <v>344.5</v>
      </c>
      <c r="K1022" s="3" t="inlineStr">
        <is>
          <t>좋은매물 단독주택등추천 협의</t>
        </is>
      </c>
      <c r="L1022" s="6">
        <f>HYPERLINK("https://fin.land.naver.com/articles/2652055256", "매물Link")</f>
        <v/>
      </c>
      <c r="M1022" s="6">
        <f>HYPERLINK("https://map.naver.com/p/search/아름동 961", "지도Link")</f>
        <v/>
      </c>
      <c r="N1022" s="6">
        <f>HYPERLINK("http://www.eum.go.kr/web/ar/lu/luLandDet.jsp?pnu=3611011300109610000&amp;isNoScr=script&amp;mode=search", "토지이음")</f>
        <v/>
      </c>
      <c r="O1022" s="3" t="inlineStr">
        <is>
          <t>세석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소로각지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급매,전원주택지로 충대병원 인접, 교통 및 학군 편리한 생활권</t>
        </is>
      </c>
      <c r="L1023" s="6">
        <f>HYPERLINK("https://fin.land.naver.com/articles/2650851379",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고운맘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조율가능, 급매, 아름동 위치좋은 단독주택지</t>
        </is>
      </c>
      <c r="L1024" s="6">
        <f>HYPERLINK("https://fin.land.naver.com/articles/2649873097",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국제고인근.코너각지. 충대병원인접. 위치,교통 편리한 지역.조정가능</t>
        </is>
      </c>
      <c r="L1026" s="6">
        <f>HYPERLINK("https://fin.land.naver.com/articles/2651892393",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새롬삼둥이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HYPERLINK("https://fin.land.naver.com/articles/2652837454",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사거리 코너 입지, 가격 최대 조율가능</t>
        </is>
      </c>
      <c r="L1028" s="6">
        <f>HYPERLINK("https://fin.land.naver.com/articles/2647421860",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총 107.2p, 국제고, 충남대병원인근</t>
        </is>
      </c>
      <c r="L1029" s="6">
        <f>HYPERLINK("https://fin.land.naver.com/articles/2648127229",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971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79560</v>
      </c>
      <c r="G1031" s="4" t="n">
        <v>308</v>
      </c>
      <c r="H1031" s="4" t="n">
        <v>93</v>
      </c>
      <c r="I1031" s="5" t="n">
        <v>855.5</v>
      </c>
      <c r="J1031" s="5" t="n">
        <v>330.6</v>
      </c>
      <c r="K1031" s="3" t="inlineStr">
        <is>
          <t>공원앞, 충대병원, 국제고 인근, 아름동 단독주택지</t>
        </is>
      </c>
      <c r="L1031" s="6">
        <f>HYPERLINK("https://fin.land.naver.com/articles/2650427802", "매물Link")</f>
        <v/>
      </c>
      <c r="M1031" s="6">
        <f>HYPERLINK("https://map.naver.com/p/search/아름동 971", "지도Link")</f>
        <v/>
      </c>
      <c r="N1031" s="6">
        <f>HYPERLINK("http://www.eum.go.kr/web/ar/lu/luLandDet.jsp?pnu=3611011300109710000&amp;isNoScr=script&amp;mode=search",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308.9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994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75000</v>
      </c>
      <c r="G1032" s="4" t="n">
        <v>324</v>
      </c>
      <c r="H1032" s="4" t="n">
        <v>98</v>
      </c>
      <c r="I1032" s="5" t="n">
        <v>765.3</v>
      </c>
      <c r="J1032" s="5" t="n">
        <v>335.5</v>
      </c>
      <c r="K1032" s="3" t="inlineStr">
        <is>
          <t>급매 최상단 뻥조망 위치최상 벙커주차장가능</t>
        </is>
      </c>
      <c r="L1032" s="6">
        <f>HYPERLINK("https://fin.land.naver.com/articles/2651086404", "매물Link")</f>
        <v/>
      </c>
      <c r="M1032" s="6">
        <f>HYPERLINK("https://map.naver.com/p/search/아름동 994", "지도Link")</f>
        <v/>
      </c>
      <c r="N1032" s="6">
        <f>HYPERLINK("http://www.eum.go.kr/web/ar/lu/luLandDet.jsp?pnu=3611011300109940000&amp;isNoScr=script&amp;mode=search",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324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330</v>
      </c>
      <c r="H1033" s="4" t="n">
        <v>100</v>
      </c>
      <c r="I1033" s="5" t="n">
        <v>360</v>
      </c>
      <c r="J1033" s="5" t="n">
        <v>106.7</v>
      </c>
      <c r="K1033" s="3" t="inlineStr">
        <is>
          <t>세종 내판리 토지 매매.지목 대지구단위계획구역</t>
        </is>
      </c>
      <c r="L1033" s="6">
        <f>HYPERLINK("https://fin.land.naver.com/articles/2648747196",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세종몽땅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329</v>
      </c>
      <c r="H1034" s="4" t="n">
        <v>100</v>
      </c>
      <c r="I1034" s="5" t="n">
        <v>360</v>
      </c>
      <c r="J1034" s="5" t="n">
        <v>106.7</v>
      </c>
      <c r="K1034" s="3" t="inlineStr">
        <is>
          <t>nan</t>
        </is>
      </c>
      <c r="L1034" s="6">
        <f>HYPERLINK("https://fin.land.naver.com/articles/2649512630",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세종지평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67000</v>
      </c>
      <c r="G1035" s="4" t="n">
        <v>2767</v>
      </c>
      <c r="H1035" s="4" t="n">
        <v>837</v>
      </c>
      <c r="I1035" s="5" t="n">
        <v>80</v>
      </c>
      <c r="J1035" s="5" t="n">
        <v>36.2</v>
      </c>
      <c r="K1035" s="3" t="inlineStr">
        <is>
          <t>계확관리 아파트건설 호재가 있는  토지 중학교 옆위치 조율가능</t>
        </is>
      </c>
      <c r="L1035" s="6">
        <f>HYPERLINK("https://fin.land.naver.com/articles/2647958085", "매물Link")</f>
        <v/>
      </c>
      <c r="M1035" s="6">
        <f>HYPERLINK("https://map.naver.com/p/search/연동면 내판리 104", "지도Link")</f>
        <v/>
      </c>
      <c r="N1035" s="6">
        <f>HYPERLINK("http://www.eum.go.kr/web/ar/lu/luLandDet.jsp?pnu=3611032021101040000&amp;isNoScr=script&amp;mode=search", "토지이음")</f>
        <v/>
      </c>
      <c r="O1035" s="3" t="inlineStr">
        <is>
          <t>도안부자</t>
        </is>
      </c>
      <c r="P1035" s="4" t="n">
        <v>1</v>
      </c>
      <c r="Q1035" s="4" t="n">
        <v>2767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175-1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190000</v>
      </c>
      <c r="G1036" s="4" t="n">
        <v>2710</v>
      </c>
      <c r="H1036" s="4" t="n">
        <v>820</v>
      </c>
      <c r="I1036" s="5" t="n">
        <v>231.7</v>
      </c>
      <c r="J1036" s="5" t="n">
        <v>71.90000000000001</v>
      </c>
      <c r="K1036" s="3" t="inlineStr">
        <is>
          <t>세종시 연동면내판리 2차선 토지매매</t>
        </is>
      </c>
      <c r="L1036" s="6">
        <f>HYPERLINK("https://fin.land.naver.com/articles/2652504504", "매물Link")</f>
        <v/>
      </c>
      <c r="M1036" s="6">
        <f>HYPERLINK("https://map.naver.com/p/search/연동면 내판리 175-1", "지도Link")</f>
        <v/>
      </c>
      <c r="N1036" s="6">
        <f>HYPERLINK("http://www.eum.go.kr/web/ar/lu/luLandDet.jsp?pnu=3611032021101750001&amp;isNoScr=script&amp;mode=search", "토지이음")</f>
        <v/>
      </c>
      <c r="O1036" s="3" t="inlineStr">
        <is>
          <t>동원</t>
        </is>
      </c>
      <c r="P1036" s="4" t="n">
        <v>1</v>
      </c>
      <c r="Q1036" s="4" t="n">
        <v>2340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254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65000</v>
      </c>
      <c r="G1037" s="4" t="n">
        <v>1884</v>
      </c>
      <c r="H1037" s="4" t="n">
        <v>570</v>
      </c>
      <c r="I1037" s="5" t="n">
        <v>114</v>
      </c>
      <c r="J1037" s="5" t="n">
        <v>65.8</v>
      </c>
      <c r="K1037" s="3" t="inlineStr">
        <is>
          <t>실 570. 행정중심복합도시 수혜지역 매매. 대통령집무실 이전유력지 호재</t>
        </is>
      </c>
      <c r="L1037" s="6">
        <f>HYPERLINK("https://fin.land.naver.com/articles/2651758585", "매물Link")</f>
        <v/>
      </c>
      <c r="M1037" s="6">
        <f>HYPERLINK("https://map.naver.com/p/search/연동면 내판리 254", "지도Link")</f>
        <v/>
      </c>
      <c r="N1037" s="6">
        <f>HYPERLINK("http://www.eum.go.kr/web/ar/lu/luLandDet.jsp?pnu=3611032021102540000&amp;isNoScr=script&amp;mode=search", "토지이음")</f>
        <v/>
      </c>
      <c r="O1037" s="3" t="inlineStr">
        <is>
          <t>길</t>
        </is>
      </c>
      <c r="P1037" s="4" t="n">
        <v>1</v>
      </c>
      <c r="Q1037" s="4" t="n">
        <v>1884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맹지</t>
        </is>
      </c>
    </row>
    <row r="1038">
      <c r="A1038" s="3" t="inlineStr">
        <is>
          <t>연동면 내판리 337-1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191664</v>
      </c>
      <c r="G1038" s="4" t="n">
        <v>1152</v>
      </c>
      <c r="H1038" s="4" t="n">
        <v>348</v>
      </c>
      <c r="I1038" s="5" t="n">
        <v>550.8</v>
      </c>
      <c r="J1038" s="5" t="n">
        <v>112.8</v>
      </c>
      <c r="K1038" s="3" t="inlineStr">
        <is>
          <t>명학산업단지 근처 6미터 도로접 투자용</t>
        </is>
      </c>
      <c r="L1038" s="6">
        <f>HYPERLINK("https://fin.land.naver.com/articles/2652376217", "매물Link")</f>
        <v/>
      </c>
      <c r="M1038" s="6">
        <f>HYPERLINK("https://map.naver.com/p/search/연동면 내판리 337-1", "지도Link")</f>
        <v/>
      </c>
      <c r="N1038" s="6">
        <f>HYPERLINK("http://www.eum.go.kr/web/ar/lu/luLandDet.jsp?pnu=3611032021103370001&amp;isNoScr=script&amp;mode=search", "토지이음")</f>
        <v/>
      </c>
      <c r="O1038" s="3" t="inlineStr">
        <is>
          <t>도안재벌</t>
        </is>
      </c>
      <c r="P1038" s="4" t="n">
        <v>1</v>
      </c>
      <c r="Q1038" s="4" t="n">
        <v>1152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207000</v>
      </c>
      <c r="G1041" s="4" t="n">
        <v>5683</v>
      </c>
      <c r="H1041" s="4" t="n">
        <v>1719</v>
      </c>
      <c r="I1041" s="5" t="n">
        <v>120.4</v>
      </c>
      <c r="J1041" s="5" t="n">
        <v>41.8</v>
      </c>
      <c r="K1041" s="3" t="inlineStr">
        <is>
          <t>계획관리지역 건축부지 시세이하가격</t>
        </is>
      </c>
      <c r="L1041" s="6">
        <f>HYPERLINK("https://fin.land.naver.com/articles/2650899167",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(주)경진컨설팅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210000</v>
      </c>
      <c r="G1042" s="4" t="n">
        <v>5683</v>
      </c>
      <c r="H1042" s="4" t="n">
        <v>1719</v>
      </c>
      <c r="I1042" s="5" t="n">
        <v>122.2</v>
      </c>
      <c r="J1042" s="5" t="n">
        <v>41.8</v>
      </c>
      <c r="K1042" s="3" t="inlineStr">
        <is>
          <t>시세보다 저렴한  최상의 위치로  계획관리 토지로 용도다양</t>
        </is>
      </c>
      <c r="L1042" s="6">
        <f>HYPERLINK("https://fin.land.naver.com/articles/2651026655",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220000</v>
      </c>
      <c r="G1043" s="4" t="n">
        <v>5683</v>
      </c>
      <c r="H1043" s="4" t="n">
        <v>1719</v>
      </c>
      <c r="I1043" s="5" t="n">
        <v>128</v>
      </c>
      <c r="J1043" s="5" t="n">
        <v>41.8</v>
      </c>
      <c r="K1043" s="3" t="inlineStr">
        <is>
          <t>급매 시세보다 저렴한 토지 추천매물입니다</t>
        </is>
      </c>
      <c r="L1043" s="6">
        <f>HYPERLINK("https://fin.land.naver.com/articles/2649005969",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세종푸르지오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64-1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88000</v>
      </c>
      <c r="G1054" s="4" t="n">
        <v>1167</v>
      </c>
      <c r="H1054" s="4" t="n">
        <v>353</v>
      </c>
      <c r="I1054" s="5" t="n">
        <v>249.3</v>
      </c>
      <c r="J1054" s="5" t="n">
        <v>83.3</v>
      </c>
      <c r="K1054" s="3" t="inlineStr">
        <is>
          <t>급매, 계획관리지역,성장관리계획구역 도로접</t>
        </is>
      </c>
      <c r="L1054" s="6">
        <f>HYPERLINK("https://fin.land.naver.com/articles/2652592592", "매물Link")</f>
        <v/>
      </c>
      <c r="M1054" s="6">
        <f>HYPERLINK("https://map.naver.com/p/search/연동면 내판리 64-1", "지도Link")</f>
        <v/>
      </c>
      <c r="N1054" s="6">
        <f>HYPERLINK("http://www.eum.go.kr/web/ar/lu/luLandDet.jsp?pnu=3611032021100640001&amp;isNoScr=script&amp;mode=search", "토지이음")</f>
        <v/>
      </c>
      <c r="O1054" s="3" t="inlineStr">
        <is>
          <t>굿모닝한라</t>
        </is>
      </c>
      <c r="P1054" s="4" t="n">
        <v>1</v>
      </c>
      <c r="Q1054" s="4" t="n">
        <v>1167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65-1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145000</v>
      </c>
      <c r="G1055" s="4" t="n">
        <v>2635</v>
      </c>
      <c r="H1055" s="4" t="n">
        <v>797</v>
      </c>
      <c r="I1055" s="5" t="n">
        <v>181.9</v>
      </c>
      <c r="J1055" s="5" t="n">
        <v>83.3</v>
      </c>
      <c r="K1055" s="3" t="inlineStr">
        <is>
          <t>급매,계획관리구역,성장관리계획구역</t>
        </is>
      </c>
      <c r="L1055" s="6">
        <f>HYPERLINK("https://fin.land.naver.com/articles/2652592516", "매물Link")</f>
        <v/>
      </c>
      <c r="M1055" s="6">
        <f>HYPERLINK("https://map.naver.com/p/search/연동면 내판리 65-1", "지도Link")</f>
        <v/>
      </c>
      <c r="N1055" s="6">
        <f>HYPERLINK("http://www.eum.go.kr/web/ar/lu/luLandDet.jsp?pnu=3611032021100650001&amp;isNoScr=script&amp;mode=search",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1468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산2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100000</v>
      </c>
      <c r="G1057" s="4" t="n">
        <v>1587</v>
      </c>
      <c r="H1057" s="4" t="n">
        <v>480</v>
      </c>
      <c r="I1057" s="5" t="n">
        <v>208.3</v>
      </c>
      <c r="J1057" s="5" t="n">
        <v>36.2</v>
      </c>
      <c r="K1057" s="3" t="inlineStr">
        <is>
          <t>계획관리,도시계획도로접,지구단위계획구역,땅모양좋음,조정가</t>
        </is>
      </c>
      <c r="L1057" s="6">
        <f>HYPERLINK("https://fin.land.naver.com/articles/2650882718", "매물Link")</f>
        <v/>
      </c>
      <c r="M1057" s="6">
        <f>HYPERLINK("https://map.naver.com/p/search/연동면 내판리 산2", "지도Link")</f>
        <v/>
      </c>
      <c r="N1057" s="6">
        <f>HYPERLINK("http://www.eum.go.kr/web/ar/lu/luLandDet.jsp?pnu=3611032021200020000&amp;isNoScr=script&amp;mode=search", "토지이음")</f>
        <v/>
      </c>
      <c r="O1057" s="3" t="inlineStr">
        <is>
          <t>힐스테이트행복</t>
        </is>
      </c>
      <c r="P1057" s="4" t="n">
        <v>1</v>
      </c>
      <c r="Q1057" s="4" t="n">
        <v>1587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세로각지(가)</t>
        </is>
      </c>
    </row>
    <row r="1058">
      <c r="A1058" s="3" t="inlineStr">
        <is>
          <t>연동면 노송리 234-1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17200</v>
      </c>
      <c r="G1058" s="4" t="n">
        <v>283</v>
      </c>
      <c r="H1058" s="4" t="n">
        <v>86</v>
      </c>
      <c r="I1058" s="5" t="n">
        <v>200</v>
      </c>
      <c r="J1058" s="5" t="n">
        <v>73.40000000000001</v>
      </c>
      <c r="K1058" s="3" t="inlineStr">
        <is>
          <t>추천. 연동면 대지</t>
        </is>
      </c>
      <c r="L1058" s="6">
        <f>HYPERLINK("https://fin.land.naver.com/articles/2652009945", "매물Link")</f>
        <v/>
      </c>
      <c r="M1058" s="6">
        <f>HYPERLINK("https://map.naver.com/p/search/연동면 노송리 234-1", "지도Link")</f>
        <v/>
      </c>
      <c r="N1058" s="6">
        <f>HYPERLINK("http://www.eum.go.kr/web/ar/lu/luLandDet.jsp?pnu=3611032025102340001&amp;isNoScr=script&amp;mode=search", "토지이음")</f>
        <v/>
      </c>
      <c r="O1058" s="3" t="inlineStr">
        <is>
          <t>강아지풀</t>
        </is>
      </c>
      <c r="P1058" s="4" t="n">
        <v>2</v>
      </c>
      <c r="Q1058" s="4" t="n">
        <v>283</v>
      </c>
      <c r="R1058" s="3" t="inlineStr">
        <is>
          <t>지정되지않음</t>
        </is>
      </c>
      <c r="S1058" s="3" t="inlineStr">
        <is>
          <t>단독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노송리 24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12600</v>
      </c>
      <c r="G1059" s="4" t="n">
        <v>417</v>
      </c>
      <c r="H1059" s="4" t="n">
        <v>126</v>
      </c>
      <c r="I1059" s="5" t="n">
        <v>100</v>
      </c>
      <c r="J1059" s="5" t="n">
        <v>65</v>
      </c>
      <c r="K1059" s="3" t="inlineStr">
        <is>
          <t>지대가 높아 남향으로 집을 지으면 조망이 좋은 계획관리지역의 대지입니다</t>
        </is>
      </c>
      <c r="L1059" s="6">
        <f>HYPERLINK("https://fin.land.naver.com/articles/2652192028", "매물Link")</f>
        <v/>
      </c>
      <c r="M1059" s="6">
        <f>HYPERLINK("https://map.naver.com/p/search/연동면 노송리 24", "지도Link")</f>
        <v/>
      </c>
      <c r="N1059" s="6">
        <f>HYPERLINK("http://www.eum.go.kr/web/ar/lu/luLandDet.jsp?pnu=3611032025100240000&amp;isNoScr=script&amp;mode=search",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179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노송리 246-2</t>
        </is>
      </c>
      <c r="B1060" s="3" t="inlineStr">
        <is>
          <t>계획관리지역</t>
        </is>
      </c>
      <c r="C1060" s="3" t="inlineStr">
        <is>
          <t>과수원</t>
        </is>
      </c>
      <c r="D1060" s="3" t="inlineStr">
        <is>
          <t>전</t>
        </is>
      </c>
      <c r="E1060" s="3" t="inlineStr">
        <is>
          <t>매매</t>
        </is>
      </c>
      <c r="F1060" s="4" t="n">
        <v>92000</v>
      </c>
      <c r="G1060" s="4" t="n">
        <v>2034</v>
      </c>
      <c r="H1060" s="4" t="n">
        <v>615</v>
      </c>
      <c r="I1060" s="5" t="n">
        <v>149.6</v>
      </c>
      <c r="J1060" s="5" t="n">
        <v>46.3</v>
      </c>
      <c r="K1060" s="3" t="inlineStr">
        <is>
          <t>연접된 2필지 토지로 지목은 전, 과수원으로 구성됨</t>
        </is>
      </c>
      <c r="L1060" s="6">
        <f>HYPERLINK("https://fin.land.naver.com/articles/2650782555", "매물Link")</f>
        <v/>
      </c>
      <c r="M1060" s="6">
        <f>HYPERLINK("https://map.naver.com/p/search/연동면 노송리 246-2", "지도Link")</f>
        <v/>
      </c>
      <c r="N1060" s="6">
        <f>HYPERLINK("http://www.eum.go.kr/web/ar/lu/luLandDet.jsp?pnu=3611032025102460002&amp;isNoScr=script&amp;mode=search", "토지이음")</f>
        <v/>
      </c>
      <c r="O1060" s="3" t="inlineStr">
        <is>
          <t>탑</t>
        </is>
      </c>
      <c r="P1060" s="4" t="n">
        <v>1</v>
      </c>
      <c r="Q1060" s="4" t="n">
        <v>1090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275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39500</v>
      </c>
      <c r="G1061" s="4" t="n">
        <v>724</v>
      </c>
      <c r="H1061" s="4" t="n">
        <v>219</v>
      </c>
      <c r="I1061" s="5" t="n">
        <v>180.4</v>
      </c>
      <c r="J1061" s="5" t="n">
        <v>67.7</v>
      </c>
      <c r="K1061" s="3" t="inlineStr">
        <is>
          <t>매매가 조절가능,집 짓고 텃밭하기 좋은 땅</t>
        </is>
      </c>
      <c r="L1061" s="6">
        <f>HYPERLINK("https://fin.land.naver.com/articles/2651247824", "매물Link")</f>
        <v/>
      </c>
      <c r="M1061" s="6">
        <f>HYPERLINK("https://map.naver.com/p/search/연동면 노송리 275", "지도Link")</f>
        <v/>
      </c>
      <c r="N1061" s="6">
        <f>HYPERLINK("http://www.eum.go.kr/web/ar/lu/luLandDet.jsp?pnu=3611032025102750000&amp;isNoScr=script&amp;mode=search", "토지이음")</f>
        <v/>
      </c>
      <c r="O1061" s="3" t="inlineStr">
        <is>
          <t>엘리프단지내대표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세로한면(가)</t>
        </is>
      </c>
    </row>
    <row r="1062">
      <c r="A1062" s="3" t="inlineStr">
        <is>
          <t>연동면 노송리 28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180000</v>
      </c>
      <c r="G1062" s="4" t="n">
        <v>1001</v>
      </c>
      <c r="H1062" s="4" t="n">
        <v>303</v>
      </c>
      <c r="I1062" s="5" t="n">
        <v>594.1</v>
      </c>
      <c r="J1062" s="5" t="n">
        <v>68.90000000000001</v>
      </c>
      <c r="K1062" s="3" t="inlineStr">
        <is>
          <t>계획관리 자연취락지구 3필지일괄매각 분할매각도가능 가격절충가능</t>
        </is>
      </c>
      <c r="L1062" s="6">
        <f>HYPERLINK("https://fin.land.naver.com/articles/2651719062", "매물Link")</f>
        <v/>
      </c>
      <c r="M1062" s="6">
        <f>HYPERLINK("https://map.naver.com/p/search/연동면 노송리 28", "지도Link")</f>
        <v/>
      </c>
      <c r="N1062" s="6">
        <f>HYPERLINK("http://www.eum.go.kr/web/ar/lu/luLandDet.jsp?pnu=3611032025100280000&amp;isNoScr=script&amp;mode=search",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1001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세로각지(가)</t>
        </is>
      </c>
    </row>
    <row r="1063">
      <c r="A1063" s="3" t="inlineStr">
        <is>
          <t>연동면 노송리 28-6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35000</v>
      </c>
      <c r="G1063" s="4" t="n">
        <v>465</v>
      </c>
      <c r="H1063" s="4" t="n">
        <v>141</v>
      </c>
      <c r="I1063" s="5" t="n">
        <v>248.2</v>
      </c>
      <c r="J1063" s="5" t="n">
        <v>68.40000000000001</v>
      </c>
      <c r="K1063" s="3" t="inlineStr">
        <is>
          <t>지목 대 계획관리 자연취락지구 진입도로있음</t>
        </is>
      </c>
      <c r="L1063" s="6">
        <f>HYPERLINK("https://fin.land.naver.com/articles/2651719061", "매물Link")</f>
        <v/>
      </c>
      <c r="M1063" s="6">
        <f>HYPERLINK("https://map.naver.com/p/search/연동면 노송리 28-6", "지도Link")</f>
        <v/>
      </c>
      <c r="N1063" s="6">
        <f>HYPERLINK("http://www.eum.go.kr/web/ar/lu/luLandDet.jsp?pnu=3611032025100280006&amp;isNoScr=script&amp;mode=search",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465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2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302-1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162000</v>
      </c>
      <c r="G1065" s="4" t="n">
        <v>1983</v>
      </c>
      <c r="H1065" s="4" t="n">
        <v>600</v>
      </c>
      <c r="I1065" s="5" t="n">
        <v>270</v>
      </c>
      <c r="J1065" s="5" t="n">
        <v>13.9</v>
      </c>
      <c r="K1065" s="3" t="inlineStr">
        <is>
          <t>계획관리 투자용으로도 좋아요</t>
        </is>
      </c>
      <c r="L1065" s="6">
        <f>HYPERLINK("https://fin.land.naver.com/articles/2648188622", "매물Link")</f>
        <v/>
      </c>
      <c r="M1065" s="6">
        <f>HYPERLINK("https://map.naver.com/p/search/연동면 노송리 302-1", "지도Link")</f>
        <v/>
      </c>
      <c r="N1065" s="6">
        <f>HYPERLINK("http://www.eum.go.kr/web/ar/lu/luLandDet.jsp?pnu=3611032025103020001&amp;isNoScr=script&amp;mode=search", "토지이음")</f>
        <v/>
      </c>
      <c r="O1065" s="3" t="inlineStr">
        <is>
          <t>가치잇는</t>
        </is>
      </c>
      <c r="P1065" s="4" t="n">
        <v>1</v>
      </c>
      <c r="Q1065" s="4" t="n">
        <v>30</v>
      </c>
      <c r="R1065" s="3" t="inlineStr">
        <is>
          <t>지정되지않음</t>
        </is>
      </c>
      <c r="S1065" s="3" t="inlineStr">
        <is>
          <t>도로등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지정되지않음</t>
        </is>
      </c>
    </row>
    <row r="1066">
      <c r="A1066" s="3" t="inlineStr">
        <is>
          <t>연동면 노송리 310-10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45000</v>
      </c>
      <c r="G1066" s="4" t="n">
        <v>616</v>
      </c>
      <c r="H1066" s="4" t="n">
        <v>186</v>
      </c>
      <c r="I1066" s="5" t="n">
        <v>241.9</v>
      </c>
      <c r="J1066" s="5" t="n">
        <v>18.9</v>
      </c>
      <c r="K1066" s="3" t="inlineStr">
        <is>
          <t>투자용으로 좋아요.</t>
        </is>
      </c>
      <c r="L1066" s="6">
        <f>HYPERLINK("https://fin.land.naver.com/articles/2650453793", "매물Link")</f>
        <v/>
      </c>
      <c r="M1066" s="6">
        <f>HYPERLINK("https://map.naver.com/p/search/연동면 노송리 310-10", "지도Link")</f>
        <v/>
      </c>
      <c r="N1066" s="6">
        <f>HYPERLINK("http://www.eum.go.kr/web/ar/lu/luLandDet.jsp?pnu=3611032025103100010&amp;isNoScr=script&amp;mode=search", "토지이음")</f>
        <v/>
      </c>
      <c r="O1066" s="3" t="inlineStr">
        <is>
          <t>고운동리치세종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노송리 327-2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133750</v>
      </c>
      <c r="G1067" s="4" t="n">
        <v>1507</v>
      </c>
      <c r="H1067" s="4" t="n">
        <v>456</v>
      </c>
      <c r="I1067" s="5" t="n">
        <v>293.3</v>
      </c>
      <c r="J1067" s="5" t="n">
        <v>45</v>
      </c>
      <c r="K1067" s="3" t="inlineStr">
        <is>
          <t>추천. 연동면 도로낀 계획관리</t>
        </is>
      </c>
      <c r="L1067" s="6">
        <f>HYPERLINK("https://fin.land.naver.com/articles/2651935386", "매물Link")</f>
        <v/>
      </c>
      <c r="M1067" s="6">
        <f>HYPERLINK("https://map.naver.com/p/search/연동면 노송리 327-2", "지도Link")</f>
        <v/>
      </c>
      <c r="N1067" s="6">
        <f>HYPERLINK("http://www.eum.go.kr/web/ar/lu/luLandDet.jsp?pnu=3611032025103270002&amp;isNoScr=script&amp;mode=search", "토지이음")</f>
        <v/>
      </c>
      <c r="O1067" s="3" t="inlineStr">
        <is>
          <t>강아지풀</t>
        </is>
      </c>
      <c r="P1067" s="4" t="n">
        <v>1</v>
      </c>
      <c r="Q1067" s="4" t="n">
        <v>1507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329-5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23000</v>
      </c>
      <c r="G1068" s="4" t="n">
        <v>254</v>
      </c>
      <c r="H1068" s="4" t="n">
        <v>77</v>
      </c>
      <c r="I1068" s="5" t="n">
        <v>298.7</v>
      </c>
      <c r="J1068" s="5" t="n">
        <v>47.2</v>
      </c>
      <c r="K1068" s="3" t="inlineStr">
        <is>
          <t>2차선 도로에 접함, 건축허가 득함</t>
        </is>
      </c>
      <c r="L1068" s="6">
        <f>HYPERLINK("https://fin.land.naver.com/articles/2649582469", "매물Link")</f>
        <v/>
      </c>
      <c r="M1068" s="6">
        <f>HYPERLINK("https://map.naver.com/p/search/연동면 노송리 329-5", "지도Link")</f>
        <v/>
      </c>
      <c r="N1068" s="6">
        <f>HYPERLINK("http://www.eum.go.kr/web/ar/lu/luLandDet.jsp?pnu=3611032025103290005&amp;isNoScr=script&amp;mode=search", "토지이음")</f>
        <v/>
      </c>
      <c r="O1068" s="3" t="inlineStr">
        <is>
          <t>제이</t>
        </is>
      </c>
      <c r="P1068" s="4" t="n">
        <v>1</v>
      </c>
      <c r="Q1068" s="4" t="n">
        <v>254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연동면 노송리 449-1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85000</v>
      </c>
      <c r="G1069" s="4" t="n">
        <v>2320</v>
      </c>
      <c r="H1069" s="4" t="n">
        <v>702</v>
      </c>
      <c r="I1069" s="5" t="n">
        <v>121.1</v>
      </c>
      <c r="J1069" s="5" t="n">
        <v>34.4</v>
      </c>
      <c r="K1069" s="3" t="inlineStr">
        <is>
          <t>세종시 복합물류터미널 인근 2차선 국도변 계획관리 토지</t>
        </is>
      </c>
      <c r="L1069" s="6">
        <f>HYPERLINK("https://fin.land.naver.com/articles/2651339680", "매물Link")</f>
        <v/>
      </c>
      <c r="M1069" s="6">
        <f>HYPERLINK("https://map.naver.com/p/search/연동면 노송리 449-1", "지도Link")</f>
        <v/>
      </c>
      <c r="N1069" s="6">
        <f>HYPERLINK("http://www.eum.go.kr/web/ar/lu/luLandDet.jsp?pnu=3611032025104490001&amp;isNoScr=script&amp;mode=search", "토지이음")</f>
        <v/>
      </c>
      <c r="O1069" s="3" t="inlineStr">
        <is>
          <t>오송3산단  사무소</t>
        </is>
      </c>
      <c r="P1069" s="4" t="n">
        <v>1</v>
      </c>
      <c r="Q1069" s="4" t="n">
        <v>2320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165000</v>
      </c>
      <c r="G1072" s="4" t="n">
        <v>991</v>
      </c>
      <c r="H1072" s="4" t="n">
        <v>300</v>
      </c>
      <c r="I1072" s="5" t="n">
        <v>550</v>
      </c>
      <c r="J1072" s="5" t="n">
        <v>25.1</v>
      </c>
      <c r="K1072" s="3" t="inlineStr">
        <is>
          <t>2차선 도로접한 금강이 보이는 지대 높은 토지</t>
        </is>
      </c>
      <c r="L1072" s="6">
        <f>HYPERLINK("https://fin.land.naver.com/articles/2652333436",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담뜰</t>
        </is>
      </c>
      <c r="P1072" s="4" t="n">
        <v>4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100000</v>
      </c>
      <c r="G1074" s="4" t="n">
        <v>645</v>
      </c>
      <c r="H1074" s="4" t="n">
        <v>195</v>
      </c>
      <c r="I1074" s="5" t="n">
        <v>512.8</v>
      </c>
      <c r="J1074" s="5" t="n">
        <v>25.1</v>
      </c>
      <c r="K1074" s="3" t="inlineStr">
        <is>
          <t>일부 매매,전체 매매 가능,도로변에 위치</t>
        </is>
      </c>
      <c r="L1074" s="6">
        <f>HYPERLINK("https://fin.land.naver.com/articles/2649947423",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104-7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78400</v>
      </c>
      <c r="G1075" s="4" t="n">
        <v>3920</v>
      </c>
      <c r="H1075" s="4" t="n">
        <v>1186</v>
      </c>
      <c r="I1075" s="5" t="n">
        <v>66.09999999999999</v>
      </c>
      <c r="J1075" s="5" t="n">
        <v>4.9</v>
      </c>
      <c r="K1075" s="3" t="inlineStr">
        <is>
          <t>금강이 보이는 지대 높은 토지,맹지 탈출 할 수있도록 해드려요</t>
        </is>
      </c>
      <c r="L1075" s="6">
        <f>HYPERLINK("https://fin.land.naver.com/articles/2651262867", "매물Link")</f>
        <v/>
      </c>
      <c r="M1075" s="6">
        <f>HYPERLINK("https://map.naver.com/p/search/연동면 명학리 104-7", "지도Link")</f>
        <v/>
      </c>
      <c r="N1075" s="6">
        <f>HYPERLINK("http://www.eum.go.kr/web/ar/lu/luLandDet.jsp?pnu=3611032023101040007&amp;isNoScr=script&amp;mode=search", "토지이음")</f>
        <v/>
      </c>
      <c r="O1075" s="3" t="inlineStr">
        <is>
          <t>담뜰</t>
        </is>
      </c>
      <c r="P1075" s="4" t="n">
        <v>1</v>
      </c>
      <c r="Q1075" s="4" t="n">
        <v>3920</v>
      </c>
      <c r="R1075" s="3" t="inlineStr">
        <is>
          <t>지정되지않음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148-3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45000</v>
      </c>
      <c r="G1078" s="4" t="n">
        <v>365</v>
      </c>
      <c r="H1078" s="4" t="n">
        <v>110</v>
      </c>
      <c r="I1078" s="5" t="n">
        <v>409.1</v>
      </c>
      <c r="J1078" s="5" t="n">
        <v>113.6</v>
      </c>
      <c r="K1078" s="3" t="inlineStr">
        <is>
          <t>2차선 도로변에 있는 대지로 활용도 높음, 5생활권 초인접 투자로 추천</t>
        </is>
      </c>
      <c r="L1078" s="6">
        <f>HYPERLINK("https://fin.land.naver.com/articles/2650976147", "매물Link")</f>
        <v/>
      </c>
      <c r="M1078" s="6">
        <f>HYPERLINK("https://map.naver.com/p/search/연동면 명학리 148-3", "지도Link")</f>
        <v/>
      </c>
      <c r="N1078" s="6">
        <f>HYPERLINK("http://www.eum.go.kr/web/ar/lu/luLandDet.jsp?pnu=3611032023101480003&amp;isNoScr=script&amp;mode=search", "토지이음")</f>
        <v/>
      </c>
      <c r="O1078" s="3" t="inlineStr">
        <is>
          <t>샘머리랜드</t>
        </is>
      </c>
      <c r="P1078" s="4" t="n">
        <v>1</v>
      </c>
      <c r="Q1078" s="4" t="n">
        <v>365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명학리 195-3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173000</v>
      </c>
      <c r="G1079" s="4" t="n">
        <v>1636</v>
      </c>
      <c r="H1079" s="4" t="n">
        <v>495</v>
      </c>
      <c r="I1079" s="5" t="n">
        <v>349.5</v>
      </c>
      <c r="J1079" s="5" t="n">
        <v>75.90000000000001</v>
      </c>
      <c r="K1079" s="3" t="inlineStr">
        <is>
          <t>도로변 계획관리 토지 매매</t>
        </is>
      </c>
      <c r="L1079" s="6">
        <f>HYPERLINK("https://fin.land.naver.com/articles/2652668223", "매물Link")</f>
        <v/>
      </c>
      <c r="M1079" s="6">
        <f>HYPERLINK("https://map.naver.com/p/search/연동면 명학리 195-3", "지도Link")</f>
        <v/>
      </c>
      <c r="N1079" s="6">
        <f>HYPERLINK("http://www.eum.go.kr/web/ar/lu/luLandDet.jsp?pnu=3611032023101950003&amp;isNoScr=script&amp;mode=search", "토지이음")</f>
        <v/>
      </c>
      <c r="O1079" s="3" t="inlineStr">
        <is>
          <t>(주)정민근</t>
        </is>
      </c>
      <c r="P1079" s="4" t="n">
        <v>1</v>
      </c>
      <c r="Q1079" s="4" t="n">
        <v>1636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연동면 명학리 220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40000</v>
      </c>
      <c r="G1080" s="4" t="n">
        <v>446</v>
      </c>
      <c r="H1080" s="4" t="n">
        <v>135</v>
      </c>
      <c r="I1080" s="5" t="n">
        <v>296.3</v>
      </c>
      <c r="J1080" s="5" t="n">
        <v>98.7</v>
      </c>
      <c r="K1080" s="3" t="inlineStr">
        <is>
          <t>nan</t>
        </is>
      </c>
      <c r="L1080" s="6">
        <f>HYPERLINK("https://fin.land.naver.com/articles/2648256503", "매물Link")</f>
        <v/>
      </c>
      <c r="M1080" s="6">
        <f>HYPERLINK("https://map.naver.com/p/search/연동면 명학리 220", "지도Link")</f>
        <v/>
      </c>
      <c r="N1080" s="6">
        <f>HYPERLINK("http://www.eum.go.kr/web/ar/lu/luLandDet.jsp?pnu=3611032023102200000&amp;isNoScr=script&amp;mode=search", "토지이음")</f>
        <v/>
      </c>
      <c r="O1080" s="3" t="inlineStr">
        <is>
          <t>연동스카이</t>
        </is>
      </c>
      <c r="P1080" s="4" t="n">
        <v>1</v>
      </c>
      <c r="Q1080" s="4" t="n">
        <v>446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명학리 221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38000</v>
      </c>
      <c r="G1081" s="4" t="n">
        <v>614</v>
      </c>
      <c r="H1081" s="4" t="n">
        <v>186</v>
      </c>
      <c r="I1081" s="5" t="n">
        <v>204.3</v>
      </c>
      <c r="J1081" s="5" t="n">
        <v>102.5</v>
      </c>
      <c r="K1081" s="3" t="inlineStr">
        <is>
          <t>나대지로 공기좋고 전원주택지 최상입니다</t>
        </is>
      </c>
      <c r="L1081" s="6">
        <f>HYPERLINK("https://fin.land.naver.com/articles/2650466748", "매물Link")</f>
        <v/>
      </c>
      <c r="M1081" s="6">
        <f>HYPERLINK("https://map.naver.com/p/search/연동면 명학리 221", "지도Link")</f>
        <v/>
      </c>
      <c r="N1081" s="6">
        <f>HYPERLINK("http://www.eum.go.kr/web/ar/lu/luLandDet.jsp?pnu=3611032023102210000&amp;isNoScr=script&amp;mode=search",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616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명학리 301-1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450000</v>
      </c>
      <c r="G1082" s="4" t="n">
        <v>9882</v>
      </c>
      <c r="H1082" s="4" t="n">
        <v>2989</v>
      </c>
      <c r="I1082" s="5" t="n">
        <v>150.6</v>
      </c>
      <c r="J1082" s="5" t="n">
        <v>59.1</v>
      </c>
      <c r="K1082" s="3" t="inlineStr">
        <is>
          <t>2차선에서 도로확보하여 사업부지로 추천</t>
        </is>
      </c>
      <c r="L1082" s="6">
        <f>HYPERLINK("https://fin.land.naver.com/articles/2651037490", "매물Link")</f>
        <v/>
      </c>
      <c r="M1082" s="6">
        <f>HYPERLINK("https://map.naver.com/p/search/연동면 명학리 301-1", "지도Link")</f>
        <v/>
      </c>
      <c r="N1082" s="6">
        <f>HYPERLINK("http://www.eum.go.kr/web/ar/lu/luLandDet.jsp?pnu=3611032023103010001&amp;isNoScr=script&amp;mode=search", "토지이음")</f>
        <v/>
      </c>
      <c r="O1082" s="3" t="inlineStr">
        <is>
          <t>연동스카이</t>
        </is>
      </c>
      <c r="P1082" s="4" t="n">
        <v>1</v>
      </c>
      <c r="Q1082" s="4" t="n">
        <v>2645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가로장방</t>
        </is>
      </c>
      <c r="V1082" s="3" t="inlineStr">
        <is>
          <t>맹지</t>
        </is>
      </c>
    </row>
    <row r="1083">
      <c r="A1083" s="3" t="inlineStr">
        <is>
          <t>연동면 명학리 307-1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21400</v>
      </c>
      <c r="G1083" s="4" t="n">
        <v>236</v>
      </c>
      <c r="H1083" s="4" t="n">
        <v>71</v>
      </c>
      <c r="I1083" s="5" t="n">
        <v>301.4</v>
      </c>
      <c r="J1083" s="5" t="n">
        <v>98.7</v>
      </c>
      <c r="K1083" s="3" t="inlineStr">
        <is>
          <t>세종5생활권연접된 소형토지매매21,400만원</t>
        </is>
      </c>
      <c r="L1083" s="6">
        <f>HYPERLINK("https://fin.land.naver.com/articles/2647917727", "매물Link")</f>
        <v/>
      </c>
      <c r="M1083" s="6">
        <f>HYPERLINK("https://map.naver.com/p/search/연동면 명학리 307-1", "지도Link")</f>
        <v/>
      </c>
      <c r="N1083" s="6">
        <f>HYPERLINK("http://www.eum.go.kr/web/ar/lu/luLandDet.jsp?pnu=3611032023103070001&amp;isNoScr=script&amp;mode=search", "토지이음")</f>
        <v/>
      </c>
      <c r="O1083" s="3" t="inlineStr">
        <is>
          <t>대박</t>
        </is>
      </c>
      <c r="P1083" s="4" t="n">
        <v>1</v>
      </c>
      <c r="Q1083" s="4" t="n">
        <v>236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세로한면(가)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HYPERLINK("https://fin.land.naver.com/articles/2647746185",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385</t>
        </is>
      </c>
      <c r="B1088" s="3" t="inlineStr">
        <is>
          <t>계획관리지역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82460</v>
      </c>
      <c r="G1088" s="4" t="n">
        <v>720</v>
      </c>
      <c r="H1088" s="4" t="n">
        <v>218</v>
      </c>
      <c r="I1088" s="5" t="n">
        <v>378.3</v>
      </c>
      <c r="J1088" s="5" t="n">
        <v>52.8</v>
      </c>
      <c r="K1088" s="3" t="inlineStr">
        <is>
          <t>명성공인, 명학리 계획관리지역 추천 매물</t>
        </is>
      </c>
      <c r="L1088" s="6">
        <f>HYPERLINK("https://fin.land.naver.com/articles/2648045385", "매물Link")</f>
        <v/>
      </c>
      <c r="M1088" s="6">
        <f>HYPERLINK("https://map.naver.com/p/search/연동면 명학리 385", "지도Link")</f>
        <v/>
      </c>
      <c r="N1088" s="6">
        <f>HYPERLINK("http://www.eum.go.kr/web/ar/lu/luLandDet.jsp?pnu=3611032023103850000&amp;isNoScr=script&amp;mode=search",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720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389-2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541</v>
      </c>
      <c r="H1089" s="4" t="n">
        <v>164</v>
      </c>
      <c r="I1089" s="5" t="n">
        <v>164.6</v>
      </c>
      <c r="J1089" s="5" t="n">
        <v>35.6</v>
      </c>
      <c r="K1089" s="3" t="inlineStr">
        <is>
          <t>명학리 위치좋고 앞으로 지가 상승이 예상되는 곳 저렴하게 매매</t>
        </is>
      </c>
      <c r="L1089" s="6">
        <f>HYPERLINK("https://fin.land.naver.com/articles/2650887541", "매물Link")</f>
        <v/>
      </c>
      <c r="M1089" s="6">
        <f>HYPERLINK("https://map.naver.com/p/search/연동면 명학리 389-2", "지도Link")</f>
        <v/>
      </c>
      <c r="N1089" s="6">
        <f>HYPERLINK("http://www.eum.go.kr/web/ar/lu/luLandDet.jsp?pnu=3611032023103890002&amp;isNoScr=script&amp;mode=search", "토지이음")</f>
        <v/>
      </c>
      <c r="O1089" s="3" t="inlineStr">
        <is>
          <t>효성해링턴오복</t>
        </is>
      </c>
      <c r="P1089" s="4" t="n">
        <v>1</v>
      </c>
      <c r="Q1089" s="4" t="n">
        <v>541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맹지</t>
        </is>
      </c>
    </row>
    <row r="1090">
      <c r="A1090" s="3" t="inlineStr">
        <is>
          <t>연동면 명학리 391-12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30000</v>
      </c>
      <c r="G1090" s="4" t="n">
        <v>422</v>
      </c>
      <c r="H1090" s="4" t="n">
        <v>128</v>
      </c>
      <c r="I1090" s="5" t="n">
        <v>234.4</v>
      </c>
      <c r="J1090" s="5" t="n">
        <v>50.2</v>
      </c>
      <c r="K1090" s="3" t="inlineStr">
        <is>
          <t>소형토지 전원주택지 도로접 남향</t>
        </is>
      </c>
      <c r="L1090" s="6">
        <f>HYPERLINK("https://fin.land.naver.com/articles/2650350524", "매물Link")</f>
        <v/>
      </c>
      <c r="M1090" s="6">
        <f>HYPERLINK("https://map.naver.com/p/search/연동면 명학리 391-12", "지도Link")</f>
        <v/>
      </c>
      <c r="N1090" s="6">
        <f>HYPERLINK("http://www.eum.go.kr/web/ar/lu/luLandDet.jsp?pnu=3611032023103910012&amp;isNoScr=script&amp;mode=search", "토지이음")</f>
        <v/>
      </c>
      <c r="O1090" s="3" t="inlineStr">
        <is>
          <t>봄봄</t>
        </is>
      </c>
      <c r="P1090" s="4" t="n">
        <v>1</v>
      </c>
      <c r="Q1090" s="4" t="n">
        <v>422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연동면 명학리 705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1076</v>
      </c>
      <c r="H1091" s="4" t="n">
        <v>325</v>
      </c>
      <c r="I1091" s="5" t="n">
        <v>150.8</v>
      </c>
      <c r="J1091" s="5" t="n">
        <v>30.1</v>
      </c>
      <c r="K1091" s="3" t="inlineStr">
        <is>
          <t>세종시 연동면 명학리 명학산업단지 인근 농지</t>
        </is>
      </c>
      <c r="L1091" s="6">
        <f>HYPERLINK("https://fin.land.naver.com/articles/2648761728", "매물Link")</f>
        <v/>
      </c>
      <c r="M1091" s="6">
        <f>HYPERLINK("https://map.naver.com/p/search/연동면 명학리 705", "지도Link")</f>
        <v/>
      </c>
      <c r="N1091" s="6">
        <f>HYPERLINK("http://www.eum.go.kr/web/ar/lu/luLandDet.jsp?pnu=3611032023107050000&amp;isNoScr=script&amp;mode=search",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1076.6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명학리 714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55000</v>
      </c>
      <c r="G1092" s="4" t="n">
        <v>1537</v>
      </c>
      <c r="H1092" s="4" t="n">
        <v>465</v>
      </c>
      <c r="I1092" s="5" t="n">
        <v>118.3</v>
      </c>
      <c r="J1092" s="5" t="n">
        <v>30.2</v>
      </c>
      <c r="K1092" s="3" t="inlineStr">
        <is>
          <t>마을초입의 도로접한 농림지로 농업관련업종등 농가주택추천</t>
        </is>
      </c>
      <c r="L1092" s="6">
        <f>HYPERLINK("https://fin.land.naver.com/articles/2648261075", "매물Link")</f>
        <v/>
      </c>
      <c r="M1092" s="6">
        <f>HYPERLINK("https://map.naver.com/p/search/연동면 명학리 714", "지도Link")</f>
        <v/>
      </c>
      <c r="N1092" s="6">
        <f>HYPERLINK("http://www.eum.go.kr/web/ar/lu/luLandDet.jsp?pnu=3611032023107140000&amp;isNoScr=script&amp;mode=search",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1538.3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세로한면(가)</t>
        </is>
      </c>
    </row>
    <row r="1093">
      <c r="A1093" s="3" t="inlineStr">
        <is>
          <t>연동면 명학리 796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36500</v>
      </c>
      <c r="G1093" s="4" t="n">
        <v>1996</v>
      </c>
      <c r="H1093" s="4" t="n">
        <v>604</v>
      </c>
      <c r="I1093" s="5" t="n">
        <v>60.4</v>
      </c>
      <c r="J1093" s="5" t="n">
        <v>28.3</v>
      </c>
      <c r="K1093" s="3" t="inlineStr">
        <is>
          <t>5생활권 초근접지역의 농지로 대토 및 장기투자 추천</t>
        </is>
      </c>
      <c r="L1093" s="6">
        <f>HYPERLINK("https://fin.land.naver.com/articles/2648305360", "매물Link")</f>
        <v/>
      </c>
      <c r="M1093" s="6">
        <f>HYPERLINK("https://map.naver.com/p/search/연동면 명학리 796", "지도Link")</f>
        <v/>
      </c>
      <c r="N1093" s="6">
        <f>HYPERLINK("http://www.eum.go.kr/web/ar/lu/luLandDet.jsp?pnu=3611032023107960000&amp;isNoScr=script&amp;mode=search", "토지이음")</f>
        <v/>
      </c>
      <c r="O1093" s="3" t="inlineStr">
        <is>
          <t>연동스카이</t>
        </is>
      </c>
      <c r="P1093" s="4" t="n">
        <v>1</v>
      </c>
      <c r="Q1093" s="4" t="n">
        <v>1996.8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HYPERLINK("https://fin.land.naver.com/articles/2647688920",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955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35000</v>
      </c>
      <c r="G1097" s="4" t="n">
        <v>1517</v>
      </c>
      <c r="H1097" s="4" t="n">
        <v>459</v>
      </c>
      <c r="I1097" s="5" t="n">
        <v>76.3</v>
      </c>
      <c r="J1097" s="5" t="n">
        <v>24.3</v>
      </c>
      <c r="K1097" s="3" t="inlineStr">
        <is>
          <t>nan</t>
        </is>
      </c>
      <c r="L1097" s="6">
        <f>HYPERLINK("https://fin.land.naver.com/articles/2650459668", "매물Link")</f>
        <v/>
      </c>
      <c r="M1097" s="6">
        <f>HYPERLINK("https://map.naver.com/p/search/연동면 명학리 955", "지도Link")</f>
        <v/>
      </c>
      <c r="N1097" s="6">
        <f>HYPERLINK("http://www.eum.go.kr/web/ar/lu/luLandDet.jsp?pnu=3611032023109550000&amp;isNoScr=script&amp;mode=search", "토지이음")</f>
        <v/>
      </c>
      <c r="O1097" s="3" t="inlineStr">
        <is>
          <t>청정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문주리 145-2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21500</v>
      </c>
      <c r="G1098" s="4" t="n">
        <v>284</v>
      </c>
      <c r="H1098" s="4" t="n">
        <v>86</v>
      </c>
      <c r="I1098" s="5" t="n">
        <v>250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HYPERLINK("https://fin.land.naver.com/articles/2650811409", "매물Link")</f>
        <v/>
      </c>
      <c r="M1098" s="6">
        <f>HYPERLINK("https://map.naver.com/p/search/연동면 문주리 145-2", "지도Link")</f>
        <v/>
      </c>
      <c r="N1098" s="6">
        <f>HYPERLINK("http://www.eum.go.kr/web/ar/lu/luLandDet.jsp?pnu=3611032022101450002&amp;isNoScr=script&amp;mode=search",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284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145-29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20000</v>
      </c>
      <c r="G1099" s="4" t="n">
        <v>253</v>
      </c>
      <c r="H1099" s="4" t="n">
        <v>77</v>
      </c>
      <c r="I1099" s="5" t="n">
        <v>259.7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HYPERLINK("https://fin.land.naver.com/articles/2650811516", "매물Link")</f>
        <v/>
      </c>
      <c r="M1099" s="6">
        <f>HYPERLINK("https://map.naver.com/p/search/연동면 문주리 145-29", "지도Link")</f>
        <v/>
      </c>
      <c r="N1099" s="6">
        <f>HYPERLINK("http://www.eum.go.kr/web/ar/lu/luLandDet.jsp?pnu=3611032022101450029&amp;isNoScr=script&amp;mode=search",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253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145-8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18000</v>
      </c>
      <c r="G1100" s="4" t="n">
        <v>235</v>
      </c>
      <c r="H1100" s="4" t="n">
        <v>71</v>
      </c>
      <c r="I1100" s="5" t="n">
        <v>253.5</v>
      </c>
      <c r="J1100" s="5" t="n">
        <v>75</v>
      </c>
      <c r="K1100" s="3" t="inlineStr">
        <is>
          <t>급매, 계획관리지역, 도로 접한 형상 좋은 대지입니다.</t>
        </is>
      </c>
      <c r="L1100" s="6">
        <f>HYPERLINK("https://fin.land.naver.com/articles/2652612115", "매물Link")</f>
        <v/>
      </c>
      <c r="M1100" s="6">
        <f>HYPERLINK("https://map.naver.com/p/search/연동면 문주리 145-8", "지도Link")</f>
        <v/>
      </c>
      <c r="N1100" s="6">
        <f>HYPERLINK("http://www.eum.go.kr/web/ar/lu/luLandDet.jsp?pnu=3611032022101450008&amp;isNoScr=script&amp;mode=search",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235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956-3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88700</v>
      </c>
      <c r="G1101" s="4" t="n">
        <v>2930</v>
      </c>
      <c r="H1101" s="4" t="n">
        <v>886</v>
      </c>
      <c r="I1101" s="5" t="n">
        <v>100.1</v>
      </c>
      <c r="J1101" s="5" t="n">
        <v>24.5</v>
      </c>
      <c r="K1101" s="3" t="inlineStr">
        <is>
          <t>구거 통해도로와 접한 농지,바로옆 도로 공사중</t>
        </is>
      </c>
      <c r="L1101" s="6">
        <f>HYPERLINK("https://fin.land.naver.com/articles/2648555398", "매물Link")</f>
        <v/>
      </c>
      <c r="M1101" s="6">
        <f>HYPERLINK("https://map.naver.com/p/search/연동면 문주리 956-3", "지도Link")</f>
        <v/>
      </c>
      <c r="N1101" s="6">
        <f>HYPERLINK("http://www.eum.go.kr/web/ar/lu/luLandDet.jsp?pnu=3611032022109560003&amp;isNoScr=script&amp;mode=search", "토지이음")</f>
        <v/>
      </c>
      <c r="O1101" s="3" t="inlineStr">
        <is>
          <t>향기나는방</t>
        </is>
      </c>
      <c r="P1101" s="4" t="n">
        <v>1</v>
      </c>
      <c r="Q1101" s="4" t="n">
        <v>2930.7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HYPERLINK("https://fin.land.naver.com/articles/2647564865",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1025-4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13600</v>
      </c>
      <c r="G1106" s="4" t="n">
        <v>998</v>
      </c>
      <c r="H1106" s="4" t="n">
        <v>302</v>
      </c>
      <c r="I1106" s="5" t="n">
        <v>45</v>
      </c>
      <c r="J1106" s="5" t="n">
        <v>24.1</v>
      </c>
      <c r="K1106" s="3" t="inlineStr">
        <is>
          <t>주변 시세대비 아주저렴</t>
        </is>
      </c>
      <c r="L1106" s="6">
        <f>HYPERLINK("https://fin.land.naver.com/articles/2648462411", "매물Link")</f>
        <v/>
      </c>
      <c r="M1106" s="6">
        <f>HYPERLINK("https://map.naver.com/p/search/연동면 송용리 1025-4", "지도Link")</f>
        <v/>
      </c>
      <c r="N1106" s="6">
        <f>HYPERLINK("http://www.eum.go.kr/web/ar/lu/luLandDet.jsp?pnu=3611032027110250004&amp;isNoScr=script&amp;mode=search",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998.9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1030-9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158700</v>
      </c>
      <c r="G1107" s="4" t="n">
        <v>8746</v>
      </c>
      <c r="H1107" s="4" t="n">
        <v>2646</v>
      </c>
      <c r="I1107" s="5" t="n">
        <v>60</v>
      </c>
      <c r="J1107" s="5" t="n">
        <v>24.2</v>
      </c>
      <c r="K1107" s="3" t="inlineStr">
        <is>
          <t>연동면 송용리 농림지역 대형 토지, 세종시 5생활권 및 오송역 인근</t>
        </is>
      </c>
      <c r="L1107" s="6">
        <f>HYPERLINK("https://fin.land.naver.com/articles/2650531778", "매물Link")</f>
        <v/>
      </c>
      <c r="M1107" s="6">
        <f>HYPERLINK("https://map.naver.com/p/search/연동면 송용리 1030-9", "지도Link")</f>
        <v/>
      </c>
      <c r="N1107" s="6">
        <f>HYPERLINK("http://www.eum.go.kr/web/ar/lu/luLandDet.jsp?pnu=3611032027110300009&amp;isNoScr=script&amp;mode=search", "토지이음")</f>
        <v/>
      </c>
      <c r="O1107" s="3" t="inlineStr">
        <is>
          <t>스카이</t>
        </is>
      </c>
      <c r="P1107" s="4" t="n">
        <v>1</v>
      </c>
      <c r="Q1107" s="4" t="n">
        <v>8746.200000000001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세로각지(가)</t>
        </is>
      </c>
    </row>
    <row r="1108">
      <c r="A1108" s="3" t="inlineStr">
        <is>
          <t>연동면 송용리 179-2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250000</v>
      </c>
      <c r="G1108" s="4" t="n">
        <v>1837</v>
      </c>
      <c r="H1108" s="4" t="n">
        <v>556</v>
      </c>
      <c r="I1108" s="5" t="n">
        <v>449.6</v>
      </c>
      <c r="J1108" s="5" t="n">
        <v>309.9</v>
      </c>
      <c r="K1108" s="3" t="inlineStr">
        <is>
          <t>연동면 대형 식당자리 추천</t>
        </is>
      </c>
      <c r="L1108" s="6">
        <f>HYPERLINK("https://fin.land.naver.com/articles/2649703500", "매물Link")</f>
        <v/>
      </c>
      <c r="M1108" s="6">
        <f>HYPERLINK("https://map.naver.com/p/search/연동면 송용리 179-2", "지도Link")</f>
        <v/>
      </c>
      <c r="N1108" s="6">
        <f>HYPERLINK("http://www.eum.go.kr/web/ar/lu/luLandDet.jsp?pnu=3611032027101790002&amp;isNoScr=script&amp;mode=search", "토지이음")</f>
        <v/>
      </c>
      <c r="O1108" s="3" t="inlineStr">
        <is>
          <t>강아지풀</t>
        </is>
      </c>
      <c r="P1108" s="4" t="n">
        <v>1</v>
      </c>
      <c r="Q1108" s="4" t="n">
        <v>1358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연동면 송용리 213-4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70000</v>
      </c>
      <c r="G1109" s="4" t="n">
        <v>662</v>
      </c>
      <c r="H1109" s="4" t="n">
        <v>200</v>
      </c>
      <c r="I1109" s="5" t="n">
        <v>350</v>
      </c>
      <c r="J1109" s="5" t="n">
        <v>62</v>
      </c>
      <c r="K1109" s="3" t="inlineStr">
        <is>
          <t>계획관리지역으로 8미터이상 도로에 접한 직사각형 토지, 주변환경 좋음</t>
        </is>
      </c>
      <c r="L1109" s="6">
        <f>HYPERLINK("https://fin.land.naver.com/articles/2651092741", "매물Link")</f>
        <v/>
      </c>
      <c r="M1109" s="6">
        <f>HYPERLINK("https://map.naver.com/p/search/연동면 송용리 213-4", "지도Link")</f>
        <v/>
      </c>
      <c r="N1109" s="6">
        <f>HYPERLINK("http://www.eum.go.kr/web/ar/lu/luLandDet.jsp?pnu=3611032027102130004&amp;isNoScr=script&amp;mode=search", "토지이음")</f>
        <v/>
      </c>
      <c r="O1109" s="3" t="inlineStr">
        <is>
          <t>가수원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213-6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66000</v>
      </c>
      <c r="G1110" s="4" t="n">
        <v>662</v>
      </c>
      <c r="H1110" s="4" t="n">
        <v>200</v>
      </c>
      <c r="I1110" s="5" t="n">
        <v>330</v>
      </c>
      <c r="J1110" s="5" t="n">
        <v>62</v>
      </c>
      <c r="K1110" s="3" t="inlineStr">
        <is>
          <t>급매. 5생활권 인접 도로접한 토지</t>
        </is>
      </c>
      <c r="L1110" s="6">
        <f>HYPERLINK("https://fin.land.naver.com/articles/2651944218", "매물Link")</f>
        <v/>
      </c>
      <c r="M1110" s="6">
        <f>HYPERLINK("https://map.naver.com/p/search/연동면 송용리 213-6", "지도Link")</f>
        <v/>
      </c>
      <c r="N1110" s="6">
        <f>HYPERLINK("http://www.eum.go.kr/web/ar/lu/luLandDet.jsp?pnu=3611032027102130006&amp;isNoScr=script&amp;mode=search",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662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261-34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50000</v>
      </c>
      <c r="G1111" s="4" t="n">
        <v>500</v>
      </c>
      <c r="H1111" s="4" t="n">
        <v>151</v>
      </c>
      <c r="I1111" s="5" t="n">
        <v>331.1</v>
      </c>
      <c r="J1111" s="5" t="n">
        <v>118.8</v>
      </c>
      <c r="K1111" s="3" t="inlineStr">
        <is>
          <t>계획관리지역,성장관리계획구역,대지,전원주택 용지로 투자가치 좋아요.</t>
        </is>
      </c>
      <c r="L1111" s="6">
        <f>HYPERLINK("https://fin.land.naver.com/articles/2649355280", "매물Link")</f>
        <v/>
      </c>
      <c r="M1111" s="6">
        <f>HYPERLINK("https://map.naver.com/p/search/연동면 송용리 261-34", "지도Link")</f>
        <v/>
      </c>
      <c r="N1111" s="6">
        <f>HYPERLINK("http://www.eum.go.kr/web/ar/lu/luLandDet.jsp?pnu=3611032027102610034&amp;isNoScr=script&amp;mode=search", "토지이음")</f>
        <v/>
      </c>
      <c r="O1111" s="3" t="inlineStr">
        <is>
          <t>마마</t>
        </is>
      </c>
      <c r="P1111" s="4" t="n">
        <v>1</v>
      </c>
      <c r="Q1111" s="4" t="n">
        <v>500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261-8</t>
        </is>
      </c>
      <c r="B1112" s="3" t="inlineStr">
        <is>
          <t>보전관리지역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329000</v>
      </c>
      <c r="G1112" s="4" t="n">
        <v>4350</v>
      </c>
      <c r="H1112" s="4" t="n">
        <v>1316</v>
      </c>
      <c r="I1112" s="5" t="n">
        <v>250</v>
      </c>
      <c r="J1112" s="5" t="n">
        <v>121.3</v>
      </c>
      <c r="K1112" s="3" t="inlineStr">
        <is>
          <t>nan</t>
        </is>
      </c>
      <c r="L1112" s="6">
        <f>HYPERLINK("https://fin.land.naver.com/articles/2647973165", "매물Link")</f>
        <v/>
      </c>
      <c r="M1112" s="6">
        <f>HYPERLINK("https://map.naver.com/p/search/연동면 송용리 261-8", "지도Link")</f>
        <v/>
      </c>
      <c r="N1112" s="6">
        <f>HYPERLINK("http://www.eum.go.kr/web/ar/lu/luLandDet.jsp?pnu=3611032027102610008&amp;isNoScr=script&amp;mode=search", "토지이음")</f>
        <v/>
      </c>
      <c r="O1112" s="3" t="inlineStr">
        <is>
          <t>생명나무</t>
        </is>
      </c>
      <c r="P1112" s="4" t="n">
        <v>1</v>
      </c>
      <c r="Q1112" s="4" t="n">
        <v>2093</v>
      </c>
      <c r="R1112" s="3" t="inlineStr">
        <is>
          <t>지정되지않음</t>
        </is>
      </c>
      <c r="S1112" s="3" t="inlineStr">
        <is>
          <t>주상용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47-1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19800</v>
      </c>
      <c r="G1122" s="4" t="n">
        <v>247</v>
      </c>
      <c r="H1122" s="4" t="n">
        <v>75</v>
      </c>
      <c r="I1122" s="5" t="n">
        <v>264</v>
      </c>
      <c r="J1122" s="5" t="n">
        <v>69.7</v>
      </c>
      <c r="K1122" s="3" t="inlineStr">
        <is>
          <t>건물 있는 토지 매매</t>
        </is>
      </c>
      <c r="L1122" s="6">
        <f>HYPERLINK("https://fin.land.naver.com/articles/2651254846", "매물Link")</f>
        <v/>
      </c>
      <c r="M1122" s="6">
        <f>HYPERLINK("https://map.naver.com/p/search/연동면 예양리 47-1", "지도Link")</f>
        <v/>
      </c>
      <c r="N1122" s="6">
        <f>HYPERLINK("http://www.eum.go.kr/web/ar/lu/luLandDet.jsp?pnu=3611032026100470001&amp;isNoScr=script&amp;mode=search", "토지이음")</f>
        <v/>
      </c>
      <c r="O1122" s="3" t="inlineStr">
        <is>
          <t>세종토박이</t>
        </is>
      </c>
      <c r="P1122" s="4" t="n">
        <v>2</v>
      </c>
      <c r="Q1122" s="4" t="n">
        <v>247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자루형</t>
        </is>
      </c>
      <c r="V1122" s="3" t="inlineStr">
        <is>
          <t>세로한면(가)</t>
        </is>
      </c>
    </row>
    <row r="1123">
      <c r="A1123" s="3" t="inlineStr">
        <is>
          <t>연동면 예양리 66-3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140000</v>
      </c>
      <c r="G1123" s="4" t="n">
        <v>2314</v>
      </c>
      <c r="H1123" s="4" t="n">
        <v>700</v>
      </c>
      <c r="I1123" s="5" t="n">
        <v>200</v>
      </c>
      <c r="J1123" s="5" t="n">
        <v>38.3</v>
      </c>
      <c r="K1123" s="3" t="inlineStr">
        <is>
          <t>도로접,땅모양좋습니다,조정가</t>
        </is>
      </c>
      <c r="L1123" s="6">
        <f>HYPERLINK("https://fin.land.naver.com/articles/2648103367", "매물Link")</f>
        <v/>
      </c>
      <c r="M1123" s="6">
        <f>HYPERLINK("https://map.naver.com/p/search/연동면 예양리 66-3", "지도Link")</f>
        <v/>
      </c>
      <c r="N1123" s="6">
        <f>HYPERLINK("http://www.eum.go.kr/web/ar/lu/luLandDet.jsp?pnu=3611032026100660003&amp;isNoScr=script&amp;mode=search", "토지이음")</f>
        <v/>
      </c>
      <c r="O1123" s="3" t="inlineStr">
        <is>
          <t>힐스테이트행복</t>
        </is>
      </c>
      <c r="P1123" s="4" t="n">
        <v>1</v>
      </c>
      <c r="Q1123" s="4" t="n">
        <v>2314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예양리 824-1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60000</v>
      </c>
      <c r="G1124" s="4" t="n">
        <v>3457</v>
      </c>
      <c r="H1124" s="4" t="n">
        <v>1046</v>
      </c>
      <c r="I1124" s="5" t="n">
        <v>57.4</v>
      </c>
      <c r="J1124" s="5" t="n">
        <v>23.5</v>
      </c>
      <c r="K1124" s="3" t="inlineStr">
        <is>
          <t>농지 전</t>
        </is>
      </c>
      <c r="L1124" s="6">
        <f>HYPERLINK("https://fin.land.naver.com/articles/2652563300", "매물Link")</f>
        <v/>
      </c>
      <c r="M1124" s="6">
        <f>HYPERLINK("https://map.naver.com/p/search/연동면 예양리 824-1", "지도Link")</f>
        <v/>
      </c>
      <c r="N1124" s="6">
        <f>HYPERLINK("http://www.eum.go.kr/web/ar/lu/luLandDet.jsp?pnu=3611032026108240001&amp;isNoScr=script&amp;mode=search", "토지이음")</f>
        <v/>
      </c>
      <c r="O1124" s="3" t="inlineStr">
        <is>
          <t>대원</t>
        </is>
      </c>
      <c r="P1124" s="4" t="n">
        <v>1</v>
      </c>
      <c r="Q1124" s="4" t="n">
        <v>3457.7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연동면 예양리 831-13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53500</v>
      </c>
      <c r="G1125" s="4" t="n">
        <v>2212</v>
      </c>
      <c r="H1125" s="4" t="n">
        <v>669</v>
      </c>
      <c r="I1125" s="5" t="n">
        <v>80</v>
      </c>
      <c r="J1125" s="5" t="n">
        <v>24.3</v>
      </c>
      <c r="K1125" s="3" t="inlineStr">
        <is>
          <t>가격절충가능</t>
        </is>
      </c>
      <c r="L1125" s="6">
        <f>HYPERLINK("https://fin.land.naver.com/articles/2652723910", "매물Link")</f>
        <v/>
      </c>
      <c r="M1125" s="6">
        <f>HYPERLINK("https://map.naver.com/p/search/연동면 예양리 831-13", "지도Link")</f>
        <v/>
      </c>
      <c r="N1125" s="6">
        <f>HYPERLINK("http://www.eum.go.kr/web/ar/lu/luLandDet.jsp?pnu=3611032026108310013&amp;isNoScr=script&amp;mode=search", "토지이음")</f>
        <v/>
      </c>
      <c r="O1125" s="3" t="inlineStr">
        <is>
          <t>소사벌</t>
        </is>
      </c>
      <c r="P1125" s="4" t="n">
        <v>1</v>
      </c>
      <c r="Q1125" s="4" t="n">
        <v>2212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3m 도로접한 계획관리</t>
        </is>
      </c>
      <c r="L1126" s="6">
        <f>HYPERLINK("https://fin.land.naver.com/articles/2651242045",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세종땅사랑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예양리 99-5</t>
        </is>
      </c>
      <c r="B1127" s="3" t="inlineStr">
        <is>
          <t>계획관리지역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52800</v>
      </c>
      <c r="G1127" s="4" t="n">
        <v>2384</v>
      </c>
      <c r="H1127" s="4" t="n">
        <v>721</v>
      </c>
      <c r="I1127" s="5" t="n">
        <v>73.2</v>
      </c>
      <c r="J1127" s="5" t="n">
        <v>32.9</v>
      </c>
      <c r="K1127" s="3" t="inlineStr">
        <is>
          <t>행정중심복합도시 동측에 위치한 농지</t>
        </is>
      </c>
      <c r="L1127" s="6">
        <f>HYPERLINK("https://fin.land.naver.com/articles/2651237783", "매물Link")</f>
        <v/>
      </c>
      <c r="M1127" s="6">
        <f>HYPERLINK("https://map.naver.com/p/search/연동면 예양리 99-5", "지도Link")</f>
        <v/>
      </c>
      <c r="N1127" s="6">
        <f>HYPERLINK("http://www.eum.go.kr/web/ar/lu/luLandDet.jsp?pnu=3611032026100990005&amp;isNoScr=script&amp;mode=search", "토지이음")</f>
        <v/>
      </c>
      <c r="O1127" s="3" t="inlineStr">
        <is>
          <t>세종토박이</t>
        </is>
      </c>
      <c r="P1127" s="4" t="n">
        <v>1</v>
      </c>
      <c r="Q1127" s="4" t="n">
        <v>2384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120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210000</v>
      </c>
      <c r="G1128" s="4" t="n">
        <v>3722</v>
      </c>
      <c r="H1128" s="4" t="n">
        <v>1126</v>
      </c>
      <c r="I1128" s="5" t="n">
        <v>186.5</v>
      </c>
      <c r="J1128" s="5" t="n">
        <v>45</v>
      </c>
      <c r="K1128" s="3" t="inlineStr">
        <is>
          <t>도로접한 계획.성장관리계획구역,넓은평수,다용도사용가능</t>
        </is>
      </c>
      <c r="L1128" s="6">
        <f>HYPERLINK("https://fin.land.naver.com/articles/2652750521", "매물Link")</f>
        <v/>
      </c>
      <c r="M1128" s="6">
        <f>HYPERLINK("https://map.naver.com/p/search/연동면 응암리 120", "지도Link")</f>
        <v/>
      </c>
      <c r="N1128" s="6">
        <f>HYPERLINK("http://www.eum.go.kr/web/ar/lu/luLandDet.jsp?pnu=3611032024101200000&amp;isNoScr=script&amp;mode=search", "토지이음")</f>
        <v/>
      </c>
      <c r="O1128" s="3" t="inlineStr">
        <is>
          <t>고운맘</t>
        </is>
      </c>
      <c r="P1128" s="4" t="n">
        <v>1</v>
      </c>
      <c r="Q1128" s="4" t="n">
        <v>3722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세로각지(가)</t>
        </is>
      </c>
    </row>
    <row r="1129">
      <c r="A1129" s="3" t="inlineStr">
        <is>
          <t>연동면 응암리 121-4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81000</v>
      </c>
      <c r="G1129" s="4" t="n">
        <v>1021</v>
      </c>
      <c r="H1129" s="4" t="n">
        <v>309</v>
      </c>
      <c r="I1129" s="5" t="n">
        <v>262.1</v>
      </c>
      <c r="J1129" s="5" t="n">
        <v>67.5</v>
      </c>
      <c r="K1129" s="3" t="inlineStr">
        <is>
          <t>nan</t>
        </is>
      </c>
      <c r="L1129" s="6">
        <f>HYPERLINK("https://fin.land.naver.com/articles/2652148524", "매물Link")</f>
        <v/>
      </c>
      <c r="M1129" s="6">
        <f>HYPERLINK("https://map.naver.com/p/search/연동면 응암리 121-4", "지도Link")</f>
        <v/>
      </c>
      <c r="N1129" s="6">
        <f>HYPERLINK("http://www.eum.go.kr/web/ar/lu/luLandDet.jsp?pnu=3611032024101210004&amp;isNoScr=script&amp;mode=search", "토지이음")</f>
        <v/>
      </c>
      <c r="O1129" s="3" t="inlineStr">
        <is>
          <t>세종지원</t>
        </is>
      </c>
      <c r="P1129" s="4" t="n">
        <v>1</v>
      </c>
      <c r="Q1129" s="4" t="n">
        <v>1025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197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23000</v>
      </c>
      <c r="G1130" s="4" t="n">
        <v>634</v>
      </c>
      <c r="H1130" s="4" t="n">
        <v>192</v>
      </c>
      <c r="I1130" s="5" t="n">
        <v>119.8</v>
      </c>
      <c r="J1130" s="5" t="n">
        <v>36.1</v>
      </c>
      <c r="K1130" s="3" t="inlineStr">
        <is>
          <t>마을접한 토지로 지대높아 전원주택으로 안성맞춤</t>
        </is>
      </c>
      <c r="L1130" s="6">
        <f>HYPERLINK("https://fin.land.naver.com/articles/2652067083", "매물Link")</f>
        <v/>
      </c>
      <c r="M1130" s="6">
        <f>HYPERLINK("https://map.naver.com/p/search/연동면 응암리 197", "지도Link")</f>
        <v/>
      </c>
      <c r="N1130" s="6">
        <f>HYPERLINK("http://www.eum.go.kr/web/ar/lu/luLandDet.jsp?pnu=3611032024101970000&amp;isNoScr=script&amp;mode=search", "토지이음")</f>
        <v/>
      </c>
      <c r="O1130" s="3" t="inlineStr">
        <is>
          <t>연동스카이</t>
        </is>
      </c>
      <c r="P1130" s="4" t="n">
        <v>2</v>
      </c>
      <c r="Q1130" s="4" t="n">
        <v>635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연동면 응암리 199-1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25000</v>
      </c>
      <c r="G1131" s="4" t="n">
        <v>743</v>
      </c>
      <c r="H1131" s="4" t="n">
        <v>225</v>
      </c>
      <c r="I1131" s="5" t="n">
        <v>111.1</v>
      </c>
      <c r="J1131" s="5" t="n">
        <v>57</v>
      </c>
      <c r="K1131" s="3" t="inlineStr">
        <is>
          <t>평지,계획관리,대지,도로접,이웃필지 연접가능</t>
        </is>
      </c>
      <c r="L1131" s="6">
        <f>HYPERLINK("https://fin.land.naver.com/articles/2648020617", "매물Link")</f>
        <v/>
      </c>
      <c r="M1131" s="6">
        <f>HYPERLINK("https://map.naver.com/p/search/연동면 응암리 199-1", "지도Link")</f>
        <v/>
      </c>
      <c r="N1131" s="6">
        <f>HYPERLINK("http://www.eum.go.kr/web/ar/lu/luLandDet.jsp?pnu=3611032024101990001&amp;isNoScr=script&amp;mode=search", "토지이음")</f>
        <v/>
      </c>
      <c r="O1131" s="3" t="inlineStr">
        <is>
          <t>세종초이스</t>
        </is>
      </c>
      <c r="P1131" s="4" t="n">
        <v>1</v>
      </c>
      <c r="Q1131" s="4" t="n">
        <v>743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연동면 응암리 253-5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47000</v>
      </c>
      <c r="G1132" s="4" t="n">
        <v>3158</v>
      </c>
      <c r="H1132" s="4" t="n">
        <v>955</v>
      </c>
      <c r="I1132" s="5" t="n">
        <v>49.2</v>
      </c>
      <c r="J1132" s="5" t="n">
        <v>21.5</v>
      </c>
      <c r="K1132" s="3" t="inlineStr">
        <is>
          <t>도로 높이로 성토하여 현재 블루베리 재배 2년차임</t>
        </is>
      </c>
      <c r="L1132" s="6">
        <f>HYPERLINK("https://fin.land.naver.com/articles/2649176108", "매물Link")</f>
        <v/>
      </c>
      <c r="M1132" s="6">
        <f>HYPERLINK("https://map.naver.com/p/search/연동면 응암리 253-5", "지도Link")</f>
        <v/>
      </c>
      <c r="N1132" s="6">
        <f>HYPERLINK("http://www.eum.go.kr/web/ar/lu/luLandDet.jsp?pnu=3611032024102530005&amp;isNoScr=script&amp;mode=search", "토지이음")</f>
        <v/>
      </c>
      <c r="O1132" s="3" t="inlineStr">
        <is>
          <t>그래그</t>
        </is>
      </c>
      <c r="P1132" s="4" t="n">
        <v>1</v>
      </c>
      <c r="Q1132" s="4" t="n">
        <v>3158.4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세로한면(가)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답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주변시세대비 저렴한 토지, 공장, 창고, 기타 환영.</t>
        </is>
      </c>
      <c r="L1133" s="6">
        <f>HYPERLINK("https://fin.land.naver.com/articles/2651776616",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대박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317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250000</v>
      </c>
      <c r="G1134" s="4" t="n">
        <v>7500</v>
      </c>
      <c r="H1134" s="4" t="n">
        <v>2269</v>
      </c>
      <c r="I1134" s="5" t="n">
        <v>110.2</v>
      </c>
      <c r="J1134" s="5" t="n">
        <v>34.7</v>
      </c>
      <c r="K1134" s="3" t="inlineStr">
        <is>
          <t>1.2차선 도로에서 바로진입 2.남청주IC 7KM소요시간 10분이내</t>
        </is>
      </c>
      <c r="L1134" s="6">
        <f>HYPERLINK("https://fin.land.naver.com/articles/2650176467", "매물Link")</f>
        <v/>
      </c>
      <c r="M1134" s="6">
        <f>HYPERLINK("https://map.naver.com/p/search/연동면 응암리 317", "지도Link")</f>
        <v/>
      </c>
      <c r="N1134" s="6">
        <f>HYPERLINK("http://www.eum.go.kr/web/ar/lu/luLandDet.jsp?pnu=3611032024103170000&amp;isNoScr=script&amp;mode=search", "토지이음")</f>
        <v/>
      </c>
      <c r="O1134" s="3" t="inlineStr">
        <is>
          <t>연동스카이</t>
        </is>
      </c>
      <c r="P1134" s="4" t="n">
        <v>1</v>
      </c>
      <c r="Q1134" s="4" t="n">
        <v>3700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응암리 352-1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65000</v>
      </c>
      <c r="G1135" s="4" t="n">
        <v>1778</v>
      </c>
      <c r="H1135" s="4" t="n">
        <v>538</v>
      </c>
      <c r="I1135" s="5" t="n">
        <v>120.8</v>
      </c>
      <c r="J1135" s="5" t="n">
        <v>17.2</v>
      </c>
      <c r="K1135" s="3" t="inlineStr">
        <is>
          <t>도로접한 계획관리 지역</t>
        </is>
      </c>
      <c r="L1135" s="6">
        <f>HYPERLINK("https://fin.land.naver.com/articles/2653004802", "매물Link")</f>
        <v/>
      </c>
      <c r="M1135" s="6">
        <f>HYPERLINK("https://map.naver.com/p/search/연동면 응암리 352-1", "지도Link")</f>
        <v/>
      </c>
      <c r="N1135" s="6">
        <f>HYPERLINK("http://www.eum.go.kr/web/ar/lu/luLandDet.jsp?pnu=3611032024103520001&amp;isNoScr=script&amp;mode=search", "토지이음")</f>
        <v/>
      </c>
      <c r="O1135" s="3" t="inlineStr">
        <is>
          <t>OK세종 사무소</t>
        </is>
      </c>
      <c r="P1135" s="4" t="n">
        <v>1</v>
      </c>
      <c r="Q1135" s="4" t="n">
        <v>992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연동면 응암리 47-3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105000</v>
      </c>
      <c r="G1136" s="4" t="n">
        <v>1742</v>
      </c>
      <c r="H1136" s="4" t="n">
        <v>527</v>
      </c>
      <c r="I1136" s="5" t="n">
        <v>199.2</v>
      </c>
      <c r="J1136" s="5" t="n">
        <v>48.7</v>
      </c>
      <c r="K1136" s="3" t="inlineStr">
        <is>
          <t>세종시 연동면 투자가치 좋은 토지</t>
        </is>
      </c>
      <c r="L1136" s="6">
        <f>HYPERLINK("https://fin.land.naver.com/articles/2652703680", "매물Link")</f>
        <v/>
      </c>
      <c r="M1136" s="6">
        <f>HYPERLINK("https://map.naver.com/p/search/연동면 응암리 47-3", "지도Link")</f>
        <v/>
      </c>
      <c r="N1136" s="6">
        <f>HYPERLINK("http://www.eum.go.kr/web/ar/lu/luLandDet.jsp?pnu=3611032024100470003&amp;isNoScr=script&amp;mode=search", "토지이음")</f>
        <v/>
      </c>
      <c r="O1136" s="3" t="inlineStr">
        <is>
          <t>365</t>
        </is>
      </c>
      <c r="P1136" s="4" t="n">
        <v>1</v>
      </c>
      <c r="Q1136" s="4" t="n">
        <v>1742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481-1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56800</v>
      </c>
      <c r="G1137" s="4" t="n">
        <v>2350</v>
      </c>
      <c r="H1137" s="4" t="n">
        <v>711</v>
      </c>
      <c r="I1137" s="5" t="n">
        <v>79.90000000000001</v>
      </c>
      <c r="J1137" s="5" t="n">
        <v>22.4</v>
      </c>
      <c r="K1137" s="3" t="inlineStr">
        <is>
          <t>세종 연동면 응암리 대형 농지 매매</t>
        </is>
      </c>
      <c r="L1137" s="6">
        <f>HYPERLINK("https://fin.land.naver.com/articles/2652344225", "매물Link")</f>
        <v/>
      </c>
      <c r="M1137" s="6">
        <f>HYPERLINK("https://map.naver.com/p/search/연동면 응암리 481-1", "지도Link")</f>
        <v/>
      </c>
      <c r="N1137" s="6">
        <f>HYPERLINK("http://www.eum.go.kr/web/ar/lu/luLandDet.jsp?pnu=3611032024104810001&amp;isNoScr=script&amp;mode=search",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2350.7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연동면 응암리 555-1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120000</v>
      </c>
      <c r="G1138" s="4" t="n">
        <v>2863</v>
      </c>
      <c r="H1138" s="4" t="n">
        <v>866</v>
      </c>
      <c r="I1138" s="5" t="n">
        <v>138.6</v>
      </c>
      <c r="J1138" s="5" t="n">
        <v>55.4</v>
      </c>
      <c r="K1138" s="3" t="inlineStr">
        <is>
          <t>계획관리.도로접,투자용,물류교통최상,세종5생활권근접,남청주ic인접</t>
        </is>
      </c>
      <c r="L1138" s="6">
        <f>HYPERLINK("https://fin.land.naver.com/articles/2652162730", "매물Link")</f>
        <v/>
      </c>
      <c r="M1138" s="6">
        <f>HYPERLINK("https://map.naver.com/p/search/연동면 응암리 555-1", "지도Link")</f>
        <v/>
      </c>
      <c r="N1138" s="6">
        <f>HYPERLINK("http://www.eum.go.kr/web/ar/lu/luLandDet.jsp?pnu=3611032024105550001&amp;isNoScr=script&amp;mode=search", "토지이음")</f>
        <v/>
      </c>
      <c r="O1138" s="3" t="inlineStr">
        <is>
          <t>옥산제일사무소</t>
        </is>
      </c>
      <c r="P1138" s="4" t="n">
        <v>1</v>
      </c>
      <c r="Q1138" s="4" t="n">
        <v>2863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584-13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105000</v>
      </c>
      <c r="G1140" s="4" t="n">
        <v>1429</v>
      </c>
      <c r="H1140" s="4" t="n">
        <v>432</v>
      </c>
      <c r="I1140" s="5" t="n">
        <v>243.1</v>
      </c>
      <c r="J1140" s="5" t="n">
        <v>103.4</v>
      </c>
      <c r="K1140" s="3" t="inlineStr">
        <is>
          <t>2차선 도로접한,대,평지로 땅모양 좋아요,5생활권 및 명학 산업단지 근접</t>
        </is>
      </c>
      <c r="L1140" s="6">
        <f>HYPERLINK("https://fin.land.naver.com/articles/2652213741", "매물Link")</f>
        <v/>
      </c>
      <c r="M1140" s="6">
        <f>HYPERLINK("https://map.naver.com/p/search/연동면 응암리 584-13", "지도Link")</f>
        <v/>
      </c>
      <c r="N1140" s="6">
        <f>HYPERLINK("http://www.eum.go.kr/web/ar/lu/luLandDet.jsp?pnu=3611032024105840013&amp;isNoScr=script&amp;mode=search", "토지이음")</f>
        <v/>
      </c>
      <c r="O1140" s="3" t="inlineStr">
        <is>
          <t>해밀탑</t>
        </is>
      </c>
      <c r="P1140" s="4" t="n">
        <v>2</v>
      </c>
      <c r="Q1140" s="4" t="n">
        <v>766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연동면 응암리 602-3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27000</v>
      </c>
      <c r="G1141" s="4" t="n">
        <v>452</v>
      </c>
      <c r="H1141" s="4" t="n">
        <v>137</v>
      </c>
      <c r="I1141" s="5" t="n">
        <v>197.1</v>
      </c>
      <c r="J1141" s="5" t="n">
        <v>89.90000000000001</v>
      </c>
      <c r="K1141" s="3" t="inlineStr">
        <is>
          <t>nan</t>
        </is>
      </c>
      <c r="L1141" s="6">
        <f>HYPERLINK("https://fin.land.naver.com/articles/2651560789", "매물Link")</f>
        <v/>
      </c>
      <c r="M1141" s="6">
        <f>HYPERLINK("https://map.naver.com/p/search/연동면 응암리 602-3", "지도Link")</f>
        <v/>
      </c>
      <c r="N1141" s="6">
        <f>HYPERLINK("http://www.eum.go.kr/web/ar/lu/luLandDet.jsp?pnu=3611032024106020003&amp;isNoScr=script&amp;mode=search", "토지이음")</f>
        <v/>
      </c>
      <c r="O1141" s="3" t="inlineStr">
        <is>
          <t>부엉이</t>
        </is>
      </c>
      <c r="P1141" s="4" t="n">
        <v>1</v>
      </c>
      <c r="Q1141" s="4" t="n">
        <v>188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694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32000</v>
      </c>
      <c r="G1142" s="4" t="n">
        <v>1769</v>
      </c>
      <c r="H1142" s="4" t="n">
        <v>535</v>
      </c>
      <c r="I1142" s="5" t="n">
        <v>59.8</v>
      </c>
      <c r="J1142" s="5" t="n">
        <v>36.4</v>
      </c>
      <c r="K1142" s="3" t="inlineStr">
        <is>
          <t>연동면 응암리 계획관리지역</t>
        </is>
      </c>
      <c r="L1142" s="6">
        <f>HYPERLINK("https://fin.land.naver.com/articles/2649787914", "매물Link")</f>
        <v/>
      </c>
      <c r="M1142" s="6">
        <f>HYPERLINK("https://map.naver.com/p/search/연동면 응암리 694", "지도Link")</f>
        <v/>
      </c>
      <c r="N1142" s="6">
        <f>HYPERLINK("http://www.eum.go.kr/web/ar/lu/luLandDet.jsp?pnu=3611032024106940000&amp;isNoScr=script&amp;mode=search",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1769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연동면 응암리 738-8</t>
        </is>
      </c>
      <c r="B1143" s="3" t="inlineStr">
        <is>
          <t>계획관리지역</t>
        </is>
      </c>
      <c r="C1143" s="3" t="inlineStr">
        <is>
          <t>주유소용지</t>
        </is>
      </c>
      <c r="D1143" s="3" t="inlineStr">
        <is>
          <t>주유소용지</t>
        </is>
      </c>
      <c r="E1143" s="3" t="inlineStr">
        <is>
          <t>매매</t>
        </is>
      </c>
      <c r="F1143" s="4" t="n">
        <v>370000</v>
      </c>
      <c r="G1143" s="4" t="n">
        <v>1420</v>
      </c>
      <c r="H1143" s="4" t="n">
        <v>430</v>
      </c>
      <c r="I1143" s="5" t="n">
        <v>860.5</v>
      </c>
      <c r="J1143" s="5" t="n">
        <v>160</v>
      </c>
      <c r="K1143" s="3" t="inlineStr">
        <is>
          <t>행정중심복합도시 진입 방향 건축가능한 나대지</t>
        </is>
      </c>
      <c r="L1143" s="6">
        <f>HYPERLINK("https://fin.land.naver.com/articles/2647420850", "매물Link")</f>
        <v/>
      </c>
      <c r="M1143" s="6">
        <f>HYPERLINK("https://map.naver.com/p/search/연동면 응암리 738-8", "지도Link")</f>
        <v/>
      </c>
      <c r="N1143" s="6">
        <f>HYPERLINK("http://www.eum.go.kr/web/ar/lu/luLandDet.jsp?pnu=3611032024107380008&amp;isNoScr=script&amp;mode=search", "토지이음")</f>
        <v/>
      </c>
      <c r="O1143" s="3" t="inlineStr">
        <is>
          <t>남산제일</t>
        </is>
      </c>
      <c r="P1143" s="4" t="n">
        <v>1</v>
      </c>
      <c r="Q1143" s="4" t="n">
        <v>1420</v>
      </c>
      <c r="R1143" s="3" t="inlineStr">
        <is>
          <t>지정되지않음</t>
        </is>
      </c>
      <c r="S1143" s="3" t="inlineStr">
        <is>
          <t>상업용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749-2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147000</v>
      </c>
      <c r="G1144" s="4" t="n">
        <v>972</v>
      </c>
      <c r="H1144" s="4" t="n">
        <v>294</v>
      </c>
      <c r="I1144" s="5" t="n">
        <v>500</v>
      </c>
      <c r="J1144" s="5" t="n">
        <v>76.2</v>
      </c>
      <c r="K1144" s="3" t="inlineStr">
        <is>
          <t>2차선접,땅모양 굿</t>
        </is>
      </c>
      <c r="L1144" s="6">
        <f>HYPERLINK("https://fin.land.naver.com/articles/2649526799", "매물Link")</f>
        <v/>
      </c>
      <c r="M1144" s="6">
        <f>HYPERLINK("https://map.naver.com/p/search/연동면 응암리 749-2", "지도Link")</f>
        <v/>
      </c>
      <c r="N1144" s="6">
        <f>HYPERLINK("http://www.eum.go.kr/web/ar/lu/luLandDet.jsp?pnu=3611032024107490002&amp;isNoScr=script&amp;mode=search", "토지이음")</f>
        <v/>
      </c>
      <c r="O1144" s="3" t="inlineStr">
        <is>
          <t>힐스테이트행복</t>
        </is>
      </c>
      <c r="P1144" s="4" t="n">
        <v>1</v>
      </c>
      <c r="Q1144" s="4" t="n">
        <v>972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752-2</t>
        </is>
      </c>
      <c r="B1145" s="3" t="inlineStr">
        <is>
          <t>계획관리지역</t>
        </is>
      </c>
      <c r="C1145" s="3" t="inlineStr">
        <is>
          <t>잡종지</t>
        </is>
      </c>
      <c r="D1145" s="3" t="inlineStr">
        <is>
          <t>잡종지</t>
        </is>
      </c>
      <c r="E1145" s="3" t="inlineStr">
        <is>
          <t>매매</t>
        </is>
      </c>
      <c r="F1145" s="4" t="n">
        <v>300000</v>
      </c>
      <c r="G1145" s="4" t="n">
        <v>2428</v>
      </c>
      <c r="H1145" s="4" t="n">
        <v>734</v>
      </c>
      <c r="I1145" s="5" t="n">
        <v>408.7</v>
      </c>
      <c r="J1145" s="5" t="n">
        <v>133</v>
      </c>
      <c r="K1145" s="3" t="inlineStr">
        <is>
          <t>2차선도로변, 5생활권주변, 카센터,타이어,물류,상가 등 추천</t>
        </is>
      </c>
      <c r="L1145" s="6">
        <f>HYPERLINK("https://fin.land.naver.com/articles/2649691502", "매물Link")</f>
        <v/>
      </c>
      <c r="M1145" s="6">
        <f>HYPERLINK("https://map.naver.com/p/search/연동면 응암리 752-2", "지도Link")</f>
        <v/>
      </c>
      <c r="N1145" s="6">
        <f>HYPERLINK("http://www.eum.go.kr/web/ar/lu/luLandDet.jsp?pnu=3611032024107520002&amp;isNoScr=script&amp;mode=search", "토지이음")</f>
        <v/>
      </c>
      <c r="O1145" s="3" t="inlineStr">
        <is>
          <t>세종큰길</t>
        </is>
      </c>
      <c r="P1145" s="4" t="n">
        <v>1</v>
      </c>
      <c r="Q1145" s="4" t="n">
        <v>628</v>
      </c>
      <c r="R1145" s="3" t="inlineStr">
        <is>
          <t>지정되지않음</t>
        </is>
      </c>
      <c r="S1145" s="3" t="inlineStr">
        <is>
          <t>주상용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연동면 응암리 871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48800</v>
      </c>
      <c r="G1146" s="4" t="n">
        <v>2928</v>
      </c>
      <c r="H1146" s="4" t="n">
        <v>886</v>
      </c>
      <c r="I1146" s="5" t="n">
        <v>55.1</v>
      </c>
      <c r="J1146" s="5" t="n">
        <v>21.7</v>
      </c>
      <c r="K1146" s="3" t="inlineStr">
        <is>
          <t>마을부근의 농지로 대토 및 농업관련 업종의 소형공장이나 창고, 주택</t>
        </is>
      </c>
      <c r="L1146" s="6">
        <f>HYPERLINK("https://fin.land.naver.com/articles/2648259374", "매물Link")</f>
        <v/>
      </c>
      <c r="M1146" s="6">
        <f>HYPERLINK("https://map.naver.com/p/search/연동면 응암리 871", "지도Link")</f>
        <v/>
      </c>
      <c r="N1146" s="6">
        <f>HYPERLINK("http://www.eum.go.kr/web/ar/lu/luLandDet.jsp?pnu=3611032024108710000&amp;isNoScr=script&amp;mode=search",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2927.9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연동면 응암리 산 28-9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월세</t>
        </is>
      </c>
      <c r="F1147" s="4" t="n">
        <v>3000</v>
      </c>
      <c r="G1147" s="4" t="n">
        <v>8487</v>
      </c>
      <c r="H1147" s="4" t="n">
        <v>2567</v>
      </c>
      <c r="I1147" s="5" t="n">
        <v>0.4</v>
      </c>
      <c r="J1147" s="5" t="n">
        <v>16.9</v>
      </c>
      <c r="K1147" s="3" t="inlineStr">
        <is>
          <t>2차선도로 대형차량도 바로진입, 야적장 및 차고지등 추천</t>
        </is>
      </c>
      <c r="L1147" s="6">
        <f>HYPERLINK("https://fin.land.naver.com/articles/2652120642", "매물Link")</f>
        <v/>
      </c>
      <c r="M1147" s="6">
        <f>HYPERLINK("https://map.naver.com/p/search/연동면 응암리 산 28-9", "지도Link")</f>
        <v/>
      </c>
      <c r="N1147" s="6">
        <f>HYPERLINK("http://www.eum.go.kr/web/ar/lu/luLandDet.jsp?pnu=3611032024200280009&amp;isNoScr=script&amp;mode=search", "토지이음")</f>
        <v/>
      </c>
      <c r="O1147" s="3" t="inlineStr">
        <is>
          <t>연동스카이</t>
        </is>
      </c>
      <c r="P1147" s="4" t="n">
        <v>1</v>
      </c>
      <c r="Q1147" s="4" t="n">
        <v>8487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산42-6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220000</v>
      </c>
      <c r="G1148" s="4" t="n">
        <v>5620</v>
      </c>
      <c r="H1148" s="4" t="n">
        <v>1700</v>
      </c>
      <c r="I1148" s="5" t="n">
        <v>129.4</v>
      </c>
      <c r="J1148" s="5" t="n">
        <v>13.1</v>
      </c>
      <c r="K1148" s="3" t="inlineStr">
        <is>
          <t>계획관리지역.4미터포장진입도로있음.물류창고용도활용가능.준보전산지.종중임야</t>
        </is>
      </c>
      <c r="L1148" s="6">
        <f>HYPERLINK("https://fin.land.naver.com/articles/2650950524", "매물Link")</f>
        <v/>
      </c>
      <c r="M1148" s="6">
        <f>HYPERLINK("https://map.naver.com/p/search/연동면 응암리 산42-6", "지도Link")</f>
        <v/>
      </c>
      <c r="N1148" s="6">
        <f>HYPERLINK("http://www.eum.go.kr/web/ar/lu/luLandDet.jsp?pnu=3611032024200420006&amp;isNoScr=script&amp;mode=search", "토지이음")</f>
        <v/>
      </c>
      <c r="O1148" s="3" t="inlineStr">
        <is>
          <t>돈방석</t>
        </is>
      </c>
      <c r="P1148" s="4" t="n">
        <v>1</v>
      </c>
      <c r="Q1148" s="4" t="n">
        <v>5620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연동면 합강리 485-10</t>
        </is>
      </c>
      <c r="B1149" s="3" t="inlineStr">
        <is>
          <t>보전관리지역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70000</v>
      </c>
      <c r="G1149" s="4" t="n">
        <v>655</v>
      </c>
      <c r="H1149" s="4" t="n">
        <v>198</v>
      </c>
      <c r="I1149" s="5" t="n">
        <v>353.5</v>
      </c>
      <c r="J1149" s="5" t="n">
        <v>165</v>
      </c>
      <c r="K1149" s="3" t="inlineStr">
        <is>
          <t>강이 보이는 남향의 최고의 전원주택 부지 급 매매</t>
        </is>
      </c>
      <c r="L1149" s="6">
        <f>HYPERLINK("https://fin.land.naver.com/articles/2650228949", "매물Link")</f>
        <v/>
      </c>
      <c r="M1149" s="6">
        <f>HYPERLINK("https://map.naver.com/p/search/연동면 합강리 485-10", "지도Link")</f>
        <v/>
      </c>
      <c r="N1149" s="6">
        <f>HYPERLINK("http://www.eum.go.kr/web/ar/lu/luLandDet.jsp?pnu=3611032028104850010&amp;isNoScr=script&amp;mode=search", "토지이음")</f>
        <v/>
      </c>
      <c r="O1149" s="3" t="inlineStr">
        <is>
          <t>대전토지로무소</t>
        </is>
      </c>
      <c r="P1149" s="4" t="n">
        <v>1</v>
      </c>
      <c r="Q1149" s="4" t="n">
        <v>414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490-14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103000</v>
      </c>
      <c r="G1151" s="4" t="n">
        <v>682</v>
      </c>
      <c r="H1151" s="4" t="n">
        <v>206</v>
      </c>
      <c r="I1151" s="5" t="n">
        <v>500</v>
      </c>
      <c r="J1151" s="5" t="n">
        <v>165</v>
      </c>
      <c r="K1151" s="3" t="inlineStr">
        <is>
          <t>5생활권 인접한 세종의 꽃 합강리 무릉도원 배산임수 명당</t>
        </is>
      </c>
      <c r="L1151" s="6">
        <f>HYPERLINK("https://fin.land.naver.com/articles/2651745407", "매물Link")</f>
        <v/>
      </c>
      <c r="M1151" s="6">
        <f>HYPERLINK("https://map.naver.com/p/search/연동면 합강리 490-14", "지도Link")</f>
        <v/>
      </c>
      <c r="N1151" s="6">
        <f>HYPERLINK("http://www.eum.go.kr/web/ar/lu/luLandDet.jsp?pnu=3611032028104900014&amp;isNoScr=script&amp;mode=search", "토지이음")</f>
        <v/>
      </c>
      <c r="O1151" s="3" t="inlineStr">
        <is>
          <t>세종복댕이</t>
        </is>
      </c>
      <c r="P1151" s="4" t="n">
        <v>1</v>
      </c>
      <c r="Q1151" s="4" t="n">
        <v>682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합강리 490-25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85000</v>
      </c>
      <c r="G1152" s="4" t="n">
        <v>770</v>
      </c>
      <c r="H1152" s="4" t="n">
        <v>233</v>
      </c>
      <c r="I1152" s="5" t="n">
        <v>364.8</v>
      </c>
      <c r="J1152" s="5" t="n">
        <v>95.90000000000001</v>
      </c>
      <c r="K1152" s="3" t="inlineStr">
        <is>
          <t>강가에 별장자리최고입니다</t>
        </is>
      </c>
      <c r="L1152" s="6">
        <f>HYPERLINK("https://fin.land.naver.com/articles/2650471325", "매물Link")</f>
        <v/>
      </c>
      <c r="M1152" s="6">
        <f>HYPERLINK("https://map.naver.com/p/search/연동면 합강리 490-25", "지도Link")</f>
        <v/>
      </c>
      <c r="N1152" s="6">
        <f>HYPERLINK("http://www.eum.go.kr/web/ar/lu/luLandDet.jsp?pnu=3611032028104900025&amp;isNoScr=script&amp;mode=search", "토지이음")</f>
        <v/>
      </c>
      <c r="O1152" s="3" t="inlineStr">
        <is>
          <t>청정</t>
        </is>
      </c>
      <c r="P1152" s="4" t="n">
        <v>1</v>
      </c>
      <c r="Q1152" s="4" t="n">
        <v>769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492-4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770000</v>
      </c>
      <c r="G1153" s="4" t="n">
        <v>2308</v>
      </c>
      <c r="H1153" s="4" t="n">
        <v>698</v>
      </c>
      <c r="I1153" s="5" t="n">
        <v>1103.2</v>
      </c>
      <c r="J1153" s="5" t="n">
        <v>107.6</v>
      </c>
      <c r="K1153" s="3" t="inlineStr">
        <is>
          <t>카페입지, 좋은 위치, 상수도 전기설비완료, 농막 시설물포함, 가격절충</t>
        </is>
      </c>
      <c r="L1153" s="6">
        <f>HYPERLINK("https://fin.land.naver.com/articles/2649498432", "매물Link")</f>
        <v/>
      </c>
      <c r="M1153" s="6">
        <f>HYPERLINK("https://map.naver.com/p/search/연동면 합강리 492-4", "지도Link")</f>
        <v/>
      </c>
      <c r="N1153" s="6">
        <f>HYPERLINK("http://www.eum.go.kr/web/ar/lu/luLandDet.jsp?pnu=3611032028104920004&amp;isNoScr=script&amp;mode=search", "토지이음")</f>
        <v/>
      </c>
      <c r="O1153" s="3" t="inlineStr">
        <is>
          <t>황금힐스테이트</t>
        </is>
      </c>
      <c r="P1153" s="4" t="n">
        <v>1</v>
      </c>
      <c r="Q1153" s="4" t="n">
        <v>2308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500-24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98000</v>
      </c>
      <c r="G1154" s="4" t="n">
        <v>647</v>
      </c>
      <c r="H1154" s="4" t="n">
        <v>196</v>
      </c>
      <c r="I1154" s="5" t="n">
        <v>500</v>
      </c>
      <c r="J1154" s="5" t="n">
        <v>158.2</v>
      </c>
      <c r="K1154" s="3" t="inlineStr">
        <is>
          <t>전망 좋은 주택지</t>
        </is>
      </c>
      <c r="L1154" s="6">
        <f>HYPERLINK("https://fin.land.naver.com/articles/2652793860", "매물Link")</f>
        <v/>
      </c>
      <c r="M1154" s="6">
        <f>HYPERLINK("https://map.naver.com/p/search/연동면 합강리 500-24", "지도Link")</f>
        <v/>
      </c>
      <c r="N1154" s="6">
        <f>HYPERLINK("http://www.eum.go.kr/web/ar/lu/luLandDet.jsp?pnu=3611032028105000024&amp;isNoScr=script&amp;mode=search",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647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37500</v>
      </c>
      <c r="G1155" s="4" t="n">
        <v>946</v>
      </c>
      <c r="H1155" s="4" t="n">
        <v>286</v>
      </c>
      <c r="I1155" s="5" t="n">
        <v>131.1</v>
      </c>
      <c r="J1155" s="5" t="n">
        <v>66</v>
      </c>
      <c r="K1155" s="3" t="inlineStr">
        <is>
          <t>고복리 계획관리지역 대와 전으로 시세보다 저렴한 2필지 일괄매매.</t>
        </is>
      </c>
      <c r="L1155" s="6">
        <f>HYPERLINK("https://fin.land.naver.com/articles/2647918884",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2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HYPERLINK("https://fin.land.naver.com/articles/2647512056",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395</t>
        </is>
      </c>
      <c r="B1163" s="3" t="inlineStr">
        <is>
          <t>보전관리지역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60000</v>
      </c>
      <c r="G1163" s="4" t="n">
        <v>3587</v>
      </c>
      <c r="H1163" s="4" t="n">
        <v>1085</v>
      </c>
      <c r="I1163" s="5" t="n">
        <v>55.3</v>
      </c>
      <c r="J1163" s="5" t="n">
        <v>21.6</v>
      </c>
      <c r="K1163" s="3" t="inlineStr">
        <is>
          <t>고복저수지 인근 투자용도로 추천  가격 조율 가능</t>
        </is>
      </c>
      <c r="L1163" s="6">
        <f>HYPERLINK("https://fin.land.naver.com/articles/2649200788", "매물Link")</f>
        <v/>
      </c>
      <c r="M1163" s="6">
        <f>HYPERLINK("https://map.naver.com/p/search/연서면 고복리 395", "지도Link")</f>
        <v/>
      </c>
      <c r="N1163" s="6">
        <f>HYPERLINK("http://www.eum.go.kr/web/ar/lu/luLandDet.jsp?pnu=3611036024103950000&amp;isNoScr=script&amp;mode=search", "토지이음")</f>
        <v/>
      </c>
      <c r="O1163" s="3" t="inlineStr">
        <is>
          <t>뉴엘리트탑</t>
        </is>
      </c>
      <c r="P1163" s="4" t="n">
        <v>1</v>
      </c>
      <c r="Q1163" s="4" t="n">
        <v>3587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고복리 415-54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404000</v>
      </c>
      <c r="G1164" s="4" t="n">
        <v>3904</v>
      </c>
      <c r="H1164" s="4" t="n">
        <v>1181</v>
      </c>
      <c r="I1164" s="5" t="n">
        <v>342.1</v>
      </c>
      <c r="J1164" s="5" t="n">
        <v>116.1</v>
      </c>
      <c r="K1164" s="3" t="inlineStr">
        <is>
          <t>고복저수지 바로 인접한 토지매매 넓은 면적에 탁트인 전망 매매가격 조절가</t>
        </is>
      </c>
      <c r="L1164" s="6">
        <f>HYPERLINK("https://fin.land.naver.com/articles/2647450406", "매물Link")</f>
        <v/>
      </c>
      <c r="M1164" s="6">
        <f>HYPERLINK("https://map.naver.com/p/search/연서면 고복리 415-54", "지도Link")</f>
        <v/>
      </c>
      <c r="N1164" s="6">
        <f>HYPERLINK("http://www.eum.go.kr/web/ar/lu/luLandDet.jsp?pnu=3611036024104150054&amp;isNoScr=script&amp;mode=search", "토지이음")</f>
        <v/>
      </c>
      <c r="O1164" s="3" t="inlineStr">
        <is>
          <t>효성해링턴오복</t>
        </is>
      </c>
      <c r="P1164" s="4" t="n">
        <v>1</v>
      </c>
      <c r="Q1164" s="4" t="n">
        <v>599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자루형</t>
        </is>
      </c>
      <c r="V1164" s="3" t="inlineStr">
        <is>
          <t>세로한면(가)</t>
        </is>
      </c>
    </row>
    <row r="1165">
      <c r="A1165" s="3" t="inlineStr">
        <is>
          <t>연서면 고복리 42-7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53340</v>
      </c>
      <c r="G1165" s="4" t="n">
        <v>2940</v>
      </c>
      <c r="H1165" s="4" t="n">
        <v>889</v>
      </c>
      <c r="I1165" s="5" t="n">
        <v>60</v>
      </c>
      <c r="J1165" s="5" t="n">
        <v>21.1</v>
      </c>
      <c r="K1165" s="3" t="inlineStr">
        <is>
          <t>nan</t>
        </is>
      </c>
      <c r="L1165" s="6">
        <f>HYPERLINK("https://fin.land.naver.com/articles/2648826287", "매물Link")</f>
        <v/>
      </c>
      <c r="M1165" s="6">
        <f>HYPERLINK("https://map.naver.com/p/search/연서면 고복리 42-7", "지도Link")</f>
        <v/>
      </c>
      <c r="N1165" s="6">
        <f>HYPERLINK("http://www.eum.go.kr/web/ar/lu/luLandDet.jsp?pnu=3611036024100420007&amp;isNoScr=script&amp;mode=search", "토지이음")</f>
        <v/>
      </c>
      <c r="O1165" s="3" t="inlineStr">
        <is>
          <t>푸른들</t>
        </is>
      </c>
      <c r="P1165" s="4" t="n">
        <v>1</v>
      </c>
      <c r="Q1165" s="4" t="n">
        <v>2940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45-4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70800</v>
      </c>
      <c r="G1166" s="4" t="n">
        <v>3900</v>
      </c>
      <c r="H1166" s="4" t="n">
        <v>1180</v>
      </c>
      <c r="I1166" s="5" t="n">
        <v>60</v>
      </c>
      <c r="J1166" s="5" t="n">
        <v>21.1</v>
      </c>
      <c r="K1166" s="3" t="inlineStr">
        <is>
          <t>절충가능한 연서면 고복리 농림지역 대토용 토지를 급매합니다</t>
        </is>
      </c>
      <c r="L1166" s="6">
        <f>HYPERLINK("https://fin.land.naver.com/articles/2651243984", "매물Link")</f>
        <v/>
      </c>
      <c r="M1166" s="6">
        <f>HYPERLINK("https://map.naver.com/p/search/연서면 고복리 45-4", "지도Link")</f>
        <v/>
      </c>
      <c r="N1166" s="6">
        <f>HYPERLINK("http://www.eum.go.kr/web/ar/lu/luLandDet.jsp?pnu=3611036024100450004&amp;isNoScr=script&amp;mode=search",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2900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556-12</t>
        </is>
      </c>
      <c r="B1169" s="3" t="inlineStr">
        <is>
          <t>보전관리지역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69000</v>
      </c>
      <c r="G1169" s="4" t="n">
        <v>1140</v>
      </c>
      <c r="H1169" s="4" t="n">
        <v>345</v>
      </c>
      <c r="I1169" s="5" t="n">
        <v>200</v>
      </c>
      <c r="J1169" s="5" t="n">
        <v>52.8</v>
      </c>
      <c r="K1169" s="3" t="inlineStr">
        <is>
          <t>고복저수지 최고 조망권을 가진 주택지</t>
        </is>
      </c>
      <c r="L1169" s="6">
        <f>HYPERLINK("https://fin.land.naver.com/articles/2651942581", "매물Link")</f>
        <v/>
      </c>
      <c r="M1169" s="6">
        <f>HYPERLINK("https://map.naver.com/p/search/연서면 고복리 556-12", "지도Link")</f>
        <v/>
      </c>
      <c r="N1169" s="6">
        <f>HYPERLINK("http://www.eum.go.kr/web/ar/lu/luLandDet.jsp?pnu=3611036024105560012&amp;isNoScr=script&amp;mode=search", "토지이음")</f>
        <v/>
      </c>
      <c r="O1169" s="3" t="inlineStr">
        <is>
          <t>용궁</t>
        </is>
      </c>
      <c r="P1169" s="4" t="n">
        <v>1</v>
      </c>
      <c r="Q1169" s="4" t="n">
        <v>1139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고복리 556-28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184000</v>
      </c>
      <c r="G1170" s="4" t="n">
        <v>1520</v>
      </c>
      <c r="H1170" s="4" t="n">
        <v>460</v>
      </c>
      <c r="I1170" s="5" t="n">
        <v>400</v>
      </c>
      <c r="J1170" s="5" t="n">
        <v>119.4</v>
      </c>
      <c r="K1170" s="3" t="inlineStr">
        <is>
          <t>2필지 대지와근생건물 일괄매매.고복저수지인접.</t>
        </is>
      </c>
      <c r="L1170" s="6">
        <f>HYPERLINK("https://fin.land.naver.com/articles/2652823595", "매물Link")</f>
        <v/>
      </c>
      <c r="M1170" s="6">
        <f>HYPERLINK("https://map.naver.com/p/search/연서면 고복리 556-28", "지도Link")</f>
        <v/>
      </c>
      <c r="N1170" s="6">
        <f>HYPERLINK("http://www.eum.go.kr/web/ar/lu/luLandDet.jsp?pnu=3611036024105560028&amp;isNoScr=script&amp;mode=search", "토지이음")</f>
        <v/>
      </c>
      <c r="O1170" s="3" t="inlineStr">
        <is>
          <t>담뜰</t>
        </is>
      </c>
      <c r="P1170" s="4" t="n">
        <v>1</v>
      </c>
      <c r="Q1170" s="4" t="n">
        <v>793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고복리 557-4</t>
        </is>
      </c>
      <c r="B1171" s="3" t="inlineStr">
        <is>
          <t>보전관리지역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100000</v>
      </c>
      <c r="G1171" s="4" t="n">
        <v>2085</v>
      </c>
      <c r="H1171" s="4" t="n">
        <v>631</v>
      </c>
      <c r="I1171" s="5" t="n">
        <v>158.5</v>
      </c>
      <c r="J1171" s="5" t="n">
        <v>50.7</v>
      </c>
      <c r="K1171" s="3" t="inlineStr">
        <is>
          <t>저수지 뷰가 최상이며 필요한 평수 만큼 분할 매매도 가능합니다.</t>
        </is>
      </c>
      <c r="L1171" s="6">
        <f>HYPERLINK("https://fin.land.naver.com/articles/2649234828", "매물Link")</f>
        <v/>
      </c>
      <c r="M1171" s="6">
        <f>HYPERLINK("https://map.naver.com/p/search/연서면 고복리 557-4", "지도Link")</f>
        <v/>
      </c>
      <c r="N1171" s="6">
        <f>HYPERLINK("http://www.eum.go.kr/web/ar/lu/luLandDet.jsp?pnu=3611036024105570004&amp;isNoScr=script&amp;mode=search", "토지이음")</f>
        <v/>
      </c>
      <c r="O1171" s="3" t="inlineStr">
        <is>
          <t>신흥주공</t>
        </is>
      </c>
      <c r="P1171" s="4" t="n">
        <v>1</v>
      </c>
      <c r="Q1171" s="4" t="n">
        <v>775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21000</v>
      </c>
      <c r="G1172" s="4" t="n">
        <v>2010</v>
      </c>
      <c r="H1172" s="4" t="n">
        <v>608</v>
      </c>
      <c r="I1172" s="5" t="n">
        <v>34.5</v>
      </c>
      <c r="J1172" s="5" t="n">
        <v>22</v>
      </c>
      <c r="K1172" s="3" t="inlineStr">
        <is>
          <t>투자용, 주말 농장용으로 추천 합니다</t>
        </is>
      </c>
      <c r="L1172" s="6">
        <f>HYPERLINK("https://fin.land.naver.com/articles/2650856617",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24000</v>
      </c>
      <c r="G1173" s="4" t="n">
        <v>2010</v>
      </c>
      <c r="H1173" s="4" t="n">
        <v>608</v>
      </c>
      <c r="I1173" s="5" t="n">
        <v>39.5</v>
      </c>
      <c r="J1173" s="5" t="n">
        <v>22</v>
      </c>
      <c r="K1173" s="3" t="inlineStr">
        <is>
          <t>대토용 및 주말농장</t>
        </is>
      </c>
      <c r="L1173" s="6">
        <f>HYPERLINK("https://fin.land.naver.com/articles/2652095031",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지호주식회사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산 3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4300</v>
      </c>
      <c r="G1175" s="4" t="n">
        <v>661</v>
      </c>
      <c r="H1175" s="4" t="n">
        <v>200</v>
      </c>
      <c r="I1175" s="5" t="n">
        <v>21.5</v>
      </c>
      <c r="J1175" s="5" t="n">
        <v>5.1</v>
      </c>
      <c r="K1175" s="3" t="inlineStr">
        <is>
          <t>세종시 임야 지분 매매</t>
        </is>
      </c>
      <c r="L1175" s="6">
        <f>HYPERLINK("https://fin.land.naver.com/articles/2649010337", "매물Link")</f>
        <v/>
      </c>
      <c r="M1175" s="6">
        <f>HYPERLINK("https://map.naver.com/p/search/연서면 고복리 산 3", "지도Link")</f>
        <v/>
      </c>
      <c r="N1175" s="6">
        <f>HYPERLINK("http://www.eum.go.kr/web/ar/lu/luLandDet.jsp?pnu=3611036024200030000&amp;isNoScr=script&amp;mode=search", "토지이음")</f>
        <v/>
      </c>
      <c r="O1175" s="3" t="inlineStr">
        <is>
          <t>최고봉</t>
        </is>
      </c>
      <c r="P1175" s="4" t="n">
        <v>1</v>
      </c>
      <c r="Q1175" s="4" t="n">
        <v>27769</v>
      </c>
      <c r="R1175" s="3" t="inlineStr">
        <is>
          <t>농림지역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산102-1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50000</v>
      </c>
      <c r="G1176" s="4" t="n">
        <v>61742</v>
      </c>
      <c r="H1176" s="4" t="n">
        <v>18677</v>
      </c>
      <c r="I1176" s="5" t="n">
        <v>2.7</v>
      </c>
      <c r="J1176" s="5" t="n">
        <v>3.4</v>
      </c>
      <c r="K1176" s="3" t="inlineStr">
        <is>
          <t>명성공인, 급매 연서면 임야 추천 매물</t>
        </is>
      </c>
      <c r="L1176" s="6">
        <f>HYPERLINK("https://fin.land.naver.com/articles/2650852401", "매물Link")</f>
        <v/>
      </c>
      <c r="M1176" s="6">
        <f>HYPERLINK("https://map.naver.com/p/search/연서면 고복리 산102-1", "지도Link")</f>
        <v/>
      </c>
      <c r="N1176" s="6">
        <f>HYPERLINK("http://www.eum.go.kr/web/ar/lu/luLandDet.jsp?pnu=3611036024201020001&amp;isNoScr=script&amp;mode=search", "토지이음")</f>
        <v/>
      </c>
      <c r="O1176" s="3" t="inlineStr">
        <is>
          <t>명성</t>
        </is>
      </c>
      <c r="P1176" s="4" t="n">
        <v>1</v>
      </c>
      <c r="Q1176" s="4" t="n">
        <v>61742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HYPERLINK("https://fin.land.naver.com/articles/2648172406", "매물Link")</f>
        <v/>
      </c>
      <c r="M1177" s="6">
        <f>HYPERLINK("https://map.naver.com/p/search/연서면 고복리 산34-6",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산96-6</t>
        </is>
      </c>
      <c r="B1178" s="3" t="inlineStr">
        <is>
          <t>보전관리지역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362000</v>
      </c>
      <c r="G1178" s="4" t="n">
        <v>11983</v>
      </c>
      <c r="H1178" s="4" t="n">
        <v>3625</v>
      </c>
      <c r="I1178" s="5" t="n">
        <v>99.90000000000001</v>
      </c>
      <c r="J1178" s="5" t="n">
        <v>10.5</v>
      </c>
      <c r="K1178" s="3" t="inlineStr">
        <is>
          <t>절충가능, 경사도가 완만하여 전원주택부지로 개발하기 최적의 토지입니다.</t>
        </is>
      </c>
      <c r="L1178" s="6">
        <f>HYPERLINK("https://fin.land.naver.com/articles/2647698471", "매물Link")</f>
        <v/>
      </c>
      <c r="M1178" s="6">
        <f>HYPERLINK("https://map.naver.com/p/search/연서면 고복리 산96-6", "지도Link")</f>
        <v/>
      </c>
      <c r="N1178" s="6">
        <f>HYPERLINK("http://www.eum.go.kr/web/ar/lu/luLandDet.jsp?pnu=3611036024200960006&amp;isNoScr=script&amp;mode=search",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11983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국촌리 24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1015</v>
      </c>
      <c r="H1179" s="4" t="n">
        <v>307</v>
      </c>
      <c r="I1179" s="5" t="n">
        <v>114</v>
      </c>
      <c r="J1179" s="5" t="n">
        <v>56.4</v>
      </c>
      <c r="K1179" s="3" t="inlineStr">
        <is>
          <t>스마트국가산업단지와 북세종IC 인근 계획관리지역 토지로 지가상승 예상.</t>
        </is>
      </c>
      <c r="L1179" s="6">
        <f>HYPERLINK("https://fin.land.naver.com/articles/2650938722", "매물Link")</f>
        <v/>
      </c>
      <c r="M1179" s="6">
        <f>HYPERLINK("https://map.naver.com/p/search/연서면 국촌리 24", "지도Link")</f>
        <v/>
      </c>
      <c r="N1179" s="6">
        <f>HYPERLINK("http://www.eum.go.kr/web/ar/lu/luLandDet.jsp?pnu=3611036030100240000&amp;isNoScr=script&amp;mode=search", "토지이음")</f>
        <v/>
      </c>
      <c r="O1179" s="3" t="inlineStr">
        <is>
          <t>세종대장</t>
        </is>
      </c>
      <c r="P1179" s="4" t="n">
        <v>2</v>
      </c>
      <c r="Q1179" s="4" t="n">
        <v>1015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자루형</t>
        </is>
      </c>
      <c r="V1179" s="3" t="inlineStr">
        <is>
          <t>세로한면(불)</t>
        </is>
      </c>
    </row>
    <row r="1180">
      <c r="A1180" s="3" t="inlineStr">
        <is>
          <t>연서면 국촌리 24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35000</v>
      </c>
      <c r="G1180" s="4" t="n">
        <v>1015</v>
      </c>
      <c r="H1180" s="4" t="n">
        <v>307</v>
      </c>
      <c r="I1180" s="5" t="n">
        <v>114</v>
      </c>
      <c r="J1180" s="5" t="n">
        <v>56.4</v>
      </c>
      <c r="K1180" s="3" t="inlineStr">
        <is>
          <t>급매,도로접한 계획관리지역,알토란 토지,가격조정가능</t>
        </is>
      </c>
      <c r="L1180" s="6">
        <f>HYPERLINK("https://fin.land.naver.com/articles/2651676153", "매물Link")</f>
        <v/>
      </c>
      <c r="M1180" s="6">
        <f>HYPERLINK("https://map.naver.com/p/search/연서면 국촌리 24", "지도Link")</f>
        <v/>
      </c>
      <c r="N1180" s="6">
        <f>HYPERLINK("http://www.eum.go.kr/web/ar/lu/luLandDet.jsp?pnu=3611036030100240000&amp;isNoScr=script&amp;mode=search", "토지이음")</f>
        <v/>
      </c>
      <c r="O1180" s="3" t="inlineStr">
        <is>
          <t>고운맘</t>
        </is>
      </c>
      <c r="P1180" s="4" t="n">
        <v>1</v>
      </c>
      <c r="Q1180" s="4" t="n">
        <v>1015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평지</t>
        </is>
      </c>
      <c r="U1180" s="3" t="inlineStr">
        <is>
          <t>자루형</t>
        </is>
      </c>
      <c r="V1180" s="3" t="inlineStr">
        <is>
          <t>세로한면(불)</t>
        </is>
      </c>
    </row>
    <row r="1181">
      <c r="A1181" s="3" t="inlineStr">
        <is>
          <t>연서면 국촌리 321-8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21200</v>
      </c>
      <c r="G1181" s="4" t="n">
        <v>350</v>
      </c>
      <c r="H1181" s="4" t="n">
        <v>106</v>
      </c>
      <c r="I1181" s="5" t="n">
        <v>200</v>
      </c>
      <c r="J1181" s="5" t="n">
        <v>57.5</v>
      </c>
      <c r="K1181" s="3" t="inlineStr">
        <is>
          <t>추천. 세종스마트산단 인접 대지</t>
        </is>
      </c>
      <c r="L1181" s="6">
        <f>HYPERLINK("https://fin.land.naver.com/articles/2649193716", "매물Link")</f>
        <v/>
      </c>
      <c r="M1181" s="6">
        <f>HYPERLINK("https://map.naver.com/p/search/연서면 국촌리 321-8", "지도Link")</f>
        <v/>
      </c>
      <c r="N1181" s="6">
        <f>HYPERLINK("http://www.eum.go.kr/web/ar/lu/luLandDet.jsp?pnu=3611036030103210008&amp;isNoScr=script&amp;mode=search", "토지이음")</f>
        <v/>
      </c>
      <c r="O1181" s="3" t="inlineStr">
        <is>
          <t>강아지풀</t>
        </is>
      </c>
      <c r="P1181" s="4" t="n">
        <v>1</v>
      </c>
      <c r="Q1181" s="4" t="n">
        <v>350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가로장방</t>
        </is>
      </c>
      <c r="V1181" s="3" t="inlineStr">
        <is>
          <t>세로한면(불)</t>
        </is>
      </c>
    </row>
    <row r="1182">
      <c r="A1182" s="3" t="inlineStr">
        <is>
          <t>연서면 국촌리 53-4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40000</v>
      </c>
      <c r="G1182" s="4" t="n">
        <v>1644</v>
      </c>
      <c r="H1182" s="4" t="n">
        <v>497</v>
      </c>
      <c r="I1182" s="5" t="n">
        <v>80.5</v>
      </c>
      <c r="J1182" s="5" t="n">
        <v>28.8</v>
      </c>
      <c r="K1182" s="3" t="inlineStr">
        <is>
          <t>연서면 국촌리 농림지역 토지, 국가산업단지 인근, 대토, 필지별 매매</t>
        </is>
      </c>
      <c r="L1182" s="6">
        <f>HYPERLINK("https://fin.land.naver.com/articles/2648714185", "매물Link")</f>
        <v/>
      </c>
      <c r="M1182" s="6">
        <f>HYPERLINK("https://map.naver.com/p/search/연서면 국촌리 53-4", "지도Link")</f>
        <v/>
      </c>
      <c r="N1182" s="6">
        <f>HYPERLINK("http://www.eum.go.kr/web/ar/lu/luLandDet.jsp?pnu=3611036030100530004&amp;isNoScr=script&amp;mode=search",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1644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국촌리 53-5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45000</v>
      </c>
      <c r="G1183" s="4" t="n">
        <v>1663</v>
      </c>
      <c r="H1183" s="4" t="n">
        <v>503</v>
      </c>
      <c r="I1183" s="5" t="n">
        <v>89.5</v>
      </c>
      <c r="J1183" s="5" t="n">
        <v>28.8</v>
      </c>
      <c r="K1183" s="3" t="inlineStr">
        <is>
          <t>대토,투자로 좋은 위치의 토지입니다</t>
        </is>
      </c>
      <c r="L1183" s="6">
        <f>HYPERLINK("https://fin.land.naver.com/articles/2650858546", "매물Link")</f>
        <v/>
      </c>
      <c r="M1183" s="6">
        <f>HYPERLINK("https://map.naver.com/p/search/연서면 국촌리 53-5", "지도Link")</f>
        <v/>
      </c>
      <c r="N1183" s="6">
        <f>HYPERLINK("http://www.eum.go.kr/web/ar/lu/luLandDet.jsp?pnu=3611036030100530005&amp;isNoScr=script&amp;mode=search",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국촌리 76-5</t>
        </is>
      </c>
      <c r="B1184" s="3" t="inlineStr">
        <is>
          <t>농림지역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95000</v>
      </c>
      <c r="G1184" s="4" t="n">
        <v>1573</v>
      </c>
      <c r="H1184" s="4" t="n">
        <v>476</v>
      </c>
      <c r="I1184" s="5" t="n">
        <v>199.6</v>
      </c>
      <c r="J1184" s="5" t="n">
        <v>39.5</v>
      </c>
      <c r="K1184" s="3" t="inlineStr">
        <is>
          <t>시내와 가깝고 북세종 IC 인접, 창고에서 월세 나오는 농지</t>
        </is>
      </c>
      <c r="L1184" s="6">
        <f>HYPERLINK("https://fin.land.naver.com/articles/2652066396", "매물Link")</f>
        <v/>
      </c>
      <c r="M1184" s="6">
        <f>HYPERLINK("https://map.naver.com/p/search/연서면 국촌리 76-5", "지도Link")</f>
        <v/>
      </c>
      <c r="N1184" s="6">
        <f>HYPERLINK("http://www.eum.go.kr/web/ar/lu/luLandDet.jsp?pnu=3611036030100760005&amp;isNoScr=script&amp;mode=search", "토지이음")</f>
        <v/>
      </c>
      <c r="O1184" s="3" t="inlineStr">
        <is>
          <t>신와촌</t>
        </is>
      </c>
      <c r="P1184" s="4" t="n">
        <v>1</v>
      </c>
      <c r="Q1184" s="4" t="n">
        <v>1575</v>
      </c>
      <c r="R1184" s="3" t="inlineStr">
        <is>
          <t>지정되지않음</t>
        </is>
      </c>
      <c r="S1184" s="3" t="inlineStr">
        <is>
          <t>전창고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137-1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31000</v>
      </c>
      <c r="G1185" s="4" t="n">
        <v>900</v>
      </c>
      <c r="H1185" s="4" t="n">
        <v>272</v>
      </c>
      <c r="I1185" s="5" t="n">
        <v>114</v>
      </c>
      <c r="J1185" s="5" t="n">
        <v>39.5</v>
      </c>
      <c r="K1185" s="3" t="inlineStr">
        <is>
          <t>농업인 아니더라도 주말체험가능, 컨테이너,수도,전기,통신 설치됨.</t>
        </is>
      </c>
      <c r="L1185" s="6">
        <f>HYPERLINK("https://fin.land.naver.com/articles/2648906327", "매물Link")</f>
        <v/>
      </c>
      <c r="M1185" s="6">
        <f>HYPERLINK("https://map.naver.com/p/search/연서면 기룡리 137-1", "지도Link")</f>
        <v/>
      </c>
      <c r="N1185" s="6">
        <f>HYPERLINK("http://www.eum.go.kr/web/ar/lu/luLandDet.jsp?pnu=3611036028101370001&amp;isNoScr=script&amp;mode=search",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900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137-3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23000</v>
      </c>
      <c r="G1186" s="4" t="n">
        <v>773</v>
      </c>
      <c r="H1186" s="4" t="n">
        <v>234</v>
      </c>
      <c r="I1186" s="5" t="n">
        <v>98.3</v>
      </c>
      <c r="J1186" s="5" t="n">
        <v>39.5</v>
      </c>
      <c r="K1186" s="3" t="inlineStr">
        <is>
          <t>국가산단 인근 토지 매매</t>
        </is>
      </c>
      <c r="L1186" s="6">
        <f>HYPERLINK("https://fin.land.naver.com/articles/2648030618", "매물Link")</f>
        <v/>
      </c>
      <c r="M1186" s="6">
        <f>HYPERLINK("https://map.naver.com/p/search/연서면 기룡리 137-3", "지도Link")</f>
        <v/>
      </c>
      <c r="N1186" s="6">
        <f>HYPERLINK("http://www.eum.go.kr/web/ar/lu/luLandDet.jsp?pnu=3611036028101370003&amp;isNoScr=script&amp;mode=search", "토지이음")</f>
        <v/>
      </c>
      <c r="O1186" s="3" t="inlineStr">
        <is>
          <t>THE행복</t>
        </is>
      </c>
      <c r="P1186" s="4" t="n">
        <v>1</v>
      </c>
      <c r="Q1186" s="4" t="n">
        <v>774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170-1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50900</v>
      </c>
      <c r="G1190" s="4" t="n">
        <v>1683</v>
      </c>
      <c r="H1190" s="4" t="n">
        <v>509</v>
      </c>
      <c r="I1190" s="5" t="n">
        <v>100</v>
      </c>
      <c r="J1190" s="5" t="n">
        <v>49.5</v>
      </c>
      <c r="K1190" s="3" t="inlineStr">
        <is>
          <t>나대지로 텃밭 주택,창고,주말농장 등이 어울리는 기룡리 토지</t>
        </is>
      </c>
      <c r="L1190" s="6">
        <f>HYPERLINK("https://fin.land.naver.com/articles/2650397810", "매물Link")</f>
        <v/>
      </c>
      <c r="M1190" s="6">
        <f>HYPERLINK("https://map.naver.com/p/search/연서면 기룡리 170-1", "지도Link")</f>
        <v/>
      </c>
      <c r="N1190" s="6">
        <f>HYPERLINK("http://www.eum.go.kr/web/ar/lu/luLandDet.jsp?pnu=3611036028101700001&amp;isNoScr=script&amp;mode=search", "토지이음")</f>
        <v/>
      </c>
      <c r="O1190" s="3" t="inlineStr">
        <is>
          <t>지성</t>
        </is>
      </c>
      <c r="P1190" s="4" t="n">
        <v>1</v>
      </c>
      <c r="Q1190" s="4" t="n">
        <v>1683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기룡리 277-1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52000</v>
      </c>
      <c r="G1191" s="4" t="n">
        <v>2152</v>
      </c>
      <c r="H1191" s="4" t="n">
        <v>651</v>
      </c>
      <c r="I1191" s="5" t="n">
        <v>79.90000000000001</v>
      </c>
      <c r="J1191" s="5" t="n">
        <v>44</v>
      </c>
      <c r="K1191" s="3" t="inlineStr">
        <is>
          <t>기룡리토지매매 가격조정가능</t>
        </is>
      </c>
      <c r="L1191" s="6">
        <f>HYPERLINK("https://fin.land.naver.com/articles/2652695872", "매물Link")</f>
        <v/>
      </c>
      <c r="M1191" s="6">
        <f>HYPERLINK("https://map.naver.com/p/search/연서면 기룡리 277-1", "지도Link")</f>
        <v/>
      </c>
      <c r="N1191" s="6">
        <f>HYPERLINK("http://www.eum.go.kr/web/ar/lu/luLandDet.jsp?pnu=3611036028102770001&amp;isNoScr=script&amp;mode=search", "토지이음")</f>
        <v/>
      </c>
      <c r="O1191" s="3" t="inlineStr">
        <is>
          <t>고운동리치세종</t>
        </is>
      </c>
      <c r="P1191" s="4" t="n">
        <v>1</v>
      </c>
      <c r="Q1191" s="4" t="n">
        <v>2152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332-2</t>
        </is>
      </c>
      <c r="B1192" s="3" t="inlineStr">
        <is>
          <t>계획관리지역</t>
        </is>
      </c>
      <c r="C1192" s="3" t="inlineStr">
        <is>
          <t>목장용지</t>
        </is>
      </c>
      <c r="D1192" s="3" t="inlineStr">
        <is>
          <t>목장용지</t>
        </is>
      </c>
      <c r="E1192" s="3" t="inlineStr">
        <is>
          <t>매매</t>
        </is>
      </c>
      <c r="F1192" s="4" t="n">
        <v>327000</v>
      </c>
      <c r="G1192" s="4" t="n">
        <v>9018</v>
      </c>
      <c r="H1192" s="4" t="n">
        <v>2728</v>
      </c>
      <c r="I1192" s="5" t="n">
        <v>119.9</v>
      </c>
      <c r="J1192" s="5" t="n">
        <v>46.1</v>
      </c>
      <c r="K1192" s="3" t="inlineStr">
        <is>
          <t>계획관리지역</t>
        </is>
      </c>
      <c r="L1192" s="6">
        <f>HYPERLINK("https://fin.land.naver.com/articles/2648732748", "매물Link")</f>
        <v/>
      </c>
      <c r="M1192" s="6">
        <f>HYPERLINK("https://map.naver.com/p/search/연서면 기룡리 332-2", "지도Link")</f>
        <v/>
      </c>
      <c r="N1192" s="6">
        <f>HYPERLINK("http://www.eum.go.kr/web/ar/lu/luLandDet.jsp?pnu=3611036028103320002&amp;isNoScr=script&amp;mode=search", "토지이음")</f>
        <v/>
      </c>
      <c r="O1192" s="3" t="inlineStr">
        <is>
          <t>다산</t>
        </is>
      </c>
      <c r="P1192" s="4" t="n">
        <v>1</v>
      </c>
      <c r="Q1192" s="4" t="n">
        <v>9004</v>
      </c>
      <c r="R1192" s="3" t="inlineStr">
        <is>
          <t>지정되지않음</t>
        </is>
      </c>
      <c r="S1192" s="3" t="inlineStr">
        <is>
          <t>전축사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기룡리 425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237860</v>
      </c>
      <c r="G1193" s="4" t="n">
        <v>11234</v>
      </c>
      <c r="H1193" s="4" t="n">
        <v>3398</v>
      </c>
      <c r="I1193" s="5" t="n">
        <v>70</v>
      </c>
      <c r="J1193" s="5" t="n">
        <v>30.8</v>
      </c>
      <c r="K1193" s="3" t="inlineStr">
        <is>
          <t>여러필지이며 투자및 경작용으로 매우 좋음</t>
        </is>
      </c>
      <c r="L1193" s="6">
        <f>HYPERLINK("https://fin.land.naver.com/articles/2648549270", "매물Link")</f>
        <v/>
      </c>
      <c r="M1193" s="6">
        <f>HYPERLINK("https://map.naver.com/p/search/연서면 기룡리 425", "지도Link")</f>
        <v/>
      </c>
      <c r="N1193" s="6">
        <f>HYPERLINK("http://www.eum.go.kr/web/ar/lu/luLandDet.jsp?pnu=3611036028104250000&amp;isNoScr=script&amp;mode=search", "토지이음")</f>
        <v/>
      </c>
      <c r="O1193" s="3" t="inlineStr">
        <is>
          <t>세종리츠</t>
        </is>
      </c>
      <c r="P1193" s="4" t="n">
        <v>1</v>
      </c>
      <c r="Q1193" s="4" t="n">
        <v>1699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426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16000</v>
      </c>
      <c r="G1194" s="4" t="n">
        <v>654</v>
      </c>
      <c r="H1194" s="4" t="n">
        <v>198</v>
      </c>
      <c r="I1194" s="5" t="n">
        <v>80.8</v>
      </c>
      <c r="J1194" s="5" t="n">
        <v>32.9</v>
      </c>
      <c r="K1194" s="3" t="inlineStr">
        <is>
          <t>기룡리 마을인근 토지매매</t>
        </is>
      </c>
      <c r="L1194" s="6">
        <f>HYPERLINK("https://fin.land.naver.com/articles/2652043441", "매물Link")</f>
        <v/>
      </c>
      <c r="M1194" s="6">
        <f>HYPERLINK("https://map.naver.com/p/search/연서면 기룡리 426", "지도Link")</f>
        <v/>
      </c>
      <c r="N1194" s="6">
        <f>HYPERLINK("http://www.eum.go.kr/web/ar/lu/luLandDet.jsp?pnu=3611036028104260000&amp;isNoScr=script&amp;mode=search", "토지이음")</f>
        <v/>
      </c>
      <c r="O1194" s="3" t="inlineStr">
        <is>
          <t>에이스</t>
        </is>
      </c>
      <c r="P1194" s="4" t="n">
        <v>1</v>
      </c>
      <c r="Q1194" s="4" t="n">
        <v>654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세로각지(가)</t>
        </is>
      </c>
    </row>
    <row r="1195">
      <c r="A1195" s="3" t="inlineStr">
        <is>
          <t>연서면 기룡리 431-1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62500</v>
      </c>
      <c r="G1195" s="4" t="n">
        <v>2952</v>
      </c>
      <c r="H1195" s="4" t="n">
        <v>893</v>
      </c>
      <c r="I1195" s="5" t="n">
        <v>70</v>
      </c>
      <c r="J1195" s="5" t="n">
        <v>39.2</v>
      </c>
      <c r="K1195" s="3" t="inlineStr">
        <is>
          <t>기룡리 계획관리지역 지목이 전으로 총2필지 일괄로 급매.</t>
        </is>
      </c>
      <c r="L1195" s="6">
        <f>HYPERLINK("https://fin.land.naver.com/articles/2651207447", "매물Link")</f>
        <v/>
      </c>
      <c r="M1195" s="6">
        <f>HYPERLINK("https://map.naver.com/p/search/연서면 기룡리 431-1", "지도Link")</f>
        <v/>
      </c>
      <c r="N1195" s="6">
        <f>HYPERLINK("http://www.eum.go.kr/web/ar/lu/luLandDet.jsp?pnu=3611036028104310001&amp;isNoScr=script&amp;mode=search",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2483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444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63000</v>
      </c>
      <c r="G1196" s="4" t="n">
        <v>2971</v>
      </c>
      <c r="H1196" s="4" t="n">
        <v>899</v>
      </c>
      <c r="I1196" s="5" t="n">
        <v>70.09999999999999</v>
      </c>
      <c r="J1196" s="5" t="n">
        <v>30.8</v>
      </c>
      <c r="K1196" s="3" t="inlineStr">
        <is>
          <t>연서면 기룡리 마을 포장도로에 접한 생산관리지역의 토지 입니다.</t>
        </is>
      </c>
      <c r="L1196" s="6">
        <f>HYPERLINK("https://fin.land.naver.com/articles/2652190431", "매물Link")</f>
        <v/>
      </c>
      <c r="M1196" s="6">
        <f>HYPERLINK("https://map.naver.com/p/search/연서면 기룡리 444", "지도Link")</f>
        <v/>
      </c>
      <c r="N1196" s="6">
        <f>HYPERLINK("http://www.eum.go.kr/web/ar/lu/luLandDet.jsp?pnu=3611036028104440000&amp;isNoScr=script&amp;mode=search",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2971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484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75000</v>
      </c>
      <c r="G1197" s="4" t="n">
        <v>2886</v>
      </c>
      <c r="H1197" s="4" t="n">
        <v>873</v>
      </c>
      <c r="I1197" s="5" t="n">
        <v>85.90000000000001</v>
      </c>
      <c r="J1197" s="5" t="n">
        <v>27.3</v>
      </c>
      <c r="K1197" s="3" t="inlineStr">
        <is>
          <t>보상이 시작된 세종국가산단과 인접하여 투자가치가 높음</t>
        </is>
      </c>
      <c r="L1197" s="6">
        <f>HYPERLINK("https://fin.land.naver.com/articles/2652786098", "매물Link")</f>
        <v/>
      </c>
      <c r="M1197" s="6">
        <f>HYPERLINK("https://map.naver.com/p/search/연서면 기룡리 484", "지도Link")</f>
        <v/>
      </c>
      <c r="N1197" s="6">
        <f>HYPERLINK("http://www.eum.go.kr/web/ar/lu/luLandDet.jsp?pnu=3611036028104840000&amp;isNoScr=script&amp;mode=search", "토지이음")</f>
        <v/>
      </c>
      <c r="O1197" s="3" t="inlineStr">
        <is>
          <t>가람</t>
        </is>
      </c>
      <c r="P1197" s="4" t="n">
        <v>1</v>
      </c>
      <c r="Q1197" s="4" t="n">
        <v>2886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51-2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21000</v>
      </c>
      <c r="G1198" s="4" t="n">
        <v>252</v>
      </c>
      <c r="H1198" s="4" t="n">
        <v>76</v>
      </c>
      <c r="I1198" s="5" t="n">
        <v>276.3</v>
      </c>
      <c r="J1198" s="5" t="n">
        <v>73.2</v>
      </c>
      <c r="K1198" s="3" t="inlineStr">
        <is>
          <t>급매 가격조정가능</t>
        </is>
      </c>
      <c r="L1198" s="6">
        <f>HYPERLINK("https://fin.land.naver.com/articles/2648261882", "매물Link")</f>
        <v/>
      </c>
      <c r="M1198" s="6">
        <f>HYPERLINK("https://map.naver.com/p/search/연서면 기룡리 51-2", "지도Link")</f>
        <v/>
      </c>
      <c r="N1198" s="6">
        <f>HYPERLINK("http://www.eum.go.kr/web/ar/lu/luLandDet.jsp?pnu=3611036028100510002&amp;isNoScr=script&amp;mode=search", "토지이음")</f>
        <v/>
      </c>
      <c r="O1198" s="3" t="inlineStr">
        <is>
          <t>그래그</t>
        </is>
      </c>
      <c r="P1198" s="4" t="n">
        <v>1</v>
      </c>
      <c r="Q1198" s="4" t="n">
        <v>252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기룡리 52-17</t>
        </is>
      </c>
      <c r="B1199" s="3" t="inlineStr">
        <is>
          <t>계획관리지역</t>
        </is>
      </c>
      <c r="C1199" s="3" t="inlineStr">
        <is>
          <t>양어장</t>
        </is>
      </c>
      <c r="D1199" s="3" t="inlineStr">
        <is>
          <t>양어장</t>
        </is>
      </c>
      <c r="E1199" s="3" t="inlineStr">
        <is>
          <t>매매</t>
        </is>
      </c>
      <c r="F1199" s="4" t="n">
        <v>21000</v>
      </c>
      <c r="G1199" s="4" t="n">
        <v>254</v>
      </c>
      <c r="H1199" s="4" t="n">
        <v>77</v>
      </c>
      <c r="I1199" s="5" t="n">
        <v>272.7</v>
      </c>
      <c r="J1199" s="5" t="n">
        <v>44.4</v>
      </c>
      <c r="K1199" s="3" t="inlineStr">
        <is>
          <t>급매 가격조정가능</t>
        </is>
      </c>
      <c r="L1199" s="6">
        <f>HYPERLINK("https://fin.land.naver.com/articles/2648261531", "매물Link")</f>
        <v/>
      </c>
      <c r="M1199" s="6">
        <f>HYPERLINK("https://map.naver.com/p/search/연서면 기룡리 52-17", "지도Link")</f>
        <v/>
      </c>
      <c r="N1199" s="6">
        <f>HYPERLINK("http://www.eum.go.kr/web/ar/lu/luLandDet.jsp?pnu=3611036028100520017&amp;isNoScr=script&amp;mode=search",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526-2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전</t>
        </is>
      </c>
      <c r="E1200" s="3" t="inlineStr">
        <is>
          <t>매매</t>
        </is>
      </c>
      <c r="F1200" s="4" t="n">
        <v>26940</v>
      </c>
      <c r="G1200" s="4" t="n">
        <v>1486</v>
      </c>
      <c r="H1200" s="4" t="n">
        <v>450</v>
      </c>
      <c r="I1200" s="5" t="n">
        <v>59.9</v>
      </c>
      <c r="J1200" s="5" t="n">
        <v>28.9</v>
      </c>
      <c r="K1200" s="3" t="inlineStr">
        <is>
          <t>기룡리 생산관리지역으로 지목이 전이나 과수원으로 이용중.</t>
        </is>
      </c>
      <c r="L1200" s="6">
        <f>HYPERLINK("https://fin.land.naver.com/articles/2651207894", "매물Link")</f>
        <v/>
      </c>
      <c r="M1200" s="6">
        <f>HYPERLINK("https://map.naver.com/p/search/연서면 기룡리 526-2", "지도Link")</f>
        <v/>
      </c>
      <c r="N1200" s="6">
        <f>HYPERLINK("http://www.eum.go.kr/web/ar/lu/luLandDet.jsp?pnu=3611036028105260002&amp;isNoScr=script&amp;mode=search", "토지이음")</f>
        <v/>
      </c>
      <c r="O1200" s="3" t="inlineStr">
        <is>
          <t>세종대장</t>
        </is>
      </c>
      <c r="P1200" s="4" t="n">
        <v>1</v>
      </c>
      <c r="Q1200" s="4" t="n">
        <v>1486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599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30000</v>
      </c>
      <c r="G1201" s="4" t="n">
        <v>1246</v>
      </c>
      <c r="H1201" s="4" t="n">
        <v>377</v>
      </c>
      <c r="I1201" s="5" t="n">
        <v>79.59999999999999</v>
      </c>
      <c r="J1201" s="5" t="n">
        <v>31.2</v>
      </c>
      <c r="K1201" s="3" t="inlineStr">
        <is>
          <t>대전 보건전문대 부지 근거리위치 투자가치좋음</t>
        </is>
      </c>
      <c r="L1201" s="6">
        <f>HYPERLINK("https://fin.land.naver.com/articles/2652730624", "매물Link")</f>
        <v/>
      </c>
      <c r="M1201" s="6">
        <f>HYPERLINK("https://map.naver.com/p/search/연서면 기룡리 599", "지도Link")</f>
        <v/>
      </c>
      <c r="N1201" s="6">
        <f>HYPERLINK("http://www.eum.go.kr/web/ar/lu/luLandDet.jsp?pnu=3611036028105990000&amp;isNoScr=script&amp;mode=search", "토지이음")</f>
        <v/>
      </c>
      <c r="O1201" s="3" t="inlineStr">
        <is>
          <t>대박</t>
        </is>
      </c>
      <c r="P1201" s="4" t="n">
        <v>1</v>
      </c>
      <c r="Q1201" s="4" t="n">
        <v>1246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609-1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49000</v>
      </c>
      <c r="G1202" s="4" t="n">
        <v>1808</v>
      </c>
      <c r="H1202" s="4" t="n">
        <v>547</v>
      </c>
      <c r="I1202" s="5" t="n">
        <v>89.59999999999999</v>
      </c>
      <c r="J1202" s="5" t="n">
        <v>31.2</v>
      </c>
      <c r="K1202" s="3" t="inlineStr">
        <is>
          <t>기룡리 전망 좋고 공기 맑은 세컨하우스나 주말쉼터로 투자추천.</t>
        </is>
      </c>
      <c r="L1202" s="6">
        <f>HYPERLINK("https://fin.land.naver.com/articles/2649342597", "매물Link")</f>
        <v/>
      </c>
      <c r="M1202" s="6">
        <f>HYPERLINK("https://map.naver.com/p/search/연서면 기룡리 609-1", "지도Link")</f>
        <v/>
      </c>
      <c r="N1202" s="6">
        <f>HYPERLINK("http://www.eum.go.kr/web/ar/lu/luLandDet.jsp?pnu=3611036028106090001&amp;isNoScr=script&amp;mode=search", "토지이음")</f>
        <v/>
      </c>
      <c r="O1202" s="3" t="inlineStr">
        <is>
          <t>세종대장</t>
        </is>
      </c>
      <c r="P1202" s="4" t="n">
        <v>1</v>
      </c>
      <c r="Q1202" s="4" t="n">
        <v>1808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651-5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19500</v>
      </c>
      <c r="G1203" s="4" t="n">
        <v>483</v>
      </c>
      <c r="H1203" s="4" t="n">
        <v>146</v>
      </c>
      <c r="I1203" s="5" t="n">
        <v>133.6</v>
      </c>
      <c r="J1203" s="5" t="n">
        <v>66.7</v>
      </c>
      <c r="K1203" s="3" t="inlineStr">
        <is>
          <t>급매물 마을앞 코너각지 도로접한 대지와 전매매</t>
        </is>
      </c>
      <c r="L1203" s="6">
        <f>HYPERLINK("https://fin.land.naver.com/articles/2650172378", "매물Link")</f>
        <v/>
      </c>
      <c r="M1203" s="6">
        <f>HYPERLINK("https://map.naver.com/p/search/연서면 기룡리 651-5", "지도Link")</f>
        <v/>
      </c>
      <c r="N1203" s="6">
        <f>HYPERLINK("http://www.eum.go.kr/web/ar/lu/luLandDet.jsp?pnu=3611036028106510005&amp;isNoScr=script&amp;mode=search", "토지이음")</f>
        <v/>
      </c>
      <c r="O1203" s="3" t="inlineStr">
        <is>
          <t>제이파크</t>
        </is>
      </c>
      <c r="P1203" s="4" t="n">
        <v>3</v>
      </c>
      <c r="Q1203" s="4" t="n">
        <v>364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19500</v>
      </c>
      <c r="G1204" s="4" t="n">
        <v>483</v>
      </c>
      <c r="H1204" s="4" t="n">
        <v>146</v>
      </c>
      <c r="I1204" s="5" t="n">
        <v>133.6</v>
      </c>
      <c r="J1204" s="5" t="n">
        <v>66.7</v>
      </c>
      <c r="K1204" s="3" t="inlineStr">
        <is>
          <t>도로접 국가산단 인근으로 투자와 실사용을 동시에 만족</t>
        </is>
      </c>
      <c r="L1204" s="6">
        <f>HYPERLINK("https://fin.land.naver.com/articles/2652765583", "매물Link")</f>
        <v/>
      </c>
      <c r="M1204" s="6">
        <f>HYPERLINK("https://map.naver.com/p/search/연서면 기룡리 651-5", "지도Link")</f>
        <v/>
      </c>
      <c r="N1204" s="6">
        <f>HYPERLINK("http://www.eum.go.kr/web/ar/lu/luLandDet.jsp?pnu=3611036028106510005&amp;isNoScr=script&amp;mode=search", "토지이음")</f>
        <v/>
      </c>
      <c r="O1204" s="3" t="inlineStr">
        <is>
          <t>가치잇는</t>
        </is>
      </c>
      <c r="P1204" s="4" t="n">
        <v>8</v>
      </c>
      <c r="Q1204" s="4" t="n">
        <v>364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nan</t>
        </is>
      </c>
      <c r="L1205" s="6">
        <f>HYPERLINK("https://fin.land.naver.com/articles/2652331421",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세종금밭</t>
        </is>
      </c>
      <c r="P1205" s="4" t="n">
        <v>4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급매매 계획관리 도로접 건축가능 세종 연서 기룡리</t>
        </is>
      </c>
      <c r="L1206" s="6">
        <f>HYPERLINK("https://fin.land.naver.com/articles/2649923225",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명장</t>
        </is>
      </c>
      <c r="P1206" s="4" t="n">
        <v>1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662-1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29000</v>
      </c>
      <c r="G1210" s="4" t="n">
        <v>631</v>
      </c>
      <c r="H1210" s="4" t="n">
        <v>191</v>
      </c>
      <c r="I1210" s="5" t="n">
        <v>151.8</v>
      </c>
      <c r="J1210" s="5" t="n">
        <v>66.7</v>
      </c>
      <c r="K1210" s="3" t="inlineStr">
        <is>
          <t>급매,투자추천,나대지</t>
        </is>
      </c>
      <c r="L1210" s="6">
        <f>HYPERLINK("https://fin.land.naver.com/articles/2648731146", "매물Link")</f>
        <v/>
      </c>
      <c r="M1210" s="6">
        <f>HYPERLINK("https://map.naver.com/p/search/연서면 기룡리 662-1", "지도Link")</f>
        <v/>
      </c>
      <c r="N1210" s="6">
        <f>HYPERLINK("http://www.eum.go.kr/web/ar/lu/luLandDet.jsp?pnu=3611036028106620001&amp;isNoScr=script&amp;mode=search",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631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662-1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29000</v>
      </c>
      <c r="G1211" s="4" t="n">
        <v>631</v>
      </c>
      <c r="H1211" s="4" t="n">
        <v>191</v>
      </c>
      <c r="I1211" s="5" t="n">
        <v>151.8</v>
      </c>
      <c r="J1211" s="5" t="n">
        <v>66.7</v>
      </c>
      <c r="K1211" s="3" t="inlineStr">
        <is>
          <t>작은 텃밭 건축가능한 대지</t>
        </is>
      </c>
      <c r="L1211" s="6">
        <f>HYPERLINK("https://fin.land.naver.com/articles/2651272476", "매물Link")</f>
        <v/>
      </c>
      <c r="M1211" s="6">
        <f>HYPERLINK("https://map.naver.com/p/search/연서면 기룡리 662-1", "지도Link")</f>
        <v/>
      </c>
      <c r="N1211" s="6">
        <f>HYPERLINK("http://www.eum.go.kr/web/ar/lu/luLandDet.jsp?pnu=3611036028106620001&amp;isNoScr=script&amp;mode=search", "토지이음")</f>
        <v/>
      </c>
      <c r="O1211" s="3" t="inlineStr">
        <is>
          <t>지성</t>
        </is>
      </c>
      <c r="P1211" s="4" t="n">
        <v>1</v>
      </c>
      <c r="Q1211" s="4" t="n">
        <v>631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692-1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13000</v>
      </c>
      <c r="G1212" s="4" t="n">
        <v>506</v>
      </c>
      <c r="H1212" s="4" t="n">
        <v>153</v>
      </c>
      <c r="I1212" s="5" t="n">
        <v>85</v>
      </c>
      <c r="J1212" s="5" t="n">
        <v>32.1</v>
      </c>
      <c r="K1212" s="3" t="inlineStr">
        <is>
          <t>급매, 협의,절충, 도로접, 성장관리계획구역 지목이전으로 입지,인프라 굿</t>
        </is>
      </c>
      <c r="L1212" s="6">
        <f>HYPERLINK("https://fin.land.naver.com/articles/2649747414", "매물Link")</f>
        <v/>
      </c>
      <c r="M1212" s="6">
        <f>HYPERLINK("https://map.naver.com/p/search/연서면 기룡리 692-1", "지도Link")</f>
        <v/>
      </c>
      <c r="N1212" s="6">
        <f>HYPERLINK("http://www.eum.go.kr/web/ar/lu/luLandDet.jsp?pnu=3611036028106920001&amp;isNoScr=script&amp;mode=search", "토지이음")</f>
        <v/>
      </c>
      <c r="O1212" s="3" t="inlineStr">
        <is>
          <t>세종한울</t>
        </is>
      </c>
      <c r="P1212" s="4" t="n">
        <v>1</v>
      </c>
      <c r="Q1212" s="4" t="n">
        <v>506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693-5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30000</v>
      </c>
      <c r="G1213" s="4" t="n">
        <v>1253</v>
      </c>
      <c r="H1213" s="4" t="n">
        <v>379</v>
      </c>
      <c r="I1213" s="5" t="n">
        <v>79.2</v>
      </c>
      <c r="J1213" s="5" t="n">
        <v>15.6</v>
      </c>
      <c r="K1213" s="3" t="inlineStr">
        <is>
          <t>급매, 협의,절충, 도로접, 전, 농림지역으로 입지, 인프라 굿</t>
        </is>
      </c>
      <c r="L1213" s="6">
        <f>HYPERLINK("https://fin.land.naver.com/articles/2649748210", "매물Link")</f>
        <v/>
      </c>
      <c r="M1213" s="6">
        <f>HYPERLINK("https://map.naver.com/p/search/연서면 기룡리 693-5", "지도Link")</f>
        <v/>
      </c>
      <c r="N1213" s="6">
        <f>HYPERLINK("http://www.eum.go.kr/web/ar/lu/luLandDet.jsp?pnu=3611036028106930005&amp;isNoScr=script&amp;mode=search", "토지이음")</f>
        <v/>
      </c>
      <c r="O1213" s="3" t="inlineStr">
        <is>
          <t>세종한울</t>
        </is>
      </c>
      <c r="P1213" s="4" t="n">
        <v>1</v>
      </c>
      <c r="Q1213" s="4" t="n">
        <v>1253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기룡리 91-2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62000</v>
      </c>
      <c r="G1214" s="4" t="n">
        <v>2621</v>
      </c>
      <c r="H1214" s="4" t="n">
        <v>793</v>
      </c>
      <c r="I1214" s="5" t="n">
        <v>78.2</v>
      </c>
      <c r="J1214" s="5" t="n">
        <v>32.1</v>
      </c>
      <c r="K1214" s="3" t="inlineStr">
        <is>
          <t>3.3m2당 82만원입니다.</t>
        </is>
      </c>
      <c r="L1214" s="6">
        <f>HYPERLINK("https://fin.land.naver.com/articles/2648760077", "매물Link")</f>
        <v/>
      </c>
      <c r="M1214" s="6">
        <f>HYPERLINK("https://map.naver.com/p/search/연서면 기룡리 91-2", "지도Link")</f>
        <v/>
      </c>
      <c r="N1214" s="6">
        <f>HYPERLINK("http://www.eum.go.kr/web/ar/lu/luLandDet.jsp?pnu=3611036028100910002&amp;isNoScr=script&amp;mode=search", "토지이음")</f>
        <v/>
      </c>
      <c r="O1214" s="3" t="inlineStr">
        <is>
          <t>하늘</t>
        </is>
      </c>
      <c r="P1214" s="4" t="n">
        <v>1</v>
      </c>
      <c r="Q1214" s="4" t="n">
        <v>2621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기룡리 산26</t>
        </is>
      </c>
      <c r="B1215" s="3" t="inlineStr">
        <is>
          <t>농림지역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1800</v>
      </c>
      <c r="G1215" s="4" t="n">
        <v>330</v>
      </c>
      <c r="H1215" s="4" t="n">
        <v>100</v>
      </c>
      <c r="I1215" s="5" t="n">
        <v>18</v>
      </c>
      <c r="J1215" s="5" t="n">
        <v>1.7</v>
      </c>
      <c r="K1215" s="3" t="inlineStr">
        <is>
          <t>세종인접. 지분등기된 소액투자용 토지.보전관리 임야</t>
        </is>
      </c>
      <c r="L1215" s="6">
        <f>HYPERLINK("https://fin.land.naver.com/articles/2651284977", "매물Link")</f>
        <v/>
      </c>
      <c r="M1215" s="6">
        <f>HYPERLINK("https://map.naver.com/p/search/연서면 기룡리 산26", "지도Link")</f>
        <v/>
      </c>
      <c r="N1215" s="6">
        <f>HYPERLINK("http://www.eum.go.kr/web/ar/lu/luLandDet.jsp?pnu=3611036028200260000&amp;isNoScr=script&amp;mode=search", "토지이음")</f>
        <v/>
      </c>
      <c r="O1215" s="3" t="inlineStr">
        <is>
          <t>테크노114</t>
        </is>
      </c>
      <c r="P1215" s="4" t="n">
        <v>1</v>
      </c>
      <c r="Q1215" s="4" t="n">
        <v>41653</v>
      </c>
      <c r="R1215" s="3" t="inlineStr">
        <is>
          <t>보전관리지역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봉암리 102-8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70116</v>
      </c>
      <c r="G1216" s="4" t="n">
        <v>1783</v>
      </c>
      <c r="H1216" s="4" t="n">
        <v>539</v>
      </c>
      <c r="I1216" s="5" t="n">
        <v>130.1</v>
      </c>
      <c r="J1216" s="5" t="n">
        <v>30.9</v>
      </c>
      <c r="K1216" s="3" t="inlineStr">
        <is>
          <t>농업용창고부지,농수산공장용지 추천</t>
        </is>
      </c>
      <c r="L1216" s="6">
        <f>HYPERLINK("https://fin.land.naver.com/articles/2650866717", "매물Link")</f>
        <v/>
      </c>
      <c r="M1216" s="6">
        <f>HYPERLINK("https://map.naver.com/p/search/연서면 봉암리 102-8", "지도Link")</f>
        <v/>
      </c>
      <c r="N1216" s="6">
        <f>HYPERLINK("http://www.eum.go.kr/web/ar/lu/luLandDet.jsp?pnu=3611036033101020008&amp;isNoScr=script&amp;mode=search", "토지이음")</f>
        <v/>
      </c>
      <c r="O1216" s="3" t="inlineStr">
        <is>
          <t>서생과상인</t>
        </is>
      </c>
      <c r="P1216" s="4" t="n">
        <v>2</v>
      </c>
      <c r="Q1216" s="4" t="n">
        <v>1783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봉암리 1082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36500</v>
      </c>
      <c r="G1217" s="4" t="n">
        <v>916</v>
      </c>
      <c r="H1217" s="4" t="n">
        <v>277</v>
      </c>
      <c r="I1217" s="5" t="n">
        <v>131.8</v>
      </c>
      <c r="J1217" s="5" t="n">
        <v>23.9</v>
      </c>
      <c r="K1217" s="3" t="inlineStr">
        <is>
          <t>추천. 세종 스마트국가산업단지 인근 농지</t>
        </is>
      </c>
      <c r="L1217" s="6">
        <f>HYPERLINK("https://fin.land.naver.com/articles/2651966245", "매물Link")</f>
        <v/>
      </c>
      <c r="M1217" s="6">
        <f>HYPERLINK("https://map.naver.com/p/search/연서면 봉암리 1082", "지도Link")</f>
        <v/>
      </c>
      <c r="N1217" s="6">
        <f>HYPERLINK("http://www.eum.go.kr/web/ar/lu/luLandDet.jsp?pnu=3611036033110820000&amp;isNoScr=script&amp;mode=search",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916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214-13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38000</v>
      </c>
      <c r="G1218" s="4" t="n">
        <v>125</v>
      </c>
      <c r="H1218" s="4" t="n">
        <v>38</v>
      </c>
      <c r="I1218" s="5" t="n">
        <v>1000</v>
      </c>
      <c r="J1218" s="5" t="n">
        <v>341.8</v>
      </c>
      <c r="K1218" s="3" t="inlineStr">
        <is>
          <t>봉암리 상가 밀집지역 핵심   대지 매매</t>
        </is>
      </c>
      <c r="L1218" s="6">
        <f>HYPERLINK("https://fin.land.naver.com/articles/2652364695", "매물Link")</f>
        <v/>
      </c>
      <c r="M1218" s="6">
        <f>HYPERLINK("https://map.naver.com/p/search/연서면 봉암리 214-13", "지도Link")</f>
        <v/>
      </c>
      <c r="N1218" s="6">
        <f>HYPERLINK("http://www.eum.go.kr/web/ar/lu/luLandDet.jsp?pnu=3611036033102140013&amp;isNoScr=script&amp;mode=search", "토지이음")</f>
        <v/>
      </c>
      <c r="O1218" s="3" t="inlineStr">
        <is>
          <t>해들삼성</t>
        </is>
      </c>
      <c r="P1218" s="4" t="n">
        <v>2</v>
      </c>
      <c r="Q1218" s="4" t="n">
        <v>125</v>
      </c>
      <c r="R1218" s="3" t="inlineStr">
        <is>
          <t>지정되지않음</t>
        </is>
      </c>
      <c r="S1218" s="3" t="inlineStr">
        <is>
          <t>상업용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연서면 봉암리 230-60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120000</v>
      </c>
      <c r="G1219" s="4" t="n">
        <v>796</v>
      </c>
      <c r="H1219" s="4" t="n">
        <v>241</v>
      </c>
      <c r="I1219" s="5" t="n">
        <v>497.9</v>
      </c>
      <c r="J1219" s="5" t="n">
        <v>88.8</v>
      </c>
      <c r="K1219" s="3" t="inlineStr">
        <is>
          <t>8차선 BRT 도로 근접, 와촌리 국가산단 근교, 세종시의 가장 중심지.</t>
        </is>
      </c>
      <c r="L1219" s="6">
        <f>HYPERLINK("https://fin.land.naver.com/articles/2647588359", "매물Link")</f>
        <v/>
      </c>
      <c r="M1219" s="6">
        <f>HYPERLINK("https://map.naver.com/p/search/연서면 봉암리 230-60", "지도Link")</f>
        <v/>
      </c>
      <c r="N1219" s="6">
        <f>HYPERLINK("http://www.eum.go.kr/web/ar/lu/luLandDet.jsp?pnu=3611036033102300060&amp;isNoScr=script&amp;mode=search",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661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봉암리 232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661</v>
      </c>
      <c r="H1220" s="4" t="n">
        <v>200</v>
      </c>
      <c r="I1220" s="5" t="n">
        <v>1100</v>
      </c>
      <c r="J1220" s="5" t="n">
        <v>228.2</v>
      </c>
      <c r="K1220" s="3" t="inlineStr">
        <is>
          <t>급매</t>
        </is>
      </c>
      <c r="L1220" s="6">
        <f>HYPERLINK("https://fin.land.naver.com/articles/2648100817", "매물Link")</f>
        <v/>
      </c>
      <c r="M1220" s="6">
        <f>HYPERLINK("https://map.naver.com/p/search/연서면 봉암리 232", "지도Link")</f>
        <v/>
      </c>
      <c r="N1220" s="6">
        <f>HYPERLINK("http://www.eum.go.kr/web/ar/lu/luLandDet.jsp?pnu=3611036033102320000&amp;isNoScr=script&amp;mode=search", "토지이음")</f>
        <v/>
      </c>
      <c r="O1220" s="3" t="inlineStr">
        <is>
          <t>세종공주제일</t>
        </is>
      </c>
      <c r="P1220" s="4" t="n">
        <v>1</v>
      </c>
      <c r="Q1220" s="4" t="n">
        <v>369</v>
      </c>
      <c r="R1220" s="3" t="inlineStr">
        <is>
          <t>지정되지않음</t>
        </is>
      </c>
      <c r="S1220" s="3" t="inlineStr">
        <is>
          <t>업무용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중로한면</t>
        </is>
      </c>
    </row>
    <row r="1221">
      <c r="A1221" s="3" t="inlineStr">
        <is>
          <t>연서면 봉암리 234-43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210000</v>
      </c>
      <c r="G1221" s="4" t="n">
        <v>671</v>
      </c>
      <c r="H1221" s="4" t="n">
        <v>203</v>
      </c>
      <c r="I1221" s="5" t="n">
        <v>1034.5</v>
      </c>
      <c r="J1221" s="5" t="n">
        <v>145.8</v>
      </c>
      <c r="K1221" s="3" t="inlineStr">
        <is>
          <t>광고효과최상, 투자효가높은지역 추천</t>
        </is>
      </c>
      <c r="L1221" s="6">
        <f>HYPERLINK("https://fin.land.naver.com/articles/2652647634", "매물Link")</f>
        <v/>
      </c>
      <c r="M1221" s="6">
        <f>HYPERLINK("https://map.naver.com/p/search/연서면 봉암리 234-43", "지도Link")</f>
        <v/>
      </c>
      <c r="N1221" s="6">
        <f>HYPERLINK("http://www.eum.go.kr/web/ar/lu/luLandDet.jsp?pnu=3611036033102340043&amp;isNoScr=script&amp;mode=search",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186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245-5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32000</v>
      </c>
      <c r="G1222" s="4" t="n">
        <v>305</v>
      </c>
      <c r="H1222" s="4" t="n">
        <v>92</v>
      </c>
      <c r="I1222" s="5" t="n">
        <v>347.8</v>
      </c>
      <c r="J1222" s="5" t="n">
        <v>125.7</v>
      </c>
      <c r="K1222" s="3" t="inlineStr">
        <is>
          <t>현재 주거나지 상태이며 주택부지로 적합</t>
        </is>
      </c>
      <c r="L1222" s="6">
        <f>HYPERLINK("https://fin.land.naver.com/articles/2651207456", "매물Link")</f>
        <v/>
      </c>
      <c r="M1222" s="6">
        <f>HYPERLINK("https://map.naver.com/p/search/연서면 봉암리 245-5", "지도Link")</f>
        <v/>
      </c>
      <c r="N1222" s="6">
        <f>HYPERLINK("http://www.eum.go.kr/web/ar/lu/luLandDet.jsp?pnu=3611036033102450005&amp;isNoScr=script&amp;mode=search", "토지이음")</f>
        <v/>
      </c>
      <c r="O1222" s="3" t="inlineStr">
        <is>
          <t>엘지에스케이</t>
        </is>
      </c>
      <c r="P1222" s="4" t="n">
        <v>1</v>
      </c>
      <c r="Q1222" s="4" t="n">
        <v>305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자루형</t>
        </is>
      </c>
      <c r="V1222" s="3" t="inlineStr">
        <is>
          <t>세로한면(가)</t>
        </is>
      </c>
    </row>
    <row r="1223">
      <c r="A1223" s="3" t="inlineStr">
        <is>
          <t>연서면 봉암리 348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168000</v>
      </c>
      <c r="G1223" s="4" t="n">
        <v>4830</v>
      </c>
      <c r="H1223" s="4" t="n">
        <v>1461</v>
      </c>
      <c r="I1223" s="5" t="n">
        <v>115</v>
      </c>
      <c r="J1223" s="5" t="n">
        <v>29.8</v>
      </c>
      <c r="K1223" s="3" t="inlineStr">
        <is>
          <t>추천. 세종국가산단 인근 토지</t>
        </is>
      </c>
      <c r="L1223" s="6">
        <f>HYPERLINK("https://fin.land.naver.com/articles/2651912464", "매물Link")</f>
        <v/>
      </c>
      <c r="M1223" s="6">
        <f>HYPERLINK("https://map.naver.com/p/search/연서면 봉암리 348", "지도Link")</f>
        <v/>
      </c>
      <c r="N1223" s="6">
        <f>HYPERLINK("http://www.eum.go.kr/web/ar/lu/luLandDet.jsp?pnu=3611036033103480000&amp;isNoScr=script&amp;mode=search",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4830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연서면 봉암리 427-12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78000</v>
      </c>
      <c r="G1224" s="4" t="n">
        <v>569</v>
      </c>
      <c r="H1224" s="4" t="n">
        <v>172</v>
      </c>
      <c r="I1224" s="5" t="n">
        <v>453.5</v>
      </c>
      <c r="J1224" s="5" t="n">
        <v>134</v>
      </c>
      <c r="K1224" s="3" t="inlineStr">
        <is>
          <t>계획관리지역 ,주택있는 대지</t>
        </is>
      </c>
      <c r="L1224" s="6">
        <f>HYPERLINK("https://fin.land.naver.com/articles/2648106375", "매물Link")</f>
        <v/>
      </c>
      <c r="M1224" s="6">
        <f>HYPERLINK("https://map.naver.com/p/search/연서면 봉암리 427-12", "지도Link")</f>
        <v/>
      </c>
      <c r="N1224" s="6">
        <f>HYPERLINK("http://www.eum.go.kr/web/ar/lu/luLandDet.jsp?pnu=3611036033104270012&amp;isNoScr=script&amp;mode=search", "토지이음")</f>
        <v/>
      </c>
      <c r="O1224" s="3" t="inlineStr">
        <is>
          <t>마메종</t>
        </is>
      </c>
      <c r="P1224" s="4" t="n">
        <v>1</v>
      </c>
      <c r="Q1224" s="4" t="n">
        <v>569.8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봉암리 448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13200</v>
      </c>
      <c r="G1225" s="4" t="n">
        <v>132</v>
      </c>
      <c r="H1225" s="4" t="n">
        <v>40</v>
      </c>
      <c r="I1225" s="5" t="n">
        <v>330</v>
      </c>
      <c r="J1225" s="5" t="n">
        <v>122.3</v>
      </c>
      <c r="K1225" s="3" t="inlineStr">
        <is>
          <t>계획관리 2차선도로 인근 작은 텃밭 토지</t>
        </is>
      </c>
      <c r="L1225" s="6">
        <f>HYPERLINK("https://fin.land.naver.com/articles/2649966247", "매물Link")</f>
        <v/>
      </c>
      <c r="M1225" s="6">
        <f>HYPERLINK("https://map.naver.com/p/search/연서면 봉암리 448", "지도Link")</f>
        <v/>
      </c>
      <c r="N1225" s="6">
        <f>HYPERLINK("http://www.eum.go.kr/web/ar/lu/luLandDet.jsp?pnu=3611036033104480000&amp;isNoScr=script&amp;mode=search", "토지이음")</f>
        <v/>
      </c>
      <c r="O1225" s="3" t="inlineStr">
        <is>
          <t>지성</t>
        </is>
      </c>
      <c r="P1225" s="4" t="n">
        <v>1</v>
      </c>
      <c r="Q1225" s="4" t="n">
        <v>132.5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봉암리 45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670000</v>
      </c>
      <c r="G1226" s="4" t="n">
        <v>8848</v>
      </c>
      <c r="H1226" s="4" t="n">
        <v>2677</v>
      </c>
      <c r="I1226" s="5" t="n">
        <v>250.3</v>
      </c>
      <c r="J1226" s="5" t="n">
        <v>22.7</v>
      </c>
      <c r="K1226" s="3" t="inlineStr">
        <is>
          <t>1번국도 바로옆 임야  고도제한없어요,</t>
        </is>
      </c>
      <c r="L1226" s="6">
        <f>HYPERLINK("https://fin.land.naver.com/articles/2652751685", "매물Link")</f>
        <v/>
      </c>
      <c r="M1226" s="6">
        <f>HYPERLINK("https://map.naver.com/p/search/연서면 봉암리 45", "지도Link")</f>
        <v/>
      </c>
      <c r="N1226" s="6">
        <f>HYPERLINK("http://www.eum.go.kr/web/ar/lu/luLandDet.jsp?pnu=3611036033100450000&amp;isNoScr=script&amp;mode=search", "토지이음")</f>
        <v/>
      </c>
      <c r="O1226" s="3" t="inlineStr">
        <is>
          <t>담뜰</t>
        </is>
      </c>
      <c r="P1226" s="4" t="n">
        <v>1</v>
      </c>
      <c r="Q1226" s="4" t="n">
        <v>8848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중로한면</t>
        </is>
      </c>
    </row>
    <row r="1227">
      <c r="A1227" s="3" t="inlineStr">
        <is>
          <t>연서면 봉암리 532-2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197000</v>
      </c>
      <c r="G1227" s="4" t="n">
        <v>1183</v>
      </c>
      <c r="H1227" s="4" t="n">
        <v>358</v>
      </c>
      <c r="I1227" s="5" t="n">
        <v>550.3</v>
      </c>
      <c r="J1227" s="5" t="n">
        <v>99.8</v>
      </c>
      <c r="K1227" s="3" t="inlineStr">
        <is>
          <t>연기사거리 인근 건축 가능한 계획관리지역 투자목적 토지 급매매</t>
        </is>
      </c>
      <c r="L1227" s="6">
        <f>HYPERLINK("https://fin.land.naver.com/articles/2650452623", "매물Link")</f>
        <v/>
      </c>
      <c r="M1227" s="6">
        <f>HYPERLINK("https://map.naver.com/p/search/연서면 봉암리 532-2", "지도Link")</f>
        <v/>
      </c>
      <c r="N1227" s="6">
        <f>HYPERLINK("http://www.eum.go.kr/web/ar/lu/luLandDet.jsp?pnu=3611036033105320002&amp;isNoScr=script&amp;mode=search", "토지이음")</f>
        <v/>
      </c>
      <c r="O1227" s="3" t="inlineStr">
        <is>
          <t>(주)해뜰터</t>
        </is>
      </c>
      <c r="P1227" s="4" t="n">
        <v>1</v>
      </c>
      <c r="Q1227" s="4" t="n">
        <v>1183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세로한면(불)</t>
        </is>
      </c>
    </row>
    <row r="1228">
      <c r="A1228" s="3" t="inlineStr">
        <is>
          <t>연서면 봉암리 579-1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48000</v>
      </c>
      <c r="G1228" s="4" t="n">
        <v>387</v>
      </c>
      <c r="H1228" s="4" t="n">
        <v>117</v>
      </c>
      <c r="I1228" s="5" t="n">
        <v>410.3</v>
      </c>
      <c r="J1228" s="5" t="n">
        <v>107.9</v>
      </c>
      <c r="K1228" s="3" t="inlineStr">
        <is>
          <t>행복도시 인근 나대지 이며 시세대비 저렴한매물</t>
        </is>
      </c>
      <c r="L1228" s="6">
        <f>HYPERLINK("https://fin.land.naver.com/articles/2647763887", "매물Link")</f>
        <v/>
      </c>
      <c r="M1228" s="6">
        <f>HYPERLINK("https://map.naver.com/p/search/연서면 봉암리 579-1", "지도Link")</f>
        <v/>
      </c>
      <c r="N1228" s="6">
        <f>HYPERLINK("http://www.eum.go.kr/web/ar/lu/luLandDet.jsp?pnu=3611036033105790001&amp;isNoScr=script&amp;mode=search", "토지이음")</f>
        <v/>
      </c>
      <c r="O1228" s="3" t="inlineStr">
        <is>
          <t>지호주식회사</t>
        </is>
      </c>
      <c r="P1228" s="4" t="n">
        <v>1</v>
      </c>
      <c r="Q1228" s="4" t="n">
        <v>387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604-3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84000</v>
      </c>
      <c r="G1229" s="4" t="n">
        <v>1061</v>
      </c>
      <c r="H1229" s="4" t="n">
        <v>321</v>
      </c>
      <c r="I1229" s="5" t="n">
        <v>261.7</v>
      </c>
      <c r="J1229" s="5" t="n">
        <v>149.2</v>
      </c>
      <c r="K1229" s="3" t="inlineStr">
        <is>
          <t>주거개발진흥지구, 성장관리계획구역,자연취락지구 정방형 급매</t>
        </is>
      </c>
      <c r="L1229" s="6">
        <f>HYPERLINK("https://fin.land.naver.com/articles/2652376241", "매물Link")</f>
        <v/>
      </c>
      <c r="M1229" s="6">
        <f>HYPERLINK("https://map.naver.com/p/search/연서면 봉암리 604-3", "지도Link")</f>
        <v/>
      </c>
      <c r="N1229" s="6">
        <f>HYPERLINK("http://www.eum.go.kr/web/ar/lu/luLandDet.jsp?pnu=3611036033106040003&amp;isNoScr=script&amp;mode=search", "토지이음")</f>
        <v/>
      </c>
      <c r="O1229" s="3" t="inlineStr">
        <is>
          <t>도안재벌</t>
        </is>
      </c>
      <c r="P1229" s="4" t="n">
        <v>1</v>
      </c>
      <c r="Q1229" s="4" t="n">
        <v>1061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세로한면(가)</t>
        </is>
      </c>
    </row>
    <row r="1230">
      <c r="A1230" s="3" t="inlineStr">
        <is>
          <t>연서면 봉암리 620-22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524</v>
      </c>
      <c r="H1230" s="4" t="n">
        <v>159</v>
      </c>
      <c r="I1230" s="5" t="n">
        <v>503.1</v>
      </c>
      <c r="J1230" s="5" t="n">
        <v>112.7</v>
      </c>
      <c r="K1230" s="3" t="inlineStr">
        <is>
          <t>8차선으로 확장된 BRT 도로와 2차선변.와촌리국가 산단 중심 근교임.</t>
        </is>
      </c>
      <c r="L1230" s="6">
        <f>HYPERLINK("https://fin.land.naver.com/articles/2647892832", "매물Link")</f>
        <v/>
      </c>
      <c r="M1230" s="6">
        <f>HYPERLINK("https://map.naver.com/p/search/연서면 봉암리 620-22", "지도Link")</f>
        <v/>
      </c>
      <c r="N1230" s="6">
        <f>HYPERLINK("http://www.eum.go.kr/web/ar/lu/luLandDet.jsp?pnu=3611036033106200022&amp;isNoScr=script&amp;mode=search", "토지이음")</f>
        <v/>
      </c>
      <c r="O1230" s="3" t="inlineStr">
        <is>
          <t>꿈드림</t>
        </is>
      </c>
      <c r="P1230" s="4" t="n">
        <v>1</v>
      </c>
      <c r="Q1230" s="4" t="n">
        <v>428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봉암리 657-13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80000</v>
      </c>
      <c r="G1231" s="4" t="n">
        <v>1322</v>
      </c>
      <c r="H1231" s="4" t="n">
        <v>400</v>
      </c>
      <c r="I1231" s="5" t="n">
        <v>200</v>
      </c>
      <c r="J1231" s="5" t="n">
        <v>38</v>
      </c>
      <c r="K1231" s="3" t="inlineStr">
        <is>
          <t>봉암리 세종스마트산단 초입 2차선인접  위치 좋습니다</t>
        </is>
      </c>
      <c r="L1231" s="6">
        <f>HYPERLINK("https://fin.land.naver.com/articles/2648077629", "매물Link")</f>
        <v/>
      </c>
      <c r="M1231" s="6">
        <f>HYPERLINK("https://map.naver.com/p/search/연서면 봉암리 657-13", "지도Link")</f>
        <v/>
      </c>
      <c r="N1231" s="6">
        <f>HYPERLINK("http://www.eum.go.kr/web/ar/lu/luLandDet.jsp?pnu=3611036033106570013&amp;isNoScr=script&amp;mode=search", "토지이음")</f>
        <v/>
      </c>
      <c r="O1231" s="3" t="inlineStr">
        <is>
          <t>OK수</t>
        </is>
      </c>
      <c r="P1231" s="4" t="n">
        <v>1</v>
      </c>
      <c r="Q1231" s="4" t="n">
        <v>1322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봉암리 676-10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50000</v>
      </c>
      <c r="G1232" s="4" t="n">
        <v>330</v>
      </c>
      <c r="H1232" s="4" t="n">
        <v>100</v>
      </c>
      <c r="I1232" s="5" t="n">
        <v>500</v>
      </c>
      <c r="J1232" s="5" t="n">
        <v>75</v>
      </c>
      <c r="K1232" s="3" t="inlineStr">
        <is>
          <t>세종스마트국가산업단지 근접, 작은 근생용지나창고부지로 적합</t>
        </is>
      </c>
      <c r="L1232" s="6">
        <f>HYPERLINK("https://fin.land.naver.com/articles/2652823552", "매물Link")</f>
        <v/>
      </c>
      <c r="M1232" s="6">
        <f>HYPERLINK("https://map.naver.com/p/search/연서면 봉암리 676-10", "지도Link")</f>
        <v/>
      </c>
      <c r="N1232" s="6">
        <f>HYPERLINK("http://www.eum.go.kr/web/ar/lu/luLandDet.jsp?pnu=3611036033106760010&amp;isNoScr=script&amp;mode=search", "토지이음")</f>
        <v/>
      </c>
      <c r="O1232" s="3" t="inlineStr">
        <is>
          <t>담뜰</t>
        </is>
      </c>
      <c r="P1232" s="4" t="n">
        <v>1</v>
      </c>
      <c r="Q1232" s="4" t="n">
        <v>331</v>
      </c>
      <c r="R1232" s="3" t="inlineStr">
        <is>
          <t>지정되지않음</t>
        </is>
      </c>
      <c r="S1232" s="3" t="inlineStr">
        <is>
          <t>전창고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봉암리 677-2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400000</v>
      </c>
      <c r="G1233" s="4" t="n">
        <v>2202</v>
      </c>
      <c r="H1233" s="4" t="n">
        <v>666</v>
      </c>
      <c r="I1233" s="5" t="n">
        <v>600.6</v>
      </c>
      <c r="J1233" s="5" t="n">
        <v>116.6</v>
      </c>
      <c r="K1233" s="3" t="inlineStr">
        <is>
          <t>세종스마트국가산업단지 근접 도로접근 용이</t>
        </is>
      </c>
      <c r="L1233" s="6">
        <f>HYPERLINK("https://fin.land.naver.com/articles/2652558544", "매물Link")</f>
        <v/>
      </c>
      <c r="M1233" s="6">
        <f>HYPERLINK("https://map.naver.com/p/search/연서면 봉암리 677-2", "지도Link")</f>
        <v/>
      </c>
      <c r="N1233" s="6">
        <f>HYPERLINK("http://www.eum.go.kr/web/ar/lu/luLandDet.jsp?pnu=3611036033106770002&amp;isNoScr=script&amp;mode=search", "토지이음")</f>
        <v/>
      </c>
      <c r="O1233" s="3" t="inlineStr">
        <is>
          <t>오송파라곤리치</t>
        </is>
      </c>
      <c r="P1233" s="4" t="n">
        <v>1</v>
      </c>
      <c r="Q1233" s="4" t="n">
        <v>655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705-2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680000</v>
      </c>
      <c r="G1234" s="4" t="n">
        <v>4515</v>
      </c>
      <c r="H1234" s="4" t="n">
        <v>1366</v>
      </c>
      <c r="I1234" s="5" t="n">
        <v>497.8</v>
      </c>
      <c r="J1234" s="5" t="n">
        <v>101.8</v>
      </c>
      <c r="K1234" s="3" t="inlineStr">
        <is>
          <t>세종시  제일 핫한 명당지역 시세보다 저렴</t>
        </is>
      </c>
      <c r="L1234" s="6">
        <f>HYPERLINK("https://fin.land.naver.com/articles/2648233463", "매물Link")</f>
        <v/>
      </c>
      <c r="M1234" s="6">
        <f>HYPERLINK("https://map.naver.com/p/search/연서면 봉암리 705-2", "지도Link")</f>
        <v/>
      </c>
      <c r="N1234" s="6">
        <f>HYPERLINK("http://www.eum.go.kr/web/ar/lu/luLandDet.jsp?pnu=3611036033107050002&amp;isNoScr=script&amp;mode=search", "토지이음")</f>
        <v/>
      </c>
      <c r="O1234" s="3" t="inlineStr">
        <is>
          <t>엔터수진</t>
        </is>
      </c>
      <c r="P1234" s="4" t="n">
        <v>1</v>
      </c>
      <c r="Q1234" s="4" t="n">
        <v>665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세로한면(불)</t>
        </is>
      </c>
    </row>
    <row r="1235">
      <c r="A1235" s="3" t="inlineStr">
        <is>
          <t>연서면 봉암리 828</t>
        </is>
      </c>
      <c r="B1235" s="3" t="inlineStr">
        <is>
          <t>농림지역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74000</v>
      </c>
      <c r="G1235" s="4" t="n">
        <v>2023</v>
      </c>
      <c r="H1235" s="4" t="n">
        <v>612</v>
      </c>
      <c r="I1235" s="5" t="n">
        <v>120.9</v>
      </c>
      <c r="J1235" s="5" t="n">
        <v>28.7</v>
      </c>
      <c r="K1235" s="3" t="inlineStr">
        <is>
          <t>추천. 세종국가산단 인근 하우스</t>
        </is>
      </c>
      <c r="L1235" s="6">
        <f>HYPERLINK("https://fin.land.naver.com/articles/2651993764", "매물Link")</f>
        <v/>
      </c>
      <c r="M1235" s="6">
        <f>HYPERLINK("https://map.naver.com/p/search/연서면 봉암리 828", "지도Link")</f>
        <v/>
      </c>
      <c r="N1235" s="6">
        <f>HYPERLINK("http://www.eum.go.kr/web/ar/lu/luLandDet.jsp?pnu=3611036033108280000&amp;isNoScr=script&amp;mode=search", "토지이음")</f>
        <v/>
      </c>
      <c r="O1235" s="3" t="inlineStr">
        <is>
          <t>강아지풀</t>
        </is>
      </c>
      <c r="P1235" s="4" t="n">
        <v>2</v>
      </c>
      <c r="Q1235" s="4" t="n">
        <v>2023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853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110000</v>
      </c>
      <c r="G1236" s="4" t="n">
        <v>2221</v>
      </c>
      <c r="H1236" s="4" t="n">
        <v>672</v>
      </c>
      <c r="I1236" s="5" t="n">
        <v>163.7</v>
      </c>
      <c r="J1236" s="5" t="n">
        <v>28.7</v>
      </c>
      <c r="K1236" s="3" t="inlineStr">
        <is>
          <t>3m 도로 코너 자리, 주거지에서 직선거리 210m</t>
        </is>
      </c>
      <c r="L1236" s="6">
        <f>HYPERLINK("https://fin.land.naver.com/articles/2652066939", "매물Link")</f>
        <v/>
      </c>
      <c r="M1236" s="6">
        <f>HYPERLINK("https://map.naver.com/p/search/연서면 봉암리 853", "지도Link")</f>
        <v/>
      </c>
      <c r="N1236" s="6">
        <f>HYPERLINK("http://www.eum.go.kr/web/ar/lu/luLandDet.jsp?pnu=3611036033108530000&amp;isNoScr=script&amp;mode=search", "토지이음")</f>
        <v/>
      </c>
      <c r="O1236" s="3" t="inlineStr">
        <is>
          <t>신와촌</t>
        </is>
      </c>
      <c r="P1236" s="4" t="n">
        <v>1</v>
      </c>
      <c r="Q1236" s="4" t="n">
        <v>2221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947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36400</v>
      </c>
      <c r="G1237" s="4" t="n">
        <v>1094</v>
      </c>
      <c r="H1237" s="4" t="n">
        <v>331</v>
      </c>
      <c r="I1237" s="5" t="n">
        <v>110</v>
      </c>
      <c r="J1237" s="5" t="n">
        <v>27.6</v>
      </c>
      <c r="K1237" s="3" t="inlineStr">
        <is>
          <t>추천. 산단인근 소액토지추천</t>
        </is>
      </c>
      <c r="L1237" s="6">
        <f>HYPERLINK("https://fin.land.naver.com/articles/2651911313", "매물Link")</f>
        <v/>
      </c>
      <c r="M1237" s="6">
        <f>HYPERLINK("https://map.naver.com/p/search/연서면 봉암리 947", "지도Link")</f>
        <v/>
      </c>
      <c r="N1237" s="6">
        <f>HYPERLINK("http://www.eum.go.kr/web/ar/lu/luLandDet.jsp?pnu=3611036033109470000&amp;isNoScr=script&amp;mode=search",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1094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봉암리 996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97200</v>
      </c>
      <c r="G1238" s="4" t="n">
        <v>3214</v>
      </c>
      <c r="H1238" s="4" t="n">
        <v>972</v>
      </c>
      <c r="I1238" s="5" t="n">
        <v>100</v>
      </c>
      <c r="J1238" s="5" t="n">
        <v>25.6</v>
      </c>
      <c r="K1238" s="3" t="inlineStr">
        <is>
          <t>세종 연서면 투자용 토지</t>
        </is>
      </c>
      <c r="L1238" s="6">
        <f>HYPERLINK("https://fin.land.naver.com/articles/2651978211", "매물Link")</f>
        <v/>
      </c>
      <c r="M1238" s="6">
        <f>HYPERLINK("https://map.naver.com/p/search/연서면 봉암리 996", "지도Link")</f>
        <v/>
      </c>
      <c r="N1238" s="6">
        <f>HYPERLINK("http://www.eum.go.kr/web/ar/lu/luLandDet.jsp?pnu=3611036033109960000&amp;isNoScr=script&amp;mode=search", "토지이음")</f>
        <v/>
      </c>
      <c r="O1238" s="3" t="inlineStr">
        <is>
          <t>(주)경진컨설팅</t>
        </is>
      </c>
      <c r="P1238" s="4" t="n">
        <v>1</v>
      </c>
      <c r="Q1238" s="4" t="n">
        <v>3214.4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연서면 부동리 108-1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200000</v>
      </c>
      <c r="G1239" s="4" t="n">
        <v>3098</v>
      </c>
      <c r="H1239" s="4" t="n">
        <v>937</v>
      </c>
      <c r="I1239" s="5" t="n">
        <v>213.4</v>
      </c>
      <c r="J1239" s="5" t="n">
        <v>68.5</v>
      </c>
      <c r="K1239" s="3" t="inlineStr">
        <is>
          <t>국가산단에 근접한토지로 현재전이며 모양이 좋고 2면각지도로에 접함.</t>
        </is>
      </c>
      <c r="L1239" s="6">
        <f>HYPERLINK("https://fin.land.naver.com/articles/2650181594", "매물Link")</f>
        <v/>
      </c>
      <c r="M1239" s="6">
        <f>HYPERLINK("https://map.naver.com/p/search/연서면 부동리 108-1", "지도Link")</f>
        <v/>
      </c>
      <c r="N1239" s="6">
        <f>HYPERLINK("http://www.eum.go.kr/web/ar/lu/luLandDet.jsp?pnu=3611036032101080001&amp;isNoScr=script&amp;mode=search", "토지이음")</f>
        <v/>
      </c>
      <c r="O1239" s="3" t="inlineStr">
        <is>
          <t>세종리츠</t>
        </is>
      </c>
      <c r="P1239" s="4" t="n">
        <v>1</v>
      </c>
      <c r="Q1239" s="4" t="n">
        <v>2943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부동리 108-2</t>
        </is>
      </c>
      <c r="B1240" s="3" t="inlineStr">
        <is>
          <t>계획관리지역</t>
        </is>
      </c>
      <c r="C1240" s="3" t="inlineStr">
        <is>
          <t>도로</t>
        </is>
      </c>
      <c r="D1240" s="3" t="inlineStr">
        <is>
          <t>전</t>
        </is>
      </c>
      <c r="E1240" s="3" t="inlineStr">
        <is>
          <t>매매</t>
        </is>
      </c>
      <c r="F1240" s="4" t="n">
        <v>220000</v>
      </c>
      <c r="G1240" s="4" t="n">
        <v>2943</v>
      </c>
      <c r="H1240" s="4" t="n">
        <v>890</v>
      </c>
      <c r="I1240" s="5" t="n">
        <v>247.2</v>
      </c>
      <c r="J1240" s="5" t="n">
        <v>15.3</v>
      </c>
      <c r="K1240" s="3" t="inlineStr">
        <is>
          <t>세종스마트산단 초인접 계획관리</t>
        </is>
      </c>
      <c r="L1240" s="6">
        <f>HYPERLINK("https://fin.land.naver.com/articles/2651906558", "매물Link")</f>
        <v/>
      </c>
      <c r="M1240" s="6">
        <f>HYPERLINK("https://map.naver.com/p/search/연서면 부동리 108-2", "지도Link")</f>
        <v/>
      </c>
      <c r="N1240" s="6">
        <f>HYPERLINK("http://www.eum.go.kr/web/ar/lu/luLandDet.jsp?pnu=3611036032101080002&amp;isNoScr=script&amp;mode=search", "토지이음")</f>
        <v/>
      </c>
      <c r="O1240" s="3" t="inlineStr">
        <is>
          <t>강아지풀</t>
        </is>
      </c>
      <c r="P1240" s="4" t="n">
        <v>1</v>
      </c>
      <c r="Q1240" s="4" t="n">
        <v>155</v>
      </c>
      <c r="R1240" s="3" t="inlineStr">
        <is>
          <t>지정되지않음</t>
        </is>
      </c>
      <c r="S1240" s="3" t="inlineStr">
        <is>
          <t>도로등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지정되지않음</t>
        </is>
      </c>
    </row>
    <row r="1241">
      <c r="A1241" s="3" t="inlineStr">
        <is>
          <t>연서면 부동리 255-1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280000</v>
      </c>
      <c r="G1241" s="4" t="n">
        <v>2645</v>
      </c>
      <c r="H1241" s="4" t="n">
        <v>800</v>
      </c>
      <c r="I1241" s="5" t="n">
        <v>350</v>
      </c>
      <c r="J1241" s="5" t="n">
        <v>82.59999999999999</v>
      </c>
      <c r="K1241" s="3" t="inlineStr">
        <is>
          <t>도로접한 근생용지,세종국가산업단지와 조치원일반산업단지 근접</t>
        </is>
      </c>
      <c r="L1241" s="6">
        <f>HYPERLINK("https://fin.land.naver.com/articles/2650487993", "매물Link")</f>
        <v/>
      </c>
      <c r="M1241" s="6">
        <f>HYPERLINK("https://map.naver.com/p/search/연서면 부동리 255-1", "지도Link")</f>
        <v/>
      </c>
      <c r="N1241" s="6">
        <f>HYPERLINK("http://www.eum.go.kr/web/ar/lu/luLandDet.jsp?pnu=3611036032102550001&amp;isNoScr=script&amp;mode=search", "토지이음")</f>
        <v/>
      </c>
      <c r="O1241" s="3" t="inlineStr">
        <is>
          <t>세종나라</t>
        </is>
      </c>
      <c r="P1241" s="4" t="n">
        <v>1</v>
      </c>
      <c r="Q1241" s="4" t="n">
        <v>2448</v>
      </c>
      <c r="R1241" s="3" t="inlineStr">
        <is>
          <t>보전관리지역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소로각지</t>
        </is>
      </c>
    </row>
    <row r="1242">
      <c r="A1242" s="3" t="inlineStr">
        <is>
          <t>연서면 부동리 65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138000</v>
      </c>
      <c r="G1242" s="4" t="n">
        <v>1143</v>
      </c>
      <c r="H1242" s="4" t="n">
        <v>346</v>
      </c>
      <c r="I1242" s="5" t="n">
        <v>398.8</v>
      </c>
      <c r="J1242" s="5" t="n">
        <v>55.8</v>
      </c>
      <c r="K1242" s="3" t="inlineStr">
        <is>
          <t>조율가능 국가산단인근 귀한 계획관리 매물</t>
        </is>
      </c>
      <c r="L1242" s="6">
        <f>HYPERLINK("https://fin.land.naver.com/articles/2648979075", "매물Link")</f>
        <v/>
      </c>
      <c r="M1242" s="6">
        <f>HYPERLINK("https://map.naver.com/p/search/연서면 부동리 65", "지도Link")</f>
        <v/>
      </c>
      <c r="N1242" s="6">
        <f>HYPERLINK("http://www.eum.go.kr/web/ar/lu/luLandDet.jsp?pnu=3611036032100650000&amp;isNoScr=script&amp;mode=search",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1022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부동리 65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138000</v>
      </c>
      <c r="G1243" s="4" t="n">
        <v>1022</v>
      </c>
      <c r="H1243" s="4" t="n">
        <v>309</v>
      </c>
      <c r="I1243" s="5" t="n">
        <v>446.6</v>
      </c>
      <c r="J1243" s="5" t="n">
        <v>55.8</v>
      </c>
      <c r="K1243" s="3" t="inlineStr">
        <is>
          <t>계획관리 전</t>
        </is>
      </c>
      <c r="L1243" s="6">
        <f>HYPERLINK("https://fin.land.naver.com/articles/2649731129", "매물Link")</f>
        <v/>
      </c>
      <c r="M1243" s="6">
        <f>HYPERLINK("https://map.naver.com/p/search/연서면 부동리 65", "지도Link")</f>
        <v/>
      </c>
      <c r="N1243" s="6">
        <f>HYPERLINK("http://www.eum.go.kr/web/ar/lu/luLandDet.jsp?pnu=3611036032100650000&amp;isNoScr=script&amp;mode=search", "토지이음")</f>
        <v/>
      </c>
      <c r="O1243" s="3" t="inlineStr">
        <is>
          <t>세종몽땅</t>
        </is>
      </c>
      <c r="P1243" s="4" t="n">
        <v>1</v>
      </c>
      <c r="Q1243" s="4" t="n">
        <v>1022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부동리 80-2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39000</v>
      </c>
      <c r="G1244" s="4" t="n">
        <v>507</v>
      </c>
      <c r="H1244" s="4" t="n">
        <v>153</v>
      </c>
      <c r="I1244" s="5" t="n">
        <v>254.9</v>
      </c>
      <c r="J1244" s="5" t="n">
        <v>86.40000000000001</v>
      </c>
      <c r="K1244" s="3" t="inlineStr">
        <is>
          <t>국가산단인근,조치원산단인근,세종6생활권인근</t>
        </is>
      </c>
      <c r="L1244" s="6">
        <f>HYPERLINK("https://fin.land.naver.com/articles/2653051996", "매물Link")</f>
        <v/>
      </c>
      <c r="M1244" s="6">
        <f>HYPERLINK("https://map.naver.com/p/search/연서면 부동리 80-2", "지도Link")</f>
        <v/>
      </c>
      <c r="N1244" s="6">
        <f>HYPERLINK("http://www.eum.go.kr/web/ar/lu/luLandDet.jsp?pnu=3611036032100800002&amp;isNoScr=script&amp;mode=search", "토지이음")</f>
        <v/>
      </c>
      <c r="O1244" s="3" t="inlineStr">
        <is>
          <t>세종강남</t>
        </is>
      </c>
      <c r="P1244" s="4" t="n">
        <v>1</v>
      </c>
      <c r="Q1244" s="4" t="n">
        <v>507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성제리 100-1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76500</v>
      </c>
      <c r="G1245" s="4" t="n">
        <v>2970</v>
      </c>
      <c r="H1245" s="4" t="n">
        <v>898</v>
      </c>
      <c r="I1245" s="5" t="n">
        <v>85.2</v>
      </c>
      <c r="J1245" s="5" t="n">
        <v>26.6</v>
      </c>
      <c r="K1245" s="3" t="inlineStr">
        <is>
          <t>연서면 성제리 스마트팜 및 대토, 농업경영체 등록 최적지 추천</t>
        </is>
      </c>
      <c r="L1245" s="6">
        <f>HYPERLINK("https://fin.land.naver.com/articles/2651278989", "매물Link")</f>
        <v/>
      </c>
      <c r="M1245" s="6">
        <f>HYPERLINK("https://map.naver.com/p/search/연서면 성제리 100-1", "지도Link")</f>
        <v/>
      </c>
      <c r="N1245" s="6">
        <f>HYPERLINK("http://www.eum.go.kr/web/ar/lu/luLandDet.jsp?pnu=3611036023101000001&amp;isNoScr=script&amp;mode=search", "토지이음")</f>
        <v/>
      </c>
      <c r="O1245" s="3" t="inlineStr">
        <is>
          <t>지성</t>
        </is>
      </c>
      <c r="P1245" s="4" t="n">
        <v>1</v>
      </c>
      <c r="Q1245" s="4" t="n">
        <v>2970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세로각지(가)</t>
        </is>
      </c>
    </row>
    <row r="1246">
      <c r="A1246" s="3" t="inlineStr">
        <is>
          <t>연서면 성제리 145-14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205000</v>
      </c>
      <c r="G1246" s="4" t="n">
        <v>2806</v>
      </c>
      <c r="H1246" s="4" t="n">
        <v>849</v>
      </c>
      <c r="I1246" s="5" t="n">
        <v>241.5</v>
      </c>
      <c r="J1246" s="5" t="n">
        <v>56</v>
      </c>
      <c r="K1246" s="3" t="inlineStr">
        <is>
          <t>국가산단인근 도로변 성장관리구역 과수원</t>
        </is>
      </c>
      <c r="L1246" s="6">
        <f>HYPERLINK("https://fin.land.naver.com/articles/2650613233", "매물Link")</f>
        <v/>
      </c>
      <c r="M1246" s="6">
        <f>HYPERLINK("https://map.naver.com/p/search/연서면 성제리 145-14", "지도Link")</f>
        <v/>
      </c>
      <c r="N1246" s="6">
        <f>HYPERLINK("http://www.eum.go.kr/web/ar/lu/luLandDet.jsp?pnu=3611036023101450014&amp;isNoScr=script&amp;mode=search",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57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성제리 145-14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205000</v>
      </c>
      <c r="G1247" s="4" t="n">
        <v>2806</v>
      </c>
      <c r="H1247" s="4" t="n">
        <v>849</v>
      </c>
      <c r="I1247" s="5" t="n">
        <v>241.5</v>
      </c>
      <c r="J1247" s="5" t="n">
        <v>56</v>
      </c>
      <c r="K1247" s="3" t="inlineStr">
        <is>
          <t>국가산단인근 도로접한 과수원 매매</t>
        </is>
      </c>
      <c r="L1247" s="6">
        <f>HYPERLINK("https://fin.land.naver.com/articles/2653195485", "매물Link")</f>
        <v/>
      </c>
      <c r="M1247" s="6">
        <f>HYPERLINK("https://map.naver.com/p/search/연서면 성제리 145-14", "지도Link")</f>
        <v/>
      </c>
      <c r="N1247" s="6">
        <f>HYPERLINK("http://www.eum.go.kr/web/ar/lu/luLandDet.jsp?pnu=3611036023101450014&amp;isNoScr=script&amp;mode=search",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57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연서면 성제리 158-6</t>
        </is>
      </c>
      <c r="B1248" s="3" t="inlineStr">
        <is>
          <t>자연녹지지역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55000</v>
      </c>
      <c r="G1248" s="4" t="n">
        <v>850</v>
      </c>
      <c r="H1248" s="4" t="n">
        <v>257</v>
      </c>
      <c r="I1248" s="5" t="n">
        <v>214</v>
      </c>
      <c r="J1248" s="5" t="n">
        <v>63.8</v>
      </c>
      <c r="K1248" s="3" t="inlineStr">
        <is>
          <t>포장도로에 접해있는 도시지역 자연녹지지역의 농업용창고 66㎡와 전850㎡</t>
        </is>
      </c>
      <c r="L1248" s="6">
        <f>HYPERLINK("https://fin.land.naver.com/articles/2651472582", "매물Link")</f>
        <v/>
      </c>
      <c r="M1248" s="6">
        <f>HYPERLINK("https://map.naver.com/p/search/연서면 성제리 158-6", "지도Link")</f>
        <v/>
      </c>
      <c r="N1248" s="6">
        <f>HYPERLINK("http://www.eum.go.kr/web/ar/lu/luLandDet.jsp?pnu=3611036023101580006&amp;isNoScr=script&amp;mode=search",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440</v>
      </c>
      <c r="R1248" s="3" t="inlineStr">
        <is>
          <t>지정되지않음</t>
        </is>
      </c>
      <c r="S1248" s="3" t="inlineStr">
        <is>
          <t>전창고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연서면 성제리 186-5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80400</v>
      </c>
      <c r="G1249" s="4" t="n">
        <v>2045</v>
      </c>
      <c r="H1249" s="4" t="n">
        <v>619</v>
      </c>
      <c r="I1249" s="5" t="n">
        <v>129.9</v>
      </c>
      <c r="J1249" s="5" t="n">
        <v>27.3</v>
      </c>
      <c r="K1249" s="3" t="inlineStr">
        <is>
          <t>본 토지는 2차선 도로에 접하여 연서면의 광활한 평지에 개발가능성이 높음</t>
        </is>
      </c>
      <c r="L1249" s="6">
        <f>HYPERLINK("https://fin.land.naver.com/articles/2652983578", "매물Link")</f>
        <v/>
      </c>
      <c r="M1249" s="6">
        <f>HYPERLINK("https://map.naver.com/p/search/연서면 성제리 186-5", "지도Link")</f>
        <v/>
      </c>
      <c r="N1249" s="6">
        <f>HYPERLINK("http://www.eum.go.kr/web/ar/lu/luLandDet.jsp?pnu=3611036023101860005&amp;isNoScr=script&amp;mode=search", "토지이음")</f>
        <v/>
      </c>
      <c r="O1249" s="3" t="inlineStr">
        <is>
          <t>온누리</t>
        </is>
      </c>
      <c r="P1249" s="4" t="n">
        <v>3</v>
      </c>
      <c r="Q1249" s="4" t="n">
        <v>2045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연서면 성제리 186-5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80000</v>
      </c>
      <c r="G1250" s="4" t="n">
        <v>2045</v>
      </c>
      <c r="H1250" s="4" t="n">
        <v>619</v>
      </c>
      <c r="I1250" s="5" t="n">
        <v>129.2</v>
      </c>
      <c r="J1250" s="5" t="n">
        <v>27.3</v>
      </c>
      <c r="K1250" s="3" t="inlineStr">
        <is>
          <t>2차선 도로접 북세종IC인근</t>
        </is>
      </c>
      <c r="L1250" s="6">
        <f>HYPERLINK("https://fin.land.naver.com/articles/2650478349", "매물Link")</f>
        <v/>
      </c>
      <c r="M1250" s="6">
        <f>HYPERLINK("https://map.naver.com/p/search/연서면 성제리 186-5", "지도Link")</f>
        <v/>
      </c>
      <c r="N1250" s="6">
        <f>HYPERLINK("http://www.eum.go.kr/web/ar/lu/luLandDet.jsp?pnu=3611036023101860005&amp;isNoScr=script&amp;mode=search", "토지이음")</f>
        <v/>
      </c>
      <c r="O1250" s="3" t="inlineStr">
        <is>
          <t>가치잇는</t>
        </is>
      </c>
      <c r="P1250" s="4" t="n">
        <v>4</v>
      </c>
      <c r="Q1250" s="4" t="n">
        <v>2045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연서면 성제리 186-5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200000</v>
      </c>
      <c r="G1251" s="4" t="n">
        <v>5090</v>
      </c>
      <c r="H1251" s="4" t="n">
        <v>1540</v>
      </c>
      <c r="I1251" s="5" t="n">
        <v>129.9</v>
      </c>
      <c r="J1251" s="5" t="n">
        <v>27.3</v>
      </c>
      <c r="K1251" s="3" t="inlineStr">
        <is>
          <t>2차선도로접, 개발호재가 강한지역 투자가치최고</t>
        </is>
      </c>
      <c r="L1251" s="6">
        <f>HYPERLINK("https://fin.land.naver.com/articles/2651043984", "매물Link")</f>
        <v/>
      </c>
      <c r="M1251" s="6">
        <f>HYPERLINK("https://map.naver.com/p/search/연서면 성제리 186-5", "지도Link")</f>
        <v/>
      </c>
      <c r="N1251" s="6">
        <f>HYPERLINK("http://www.eum.go.kr/web/ar/lu/luLandDet.jsp?pnu=3611036023101860005&amp;isNoScr=script&amp;mode=search", "토지이음")</f>
        <v/>
      </c>
      <c r="O1251" s="3" t="inlineStr">
        <is>
          <t>원내</t>
        </is>
      </c>
      <c r="P1251" s="4" t="n">
        <v>2</v>
      </c>
      <c r="Q1251" s="4" t="n">
        <v>2045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186-6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119000</v>
      </c>
      <c r="G1252" s="4" t="n">
        <v>3045</v>
      </c>
      <c r="H1252" s="4" t="n">
        <v>921</v>
      </c>
      <c r="I1252" s="5" t="n">
        <v>129.2</v>
      </c>
      <c r="J1252" s="5" t="n">
        <v>27.3</v>
      </c>
      <c r="K1252" s="3" t="inlineStr">
        <is>
          <t>연서면 성제리 2차선 도로에 접한 투자용 답, 2필지 합해서 매매도 가능</t>
        </is>
      </c>
      <c r="L1252" s="6">
        <f>HYPERLINK("https://fin.land.naver.com/articles/2651454310", "매물Link")</f>
        <v/>
      </c>
      <c r="M1252" s="6">
        <f>HYPERLINK("https://map.naver.com/p/search/연서면 성제리 186-6", "지도Link")</f>
        <v/>
      </c>
      <c r="N1252" s="6">
        <f>HYPERLINK("http://www.eum.go.kr/web/ar/lu/luLandDet.jsp?pnu=3611036023101860006&amp;isNoScr=script&amp;mode=search", "토지이음")</f>
        <v/>
      </c>
      <c r="O1252" s="3" t="inlineStr">
        <is>
          <t>스마일세종</t>
        </is>
      </c>
      <c r="P1252" s="4" t="n">
        <v>3</v>
      </c>
      <c r="Q1252" s="4" t="n">
        <v>3045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186-6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93000</v>
      </c>
      <c r="G1253" s="4" t="n">
        <v>2045</v>
      </c>
      <c r="H1253" s="4" t="n">
        <v>619</v>
      </c>
      <c r="I1253" s="5" t="n">
        <v>150.2</v>
      </c>
      <c r="J1253" s="5" t="n">
        <v>27.3</v>
      </c>
      <c r="K1253" s="3" t="inlineStr">
        <is>
          <t>2차선 도로변 토지 매매</t>
        </is>
      </c>
      <c r="L1253" s="6">
        <f>HYPERLINK("https://fin.land.naver.com/articles/2653137602", "매물Link")</f>
        <v/>
      </c>
      <c r="M1253" s="6">
        <f>HYPERLINK("https://map.naver.com/p/search/연서면 성제리 186-6", "지도Link")</f>
        <v/>
      </c>
      <c r="N1253" s="6">
        <f>HYPERLINK("http://www.eum.go.kr/web/ar/lu/luLandDet.jsp?pnu=3611036023101860006&amp;isNoScr=script&amp;mode=search", "토지이음")</f>
        <v/>
      </c>
      <c r="O1253" s="3" t="inlineStr">
        <is>
          <t>주식회사넥서스</t>
        </is>
      </c>
      <c r="P1253" s="4" t="n">
        <v>2</v>
      </c>
      <c r="Q1253" s="4" t="n">
        <v>3045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188-3</t>
        </is>
      </c>
      <c r="B1254" s="3" t="inlineStr">
        <is>
          <t>농림지역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69000</v>
      </c>
      <c r="G1254" s="4" t="n">
        <v>1535</v>
      </c>
      <c r="H1254" s="4" t="n">
        <v>464</v>
      </c>
      <c r="I1254" s="5" t="n">
        <v>148.7</v>
      </c>
      <c r="J1254" s="5" t="n">
        <v>26.8</v>
      </c>
      <c r="K1254" s="3" t="inlineStr">
        <is>
          <t>연서면 성제리 지목이 과수원으로 마을 포장도로에 접해 있어 이용가치 높은</t>
        </is>
      </c>
      <c r="L1254" s="6">
        <f>HYPERLINK("https://fin.land.naver.com/articles/2652408713", "매물Link")</f>
        <v/>
      </c>
      <c r="M1254" s="6">
        <f>HYPERLINK("https://map.naver.com/p/search/연서면 성제리 188-3", "지도Link")</f>
        <v/>
      </c>
      <c r="N1254" s="6">
        <f>HYPERLINK("http://www.eum.go.kr/web/ar/lu/luLandDet.jsp?pnu=3611036023101880003&amp;isNoScr=script&amp;mode=search",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1535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190-7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71900</v>
      </c>
      <c r="G1255" s="4" t="n">
        <v>1980</v>
      </c>
      <c r="H1255" s="4" t="n">
        <v>599</v>
      </c>
      <c r="I1255" s="5" t="n">
        <v>120</v>
      </c>
      <c r="J1255" s="5" t="n">
        <v>26.8</v>
      </c>
      <c r="K1255" s="3" t="inlineStr">
        <is>
          <t>포장농로 접한 연서면 평탄 농업용 토지</t>
        </is>
      </c>
      <c r="L1255" s="6">
        <f>HYPERLINK("https://fin.land.naver.com/articles/2647424202", "매물Link")</f>
        <v/>
      </c>
      <c r="M1255" s="6">
        <f>HYPERLINK("https://map.naver.com/p/search/연서면 성제리 190-7", "지도Link")</f>
        <v/>
      </c>
      <c r="N1255" s="6">
        <f>HYPERLINK("http://www.eum.go.kr/web/ar/lu/luLandDet.jsp?pnu=3611036023101900007&amp;isNoScr=script&amp;mode=search",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1980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202-3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1790</v>
      </c>
      <c r="H1256" s="4" t="n">
        <v>541</v>
      </c>
      <c r="I1256" s="5" t="n">
        <v>99.8</v>
      </c>
      <c r="J1256" s="5" t="n">
        <v>25</v>
      </c>
      <c r="K1256" s="3" t="inlineStr">
        <is>
          <t>국가산단인근,농업 영위하면서 장기적으로는 가치 상승까지 가능</t>
        </is>
      </c>
      <c r="L1256" s="6">
        <f>HYPERLINK("https://fin.land.naver.com/articles/2651384693", "매물Link")</f>
        <v/>
      </c>
      <c r="M1256" s="6">
        <f>HYPERLINK("https://map.naver.com/p/search/연서면 성제리 202-3", "지도Link")</f>
        <v/>
      </c>
      <c r="N1256" s="6">
        <f>HYPERLINK("http://www.eum.go.kr/web/ar/lu/luLandDet.jsp?pnu=3611036023102020003&amp;isNoScr=script&amp;mode=search", "토지이음")</f>
        <v/>
      </c>
      <c r="O1256" s="3" t="inlineStr">
        <is>
          <t>가치잇는</t>
        </is>
      </c>
      <c r="P1256" s="4" t="n">
        <v>2</v>
      </c>
      <c r="Q1256" s="4" t="n">
        <v>1790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217-1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1430</v>
      </c>
      <c r="H1257" s="4" t="n">
        <v>433</v>
      </c>
      <c r="I1257" s="5" t="n">
        <v>80.8</v>
      </c>
      <c r="J1257" s="5" t="n">
        <v>25.2</v>
      </c>
      <c r="K1257" s="3" t="inlineStr">
        <is>
          <t>도로접한 농지</t>
        </is>
      </c>
      <c r="L1257" s="6">
        <f>HYPERLINK("https://fin.land.naver.com/articles/2650856663", "매물Link")</f>
        <v/>
      </c>
      <c r="M1257" s="6">
        <f>HYPERLINK("https://map.naver.com/p/search/연서면 성제리 217-1", "지도Link")</f>
        <v/>
      </c>
      <c r="N1257" s="6">
        <f>HYPERLINK("http://www.eum.go.kr/web/ar/lu/luLandDet.jsp?pnu=3611036023102170001&amp;isNoScr=script&amp;mode=search",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1430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273-6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180000</v>
      </c>
      <c r="G1258" s="4" t="n">
        <v>1984</v>
      </c>
      <c r="H1258" s="4" t="n">
        <v>600</v>
      </c>
      <c r="I1258" s="5" t="n">
        <v>300</v>
      </c>
      <c r="J1258" s="5" t="n">
        <v>55.9</v>
      </c>
      <c r="K1258" s="3" t="inlineStr">
        <is>
          <t>미래가치 높은 관리 잘된 투자형 과수원</t>
        </is>
      </c>
      <c r="L1258" s="6">
        <f>HYPERLINK("https://fin.land.naver.com/articles/2649629027", "매물Link")</f>
        <v/>
      </c>
      <c r="M1258" s="6">
        <f>HYPERLINK("https://map.naver.com/p/search/연서면 성제리 273-6", "지도Link")</f>
        <v/>
      </c>
      <c r="N1258" s="6">
        <f>HYPERLINK("http://www.eum.go.kr/web/ar/lu/luLandDet.jsp?pnu=3611036023102730006&amp;isNoScr=script&amp;mode=search", "토지이음")</f>
        <v/>
      </c>
      <c r="O1258" s="3" t="inlineStr">
        <is>
          <t>가치잇는</t>
        </is>
      </c>
      <c r="P1258" s="4" t="n">
        <v>1</v>
      </c>
      <c r="Q1258" s="4" t="n">
        <v>1984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성제리 273-9</t>
        </is>
      </c>
      <c r="B1259" s="3" t="inlineStr">
        <is>
          <t>자연녹지지역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10000</v>
      </c>
      <c r="G1259" s="4" t="n">
        <v>330</v>
      </c>
      <c r="H1259" s="4" t="n">
        <v>100</v>
      </c>
      <c r="I1259" s="5" t="n">
        <v>100</v>
      </c>
      <c r="J1259" s="5" t="n">
        <v>39.5</v>
      </c>
      <c r="K1259" s="3" t="inlineStr">
        <is>
          <t>nan</t>
        </is>
      </c>
      <c r="L1259" s="6">
        <f>HYPERLINK("https://fin.land.naver.com/articles/2651153583", "매물Link")</f>
        <v/>
      </c>
      <c r="M1259" s="6">
        <f>HYPERLINK("https://map.naver.com/p/search/연서면 성제리 273-9", "지도Link")</f>
        <v/>
      </c>
      <c r="N1259" s="6">
        <f>HYPERLINK("http://www.eum.go.kr/web/ar/lu/luLandDet.jsp?pnu=3611036023102730009&amp;isNoScr=script&amp;mode=search", "토지이음")</f>
        <v/>
      </c>
      <c r="O1259" s="3" t="inlineStr">
        <is>
          <t>미스터홈즈강남지사</t>
        </is>
      </c>
      <c r="P1259" s="4" t="n">
        <v>1</v>
      </c>
      <c r="Q1259" s="4" t="n">
        <v>3485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급경사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273-9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19000</v>
      </c>
      <c r="G1260" s="4" t="n">
        <v>730</v>
      </c>
      <c r="H1260" s="4" t="n">
        <v>221</v>
      </c>
      <c r="I1260" s="5" t="n">
        <v>86</v>
      </c>
      <c r="J1260" s="5" t="n">
        <v>39.5</v>
      </c>
      <c r="K1260" s="3" t="inlineStr">
        <is>
          <t>분할매도,실수요와 투자를 동시에.미래가치 충분</t>
        </is>
      </c>
      <c r="L1260" s="6">
        <f>HYPERLINK("https://fin.land.naver.com/articles/2650336389", "매물Link")</f>
        <v/>
      </c>
      <c r="M1260" s="6">
        <f>HYPERLINK("https://map.naver.com/p/search/연서면 성제리 273-9", "지도Link")</f>
        <v/>
      </c>
      <c r="N1260" s="6">
        <f>HYPERLINK("http://www.eum.go.kr/web/ar/lu/luLandDet.jsp?pnu=3611036023102730009&amp;isNoScr=script&amp;mode=search", "토지이음")</f>
        <v/>
      </c>
      <c r="O1260" s="3" t="inlineStr">
        <is>
          <t>가치잇는</t>
        </is>
      </c>
      <c r="P1260" s="4" t="n">
        <v>2</v>
      </c>
      <c r="Q1260" s="4" t="n">
        <v>3485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급경사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성제리 280-9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77300</v>
      </c>
      <c r="G1261" s="4" t="n">
        <v>3194</v>
      </c>
      <c r="H1261" s="4" t="n">
        <v>966</v>
      </c>
      <c r="I1261" s="5" t="n">
        <v>80</v>
      </c>
      <c r="J1261" s="5" t="n">
        <v>74.8</v>
      </c>
      <c r="K1261" s="3" t="inlineStr">
        <is>
          <t>행정복지센터 인근 자연녹지 저렴한 토지</t>
        </is>
      </c>
      <c r="L1261" s="6">
        <f>HYPERLINK("https://fin.land.naver.com/articles/2652098500", "매물Link")</f>
        <v/>
      </c>
      <c r="M1261" s="6">
        <f>HYPERLINK("https://map.naver.com/p/search/연서면 성제리 280-9", "지도Link")</f>
        <v/>
      </c>
      <c r="N1261" s="6">
        <f>HYPERLINK("http://www.eum.go.kr/web/ar/lu/luLandDet.jsp?pnu=3611036023102800009&amp;isNoScr=script&amp;mode=search",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2361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성제리 280-9</t>
        </is>
      </c>
      <c r="B1262" s="3" t="inlineStr">
        <is>
          <t>자연녹지지역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96000</v>
      </c>
      <c r="G1262" s="4" t="n">
        <v>3193</v>
      </c>
      <c r="H1262" s="4" t="n">
        <v>966</v>
      </c>
      <c r="I1262" s="5" t="n">
        <v>99.40000000000001</v>
      </c>
      <c r="J1262" s="5" t="n">
        <v>74.8</v>
      </c>
      <c r="K1262" s="3" t="inlineStr">
        <is>
          <t>연서면행정복지센타 인근토지</t>
        </is>
      </c>
      <c r="L1262" s="6">
        <f>HYPERLINK("https://fin.land.naver.com/articles/2648029985", "매물Link")</f>
        <v/>
      </c>
      <c r="M1262" s="6">
        <f>HYPERLINK("https://map.naver.com/p/search/연서면 성제리 280-9", "지도Link")</f>
        <v/>
      </c>
      <c r="N1262" s="6">
        <f>HYPERLINK("http://www.eum.go.kr/web/ar/lu/luLandDet.jsp?pnu=3611036023102800009&amp;isNoScr=script&amp;mode=search", "토지이음")</f>
        <v/>
      </c>
      <c r="O1262" s="3" t="inlineStr">
        <is>
          <t>THE행복</t>
        </is>
      </c>
      <c r="P1262" s="4" t="n">
        <v>1</v>
      </c>
      <c r="Q1262" s="4" t="n">
        <v>2361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성제리 346-1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240000</v>
      </c>
      <c r="G1263" s="4" t="n">
        <v>1430</v>
      </c>
      <c r="H1263" s="4" t="n">
        <v>433</v>
      </c>
      <c r="I1263" s="5" t="n">
        <v>554.3</v>
      </c>
      <c r="J1263" s="5" t="n">
        <v>260.8</v>
      </c>
      <c r="K1263" s="3" t="inlineStr">
        <is>
          <t>토지가 도로 전면에 전부 접해있습니다. 주변 호재 많은 토지</t>
        </is>
      </c>
      <c r="L1263" s="6">
        <f>HYPERLINK("https://fin.land.naver.com/articles/2651572889", "매물Link")</f>
        <v/>
      </c>
      <c r="M1263" s="6">
        <f>HYPERLINK("https://map.naver.com/p/search/연서면 성제리 346-1", "지도Link")</f>
        <v/>
      </c>
      <c r="N1263" s="6">
        <f>HYPERLINK("http://www.eum.go.kr/web/ar/lu/luLandDet.jsp?pnu=3611036023103460001&amp;isNoScr=script&amp;mode=search", "토지이음")</f>
        <v/>
      </c>
      <c r="O1263" s="3" t="inlineStr">
        <is>
          <t>여기로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업무용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성제리 429</t>
        </is>
      </c>
      <c r="B1264" s="3" t="inlineStr">
        <is>
          <t>자연녹지지역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73000</v>
      </c>
      <c r="G1264" s="4" t="n">
        <v>959</v>
      </c>
      <c r="H1264" s="4" t="n">
        <v>290</v>
      </c>
      <c r="I1264" s="5" t="n">
        <v>251.7</v>
      </c>
      <c r="J1264" s="5" t="n">
        <v>62.5</v>
      </c>
      <c r="K1264" s="3" t="inlineStr">
        <is>
          <t>2차선 도로 인접 ,용도 변경 가능 미래 투자가치 좋은 금싸라기 땅</t>
        </is>
      </c>
      <c r="L1264" s="6">
        <f>HYPERLINK("https://fin.land.naver.com/articles/2651651826", "매물Link")</f>
        <v/>
      </c>
      <c r="M1264" s="6">
        <f>HYPERLINK("https://map.naver.com/p/search/연서면 성제리 429", "지도Link")</f>
        <v/>
      </c>
      <c r="N1264" s="6">
        <f>HYPERLINK("http://www.eum.go.kr/web/ar/lu/luLandDet.jsp?pnu=3611036023104290000&amp;isNoScr=script&amp;mode=search", "토지이음")</f>
        <v/>
      </c>
      <c r="O1264" s="3" t="inlineStr">
        <is>
          <t>강남뜰</t>
        </is>
      </c>
      <c r="P1264" s="4" t="n">
        <v>1</v>
      </c>
      <c r="Q1264" s="4" t="n">
        <v>959</v>
      </c>
      <c r="R1264" s="3" t="inlineStr">
        <is>
          <t>계획관리지역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446</t>
        </is>
      </c>
      <c r="B1265" s="3" t="inlineStr">
        <is>
          <t>자연녹지지역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82250</v>
      </c>
      <c r="G1265" s="4" t="n">
        <v>1087</v>
      </c>
      <c r="H1265" s="4" t="n">
        <v>329</v>
      </c>
      <c r="I1265" s="5" t="n">
        <v>250</v>
      </c>
      <c r="J1265" s="5" t="n">
        <v>65.90000000000001</v>
      </c>
      <c r="K1265" s="3" t="inlineStr">
        <is>
          <t>집짓기 좋은 정방형 토지 매매</t>
        </is>
      </c>
      <c r="L1265" s="6">
        <f>HYPERLINK("https://fin.land.naver.com/articles/2653195395", "매물Link")</f>
        <v/>
      </c>
      <c r="M1265" s="6">
        <f>HYPERLINK("https://map.naver.com/p/search/연서면 성제리 446", "지도Link")</f>
        <v/>
      </c>
      <c r="N1265" s="6">
        <f>HYPERLINK("http://www.eum.go.kr/web/ar/lu/luLandDet.jsp?pnu=3611036023104460000&amp;isNoScr=script&amp;mode=search", "토지이음")</f>
        <v/>
      </c>
      <c r="O1265" s="3" t="inlineStr">
        <is>
          <t>THE행복</t>
        </is>
      </c>
      <c r="P1265" s="4" t="n">
        <v>1</v>
      </c>
      <c r="Q1265" s="4" t="n">
        <v>1088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1087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국가산단인근  성장관리계획구역</t>
        </is>
      </c>
      <c r="L1266" s="6">
        <f>HYPERLINK("https://fin.land.naver.com/articles/2648491546",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448-5</t>
        </is>
      </c>
      <c r="B1268" s="3" t="inlineStr">
        <is>
          <t>자연녹지지역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25000</v>
      </c>
      <c r="G1268" s="4" t="n">
        <v>1213</v>
      </c>
      <c r="H1268" s="4" t="n">
        <v>367</v>
      </c>
      <c r="I1268" s="5" t="n">
        <v>68.09999999999999</v>
      </c>
      <c r="J1268" s="5" t="n">
        <v>53.2</v>
      </c>
      <c r="K1268" s="3" t="inlineStr">
        <is>
          <t>국가 산업 단지 근접투자 가치 용 토지</t>
        </is>
      </c>
      <c r="L1268" s="6">
        <f>HYPERLINK("https://fin.land.naver.com/articles/2649511861", "매물Link")</f>
        <v/>
      </c>
      <c r="M1268" s="6">
        <f>HYPERLINK("https://map.naver.com/p/search/연서면 성제리 448-5", "지도Link")</f>
        <v/>
      </c>
      <c r="N1268" s="6">
        <f>HYPERLINK("http://www.eum.go.kr/web/ar/lu/luLandDet.jsp?pnu=3611036023104480005&amp;isNoScr=script&amp;mode=search", "토지이음")</f>
        <v/>
      </c>
      <c r="O1268" s="3" t="inlineStr">
        <is>
          <t>현담</t>
        </is>
      </c>
      <c r="P1268" s="4" t="n">
        <v>1</v>
      </c>
      <c r="Q1268" s="4" t="n">
        <v>1213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452</t>
        </is>
      </c>
      <c r="B1269" s="3" t="inlineStr">
        <is>
          <t>자연녹지지역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76400</v>
      </c>
      <c r="G1269" s="4" t="n">
        <v>1259</v>
      </c>
      <c r="H1269" s="4" t="n">
        <v>381</v>
      </c>
      <c r="I1269" s="5" t="n">
        <v>200.5</v>
      </c>
      <c r="J1269" s="5" t="n">
        <v>62.7</v>
      </c>
      <c r="K1269" s="3" t="inlineStr">
        <is>
          <t>자연취락지구, 도로접 평탄농지, 전원형 활용 검토 유리</t>
        </is>
      </c>
      <c r="L1269" s="6">
        <f>HYPERLINK("https://fin.land.naver.com/articles/2648857594", "매물Link")</f>
        <v/>
      </c>
      <c r="M1269" s="6">
        <f>HYPERLINK("https://map.naver.com/p/search/연서면 성제리 452", "지도Link")</f>
        <v/>
      </c>
      <c r="N1269" s="6">
        <f>HYPERLINK("http://www.eum.go.kr/web/ar/lu/luLandDet.jsp?pnu=3611036023104520000&amp;isNoScr=script&amp;mode=search", "토지이음")</f>
        <v/>
      </c>
      <c r="O1269" s="3" t="inlineStr">
        <is>
          <t>세종소담황금</t>
        </is>
      </c>
      <c r="P1269" s="4" t="n">
        <v>1</v>
      </c>
      <c r="Q1269" s="4" t="n">
        <v>1261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455-8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109000</v>
      </c>
      <c r="G1270" s="4" t="n">
        <v>1720</v>
      </c>
      <c r="H1270" s="4" t="n">
        <v>520</v>
      </c>
      <c r="I1270" s="5" t="n">
        <v>209.6</v>
      </c>
      <c r="J1270" s="5" t="n">
        <v>48.9</v>
      </c>
      <c r="K1270" s="3" t="inlineStr">
        <is>
          <t>계획관리 과수원배밭매매</t>
        </is>
      </c>
      <c r="L1270" s="6">
        <f>HYPERLINK("https://fin.land.naver.com/articles/2648813382", "매물Link")</f>
        <v/>
      </c>
      <c r="M1270" s="6">
        <f>HYPERLINK("https://map.naver.com/p/search/연서면 성제리 455-8", "지도Link")</f>
        <v/>
      </c>
      <c r="N1270" s="6">
        <f>HYPERLINK("http://www.eum.go.kr/web/ar/lu/luLandDet.jsp?pnu=3611036023104550008&amp;isNoScr=script&amp;mode=search",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1720</v>
      </c>
      <c r="R1270" s="3" t="inlineStr">
        <is>
          <t>보전관리지역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564-3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111700</v>
      </c>
      <c r="G1271" s="4" t="n">
        <v>1320</v>
      </c>
      <c r="H1271" s="4" t="n">
        <v>399</v>
      </c>
      <c r="I1271" s="5" t="n">
        <v>279.9</v>
      </c>
      <c r="J1271" s="5" t="n">
        <v>50.8</v>
      </c>
      <c r="K1271" s="3" t="inlineStr">
        <is>
          <t>세종시 연서면 계획관리 매매.11.1억</t>
        </is>
      </c>
      <c r="L1271" s="6">
        <f>HYPERLINK("https://fin.land.naver.com/articles/2652501553", "매물Link")</f>
        <v/>
      </c>
      <c r="M1271" s="6">
        <f>HYPERLINK("https://map.naver.com/p/search/연서면 성제리 564-3", "지도Link")</f>
        <v/>
      </c>
      <c r="N1271" s="6">
        <f>HYPERLINK("http://www.eum.go.kr/web/ar/lu/luLandDet.jsp?pnu=3611036023105640003&amp;isNoScr=script&amp;mode=search", "토지이음")</f>
        <v/>
      </c>
      <c r="O1271" s="3" t="inlineStr">
        <is>
          <t>동원</t>
        </is>
      </c>
      <c r="P1271" s="4" t="n">
        <v>1</v>
      </c>
      <c r="Q1271" s="4" t="n">
        <v>1320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586-14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112000</v>
      </c>
      <c r="G1272" s="4" t="n">
        <v>1204</v>
      </c>
      <c r="H1272" s="4" t="n">
        <v>364</v>
      </c>
      <c r="I1272" s="5" t="n">
        <v>307.7</v>
      </c>
      <c r="J1272" s="5" t="n">
        <v>172</v>
      </c>
      <c r="K1272" s="3" t="inlineStr">
        <is>
          <t>상가건물있음,  성제네거리코너10m도로접합 계획관리지역 3필지일괄매매</t>
        </is>
      </c>
      <c r="L1272" s="6">
        <f>HYPERLINK("https://fin.land.naver.com/articles/2653136352", "매물Link")</f>
        <v/>
      </c>
      <c r="M1272" s="6">
        <f>HYPERLINK("https://map.naver.com/p/search/연서면 성제리 586-14", "지도Link")</f>
        <v/>
      </c>
      <c r="N1272" s="6">
        <f>HYPERLINK("http://www.eum.go.kr/web/ar/lu/luLandDet.jsp?pnu=3611036023105860014&amp;isNoScr=script&amp;mode=search", "토지이음")</f>
        <v/>
      </c>
      <c r="O1272" s="3" t="inlineStr">
        <is>
          <t>길음(02-983-0110)</t>
        </is>
      </c>
      <c r="P1272" s="4" t="n">
        <v>1</v>
      </c>
      <c r="Q1272" s="4" t="n">
        <v>418</v>
      </c>
      <c r="R1272" s="3" t="inlineStr">
        <is>
          <t>지정되지않음</t>
        </is>
      </c>
      <c r="S1272" s="3" t="inlineStr">
        <is>
          <t>주상용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소로각지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586-183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95000</v>
      </c>
      <c r="G1274" s="4" t="n">
        <v>661</v>
      </c>
      <c r="H1274" s="4" t="n">
        <v>200</v>
      </c>
      <c r="I1274" s="5" t="n">
        <v>475</v>
      </c>
      <c r="J1274" s="5" t="n">
        <v>58.2</v>
      </c>
      <c r="K1274" s="3" t="inlineStr">
        <is>
          <t>2차선에 접한 귀한 토지.개발호재.지가상승지역.</t>
        </is>
      </c>
      <c r="L1274" s="6">
        <f>HYPERLINK("https://fin.land.naver.com/articles/2652504765", "매물Link")</f>
        <v/>
      </c>
      <c r="M1274" s="6">
        <f>HYPERLINK("https://map.naver.com/p/search/연서면 성제리 586-183", "지도Link")</f>
        <v/>
      </c>
      <c r="N1274" s="6">
        <f>HYPERLINK("http://www.eum.go.kr/web/ar/lu/luLandDet.jsp?pnu=3611036023105860183&amp;isNoScr=script&amp;mode=search",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661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연서면 성제리 77-1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310000</v>
      </c>
      <c r="G1275" s="4" t="n">
        <v>5153</v>
      </c>
      <c r="H1275" s="4" t="n">
        <v>1559</v>
      </c>
      <c r="I1275" s="5" t="n">
        <v>198.8</v>
      </c>
      <c r="J1275" s="5" t="n">
        <v>42.9</v>
      </c>
      <c r="K1275" s="3" t="inlineStr">
        <is>
          <t>성제리 도로접한 해 잘들어오는 계획관리 토지</t>
        </is>
      </c>
      <c r="L1275" s="6">
        <f>HYPERLINK("https://fin.land.naver.com/articles/2648593585", "매물Link")</f>
        <v/>
      </c>
      <c r="M1275" s="6">
        <f>HYPERLINK("https://map.naver.com/p/search/연서면 성제리 77-1", "지도Link")</f>
        <v/>
      </c>
      <c r="N1275" s="6">
        <f>HYPERLINK("http://www.eum.go.kr/web/ar/lu/luLandDet.jsp?pnu=3611036023100770001&amp;isNoScr=script&amp;mode=search", "토지이음")</f>
        <v/>
      </c>
      <c r="O1275" s="3" t="inlineStr">
        <is>
          <t>엄지척</t>
        </is>
      </c>
      <c r="P1275" s="4" t="n">
        <v>1</v>
      </c>
      <c r="Q1275" s="4" t="n">
        <v>4760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성제리 산 28-1</t>
        </is>
      </c>
      <c r="B1276" s="3" t="inlineStr">
        <is>
          <t>농림지역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215000</v>
      </c>
      <c r="G1276" s="4" t="n">
        <v>40562</v>
      </c>
      <c r="H1276" s="4" t="n">
        <v>12270</v>
      </c>
      <c r="I1276" s="5" t="n">
        <v>17.5</v>
      </c>
      <c r="J1276" s="5" t="n">
        <v>4.7</v>
      </c>
      <c r="K1276" s="3" t="inlineStr">
        <is>
          <t>임야</t>
        </is>
      </c>
      <c r="L1276" s="6">
        <f>HYPERLINK("https://fin.land.naver.com/articles/2647749190", "매물Link")</f>
        <v/>
      </c>
      <c r="M1276" s="6">
        <f>HYPERLINK("https://map.naver.com/p/search/연서면 성제리 산 28-1", "지도Link")</f>
        <v/>
      </c>
      <c r="N1276" s="6">
        <f>HYPERLINK("http://www.eum.go.kr/web/ar/lu/luLandDet.jsp?pnu=3611036023200280001&amp;isNoScr=script&amp;mode=search", "토지이음")</f>
        <v/>
      </c>
      <c r="O1276" s="3" t="inlineStr">
        <is>
          <t>다산</t>
        </is>
      </c>
      <c r="P1276" s="4" t="n">
        <v>1</v>
      </c>
      <c r="Q1276" s="4" t="n">
        <v>40562</v>
      </c>
      <c r="R1276" s="3" t="inlineStr">
        <is>
          <t>보전관리지역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115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35000</v>
      </c>
      <c r="G1277" s="4" t="n">
        <v>874</v>
      </c>
      <c r="H1277" s="4" t="n">
        <v>264</v>
      </c>
      <c r="I1277" s="5" t="n">
        <v>132.6</v>
      </c>
      <c r="J1277" s="5" t="n">
        <v>91.59999999999999</v>
      </c>
      <c r="K1277" s="3" t="inlineStr">
        <is>
          <t>연서면 신대리 계획관리 대지, 포장도로접, 조치원 국가산단 인근, 저렴</t>
        </is>
      </c>
      <c r="L1277" s="6">
        <f>HYPERLINK("https://fin.land.naver.com/articles/2647404519", "매물Link")</f>
        <v/>
      </c>
      <c r="M1277" s="6">
        <f>HYPERLINK("https://map.naver.com/p/search/연서면 신대리 115", "지도Link")</f>
        <v/>
      </c>
      <c r="N1277" s="6">
        <f>HYPERLINK("http://www.eum.go.kr/web/ar/lu/luLandDet.jsp?pnu=3611036029101150000&amp;isNoScr=script&amp;mode=search",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874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29700</v>
      </c>
      <c r="G1285" s="4" t="n">
        <v>678</v>
      </c>
      <c r="H1285" s="4" t="n">
        <v>205</v>
      </c>
      <c r="I1285" s="5" t="n">
        <v>144.9</v>
      </c>
      <c r="J1285" s="5" t="n">
        <v>66.59999999999999</v>
      </c>
      <c r="K1285" s="3" t="inlineStr">
        <is>
          <t>고복저수지인근 전원주택 단지 교통편리</t>
        </is>
      </c>
      <c r="L1285" s="6">
        <f>HYPERLINK("https://fin.land.naver.com/articles/2648855823",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30000</v>
      </c>
      <c r="G1286" s="4" t="n">
        <v>720</v>
      </c>
      <c r="H1286" s="4" t="n">
        <v>218</v>
      </c>
      <c r="I1286" s="5" t="n">
        <v>137.6</v>
      </c>
      <c r="J1286" s="5" t="n">
        <v>66.59999999999999</v>
      </c>
      <c r="K1286" s="3" t="inlineStr">
        <is>
          <t>고복저수지근처 지목대지 건축 허가 가능.</t>
        </is>
      </c>
      <c r="L1286" s="6">
        <f>HYPERLINK("https://fin.land.naver.com/articles/2650858228",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39800</v>
      </c>
      <c r="G1294" s="4" t="n">
        <v>2632</v>
      </c>
      <c r="H1294" s="4" t="n">
        <v>796</v>
      </c>
      <c r="I1294" s="5" t="n">
        <v>50</v>
      </c>
      <c r="J1294" s="5" t="n">
        <v>22.9</v>
      </c>
      <c r="K1294" s="3" t="inlineStr">
        <is>
          <t>nan</t>
        </is>
      </c>
      <c r="L1294" s="6">
        <f>HYPERLINK("https://fin.land.naver.com/articles/2648596996",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효성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458-1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427000</v>
      </c>
      <c r="G1295" s="4" t="n">
        <v>10463</v>
      </c>
      <c r="H1295" s="4" t="n">
        <v>3165</v>
      </c>
      <c r="I1295" s="5" t="n">
        <v>134.9</v>
      </c>
      <c r="J1295" s="5" t="n">
        <v>63.8</v>
      </c>
      <c r="K1295" s="3" t="inlineStr">
        <is>
          <t>세종 국가산단 인근 가치 상승지역 토지 매매</t>
        </is>
      </c>
      <c r="L1295" s="6">
        <f>HYPERLINK("https://fin.land.naver.com/articles/2648383274", "매물Link")</f>
        <v/>
      </c>
      <c r="M1295" s="6">
        <f>HYPERLINK("https://map.naver.com/p/search/연서면 신대리 458-1", "지도Link")</f>
        <v/>
      </c>
      <c r="N1295" s="6">
        <f>HYPERLINK("http://www.eum.go.kr/web/ar/lu/luLandDet.jsp?pnu=3611036029104580001&amp;isNoScr=script&amp;mode=search", "토지이음")</f>
        <v/>
      </c>
      <c r="O1295" s="3" t="inlineStr">
        <is>
          <t>세종비전행정사</t>
        </is>
      </c>
      <c r="P1295" s="4" t="n">
        <v>1</v>
      </c>
      <c r="Q1295" s="4" t="n">
        <v>4780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신대리 469-44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41800</v>
      </c>
      <c r="G1296" s="4" t="n">
        <v>540</v>
      </c>
      <c r="H1296" s="4" t="n">
        <v>163</v>
      </c>
      <c r="I1296" s="5" t="n">
        <v>256.4</v>
      </c>
      <c r="J1296" s="5" t="n">
        <v>66</v>
      </c>
      <c r="K1296" s="3" t="inlineStr">
        <is>
          <t>남향,전원주택지추천,계획관리,고복저수지인접</t>
        </is>
      </c>
      <c r="L1296" s="6">
        <f>HYPERLINK("https://fin.land.naver.com/articles/2652355894", "매물Link")</f>
        <v/>
      </c>
      <c r="M1296" s="6">
        <f>HYPERLINK("https://map.naver.com/p/search/연서면 신대리 469-44", "지도Link")</f>
        <v/>
      </c>
      <c r="N1296" s="6">
        <f>HYPERLINK("http://www.eum.go.kr/web/ar/lu/luLandDet.jsp?pnu=3611036029104690044&amp;isNoScr=script&amp;mode=search", "토지이음")</f>
        <v/>
      </c>
      <c r="O1296" s="3" t="inlineStr">
        <is>
          <t>따뜻한</t>
        </is>
      </c>
      <c r="P1296" s="4" t="n">
        <v>1</v>
      </c>
      <c r="Q1296" s="4" t="n">
        <v>540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신대리 49-9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2512</v>
      </c>
      <c r="H1297" s="4" t="n">
        <v>760</v>
      </c>
      <c r="I1297" s="5" t="n">
        <v>78.90000000000001</v>
      </c>
      <c r="J1297" s="5" t="n">
        <v>31.4</v>
      </c>
      <c r="K1297" s="3" t="inlineStr">
        <is>
          <t>nan</t>
        </is>
      </c>
      <c r="L1297" s="6">
        <f>HYPERLINK("https://fin.land.naver.com/articles/2649736710", "매물Link")</f>
        <v/>
      </c>
      <c r="M1297" s="6">
        <f>HYPERLINK("https://map.naver.com/p/search/연서면 신대리 49-9", "지도Link")</f>
        <v/>
      </c>
      <c r="N1297" s="6">
        <f>HYPERLINK("http://www.eum.go.kr/web/ar/lu/luLandDet.jsp?pnu=3611036029100490009&amp;isNoScr=script&amp;mode=search", "토지이음")</f>
        <v/>
      </c>
      <c r="O1297" s="3" t="inlineStr">
        <is>
          <t>세종몽땅</t>
        </is>
      </c>
      <c r="P1297" s="4" t="n">
        <v>1</v>
      </c>
      <c r="Q1297" s="4" t="n">
        <v>2512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농지 매물 연서면 신대리 2,512㎡ 답 매매</t>
        </is>
      </c>
      <c r="L1298" s="6">
        <f>HYPERLINK("https://fin.land.naver.com/articles/2651605840",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537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대</t>
        </is>
      </c>
      <c r="E1299" s="3" t="inlineStr">
        <is>
          <t>매매</t>
        </is>
      </c>
      <c r="F1299" s="4" t="n">
        <v>60350</v>
      </c>
      <c r="G1299" s="4" t="n">
        <v>1147</v>
      </c>
      <c r="H1299" s="4" t="n">
        <v>347</v>
      </c>
      <c r="I1299" s="5" t="n">
        <v>173.9</v>
      </c>
      <c r="J1299" s="5" t="n">
        <v>38.1</v>
      </c>
      <c r="K1299" s="3" t="inlineStr">
        <is>
          <t>2차선도로에 접해있으며 인접 도로 여건이 양호</t>
        </is>
      </c>
      <c r="L1299" s="6">
        <f>HYPERLINK("https://fin.land.naver.com/articles/2648621797", "매물Link")</f>
        <v/>
      </c>
      <c r="M1299" s="6">
        <f>HYPERLINK("https://map.naver.com/p/search/연서면 신대리 537", "지도Link")</f>
        <v/>
      </c>
      <c r="N1299" s="6">
        <f>HYPERLINK("http://www.eum.go.kr/web/ar/lu/luLandDet.jsp?pnu=3611036029105370000&amp;isNoScr=script&amp;mode=search",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1174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신대리 75-1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43700</v>
      </c>
      <c r="G1300" s="4" t="n">
        <v>1928</v>
      </c>
      <c r="H1300" s="4" t="n">
        <v>583</v>
      </c>
      <c r="I1300" s="5" t="n">
        <v>75</v>
      </c>
      <c r="J1300" s="5" t="n">
        <v>31.7</v>
      </c>
      <c r="K1300" s="3" t="inlineStr">
        <is>
          <t>2차선 도로에 접해 있는 세종 스마트 산업단지 인근의 투자용 토지</t>
        </is>
      </c>
      <c r="L1300" s="6">
        <f>HYPERLINK("https://fin.land.naver.com/articles/2653003595", "매물Link")</f>
        <v/>
      </c>
      <c r="M1300" s="6">
        <f>HYPERLINK("https://map.naver.com/p/search/연서면 신대리 75-1", "지도Link")</f>
        <v/>
      </c>
      <c r="N1300" s="6">
        <f>HYPERLINK("http://www.eum.go.kr/web/ar/lu/luLandDet.jsp?pnu=3611036029100750001&amp;isNoScr=script&amp;mode=search",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1928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120000</v>
      </c>
      <c r="G1301" s="4" t="n">
        <v>4973</v>
      </c>
      <c r="H1301" s="4" t="n">
        <v>1504</v>
      </c>
      <c r="I1301" s="5" t="n">
        <v>79.8</v>
      </c>
      <c r="J1301" s="5" t="n">
        <v>31.7</v>
      </c>
      <c r="K1301" s="3" t="inlineStr">
        <is>
          <t>연서면 국가 산단 인근 2차선접한 토지 급매</t>
        </is>
      </c>
      <c r="L1301" s="6">
        <f>HYPERLINK("https://fin.land.naver.com/articles/2648418688",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(주)경진컨설팅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69000</v>
      </c>
      <c r="G1302" s="4" t="n">
        <v>3045</v>
      </c>
      <c r="H1302" s="4" t="n">
        <v>921</v>
      </c>
      <c r="I1302" s="5" t="n">
        <v>74.90000000000001</v>
      </c>
      <c r="J1302" s="5" t="n">
        <v>31.7</v>
      </c>
      <c r="K1302" s="3" t="inlineStr">
        <is>
          <t>세종 스마트 국가산업단지가 예정 돼 있어 향후 투자가치가 높은 토지입니다</t>
        </is>
      </c>
      <c r="L1302" s="6">
        <f>HYPERLINK("https://fin.land.naver.com/articles/2649560776", "매물Link")</f>
        <v/>
      </c>
      <c r="M1302" s="6">
        <f>HYPERLINK("https://map.naver.com/p/search/연서면 신대리 75-2", "지도Link")</f>
        <v/>
      </c>
      <c r="N1302" s="6">
        <f>HYPERLINK("http://www.eum.go.kr/web/ar/lu/luLandDet.jsp?pnu=3611036029100750002&amp;isNoScr=script&amp;mode=search", "토지이음")</f>
        <v/>
      </c>
      <c r="O1302" s="3" t="inlineStr">
        <is>
          <t>스마일세종</t>
        </is>
      </c>
      <c r="P1302" s="4" t="n">
        <v>1</v>
      </c>
      <c r="Q1302" s="4" t="n">
        <v>3045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92-1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54200</v>
      </c>
      <c r="G1303" s="4" t="n">
        <v>896</v>
      </c>
      <c r="H1303" s="4" t="n">
        <v>271</v>
      </c>
      <c r="I1303" s="5" t="n">
        <v>200</v>
      </c>
      <c r="J1303" s="5" t="n">
        <v>55.6</v>
      </c>
      <c r="K1303" s="3" t="inlineStr">
        <is>
          <t>세종국가산단 3km이내 계획관리지역 토지매매</t>
        </is>
      </c>
      <c r="L1303" s="6">
        <f>HYPERLINK("https://fin.land.naver.com/articles/2647596631", "매물Link")</f>
        <v/>
      </c>
      <c r="M1303" s="6">
        <f>HYPERLINK("https://map.naver.com/p/search/연서면 신대리 92-1", "지도Link")</f>
        <v/>
      </c>
      <c r="N1303" s="6">
        <f>HYPERLINK("http://www.eum.go.kr/web/ar/lu/luLandDet.jsp?pnu=3611036029100920001&amp;isNoScr=script&amp;mode=search", "토지이음")</f>
        <v/>
      </c>
      <c r="O1303" s="3" t="inlineStr">
        <is>
          <t>에이스</t>
        </is>
      </c>
      <c r="P1303" s="4" t="n">
        <v>1</v>
      </c>
      <c r="Q1303" s="4" t="n">
        <v>896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산64-15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67000</v>
      </c>
      <c r="G1308" s="4" t="n">
        <v>1395</v>
      </c>
      <c r="H1308" s="4" t="n">
        <v>422</v>
      </c>
      <c r="I1308" s="5" t="n">
        <v>158.8</v>
      </c>
      <c r="J1308" s="5" t="n">
        <v>45.6</v>
      </c>
      <c r="K1308" s="3" t="inlineStr">
        <is>
          <t>계획관리 네모 반듯한 임야. 주택 근생 공장 창고 가능 넓은 도로</t>
        </is>
      </c>
      <c r="L1308" s="6">
        <f>HYPERLINK("https://fin.land.naver.com/articles/2652124954", "매물Link")</f>
        <v/>
      </c>
      <c r="M1308" s="6">
        <f>HYPERLINK("https://map.naver.com/p/search/연서면 신대리 산64-15", "지도Link")</f>
        <v/>
      </c>
      <c r="N1308" s="6">
        <f>HYPERLINK("http://www.eum.go.kr/web/ar/lu/luLandDet.jsp?pnu=3611036029200640015&amp;isNoScr=script&amp;mode=search", "토지이음")</f>
        <v/>
      </c>
      <c r="O1308" s="3" t="inlineStr">
        <is>
          <t>미스터홈즈강남지사</t>
        </is>
      </c>
      <c r="P1308" s="4" t="n">
        <v>1</v>
      </c>
      <c r="Q1308" s="4" t="n">
        <v>1304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쌍류리 101-10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16000</v>
      </c>
      <c r="G1309" s="4" t="n">
        <v>413</v>
      </c>
      <c r="H1309" s="4" t="n">
        <v>125</v>
      </c>
      <c r="I1309" s="5" t="n">
        <v>128</v>
      </c>
      <c r="J1309" s="5" t="n">
        <v>31.2</v>
      </c>
      <c r="K1309" s="3" t="inlineStr">
        <is>
          <t>체류형쉼터강추,도로접,국유지사용가,도로지분33제곱별도면적포함가</t>
        </is>
      </c>
      <c r="L1309" s="6">
        <f>HYPERLINK("https://fin.land.naver.com/articles/2648103313", "매물Link")</f>
        <v/>
      </c>
      <c r="M1309" s="6">
        <f>HYPERLINK("https://map.naver.com/p/search/연서면 쌍류리 101-10", "지도Link")</f>
        <v/>
      </c>
      <c r="N1309" s="6">
        <f>HYPERLINK("http://www.eum.go.kr/web/ar/lu/luLandDet.jsp?pnu=3611036026101010010&amp;isNoScr=script&amp;mode=search", "토지이음")</f>
        <v/>
      </c>
      <c r="O1309" s="3" t="inlineStr">
        <is>
          <t>힐스테이트행복</t>
        </is>
      </c>
      <c r="P1309" s="4" t="n">
        <v>1</v>
      </c>
      <c r="Q1309" s="4" t="n">
        <v>413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101-15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20000</v>
      </c>
      <c r="G1311" s="4" t="n">
        <v>417</v>
      </c>
      <c r="H1311" s="4" t="n">
        <v>126</v>
      </c>
      <c r="I1311" s="5" t="n">
        <v>158.7</v>
      </c>
      <c r="J1311" s="5" t="n">
        <v>31.2</v>
      </c>
      <c r="K1311" s="3" t="inlineStr">
        <is>
          <t>고복저수지 끝자락  나만의 힐링 텃밭 조성 가능,  농막, 정화조 있음</t>
        </is>
      </c>
      <c r="L1311" s="6">
        <f>HYPERLINK("https://fin.land.naver.com/articles/2647651356", "매물Link")</f>
        <v/>
      </c>
      <c r="M1311" s="6">
        <f>HYPERLINK("https://map.naver.com/p/search/연서면 쌍류리 101-15", "지도Link")</f>
        <v/>
      </c>
      <c r="N1311" s="6">
        <f>HYPERLINK("http://www.eum.go.kr/web/ar/lu/luLandDet.jsp?pnu=3611036026101010015&amp;isNoScr=script&amp;mode=search", "토지이음")</f>
        <v/>
      </c>
      <c r="O1311" s="3" t="inlineStr">
        <is>
          <t>현담</t>
        </is>
      </c>
      <c r="P1311" s="4" t="n">
        <v>1</v>
      </c>
      <c r="Q1311" s="4" t="n">
        <v>417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106-8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29000</v>
      </c>
      <c r="G1313" s="4" t="n">
        <v>728</v>
      </c>
      <c r="H1313" s="4" t="n">
        <v>220</v>
      </c>
      <c r="I1313" s="5" t="n">
        <v>131.8</v>
      </c>
      <c r="J1313" s="5" t="n">
        <v>31.8</v>
      </c>
      <c r="K1313" s="3" t="inlineStr">
        <is>
          <t>도로접한 과수원</t>
        </is>
      </c>
      <c r="L1313" s="6">
        <f>HYPERLINK("https://fin.land.naver.com/articles/2647652152", "매물Link")</f>
        <v/>
      </c>
      <c r="M1313" s="6">
        <f>HYPERLINK("https://map.naver.com/p/search/연서면 쌍류리 106-8", "지도Link")</f>
        <v/>
      </c>
      <c r="N1313" s="6">
        <f>HYPERLINK("http://www.eum.go.kr/web/ar/lu/luLandDet.jsp?pnu=3611036026101060008&amp;isNoScr=script&amp;mode=search", "토지이음")</f>
        <v/>
      </c>
      <c r="O1313" s="3" t="inlineStr">
        <is>
          <t>현담</t>
        </is>
      </c>
      <c r="P1313" s="4" t="n">
        <v>1</v>
      </c>
      <c r="Q1313" s="4" t="n">
        <v>728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116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23800</v>
      </c>
      <c r="G1314" s="4" t="n">
        <v>1959</v>
      </c>
      <c r="H1314" s="4" t="n">
        <v>593</v>
      </c>
      <c r="I1314" s="5" t="n">
        <v>40.1</v>
      </c>
      <c r="J1314" s="5" t="n">
        <v>25.8</v>
      </c>
      <c r="K1314" s="3" t="inlineStr">
        <is>
          <t>급매. 고복저수지 인근 소액토지</t>
        </is>
      </c>
      <c r="L1314" s="6">
        <f>HYPERLINK("https://fin.land.naver.com/articles/2648767659", "매물Link")</f>
        <v/>
      </c>
      <c r="M1314" s="6">
        <f>HYPERLINK("https://map.naver.com/p/search/연서면 쌍류리 116", "지도Link")</f>
        <v/>
      </c>
      <c r="N1314" s="6">
        <f>HYPERLINK("http://www.eum.go.kr/web/ar/lu/luLandDet.jsp?pnu=3611036026101160000&amp;isNoScr=script&amp;mode=search", "토지이음")</f>
        <v/>
      </c>
      <c r="O1314" s="3" t="inlineStr">
        <is>
          <t>강아지풀</t>
        </is>
      </c>
      <c r="P1314" s="4" t="n">
        <v>1</v>
      </c>
      <c r="Q1314" s="4" t="n">
        <v>1959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쌍류리 117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49500</v>
      </c>
      <c r="G1315" s="4" t="n">
        <v>1022</v>
      </c>
      <c r="H1315" s="4" t="n">
        <v>309</v>
      </c>
      <c r="I1315" s="5" t="n">
        <v>160.2</v>
      </c>
      <c r="J1315" s="5" t="n">
        <v>46</v>
      </c>
      <c r="K1315" s="3" t="inlineStr">
        <is>
          <t>고복저수지근방 2차 도로접,소하천접한 생산,성장관리계획구역 활용도 굿</t>
        </is>
      </c>
      <c r="L1315" s="6">
        <f>HYPERLINK("https://fin.land.naver.com/articles/2650750823", "매물Link")</f>
        <v/>
      </c>
      <c r="M1315" s="6">
        <f>HYPERLINK("https://map.naver.com/p/search/연서면 쌍류리 117", "지도Link")</f>
        <v/>
      </c>
      <c r="N1315" s="6">
        <f>HYPERLINK("http://www.eum.go.kr/web/ar/lu/luLandDet.jsp?pnu=3611036026101170000&amp;isNoScr=script&amp;mode=search", "토지이음")</f>
        <v/>
      </c>
      <c r="O1315" s="3" t="inlineStr">
        <is>
          <t>가경수</t>
        </is>
      </c>
      <c r="P1315" s="4" t="n">
        <v>1</v>
      </c>
      <c r="Q1315" s="4" t="n">
        <v>1022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126-3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92000</v>
      </c>
      <c r="G1316" s="4" t="n">
        <v>1909</v>
      </c>
      <c r="H1316" s="4" t="n">
        <v>577</v>
      </c>
      <c r="I1316" s="5" t="n">
        <v>159.4</v>
      </c>
      <c r="J1316" s="5" t="n">
        <v>46.6</v>
      </c>
      <c r="K1316" s="3" t="inlineStr">
        <is>
          <t>신축주택과 넓은 마당 갖춘 고복저수지 생활권</t>
        </is>
      </c>
      <c r="L1316" s="6">
        <f>HYPERLINK("https://fin.land.naver.com/articles/2647850817", "매물Link")</f>
        <v/>
      </c>
      <c r="M1316" s="6">
        <f>HYPERLINK("https://map.naver.com/p/search/연서면 쌍류리 126-3", "지도Link")</f>
        <v/>
      </c>
      <c r="N1316" s="6">
        <f>HYPERLINK("http://www.eum.go.kr/web/ar/lu/luLandDet.jsp?pnu=3611036026101260003&amp;isNoScr=script&amp;mode=search",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683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164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35000</v>
      </c>
      <c r="G1318" s="4" t="n">
        <v>1260</v>
      </c>
      <c r="H1318" s="4" t="n">
        <v>381</v>
      </c>
      <c r="I1318" s="5" t="n">
        <v>91.90000000000001</v>
      </c>
      <c r="J1318" s="5" t="n">
        <v>25</v>
      </c>
      <c r="K1318" s="3" t="inlineStr">
        <is>
          <t>세종 연서면 과수원 매매 생산관리지역성장관리계획구역</t>
        </is>
      </c>
      <c r="L1318" s="6">
        <f>HYPERLINK("https://fin.land.naver.com/articles/2651520255", "매물Link")</f>
        <v/>
      </c>
      <c r="M1318" s="6">
        <f>HYPERLINK("https://map.naver.com/p/search/연서면 쌍류리 164", "지도Link")</f>
        <v/>
      </c>
      <c r="N1318" s="6">
        <f>HYPERLINK("http://www.eum.go.kr/web/ar/lu/luLandDet.jsp?pnu=3611036026101640000&amp;isNoScr=script&amp;mode=search",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1260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171-3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81000</v>
      </c>
      <c r="G1319" s="4" t="n">
        <v>1978</v>
      </c>
      <c r="H1319" s="4" t="n">
        <v>598</v>
      </c>
      <c r="I1319" s="5" t="n">
        <v>135.5</v>
      </c>
      <c r="J1319" s="5" t="n">
        <v>29.7</v>
      </c>
      <c r="K1319" s="3" t="inlineStr">
        <is>
          <t>규모 있는 영농부지 찾는 분 주목</t>
        </is>
      </c>
      <c r="L1319" s="6">
        <f>HYPERLINK("https://fin.land.naver.com/articles/2649776390", "매물Link")</f>
        <v/>
      </c>
      <c r="M1319" s="6">
        <f>HYPERLINK("https://map.naver.com/p/search/연서면 쌍류리 171-3", "지도Link")</f>
        <v/>
      </c>
      <c r="N1319" s="6">
        <f>HYPERLINK("http://www.eum.go.kr/web/ar/lu/luLandDet.jsp?pnu=3611036026101710003&amp;isNoScr=script&amp;mode=search", "토지이음")</f>
        <v/>
      </c>
      <c r="O1319" s="3" t="inlineStr">
        <is>
          <t>세종몽땅</t>
        </is>
      </c>
      <c r="P1319" s="4" t="n">
        <v>1</v>
      </c>
      <c r="Q1319" s="4" t="n">
        <v>1978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110000</v>
      </c>
      <c r="G1321" s="4" t="n">
        <v>3183</v>
      </c>
      <c r="H1321" s="4" t="n">
        <v>963</v>
      </c>
      <c r="I1321" s="5" t="n">
        <v>114.2</v>
      </c>
      <c r="J1321" s="5" t="n">
        <v>35.8</v>
      </c>
      <c r="K1321" s="3" t="inlineStr">
        <is>
          <t>도로접,땅모양좋습니다,성장관리계획구역,조정가</t>
        </is>
      </c>
      <c r="L1321" s="6">
        <f>HYPERLINK("https://fin.land.naver.com/articles/2650425351", "매물Link")</f>
        <v/>
      </c>
      <c r="M1321" s="6">
        <f>HYPERLINK("https://map.naver.com/p/search/연서면 쌍류리 224", "지도Link")</f>
        <v/>
      </c>
      <c r="N1321" s="6">
        <f>HYPERLINK("http://www.eum.go.kr/web/ar/lu/luLandDet.jsp?pnu=3611036026102240000&amp;isNoScr=script&amp;mode=search", "토지이음")</f>
        <v/>
      </c>
      <c r="O1321" s="3" t="inlineStr">
        <is>
          <t>힐스테이트행복</t>
        </is>
      </c>
      <c r="P1321" s="4" t="n">
        <v>1</v>
      </c>
      <c r="Q1321" s="4" t="n">
        <v>3183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39600</v>
      </c>
      <c r="G1322" s="4" t="n">
        <v>1092</v>
      </c>
      <c r="H1322" s="4" t="n">
        <v>330</v>
      </c>
      <c r="I1322" s="5" t="n">
        <v>120</v>
      </c>
      <c r="J1322" s="5" t="n">
        <v>37.7</v>
      </c>
      <c r="K1322" s="3" t="inlineStr">
        <is>
          <t>도로접함 2필지 일괄매매 현재 과수원 미래가치ok</t>
        </is>
      </c>
      <c r="L1322" s="6">
        <f>HYPERLINK("https://fin.land.naver.com/articles/2650582716",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신불당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160000</v>
      </c>
      <c r="G1323" s="4" t="n">
        <v>3530</v>
      </c>
      <c r="H1323" s="4" t="n">
        <v>1068</v>
      </c>
      <c r="I1323" s="5" t="n">
        <v>149.8</v>
      </c>
      <c r="J1323" s="5" t="n">
        <v>37.7</v>
      </c>
      <c r="K1323" s="3" t="inlineStr">
        <is>
          <t>고복저수지인근,2차선접,투자가치좋아요</t>
        </is>
      </c>
      <c r="L1323" s="6">
        <f>HYPERLINK("https://fin.land.naver.com/articles/2650425575", "매물Link")</f>
        <v/>
      </c>
      <c r="M1323" s="6">
        <f>HYPERLINK("https://map.naver.com/p/search/연서면 쌍류리 227-1", "지도Link")</f>
        <v/>
      </c>
      <c r="N1323" s="6">
        <f>HYPERLINK("http://www.eum.go.kr/web/ar/lu/luLandDet.jsp?pnu=3611036026102270001&amp;isNoScr=script&amp;mode=search",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3530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연서면 쌍류리 232-1</t>
        </is>
      </c>
      <c r="B1324" s="3" t="inlineStr">
        <is>
          <t>생산관리지역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255000</v>
      </c>
      <c r="G1324" s="4" t="n">
        <v>5702</v>
      </c>
      <c r="H1324" s="4" t="n">
        <v>1725</v>
      </c>
      <c r="I1324" s="5" t="n">
        <v>147.8</v>
      </c>
      <c r="J1324" s="5" t="n">
        <v>28.3</v>
      </c>
      <c r="K1324" s="3" t="inlineStr">
        <is>
          <t>고복저수지인근 토지 매매</t>
        </is>
      </c>
      <c r="L1324" s="6">
        <f>HYPERLINK("https://fin.land.naver.com/articles/2648030320", "매물Link")</f>
        <v/>
      </c>
      <c r="M1324" s="6">
        <f>HYPERLINK("https://map.naver.com/p/search/연서면 쌍류리 232-1", "지도Link")</f>
        <v/>
      </c>
      <c r="N1324" s="6">
        <f>HYPERLINK("http://www.eum.go.kr/web/ar/lu/luLandDet.jsp?pnu=3611036026102320001&amp;isNoScr=script&amp;mode=search", "토지이음")</f>
        <v/>
      </c>
      <c r="O1324" s="3" t="inlineStr">
        <is>
          <t>THE행복</t>
        </is>
      </c>
      <c r="P1324" s="4" t="n">
        <v>1</v>
      </c>
      <c r="Q1324" s="4" t="n">
        <v>5605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250</t>
        </is>
      </c>
      <c r="B1325" s="3" t="inlineStr">
        <is>
          <t>계획관리지역</t>
        </is>
      </c>
      <c r="C1325" s="3" t="inlineStr">
        <is>
          <t>과수원</t>
        </is>
      </c>
      <c r="D1325" s="3" t="inlineStr">
        <is>
          <t>전</t>
        </is>
      </c>
      <c r="E1325" s="3" t="inlineStr">
        <is>
          <t>매매</t>
        </is>
      </c>
      <c r="F1325" s="4" t="n">
        <v>80000</v>
      </c>
      <c r="G1325" s="4" t="n">
        <v>2499</v>
      </c>
      <c r="H1325" s="4" t="n">
        <v>756</v>
      </c>
      <c r="I1325" s="5" t="n">
        <v>105.8</v>
      </c>
      <c r="J1325" s="5" t="n">
        <v>37.1</v>
      </c>
      <c r="K1325" s="3" t="inlineStr">
        <is>
          <t>계획관리 양지바른 남향 탁트인 개방감 국가산단 인근으로 투자용추천</t>
        </is>
      </c>
      <c r="L1325" s="6">
        <f>HYPERLINK("https://fin.land.naver.com/articles/2650281221", "매물Link")</f>
        <v/>
      </c>
      <c r="M1325" s="6">
        <f>HYPERLINK("https://map.naver.com/p/search/연서면 쌍류리 250", "지도Link")</f>
        <v/>
      </c>
      <c r="N1325" s="6">
        <f>HYPERLINK("http://www.eum.go.kr/web/ar/lu/luLandDet.jsp?pnu=3611036026102500000&amp;isNoScr=script&amp;mode=search", "토지이음")</f>
        <v/>
      </c>
      <c r="O1325" s="3" t="inlineStr">
        <is>
          <t>더샵엘리프원탑</t>
        </is>
      </c>
      <c r="P1325" s="4" t="n">
        <v>1</v>
      </c>
      <c r="Q1325" s="4" t="n">
        <v>2499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253-1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39300</v>
      </c>
      <c r="G1326" s="4" t="n">
        <v>1002</v>
      </c>
      <c r="H1326" s="4" t="n">
        <v>303</v>
      </c>
      <c r="I1326" s="5" t="n">
        <v>129.7</v>
      </c>
      <c r="J1326" s="5" t="n">
        <v>30.9</v>
      </c>
      <c r="K1326" s="3" t="inlineStr">
        <is>
          <t>고복저수지인근의 도로길게 접한 생산관리 농지, 전원생활,투자를 겸한 자경</t>
        </is>
      </c>
      <c r="L1326" s="6">
        <f>HYPERLINK("https://fin.land.naver.com/articles/2651745431", "매물Link")</f>
        <v/>
      </c>
      <c r="M1326" s="6">
        <f>HYPERLINK("https://map.naver.com/p/search/연서면 쌍류리 253-1", "지도Link")</f>
        <v/>
      </c>
      <c r="N1326" s="6">
        <f>HYPERLINK("http://www.eum.go.kr/web/ar/lu/luLandDet.jsp?pnu=3611036026102530001&amp;isNoScr=script&amp;mode=search", "토지이음")</f>
        <v/>
      </c>
      <c r="O1326" s="3" t="inlineStr">
        <is>
          <t>세종복댕이</t>
        </is>
      </c>
      <c r="P1326" s="4" t="n">
        <v>1</v>
      </c>
      <c r="Q1326" s="4" t="n">
        <v>1002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세로각지(가)</t>
        </is>
      </c>
    </row>
    <row r="1327">
      <c r="A1327" s="3" t="inlineStr">
        <is>
          <t>연서면 쌍류리 29-1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38500</v>
      </c>
      <c r="G1327" s="4" t="n">
        <v>1590</v>
      </c>
      <c r="H1327" s="4" t="n">
        <v>481</v>
      </c>
      <c r="I1327" s="5" t="n">
        <v>80</v>
      </c>
      <c r="J1327" s="5" t="n">
        <v>24.9</v>
      </c>
      <c r="K1327" s="3" t="inlineStr">
        <is>
          <t>도로접한 관리지역 토지현과수원</t>
        </is>
      </c>
      <c r="L1327" s="6">
        <f>HYPERLINK("https://fin.land.naver.com/articles/2650858545", "매물Link")</f>
        <v/>
      </c>
      <c r="M1327" s="6">
        <f>HYPERLINK("https://map.naver.com/p/search/연서면 쌍류리 29-1", "지도Link")</f>
        <v/>
      </c>
      <c r="N1327" s="6">
        <f>HYPERLINK("http://www.eum.go.kr/web/ar/lu/luLandDet.jsp?pnu=3611036026100290001&amp;isNoScr=script&amp;mode=search", "토지이음")</f>
        <v/>
      </c>
      <c r="O1327" s="3" t="inlineStr">
        <is>
          <t>세종대박</t>
        </is>
      </c>
      <c r="P1327" s="4" t="n">
        <v>2</v>
      </c>
      <c r="Q1327" s="4" t="n">
        <v>1590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304-1</t>
        </is>
      </c>
      <c r="B1328" s="3" t="inlineStr">
        <is>
          <t>계획관리지역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112000</v>
      </c>
      <c r="G1328" s="4" t="n">
        <v>1851</v>
      </c>
      <c r="H1328" s="4" t="n">
        <v>560</v>
      </c>
      <c r="I1328" s="5" t="n">
        <v>200</v>
      </c>
      <c r="J1328" s="5" t="n">
        <v>63.2</v>
      </c>
      <c r="K1328" s="3" t="inlineStr">
        <is>
          <t>공장 있었으나 멸실됨, 공장 창고 또는 근생부지로도 훌륭함</t>
        </is>
      </c>
      <c r="L1328" s="6">
        <f>HYPERLINK("https://fin.land.naver.com/articles/2652040154", "매물Link")</f>
        <v/>
      </c>
      <c r="M1328" s="6">
        <f>HYPERLINK("https://map.naver.com/p/search/연서면 쌍류리 304-1", "지도Link")</f>
        <v/>
      </c>
      <c r="N1328" s="6">
        <f>HYPERLINK("http://www.eum.go.kr/web/ar/lu/luLandDet.jsp?pnu=3611036026103040001&amp;isNoScr=script&amp;mode=search",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818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333-1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36500</v>
      </c>
      <c r="G1330" s="4" t="n">
        <v>1334</v>
      </c>
      <c r="H1330" s="4" t="n">
        <v>404</v>
      </c>
      <c r="I1330" s="5" t="n">
        <v>90.3</v>
      </c>
      <c r="J1330" s="5" t="n">
        <v>29.4</v>
      </c>
      <c r="K1330" s="3" t="inlineStr">
        <is>
          <t>하천, 도로접, 포도농원</t>
        </is>
      </c>
      <c r="L1330" s="6">
        <f>HYPERLINK("https://fin.land.naver.com/articles/2650024525", "매물Link")</f>
        <v/>
      </c>
      <c r="M1330" s="6">
        <f>HYPERLINK("https://map.naver.com/p/search/연서면 쌍류리 333-1", "지도Link")</f>
        <v/>
      </c>
      <c r="N1330" s="6">
        <f>HYPERLINK("http://www.eum.go.kr/web/ar/lu/luLandDet.jsp?pnu=3611036026103330001&amp;isNoScr=script&amp;mode=search", "토지이음")</f>
        <v/>
      </c>
      <c r="O1330" s="3" t="inlineStr">
        <is>
          <t>삼보</t>
        </is>
      </c>
      <c r="P1330" s="4" t="n">
        <v>1</v>
      </c>
      <c r="Q1330" s="4" t="n">
        <v>984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333-1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70200</v>
      </c>
      <c r="G1331" s="4" t="n">
        <v>2340</v>
      </c>
      <c r="H1331" s="4" t="n">
        <v>708</v>
      </c>
      <c r="I1331" s="5" t="n">
        <v>99.2</v>
      </c>
      <c r="J1331" s="5" t="n">
        <v>29.4</v>
      </c>
      <c r="K1331" s="3" t="inlineStr">
        <is>
          <t>연서면 쌍류리 2차선변 과수원 매매</t>
        </is>
      </c>
      <c r="L1331" s="6">
        <f>HYPERLINK("https://fin.land.naver.com/articles/2650946339", "매물Link")</f>
        <v/>
      </c>
      <c r="M1331" s="6">
        <f>HYPERLINK("https://map.naver.com/p/search/연서면 쌍류리 333-1", "지도Link")</f>
        <v/>
      </c>
      <c r="N1331" s="6">
        <f>HYPERLINK("http://www.eum.go.kr/web/ar/lu/luLandDet.jsp?pnu=3611036026103330001&amp;isNoScr=script&amp;mode=search", "토지이음")</f>
        <v/>
      </c>
      <c r="O1331" s="3" t="inlineStr">
        <is>
          <t>길운</t>
        </is>
      </c>
      <c r="P1331" s="4" t="n">
        <v>1</v>
      </c>
      <c r="Q1331" s="4" t="n">
        <v>984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42-1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22900</v>
      </c>
      <c r="G1332" s="4" t="n">
        <v>840</v>
      </c>
      <c r="H1332" s="4" t="n">
        <v>254</v>
      </c>
      <c r="I1332" s="5" t="n">
        <v>90.2</v>
      </c>
      <c r="J1332" s="5" t="n">
        <v>46</v>
      </c>
      <c r="K1332" s="3" t="inlineStr">
        <is>
          <t>도로확장 되는 부분과 96미터 정도로 길게 접한 좁고 길쭉한 토지</t>
        </is>
      </c>
      <c r="L1332" s="6">
        <f>HYPERLINK("https://fin.land.naver.com/articles/2649904522", "매물Link")</f>
        <v/>
      </c>
      <c r="M1332" s="6">
        <f>HYPERLINK("https://map.naver.com/p/search/연서면 쌍류리 42-1", "지도Link")</f>
        <v/>
      </c>
      <c r="N1332" s="6">
        <f>HYPERLINK("http://www.eum.go.kr/web/ar/lu/luLandDet.jsp?pnu=3611036026100420001&amp;isNoScr=script&amp;mode=search", "토지이음")</f>
        <v/>
      </c>
      <c r="O1332" s="3" t="inlineStr">
        <is>
          <t>미스터홈즈강남지사</t>
        </is>
      </c>
      <c r="P1332" s="4" t="n">
        <v>1</v>
      </c>
      <c r="Q1332" s="4" t="n">
        <v>840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426-2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16000</v>
      </c>
      <c r="G1333" s="4" t="n">
        <v>476</v>
      </c>
      <c r="H1333" s="4" t="n">
        <v>144</v>
      </c>
      <c r="I1333" s="5" t="n">
        <v>111.1</v>
      </c>
      <c r="J1333" s="5" t="n">
        <v>55.4</v>
      </c>
      <c r="K1333" s="3" t="inlineStr">
        <is>
          <t>nan</t>
        </is>
      </c>
      <c r="L1333" s="6">
        <f>HYPERLINK("https://fin.land.naver.com/articles/2649967157", "매물Link")</f>
        <v/>
      </c>
      <c r="M1333" s="6">
        <f>HYPERLINK("https://map.naver.com/p/search/연서면 쌍류리 426-2", "지도Link")</f>
        <v/>
      </c>
      <c r="N1333" s="6">
        <f>HYPERLINK("http://www.eum.go.kr/web/ar/lu/luLandDet.jsp?pnu=3611036026104260002&amp;isNoScr=script&amp;mode=search", "토지이음")</f>
        <v/>
      </c>
      <c r="O1333" s="3" t="inlineStr">
        <is>
          <t>지성</t>
        </is>
      </c>
      <c r="P1333" s="4" t="n">
        <v>1</v>
      </c>
      <c r="Q1333" s="4" t="n">
        <v>476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연서면 쌍류리 438-1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210000</v>
      </c>
      <c r="G1334" s="4" t="n">
        <v>11425</v>
      </c>
      <c r="H1334" s="4" t="n">
        <v>3456</v>
      </c>
      <c r="I1334" s="5" t="n">
        <v>60.8</v>
      </c>
      <c r="J1334" s="5" t="n">
        <v>27.4</v>
      </c>
      <c r="K1334" s="3" t="inlineStr">
        <is>
          <t>도로있음, 매매가협의가능, 고복저수지7분거리, 분할가능</t>
        </is>
      </c>
      <c r="L1334" s="6">
        <f>HYPERLINK("https://fin.land.naver.com/articles/2649913709", "매물Link")</f>
        <v/>
      </c>
      <c r="M1334" s="6">
        <f>HYPERLINK("https://map.naver.com/p/search/연서면 쌍류리 438-1", "지도Link")</f>
        <v/>
      </c>
      <c r="N1334" s="6">
        <f>HYPERLINK("http://www.eum.go.kr/web/ar/lu/luLandDet.jsp?pnu=3611036026104380001&amp;isNoScr=script&amp;mode=search",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11425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세로각지(가)</t>
        </is>
      </c>
    </row>
    <row r="1335">
      <c r="A1335" s="3" t="inlineStr">
        <is>
          <t>연서면 쌍류리 451</t>
        </is>
      </c>
      <c r="B1335" s="3" t="inlineStr">
        <is>
          <t>생산관리지역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55680</v>
      </c>
      <c r="G1335" s="4" t="n">
        <v>1534</v>
      </c>
      <c r="H1335" s="4" t="n">
        <v>464</v>
      </c>
      <c r="I1335" s="5" t="n">
        <v>120</v>
      </c>
      <c r="J1335" s="5" t="n">
        <v>23.6</v>
      </c>
      <c r="K1335" s="3" t="inlineStr">
        <is>
          <t>평탄화 작업 완료하여, 전원생활을 위한 원형지를 찾는 분에게 추천</t>
        </is>
      </c>
      <c r="L1335" s="6">
        <f>HYPERLINK("https://fin.land.naver.com/articles/2652093390", "매물Link")</f>
        <v/>
      </c>
      <c r="M1335" s="6">
        <f>HYPERLINK("https://map.naver.com/p/search/연서면 쌍류리 451", "지도Link")</f>
        <v/>
      </c>
      <c r="N1335" s="6">
        <f>HYPERLINK("http://www.eum.go.kr/web/ar/lu/luLandDet.jsp?pnu=3611036026104510000&amp;isNoScr=script&amp;mode=search",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1534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급경사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연서면 쌍류리 452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</v>
      </c>
      <c r="G1336" s="4" t="n">
        <v>496</v>
      </c>
      <c r="H1336" s="4" t="n">
        <v>150</v>
      </c>
      <c r="I1336" s="5" t="n">
        <v>46.7</v>
      </c>
      <c r="J1336" s="5" t="n">
        <v>15.2</v>
      </c>
      <c r="K1336" s="3" t="inlineStr">
        <is>
          <t>세종시 소규모 자본으로 투자 가능한땅,시멘트 포장도로접</t>
        </is>
      </c>
      <c r="L1336" s="6">
        <f>HYPERLINK("https://fin.land.naver.com/articles/2651793617", "매물Link")</f>
        <v/>
      </c>
      <c r="M1336" s="6">
        <f>HYPERLINK("https://map.naver.com/p/search/연서면 쌍류리 452", "지도Link")</f>
        <v/>
      </c>
      <c r="N1336" s="6">
        <f>HYPERLINK("http://www.eum.go.kr/web/ar/lu/luLandDet.jsp?pnu=3611036026104520000&amp;isNoScr=script&amp;mode=search", "토지이음")</f>
        <v/>
      </c>
      <c r="O1336" s="3" t="inlineStr">
        <is>
          <t>킹</t>
        </is>
      </c>
      <c r="P1336" s="4" t="n">
        <v>1</v>
      </c>
      <c r="Q1336" s="4" t="n">
        <v>496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454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20000</v>
      </c>
      <c r="G1337" s="4" t="n">
        <v>1296</v>
      </c>
      <c r="H1337" s="4" t="n">
        <v>392</v>
      </c>
      <c r="I1337" s="5" t="n">
        <v>51</v>
      </c>
      <c r="J1337" s="5" t="n">
        <v>28.9</v>
      </c>
      <c r="K1337" s="3" t="inlineStr">
        <is>
          <t>세종 연서면 쌍류리 생산관리 과수원 매매</t>
        </is>
      </c>
      <c r="L1337" s="6">
        <f>HYPERLINK("https://fin.land.naver.com/articles/2653135471", "매물Link")</f>
        <v/>
      </c>
      <c r="M1337" s="6">
        <f>HYPERLINK("https://map.naver.com/p/search/연서면 쌍류리 454", "지도Link")</f>
        <v/>
      </c>
      <c r="N1337" s="6">
        <f>HYPERLINK("http://www.eum.go.kr/web/ar/lu/luLandDet.jsp?pnu=3611036026104540000&amp;isNoScr=script&amp;mode=search",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1296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쌍류리 459</t>
        </is>
      </c>
      <c r="B1338" s="3" t="inlineStr">
        <is>
          <t>생산관리지역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27000</v>
      </c>
      <c r="G1338" s="4" t="n">
        <v>1983</v>
      </c>
      <c r="H1338" s="4" t="n">
        <v>600</v>
      </c>
      <c r="I1338" s="5" t="n">
        <v>45</v>
      </c>
      <c r="J1338" s="5" t="n">
        <v>23.1</v>
      </c>
      <c r="K1338" s="3" t="inlineStr">
        <is>
          <t>세종 연서면 쌍류리 생산관리 농지 매매</t>
        </is>
      </c>
      <c r="L1338" s="6">
        <f>HYPERLINK("https://fin.land.naver.com/articles/2653135048", "매물Link")</f>
        <v/>
      </c>
      <c r="M1338" s="6">
        <f>HYPERLINK("https://map.naver.com/p/search/연서면 쌍류리 459", "지도Link")</f>
        <v/>
      </c>
      <c r="N1338" s="6">
        <f>HYPERLINK("http://www.eum.go.kr/web/ar/lu/luLandDet.jsp?pnu=3611036026104590000&amp;isNoScr=script&amp;mode=search", "토지이음")</f>
        <v/>
      </c>
      <c r="O1338" s="3" t="inlineStr">
        <is>
          <t>세종몽땅</t>
        </is>
      </c>
      <c r="P1338" s="4" t="n">
        <v>1</v>
      </c>
      <c r="Q1338" s="4" t="n">
        <v>1983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쌍류리 472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28000</v>
      </c>
      <c r="G1339" s="4" t="n">
        <v>714</v>
      </c>
      <c r="H1339" s="4" t="n">
        <v>216</v>
      </c>
      <c r="I1339" s="5" t="n">
        <v>129.6</v>
      </c>
      <c r="J1339" s="5" t="n">
        <v>47</v>
      </c>
      <c r="K1339" s="3" t="inlineStr">
        <is>
          <t>세종 연서면 쌍류리 계획관리 대지 매매</t>
        </is>
      </c>
      <c r="L1339" s="6">
        <f>HYPERLINK("https://fin.land.naver.com/articles/2653136773", "매물Link")</f>
        <v/>
      </c>
      <c r="M1339" s="6">
        <f>HYPERLINK("https://map.naver.com/p/search/연서면 쌍류리 472", "지도Link")</f>
        <v/>
      </c>
      <c r="N1339" s="6">
        <f>HYPERLINK("http://www.eum.go.kr/web/ar/lu/luLandDet.jsp?pnu=3611036026104720000&amp;isNoScr=script&amp;mode=search",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714</v>
      </c>
      <c r="R1339" s="3" t="inlineStr">
        <is>
          <t>지정되지않음</t>
        </is>
      </c>
      <c r="S1339" s="3" t="inlineStr">
        <is>
          <t>단독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53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57000</v>
      </c>
      <c r="G1340" s="4" t="n">
        <v>2734</v>
      </c>
      <c r="H1340" s="4" t="n">
        <v>827</v>
      </c>
      <c r="I1340" s="5" t="n">
        <v>68.90000000000001</v>
      </c>
      <c r="J1340" s="5" t="n">
        <v>24.9</v>
      </c>
      <c r="K1340" s="3" t="inlineStr">
        <is>
          <t>명성공인, 전용827, 연서면 생산관리 추천 매물</t>
        </is>
      </c>
      <c r="L1340" s="6">
        <f>HYPERLINK("https://fin.land.naver.com/articles/2650266078", "매물Link")</f>
        <v/>
      </c>
      <c r="M1340" s="6">
        <f>HYPERLINK("https://map.naver.com/p/search/연서면 쌍류리 53", "지도Link")</f>
        <v/>
      </c>
      <c r="N1340" s="6">
        <f>HYPERLINK("http://www.eum.go.kr/web/ar/lu/luLandDet.jsp?pnu=3611036026100530000&amp;isNoScr=script&amp;mode=search", "토지이음")</f>
        <v/>
      </c>
      <c r="O1340" s="3" t="inlineStr">
        <is>
          <t>명성</t>
        </is>
      </c>
      <c r="P1340" s="4" t="n">
        <v>2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56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27000</v>
      </c>
      <c r="G1341" s="4" t="n">
        <v>1342</v>
      </c>
      <c r="H1341" s="4" t="n">
        <v>406</v>
      </c>
      <c r="I1341" s="5" t="n">
        <v>66.5</v>
      </c>
      <c r="J1341" s="5" t="n">
        <v>22.8</v>
      </c>
      <c r="K1341" s="3" t="inlineStr">
        <is>
          <t>명성공인, 전용406, 연서면 추천 매물</t>
        </is>
      </c>
      <c r="L1341" s="6">
        <f>HYPERLINK("https://fin.land.naver.com/articles/2648045315", "매물Link")</f>
        <v/>
      </c>
      <c r="M1341" s="6">
        <f>HYPERLINK("https://map.naver.com/p/search/연서면 쌍류리 56", "지도Link")</f>
        <v/>
      </c>
      <c r="N1341" s="6">
        <f>HYPERLINK("http://www.eum.go.kr/web/ar/lu/luLandDet.jsp?pnu=3611036026100560000&amp;isNoScr=script&amp;mode=search", "토지이음")</f>
        <v/>
      </c>
      <c r="O1341" s="3" t="inlineStr">
        <is>
          <t>명성</t>
        </is>
      </c>
      <c r="P1341" s="4" t="n">
        <v>1</v>
      </c>
      <c r="Q1341" s="4" t="n">
        <v>1011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쌍류리 560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31000</v>
      </c>
      <c r="G1342" s="4" t="n">
        <v>1336</v>
      </c>
      <c r="H1342" s="4" t="n">
        <v>404</v>
      </c>
      <c r="I1342" s="5" t="n">
        <v>76.7</v>
      </c>
      <c r="J1342" s="5" t="n">
        <v>24</v>
      </c>
      <c r="K1342" s="3" t="inlineStr">
        <is>
          <t>nan</t>
        </is>
      </c>
      <c r="L1342" s="6">
        <f>HYPERLINK("https://fin.land.naver.com/articles/2647537025", "매물Link")</f>
        <v/>
      </c>
      <c r="M1342" s="6">
        <f>HYPERLINK("https://map.naver.com/p/search/연서면 쌍류리 560", "지도Link")</f>
        <v/>
      </c>
      <c r="N1342" s="6">
        <f>HYPERLINK("http://www.eum.go.kr/web/ar/lu/luLandDet.jsp?pnu=3611036026105600000&amp;isNoScr=script&amp;mode=search", "토지이음")</f>
        <v/>
      </c>
      <c r="O1342" s="3" t="inlineStr">
        <is>
          <t>신태양</t>
        </is>
      </c>
      <c r="P1342" s="4" t="n">
        <v>1</v>
      </c>
      <c r="Q1342" s="4" t="n">
        <v>1336</v>
      </c>
      <c r="R1342" s="3" t="inlineStr">
        <is>
          <t>지정되지않음</t>
        </is>
      </c>
      <c r="S1342" s="3" t="inlineStr">
        <is>
          <t>전기타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564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</v>
      </c>
      <c r="G1343" s="4" t="n">
        <v>1127</v>
      </c>
      <c r="H1343" s="4" t="n">
        <v>341</v>
      </c>
      <c r="I1343" s="5" t="n">
        <v>29.3</v>
      </c>
      <c r="J1343" s="5" t="n">
        <v>22</v>
      </c>
      <c r="K1343" s="3" t="inlineStr">
        <is>
          <t>관리지역 토지매매</t>
        </is>
      </c>
      <c r="L1343" s="6">
        <f>HYPERLINK("https://fin.land.naver.com/articles/2648813367", "매물Link")</f>
        <v/>
      </c>
      <c r="M1343" s="6">
        <f>HYPERLINK("https://map.naver.com/p/search/연서면 쌍류리 564", "지도Link")</f>
        <v/>
      </c>
      <c r="N1343" s="6">
        <f>HYPERLINK("http://www.eum.go.kr/web/ar/lu/luLandDet.jsp?pnu=3611036026105640000&amp;isNoScr=script&amp;mode=search",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1127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584-1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19160</v>
      </c>
      <c r="G1344" s="4" t="n">
        <v>1056</v>
      </c>
      <c r="H1344" s="4" t="n">
        <v>319</v>
      </c>
      <c r="I1344" s="5" t="n">
        <v>60.1</v>
      </c>
      <c r="J1344" s="5" t="n">
        <v>28.9</v>
      </c>
      <c r="K1344" s="3" t="inlineStr">
        <is>
          <t>세종시에서 1억원대에 투자할수 있는땅</t>
        </is>
      </c>
      <c r="L1344" s="6">
        <f>HYPERLINK("https://fin.land.naver.com/articles/2647444352", "매물Link")</f>
        <v/>
      </c>
      <c r="M1344" s="6">
        <f>HYPERLINK("https://map.naver.com/p/search/연서면 쌍류리 584-1", "지도Link")</f>
        <v/>
      </c>
      <c r="N1344" s="6">
        <f>HYPERLINK("http://www.eum.go.kr/web/ar/lu/luLandDet.jsp?pnu=3611036026105840001&amp;isNoScr=script&amp;mode=search",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1056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584-3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49500</v>
      </c>
      <c r="G1345" s="4" t="n">
        <v>2463</v>
      </c>
      <c r="H1345" s="4" t="n">
        <v>745</v>
      </c>
      <c r="I1345" s="5" t="n">
        <v>66.40000000000001</v>
      </c>
      <c r="J1345" s="5" t="n">
        <v>28.9</v>
      </c>
      <c r="K1345" s="3" t="inlineStr">
        <is>
          <t>도로접한 저렴한 토지매매</t>
        </is>
      </c>
      <c r="L1345" s="6">
        <f>HYPERLINK("https://fin.land.naver.com/articles/2651247524", "매물Link")</f>
        <v/>
      </c>
      <c r="M1345" s="6">
        <f>HYPERLINK("https://map.naver.com/p/search/연서면 쌍류리 584-3", "지도Link")</f>
        <v/>
      </c>
      <c r="N1345" s="6">
        <f>HYPERLINK("http://www.eum.go.kr/web/ar/lu/luLandDet.jsp?pnu=3611036026105840003&amp;isNoScr=script&amp;mode=search", "토지이음")</f>
        <v/>
      </c>
      <c r="O1345" s="3" t="inlineStr">
        <is>
          <t>세종토박이</t>
        </is>
      </c>
      <c r="P1345" s="4" t="n">
        <v>1</v>
      </c>
      <c r="Q1345" s="4" t="n">
        <v>1435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쌍류리 584-3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45000</v>
      </c>
      <c r="G1346" s="4" t="n">
        <v>2463</v>
      </c>
      <c r="H1346" s="4" t="n">
        <v>745</v>
      </c>
      <c r="I1346" s="5" t="n">
        <v>60.4</v>
      </c>
      <c r="J1346" s="5" t="n">
        <v>28.9</v>
      </c>
      <c r="K1346" s="3" t="inlineStr">
        <is>
          <t>쌍류리 저렴한 토지매매</t>
        </is>
      </c>
      <c r="L1346" s="6">
        <f>HYPERLINK("https://fin.land.naver.com/articles/2653075157", "매물Link")</f>
        <v/>
      </c>
      <c r="M1346" s="6">
        <f>HYPERLINK("https://map.naver.com/p/search/연서면 쌍류리 584-3", "지도Link")</f>
        <v/>
      </c>
      <c r="N1346" s="6">
        <f>HYPERLINK("http://www.eum.go.kr/web/ar/lu/luLandDet.jsp?pnu=3611036026105840003&amp;isNoScr=script&amp;mode=search", "토지이음")</f>
        <v/>
      </c>
      <c r="O1346" s="3" t="inlineStr">
        <is>
          <t>세종땅사랑</t>
        </is>
      </c>
      <c r="P1346" s="4" t="n">
        <v>1</v>
      </c>
      <c r="Q1346" s="4" t="n">
        <v>1435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598-1</t>
        </is>
      </c>
      <c r="B1347" s="3" t="inlineStr">
        <is>
          <t>생산관리지역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78000</v>
      </c>
      <c r="G1347" s="4" t="n">
        <v>1572</v>
      </c>
      <c r="H1347" s="4" t="n">
        <v>476</v>
      </c>
      <c r="I1347" s="5" t="n">
        <v>163.9</v>
      </c>
      <c r="J1347" s="5" t="n">
        <v>48</v>
      </c>
      <c r="K1347" s="3" t="inlineStr">
        <is>
          <t>2차선 도로 접 하고 있는매물</t>
        </is>
      </c>
      <c r="L1347" s="6">
        <f>HYPERLINK("https://fin.land.naver.com/articles/2647765926", "매물Link")</f>
        <v/>
      </c>
      <c r="M1347" s="6">
        <f>HYPERLINK("https://map.naver.com/p/search/연서면 쌍류리 598-1", "지도Link")</f>
        <v/>
      </c>
      <c r="N1347" s="6">
        <f>HYPERLINK("http://www.eum.go.kr/web/ar/lu/luLandDet.jsp?pnu=3611036026105980001&amp;isNoScr=script&amp;mode=search", "토지이음")</f>
        <v/>
      </c>
      <c r="O1347" s="3" t="inlineStr">
        <is>
          <t>지호주식회사</t>
        </is>
      </c>
      <c r="P1347" s="4" t="n">
        <v>1</v>
      </c>
      <c r="Q1347" s="4" t="n">
        <v>1126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소로각지</t>
        </is>
      </c>
    </row>
    <row r="1348">
      <c r="A1348" s="3" t="inlineStr">
        <is>
          <t>연서면 쌍류리 6-11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46000</v>
      </c>
      <c r="G1348" s="4" t="n">
        <v>6289</v>
      </c>
      <c r="H1348" s="4" t="n">
        <v>1902</v>
      </c>
      <c r="I1348" s="5" t="n">
        <v>24.2</v>
      </c>
      <c r="J1348" s="5" t="n">
        <v>3</v>
      </c>
      <c r="K1348" s="3" t="inlineStr">
        <is>
          <t>연서면 2차선변 야산</t>
        </is>
      </c>
      <c r="L1348" s="6">
        <f>HYPERLINK("https://fin.land.naver.com/articles/2647576378", "매물Link")</f>
        <v/>
      </c>
      <c r="M1348" s="6">
        <f>HYPERLINK("https://map.naver.com/p/search/연서면 쌍류리 6-11", "지도Link")</f>
        <v/>
      </c>
      <c r="N1348" s="6">
        <f>HYPERLINK("http://www.eum.go.kr/web/ar/lu/luLandDet.jsp?pnu=3611036026100060011&amp;isNoScr=script&amp;mode=search", "토지이음")</f>
        <v/>
      </c>
      <c r="O1348" s="3" t="inlineStr">
        <is>
          <t>KB세종</t>
        </is>
      </c>
      <c r="P1348" s="4" t="n">
        <v>1</v>
      </c>
      <c r="Q1348" s="4" t="n">
        <v>6289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608-4</t>
        </is>
      </c>
      <c r="B1349" s="3" t="inlineStr">
        <is>
          <t>보전관리지역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18000</v>
      </c>
      <c r="G1349" s="4" t="n">
        <v>500</v>
      </c>
      <c r="H1349" s="4" t="n">
        <v>151</v>
      </c>
      <c r="I1349" s="5" t="n">
        <v>119.2</v>
      </c>
      <c r="J1349" s="5" t="n">
        <v>25.4</v>
      </c>
      <c r="K1349" s="3" t="inlineStr">
        <is>
          <t>세종에서 1억원대에 투자할수 있는땅</t>
        </is>
      </c>
      <c r="L1349" s="6">
        <f>HYPERLINK("https://fin.land.naver.com/articles/2647444081", "매물Link")</f>
        <v/>
      </c>
      <c r="M1349" s="6">
        <f>HYPERLINK("https://map.naver.com/p/search/연서면 쌍류리 608-4", "지도Link")</f>
        <v/>
      </c>
      <c r="N1349" s="6">
        <f>HYPERLINK("http://www.eum.go.kr/web/ar/lu/luLandDet.jsp?pnu=3611036026106080004&amp;isNoScr=script&amp;mode=search", "토지이음")</f>
        <v/>
      </c>
      <c r="O1349" s="3" t="inlineStr">
        <is>
          <t>킹</t>
        </is>
      </c>
      <c r="P1349" s="4" t="n">
        <v>1</v>
      </c>
      <c r="Q1349" s="4" t="n">
        <v>500</v>
      </c>
      <c r="R1349" s="3" t="inlineStr">
        <is>
          <t>생산관리지역</t>
        </is>
      </c>
      <c r="S1349" s="3" t="inlineStr">
        <is>
          <t>과수원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쌍류리 706-99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17000</v>
      </c>
      <c r="G1350" s="4" t="n">
        <v>522</v>
      </c>
      <c r="H1350" s="4" t="n">
        <v>158</v>
      </c>
      <c r="I1350" s="5" t="n">
        <v>107.6</v>
      </c>
      <c r="J1350" s="5" t="n">
        <v>32.8</v>
      </c>
      <c r="K1350" s="3" t="inlineStr">
        <is>
          <t>쌍류리 2차선길게 접한 코너각지 위치좋고 저렴한 토지</t>
        </is>
      </c>
      <c r="L1350" s="6">
        <f>HYPERLINK("https://fin.land.naver.com/articles/2651241272", "매물Link")</f>
        <v/>
      </c>
      <c r="M1350" s="6">
        <f>HYPERLINK("https://map.naver.com/p/search/연서면 쌍류리 706-99", "지도Link")</f>
        <v/>
      </c>
      <c r="N1350" s="6">
        <f>HYPERLINK("http://www.eum.go.kr/web/ar/lu/luLandDet.jsp?pnu=3611036026107060099&amp;isNoScr=script&amp;mode=search", "토지이음")</f>
        <v/>
      </c>
      <c r="O1350" s="3" t="inlineStr">
        <is>
          <t>세종땅사랑</t>
        </is>
      </c>
      <c r="P1350" s="4" t="n">
        <v>1</v>
      </c>
      <c r="Q1350" s="4" t="n">
        <v>314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16300</v>
      </c>
      <c r="G1351" s="4" t="n">
        <v>522</v>
      </c>
      <c r="H1351" s="4" t="n">
        <v>158</v>
      </c>
      <c r="I1351" s="5" t="n">
        <v>103.2</v>
      </c>
      <c r="J1351" s="5" t="n">
        <v>32.8</v>
      </c>
      <c r="K1351" s="3" t="inlineStr">
        <is>
          <t>2차선 도로변의 접근성 좋은 급매 토지</t>
        </is>
      </c>
      <c r="L1351" s="6">
        <f>HYPERLINK("https://fin.land.naver.com/articles/2648746836",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용궁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150000</v>
      </c>
      <c r="G1352" s="4" t="n">
        <v>2088</v>
      </c>
      <c r="H1352" s="4" t="n">
        <v>632</v>
      </c>
      <c r="I1352" s="5" t="n">
        <v>237.3</v>
      </c>
      <c r="J1352" s="5" t="n">
        <v>83.09999999999999</v>
      </c>
      <c r="K1352" s="3" t="inlineStr">
        <is>
          <t>인근에서 보기 두문 계획관리 부지</t>
        </is>
      </c>
      <c r="L1352" s="6">
        <f>HYPERLINK("https://fin.land.naver.com/articles/2650344547", "매물Link")</f>
        <v/>
      </c>
      <c r="M1352" s="6">
        <f>HYPERLINK("https://map.naver.com/p/search/연서면 쌍류리 72", "지도Link")</f>
        <v/>
      </c>
      <c r="N1352" s="6">
        <f>HYPERLINK("http://www.eum.go.kr/web/ar/lu/luLandDet.jsp?pnu=3611036026100720000&amp;isNoScr=script&amp;mode=search", "토지이음")</f>
        <v/>
      </c>
      <c r="O1352" s="3" t="inlineStr">
        <is>
          <t>비전</t>
        </is>
      </c>
      <c r="P1352" s="4" t="n">
        <v>1</v>
      </c>
      <c r="Q1352" s="4" t="n">
        <v>650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연서면 쌍류리 94-12</t>
        </is>
      </c>
      <c r="B1353" s="3" t="inlineStr">
        <is>
          <t>생산관리지역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26560</v>
      </c>
      <c r="G1353" s="4" t="n">
        <v>477</v>
      </c>
      <c r="H1353" s="4" t="n">
        <v>144</v>
      </c>
      <c r="I1353" s="5" t="n">
        <v>184.4</v>
      </c>
      <c r="J1353" s="5" t="n">
        <v>30.2</v>
      </c>
      <c r="K1353" s="3" t="inlineStr">
        <is>
          <t>nan</t>
        </is>
      </c>
      <c r="L1353" s="6">
        <f>HYPERLINK("https://fin.land.naver.com/articles/2650436505", "매물Link")</f>
        <v/>
      </c>
      <c r="M1353" s="6">
        <f>HYPERLINK("https://map.naver.com/p/search/연서면 쌍류리 94-12", "지도Link")</f>
        <v/>
      </c>
      <c r="N1353" s="6">
        <f>HYPERLINK("http://www.eum.go.kr/web/ar/lu/luLandDet.jsp?pnu=3611036026100940012&amp;isNoScr=script&amp;mode=search", "토지이음")</f>
        <v/>
      </c>
      <c r="O1353" s="3" t="inlineStr">
        <is>
          <t>세종소담114</t>
        </is>
      </c>
      <c r="P1353" s="4" t="n">
        <v>1</v>
      </c>
      <c r="Q1353" s="4" t="n">
        <v>477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쌍전리 140-2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27000</v>
      </c>
      <c r="G1355" s="4" t="n">
        <v>700</v>
      </c>
      <c r="H1355" s="4" t="n">
        <v>212</v>
      </c>
      <c r="I1355" s="5" t="n">
        <v>127.4</v>
      </c>
      <c r="J1355" s="5" t="n">
        <v>55.9</v>
      </c>
      <c r="K1355" s="3" t="inlineStr">
        <is>
          <t>포장도로에 접해있어 주말체험농장이나 농촌체류형 쉼터로 적합한 투자용 전</t>
        </is>
      </c>
      <c r="L1355" s="6">
        <f>HYPERLINK("https://fin.land.naver.com/articles/2652186050", "매물Link")</f>
        <v/>
      </c>
      <c r="M1355" s="6">
        <f>HYPERLINK("https://map.naver.com/p/search/연서면 쌍전리 140-2", "지도Link")</f>
        <v/>
      </c>
      <c r="N1355" s="6">
        <f>HYPERLINK("http://www.eum.go.kr/web/ar/lu/luLandDet.jsp?pnu=3611036022101400002&amp;isNoScr=script&amp;mode=search", "토지이음")</f>
        <v/>
      </c>
      <c r="O1355" s="3" t="inlineStr">
        <is>
          <t>스마일세종</t>
        </is>
      </c>
      <c r="P1355" s="4" t="n">
        <v>2</v>
      </c>
      <c r="Q1355" s="4" t="n">
        <v>510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쌍전리 175-14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39200</v>
      </c>
      <c r="G1356" s="4" t="n">
        <v>518</v>
      </c>
      <c r="H1356" s="4" t="n">
        <v>157</v>
      </c>
      <c r="I1356" s="5" t="n">
        <v>249.7</v>
      </c>
      <c r="J1356" s="5" t="n">
        <v>66.90000000000001</v>
      </c>
      <c r="K1356" s="3" t="inlineStr">
        <is>
          <t>전원주택단지 최고의 입지  단지조성완료  협의가능  연기군아파트공급호재</t>
        </is>
      </c>
      <c r="L1356" s="6">
        <f>HYPERLINK("https://fin.land.naver.com/articles/2647888422", "매물Link")</f>
        <v/>
      </c>
      <c r="M1356" s="6">
        <f>HYPERLINK("https://map.naver.com/p/search/연서면 쌍전리 175-14", "지도Link")</f>
        <v/>
      </c>
      <c r="N1356" s="6">
        <f>HYPERLINK("http://www.eum.go.kr/web/ar/lu/luLandDet.jsp?pnu=3611036022101750014&amp;isNoScr=script&amp;mode=search", "토지이음")</f>
        <v/>
      </c>
      <c r="O1356" s="3" t="inlineStr">
        <is>
          <t>연세</t>
        </is>
      </c>
      <c r="P1356" s="4" t="n">
        <v>1</v>
      </c>
      <c r="Q1356" s="4" t="n">
        <v>518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619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110000</v>
      </c>
      <c r="G1370" s="4" t="n">
        <v>3607</v>
      </c>
      <c r="H1370" s="4" t="n">
        <v>1091</v>
      </c>
      <c r="I1370" s="5" t="n">
        <v>100.8</v>
      </c>
      <c r="J1370" s="5" t="n">
        <v>30.3</v>
      </c>
      <c r="K1370" s="3" t="inlineStr">
        <is>
          <t>2차선 도로에접한 토지로 현재가보다 매우 저렴하게 나온 매물임.</t>
        </is>
      </c>
      <c r="L1370" s="6">
        <f>HYPERLINK("https://fin.land.naver.com/articles/2648518171", "매물Link")</f>
        <v/>
      </c>
      <c r="M1370" s="6">
        <f>HYPERLINK("https://map.naver.com/p/search/연서면 쌍전리 619", "지도Link")</f>
        <v/>
      </c>
      <c r="N1370" s="6">
        <f>HYPERLINK("http://www.eum.go.kr/web/ar/lu/luLandDet.jsp?pnu=3611036022106190000&amp;isNoScr=script&amp;mode=search",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3607.3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연서면 쌍전리 619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3607</v>
      </c>
      <c r="H1371" s="4" t="n">
        <v>1091</v>
      </c>
      <c r="I1371" s="5" t="n">
        <v>110</v>
      </c>
      <c r="J1371" s="5" t="n">
        <v>30.3</v>
      </c>
      <c r="K1371" s="3" t="inlineStr">
        <is>
          <t>도로 접한 코너 답 토지 접근성 우수</t>
        </is>
      </c>
      <c r="L1371" s="6">
        <f>HYPERLINK("https://fin.land.naver.com/articles/2648379661", "매물Link")</f>
        <v/>
      </c>
      <c r="M1371" s="6">
        <f>HYPERLINK("https://map.naver.com/p/search/연서면 쌍전리 619", "지도Link")</f>
        <v/>
      </c>
      <c r="N1371" s="6">
        <f>HYPERLINK("http://www.eum.go.kr/web/ar/lu/luLandDet.jsp?pnu=3611036022106190000&amp;isNoScr=script&amp;mode=search", "토지이음")</f>
        <v/>
      </c>
      <c r="O1371" s="3" t="inlineStr">
        <is>
          <t>몬스터</t>
        </is>
      </c>
      <c r="P1371" s="4" t="n">
        <v>1</v>
      </c>
      <c r="Q1371" s="4" t="n">
        <v>3607.3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연서면 쌍전리 638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103800</v>
      </c>
      <c r="G1372" s="4" t="n">
        <v>3431</v>
      </c>
      <c r="H1372" s="4" t="n">
        <v>1038</v>
      </c>
      <c r="I1372" s="5" t="n">
        <v>100</v>
      </c>
      <c r="J1372" s="5" t="n">
        <v>28.3</v>
      </c>
      <c r="K1372" s="3" t="inlineStr">
        <is>
          <t>쌍전리 2차선도로 가까운 토지 북세종톨게이트 예정지 수혜지</t>
        </is>
      </c>
      <c r="L1372" s="6">
        <f>HYPERLINK("https://fin.land.naver.com/articles/2649964374", "매물Link")</f>
        <v/>
      </c>
      <c r="M1372" s="6">
        <f>HYPERLINK("https://map.naver.com/p/search/연서면 쌍전리 638", "지도Link")</f>
        <v/>
      </c>
      <c r="N1372" s="6">
        <f>HYPERLINK("http://www.eum.go.kr/web/ar/lu/luLandDet.jsp?pnu=3611036022106380000&amp;isNoScr=script&amp;mode=search", "토지이음")</f>
        <v/>
      </c>
      <c r="O1372" s="3" t="inlineStr">
        <is>
          <t>지성</t>
        </is>
      </c>
      <c r="P1372" s="4" t="n">
        <v>1</v>
      </c>
      <c r="Q1372" s="4" t="n">
        <v>3431.4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연서면 쌍전리 654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132000</v>
      </c>
      <c r="G1373" s="4" t="n">
        <v>3980</v>
      </c>
      <c r="H1373" s="4" t="n">
        <v>1204</v>
      </c>
      <c r="I1373" s="5" t="n">
        <v>109.6</v>
      </c>
      <c r="J1373" s="5" t="n">
        <v>28</v>
      </c>
      <c r="K1373" s="3" t="inlineStr">
        <is>
          <t>도로접한 농림지역 농지. 대토추천</t>
        </is>
      </c>
      <c r="L1373" s="6">
        <f>HYPERLINK("https://fin.land.naver.com/articles/2649890122", "매물Link")</f>
        <v/>
      </c>
      <c r="M1373" s="6">
        <f>HYPERLINK("https://map.naver.com/p/search/연서면 쌍전리 654", "지도Link")</f>
        <v/>
      </c>
      <c r="N1373" s="6">
        <f>HYPERLINK("http://www.eum.go.kr/web/ar/lu/luLandDet.jsp?pnu=3611036022106540000&amp;isNoScr=script&amp;mode=search", "토지이음")</f>
        <v/>
      </c>
      <c r="O1373" s="3" t="inlineStr">
        <is>
          <t>미스터홈즈강남지사</t>
        </is>
      </c>
      <c r="P1373" s="4" t="n">
        <v>1</v>
      </c>
      <c r="Q1373" s="4" t="n">
        <v>3980.6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HYPERLINK("https://fin.land.naver.com/articles/2648102972",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2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684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70000</v>
      </c>
      <c r="G1375" s="4" t="n">
        <v>1015</v>
      </c>
      <c r="H1375" s="4" t="n">
        <v>307</v>
      </c>
      <c r="I1375" s="5" t="n">
        <v>228</v>
      </c>
      <c r="J1375" s="5" t="n">
        <v>30.3</v>
      </c>
      <c r="K1375" s="3" t="inlineStr">
        <is>
          <t>양면6미터도로접,북세종IC예정지앞,현재 복숭아 농사중,성토완료,</t>
        </is>
      </c>
      <c r="L1375" s="6">
        <f>HYPERLINK("https://fin.land.naver.com/articles/2651993946", "매물Link")</f>
        <v/>
      </c>
      <c r="M1375" s="6">
        <f>HYPERLINK("https://map.naver.com/p/search/연서면 쌍전리 684", "지도Link")</f>
        <v/>
      </c>
      <c r="N1375" s="6">
        <f>HYPERLINK("http://www.eum.go.kr/web/ar/lu/luLandDet.jsp?pnu=3611036022106840000&amp;isNoScr=script&amp;mode=search", "토지이음")</f>
        <v/>
      </c>
      <c r="O1375" s="3" t="inlineStr">
        <is>
          <t>담뜰</t>
        </is>
      </c>
      <c r="P1375" s="4" t="n">
        <v>8</v>
      </c>
      <c r="Q1375" s="4" t="n">
        <v>1015.5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1016</v>
      </c>
      <c r="H1376" s="4" t="n">
        <v>307</v>
      </c>
      <c r="I1376" s="5" t="n">
        <v>228</v>
      </c>
      <c r="J1376" s="5" t="n">
        <v>30.3</v>
      </c>
      <c r="K1376" s="3" t="inlineStr">
        <is>
          <t>nan</t>
        </is>
      </c>
      <c r="L1376" s="6">
        <f>HYPERLINK("https://fin.land.naver.com/articles/2651396918",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로데오상가</t>
        </is>
      </c>
      <c r="P1376" s="4" t="n">
        <v>1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78</t>
        </is>
      </c>
      <c r="B1377" s="3" t="inlineStr">
        <is>
          <t>자연녹지지역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24500</v>
      </c>
      <c r="G1377" s="4" t="n">
        <v>324</v>
      </c>
      <c r="H1377" s="4" t="n">
        <v>98</v>
      </c>
      <c r="I1377" s="5" t="n">
        <v>250</v>
      </c>
      <c r="J1377" s="5" t="n">
        <v>106.9</v>
      </c>
      <c r="K1377" s="3" t="inlineStr">
        <is>
          <t>자연녹지, 자연취락지구 내 대지. 현재는 나대지임. 건폐율 60</t>
        </is>
      </c>
      <c r="L1377" s="6">
        <f>HYPERLINK("https://fin.land.naver.com/articles/2649900081", "매물Link")</f>
        <v/>
      </c>
      <c r="M1377" s="6">
        <f>HYPERLINK("https://map.naver.com/p/search/연서면 쌍전리 78", "지도Link")</f>
        <v/>
      </c>
      <c r="N1377" s="6">
        <f>HYPERLINK("http://www.eum.go.kr/web/ar/lu/luLandDet.jsp?pnu=3611036022100780000&amp;isNoScr=script&amp;mode=search", "토지이음")</f>
        <v/>
      </c>
      <c r="O1377" s="3" t="inlineStr">
        <is>
          <t>미스터홈즈강남지사</t>
        </is>
      </c>
      <c r="P1377" s="4" t="n">
        <v>1</v>
      </c>
      <c r="Q1377" s="4" t="n">
        <v>324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쌍전리 산 29-1</t>
        </is>
      </c>
      <c r="B1378" s="3" t="inlineStr">
        <is>
          <t>자연녹지지역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218500</v>
      </c>
      <c r="G1378" s="4" t="n">
        <v>7223</v>
      </c>
      <c r="H1378" s="4" t="n">
        <v>2185</v>
      </c>
      <c r="I1378" s="5" t="n">
        <v>100</v>
      </c>
      <c r="J1378" s="5" t="n">
        <v>20.6</v>
      </c>
      <c r="K1378" s="3" t="inlineStr">
        <is>
          <t>2필지. 자연취락지구,준보전산지.</t>
        </is>
      </c>
      <c r="L1378" s="6">
        <f>HYPERLINK("https://fin.land.naver.com/articles/2653109397", "매물Link")</f>
        <v/>
      </c>
      <c r="M1378" s="6">
        <f>HYPERLINK("https://map.naver.com/p/search/연서면 쌍전리 산 29-1", "지도Link")</f>
        <v/>
      </c>
      <c r="N1378" s="6">
        <f>HYPERLINK("http://www.eum.go.kr/web/ar/lu/luLandDet.jsp?pnu=3611036022200290001&amp;isNoScr=script&amp;mode=search",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6446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연서면 쌍전리 산18-6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196000</v>
      </c>
      <c r="G1379" s="4" t="n">
        <v>6318</v>
      </c>
      <c r="H1379" s="4" t="n">
        <v>1911</v>
      </c>
      <c r="I1379" s="5" t="n">
        <v>102.6</v>
      </c>
      <c r="J1379" s="5" t="n">
        <v>21.7</v>
      </c>
      <c r="K1379" s="3" t="inlineStr">
        <is>
          <t>연서면 쌍전리 임야와 과수원을 일괄하여 급매로 매매합니다</t>
        </is>
      </c>
      <c r="L1379" s="6">
        <f>HYPERLINK("https://fin.land.naver.com/articles/2649203413", "매물Link")</f>
        <v/>
      </c>
      <c r="M1379" s="6">
        <f>HYPERLINK("https://map.naver.com/p/search/연서면 쌍전리 산18-6", "지도Link")</f>
        <v/>
      </c>
      <c r="N1379" s="6">
        <f>HYPERLINK("http://www.eum.go.kr/web/ar/lu/luLandDet.jsp?pnu=3611036022200180006&amp;isNoScr=script&amp;mode=search",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1463</v>
      </c>
      <c r="R1379" s="3" t="inlineStr">
        <is>
          <t>지정되지않음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와촌리 1075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73000</v>
      </c>
      <c r="G1380" s="4" t="n">
        <v>1600</v>
      </c>
      <c r="H1380" s="4" t="n">
        <v>484</v>
      </c>
      <c r="I1380" s="5" t="n">
        <v>150.8</v>
      </c>
      <c r="J1380" s="5" t="n">
        <v>41.7</v>
      </c>
      <c r="K1380" s="3" t="inlineStr">
        <is>
          <t>세종 연서면 와촌리 토지</t>
        </is>
      </c>
      <c r="L1380" s="6">
        <f>HYPERLINK("https://fin.land.naver.com/articles/2649772695", "매물Link")</f>
        <v/>
      </c>
      <c r="M1380" s="6">
        <f>HYPERLINK("https://map.naver.com/p/search/연서면 와촌리 1075", "지도Link")</f>
        <v/>
      </c>
      <c r="N1380" s="6">
        <f>HYPERLINK("http://www.eum.go.kr/web/ar/lu/luLandDet.jsp?pnu=3611036031110750000&amp;isNoScr=script&amp;mode=search",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1600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72600</v>
      </c>
      <c r="G1381" s="4" t="n">
        <v>1600</v>
      </c>
      <c r="H1381" s="4" t="n">
        <v>484</v>
      </c>
      <c r="I1381" s="5" t="n">
        <v>150</v>
      </c>
      <c r="J1381" s="5" t="n">
        <v>41.7</v>
      </c>
      <c r="K1381" s="3" t="inlineStr">
        <is>
          <t>주말농장 및 투자용</t>
        </is>
      </c>
      <c r="L1381" s="6">
        <f>HYPERLINK("https://fin.land.naver.com/articles/2647763444",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지호주식회사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1092-4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150000</v>
      </c>
      <c r="G1382" s="4" t="n">
        <v>1661</v>
      </c>
      <c r="H1382" s="4" t="n">
        <v>502</v>
      </c>
      <c r="I1382" s="5" t="n">
        <v>298.8</v>
      </c>
      <c r="J1382" s="5" t="n">
        <v>59.2</v>
      </c>
      <c r="K1382" s="3" t="inlineStr">
        <is>
          <t>지방도 접해 있고 다양한 용도로 활용성 높은 투자가치 높은 용지</t>
        </is>
      </c>
      <c r="L1382" s="6">
        <f>HYPERLINK("https://fin.land.naver.com/articles/2649282774", "매물Link")</f>
        <v/>
      </c>
      <c r="M1382" s="6">
        <f>HYPERLINK("https://map.naver.com/p/search/연서면 와촌리 1092-4", "지도Link")</f>
        <v/>
      </c>
      <c r="N1382" s="6">
        <f>HYPERLINK("http://www.eum.go.kr/web/ar/lu/luLandDet.jsp?pnu=3611036031110920004&amp;isNoScr=script&amp;mode=search", "토지이음")</f>
        <v/>
      </c>
      <c r="O1382" s="3" t="inlineStr">
        <is>
          <t>반곡황금더샵</t>
        </is>
      </c>
      <c r="P1382" s="4" t="n">
        <v>1</v>
      </c>
      <c r="Q1382" s="4" t="n">
        <v>1661</v>
      </c>
      <c r="R1382" s="3" t="inlineStr">
        <is>
          <t>지정되지않음</t>
        </is>
      </c>
      <c r="S1382" s="3" t="inlineStr">
        <is>
          <t>전기타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1094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34400</v>
      </c>
      <c r="G1383" s="4" t="n">
        <v>284</v>
      </c>
      <c r="H1383" s="4" t="n">
        <v>86</v>
      </c>
      <c r="I1383" s="5" t="n">
        <v>400</v>
      </c>
      <c r="J1383" s="5" t="n">
        <v>80.09999999999999</v>
      </c>
      <c r="K1383" s="3" t="inlineStr">
        <is>
          <t>상가 신축에 아주 적합한 2차선변에 길게 접한 소액투자 토지</t>
        </is>
      </c>
      <c r="L1383" s="6">
        <f>HYPERLINK("https://fin.land.naver.com/articles/2651949476", "매물Link")</f>
        <v/>
      </c>
      <c r="M1383" s="6">
        <f>HYPERLINK("https://map.naver.com/p/search/연서면 와촌리 1094", "지도Link")</f>
        <v/>
      </c>
      <c r="N1383" s="6">
        <f>HYPERLINK("http://www.eum.go.kr/web/ar/lu/luLandDet.jsp?pnu=3611036031110940000&amp;isNoScr=script&amp;mode=search", "토지이음")</f>
        <v/>
      </c>
      <c r="O1383" s="3" t="inlineStr">
        <is>
          <t>용궁</t>
        </is>
      </c>
      <c r="P1383" s="4" t="n">
        <v>1</v>
      </c>
      <c r="Q1383" s="4" t="n">
        <v>285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1109-1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87000</v>
      </c>
      <c r="G1384" s="4" t="n">
        <v>960</v>
      </c>
      <c r="H1384" s="4" t="n">
        <v>290</v>
      </c>
      <c r="I1384" s="5" t="n">
        <v>300</v>
      </c>
      <c r="J1384" s="5" t="n">
        <v>80.09999999999999</v>
      </c>
      <c r="K1384" s="3" t="inlineStr">
        <is>
          <t>도로접한 근생 건축 가능 토지</t>
        </is>
      </c>
      <c r="L1384" s="6">
        <f>HYPERLINK("https://fin.land.naver.com/articles/2647548610", "매물Link")</f>
        <v/>
      </c>
      <c r="M1384" s="6">
        <f>HYPERLINK("https://map.naver.com/p/search/연서면 와촌리 1109-1", "지도Link")</f>
        <v/>
      </c>
      <c r="N1384" s="6">
        <f>HYPERLINK("http://www.eum.go.kr/web/ar/lu/luLandDet.jsp?pnu=3611036031111090001&amp;isNoScr=script&amp;mode=search", "토지이음")</f>
        <v/>
      </c>
      <c r="O1384" s="3" t="inlineStr">
        <is>
          <t>강우림</t>
        </is>
      </c>
      <c r="P1384" s="4" t="n">
        <v>1</v>
      </c>
      <c r="Q1384" s="4" t="n">
        <v>960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1175</t>
        </is>
      </c>
      <c r="B1385" s="3" t="inlineStr">
        <is>
          <t>보전관리지역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18000</v>
      </c>
      <c r="G1385" s="4" t="n">
        <v>744</v>
      </c>
      <c r="H1385" s="4" t="n">
        <v>225</v>
      </c>
      <c r="I1385" s="5" t="n">
        <v>80</v>
      </c>
      <c r="J1385" s="5" t="n">
        <v>23.7</v>
      </c>
      <c r="K1385" s="3" t="inlineStr">
        <is>
          <t>소액 투자나 농막 체류형쉼터용 농지</t>
        </is>
      </c>
      <c r="L1385" s="6">
        <f>HYPERLINK("https://fin.land.naver.com/articles/2651948470", "매물Link")</f>
        <v/>
      </c>
      <c r="M1385" s="6">
        <f>HYPERLINK("https://map.naver.com/p/search/연서면 와촌리 1175", "지도Link")</f>
        <v/>
      </c>
      <c r="N1385" s="6">
        <f>HYPERLINK("http://www.eum.go.kr/web/ar/lu/luLandDet.jsp?pnu=3611036031111750000&amp;isNoScr=script&amp;mode=search", "토지이음")</f>
        <v/>
      </c>
      <c r="O1385" s="3" t="inlineStr">
        <is>
          <t>용궁</t>
        </is>
      </c>
      <c r="P1385" s="4" t="n">
        <v>1</v>
      </c>
      <c r="Q1385" s="4" t="n">
        <v>744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연서면 와촌리 1180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180000</v>
      </c>
      <c r="G1386" s="4" t="n">
        <v>2380</v>
      </c>
      <c r="H1386" s="4" t="n">
        <v>720</v>
      </c>
      <c r="I1386" s="5" t="n">
        <v>250</v>
      </c>
      <c r="J1386" s="5" t="n">
        <v>84.8</v>
      </c>
      <c r="K1386" s="3" t="inlineStr">
        <is>
          <t>마을 맨 윗쪽 넓은 전원주택지. 현재 전 및 일부 축사</t>
        </is>
      </c>
      <c r="L1386" s="6">
        <f>HYPERLINK("https://fin.land.naver.com/articles/2651423318", "매물Link")</f>
        <v/>
      </c>
      <c r="M1386" s="6">
        <f>HYPERLINK("https://map.naver.com/p/search/연서면 와촌리 1180", "지도Link")</f>
        <v/>
      </c>
      <c r="N1386" s="6">
        <f>HYPERLINK("http://www.eum.go.kr/web/ar/lu/luLandDet.jsp?pnu=3611036031111800000&amp;isNoScr=script&amp;mode=search", "토지이음")</f>
        <v/>
      </c>
      <c r="O1386" s="3" t="inlineStr">
        <is>
          <t>세종소담114</t>
        </is>
      </c>
      <c r="P1386" s="4" t="n">
        <v>1</v>
      </c>
      <c r="Q1386" s="4" t="n">
        <v>2380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세로한면(불)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1183-1</t>
        </is>
      </c>
      <c r="B1388" s="3" t="inlineStr">
        <is>
          <t>계획관리지역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360000</v>
      </c>
      <c r="G1388" s="4" t="n">
        <v>3769</v>
      </c>
      <c r="H1388" s="4" t="n">
        <v>1140</v>
      </c>
      <c r="I1388" s="5" t="n">
        <v>315.8</v>
      </c>
      <c r="J1388" s="5" t="n">
        <v>76.3</v>
      </c>
      <c r="K1388" s="3" t="inlineStr">
        <is>
          <t>국가산업단지인근 계획관리지역 분할매매도 가능</t>
        </is>
      </c>
      <c r="L1388" s="6">
        <f>HYPERLINK("https://fin.land.naver.com/articles/2651159468", "매물Link")</f>
        <v/>
      </c>
      <c r="M1388" s="6">
        <f>HYPERLINK("https://map.naver.com/p/search/연서면 와촌리 1183-1", "지도Link")</f>
        <v/>
      </c>
      <c r="N1388" s="6">
        <f>HYPERLINK("http://www.eum.go.kr/web/ar/lu/luLandDet.jsp?pnu=3611036031111830001&amp;isNoScr=script&amp;mode=search", "토지이음")</f>
        <v/>
      </c>
      <c r="O1388" s="3" t="inlineStr">
        <is>
          <t>샘터아이파크시티</t>
        </is>
      </c>
      <c r="P1388" s="4" t="n">
        <v>2</v>
      </c>
      <c r="Q1388" s="4" t="n">
        <v>3769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연서면 와촌리 172-1</t>
        </is>
      </c>
      <c r="B1389" s="3" t="inlineStr">
        <is>
          <t>계획관리지역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270000</v>
      </c>
      <c r="G1389" s="4" t="n">
        <v>2749</v>
      </c>
      <c r="H1389" s="4" t="n">
        <v>832</v>
      </c>
      <c r="I1389" s="5" t="n">
        <v>324.5</v>
      </c>
      <c r="J1389" s="5" t="n">
        <v>57.5</v>
      </c>
      <c r="K1389" s="3" t="inlineStr">
        <is>
          <t>세종 스마트 국가산업단지 길건너 발전가능성 높은 귀한 토지 매도</t>
        </is>
      </c>
      <c r="L1389" s="6">
        <f>HYPERLINK("https://fin.land.naver.com/articles/2648901026", "매물Link")</f>
        <v/>
      </c>
      <c r="M1389" s="6">
        <f>HYPERLINK("https://map.naver.com/p/search/연서면 와촌리 172-1", "지도Link")</f>
        <v/>
      </c>
      <c r="N1389" s="6">
        <f>HYPERLINK("http://www.eum.go.kr/web/ar/lu/luLandDet.jsp?pnu=3611036031101720001&amp;isNoScr=script&amp;mode=search", "토지이음")</f>
        <v/>
      </c>
      <c r="O1389" s="3" t="inlineStr">
        <is>
          <t>번영</t>
        </is>
      </c>
      <c r="P1389" s="4" t="n">
        <v>1</v>
      </c>
      <c r="Q1389" s="4" t="n">
        <v>2749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맹지</t>
        </is>
      </c>
    </row>
    <row r="1390">
      <c r="A1390" s="3" t="inlineStr">
        <is>
          <t>연서면 와촌리 430-9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110000</v>
      </c>
      <c r="G1390" s="4" t="n">
        <v>3017</v>
      </c>
      <c r="H1390" s="4" t="n">
        <v>913</v>
      </c>
      <c r="I1390" s="5" t="n">
        <v>120.5</v>
      </c>
      <c r="J1390" s="5" t="n">
        <v>40.4</v>
      </c>
      <c r="K1390" s="3" t="inlineStr">
        <is>
          <t>세종스마트산업단지 인접 논답</t>
        </is>
      </c>
      <c r="L1390" s="6">
        <f>HYPERLINK("https://fin.land.naver.com/articles/2651924800", "매물Link")</f>
        <v/>
      </c>
      <c r="M1390" s="6">
        <f>HYPERLINK("https://map.naver.com/p/search/연서면 와촌리 430-9", "지도Link")</f>
        <v/>
      </c>
      <c r="N1390" s="6">
        <f>HYPERLINK("http://www.eum.go.kr/web/ar/lu/luLandDet.jsp?pnu=3611036031104300009&amp;isNoScr=script&amp;mode=search", "토지이음")</f>
        <v/>
      </c>
      <c r="O1390" s="3" t="inlineStr">
        <is>
          <t>강아지풀</t>
        </is>
      </c>
      <c r="P1390" s="4" t="n">
        <v>2</v>
      </c>
      <c r="Q1390" s="4" t="n">
        <v>3017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세로한면(가)</t>
        </is>
      </c>
    </row>
    <row r="1391">
      <c r="A1391" s="3" t="inlineStr">
        <is>
          <t>연서면 와촌리 437-2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33000</v>
      </c>
      <c r="G1391" s="4" t="n">
        <v>1092</v>
      </c>
      <c r="H1391" s="4" t="n">
        <v>330</v>
      </c>
      <c r="I1391" s="5" t="n">
        <v>100</v>
      </c>
      <c r="J1391" s="5" t="n">
        <v>40.8</v>
      </c>
      <c r="K1391" s="3" t="inlineStr">
        <is>
          <t>세종스마트 국가산업단지 옆 와촌리 토지 급매.</t>
        </is>
      </c>
      <c r="L1391" s="6">
        <f>HYPERLINK("https://fin.land.naver.com/articles/2650939358", "매물Link")</f>
        <v/>
      </c>
      <c r="M1391" s="6">
        <f>HYPERLINK("https://map.naver.com/p/search/연서면 와촌리 437-2", "지도Link")</f>
        <v/>
      </c>
      <c r="N1391" s="6">
        <f>HYPERLINK("http://www.eum.go.kr/web/ar/lu/luLandDet.jsp?pnu=3611036031104370002&amp;isNoScr=script&amp;mode=search", "토지이음")</f>
        <v/>
      </c>
      <c r="O1391" s="3" t="inlineStr">
        <is>
          <t>세종대장</t>
        </is>
      </c>
      <c r="P1391" s="4" t="n">
        <v>1</v>
      </c>
      <c r="Q1391" s="4" t="n">
        <v>1092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437-3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150000</v>
      </c>
      <c r="G1392" s="4" t="n">
        <v>2991</v>
      </c>
      <c r="H1392" s="4" t="n">
        <v>905</v>
      </c>
      <c r="I1392" s="5" t="n">
        <v>165.7</v>
      </c>
      <c r="J1392" s="5" t="n">
        <v>40.8</v>
      </c>
      <c r="K1392" s="3" t="inlineStr">
        <is>
          <t>조치원산단 인근 농지. 투자용으로 추천</t>
        </is>
      </c>
      <c r="L1392" s="6">
        <f>HYPERLINK("https://fin.land.naver.com/articles/2650858525", "매물Link")</f>
        <v/>
      </c>
      <c r="M1392" s="6">
        <f>HYPERLINK("https://map.naver.com/p/search/연서면 와촌리 437-3", "지도Link")</f>
        <v/>
      </c>
      <c r="N1392" s="6">
        <f>HYPERLINK("http://www.eum.go.kr/web/ar/lu/luLandDet.jsp?pnu=3611036031104370003&amp;isNoScr=script&amp;mode=search",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2992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438-3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82000</v>
      </c>
      <c r="G1393" s="4" t="n">
        <v>1687</v>
      </c>
      <c r="H1393" s="4" t="n">
        <v>510</v>
      </c>
      <c r="I1393" s="5" t="n">
        <v>160.8</v>
      </c>
      <c r="J1393" s="5" t="n">
        <v>40.4</v>
      </c>
      <c r="K1393" s="3" t="inlineStr">
        <is>
          <t>성토된 농지, 도로접한 전현황</t>
        </is>
      </c>
      <c r="L1393" s="6">
        <f>HYPERLINK("https://fin.land.naver.com/articles/2648813655", "매물Link")</f>
        <v/>
      </c>
      <c r="M1393" s="6">
        <f>HYPERLINK("https://map.naver.com/p/search/연서면 와촌리 438-3", "지도Link")</f>
        <v/>
      </c>
      <c r="N1393" s="6">
        <f>HYPERLINK("http://www.eum.go.kr/web/ar/lu/luLandDet.jsp?pnu=3611036031104380003&amp;isNoScr=script&amp;mode=search",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1687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연서면 와촌리 858-1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230000</v>
      </c>
      <c r="G1394" s="4" t="n">
        <v>1264</v>
      </c>
      <c r="H1394" s="4" t="n">
        <v>382</v>
      </c>
      <c r="I1394" s="5" t="n">
        <v>602.1</v>
      </c>
      <c r="J1394" s="5" t="n">
        <v>134.5</v>
      </c>
      <c r="K1394" s="3" t="inlineStr">
        <is>
          <t>세종산업단지인근 2차선도로 계획관리지역 토지매매</t>
        </is>
      </c>
      <c r="L1394" s="6">
        <f>HYPERLINK("https://fin.land.naver.com/articles/2652045069", "매물Link")</f>
        <v/>
      </c>
      <c r="M1394" s="6">
        <f>HYPERLINK("https://map.naver.com/p/search/연서면 와촌리 858-1", "지도Link")</f>
        <v/>
      </c>
      <c r="N1394" s="6">
        <f>HYPERLINK("http://www.eum.go.kr/web/ar/lu/luLandDet.jsp?pnu=3611036031108580001&amp;isNoScr=script&amp;mode=search", "토지이음")</f>
        <v/>
      </c>
      <c r="O1394" s="3" t="inlineStr">
        <is>
          <t>에이스</t>
        </is>
      </c>
      <c r="P1394" s="4" t="n">
        <v>1</v>
      </c>
      <c r="Q1394" s="4" t="n">
        <v>548</v>
      </c>
      <c r="R1394" s="3" t="inlineStr">
        <is>
          <t>지정되지않음</t>
        </is>
      </c>
      <c r="S1394" s="3" t="inlineStr">
        <is>
          <t>주거기타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862-3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90000</v>
      </c>
      <c r="G1395" s="4" t="n">
        <v>661</v>
      </c>
      <c r="H1395" s="4" t="n">
        <v>200</v>
      </c>
      <c r="I1395" s="5" t="n">
        <v>450</v>
      </c>
      <c r="J1395" s="5" t="n">
        <v>63.1</v>
      </c>
      <c r="K1395" s="3" t="inlineStr">
        <is>
          <t>연서면 와촌리 와촌보건소 인근 2차선 도로에 접한 농지 분할 매매 합니다</t>
        </is>
      </c>
      <c r="L1395" s="6">
        <f>HYPERLINK("https://fin.land.naver.com/articles/2652993287", "매물Link")</f>
        <v/>
      </c>
      <c r="M1395" s="6">
        <f>HYPERLINK("https://map.naver.com/p/search/연서면 와촌리 862-3", "지도Link")</f>
        <v/>
      </c>
      <c r="N1395" s="6">
        <f>HYPERLINK("http://www.eum.go.kr/web/ar/lu/luLandDet.jsp?pnu=3611036031108620003&amp;isNoScr=script&amp;mode=search",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3171</v>
      </c>
      <c r="R1395" s="3" t="inlineStr">
        <is>
          <t>보전관리지역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와촌리 866-4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40000</v>
      </c>
      <c r="G1396" s="4" t="n">
        <v>662</v>
      </c>
      <c r="H1396" s="4" t="n">
        <v>200</v>
      </c>
      <c r="I1396" s="5" t="n">
        <v>200</v>
      </c>
      <c r="J1396" s="5" t="n">
        <v>60.6</v>
      </c>
      <c r="K1396" s="3" t="inlineStr">
        <is>
          <t>스마트국가산단 인근 생산관리 토지</t>
        </is>
      </c>
      <c r="L1396" s="6">
        <f>HYPERLINK("https://fin.land.naver.com/articles/2649915561", "매물Link")</f>
        <v/>
      </c>
      <c r="M1396" s="6">
        <f>HYPERLINK("https://map.naver.com/p/search/연서면 와촌리 866-4", "지도Link")</f>
        <v/>
      </c>
      <c r="N1396" s="6">
        <f>HYPERLINK("http://www.eum.go.kr/web/ar/lu/luLandDet.jsp?pnu=3611036031108660004&amp;isNoScr=script&amp;mode=search", "토지이음")</f>
        <v/>
      </c>
      <c r="O1396" s="3" t="inlineStr">
        <is>
          <t>미스터홈즈강남지사</t>
        </is>
      </c>
      <c r="P1396" s="4" t="n">
        <v>1</v>
      </c>
      <c r="Q1396" s="4" t="n">
        <v>214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와촌리 955-2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238100</v>
      </c>
      <c r="G1397" s="4" t="n">
        <v>7871</v>
      </c>
      <c r="H1397" s="4" t="n">
        <v>2381</v>
      </c>
      <c r="I1397" s="5" t="n">
        <v>100</v>
      </c>
      <c r="J1397" s="5" t="n">
        <v>40.5</v>
      </c>
      <c r="K1397" s="3" t="inlineStr">
        <is>
          <t>국가산업단지 인근의 가장 저렴한 과수원</t>
        </is>
      </c>
      <c r="L1397" s="6">
        <f>HYPERLINK("https://fin.land.naver.com/articles/2651948883", "매물Link")</f>
        <v/>
      </c>
      <c r="M1397" s="6">
        <f>HYPERLINK("https://map.naver.com/p/search/연서면 와촌리 955-2", "지도Link")</f>
        <v/>
      </c>
      <c r="N1397" s="6">
        <f>HYPERLINK("http://www.eum.go.kr/web/ar/lu/luLandDet.jsp?pnu=3611036031109550002&amp;isNoScr=script&amp;mode=search", "토지이음")</f>
        <v/>
      </c>
      <c r="O1397" s="3" t="inlineStr">
        <is>
          <t>용궁</t>
        </is>
      </c>
      <c r="P1397" s="4" t="n">
        <v>1</v>
      </c>
      <c r="Q1397" s="4" t="n">
        <v>2364</v>
      </c>
      <c r="R1397" s="3" t="inlineStr">
        <is>
          <t>지정되지않음</t>
        </is>
      </c>
      <c r="S1397" s="3" t="inlineStr">
        <is>
          <t>전기타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와촌리 963</t>
        </is>
      </c>
      <c r="B1398" s="3" t="inlineStr">
        <is>
          <t>생산관리지역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943200</v>
      </c>
      <c r="G1398" s="4" t="n">
        <v>15593</v>
      </c>
      <c r="H1398" s="4" t="n">
        <v>4717</v>
      </c>
      <c r="I1398" s="5" t="n">
        <v>200</v>
      </c>
      <c r="J1398" s="5" t="n">
        <v>50.3</v>
      </c>
      <c r="K1398" s="3" t="inlineStr">
        <is>
          <t>국가산업단지 길목, 수혜지역.투자용,상업용,산업용 용도 다양</t>
        </is>
      </c>
      <c r="L1398" s="6">
        <f>HYPERLINK("https://fin.land.naver.com/articles/2651168285", "매물Link")</f>
        <v/>
      </c>
      <c r="M1398" s="6">
        <f>HYPERLINK("https://map.naver.com/p/search/연서면 와촌리 963", "지도Link")</f>
        <v/>
      </c>
      <c r="N1398" s="6">
        <f>HYPERLINK("http://www.eum.go.kr/web/ar/lu/luLandDet.jsp?pnu=3611036031109630000&amp;isNoScr=script&amp;mode=search", "토지이음")</f>
        <v/>
      </c>
      <c r="O1398" s="3" t="inlineStr">
        <is>
          <t>세종시해냄공인</t>
        </is>
      </c>
      <c r="P1398" s="4" t="n">
        <v>1</v>
      </c>
      <c r="Q1398" s="4" t="n">
        <v>2199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연서면 와촌리 산112-3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140000</v>
      </c>
      <c r="G1399" s="4" t="n">
        <v>23140</v>
      </c>
      <c r="H1399" s="4" t="n">
        <v>7000</v>
      </c>
      <c r="I1399" s="5" t="n">
        <v>20</v>
      </c>
      <c r="J1399" s="5" t="n">
        <v>3.9</v>
      </c>
      <c r="K1399" s="3" t="inlineStr">
        <is>
          <t>장기투자 개발 하기 좋은 세종시 토지 매매</t>
        </is>
      </c>
      <c r="L1399" s="6">
        <f>HYPERLINK("https://fin.land.naver.com/articles/2652667739", "매물Link")</f>
        <v/>
      </c>
      <c r="M1399" s="6">
        <f>HYPERLINK("https://map.naver.com/p/search/연서면 와촌리 산112-3", "지도Link")</f>
        <v/>
      </c>
      <c r="N1399" s="6">
        <f>HYPERLINK("http://www.eum.go.kr/web/ar/lu/luLandDet.jsp?pnu=3611036031201120003&amp;isNoScr=script&amp;mode=search", "토지이음")</f>
        <v/>
      </c>
      <c r="O1399" s="3" t="inlineStr">
        <is>
          <t>(주)정민근</t>
        </is>
      </c>
      <c r="P1399" s="4" t="n">
        <v>1</v>
      </c>
      <c r="Q1399" s="4" t="n">
        <v>16528</v>
      </c>
      <c r="R1399" s="3" t="inlineStr">
        <is>
          <t>보전관리지역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산135</t>
        </is>
      </c>
      <c r="B1400" s="3" t="inlineStr">
        <is>
          <t>농림지역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19500</v>
      </c>
      <c r="G1400" s="4" t="n">
        <v>6446</v>
      </c>
      <c r="H1400" s="4" t="n">
        <v>1950</v>
      </c>
      <c r="I1400" s="5" t="n">
        <v>10</v>
      </c>
      <c r="J1400" s="5" t="n">
        <v>3.5</v>
      </c>
      <c r="K1400" s="3" t="inlineStr">
        <is>
          <t>임업용산지</t>
        </is>
      </c>
      <c r="L1400" s="6">
        <f>HYPERLINK("https://fin.land.naver.com/articles/2651849805", "매물Link")</f>
        <v/>
      </c>
      <c r="M1400" s="6">
        <f>HYPERLINK("https://map.naver.com/p/search/연서면 와촌리 산135", "지도Link")</f>
        <v/>
      </c>
      <c r="N1400" s="6">
        <f>HYPERLINK("http://www.eum.go.kr/web/ar/lu/luLandDet.jsp?pnu=3611036031201350000&amp;isNoScr=script&amp;mode=search", "토지이음")</f>
        <v/>
      </c>
      <c r="O1400" s="3" t="inlineStr">
        <is>
          <t>세종소담114</t>
        </is>
      </c>
      <c r="P1400" s="4" t="n">
        <v>1</v>
      </c>
      <c r="Q1400" s="4" t="n">
        <v>6446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급경사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산161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60000</v>
      </c>
      <c r="G1401" s="4" t="n">
        <v>5752</v>
      </c>
      <c r="H1401" s="4" t="n">
        <v>1740</v>
      </c>
      <c r="I1401" s="5" t="n">
        <v>34.5</v>
      </c>
      <c r="J1401" s="5" t="n">
        <v>5.7</v>
      </c>
      <c r="K1401" s="3" t="inlineStr">
        <is>
          <t>세종시 연서면 와촌리 임야매매.35만원</t>
        </is>
      </c>
      <c r="L1401" s="6">
        <f>HYPERLINK("https://fin.land.naver.com/articles/2652496113", "매물Link")</f>
        <v/>
      </c>
      <c r="M1401" s="6">
        <f>HYPERLINK("https://map.naver.com/p/search/연서면 와촌리 산161", "지도Link")</f>
        <v/>
      </c>
      <c r="N1401" s="6">
        <f>HYPERLINK("http://www.eum.go.kr/web/ar/lu/luLandDet.jsp?pnu=3611036031201610000&amp;isNoScr=script&amp;mode=search",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5752</v>
      </c>
      <c r="R1401" s="3" t="inlineStr">
        <is>
          <t>지정되지않음</t>
        </is>
      </c>
      <c r="S1401" s="3" t="inlineStr">
        <is>
          <t>자연림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산209</t>
        </is>
      </c>
      <c r="B1402" s="3" t="inlineStr">
        <is>
          <t>일반공업지역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92000</v>
      </c>
      <c r="G1402" s="4" t="n">
        <v>4670</v>
      </c>
      <c r="H1402" s="4" t="n">
        <v>1413</v>
      </c>
      <c r="I1402" s="5" t="n">
        <v>65.09999999999999</v>
      </c>
      <c r="J1402" s="5" t="n">
        <v>49.3</v>
      </c>
      <c r="K1402" s="3" t="inlineStr">
        <is>
          <t>산업단지 확장을 대비한 토지거래허가구역의 마을 앞 야산으로투자전망 좋음</t>
        </is>
      </c>
      <c r="L1402" s="6">
        <f>HYPERLINK("https://fin.land.naver.com/articles/2650742264", "매물Link")</f>
        <v/>
      </c>
      <c r="M1402" s="6">
        <f>HYPERLINK("https://map.naver.com/p/search/연서면 와촌리 산209", "지도Link")</f>
        <v/>
      </c>
      <c r="N1402" s="6">
        <f>HYPERLINK("http://www.eum.go.kr/web/ar/lu/luLandDet.jsp?pnu=3611036031202090000&amp;isNoScr=script&amp;mode=search", "토지이음")</f>
        <v/>
      </c>
      <c r="O1402" s="3" t="inlineStr">
        <is>
          <t>성실</t>
        </is>
      </c>
      <c r="P1402" s="4" t="n">
        <v>1</v>
      </c>
      <c r="Q1402" s="4" t="n">
        <v>4675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와촌리 산96-15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178790</v>
      </c>
      <c r="G1403" s="4" t="n">
        <v>6221</v>
      </c>
      <c r="H1403" s="4" t="n">
        <v>1882</v>
      </c>
      <c r="I1403" s="5" t="n">
        <v>95</v>
      </c>
      <c r="J1403" s="5" t="n">
        <v>5.6</v>
      </c>
      <c r="K1403" s="3" t="inlineStr">
        <is>
          <t>세종국가산업단지 예정지와 근접하며 향후 개발가능성 높은 임야,6생활권인접</t>
        </is>
      </c>
      <c r="L1403" s="6">
        <f>HYPERLINK("https://fin.land.naver.com/articles/2648678203", "매물Link")</f>
        <v/>
      </c>
      <c r="M1403" s="6">
        <f>HYPERLINK("https://map.naver.com/p/search/연서면 와촌리 산96-15", "지도Link")</f>
        <v/>
      </c>
      <c r="N1403" s="6">
        <f>HYPERLINK("http://www.eum.go.kr/web/ar/lu/luLandDet.jsp?pnu=3611036031200960015&amp;isNoScr=script&amp;mode=search", "토지이음")</f>
        <v/>
      </c>
      <c r="O1403" s="3" t="inlineStr">
        <is>
          <t>담뜰</t>
        </is>
      </c>
      <c r="P1403" s="4" t="n">
        <v>1</v>
      </c>
      <c r="Q1403" s="4" t="n">
        <v>6221</v>
      </c>
      <c r="R1403" s="3" t="inlineStr">
        <is>
          <t>지정되지않음</t>
        </is>
      </c>
      <c r="S1403" s="3" t="inlineStr">
        <is>
          <t>자연림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용암리 166-5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304800</v>
      </c>
      <c r="G1404" s="4" t="n">
        <v>869</v>
      </c>
      <c r="H1404" s="4" t="n">
        <v>263</v>
      </c>
      <c r="I1404" s="5" t="n">
        <v>1158.9</v>
      </c>
      <c r="J1404" s="5" t="n">
        <v>220.9</v>
      </c>
      <c r="K1404" s="3" t="inlineStr">
        <is>
          <t>와촌리 국가산업단지와 가까움, 2차선변 주차용이,투자로최고</t>
        </is>
      </c>
      <c r="L1404" s="6">
        <f>HYPERLINK("https://fin.land.naver.com/articles/2647982475", "매물Link")</f>
        <v/>
      </c>
      <c r="M1404" s="6">
        <f>HYPERLINK("https://map.naver.com/p/search/연서면 용암리 166-5", "지도Link")</f>
        <v/>
      </c>
      <c r="N1404" s="6">
        <f>HYPERLINK("http://www.eum.go.kr/web/ar/lu/luLandDet.jsp?pnu=3611036025101660005&amp;isNoScr=script&amp;mode=search", "토지이음")</f>
        <v/>
      </c>
      <c r="O1404" s="3" t="inlineStr">
        <is>
          <t>세종공주제일</t>
        </is>
      </c>
      <c r="P1404" s="4" t="n">
        <v>1</v>
      </c>
      <c r="Q1404" s="4" t="n">
        <v>869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용암리 212-11</t>
        </is>
      </c>
      <c r="B1405" s="3" t="inlineStr">
        <is>
          <t>자연환경보전지역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89000</v>
      </c>
      <c r="G1405" s="4" t="n">
        <v>1484</v>
      </c>
      <c r="H1405" s="4" t="n">
        <v>449</v>
      </c>
      <c r="I1405" s="5" t="n">
        <v>198.2</v>
      </c>
      <c r="J1405" s="5" t="n">
        <v>42.3</v>
      </c>
      <c r="K1405" s="3" t="inlineStr">
        <is>
          <t>고복저수지 월하천변 농지. 경치좋은 지역. 서울세종간고속도로인근</t>
        </is>
      </c>
      <c r="L1405" s="6">
        <f>HYPERLINK("https://fin.land.naver.com/articles/2649914984", "매물Link")</f>
        <v/>
      </c>
      <c r="M1405" s="6">
        <f>HYPERLINK("https://map.naver.com/p/search/연서면 용암리 212-11", "지도Link")</f>
        <v/>
      </c>
      <c r="N1405" s="6">
        <f>HYPERLINK("http://www.eum.go.kr/web/ar/lu/luLandDet.jsp?pnu=3611036025102120011&amp;isNoScr=script&amp;mode=search", "토지이음")</f>
        <v/>
      </c>
      <c r="O1405" s="3" t="inlineStr">
        <is>
          <t>미스터홈즈강남지사</t>
        </is>
      </c>
      <c r="P1405" s="4" t="n">
        <v>1</v>
      </c>
      <c r="Q1405" s="4" t="n">
        <v>1484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연서면 용암리 216-5</t>
        </is>
      </c>
      <c r="B1406" s="3" t="inlineStr">
        <is>
          <t>생산관리지역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58000</v>
      </c>
      <c r="G1406" s="4" t="n">
        <v>1059</v>
      </c>
      <c r="H1406" s="4" t="n">
        <v>320</v>
      </c>
      <c r="I1406" s="5" t="n">
        <v>181.2</v>
      </c>
      <c r="J1406" s="5" t="n">
        <v>116.5</v>
      </c>
      <c r="K1406" s="3" t="inlineStr">
        <is>
          <t>급매, 조율도가능, 건축 휴게음식점 가능</t>
        </is>
      </c>
      <c r="L1406" s="6">
        <f>HYPERLINK("https://fin.land.naver.com/articles/2650890760", "매물Link")</f>
        <v/>
      </c>
      <c r="M1406" s="6">
        <f>HYPERLINK("https://map.naver.com/p/search/연서면 용암리 216-5", "지도Link")</f>
        <v/>
      </c>
      <c r="N1406" s="6">
        <f>HYPERLINK("http://www.eum.go.kr/web/ar/lu/luLandDet.jsp?pnu=3611036025102160005&amp;isNoScr=script&amp;mode=search",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858</v>
      </c>
      <c r="R1406" s="3" t="inlineStr">
        <is>
          <t>자연환경보전지역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용암리 225-12</t>
        </is>
      </c>
      <c r="B1407" s="3" t="inlineStr">
        <is>
          <t>농림지역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151000</v>
      </c>
      <c r="G1407" s="4" t="n">
        <v>6254</v>
      </c>
      <c r="H1407" s="4" t="n">
        <v>1892</v>
      </c>
      <c r="I1407" s="5" t="n">
        <v>79.8</v>
      </c>
      <c r="J1407" s="5" t="n">
        <v>30</v>
      </c>
      <c r="K1407" s="3" t="inlineStr">
        <is>
          <t>고복저수지 인근 용암리 도로접한 농업보호구역 토지 급매.</t>
        </is>
      </c>
      <c r="L1407" s="6">
        <f>HYPERLINK("https://fin.land.naver.com/articles/2648906608", "매물Link")</f>
        <v/>
      </c>
      <c r="M1407" s="6">
        <f>HYPERLINK("https://map.naver.com/p/search/연서면 용암리 225-12", "지도Link")</f>
        <v/>
      </c>
      <c r="N1407" s="6">
        <f>HYPERLINK("http://www.eum.go.kr/web/ar/lu/luLandDet.jsp?pnu=3611036025102250012&amp;isNoScr=script&amp;mode=search",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3198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229-1</t>
        </is>
      </c>
      <c r="B1408" s="3" t="inlineStr">
        <is>
          <t>농림지역</t>
        </is>
      </c>
      <c r="C1408" s="3" t="inlineStr">
        <is>
          <t>목장용지</t>
        </is>
      </c>
      <c r="D1408" s="3" t="inlineStr">
        <is>
          <t>목장용지</t>
        </is>
      </c>
      <c r="E1408" s="3" t="inlineStr">
        <is>
          <t>매매</t>
        </is>
      </c>
      <c r="F1408" s="4" t="n">
        <v>42000</v>
      </c>
      <c r="G1408" s="4" t="n">
        <v>929</v>
      </c>
      <c r="H1408" s="4" t="n">
        <v>281</v>
      </c>
      <c r="I1408" s="5" t="n">
        <v>149.5</v>
      </c>
      <c r="J1408" s="5" t="n">
        <v>35</v>
      </c>
      <c r="K1408" s="3" t="inlineStr">
        <is>
          <t>고복저수지 인근, 연기휴게소 근처임. 넓은국유지접함</t>
        </is>
      </c>
      <c r="L1408" s="6">
        <f>HYPERLINK("https://fin.land.naver.com/articles/2652121887", "매물Link")</f>
        <v/>
      </c>
      <c r="M1408" s="6">
        <f>HYPERLINK("https://map.naver.com/p/search/연서면 용암리 229-1", "지도Link")</f>
        <v/>
      </c>
      <c r="N1408" s="6">
        <f>HYPERLINK("http://www.eum.go.kr/web/ar/lu/luLandDet.jsp?pnu=3611036025102290001&amp;isNoScr=script&amp;mode=search",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929</v>
      </c>
      <c r="R1408" s="3" t="inlineStr">
        <is>
          <t>생산관리지역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용암리 239-11</t>
        </is>
      </c>
      <c r="B1409" s="3" t="inlineStr">
        <is>
          <t>생산관리지역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25000</v>
      </c>
      <c r="G1409" s="4" t="n">
        <v>654</v>
      </c>
      <c r="H1409" s="4" t="n">
        <v>198</v>
      </c>
      <c r="I1409" s="5" t="n">
        <v>126.3</v>
      </c>
      <c r="J1409" s="5" t="n">
        <v>43.2</v>
      </c>
      <c r="K1409" s="3" t="inlineStr">
        <is>
          <t>도로지분포함매매,남향토지.</t>
        </is>
      </c>
      <c r="L1409" s="6">
        <f>HYPERLINK("https://fin.land.naver.com/articles/2649852384", "매물Link")</f>
        <v/>
      </c>
      <c r="M1409" s="6">
        <f>HYPERLINK("https://map.naver.com/p/search/연서면 용암리 239-11", "지도Link")</f>
        <v/>
      </c>
      <c r="N1409" s="6">
        <f>HYPERLINK("http://www.eum.go.kr/web/ar/lu/luLandDet.jsp?pnu=3611036025102390011&amp;isNoScr=script&amp;mode=search", "토지이음")</f>
        <v/>
      </c>
      <c r="O1409" s="3" t="inlineStr">
        <is>
          <t>담뜰</t>
        </is>
      </c>
      <c r="P1409" s="4" t="n">
        <v>1</v>
      </c>
      <c r="Q1409" s="4" t="n">
        <v>577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연서면 용암리 245-2</t>
        </is>
      </c>
      <c r="B1410" s="3" t="inlineStr">
        <is>
          <t>농림지역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323000</v>
      </c>
      <c r="G1410" s="4" t="n">
        <v>17797</v>
      </c>
      <c r="H1410" s="4" t="n">
        <v>5384</v>
      </c>
      <c r="I1410" s="5" t="n">
        <v>60</v>
      </c>
      <c r="J1410" s="5" t="n">
        <v>37.9</v>
      </c>
      <c r="K1410" s="3" t="inlineStr">
        <is>
          <t>태양광 시설 및 경사도 없는 야산으로 태양광 시설을 확장할 수 있는 임야</t>
        </is>
      </c>
      <c r="L1410" s="6">
        <f>HYPERLINK("https://fin.land.naver.com/articles/2651949989", "매물Link")</f>
        <v/>
      </c>
      <c r="M1410" s="6">
        <f>HYPERLINK("https://map.naver.com/p/search/연서면 용암리 245-2", "지도Link")</f>
        <v/>
      </c>
      <c r="N1410" s="6">
        <f>HYPERLINK("http://www.eum.go.kr/web/ar/lu/luLandDet.jsp?pnu=3611036025102450002&amp;isNoScr=script&amp;mode=search",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4332</v>
      </c>
      <c r="R1410" s="3" t="inlineStr">
        <is>
          <t>지정되지않음</t>
        </is>
      </c>
      <c r="S1410" s="3" t="inlineStr">
        <is>
          <t>태양광발전소부지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259-1</t>
        </is>
      </c>
      <c r="B1411" s="3" t="inlineStr">
        <is>
          <t>계획관리지역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45000</v>
      </c>
      <c r="G1411" s="4" t="n">
        <v>1305</v>
      </c>
      <c r="H1411" s="4" t="n">
        <v>395</v>
      </c>
      <c r="I1411" s="5" t="n">
        <v>113.9</v>
      </c>
      <c r="J1411" s="5" t="n">
        <v>55.7</v>
      </c>
      <c r="K1411" s="3" t="inlineStr">
        <is>
          <t>연서면 용암리 고복저수지 인근 계획관리 토지, 국가산단 인근</t>
        </is>
      </c>
      <c r="L1411" s="6">
        <f>HYPERLINK("https://fin.land.naver.com/articles/2648394462", "매물Link")</f>
        <v/>
      </c>
      <c r="M1411" s="6">
        <f>HYPERLINK("https://map.naver.com/p/search/연서면 용암리 259-1", "지도Link")</f>
        <v/>
      </c>
      <c r="N1411" s="6">
        <f>HYPERLINK("http://www.eum.go.kr/web/ar/lu/luLandDet.jsp?pnu=3611036025102590001&amp;isNoScr=script&amp;mode=search", "토지이음")</f>
        <v/>
      </c>
      <c r="O1411" s="3" t="inlineStr">
        <is>
          <t>스카이</t>
        </is>
      </c>
      <c r="P1411" s="4" t="n">
        <v>1</v>
      </c>
      <c r="Q1411" s="4" t="n">
        <v>826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283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16300</v>
      </c>
      <c r="G1412" s="4" t="n">
        <v>770</v>
      </c>
      <c r="H1412" s="4" t="n">
        <v>233</v>
      </c>
      <c r="I1412" s="5" t="n">
        <v>70</v>
      </c>
      <c r="J1412" s="5" t="n">
        <v>20.7</v>
      </c>
      <c r="K1412" s="3" t="inlineStr">
        <is>
          <t>세종시 휴게소 예정지 인근 토지매매, 과수원매매</t>
        </is>
      </c>
      <c r="L1412" s="6">
        <f>HYPERLINK("https://fin.land.naver.com/articles/2652362367", "매물Link")</f>
        <v/>
      </c>
      <c r="M1412" s="6">
        <f>HYPERLINK("https://map.naver.com/p/search/연서면 용암리 283", "지도Link")</f>
        <v/>
      </c>
      <c r="N1412" s="6">
        <f>HYPERLINK("http://www.eum.go.kr/web/ar/lu/luLandDet.jsp?pnu=3611036025102830000&amp;isNoScr=script&amp;mode=search",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770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295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31150</v>
      </c>
      <c r="G1413" s="4" t="n">
        <v>1471</v>
      </c>
      <c r="H1413" s="4" t="n">
        <v>445</v>
      </c>
      <c r="I1413" s="5" t="n">
        <v>70</v>
      </c>
      <c r="J1413" s="5" t="n">
        <v>17.6</v>
      </c>
      <c r="K1413" s="3" t="inlineStr">
        <is>
          <t>세종시 고속도로 휴게소 예정지 인근 토지매매</t>
        </is>
      </c>
      <c r="L1413" s="6">
        <f>HYPERLINK("https://fin.land.naver.com/articles/2652364710", "매물Link")</f>
        <v/>
      </c>
      <c r="M1413" s="6">
        <f>HYPERLINK("https://map.naver.com/p/search/연서면 용암리 295", "지도Link")</f>
        <v/>
      </c>
      <c r="N1413" s="6">
        <f>HYPERLINK("http://www.eum.go.kr/web/ar/lu/luLandDet.jsp?pnu=3611036025102950000&amp;isNoScr=script&amp;mode=search", "토지이음")</f>
        <v/>
      </c>
      <c r="O1413" s="3" t="inlineStr">
        <is>
          <t>유성대박</t>
        </is>
      </c>
      <c r="P1413" s="4" t="n">
        <v>1</v>
      </c>
      <c r="Q1413" s="4" t="n">
        <v>1471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용암리 296</t>
        </is>
      </c>
      <c r="B1414" s="3" t="inlineStr">
        <is>
          <t>생산관리지역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41000</v>
      </c>
      <c r="G1414" s="4" t="n">
        <v>1921</v>
      </c>
      <c r="H1414" s="4" t="n">
        <v>581</v>
      </c>
      <c r="I1414" s="5" t="n">
        <v>70.59999999999999</v>
      </c>
      <c r="J1414" s="5" t="n">
        <v>20.7</v>
      </c>
      <c r="K1414" s="3" t="inlineStr">
        <is>
          <t>세종시 토지매매. 휴게소 예정지 인근</t>
        </is>
      </c>
      <c r="L1414" s="6">
        <f>HYPERLINK("https://fin.land.naver.com/articles/2652374689", "매물Link")</f>
        <v/>
      </c>
      <c r="M1414" s="6">
        <f>HYPERLINK("https://map.naver.com/p/search/연서면 용암리 296", "지도Link")</f>
        <v/>
      </c>
      <c r="N1414" s="6">
        <f>HYPERLINK("http://www.eum.go.kr/web/ar/lu/luLandDet.jsp?pnu=3611036025102960000&amp;isNoScr=script&amp;mode=search", "토지이음")</f>
        <v/>
      </c>
      <c r="O1414" s="3" t="inlineStr">
        <is>
          <t>유성대박</t>
        </is>
      </c>
      <c r="P1414" s="4" t="n">
        <v>1</v>
      </c>
      <c r="Q1414" s="4" t="n">
        <v>1921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45-23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40000</v>
      </c>
      <c r="G1415" s="4" t="n">
        <v>335</v>
      </c>
      <c r="H1415" s="4" t="n">
        <v>101</v>
      </c>
      <c r="I1415" s="5" t="n">
        <v>396</v>
      </c>
      <c r="J1415" s="5" t="n">
        <v>35.7</v>
      </c>
      <c r="K1415" s="3" t="inlineStr">
        <is>
          <t>고복저수지 뷰 도로에접한 저렴한 토지</t>
        </is>
      </c>
      <c r="L1415" s="6">
        <f>HYPERLINK("https://fin.land.naver.com/articles/2650856648", "매물Link")</f>
        <v/>
      </c>
      <c r="M1415" s="6">
        <f>HYPERLINK("https://map.naver.com/p/search/연서면 용암리 45-23", "지도Link")</f>
        <v/>
      </c>
      <c r="N1415" s="6">
        <f>HYPERLINK("http://www.eum.go.kr/web/ar/lu/luLandDet.jsp?pnu=3611036025100450023&amp;isNoScr=script&amp;mode=search",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335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용암리 산28-16</t>
        </is>
      </c>
      <c r="B1416" s="3" t="inlineStr">
        <is>
          <t>농림지역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73000</v>
      </c>
      <c r="G1416" s="4" t="n">
        <v>3377</v>
      </c>
      <c r="H1416" s="4" t="n">
        <v>1022</v>
      </c>
      <c r="I1416" s="5" t="n">
        <v>71.40000000000001</v>
      </c>
      <c r="J1416" s="5" t="n">
        <v>2.3</v>
      </c>
      <c r="K1416" s="3" t="inlineStr">
        <is>
          <t>세종 연서면 약 10만평 대규모 토지 통매매｜대단위 부지 찾는 분 주목</t>
        </is>
      </c>
      <c r="L1416" s="6">
        <f>HYPERLINK("https://fin.land.naver.com/articles/2652337059", "매물Link")</f>
        <v/>
      </c>
      <c r="M1416" s="6">
        <f>HYPERLINK("https://map.naver.com/p/search/연서면 용암리 산28-16", "지도Link")</f>
        <v/>
      </c>
      <c r="N1416" s="6">
        <f>HYPERLINK("http://www.eum.go.kr/web/ar/lu/luLandDet.jsp?pnu=3611036025200280016&amp;isNoScr=script&amp;mode=search", "토지이음")</f>
        <v/>
      </c>
      <c r="O1416" s="3" t="inlineStr">
        <is>
          <t>세종몽땅</t>
        </is>
      </c>
      <c r="P1416" s="4" t="n">
        <v>1</v>
      </c>
      <c r="Q1416" s="4" t="n">
        <v>1512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월하리 1035-2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176000</v>
      </c>
      <c r="G1417" s="4" t="n">
        <v>1455</v>
      </c>
      <c r="H1417" s="4" t="n">
        <v>440</v>
      </c>
      <c r="I1417" s="5" t="n">
        <v>400</v>
      </c>
      <c r="J1417" s="5" t="n">
        <v>113</v>
      </c>
      <c r="K1417" s="3" t="inlineStr">
        <is>
          <t>연서면 월하리 2차선, 4차선 계획 예정 도로에 접한 투자가치 좋은 급매</t>
        </is>
      </c>
      <c r="L1417" s="6">
        <f>HYPERLINK("https://fin.land.naver.com/articles/2652684372", "매물Link")</f>
        <v/>
      </c>
      <c r="M1417" s="6">
        <f>HYPERLINK("https://map.naver.com/p/search/연서면 월하리 1035-2", "지도Link")</f>
        <v/>
      </c>
      <c r="N1417" s="6">
        <f>HYPERLINK("http://www.eum.go.kr/web/ar/lu/luLandDet.jsp?pnu=3611036021110350002&amp;isNoScr=script&amp;mode=search",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1455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연서면 월하리 1041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120000</v>
      </c>
      <c r="G1418" s="4" t="n">
        <v>1597</v>
      </c>
      <c r="H1418" s="4" t="n">
        <v>483</v>
      </c>
      <c r="I1418" s="5" t="n">
        <v>248.4</v>
      </c>
      <c r="J1418" s="5" t="n">
        <v>195.9</v>
      </c>
      <c r="K1418" s="3" t="inlineStr">
        <is>
          <t>월하리 자연녹지지역 저렴한 토지 급매. 포장도로 접함.</t>
        </is>
      </c>
      <c r="L1418" s="6">
        <f>HYPERLINK("https://fin.land.naver.com/articles/2651466882", "매물Link")</f>
        <v/>
      </c>
      <c r="M1418" s="6">
        <f>HYPERLINK("https://map.naver.com/p/search/연서면 월하리 1041", "지도Link")</f>
        <v/>
      </c>
      <c r="N1418" s="6">
        <f>HYPERLINK("http://www.eum.go.kr/web/ar/lu/luLandDet.jsp?pnu=3611036021110410000&amp;isNoScr=script&amp;mode=search",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1597</v>
      </c>
      <c r="R1418" s="3" t="inlineStr">
        <is>
          <t>지정되지않음</t>
        </is>
      </c>
      <c r="S1418" s="3" t="inlineStr">
        <is>
          <t>답기타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1055-1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200000</v>
      </c>
      <c r="G1419" s="4" t="n">
        <v>1653</v>
      </c>
      <c r="H1419" s="4" t="n">
        <v>500</v>
      </c>
      <c r="I1419" s="5" t="n">
        <v>400</v>
      </c>
      <c r="J1419" s="5" t="n">
        <v>96.59999999999999</v>
      </c>
      <c r="K1419" s="3" t="inlineStr">
        <is>
          <t>nan</t>
        </is>
      </c>
      <c r="L1419" s="6">
        <f>HYPERLINK("https://fin.land.naver.com/articles/2649692747", "매물Link")</f>
        <v/>
      </c>
      <c r="M1419" s="6">
        <f>HYPERLINK("https://map.naver.com/p/search/연서면 월하리 1055-1", "지도Link")</f>
        <v/>
      </c>
      <c r="N1419" s="6">
        <f>HYPERLINK("http://www.eum.go.kr/web/ar/lu/luLandDet.jsp?pnu=3611036021110550001&amp;isNoScr=script&amp;mode=search", "토지이음")</f>
        <v/>
      </c>
      <c r="O1419" s="3" t="inlineStr">
        <is>
          <t>온뜰</t>
        </is>
      </c>
      <c r="P1419" s="4" t="n">
        <v>1</v>
      </c>
      <c r="Q1419" s="4" t="n">
        <v>3712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1055-1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330000</v>
      </c>
      <c r="G1420" s="4" t="n">
        <v>3712</v>
      </c>
      <c r="H1420" s="4" t="n">
        <v>1123</v>
      </c>
      <c r="I1420" s="5" t="n">
        <v>293.9</v>
      </c>
      <c r="J1420" s="5" t="n">
        <v>96.59999999999999</v>
      </c>
      <c r="K1420" s="3" t="inlineStr">
        <is>
          <t>세종 조치원 공공주택지구 인근 투자용 토지 매매</t>
        </is>
      </c>
      <c r="L1420" s="6">
        <f>HYPERLINK("https://fin.land.naver.com/articles/2649466633", "매물Link")</f>
        <v/>
      </c>
      <c r="M1420" s="6">
        <f>HYPERLINK("https://map.naver.com/p/search/연서면 월하리 1055-1", "지도Link")</f>
        <v/>
      </c>
      <c r="N1420" s="6">
        <f>HYPERLINK("http://www.eum.go.kr/web/ar/lu/luLandDet.jsp?pnu=3611036021110550001&amp;isNoScr=script&amp;mode=search", "토지이음")</f>
        <v/>
      </c>
      <c r="O1420" s="3" t="inlineStr">
        <is>
          <t>(주)해뜰터</t>
        </is>
      </c>
      <c r="P1420" s="4" t="n">
        <v>1</v>
      </c>
      <c r="Q1420" s="4" t="n">
        <v>3712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1056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247000</v>
      </c>
      <c r="G1421" s="4" t="n">
        <v>4087</v>
      </c>
      <c r="H1421" s="4" t="n">
        <v>1236</v>
      </c>
      <c r="I1421" s="5" t="n">
        <v>199.8</v>
      </c>
      <c r="J1421" s="5" t="n">
        <v>96.59999999999999</v>
      </c>
      <c r="K1421" s="3" t="inlineStr">
        <is>
          <t>월하리 포장도로 접한 자연녹지지역 밭으로 이용. 총 4필지로 급매.</t>
        </is>
      </c>
      <c r="L1421" s="6">
        <f>HYPERLINK("https://fin.land.naver.com/articles/2649104014", "매물Link")</f>
        <v/>
      </c>
      <c r="M1421" s="6">
        <f>HYPERLINK("https://map.naver.com/p/search/연서면 월하리 1056", "지도Link")</f>
        <v/>
      </c>
      <c r="N1421" s="6">
        <f>HYPERLINK("http://www.eum.go.kr/web/ar/lu/luLandDet.jsp?pnu=3611036021110560000&amp;isNoScr=script&amp;mode=search",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2086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1103-51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150000</v>
      </c>
      <c r="G1422" s="4" t="n">
        <v>3313</v>
      </c>
      <c r="H1422" s="4" t="n">
        <v>1002</v>
      </c>
      <c r="I1422" s="5" t="n">
        <v>149.7</v>
      </c>
      <c r="J1422" s="5" t="n">
        <v>72.2</v>
      </c>
      <c r="K1422" s="3" t="inlineStr">
        <is>
          <t>조치원 공공택지 개발지 인근</t>
        </is>
      </c>
      <c r="L1422" s="6">
        <f>HYPERLINK("https://fin.land.naver.com/articles/2650022169", "매물Link")</f>
        <v/>
      </c>
      <c r="M1422" s="6">
        <f>HYPERLINK("https://map.naver.com/p/search/연서면 월하리 1103-51", "지도Link")</f>
        <v/>
      </c>
      <c r="N1422" s="6">
        <f>HYPERLINK("http://www.eum.go.kr/web/ar/lu/luLandDet.jsp?pnu=3611036021111030051&amp;isNoScr=script&amp;mode=search", "토지이음")</f>
        <v/>
      </c>
      <c r="O1422" s="3" t="inlineStr">
        <is>
          <t>나릿재OK</t>
        </is>
      </c>
      <c r="P1422" s="4" t="n">
        <v>1</v>
      </c>
      <c r="Q1422" s="4" t="n">
        <v>3313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1103-54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180000</v>
      </c>
      <c r="G1423" s="4" t="n">
        <v>1676</v>
      </c>
      <c r="H1423" s="4" t="n">
        <v>507</v>
      </c>
      <c r="I1423" s="5" t="n">
        <v>355</v>
      </c>
      <c r="J1423" s="5" t="n">
        <v>121.8</v>
      </c>
      <c r="K1423" s="3" t="inlineStr">
        <is>
          <t>2차선 도로에 접해 있어 근생 부지로 적합한 도시지역 자연녹지의 과수원</t>
        </is>
      </c>
      <c r="L1423" s="6">
        <f>HYPERLINK("https://fin.land.naver.com/articles/2651465498", "매물Link")</f>
        <v/>
      </c>
      <c r="M1423" s="6">
        <f>HYPERLINK("https://map.naver.com/p/search/연서면 월하리 1103-54", "지도Link")</f>
        <v/>
      </c>
      <c r="N1423" s="6">
        <f>HYPERLINK("http://www.eum.go.kr/web/ar/lu/luLandDet.jsp?pnu=3611036021111030054&amp;isNoScr=script&amp;mode=search",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1676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1110-1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대</t>
        </is>
      </c>
      <c r="E1424" s="3" t="inlineStr">
        <is>
          <t>매매</t>
        </is>
      </c>
      <c r="F1424" s="4" t="n">
        <v>190000</v>
      </c>
      <c r="G1424" s="4" t="n">
        <v>7242</v>
      </c>
      <c r="H1424" s="4" t="n">
        <v>2191</v>
      </c>
      <c r="I1424" s="5" t="n">
        <v>86.7</v>
      </c>
      <c r="J1424" s="5" t="n">
        <v>69.59999999999999</v>
      </c>
      <c r="K1424" s="3" t="inlineStr">
        <is>
          <t>시세저렴 공시지가 연서면 월하리 과수원 및 대지</t>
        </is>
      </c>
      <c r="L1424" s="6">
        <f>HYPERLINK("https://fin.land.naver.com/articles/2649446319", "매물Link")</f>
        <v/>
      </c>
      <c r="M1424" s="6">
        <f>HYPERLINK("https://map.naver.com/p/search/연서면 월하리 1110-1", "지도Link")</f>
        <v/>
      </c>
      <c r="N1424" s="6">
        <f>HYPERLINK("http://www.eum.go.kr/web/ar/lu/luLandDet.jsp?pnu=3611036021111100001&amp;isNoScr=script&amp;mode=search", "토지이음")</f>
        <v/>
      </c>
      <c r="O1424" s="3" t="inlineStr">
        <is>
          <t>명당</t>
        </is>
      </c>
      <c r="P1424" s="4" t="n">
        <v>1</v>
      </c>
      <c r="Q1424" s="4" t="n">
        <v>4326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맹지</t>
        </is>
      </c>
    </row>
    <row r="1425">
      <c r="A1425" s="3" t="inlineStr">
        <is>
          <t>연서면 월하리 1138-4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68000</v>
      </c>
      <c r="G1425" s="4" t="n">
        <v>1818</v>
      </c>
      <c r="H1425" s="4" t="n">
        <v>550</v>
      </c>
      <c r="I1425" s="5" t="n">
        <v>123.6</v>
      </c>
      <c r="J1425" s="5" t="n">
        <v>69.59999999999999</v>
      </c>
      <c r="K1425" s="3" t="inlineStr">
        <is>
          <t>위치가 좋은 토지</t>
        </is>
      </c>
      <c r="L1425" s="6">
        <f>HYPERLINK("https://fin.land.naver.com/articles/2648555111", "매물Link")</f>
        <v/>
      </c>
      <c r="M1425" s="6">
        <f>HYPERLINK("https://map.naver.com/p/search/연서면 월하리 1138-4", "지도Link")</f>
        <v/>
      </c>
      <c r="N1425" s="6">
        <f>HYPERLINK("http://www.eum.go.kr/web/ar/lu/luLandDet.jsp?pnu=3611036021111380004&amp;isNoScr=script&amp;mode=search", "토지이음")</f>
        <v/>
      </c>
      <c r="O1425" s="3" t="inlineStr">
        <is>
          <t>세종리츠</t>
        </is>
      </c>
      <c r="P1425" s="4" t="n">
        <v>1</v>
      </c>
      <c r="Q1425" s="4" t="n">
        <v>1818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1153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27500</v>
      </c>
      <c r="G1426" s="4" t="n">
        <v>828</v>
      </c>
      <c r="H1426" s="4" t="n">
        <v>250</v>
      </c>
      <c r="I1426" s="5" t="n">
        <v>110</v>
      </c>
      <c r="J1426" s="5" t="n">
        <v>113.1</v>
      </c>
      <c r="K1426" s="3" t="inlineStr">
        <is>
          <t>개방감 좋고 저렴하게 나온 토지</t>
        </is>
      </c>
      <c r="L1426" s="6">
        <f>HYPERLINK("https://fin.land.naver.com/articles/2651956754", "매물Link")</f>
        <v/>
      </c>
      <c r="M1426" s="6">
        <f>HYPERLINK("https://map.naver.com/p/search/연서면 월하리 1153", "지도Link")</f>
        <v/>
      </c>
      <c r="N1426" s="6">
        <f>HYPERLINK("http://www.eum.go.kr/web/ar/lu/luLandDet.jsp?pnu=3611036021111530000&amp;isNoScr=script&amp;mode=search", "토지이음")</f>
        <v/>
      </c>
      <c r="O1426" s="3" t="inlineStr">
        <is>
          <t>용궁</t>
        </is>
      </c>
      <c r="P1426" s="4" t="n">
        <v>2</v>
      </c>
      <c r="Q1426" s="4" t="n">
        <v>650</v>
      </c>
      <c r="R1426" s="3" t="inlineStr">
        <is>
          <t>지정되지않음</t>
        </is>
      </c>
      <c r="S1426" s="3" t="inlineStr">
        <is>
          <t>전축사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1153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27500</v>
      </c>
      <c r="G1427" s="4" t="n">
        <v>828</v>
      </c>
      <c r="H1427" s="4" t="n">
        <v>250</v>
      </c>
      <c r="I1427" s="5" t="n">
        <v>110</v>
      </c>
      <c r="J1427" s="5" t="n">
        <v>113.1</v>
      </c>
      <c r="K1427" s="3" t="inlineStr">
        <is>
          <t>조치원역인근, 주말농장으로 좋아요</t>
        </is>
      </c>
      <c r="L1427" s="6">
        <f>HYPERLINK("https://fin.land.naver.com/articles/2653051509", "매물Link")</f>
        <v/>
      </c>
      <c r="M1427" s="6">
        <f>HYPERLINK("https://map.naver.com/p/search/연서면 월하리 1153", "지도Link")</f>
        <v/>
      </c>
      <c r="N1427" s="6">
        <f>HYPERLINK("http://www.eum.go.kr/web/ar/lu/luLandDet.jsp?pnu=3611036021111530000&amp;isNoScr=script&amp;mode=search", "토지이음")</f>
        <v/>
      </c>
      <c r="O1427" s="3" t="inlineStr">
        <is>
          <t>세종강남</t>
        </is>
      </c>
      <c r="P1427" s="4" t="n">
        <v>4</v>
      </c>
      <c r="Q1427" s="4" t="n">
        <v>650</v>
      </c>
      <c r="R1427" s="3" t="inlineStr">
        <is>
          <t>지정되지않음</t>
        </is>
      </c>
      <c r="S1427" s="3" t="inlineStr">
        <is>
          <t>전축사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15-1</t>
        </is>
      </c>
      <c r="B1428" s="3" t="inlineStr">
        <is>
          <t>자연녹지지역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20000</v>
      </c>
      <c r="G1428" s="4" t="n">
        <v>407</v>
      </c>
      <c r="H1428" s="4" t="n">
        <v>123</v>
      </c>
      <c r="I1428" s="5" t="n">
        <v>162.6</v>
      </c>
      <c r="J1428" s="5" t="n">
        <v>105.5</v>
      </c>
      <c r="K1428" s="3" t="inlineStr">
        <is>
          <t>nan</t>
        </is>
      </c>
      <c r="L1428" s="6">
        <f>HYPERLINK("https://fin.land.naver.com/articles/2648746259", "매물Link")</f>
        <v/>
      </c>
      <c r="M1428" s="6">
        <f>HYPERLINK("https://map.naver.com/p/search/연서면 월하리 15-1", "지도Link")</f>
        <v/>
      </c>
      <c r="N1428" s="6">
        <f>HYPERLINK("http://www.eum.go.kr/web/ar/lu/luLandDet.jsp?pnu=3611036021100150001&amp;isNoScr=script&amp;mode=search",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407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25-7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130000</v>
      </c>
      <c r="G1429" s="4" t="n">
        <v>1615</v>
      </c>
      <c r="H1429" s="4" t="n">
        <v>489</v>
      </c>
      <c r="I1429" s="5" t="n">
        <v>265.8</v>
      </c>
      <c r="J1429" s="5" t="n">
        <v>76.40000000000001</v>
      </c>
      <c r="K1429" s="3" t="inlineStr">
        <is>
          <t>도시지역내 자연녹지,미호강변 개발가능</t>
        </is>
      </c>
      <c r="L1429" s="6">
        <f>HYPERLINK("https://fin.land.naver.com/articles/2650859611", "매물Link")</f>
        <v/>
      </c>
      <c r="M1429" s="6">
        <f>HYPERLINK("https://map.naver.com/p/search/연서면 월하리 25-7", "지도Link")</f>
        <v/>
      </c>
      <c r="N1429" s="6">
        <f>HYPERLINK("http://www.eum.go.kr/web/ar/lu/luLandDet.jsp?pnu=3611036021100250007&amp;isNoScr=script&amp;mode=search", "토지이음")</f>
        <v/>
      </c>
      <c r="O1429" s="3" t="inlineStr">
        <is>
          <t>세종대박</t>
        </is>
      </c>
      <c r="P1429" s="4" t="n">
        <v>1</v>
      </c>
      <c r="Q1429" s="4" t="n">
        <v>1301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25-7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130000</v>
      </c>
      <c r="G1430" s="4" t="n">
        <v>1615</v>
      </c>
      <c r="H1430" s="4" t="n">
        <v>489</v>
      </c>
      <c r="I1430" s="5" t="n">
        <v>265.8</v>
      </c>
      <c r="J1430" s="5" t="n">
        <v>76.40000000000001</v>
      </c>
      <c r="K1430" s="3" t="inlineStr">
        <is>
          <t>미호강인근,주택부지포함,차도바로옆 금액최대협의</t>
        </is>
      </c>
      <c r="L1430" s="6">
        <f>HYPERLINK("https://fin.land.naver.com/articles/2648051944", "매물Link")</f>
        <v/>
      </c>
      <c r="M1430" s="6">
        <f>HYPERLINK("https://map.naver.com/p/search/연서면 월하리 25-7", "지도Link")</f>
        <v/>
      </c>
      <c r="N1430" s="6">
        <f>HYPERLINK("http://www.eum.go.kr/web/ar/lu/luLandDet.jsp?pnu=3611036021100250007&amp;isNoScr=script&amp;mode=search", "토지이음")</f>
        <v/>
      </c>
      <c r="O1430" s="3" t="inlineStr">
        <is>
          <t>세종새빛</t>
        </is>
      </c>
      <c r="P1430" s="4" t="n">
        <v>1</v>
      </c>
      <c r="Q1430" s="4" t="n">
        <v>1301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27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132000</v>
      </c>
      <c r="G1431" s="4" t="n">
        <v>1746</v>
      </c>
      <c r="H1431" s="4" t="n">
        <v>528</v>
      </c>
      <c r="I1431" s="5" t="n">
        <v>250</v>
      </c>
      <c r="J1431" s="5" t="n">
        <v>75.7</v>
      </c>
      <c r="K1431" s="3" t="inlineStr">
        <is>
          <t>미호강변 오천자전거길 옆 카페나 주택지, 근생으로 개발해도 좋음</t>
        </is>
      </c>
      <c r="L1431" s="6">
        <f>HYPERLINK("https://fin.land.naver.com/articles/2652099294", "매물Link")</f>
        <v/>
      </c>
      <c r="M1431" s="6">
        <f>HYPERLINK("https://map.naver.com/p/search/연서면 월하리 27", "지도Link")</f>
        <v/>
      </c>
      <c r="N1431" s="6">
        <f>HYPERLINK("http://www.eum.go.kr/web/ar/lu/luLandDet.jsp?pnu=3611036021100270000&amp;isNoScr=script&amp;mode=search",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983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35-3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69000</v>
      </c>
      <c r="G1432" s="4" t="n">
        <v>987</v>
      </c>
      <c r="H1432" s="4" t="n">
        <v>299</v>
      </c>
      <c r="I1432" s="5" t="n">
        <v>230.8</v>
      </c>
      <c r="J1432" s="5" t="n">
        <v>73.3</v>
      </c>
      <c r="K1432" s="3" t="inlineStr">
        <is>
          <t>공장부지, 299P, 주차6대, 1층 공장 건물 및 부속건물</t>
        </is>
      </c>
      <c r="L1432" s="6">
        <f>HYPERLINK("https://fin.land.naver.com/articles/2650988901", "매물Link")</f>
        <v/>
      </c>
      <c r="M1432" s="6">
        <f>HYPERLINK("https://map.naver.com/p/search/연서면 월하리 35-3", "지도Link")</f>
        <v/>
      </c>
      <c r="N1432" s="6">
        <f>HYPERLINK("http://www.eum.go.kr/web/ar/lu/luLandDet.jsp?pnu=3611036021100350003&amp;isNoScr=script&amp;mode=search", "토지이음")</f>
        <v/>
      </c>
      <c r="O1432" s="3" t="inlineStr">
        <is>
          <t>엄마와딸</t>
        </is>
      </c>
      <c r="P1432" s="4" t="n">
        <v>1</v>
      </c>
      <c r="Q1432" s="4" t="n">
        <v>987</v>
      </c>
      <c r="R1432" s="3" t="inlineStr">
        <is>
          <t>지정되지않음</t>
        </is>
      </c>
      <c r="S1432" s="3" t="inlineStr">
        <is>
          <t>공업용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35-7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100000</v>
      </c>
      <c r="G1433" s="4" t="n">
        <v>1077</v>
      </c>
      <c r="H1433" s="4" t="n">
        <v>326</v>
      </c>
      <c r="I1433" s="5" t="n">
        <v>306.7</v>
      </c>
      <c r="J1433" s="5" t="n">
        <v>62.5</v>
      </c>
      <c r="K1433" s="3" t="inlineStr">
        <is>
          <t>미호강이 흐르는 경치 좋은 곳에 카페, 식당  상업용을 추천합니다.</t>
        </is>
      </c>
      <c r="L1433" s="6">
        <f>HYPERLINK("https://fin.land.naver.com/articles/2649621498", "매물Link")</f>
        <v/>
      </c>
      <c r="M1433" s="6">
        <f>HYPERLINK("https://map.naver.com/p/search/연서면 월하리 35-7", "지도Link")</f>
        <v/>
      </c>
      <c r="N1433" s="6">
        <f>HYPERLINK("http://www.eum.go.kr/web/ar/lu/luLandDet.jsp?pnu=3611036021100350007&amp;isNoScr=script&amp;mode=search", "토지이음")</f>
        <v/>
      </c>
      <c r="O1433" s="3" t="inlineStr">
        <is>
          <t>효자</t>
        </is>
      </c>
      <c r="P1433" s="4" t="n">
        <v>1</v>
      </c>
      <c r="Q1433" s="4" t="n">
        <v>1077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연서면 월하리 619</t>
        </is>
      </c>
      <c r="B1434" s="3" t="inlineStr">
        <is>
          <t>자연녹지지역</t>
        </is>
      </c>
      <c r="C1434" s="3" t="inlineStr">
        <is>
          <t>주차장</t>
        </is>
      </c>
      <c r="D1434" s="3" t="inlineStr">
        <is>
          <t>주차장</t>
        </is>
      </c>
      <c r="E1434" s="3" t="inlineStr">
        <is>
          <t>매매</t>
        </is>
      </c>
      <c r="F1434" s="4" t="n">
        <v>230000</v>
      </c>
      <c r="G1434" s="4" t="n">
        <v>2234</v>
      </c>
      <c r="H1434" s="4" t="n">
        <v>676</v>
      </c>
      <c r="I1434" s="5" t="n">
        <v>340.2</v>
      </c>
      <c r="J1434" s="5" t="n">
        <v>61.5</v>
      </c>
      <c r="K1434" s="3" t="inlineStr">
        <is>
          <t>상가건물건축용</t>
        </is>
      </c>
      <c r="L1434" s="6">
        <f>HYPERLINK("https://fin.land.naver.com/articles/2648552601", "매물Link")</f>
        <v/>
      </c>
      <c r="M1434" s="6">
        <f>HYPERLINK("https://map.naver.com/p/search/연서면 월하리 619", "지도Link")</f>
        <v/>
      </c>
      <c r="N1434" s="6">
        <f>HYPERLINK("http://www.eum.go.kr/web/ar/lu/luLandDet.jsp?pnu=3611036021106190000&amp;isNoScr=script&amp;mode=search", "토지이음")</f>
        <v/>
      </c>
      <c r="O1434" s="3" t="inlineStr">
        <is>
          <t>세종리츠</t>
        </is>
      </c>
      <c r="P1434" s="4" t="n">
        <v>1</v>
      </c>
      <c r="Q1434" s="4" t="n">
        <v>963</v>
      </c>
      <c r="R1434" s="3" t="inlineStr">
        <is>
          <t>지정되지않음</t>
        </is>
      </c>
      <c r="S1434" s="3" t="inlineStr">
        <is>
          <t>주차장등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연서면 월하리 619</t>
        </is>
      </c>
      <c r="B1435" s="3" t="inlineStr">
        <is>
          <t>자연녹지지역</t>
        </is>
      </c>
      <c r="C1435" s="3" t="inlineStr">
        <is>
          <t>주차장</t>
        </is>
      </c>
      <c r="D1435" s="3" t="inlineStr">
        <is>
          <t>주차장</t>
        </is>
      </c>
      <c r="E1435" s="3" t="inlineStr">
        <is>
          <t>매매</t>
        </is>
      </c>
      <c r="F1435" s="4" t="n">
        <v>250000</v>
      </c>
      <c r="G1435" s="4" t="n">
        <v>2400</v>
      </c>
      <c r="H1435" s="4" t="n">
        <v>726</v>
      </c>
      <c r="I1435" s="5" t="n">
        <v>344.4</v>
      </c>
      <c r="J1435" s="5" t="n">
        <v>61.5</v>
      </c>
      <c r="K1435" s="3" t="inlineStr">
        <is>
          <t>명성공인, 월하리, 1번국도 가까운 활용도 좋은 추천 매물</t>
        </is>
      </c>
      <c r="L1435" s="6">
        <f>HYPERLINK("https://fin.land.naver.com/articles/2652073523", "매물Link")</f>
        <v/>
      </c>
      <c r="M1435" s="6">
        <f>HYPERLINK("https://map.naver.com/p/search/연서면 월하리 619", "지도Link")</f>
        <v/>
      </c>
      <c r="N1435" s="6">
        <f>HYPERLINK("http://www.eum.go.kr/web/ar/lu/luLandDet.jsp?pnu=3611036021106190000&amp;isNoScr=script&amp;mode=search", "토지이음")</f>
        <v/>
      </c>
      <c r="O1435" s="3" t="inlineStr">
        <is>
          <t>명성</t>
        </is>
      </c>
      <c r="P1435" s="4" t="n">
        <v>1</v>
      </c>
      <c r="Q1435" s="4" t="n">
        <v>963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658-4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98000</v>
      </c>
      <c r="G1436" s="4" t="n">
        <v>463</v>
      </c>
      <c r="H1436" s="4" t="n">
        <v>140</v>
      </c>
      <c r="I1436" s="5" t="n">
        <v>700</v>
      </c>
      <c r="J1436" s="5" t="n">
        <v>163.7</v>
      </c>
      <c r="K1436" s="3" t="inlineStr">
        <is>
          <t>도로 인접한  활용도 높은  토지 매매</t>
        </is>
      </c>
      <c r="L1436" s="6">
        <f>HYPERLINK("https://fin.land.naver.com/articles/2648014033", "매물Link")</f>
        <v/>
      </c>
      <c r="M1436" s="6">
        <f>HYPERLINK("https://map.naver.com/p/search/연서면 월하리 658-4", "지도Link")</f>
        <v/>
      </c>
      <c r="N1436" s="6">
        <f>HYPERLINK("http://www.eum.go.kr/web/ar/lu/luLandDet.jsp?pnu=3611036021106580004&amp;isNoScr=script&amp;mode=search", "토지이음")</f>
        <v/>
      </c>
      <c r="O1436" s="3" t="inlineStr">
        <is>
          <t>오송2단지창조</t>
        </is>
      </c>
      <c r="P1436" s="4" t="n">
        <v>1</v>
      </c>
      <c r="Q1436" s="4" t="n">
        <v>463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광대로한면</t>
        </is>
      </c>
    </row>
    <row r="1437">
      <c r="A1437" s="3" t="inlineStr">
        <is>
          <t>연서면 월하리 658-8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87500</v>
      </c>
      <c r="G1437" s="4" t="n">
        <v>414</v>
      </c>
      <c r="H1437" s="4" t="n">
        <v>125</v>
      </c>
      <c r="I1437" s="5" t="n">
        <v>700</v>
      </c>
      <c r="J1437" s="5" t="n">
        <v>163.7</v>
      </c>
      <c r="K1437" s="3" t="inlineStr">
        <is>
          <t>대도로변에 위치해 있는 토지 매매</t>
        </is>
      </c>
      <c r="L1437" s="6">
        <f>HYPERLINK("https://fin.land.naver.com/articles/2648014288", "매물Link")</f>
        <v/>
      </c>
      <c r="M1437" s="6">
        <f>HYPERLINK("https://map.naver.com/p/search/연서면 월하리 658-8", "지도Link")</f>
        <v/>
      </c>
      <c r="N1437" s="6">
        <f>HYPERLINK("http://www.eum.go.kr/web/ar/lu/luLandDet.jsp?pnu=3611036021106580008&amp;isNoScr=script&amp;mode=search", "토지이음")</f>
        <v/>
      </c>
      <c r="O1437" s="3" t="inlineStr">
        <is>
          <t>오송2단지창조</t>
        </is>
      </c>
      <c r="P1437" s="4" t="n">
        <v>1</v>
      </c>
      <c r="Q1437" s="4" t="n">
        <v>414</v>
      </c>
      <c r="R1437" s="3" t="inlineStr">
        <is>
          <t>지정되지않음</t>
        </is>
      </c>
      <c r="S1437" s="3" t="inlineStr">
        <is>
          <t>전기타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광대로한면</t>
        </is>
      </c>
    </row>
    <row r="1438">
      <c r="A1438" s="3" t="inlineStr">
        <is>
          <t>연서면 월하리 663-38</t>
        </is>
      </c>
      <c r="B1438" s="3" t="inlineStr">
        <is>
          <t>자연녹지지역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474300</v>
      </c>
      <c r="G1438" s="4" t="n">
        <v>5229</v>
      </c>
      <c r="H1438" s="4" t="n">
        <v>1582</v>
      </c>
      <c r="I1438" s="5" t="n">
        <v>299.8</v>
      </c>
      <c r="J1438" s="5" t="n">
        <v>102.4</v>
      </c>
      <c r="K1438" s="3" t="inlineStr">
        <is>
          <t>위치 좋은 넓은 토지.연락주세요</t>
        </is>
      </c>
      <c r="L1438" s="6">
        <f>HYPERLINK("https://fin.land.naver.com/articles/2648522838", "매물Link")</f>
        <v/>
      </c>
      <c r="M1438" s="6">
        <f>HYPERLINK("https://map.naver.com/p/search/연서면 월하리 663-38", "지도Link")</f>
        <v/>
      </c>
      <c r="N1438" s="6">
        <f>HYPERLINK("http://www.eum.go.kr/web/ar/lu/luLandDet.jsp?pnu=3611036021106630038&amp;isNoScr=script&amp;mode=search", "토지이음")</f>
        <v/>
      </c>
      <c r="O1438" s="3" t="inlineStr">
        <is>
          <t>수자인</t>
        </is>
      </c>
      <c r="P1438" s="4" t="n">
        <v>1</v>
      </c>
      <c r="Q1438" s="4" t="n">
        <v>5222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663-38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474300</v>
      </c>
      <c r="G1439" s="4" t="n">
        <v>5229</v>
      </c>
      <c r="H1439" s="4" t="n">
        <v>1582</v>
      </c>
      <c r="I1439" s="5" t="n">
        <v>299.8</v>
      </c>
      <c r="J1439" s="5" t="n">
        <v>102.4</v>
      </c>
      <c r="K1439" s="3" t="inlineStr">
        <is>
          <t>세종 연서면 월하리 톨게이트예정지인근 시내인근 개발지 도로접 조정가능</t>
        </is>
      </c>
      <c r="L1439" s="6">
        <f>HYPERLINK("https://fin.land.naver.com/articles/2650823939", "매물Link")</f>
        <v/>
      </c>
      <c r="M1439" s="6">
        <f>HYPERLINK("https://map.naver.com/p/search/연서면 월하리 663-38", "지도Link")</f>
        <v/>
      </c>
      <c r="N1439" s="6">
        <f>HYPERLINK("http://www.eum.go.kr/web/ar/lu/luLandDet.jsp?pnu=3611036021106630038&amp;isNoScr=script&amp;mode=search", "토지이음")</f>
        <v/>
      </c>
      <c r="O1439" s="3" t="inlineStr">
        <is>
          <t>MK</t>
        </is>
      </c>
      <c r="P1439" s="4" t="n">
        <v>1</v>
      </c>
      <c r="Q1439" s="4" t="n">
        <v>5222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707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252000</v>
      </c>
      <c r="G1440" s="4" t="n">
        <v>4637</v>
      </c>
      <c r="H1440" s="4" t="n">
        <v>1403</v>
      </c>
      <c r="I1440" s="5" t="n">
        <v>179.6</v>
      </c>
      <c r="J1440" s="5" t="n">
        <v>91.2</v>
      </c>
      <c r="K1440" s="3" t="inlineStr">
        <is>
          <t>코너 2차선에 접하고 향후 4차선 계획도로 예정임. 시세보다 저렴.</t>
        </is>
      </c>
      <c r="L1440" s="6">
        <f>HYPERLINK("https://fin.land.naver.com/articles/2649104055", "매물Link")</f>
        <v/>
      </c>
      <c r="M1440" s="6">
        <f>HYPERLINK("https://map.naver.com/p/search/연서면 월하리 707", "지도Link")</f>
        <v/>
      </c>
      <c r="N1440" s="6">
        <f>HYPERLINK("http://www.eum.go.kr/web/ar/lu/luLandDet.jsp?pnu=3611036021107070000&amp;isNoScr=script&amp;mode=search", "토지이음")</f>
        <v/>
      </c>
      <c r="O1440" s="3" t="inlineStr">
        <is>
          <t>세종대장</t>
        </is>
      </c>
      <c r="P1440" s="4" t="n">
        <v>1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연서면 월하리 730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196000</v>
      </c>
      <c r="G1441" s="4" t="n">
        <v>1856</v>
      </c>
      <c r="H1441" s="4" t="n">
        <v>561</v>
      </c>
      <c r="I1441" s="5" t="n">
        <v>349.4</v>
      </c>
      <c r="J1441" s="5" t="n">
        <v>121.8</v>
      </c>
      <c r="K1441" s="3" t="inlineStr">
        <is>
          <t>연서면 월하리 2차선  접한  자연녹지, 4차선계획도로이며 분할매매 가능</t>
        </is>
      </c>
      <c r="L1441" s="6">
        <f>HYPERLINK("https://fin.land.naver.com/articles/2652083823", "매물Link")</f>
        <v/>
      </c>
      <c r="M1441" s="6">
        <f>HYPERLINK("https://map.naver.com/p/search/연서면 월하리 730", "지도Link")</f>
        <v/>
      </c>
      <c r="N1441" s="6">
        <f>HYPERLINK("http://www.eum.go.kr/web/ar/lu/luLandDet.jsp?pnu=3611036021107300000&amp;isNoScr=script&amp;mode=search", "토지이음")</f>
        <v/>
      </c>
      <c r="O1441" s="3" t="inlineStr">
        <is>
          <t>the다올</t>
        </is>
      </c>
      <c r="P1441" s="4" t="n">
        <v>2</v>
      </c>
      <c r="Q1441" s="4" t="n">
        <v>1856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월하리 766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200000</v>
      </c>
      <c r="G1442" s="4" t="n">
        <v>3305</v>
      </c>
      <c r="H1442" s="4" t="n">
        <v>1000</v>
      </c>
      <c r="I1442" s="5" t="n">
        <v>200</v>
      </c>
      <c r="J1442" s="5" t="n">
        <v>128.3</v>
      </c>
      <c r="K1442" s="3" t="inlineStr">
        <is>
          <t>조치원 공공주택지구에 인접한 2차선변 1천평 토지 매매</t>
        </is>
      </c>
      <c r="L1442" s="6">
        <f>HYPERLINK("https://fin.land.naver.com/articles/2652068500", "매물Link")</f>
        <v/>
      </c>
      <c r="M1442" s="6">
        <f>HYPERLINK("https://map.naver.com/p/search/연서면 월하리 766", "지도Link")</f>
        <v/>
      </c>
      <c r="N1442" s="6">
        <f>HYPERLINK("http://www.eum.go.kr/web/ar/lu/luLandDet.jsp?pnu=3611036021107660000&amp;isNoScr=script&amp;mode=search", "토지이음")</f>
        <v/>
      </c>
      <c r="O1442" s="3" t="inlineStr">
        <is>
          <t>신와촌</t>
        </is>
      </c>
      <c r="P1442" s="4" t="n">
        <v>1</v>
      </c>
      <c r="Q1442" s="4" t="n">
        <v>3306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연서면 월하리 794-1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82000</v>
      </c>
      <c r="G1443" s="4" t="n">
        <v>845</v>
      </c>
      <c r="H1443" s="4" t="n">
        <v>256</v>
      </c>
      <c r="I1443" s="5" t="n">
        <v>320.3</v>
      </c>
      <c r="J1443" s="5" t="n">
        <v>128.3</v>
      </c>
      <c r="K1443" s="3" t="inlineStr">
        <is>
          <t>2차선변,월하리 토지매매.</t>
        </is>
      </c>
      <c r="L1443" s="6">
        <f>HYPERLINK("https://fin.land.naver.com/articles/2651374054", "매물Link")</f>
        <v/>
      </c>
      <c r="M1443" s="6">
        <f>HYPERLINK("https://map.naver.com/p/search/연서면 월하리 794-1", "지도Link")</f>
        <v/>
      </c>
      <c r="N1443" s="6">
        <f>HYPERLINK("http://www.eum.go.kr/web/ar/lu/luLandDet.jsp?pnu=3611036021107940001&amp;isNoScr=script&amp;mode=search", "토지이음")</f>
        <v/>
      </c>
      <c r="O1443" s="3" t="inlineStr">
        <is>
          <t>세종강산</t>
        </is>
      </c>
      <c r="P1443" s="4" t="n">
        <v>1</v>
      </c>
      <c r="Q1443" s="4" t="n">
        <v>845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연서면 월하리 809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48000</v>
      </c>
      <c r="G1444" s="4" t="n">
        <v>668</v>
      </c>
      <c r="H1444" s="4" t="n">
        <v>202</v>
      </c>
      <c r="I1444" s="5" t="n">
        <v>237.6</v>
      </c>
      <c r="J1444" s="5" t="n">
        <v>156.1</v>
      </c>
      <c r="K1444" s="3" t="inlineStr">
        <is>
          <t>월하리 2차선 도로접한 대지 급매. 자연취락지구로 토지거래허가구역임</t>
        </is>
      </c>
      <c r="L1444" s="6">
        <f>HYPERLINK("https://fin.land.naver.com/articles/2652535473", "매물Link")</f>
        <v/>
      </c>
      <c r="M1444" s="6">
        <f>HYPERLINK("https://map.naver.com/p/search/연서면 월하리 809", "지도Link")</f>
        <v/>
      </c>
      <c r="N1444" s="6">
        <f>HYPERLINK("http://www.eum.go.kr/web/ar/lu/luLandDet.jsp?pnu=3611036021108090000&amp;isNoScr=script&amp;mode=search",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668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818-1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78000</v>
      </c>
      <c r="G1445" s="4" t="n">
        <v>745</v>
      </c>
      <c r="H1445" s="4" t="n">
        <v>225</v>
      </c>
      <c r="I1445" s="5" t="n">
        <v>346.7</v>
      </c>
      <c r="J1445" s="5" t="n">
        <v>80.3</v>
      </c>
      <c r="K1445" s="3" t="inlineStr">
        <is>
          <t>조치원 월하리 아파트 분양 예정지 근접,개발 투자가치로 좋아요</t>
        </is>
      </c>
      <c r="L1445" s="6">
        <f>HYPERLINK("https://fin.land.naver.com/articles/2651463269", "매물Link")</f>
        <v/>
      </c>
      <c r="M1445" s="6">
        <f>HYPERLINK("https://map.naver.com/p/search/연서면 월하리 818-1", "지도Link")</f>
        <v/>
      </c>
      <c r="N1445" s="6">
        <f>HYPERLINK("http://www.eum.go.kr/web/ar/lu/luLandDet.jsp?pnu=3611036021108180001&amp;isNoScr=script&amp;mode=search",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745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월하리 889-1</t>
        </is>
      </c>
      <c r="B1446" s="3" t="inlineStr">
        <is>
          <t>자연녹지지역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442000</v>
      </c>
      <c r="G1446" s="4" t="n">
        <v>5415</v>
      </c>
      <c r="H1446" s="4" t="n">
        <v>1638</v>
      </c>
      <c r="I1446" s="5" t="n">
        <v>269.8</v>
      </c>
      <c r="J1446" s="5" t="n">
        <v>81.3</v>
      </c>
      <c r="K1446" s="3" t="inlineStr">
        <is>
          <t>세종 조치원 공공주택지구 접한 투자용 토지 매매</t>
        </is>
      </c>
      <c r="L1446" s="6">
        <f>HYPERLINK("https://fin.land.naver.com/articles/2650462664", "매물Link")</f>
        <v/>
      </c>
      <c r="M1446" s="6">
        <f>HYPERLINK("https://map.naver.com/p/search/연서면 월하리 889-1", "지도Link")</f>
        <v/>
      </c>
      <c r="N1446" s="6">
        <f>HYPERLINK("http://www.eum.go.kr/web/ar/lu/luLandDet.jsp?pnu=3611036021108890001&amp;isNoScr=script&amp;mode=search", "토지이음")</f>
        <v/>
      </c>
      <c r="O1446" s="3" t="inlineStr">
        <is>
          <t>(주)해뜰터</t>
        </is>
      </c>
      <c r="P1446" s="4" t="n">
        <v>2</v>
      </c>
      <c r="Q1446" s="4" t="n">
        <v>5415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연서면 월하리 892-1</t>
        </is>
      </c>
      <c r="B1447" s="3" t="inlineStr">
        <is>
          <t>자연녹지지역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305640</v>
      </c>
      <c r="G1447" s="4" t="n">
        <v>2806</v>
      </c>
      <c r="H1447" s="4" t="n">
        <v>849</v>
      </c>
      <c r="I1447" s="5" t="n">
        <v>360</v>
      </c>
      <c r="J1447" s="5" t="n">
        <v>86.40000000000001</v>
      </c>
      <c r="K1447" s="3" t="inlineStr">
        <is>
          <t>공공주택단지 인접토지 매매</t>
        </is>
      </c>
      <c r="L1447" s="6">
        <f>HYPERLINK("https://fin.land.naver.com/articles/2648030210", "매물Link")</f>
        <v/>
      </c>
      <c r="M1447" s="6">
        <f>HYPERLINK("https://map.naver.com/p/search/연서면 월하리 892-1", "지도Link")</f>
        <v/>
      </c>
      <c r="N1447" s="6">
        <f>HYPERLINK("http://www.eum.go.kr/web/ar/lu/luLandDet.jsp?pnu=3611036021108920001&amp;isNoScr=script&amp;mode=search", "토지이음")</f>
        <v/>
      </c>
      <c r="O1447" s="3" t="inlineStr">
        <is>
          <t>THE행복</t>
        </is>
      </c>
      <c r="P1447" s="4" t="n">
        <v>1</v>
      </c>
      <c r="Q1447" s="4" t="n">
        <v>1879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898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1652</v>
      </c>
      <c r="H1448" s="4" t="n">
        <v>500</v>
      </c>
      <c r="I1448" s="5" t="n">
        <v>400</v>
      </c>
      <c r="J1448" s="5" t="n">
        <v>100.6</v>
      </c>
      <c r="K1448" s="3" t="inlineStr">
        <is>
          <t>포장도로 접한 답. 조치원 공공주택지구 인근 자연녹지</t>
        </is>
      </c>
      <c r="L1448" s="6">
        <f>HYPERLINK("https://fin.land.naver.com/articles/2648329552", "매물Link")</f>
        <v/>
      </c>
      <c r="M1448" s="6">
        <f>HYPERLINK("https://map.naver.com/p/search/연서면 월하리 898", "지도Link")</f>
        <v/>
      </c>
      <c r="N1448" s="6">
        <f>HYPERLINK("http://www.eum.go.kr/web/ar/lu/luLandDet.jsp?pnu=3611036021108980000&amp;isNoScr=script&amp;mode=search",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1084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960-4</t>
        </is>
      </c>
      <c r="B1449" s="3" t="inlineStr">
        <is>
          <t>자연녹지지역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70000</v>
      </c>
      <c r="G1449" s="4" t="n">
        <v>574</v>
      </c>
      <c r="H1449" s="4" t="n">
        <v>174</v>
      </c>
      <c r="I1449" s="5" t="n">
        <v>402.3</v>
      </c>
      <c r="J1449" s="5" t="n">
        <v>208.2</v>
      </c>
      <c r="K1449" s="3" t="inlineStr">
        <is>
          <t>2차선 도로에 접한 3거리 코너각지에 있는 도시지역자연녹지  투자용 토지</t>
        </is>
      </c>
      <c r="L1449" s="6">
        <f>HYPERLINK("https://fin.land.naver.com/articles/2652409046", "매물Link")</f>
        <v/>
      </c>
      <c r="M1449" s="6">
        <f>HYPERLINK("https://map.naver.com/p/search/연서면 월하리 960-4", "지도Link")</f>
        <v/>
      </c>
      <c r="N1449" s="6">
        <f>HYPERLINK("http://www.eum.go.kr/web/ar/lu/luLandDet.jsp?pnu=3611036021109600004&amp;isNoScr=script&amp;mode=search",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574</v>
      </c>
      <c r="R1449" s="3" t="inlineStr">
        <is>
          <t>지정되지않음</t>
        </is>
      </c>
      <c r="S1449" s="3" t="inlineStr">
        <is>
          <t>전기타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소로각지</t>
        </is>
      </c>
    </row>
    <row r="1450">
      <c r="A1450" s="3" t="inlineStr">
        <is>
          <t>연서면 월하리 966-14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29000</v>
      </c>
      <c r="G1450" s="4" t="n">
        <v>384</v>
      </c>
      <c r="H1450" s="4" t="n">
        <v>116</v>
      </c>
      <c r="I1450" s="5" t="n">
        <v>250</v>
      </c>
      <c r="J1450" s="5" t="n">
        <v>102.6</v>
      </c>
      <c r="K1450" s="3" t="inlineStr">
        <is>
          <t>주말농장 및 미래가치 높은 투자형, 토지거래 허가구역</t>
        </is>
      </c>
      <c r="L1450" s="6">
        <f>HYPERLINK("https://fin.land.naver.com/articles/2649406700", "매물Link")</f>
        <v/>
      </c>
      <c r="M1450" s="6">
        <f>HYPERLINK("https://map.naver.com/p/search/연서면 월하리 966-14", "지도Link")</f>
        <v/>
      </c>
      <c r="N1450" s="6">
        <f>HYPERLINK("http://www.eum.go.kr/web/ar/lu/luLandDet.jsp?pnu=3611036021109660014&amp;isNoScr=script&amp;mode=search", "토지이음")</f>
        <v/>
      </c>
      <c r="O1450" s="3" t="inlineStr">
        <is>
          <t>천우</t>
        </is>
      </c>
      <c r="P1450" s="4" t="n">
        <v>1</v>
      </c>
      <c r="Q1450" s="4" t="n">
        <v>384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연서면 월하리 966-3</t>
        </is>
      </c>
      <c r="B1451" s="3" t="inlineStr">
        <is>
          <t>자연녹지지역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110000</v>
      </c>
      <c r="G1451" s="4" t="n">
        <v>981</v>
      </c>
      <c r="H1451" s="4" t="n">
        <v>297</v>
      </c>
      <c r="I1451" s="5" t="n">
        <v>370.4</v>
      </c>
      <c r="J1451" s="5" t="n">
        <v>168.6</v>
      </c>
      <c r="K1451" s="3" t="inlineStr">
        <is>
          <t>실거주, 미래가치 높은 투자형, 토지거래 허가구역</t>
        </is>
      </c>
      <c r="L1451" s="6">
        <f>HYPERLINK("https://fin.land.naver.com/articles/2649406297", "매물Link")</f>
        <v/>
      </c>
      <c r="M1451" s="6">
        <f>HYPERLINK("https://map.naver.com/p/search/연서면 월하리 966-3", "지도Link")</f>
        <v/>
      </c>
      <c r="N1451" s="6">
        <f>HYPERLINK("http://www.eum.go.kr/web/ar/lu/luLandDet.jsp?pnu=3611036021109660003&amp;isNoScr=script&amp;mode=search", "토지이음")</f>
        <v/>
      </c>
      <c r="O1451" s="3" t="inlineStr">
        <is>
          <t>천우</t>
        </is>
      </c>
      <c r="P1451" s="4" t="n">
        <v>1</v>
      </c>
      <c r="Q1451" s="4" t="n">
        <v>639</v>
      </c>
      <c r="R1451" s="3" t="inlineStr">
        <is>
          <t>지정되지않음</t>
        </is>
      </c>
      <c r="S1451" s="3" t="inlineStr">
        <is>
          <t>단독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연서면 월하리 986-3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168000</v>
      </c>
      <c r="G1452" s="4" t="n">
        <v>1157</v>
      </c>
      <c r="H1452" s="4" t="n">
        <v>350</v>
      </c>
      <c r="I1452" s="5" t="n">
        <v>480</v>
      </c>
      <c r="J1452" s="5" t="n">
        <v>208.4</v>
      </c>
      <c r="K1452" s="3" t="inlineStr">
        <is>
          <t>조치원 서북부 개발지역 근접  농지로 투자용으로도 추천, 포장도로 접함</t>
        </is>
      </c>
      <c r="L1452" s="6">
        <f>HYPERLINK("https://fin.land.naver.com/articles/2647543173", "매물Link")</f>
        <v/>
      </c>
      <c r="M1452" s="6">
        <f>HYPERLINK("https://map.naver.com/p/search/연서면 월하리 986-3", "지도Link")</f>
        <v/>
      </c>
      <c r="N1452" s="6">
        <f>HYPERLINK("http://www.eum.go.kr/web/ar/lu/luLandDet.jsp?pnu=3611036021109860003&amp;isNoScr=script&amp;mode=search", "토지이음")</f>
        <v/>
      </c>
      <c r="O1452" s="3" t="inlineStr">
        <is>
          <t>the다올</t>
        </is>
      </c>
      <c r="P1452" s="4" t="n">
        <v>1</v>
      </c>
      <c r="Q1452" s="4" t="n">
        <v>1157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산144-1</t>
        </is>
      </c>
      <c r="B1453" s="3" t="inlineStr">
        <is>
          <t>자연녹지지역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860000</v>
      </c>
      <c r="G1453" s="4" t="n">
        <v>22983</v>
      </c>
      <c r="H1453" s="4" t="n">
        <v>6952</v>
      </c>
      <c r="I1453" s="5" t="n">
        <v>123.7</v>
      </c>
      <c r="J1453" s="5" t="n">
        <v>22.5</v>
      </c>
      <c r="K1453" s="3" t="inlineStr">
        <is>
          <t>미호강변 경관좋은 완경사 임야</t>
        </is>
      </c>
      <c r="L1453" s="6">
        <f>HYPERLINK("https://fin.land.naver.com/articles/2651822753", "매물Link")</f>
        <v/>
      </c>
      <c r="M1453" s="6">
        <f>HYPERLINK("https://map.naver.com/p/search/연서면 월하리 산144-1", "지도Link")</f>
        <v/>
      </c>
      <c r="N1453" s="6">
        <f>HYPERLINK("http://www.eum.go.kr/web/ar/lu/luLandDet.jsp?pnu=3611036021201440001&amp;isNoScr=script&amp;mode=search", "토지이음")</f>
        <v/>
      </c>
      <c r="O1453" s="3" t="inlineStr">
        <is>
          <t>번영</t>
        </is>
      </c>
      <c r="P1453" s="4" t="n">
        <v>1</v>
      </c>
      <c r="Q1453" s="4" t="n">
        <v>22641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월하리 산7-12</t>
        </is>
      </c>
      <c r="B1454" s="3" t="inlineStr">
        <is>
          <t>자연녹지지역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15800</v>
      </c>
      <c r="G1454" s="4" t="n">
        <v>660</v>
      </c>
      <c r="H1454" s="4" t="n">
        <v>200</v>
      </c>
      <c r="I1454" s="5" t="n">
        <v>79</v>
      </c>
      <c r="J1454" s="5" t="n">
        <v>21.7</v>
      </c>
      <c r="K1454" s="3" t="inlineStr">
        <is>
          <t>연서면 월하리 도시지역 자연녹지, 경사도 완만한 투 자용 임야입니다</t>
        </is>
      </c>
      <c r="L1454" s="6">
        <f>HYPERLINK("https://fin.land.naver.com/articles/2648168085", "매물Link")</f>
        <v/>
      </c>
      <c r="M1454" s="6">
        <f>HYPERLINK("https://map.naver.com/p/search/연서면 월하리 산7-12", "지도Link")</f>
        <v/>
      </c>
      <c r="N1454" s="6">
        <f>HYPERLINK("http://www.eum.go.kr/web/ar/lu/luLandDet.jsp?pnu=3611036021200070012&amp;isNoScr=script&amp;mode=search",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660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연서면 청라리 12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12500</v>
      </c>
      <c r="G1455" s="4" t="n">
        <v>1838</v>
      </c>
      <c r="H1455" s="4" t="n">
        <v>556</v>
      </c>
      <c r="I1455" s="5" t="n">
        <v>22.5</v>
      </c>
      <c r="J1455" s="5" t="n">
        <v>23.5</v>
      </c>
      <c r="K1455" s="3" t="inlineStr">
        <is>
          <t>급매 주변 시세보다 저렴한 태양광 시설등으로 적합한 생산관리지역의 과수원</t>
        </is>
      </c>
      <c r="L1455" s="6">
        <f>HYPERLINK("https://fin.land.naver.com/articles/2652681924", "매물Link")</f>
        <v/>
      </c>
      <c r="M1455" s="6">
        <f>HYPERLINK("https://map.naver.com/p/search/연서면 청라리 12", "지도Link")</f>
        <v/>
      </c>
      <c r="N1455" s="6">
        <f>HYPERLINK("http://www.eum.go.kr/web/ar/lu/luLandDet.jsp?pnu=3611036027100120000&amp;isNoScr=script&amp;mode=search", "토지이음")</f>
        <v/>
      </c>
      <c r="O1455" s="3" t="inlineStr">
        <is>
          <t>스마일세종</t>
        </is>
      </c>
      <c r="P1455" s="4" t="n">
        <v>2</v>
      </c>
      <c r="Q1455" s="4" t="n">
        <v>1838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127-1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53000</v>
      </c>
      <c r="G1456" s="4" t="n">
        <v>1249</v>
      </c>
      <c r="H1456" s="4" t="n">
        <v>378</v>
      </c>
      <c r="I1456" s="5" t="n">
        <v>140.2</v>
      </c>
      <c r="J1456" s="5" t="n">
        <v>30.6</v>
      </c>
      <c r="K1456" s="3" t="inlineStr">
        <is>
          <t>고복저수지5분거리 국산인근수혜지</t>
        </is>
      </c>
      <c r="L1456" s="6">
        <f>HYPERLINK("https://fin.land.naver.com/articles/2652904321", "매물Link")</f>
        <v/>
      </c>
      <c r="M1456" s="6">
        <f>HYPERLINK("https://map.naver.com/p/search/연서면 청라리 127-1", "지도Link")</f>
        <v/>
      </c>
      <c r="N1456" s="6">
        <f>HYPERLINK("http://www.eum.go.kr/web/ar/lu/luLandDet.jsp?pnu=3611036027101270001&amp;isNoScr=script&amp;mode=search", "토지이음")</f>
        <v/>
      </c>
      <c r="O1456" s="3" t="inlineStr">
        <is>
          <t>오송원</t>
        </is>
      </c>
      <c r="P1456" s="4" t="n">
        <v>1</v>
      </c>
      <c r="Q1456" s="4" t="n">
        <v>1249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청라리 127-1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53000</v>
      </c>
      <c r="G1457" s="4" t="n">
        <v>1249</v>
      </c>
      <c r="H1457" s="4" t="n">
        <v>378</v>
      </c>
      <c r="I1457" s="5" t="n">
        <v>140.2</v>
      </c>
      <c r="J1457" s="5" t="n">
        <v>30.6</v>
      </c>
      <c r="K1457" s="3" t="inlineStr">
        <is>
          <t>포장도로 접한 세종 북부권 전원주택 검토형 토지</t>
        </is>
      </c>
      <c r="L1457" s="6">
        <f>HYPERLINK("https://fin.land.naver.com/articles/2649753980", "매물Link")</f>
        <v/>
      </c>
      <c r="M1457" s="6">
        <f>HYPERLINK("https://map.naver.com/p/search/연서면 청라리 127-1", "지도Link")</f>
        <v/>
      </c>
      <c r="N1457" s="6">
        <f>HYPERLINK("http://www.eum.go.kr/web/ar/lu/luLandDet.jsp?pnu=3611036027101270001&amp;isNoScr=script&amp;mode=search",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1249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4미터포장도로접.청라2리복지회관인근.국가산단수혜지.고복저수지5분거리</t>
        </is>
      </c>
      <c r="L1458" s="6">
        <f>HYPERLINK("https://fin.land.naver.com/articles/2651977919",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돈방석</t>
        </is>
      </c>
      <c r="P1458" s="4" t="n">
        <v>8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l청년l 세종시 투자가치 있는 토지 입니다.</t>
        </is>
      </c>
      <c r="L1459" s="6">
        <f>HYPERLINK("https://fin.land.naver.com/articles/2652676790",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청년사사무소</t>
        </is>
      </c>
      <c r="P1459" s="4" t="n">
        <v>1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16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42000</v>
      </c>
      <c r="G1460" s="4" t="n">
        <v>2023</v>
      </c>
      <c r="H1460" s="4" t="n">
        <v>612</v>
      </c>
      <c r="I1460" s="5" t="n">
        <v>68.59999999999999</v>
      </c>
      <c r="J1460" s="5" t="n">
        <v>23.5</v>
      </c>
      <c r="K1460" s="3" t="inlineStr">
        <is>
          <t>풍수지리 최고위치 국가산단 배후지 급매물</t>
        </is>
      </c>
      <c r="L1460" s="6">
        <f>HYPERLINK("https://fin.land.naver.com/articles/2650378739", "매물Link")</f>
        <v/>
      </c>
      <c r="M1460" s="6">
        <f>HYPERLINK("https://map.naver.com/p/search/연서면 청라리 16", "지도Link")</f>
        <v/>
      </c>
      <c r="N1460" s="6">
        <f>HYPERLINK("http://www.eum.go.kr/web/ar/lu/luLandDet.jsp?pnu=3611036027100160000&amp;isNoScr=script&amp;mode=search", "토지이음")</f>
        <v/>
      </c>
      <c r="O1460" s="3" t="inlineStr">
        <is>
          <t>THE행복</t>
        </is>
      </c>
      <c r="P1460" s="4" t="n">
        <v>1</v>
      </c>
      <c r="Q1460" s="4" t="n">
        <v>2023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163-8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31000</v>
      </c>
      <c r="G1462" s="4" t="n">
        <v>778</v>
      </c>
      <c r="H1462" s="4" t="n">
        <v>235</v>
      </c>
      <c r="I1462" s="5" t="n">
        <v>131.9</v>
      </c>
      <c r="J1462" s="5" t="n">
        <v>27</v>
      </c>
      <c r="K1462" s="3" t="inlineStr">
        <is>
          <t>급매  남향  토목공사 완료  조망권 좋음</t>
        </is>
      </c>
      <c r="L1462" s="6">
        <f>HYPERLINK("https://fin.land.naver.com/articles/2648711196", "매물Link")</f>
        <v/>
      </c>
      <c r="M1462" s="6">
        <f>HYPERLINK("https://map.naver.com/p/search/연서면 청라리 163-8", "지도Link")</f>
        <v/>
      </c>
      <c r="N1462" s="6">
        <f>HYPERLINK("http://www.eum.go.kr/web/ar/lu/luLandDet.jsp?pnu=3611036027101630008&amp;isNoScr=script&amp;mode=search", "토지이음")</f>
        <v/>
      </c>
      <c r="O1462" s="3" t="inlineStr">
        <is>
          <t>보람진솔한</t>
        </is>
      </c>
      <c r="P1462" s="4" t="n">
        <v>1</v>
      </c>
      <c r="Q1462" s="4" t="n">
        <v>778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17-1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44000</v>
      </c>
      <c r="G1463" s="4" t="n">
        <v>1828</v>
      </c>
      <c r="H1463" s="4" t="n">
        <v>553</v>
      </c>
      <c r="I1463" s="5" t="n">
        <v>79.59999999999999</v>
      </c>
      <c r="J1463" s="5" t="n">
        <v>23.5</v>
      </c>
      <c r="K1463" s="3" t="inlineStr">
        <is>
          <t>연서면 청라리에 있는 전원주택도 지을 수 있는 투자용 토지 입니다</t>
        </is>
      </c>
      <c r="L1463" s="6">
        <f>HYPERLINK("https://fin.land.naver.com/articles/2650766989", "매물Link")</f>
        <v/>
      </c>
      <c r="M1463" s="6">
        <f>HYPERLINK("https://map.naver.com/p/search/연서면 청라리 17-1", "지도Link")</f>
        <v/>
      </c>
      <c r="N1463" s="6">
        <f>HYPERLINK("http://www.eum.go.kr/web/ar/lu/luLandDet.jsp?pnu=3611036027100170001&amp;isNoScr=script&amp;mode=search",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1729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연서면 청라리 191-1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75000</v>
      </c>
      <c r="G1464" s="4" t="n">
        <v>2096</v>
      </c>
      <c r="H1464" s="4" t="n">
        <v>634</v>
      </c>
      <c r="I1464" s="5" t="n">
        <v>118.3</v>
      </c>
      <c r="J1464" s="5" t="n">
        <v>32.1</v>
      </c>
      <c r="K1464" s="3" t="inlineStr">
        <is>
          <t>생산관리, 도로접함, 대토용, 투자용</t>
        </is>
      </c>
      <c r="L1464" s="6">
        <f>HYPERLINK("https://fin.land.naver.com/articles/2650332745", "매물Link")</f>
        <v/>
      </c>
      <c r="M1464" s="6">
        <f>HYPERLINK("https://map.naver.com/p/search/연서면 청라리 191-1", "지도Link")</f>
        <v/>
      </c>
      <c r="N1464" s="6">
        <f>HYPERLINK("http://www.eum.go.kr/web/ar/lu/luLandDet.jsp?pnu=3611036027101910001&amp;isNoScr=script&amp;mode=search", "토지이음")</f>
        <v/>
      </c>
      <c r="O1464" s="3" t="inlineStr">
        <is>
          <t>세종일조</t>
        </is>
      </c>
      <c r="P1464" s="4" t="n">
        <v>1</v>
      </c>
      <c r="Q1464" s="4" t="n">
        <v>2096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연서면 청라리 244-1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20000</v>
      </c>
      <c r="G1465" s="4" t="n">
        <v>833</v>
      </c>
      <c r="H1465" s="4" t="n">
        <v>252</v>
      </c>
      <c r="I1465" s="5" t="n">
        <v>79.40000000000001</v>
      </c>
      <c r="J1465" s="5" t="n">
        <v>20.8</v>
      </c>
      <c r="K1465" s="3" t="inlineStr">
        <is>
          <t>nan</t>
        </is>
      </c>
      <c r="L1465" s="6">
        <f>HYPERLINK("https://fin.land.naver.com/articles/2651654470", "매물Link")</f>
        <v/>
      </c>
      <c r="M1465" s="6">
        <f>HYPERLINK("https://map.naver.com/p/search/연서면 청라리 244-1", "지도Link")</f>
        <v/>
      </c>
      <c r="N1465" s="6">
        <f>HYPERLINK("http://www.eum.go.kr/web/ar/lu/luLandDet.jsp?pnu=3611036027102440001&amp;isNoScr=script&amp;mode=search", "토지이음")</f>
        <v/>
      </c>
      <c r="O1465" s="3" t="inlineStr">
        <is>
          <t>고운하임</t>
        </is>
      </c>
      <c r="P1465" s="4" t="n">
        <v>1</v>
      </c>
      <c r="Q1465" s="4" t="n">
        <v>833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연서면 청라리 263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38500</v>
      </c>
      <c r="G1466" s="4" t="n">
        <v>2314</v>
      </c>
      <c r="H1466" s="4" t="n">
        <v>700</v>
      </c>
      <c r="I1466" s="5" t="n">
        <v>55</v>
      </c>
      <c r="J1466" s="5" t="n">
        <v>20.8</v>
      </c>
      <c r="K1466" s="3" t="inlineStr">
        <is>
          <t>연서면 청라리 농지매매</t>
        </is>
      </c>
      <c r="L1466" s="6">
        <f>HYPERLINK("https://fin.land.naver.com/articles/2650941248", "매물Link")</f>
        <v/>
      </c>
      <c r="M1466" s="6">
        <f>HYPERLINK("https://map.naver.com/p/search/연서면 청라리 263", "지도Link")</f>
        <v/>
      </c>
      <c r="N1466" s="6">
        <f>HYPERLINK("http://www.eum.go.kr/web/ar/lu/luLandDet.jsp?pnu=3611036027102630000&amp;isNoScr=script&amp;mode=search", "토지이음")</f>
        <v/>
      </c>
      <c r="O1466" s="3" t="inlineStr">
        <is>
          <t>OK세종 사무소</t>
        </is>
      </c>
      <c r="P1466" s="4" t="n">
        <v>1</v>
      </c>
      <c r="Q1466" s="4" t="n">
        <v>2314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277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63000</v>
      </c>
      <c r="G1467" s="4" t="n">
        <v>3472</v>
      </c>
      <c r="H1467" s="4" t="n">
        <v>1050</v>
      </c>
      <c r="I1467" s="5" t="n">
        <v>60</v>
      </c>
      <c r="J1467" s="5" t="n">
        <v>22</v>
      </c>
      <c r="K1467" s="3" t="inlineStr">
        <is>
          <t>현황도로 길게 접한 생산관리 토지. 대토, 전원주택 추천</t>
        </is>
      </c>
      <c r="L1467" s="6">
        <f>HYPERLINK("https://fin.land.naver.com/articles/2652115768", "매물Link")</f>
        <v/>
      </c>
      <c r="M1467" s="6">
        <f>HYPERLINK("https://map.naver.com/p/search/연서면 청라리 277", "지도Link")</f>
        <v/>
      </c>
      <c r="N1467" s="6">
        <f>HYPERLINK("http://www.eum.go.kr/web/ar/lu/luLandDet.jsp?pnu=3611036027102770000&amp;isNoScr=script&amp;mode=search",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3472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연서면 청라리 295-2</t>
        </is>
      </c>
      <c r="B1468" s="3" t="inlineStr">
        <is>
          <t>생산관리지역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71800</v>
      </c>
      <c r="G1468" s="4" t="n">
        <v>2372</v>
      </c>
      <c r="H1468" s="4" t="n">
        <v>718</v>
      </c>
      <c r="I1468" s="5" t="n">
        <v>100</v>
      </c>
      <c r="J1468" s="5" t="n">
        <v>23.5</v>
      </c>
      <c r="K1468" s="3" t="inlineStr">
        <is>
          <t>고복저수지인근 2차선변 답</t>
        </is>
      </c>
      <c r="L1468" s="6">
        <f>HYPERLINK("https://fin.land.naver.com/articles/2652044870", "매물Link")</f>
        <v/>
      </c>
      <c r="M1468" s="6">
        <f>HYPERLINK("https://map.naver.com/p/search/연서면 청라리 295-2", "지도Link")</f>
        <v/>
      </c>
      <c r="N1468" s="6">
        <f>HYPERLINK("http://www.eum.go.kr/web/ar/lu/luLandDet.jsp?pnu=3611036027102950002&amp;isNoScr=script&amp;mode=search",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2372.4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청라리 34-1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82300</v>
      </c>
      <c r="G1469" s="4" t="n">
        <v>3891</v>
      </c>
      <c r="H1469" s="4" t="n">
        <v>1177</v>
      </c>
      <c r="I1469" s="5" t="n">
        <v>69.90000000000001</v>
      </c>
      <c r="J1469" s="5" t="n">
        <v>24.2</v>
      </c>
      <c r="K1469" s="3" t="inlineStr">
        <is>
          <t>대토용 토지</t>
        </is>
      </c>
      <c r="L1469" s="6">
        <f>HYPERLINK("https://fin.land.naver.com/articles/2651766800", "매물Link")</f>
        <v/>
      </c>
      <c r="M1469" s="6">
        <f>HYPERLINK("https://map.naver.com/p/search/연서면 청라리 34-1", "지도Link")</f>
        <v/>
      </c>
      <c r="N1469" s="6">
        <f>HYPERLINK("http://www.eum.go.kr/web/ar/lu/luLandDet.jsp?pnu=3611036027100340001&amp;isNoScr=script&amp;mode=search", "토지이음")</f>
        <v/>
      </c>
      <c r="O1469" s="3" t="inlineStr">
        <is>
          <t>토지개발</t>
        </is>
      </c>
      <c r="P1469" s="4" t="n">
        <v>1</v>
      </c>
      <c r="Q1469" s="4" t="n">
        <v>3825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청라리 38-2</t>
        </is>
      </c>
      <c r="B1470" s="3" t="inlineStr">
        <is>
          <t>생산관리지역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18180</v>
      </c>
      <c r="G1470" s="4" t="n">
        <v>1001</v>
      </c>
      <c r="H1470" s="4" t="n">
        <v>303</v>
      </c>
      <c r="I1470" s="5" t="n">
        <v>60</v>
      </c>
      <c r="J1470" s="5" t="n">
        <v>24.2</v>
      </c>
      <c r="K1470" s="3" t="inlineStr">
        <is>
          <t>배나무 심어져 있고 농지원부 나오는땅</t>
        </is>
      </c>
      <c r="L1470" s="6">
        <f>HYPERLINK("https://fin.land.naver.com/articles/2651959061", "매물Link")</f>
        <v/>
      </c>
      <c r="M1470" s="6">
        <f>HYPERLINK("https://map.naver.com/p/search/연서면 청라리 38-2", "지도Link")</f>
        <v/>
      </c>
      <c r="N1470" s="6">
        <f>HYPERLINK("http://www.eum.go.kr/web/ar/lu/luLandDet.jsp?pnu=3611036027100380002&amp;isNoScr=script&amp;mode=search", "토지이음")</f>
        <v/>
      </c>
      <c r="O1470" s="3" t="inlineStr">
        <is>
          <t>용궁</t>
        </is>
      </c>
      <c r="P1470" s="4" t="n">
        <v>1</v>
      </c>
      <c r="Q1470" s="4" t="n">
        <v>1000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420-1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37000</v>
      </c>
      <c r="G1471" s="4" t="n">
        <v>657</v>
      </c>
      <c r="H1471" s="4" t="n">
        <v>199</v>
      </c>
      <c r="I1471" s="5" t="n">
        <v>185.9</v>
      </c>
      <c r="J1471" s="5" t="n">
        <v>56.6</v>
      </c>
      <c r="K1471" s="3" t="inlineStr">
        <is>
          <t>계획관리지역.성장관리계획구역.단독주택있슴</t>
        </is>
      </c>
      <c r="L1471" s="6">
        <f>HYPERLINK("https://fin.land.naver.com/articles/2648373796", "매물Link")</f>
        <v/>
      </c>
      <c r="M1471" s="6">
        <f>HYPERLINK("https://map.naver.com/p/search/연서면 청라리 420-1", "지도Link")</f>
        <v/>
      </c>
      <c r="N1471" s="6">
        <f>HYPERLINK("http://www.eum.go.kr/web/ar/lu/luLandDet.jsp?pnu=3611036027104200001&amp;isNoScr=script&amp;mode=search", "토지이음")</f>
        <v/>
      </c>
      <c r="O1471" s="3" t="inlineStr">
        <is>
          <t>돈방석</t>
        </is>
      </c>
      <c r="P1471" s="4" t="n">
        <v>1</v>
      </c>
      <c r="Q1471" s="4" t="n">
        <v>657.4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연서면 청라리 448</t>
        </is>
      </c>
      <c r="B1472" s="3" t="inlineStr">
        <is>
          <t>계획관리지역</t>
        </is>
      </c>
      <c r="C1472" s="3" t="inlineStr">
        <is>
          <t>창고용지</t>
        </is>
      </c>
      <c r="D1472" s="3" t="inlineStr">
        <is>
          <t>대</t>
        </is>
      </c>
      <c r="E1472" s="3" t="inlineStr">
        <is>
          <t>매매</t>
        </is>
      </c>
      <c r="F1472" s="4" t="n">
        <v>425400</v>
      </c>
      <c r="G1472" s="4" t="n">
        <v>7031</v>
      </c>
      <c r="H1472" s="4" t="n">
        <v>2127</v>
      </c>
      <c r="I1472" s="5" t="n">
        <v>200</v>
      </c>
      <c r="J1472" s="5" t="n">
        <v>36.8</v>
      </c>
      <c r="K1472" s="3" t="inlineStr">
        <is>
          <t>2차선도로 접한 토지</t>
        </is>
      </c>
      <c r="L1472" s="6">
        <f>HYPERLINK("https://fin.land.naver.com/articles/2648565269", "매물Link")</f>
        <v/>
      </c>
      <c r="M1472" s="6">
        <f>HYPERLINK("https://map.naver.com/p/search/연서면 청라리 448", "지도Link")</f>
        <v/>
      </c>
      <c r="N1472" s="6">
        <f>HYPERLINK("http://www.eum.go.kr/web/ar/lu/luLandDet.jsp?pnu=3611036027104480000&amp;isNoScr=script&amp;mode=search", "토지이음")</f>
        <v/>
      </c>
      <c r="O1472" s="3" t="inlineStr">
        <is>
          <t>더KEY</t>
        </is>
      </c>
      <c r="P1472" s="4" t="n">
        <v>1</v>
      </c>
      <c r="Q1472" s="4" t="n">
        <v>1158</v>
      </c>
      <c r="R1472" s="3" t="inlineStr">
        <is>
          <t>지정되지않음</t>
        </is>
      </c>
      <c r="S1472" s="3" t="inlineStr">
        <is>
          <t>답기타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청라리 490</t>
        </is>
      </c>
      <c r="B1473" s="3" t="inlineStr">
        <is>
          <t>보전관리지역</t>
        </is>
      </c>
      <c r="C1473" s="3" t="inlineStr">
        <is>
          <t>답</t>
        </is>
      </c>
      <c r="D1473" s="3" t="inlineStr">
        <is>
          <t>전</t>
        </is>
      </c>
      <c r="E1473" s="3" t="inlineStr">
        <is>
          <t>매매</t>
        </is>
      </c>
      <c r="F1473" s="4" t="n">
        <v>7000</v>
      </c>
      <c r="G1473" s="4" t="n">
        <v>1401</v>
      </c>
      <c r="H1473" s="4" t="n">
        <v>424</v>
      </c>
      <c r="I1473" s="5" t="n">
        <v>16.5</v>
      </c>
      <c r="J1473" s="5" t="n">
        <v>10.8</v>
      </c>
      <c r="K1473" s="3" t="inlineStr">
        <is>
          <t>급매.과수원추천.보전관리.성장관리계획구역.영농여건불리농지. 대토추천.</t>
        </is>
      </c>
      <c r="L1473" s="6">
        <f>HYPERLINK("https://fin.land.naver.com/articles/2651449309", "매물Link")</f>
        <v/>
      </c>
      <c r="M1473" s="6">
        <f>HYPERLINK("https://map.naver.com/p/search/연서면 청라리 490", "지도Link")</f>
        <v/>
      </c>
      <c r="N1473" s="6">
        <f>HYPERLINK("http://www.eum.go.kr/web/ar/lu/luLandDet.jsp?pnu=3611036027104900000&amp;isNoScr=script&amp;mode=search", "토지이음")</f>
        <v/>
      </c>
      <c r="O1473" s="3" t="inlineStr">
        <is>
          <t>휴튼9단지세교신도시</t>
        </is>
      </c>
      <c r="P1473" s="4" t="n">
        <v>1</v>
      </c>
      <c r="Q1473" s="4" t="n">
        <v>724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급경사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6750</v>
      </c>
      <c r="G1474" s="4" t="n">
        <v>1402</v>
      </c>
      <c r="H1474" s="4" t="n">
        <v>424</v>
      </c>
      <c r="I1474" s="5" t="n">
        <v>15.9</v>
      </c>
      <c r="J1474" s="5" t="n">
        <v>10.8</v>
      </c>
      <c r="K1474" s="3" t="inlineStr">
        <is>
          <t>구거 접해 있지만 맹지입니다.</t>
        </is>
      </c>
      <c r="L1474" s="6">
        <f>HYPERLINK("https://fin.land.naver.com/articles/2652005290",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세종땅사랑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전</t>
        </is>
      </c>
      <c r="E1475" s="3" t="inlineStr">
        <is>
          <t>매매</t>
        </is>
      </c>
      <c r="F1475" s="4" t="n">
        <v>12700</v>
      </c>
      <c r="G1475" s="4" t="n">
        <v>1402</v>
      </c>
      <c r="H1475" s="4" t="n">
        <v>424</v>
      </c>
      <c r="I1475" s="5" t="n">
        <v>30</v>
      </c>
      <c r="J1475" s="5" t="n">
        <v>10.8</v>
      </c>
      <c r="K1475" s="3" t="inlineStr">
        <is>
          <t>절충가능하고 대토용으로 추천드림니다</t>
        </is>
      </c>
      <c r="L1475" s="6">
        <f>HYPERLINK("https://fin.land.naver.com/articles/2649224599",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오송읍 공북리 184-1</t>
        </is>
      </c>
      <c r="B1476" s="3" t="inlineStr">
        <is>
          <t>농림지역</t>
        </is>
      </c>
      <c r="C1476" s="3" t="inlineStr">
        <is>
          <t>잡종지</t>
        </is>
      </c>
      <c r="D1476" s="3" t="inlineStr">
        <is>
          <t>잡종지</t>
        </is>
      </c>
      <c r="E1476" s="3" t="inlineStr">
        <is>
          <t>매매</t>
        </is>
      </c>
      <c r="F1476" s="4" t="n">
        <v>130000</v>
      </c>
      <c r="G1476" s="4" t="n">
        <v>2146</v>
      </c>
      <c r="H1476" s="4" t="n">
        <v>649</v>
      </c>
      <c r="I1476" s="5" t="n">
        <v>200.3</v>
      </c>
      <c r="J1476" s="5" t="n">
        <v>53.7</v>
      </c>
      <c r="K1476" s="3" t="inlineStr">
        <is>
          <t>오송역.산단인접 개발 활용도 좋은 잡종지 토지 매매.2차선 도로접</t>
        </is>
      </c>
      <c r="L1476" s="6">
        <f>HYPERLINK("https://fin.land.naver.com/articles/2650636899", "매물Link")</f>
        <v/>
      </c>
      <c r="M1476" s="6">
        <f>HYPERLINK("https://map.naver.com/p/search/오송읍 공북리 184-1", "지도Link")</f>
        <v/>
      </c>
      <c r="N1476" s="6">
        <f>HYPERLINK("http://www.eum.go.kr/web/ar/lu/luLandDet.jsp?pnu=4311325023101840001&amp;isNoScr=script&amp;mode=search", "토지이음")</f>
        <v/>
      </c>
      <c r="O1476" s="3" t="inlineStr">
        <is>
          <t>삼성사무소</t>
        </is>
      </c>
      <c r="P1476" s="4" t="n">
        <v>1</v>
      </c>
      <c r="Q1476" s="4" t="n">
        <v>746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소로한면</t>
        </is>
      </c>
    </row>
    <row r="1477">
      <c r="A1477" s="3" t="inlineStr">
        <is>
          <t>오송읍 공북리 184-2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2차선 도로 접, 서울 세종간 고속도로 오송진입로 1.3km, 투자 적지</t>
        </is>
      </c>
      <c r="L1477" s="6">
        <f>HYPERLINK("https://fin.land.naver.com/articles/2651729575", "매물Link")</f>
        <v/>
      </c>
      <c r="M1477" s="6">
        <f>HYPERLINK("https://map.naver.com/p/search/오송읍 공북리 184-2", "지도Link")</f>
        <v/>
      </c>
      <c r="N1477" s="6">
        <f>HYPERLINK("http://www.eum.go.kr/web/ar/lu/luLandDet.jsp?pnu=4311325023101840002&amp;isNoScr=script&amp;mode=search",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1400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308-1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전</t>
        </is>
      </c>
      <c r="E1478" s="3" t="inlineStr">
        <is>
          <t>매매</t>
        </is>
      </c>
      <c r="F1478" s="4" t="n">
        <v>10720</v>
      </c>
      <c r="G1478" s="4" t="n">
        <v>222</v>
      </c>
      <c r="H1478" s="4" t="n">
        <v>67</v>
      </c>
      <c r="I1478" s="5" t="n">
        <v>160</v>
      </c>
      <c r="J1478" s="5" t="n">
        <v>75.5</v>
      </c>
      <c r="K1478" s="3" t="inlineStr">
        <is>
          <t>공북리 계획관리토지 마을안쪽 국가도로연결됨 저렴소자본 매수가능</t>
        </is>
      </c>
      <c r="L1478" s="6">
        <f>HYPERLINK("https://fin.land.naver.com/articles/2647606151", "매물Link")</f>
        <v/>
      </c>
      <c r="M1478" s="6">
        <f>HYPERLINK("https://map.naver.com/p/search/오송읍 공북리 308-1", "지도Link")</f>
        <v/>
      </c>
      <c r="N1478" s="6">
        <f>HYPERLINK("http://www.eum.go.kr/web/ar/lu/luLandDet.jsp?pnu=4311325023103080001&amp;isNoScr=script&amp;mode=search", "토지이음")</f>
        <v/>
      </c>
      <c r="O1478" s="3" t="inlineStr">
        <is>
          <t>자이원</t>
        </is>
      </c>
      <c r="P1478" s="4" t="n">
        <v>1</v>
      </c>
      <c r="Q1478" s="4" t="n">
        <v>222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오송읍 공북리 308-2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108600</v>
      </c>
      <c r="G1479" s="4" t="n">
        <v>2244</v>
      </c>
      <c r="H1479" s="4" t="n">
        <v>679</v>
      </c>
      <c r="I1479" s="5" t="n">
        <v>159.9</v>
      </c>
      <c r="J1479" s="5" t="n">
        <v>41.3</v>
      </c>
      <c r="K1479" s="3" t="inlineStr">
        <is>
          <t>공북리 계획관리 전 전체 또는 분할 매매 가능</t>
        </is>
      </c>
      <c r="L1479" s="6">
        <f>HYPERLINK("https://fin.land.naver.com/articles/2647606366", "매물Link")</f>
        <v/>
      </c>
      <c r="M1479" s="6">
        <f>HYPERLINK("https://map.naver.com/p/search/오송읍 공북리 308-2", "지도Link")</f>
        <v/>
      </c>
      <c r="N1479" s="6">
        <f>HYPERLINK("http://www.eum.go.kr/web/ar/lu/luLandDet.jsp?pnu=4311325023103080002&amp;isNoScr=script&amp;mode=search",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공북리 568-28</t>
        </is>
      </c>
      <c r="B1480" s="3" t="inlineStr">
        <is>
          <t>계획관리지역</t>
        </is>
      </c>
      <c r="C1480" s="3" t="inlineStr">
        <is>
          <t>잡종지</t>
        </is>
      </c>
      <c r="D1480" s="3" t="inlineStr">
        <is>
          <t>대</t>
        </is>
      </c>
      <c r="E1480" s="3" t="inlineStr">
        <is>
          <t>매매</t>
        </is>
      </c>
      <c r="F1480" s="4" t="n">
        <v>220000</v>
      </c>
      <c r="G1480" s="4" t="n">
        <v>2707</v>
      </c>
      <c r="H1480" s="4" t="n">
        <v>819</v>
      </c>
      <c r="I1480" s="5" t="n">
        <v>268.6</v>
      </c>
      <c r="J1480" s="5" t="n">
        <v>72.2</v>
      </c>
      <c r="K1480" s="3" t="inlineStr">
        <is>
          <t>오송생명과학단지 바로옆,옥산IC인근,전체 계획관리지역,공장 창고 추천</t>
        </is>
      </c>
      <c r="L1480" s="6">
        <f>HYPERLINK("https://fin.land.naver.com/articles/2652356906", "매물Link")</f>
        <v/>
      </c>
      <c r="M1480" s="6">
        <f>HYPERLINK("https://map.naver.com/p/search/오송읍 공북리 568-28", "지도Link")</f>
        <v/>
      </c>
      <c r="N1480" s="6">
        <f>HYPERLINK("http://www.eum.go.kr/web/ar/lu/luLandDet.jsp?pnu=4311325023105680028&amp;isNoScr=script&amp;mode=search", "토지이음")</f>
        <v/>
      </c>
      <c r="O1480" s="3" t="inlineStr">
        <is>
          <t>(주)미르</t>
        </is>
      </c>
      <c r="P1480" s="4" t="n">
        <v>1</v>
      </c>
      <c r="Q1480" s="4" t="n">
        <v>79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공북리 568-30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220000</v>
      </c>
      <c r="G1481" s="4" t="n">
        <v>2707</v>
      </c>
      <c r="H1481" s="4" t="n">
        <v>819</v>
      </c>
      <c r="I1481" s="5" t="n">
        <v>268.6</v>
      </c>
      <c r="J1481" s="5" t="n">
        <v>72.2</v>
      </c>
      <c r="K1481" s="3" t="inlineStr">
        <is>
          <t>오송생명과학단지 , 오송 화장품산업단지 인근 공장 창고 추천</t>
        </is>
      </c>
      <c r="L1481" s="6">
        <f>HYPERLINK("https://fin.land.naver.com/articles/2652969686", "매물Link")</f>
        <v/>
      </c>
      <c r="M1481" s="6">
        <f>HYPERLINK("https://map.naver.com/p/search/오송읍 공북리 568-30", "지도Link")</f>
        <v/>
      </c>
      <c r="N1481" s="6">
        <f>HYPERLINK("http://www.eum.go.kr/web/ar/lu/luLandDet.jsp?pnu=4311325023105680030&amp;isNoScr=script&amp;mode=search", "토지이음")</f>
        <v/>
      </c>
      <c r="O1481" s="3" t="inlineStr">
        <is>
          <t>더원</t>
        </is>
      </c>
      <c r="P1481" s="4" t="n">
        <v>1</v>
      </c>
      <c r="Q1481" s="4" t="n">
        <v>144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오송읍 공북리 639-1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20600</v>
      </c>
      <c r="G1482" s="4" t="n">
        <v>975</v>
      </c>
      <c r="H1482" s="4" t="n">
        <v>295</v>
      </c>
      <c r="I1482" s="5" t="n">
        <v>69.8</v>
      </c>
      <c r="J1482" s="5" t="n">
        <v>21.6</v>
      </c>
      <c r="K1482" s="3" t="inlineStr">
        <is>
          <t>오송역 오송철도클러스터단지인근토지 수도 전기 화장실 컨테이너 설치</t>
        </is>
      </c>
      <c r="L1482" s="6">
        <f>HYPERLINK("https://fin.land.naver.com/articles/2648195920", "매물Link")</f>
        <v/>
      </c>
      <c r="M1482" s="6">
        <f>HYPERLINK("https://map.naver.com/p/search/오송읍 공북리 639-1", "지도Link")</f>
        <v/>
      </c>
      <c r="N1482" s="6">
        <f>HYPERLINK("http://www.eum.go.kr/web/ar/lu/luLandDet.jsp?pnu=4311325023106390001&amp;isNoScr=script&amp;mode=search", "토지이음")</f>
        <v/>
      </c>
      <c r="O1482" s="3" t="inlineStr">
        <is>
          <t>아임</t>
        </is>
      </c>
      <c r="P1482" s="4" t="n">
        <v>2</v>
      </c>
      <c r="Q1482" s="4" t="n">
        <v>975</v>
      </c>
      <c r="R1482" s="3" t="inlineStr">
        <is>
          <t>생산관리지역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산 52-7</t>
        </is>
      </c>
      <c r="B1483" s="3" t="inlineStr">
        <is>
          <t>보전관리지역</t>
        </is>
      </c>
      <c r="C1483" s="3" t="inlineStr">
        <is>
          <t>임야</t>
        </is>
      </c>
      <c r="D1483" s="3" t="inlineStr">
        <is>
          <t>임야</t>
        </is>
      </c>
      <c r="E1483" s="3" t="inlineStr">
        <is>
          <t>매매</t>
        </is>
      </c>
      <c r="F1483" s="4" t="n">
        <v>190000</v>
      </c>
      <c r="G1483" s="4" t="n">
        <v>39425</v>
      </c>
      <c r="H1483" s="4" t="n">
        <v>11926</v>
      </c>
      <c r="I1483" s="5" t="n">
        <v>15.9</v>
      </c>
      <c r="J1483" s="5" t="n">
        <v>3.1</v>
      </c>
      <c r="K1483" s="3" t="inlineStr">
        <is>
          <t>카폐,전원주택 개발 가능여지 있음</t>
        </is>
      </c>
      <c r="L1483" s="6">
        <f>HYPERLINK("https://fin.land.naver.com/articles/2648226259", "매물Link")</f>
        <v/>
      </c>
      <c r="M1483" s="6">
        <f>HYPERLINK("https://map.naver.com/p/search/오송읍 공북리 산 52-7", "지도Link")</f>
        <v/>
      </c>
      <c r="N1483" s="6">
        <f>HYPERLINK("http://www.eum.go.kr/web/ar/lu/luLandDet.jsp?pnu=4311325023200520007&amp;isNoScr=script&amp;mode=search", "토지이음")</f>
        <v/>
      </c>
      <c r="O1483" s="3" t="inlineStr">
        <is>
          <t>조은</t>
        </is>
      </c>
      <c r="P1483" s="4" t="n">
        <v>1</v>
      </c>
      <c r="Q1483" s="4" t="n">
        <v>2791</v>
      </c>
      <c r="R1483" s="3" t="inlineStr">
        <is>
          <t>지정되지않음</t>
        </is>
      </c>
      <c r="S1483" s="3" t="inlineStr">
        <is>
          <t>조림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오송읍 궁평리 121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90000</v>
      </c>
      <c r="G1484" s="4" t="n">
        <v>2265</v>
      </c>
      <c r="H1484" s="4" t="n">
        <v>685</v>
      </c>
      <c r="I1484" s="5" t="n">
        <v>131.4</v>
      </c>
      <c r="J1484" s="5" t="n">
        <v>35.7</v>
      </c>
      <c r="K1484" s="3" t="inlineStr">
        <is>
          <t>1산단 남측 포장도로접한 하우스 농지</t>
        </is>
      </c>
      <c r="L1484" s="6">
        <f>HYPERLINK("https://fin.land.naver.com/articles/2649950672", "매물Link")</f>
        <v/>
      </c>
      <c r="M1484" s="6">
        <f>HYPERLINK("https://map.naver.com/p/search/오송읍 궁평리 121", "지도Link")</f>
        <v/>
      </c>
      <c r="N1484" s="6">
        <f>HYPERLINK("http://www.eum.go.kr/web/ar/lu/luLandDet.jsp?pnu=4311325027101210000&amp;isNoScr=script&amp;mode=search", "토지이음")</f>
        <v/>
      </c>
      <c r="O1484" s="3" t="inlineStr">
        <is>
          <t>오송k랜드</t>
        </is>
      </c>
      <c r="P1484" s="4" t="n">
        <v>1</v>
      </c>
      <c r="Q1484" s="4" t="n">
        <v>2265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궁평리 204-8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95000</v>
      </c>
      <c r="G1485" s="4" t="n">
        <v>2036</v>
      </c>
      <c r="H1485" s="4" t="n">
        <v>616</v>
      </c>
      <c r="I1485" s="5" t="n">
        <v>154.2</v>
      </c>
      <c r="J1485" s="5" t="n">
        <v>27.4</v>
      </c>
      <c r="K1485" s="3" t="inlineStr">
        <is>
          <t>오송읍 투자가치 높은 토지 매매</t>
        </is>
      </c>
      <c r="L1485" s="6">
        <f>HYPERLINK("https://fin.land.naver.com/articles/2647596088", "매물Link")</f>
        <v/>
      </c>
      <c r="M1485" s="6">
        <f>HYPERLINK("https://map.naver.com/p/search/오송읍 궁평리 204-8", "지도Link")</f>
        <v/>
      </c>
      <c r="N1485" s="6">
        <f>HYPERLINK("http://www.eum.go.kr/web/ar/lu/luLandDet.jsp?pnu=4311325027102040008&amp;isNoScr=script&amp;mode=search", "토지이음")</f>
        <v/>
      </c>
      <c r="O1485" s="3" t="inlineStr">
        <is>
          <t>대지</t>
        </is>
      </c>
      <c r="P1485" s="4" t="n">
        <v>1</v>
      </c>
      <c r="Q1485" s="4" t="n">
        <v>2036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오송읍 궁평리 213-3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47500</v>
      </c>
      <c r="G1486" s="4" t="n">
        <v>2093</v>
      </c>
      <c r="H1486" s="4" t="n">
        <v>633</v>
      </c>
      <c r="I1486" s="5" t="n">
        <v>75</v>
      </c>
      <c r="J1486" s="5" t="n">
        <v>30</v>
      </c>
      <c r="K1486" s="3" t="inlineStr">
        <is>
          <t>nan</t>
        </is>
      </c>
      <c r="L1486" s="6">
        <f>HYPERLINK("https://fin.land.naver.com/articles/2650456829", "매물Link")</f>
        <v/>
      </c>
      <c r="M1486" s="6">
        <f>HYPERLINK("https://map.naver.com/p/search/오송읍 궁평리 213-3", "지도Link")</f>
        <v/>
      </c>
      <c r="N1486" s="6">
        <f>HYPERLINK("http://www.eum.go.kr/web/ar/lu/luLandDet.jsp?pnu=4311325027102130003&amp;isNoScr=script&amp;mode=search", "토지이음")</f>
        <v/>
      </c>
      <c r="O1486" s="3" t="inlineStr">
        <is>
          <t>OK파라곤</t>
        </is>
      </c>
      <c r="P1486" s="4" t="n">
        <v>1</v>
      </c>
      <c r="Q1486" s="4" t="n">
        <v>2093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오송읍 궁평리 216-6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90000</v>
      </c>
      <c r="G1487" s="4" t="n">
        <v>3743</v>
      </c>
      <c r="H1487" s="4" t="n">
        <v>1132</v>
      </c>
      <c r="I1487" s="5" t="n">
        <v>79.5</v>
      </c>
      <c r="J1487" s="5" t="n">
        <v>27</v>
      </c>
      <c r="K1487" s="3" t="inlineStr">
        <is>
          <t>정리된 지형으로 작업효율 최고 토지</t>
        </is>
      </c>
      <c r="L1487" s="6">
        <f>HYPERLINK("https://fin.land.naver.com/articles/2652264333", "매물Link")</f>
        <v/>
      </c>
      <c r="M1487" s="6">
        <f>HYPERLINK("https://map.naver.com/p/search/오송읍 궁평리 216-6", "지도Link")</f>
        <v/>
      </c>
      <c r="N1487" s="6">
        <f>HYPERLINK("http://www.eum.go.kr/web/ar/lu/luLandDet.jsp?pnu=4311325027102160006&amp;isNoScr=script&amp;mode=search", "토지이음")</f>
        <v/>
      </c>
      <c r="O1487" s="3" t="inlineStr">
        <is>
          <t>오송2단지창조</t>
        </is>
      </c>
      <c r="P1487" s="4" t="n">
        <v>2</v>
      </c>
      <c r="Q1487" s="4" t="n">
        <v>3743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세로한면(불)</t>
        </is>
      </c>
    </row>
    <row r="1488">
      <c r="A1488" s="3" t="inlineStr">
        <is>
          <t>오송읍 궁평리 217-1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53500</v>
      </c>
      <c r="G1488" s="4" t="n">
        <v>2356</v>
      </c>
      <c r="H1488" s="4" t="n">
        <v>713</v>
      </c>
      <c r="I1488" s="5" t="n">
        <v>75</v>
      </c>
      <c r="J1488" s="5" t="n">
        <v>27</v>
      </c>
      <c r="K1488" s="3" t="inlineStr">
        <is>
          <t>오스코 인근, 영농에 종사하면서 지가 상승 기대되는 농지 투자</t>
        </is>
      </c>
      <c r="L1488" s="6">
        <f>HYPERLINK("https://fin.land.naver.com/articles/2648152740", "매물Link")</f>
        <v/>
      </c>
      <c r="M1488" s="6">
        <f>HYPERLINK("https://map.naver.com/p/search/오송읍 궁평리 217-1", "지도Link")</f>
        <v/>
      </c>
      <c r="N1488" s="6">
        <f>HYPERLINK("http://www.eum.go.kr/web/ar/lu/luLandDet.jsp?pnu=4311325027102170001&amp;isNoScr=script&amp;mode=search", "토지이음")</f>
        <v/>
      </c>
      <c r="O1488" s="3" t="inlineStr">
        <is>
          <t>제이</t>
        </is>
      </c>
      <c r="P1488" s="4" t="n">
        <v>1</v>
      </c>
      <c r="Q1488" s="4" t="n">
        <v>2356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오송읍 궁평리 234-6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136000</v>
      </c>
      <c r="G1489" s="4" t="n">
        <v>3003</v>
      </c>
      <c r="H1489" s="4" t="n">
        <v>908</v>
      </c>
      <c r="I1489" s="5" t="n">
        <v>149.8</v>
      </c>
      <c r="J1489" s="5" t="n">
        <v>37.1</v>
      </c>
      <c r="K1489" s="3" t="inlineStr">
        <is>
          <t>매물특징</t>
        </is>
      </c>
      <c r="L1489" s="6">
        <f>HYPERLINK("https://fin.land.naver.com/articles/2648780208", "매물Link")</f>
        <v/>
      </c>
      <c r="M1489" s="6">
        <f>HYPERLINK("https://map.naver.com/p/search/오송읍 궁평리 234-6", "지도Link")</f>
        <v/>
      </c>
      <c r="N1489" s="6">
        <f>HYPERLINK("http://www.eum.go.kr/web/ar/lu/luLandDet.jsp?pnu=4311325027102340006&amp;isNoScr=script&amp;mode=search", "토지이음")</f>
        <v/>
      </c>
      <c r="O1489" s="3" t="inlineStr">
        <is>
          <t>오송궁평마을</t>
        </is>
      </c>
      <c r="P1489" s="4" t="n">
        <v>1</v>
      </c>
      <c r="Q1489" s="4" t="n">
        <v>3003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궁평리 259-14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80000</v>
      </c>
      <c r="G1490" s="4" t="n">
        <v>1144</v>
      </c>
      <c r="H1490" s="4" t="n">
        <v>346</v>
      </c>
      <c r="I1490" s="5" t="n">
        <v>231.2</v>
      </c>
      <c r="J1490" s="5" t="n">
        <v>93.90000000000001</v>
      </c>
      <c r="K1490" s="3" t="inlineStr">
        <is>
          <t>오송역 및 오스코 600m, 6차선 지하차도 예정지에 인접한 계획관리토지</t>
        </is>
      </c>
      <c r="L1490" s="6">
        <f>HYPERLINK("https://fin.land.naver.com/articles/2648088525", "매물Link")</f>
        <v/>
      </c>
      <c r="M1490" s="6">
        <f>HYPERLINK("https://map.naver.com/p/search/오송읍 궁평리 259-14", "지도Link")</f>
        <v/>
      </c>
      <c r="N1490" s="6">
        <f>HYPERLINK("http://www.eum.go.kr/web/ar/lu/luLandDet.jsp?pnu=4311325027102590014&amp;isNoScr=script&amp;mode=search", "토지이음")</f>
        <v/>
      </c>
      <c r="O1490" s="3" t="inlineStr">
        <is>
          <t>오송3산단  사무소</t>
        </is>
      </c>
      <c r="P1490" s="4" t="n">
        <v>1</v>
      </c>
      <c r="Q1490" s="4" t="n">
        <v>1144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궁평리 259-14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80000</v>
      </c>
      <c r="G1491" s="4" t="n">
        <v>1144</v>
      </c>
      <c r="H1491" s="4" t="n">
        <v>346</v>
      </c>
      <c r="I1491" s="5" t="n">
        <v>231.2</v>
      </c>
      <c r="J1491" s="5" t="n">
        <v>93.90000000000001</v>
      </c>
      <c r="K1491" s="3" t="inlineStr">
        <is>
          <t>오송역 및 오스코 600m, 6차선 지하차도 예정지에 인접한 계획관리토지</t>
        </is>
      </c>
      <c r="L1491" s="6">
        <f>HYPERLINK("https://fin.land.naver.com/articles/2648087819", "매물Link")</f>
        <v/>
      </c>
      <c r="M1491" s="6">
        <f>HYPERLINK("https://map.naver.com/p/search/오송읍 궁평리 259-14", "지도Link")</f>
        <v/>
      </c>
      <c r="N1491" s="6">
        <f>HYPERLINK("http://www.eum.go.kr/web/ar/lu/luLandDet.jsp?pnu=4311325027102590014&amp;isNoScr=script&amp;mode=search", "토지이음")</f>
        <v/>
      </c>
      <c r="O1491" s="3" t="inlineStr">
        <is>
          <t>오송3산단  사무소</t>
        </is>
      </c>
      <c r="P1491" s="4" t="n">
        <v>1</v>
      </c>
      <c r="Q1491" s="4" t="n">
        <v>1144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오송읍 궁평리 272-3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85000</v>
      </c>
      <c r="G1492" s="4" t="n">
        <v>573</v>
      </c>
      <c r="H1492" s="4" t="n">
        <v>173</v>
      </c>
      <c r="I1492" s="5" t="n">
        <v>491.3</v>
      </c>
      <c r="J1492" s="5" t="n">
        <v>161.2</v>
      </c>
      <c r="K1492" s="3" t="inlineStr">
        <is>
          <t>오송역에서 가까운 궁평리에 위치한 토지임</t>
        </is>
      </c>
      <c r="L1492" s="6">
        <f>HYPERLINK("https://fin.land.naver.com/articles/2652419897", "매물Link")</f>
        <v/>
      </c>
      <c r="M1492" s="6">
        <f>HYPERLINK("https://map.naver.com/p/search/오송읍 궁평리 272-3", "지도Link")</f>
        <v/>
      </c>
      <c r="N1492" s="6">
        <f>HYPERLINK("http://www.eum.go.kr/web/ar/lu/luLandDet.jsp?pnu=4311325027102720003&amp;isNoScr=script&amp;mode=search", "토지이음")</f>
        <v/>
      </c>
      <c r="O1492" s="3" t="inlineStr">
        <is>
          <t>산성</t>
        </is>
      </c>
      <c r="P1492" s="4" t="n">
        <v>1</v>
      </c>
      <c r="Q1492" s="4" t="n">
        <v>573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궁평리 272-3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80000</v>
      </c>
      <c r="G1493" s="4" t="n">
        <v>573</v>
      </c>
      <c r="H1493" s="4" t="n">
        <v>173</v>
      </c>
      <c r="I1493" s="5" t="n">
        <v>462.4</v>
      </c>
      <c r="J1493" s="5" t="n">
        <v>161.2</v>
      </c>
      <c r="K1493" s="3" t="inlineStr">
        <is>
          <t>173땅 오송역세권 미래투자가치우수한 토지</t>
        </is>
      </c>
      <c r="L1493" s="6">
        <f>HYPERLINK("https://fin.land.naver.com/articles/2648360295", "매물Link")</f>
        <v/>
      </c>
      <c r="M1493" s="6">
        <f>HYPERLINK("https://map.naver.com/p/search/오송읍 궁평리 272-3", "지도Link")</f>
        <v/>
      </c>
      <c r="N1493" s="6">
        <f>HYPERLINK("http://www.eum.go.kr/web/ar/lu/luLandDet.jsp?pnu=4311325027102720003&amp;isNoScr=script&amp;mode=search",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573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오송읍 궁평리 278-1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227000</v>
      </c>
      <c r="G1494" s="4" t="n">
        <v>4076</v>
      </c>
      <c r="H1494" s="4" t="n">
        <v>1233</v>
      </c>
      <c r="I1494" s="5" t="n">
        <v>184.1</v>
      </c>
      <c r="J1494" s="5" t="n">
        <v>46.8</v>
      </c>
      <c r="K1494" s="3" t="inlineStr">
        <is>
          <t>매물특징</t>
        </is>
      </c>
      <c r="L1494" s="6">
        <f>HYPERLINK("https://fin.land.naver.com/articles/2648556391", "매물Link")</f>
        <v/>
      </c>
      <c r="M1494" s="6">
        <f>HYPERLINK("https://map.naver.com/p/search/오송읍 궁평리 278-1", "지도Link")</f>
        <v/>
      </c>
      <c r="N1494" s="6">
        <f>HYPERLINK("http://www.eum.go.kr/web/ar/lu/luLandDet.jsp?pnu=4311325027102780001&amp;isNoScr=script&amp;mode=search", "토지이음")</f>
        <v/>
      </c>
      <c r="O1494" s="3" t="inlineStr">
        <is>
          <t>오송궁평마을</t>
        </is>
      </c>
      <c r="P1494" s="4" t="n">
        <v>1</v>
      </c>
      <c r="Q1494" s="4" t="n">
        <v>4076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세로한면(불)</t>
        </is>
      </c>
    </row>
    <row r="1495">
      <c r="A1495" s="3" t="inlineStr">
        <is>
          <t>오송읍 궁평리 296-3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150000</v>
      </c>
      <c r="G1495" s="4" t="n">
        <v>3967</v>
      </c>
      <c r="H1495" s="4" t="n">
        <v>1200</v>
      </c>
      <c r="I1495" s="5" t="n">
        <v>125</v>
      </c>
      <c r="J1495" s="5" t="n">
        <v>53.7</v>
      </c>
      <c r="K1495" s="3" t="inlineStr">
        <is>
          <t>오송역 인근 장래개발 호재지역 투자용 대토용 조경업 농림관련산업</t>
        </is>
      </c>
      <c r="L1495" s="6">
        <f>HYPERLINK("https://fin.land.naver.com/articles/2652622632", "매물Link")</f>
        <v/>
      </c>
      <c r="M1495" s="6">
        <f>HYPERLINK("https://map.naver.com/p/search/오송읍 궁평리 296-3", "지도Link")</f>
        <v/>
      </c>
      <c r="N1495" s="6">
        <f>HYPERLINK("http://www.eum.go.kr/web/ar/lu/luLandDet.jsp?pnu=4311325027102960003&amp;isNoScr=script&amp;mode=search", "토지이음")</f>
        <v/>
      </c>
      <c r="O1495" s="3" t="inlineStr">
        <is>
          <t>재일합동사무소</t>
        </is>
      </c>
      <c r="P1495" s="4" t="n">
        <v>1</v>
      </c>
      <c r="Q1495" s="4" t="n">
        <v>3967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오송읍 궁평리 303-1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105000</v>
      </c>
      <c r="G1496" s="4" t="n">
        <v>1523</v>
      </c>
      <c r="H1496" s="4" t="n">
        <v>461</v>
      </c>
      <c r="I1496" s="5" t="n">
        <v>227.8</v>
      </c>
      <c r="J1496" s="5" t="n">
        <v>63</v>
      </c>
      <c r="K1496" s="3" t="inlineStr">
        <is>
          <t>도로 접한 과수원 부지 매도 오송역 인근 장래 개발 호재 지역</t>
        </is>
      </c>
      <c r="L1496" s="6">
        <f>HYPERLINK("https://fin.land.naver.com/articles/2649497254", "매물Link")</f>
        <v/>
      </c>
      <c r="M1496" s="6">
        <f>HYPERLINK("https://map.naver.com/p/search/오송읍 궁평리 303-1", "지도Link")</f>
        <v/>
      </c>
      <c r="N1496" s="6">
        <f>HYPERLINK("http://www.eum.go.kr/web/ar/lu/luLandDet.jsp?pnu=4311325027103030001&amp;isNoScr=script&amp;mode=search", "토지이음")</f>
        <v/>
      </c>
      <c r="O1496" s="3" t="inlineStr">
        <is>
          <t>오송퍼스트영웅</t>
        </is>
      </c>
      <c r="P1496" s="4" t="n">
        <v>1</v>
      </c>
      <c r="Q1496" s="4" t="n">
        <v>1523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중로한면</t>
        </is>
      </c>
    </row>
    <row r="1497">
      <c r="A1497" s="3" t="inlineStr">
        <is>
          <t>오송읍 궁평리 61-6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40000</v>
      </c>
      <c r="G1497" s="4" t="n">
        <v>347</v>
      </c>
      <c r="H1497" s="4" t="n">
        <v>105</v>
      </c>
      <c r="I1497" s="5" t="n">
        <v>381</v>
      </c>
      <c r="J1497" s="5" t="n">
        <v>103.6</v>
      </c>
      <c r="K1497" s="3" t="inlineStr">
        <is>
          <t>궁평리 전원주택 지을 토지 매매.</t>
        </is>
      </c>
      <c r="L1497" s="6">
        <f>HYPERLINK("https://fin.land.naver.com/articles/2652685481", "매물Link")</f>
        <v/>
      </c>
      <c r="M1497" s="6">
        <f>HYPERLINK("https://map.naver.com/p/search/오송읍 궁평리 61-6", "지도Link")</f>
        <v/>
      </c>
      <c r="N1497" s="6">
        <f>HYPERLINK("http://www.eum.go.kr/web/ar/lu/luLandDet.jsp?pnu=4311325027100610006&amp;isNoScr=script&amp;mode=search", "토지이음")</f>
        <v/>
      </c>
      <c r="O1497" s="3" t="inlineStr">
        <is>
          <t>대한민국</t>
        </is>
      </c>
      <c r="P1497" s="4" t="n">
        <v>1</v>
      </c>
      <c r="Q1497" s="4" t="n">
        <v>347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궁평리 75-1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31700</v>
      </c>
      <c r="G1498" s="4" t="n">
        <v>614</v>
      </c>
      <c r="H1498" s="4" t="n">
        <v>186</v>
      </c>
      <c r="I1498" s="5" t="n">
        <v>170.4</v>
      </c>
      <c r="J1498" s="5" t="n">
        <v>37.1</v>
      </c>
      <c r="K1498" s="3" t="inlineStr">
        <is>
          <t>투자가치로 적극 추천하는 궁평리 중심 토지</t>
        </is>
      </c>
      <c r="L1498" s="6">
        <f>HYPERLINK("https://fin.land.naver.com/articles/2650824873", "매물Link")</f>
        <v/>
      </c>
      <c r="M1498" s="6">
        <f>HYPERLINK("https://map.naver.com/p/search/오송읍 궁평리 75-1", "지도Link")</f>
        <v/>
      </c>
      <c r="N1498" s="6">
        <f>HYPERLINK("http://www.eum.go.kr/web/ar/lu/luLandDet.jsp?pnu=4311325027100750001&amp;isNoScr=script&amp;mode=search", "토지이음")</f>
        <v/>
      </c>
      <c r="O1498" s="3" t="inlineStr">
        <is>
          <t>국제</t>
        </is>
      </c>
      <c r="P1498" s="4" t="n">
        <v>1</v>
      </c>
      <c r="Q1498" s="4" t="n">
        <v>3078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세로각지(가)</t>
        </is>
      </c>
    </row>
    <row r="1499">
      <c r="A1499" s="3" t="inlineStr">
        <is>
          <t>오송읍 동평리 151-5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23000</v>
      </c>
      <c r="G1499" s="4" t="n">
        <v>271</v>
      </c>
      <c r="H1499" s="4" t="n">
        <v>82</v>
      </c>
      <c r="I1499" s="5" t="n">
        <v>280.5</v>
      </c>
      <c r="J1499" s="5" t="n">
        <v>104.2</v>
      </c>
      <c r="K1499" s="3" t="inlineStr">
        <is>
          <t>국가산단 수용지에 연접한 계획관리 대지, 착한가격의 투자매물</t>
        </is>
      </c>
      <c r="L1499" s="6">
        <f>HYPERLINK("https://fin.land.naver.com/articles/2648088196", "매물Link")</f>
        <v/>
      </c>
      <c r="M1499" s="6">
        <f>HYPERLINK("https://map.naver.com/p/search/오송읍 동평리 151-5", "지도Link")</f>
        <v/>
      </c>
      <c r="N1499" s="6">
        <f>HYPERLINK("http://www.eum.go.kr/web/ar/lu/luLandDet.jsp?pnu=4311325029101510005&amp;isNoScr=script&amp;mode=search", "토지이음")</f>
        <v/>
      </c>
      <c r="O1499" s="3" t="inlineStr">
        <is>
          <t>오송3산단  사무소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동평리 381-13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36000</v>
      </c>
      <c r="G1500" s="4" t="n">
        <v>2070</v>
      </c>
      <c r="H1500" s="4" t="n">
        <v>626</v>
      </c>
      <c r="I1500" s="5" t="n">
        <v>57.5</v>
      </c>
      <c r="J1500" s="5" t="n">
        <v>26.6</v>
      </c>
      <c r="K1500" s="3" t="inlineStr">
        <is>
          <t>오송3산단 수용지에 인접한 추가수용 유력토지, 착한가격의 투자용 매물</t>
        </is>
      </c>
      <c r="L1500" s="6">
        <f>HYPERLINK("https://fin.land.naver.com/articles/2648084687", "매물Link")</f>
        <v/>
      </c>
      <c r="M1500" s="6">
        <f>HYPERLINK("https://map.naver.com/p/search/오송읍 동평리 381-13", "지도Link")</f>
        <v/>
      </c>
      <c r="N1500" s="6">
        <f>HYPERLINK("http://www.eum.go.kr/web/ar/lu/luLandDet.jsp?pnu=4311325029103810013&amp;isNoScr=script&amp;mode=search", "토지이음")</f>
        <v/>
      </c>
      <c r="O1500" s="3" t="inlineStr">
        <is>
          <t>오송3산단  사무소</t>
        </is>
      </c>
      <c r="P1500" s="4" t="n">
        <v>1</v>
      </c>
      <c r="Q1500" s="4" t="n">
        <v>1769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세로한면(불)</t>
        </is>
      </c>
    </row>
    <row r="1501">
      <c r="A1501" s="3" t="inlineStr">
        <is>
          <t>오송읍 동평리 95-1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40000</v>
      </c>
      <c r="G1501" s="4" t="n">
        <v>196</v>
      </c>
      <c r="H1501" s="4" t="n">
        <v>59</v>
      </c>
      <c r="I1501" s="5" t="n">
        <v>678</v>
      </c>
      <c r="J1501" s="5" t="n">
        <v>109.4</v>
      </c>
      <c r="K1501" s="3" t="inlineStr">
        <is>
          <t>청주시 흥덕구 오송읍 동평리에 위치한 토지및 근린생활시설임.</t>
        </is>
      </c>
      <c r="L1501" s="6">
        <f>HYPERLINK("https://fin.land.naver.com/articles/2652419826", "매물Link")</f>
        <v/>
      </c>
      <c r="M1501" s="6">
        <f>HYPERLINK("https://map.naver.com/p/search/오송읍 동평리 95-1", "지도Link")</f>
        <v/>
      </c>
      <c r="N1501" s="6">
        <f>HYPERLINK("http://www.eum.go.kr/web/ar/lu/luLandDet.jsp?pnu=4311325029100950001&amp;isNoScr=script&amp;mode=search", "토지이음")</f>
        <v/>
      </c>
      <c r="O1501" s="3" t="inlineStr">
        <is>
          <t>산성</t>
        </is>
      </c>
      <c r="P1501" s="4" t="n">
        <v>1</v>
      </c>
      <c r="Q1501" s="4" t="n">
        <v>184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세로각지(가)</t>
        </is>
      </c>
    </row>
    <row r="1502">
      <c r="A1502" s="3" t="inlineStr">
        <is>
          <t>오송읍 만수리 272-3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1183</v>
      </c>
      <c r="H1502" s="4" t="n">
        <v>358</v>
      </c>
      <c r="I1502" s="5" t="n">
        <v>100.6</v>
      </c>
      <c r="J1502" s="5" t="n">
        <v>35.7</v>
      </c>
      <c r="K1502" s="3" t="inlineStr">
        <is>
          <t>농림지역 답 매도 오송 역세권 ktx  근접  투자 가치 뿜뿜</t>
        </is>
      </c>
      <c r="L1502" s="6">
        <f>HYPERLINK("https://fin.land.naver.com/articles/2648939038", "매물Link")</f>
        <v/>
      </c>
      <c r="M1502" s="6">
        <f>HYPERLINK("https://map.naver.com/p/search/오송읍 만수리 272-3", "지도Link")</f>
        <v/>
      </c>
      <c r="N1502" s="6">
        <f>HYPERLINK("http://www.eum.go.kr/web/ar/lu/luLandDet.jsp?pnu=4311325025102720003&amp;isNoScr=script&amp;mode=search", "토지이음")</f>
        <v/>
      </c>
      <c r="O1502" s="3" t="inlineStr">
        <is>
          <t>오송퍼스트영웅</t>
        </is>
      </c>
      <c r="P1502" s="4" t="n">
        <v>1</v>
      </c>
      <c r="Q1502" s="4" t="n">
        <v>1183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오송읍 만수리 704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263</v>
      </c>
      <c r="H1503" s="4" t="n">
        <v>80</v>
      </c>
      <c r="I1503" s="5" t="n">
        <v>875</v>
      </c>
      <c r="J1503" s="5" t="n">
        <v>229.4</v>
      </c>
      <c r="K1503" s="3" t="inlineStr">
        <is>
          <t>오송역300m역세권   최적의단독주택용지   오송생명과학단지인근</t>
        </is>
      </c>
      <c r="L1503" s="6">
        <f>HYPERLINK("https://fin.land.naver.com/articles/2648270874", "매물Link")</f>
        <v/>
      </c>
      <c r="M1503" s="6">
        <f>HYPERLINK("https://map.naver.com/p/search/오송읍 만수리 704", "지도Link")</f>
        <v/>
      </c>
      <c r="N1503" s="6">
        <f>HYPERLINK("http://www.eum.go.kr/web/ar/lu/luLandDet.jsp?pnu=4311325025107040000&amp;isNoScr=script&amp;mode=search", "토지이음")</f>
        <v/>
      </c>
      <c r="O1503" s="3" t="inlineStr">
        <is>
          <t>연세</t>
        </is>
      </c>
      <c r="P1503" s="4" t="n">
        <v>1</v>
      </c>
      <c r="Q1503" s="4" t="n">
        <v>263.6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소로한면</t>
        </is>
      </c>
    </row>
    <row r="1504">
      <c r="A1504" s="3" t="inlineStr">
        <is>
          <t>오송읍 만수리 794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66000</v>
      </c>
      <c r="G1504" s="4" t="n">
        <v>352</v>
      </c>
      <c r="H1504" s="4" t="n">
        <v>106</v>
      </c>
      <c r="I1504" s="5" t="n">
        <v>622.6</v>
      </c>
      <c r="J1504" s="5" t="n">
        <v>241.8</v>
      </c>
      <c r="K1504" s="3" t="inlineStr">
        <is>
          <t>오송역근접300m거리, 완성된 계획도시에 하나 남은 코너 건부지</t>
        </is>
      </c>
      <c r="L1504" s="6">
        <f>HYPERLINK("https://fin.land.naver.com/articles/2647846334", "매물Link")</f>
        <v/>
      </c>
      <c r="M1504" s="6">
        <f>HYPERLINK("https://map.naver.com/p/search/오송읍 만수리 794", "지도Link")</f>
        <v/>
      </c>
      <c r="N1504" s="6">
        <f>HYPERLINK("http://www.eum.go.kr/web/ar/lu/luLandDet.jsp?pnu=4311325025107940000&amp;isNoScr=script&amp;mode=search", "토지이음")</f>
        <v/>
      </c>
      <c r="O1504" s="3" t="inlineStr">
        <is>
          <t>청주더존</t>
        </is>
      </c>
      <c r="P1504" s="4" t="n">
        <v>1</v>
      </c>
      <c r="Q1504" s="4" t="n">
        <v>352.6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소로각지</t>
        </is>
      </c>
    </row>
    <row r="1505">
      <c r="A1505" s="3" t="inlineStr">
        <is>
          <t>오송읍 만수리 939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269</v>
      </c>
      <c r="H1505" s="4" t="n">
        <v>81</v>
      </c>
      <c r="I1505" s="5" t="n">
        <v>555.6</v>
      </c>
      <c r="J1505" s="5" t="n">
        <v>209.3</v>
      </c>
      <c r="K1505" s="3" t="inlineStr">
        <is>
          <t>대도로변 이면도로 위치 좋은 토지입니다</t>
        </is>
      </c>
      <c r="L1505" s="6">
        <f>HYPERLINK("https://fin.land.naver.com/articles/2650305364", "매물Link")</f>
        <v/>
      </c>
      <c r="M1505" s="6">
        <f>HYPERLINK("https://map.naver.com/p/search/오송읍 만수리 939", "지도Link")</f>
        <v/>
      </c>
      <c r="N1505" s="6">
        <f>HYPERLINK("http://www.eum.go.kr/web/ar/lu/luLandDet.jsp?pnu=4311325025109390000&amp;isNoScr=script&amp;mode=search", "토지이음")</f>
        <v/>
      </c>
      <c r="O1505" s="3" t="inlineStr">
        <is>
          <t>스케치</t>
        </is>
      </c>
      <c r="P1505" s="4" t="n">
        <v>1</v>
      </c>
      <c r="Q1505" s="4" t="n">
        <v>268.2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1124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240</v>
      </c>
      <c r="H1506" s="4" t="n">
        <v>73</v>
      </c>
      <c r="I1506" s="5" t="n">
        <v>616.4</v>
      </c>
      <c r="J1506" s="5" t="n">
        <v>208.1</v>
      </c>
      <c r="K1506" s="3" t="inlineStr">
        <is>
          <t>가격조율 최대한 해볼게요 위치좋은 먹자골목 상권 토지</t>
        </is>
      </c>
      <c r="L1506" s="6">
        <f>HYPERLINK("https://fin.land.naver.com/articles/2652318391", "매물Link")</f>
        <v/>
      </c>
      <c r="M1506" s="6">
        <f>HYPERLINK("https://map.naver.com/p/search/오송읍 봉산리 1124", "지도Link")</f>
        <v/>
      </c>
      <c r="N1506" s="6">
        <f>HYPERLINK("http://www.eum.go.kr/web/ar/lu/luLandDet.jsp?pnu=4311325031111240000&amp;isNoScr=script&amp;mode=search", "토지이음")</f>
        <v/>
      </c>
      <c r="O1506" s="3" t="inlineStr">
        <is>
          <t>복덩이</t>
        </is>
      </c>
      <c r="P1506" s="4" t="n">
        <v>1</v>
      </c>
      <c r="Q1506" s="4" t="n">
        <v>240.6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1179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58000</v>
      </c>
      <c r="G1507" s="4" t="n">
        <v>270</v>
      </c>
      <c r="H1507" s="4" t="n">
        <v>82</v>
      </c>
      <c r="I1507" s="5" t="n">
        <v>707.3</v>
      </c>
      <c r="J1507" s="5" t="n">
        <v>206.3</v>
      </c>
      <c r="K1507" s="3" t="inlineStr">
        <is>
          <t>오송2단지 허가득 남향 상가건물 지을 수 있는 토지</t>
        </is>
      </c>
      <c r="L1507" s="6">
        <f>HYPERLINK("https://fin.land.naver.com/articles/2650461950", "매물Link")</f>
        <v/>
      </c>
      <c r="M1507" s="6">
        <f>HYPERLINK("https://map.naver.com/p/search/오송읍 봉산리 1179", "지도Link")</f>
        <v/>
      </c>
      <c r="N1507" s="6">
        <f>HYPERLINK("http://www.eum.go.kr/web/ar/lu/luLandDet.jsp?pnu=4311325031111790000&amp;isNoScr=script&amp;mode=search", "토지이음")</f>
        <v/>
      </c>
      <c r="O1507" s="3" t="inlineStr">
        <is>
          <t>세종오송</t>
        </is>
      </c>
      <c r="P1507" s="4" t="n">
        <v>1</v>
      </c>
      <c r="Q1507" s="4" t="n">
        <v>269.9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1208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</v>
      </c>
      <c r="G1508" s="4" t="n">
        <v>264</v>
      </c>
      <c r="H1508" s="4" t="n">
        <v>80</v>
      </c>
      <c r="I1508" s="5" t="n">
        <v>625</v>
      </c>
      <c r="J1508" s="5" t="n">
        <v>206.3</v>
      </c>
      <c r="K1508" s="3" t="inlineStr">
        <is>
          <t>nan</t>
        </is>
      </c>
      <c r="L1508" s="6">
        <f>HYPERLINK("https://fin.land.naver.com/articles/2650507610", "매물Link")</f>
        <v/>
      </c>
      <c r="M1508" s="6">
        <f>HYPERLINK("https://map.naver.com/p/search/오송읍 봉산리 1208", "지도Link")</f>
        <v/>
      </c>
      <c r="N1508" s="6">
        <f>HYPERLINK("http://www.eum.go.kr/web/ar/lu/luLandDet.jsp?pnu=4311325031112080000&amp;isNoScr=script&amp;mode=search", "토지이음")</f>
        <v/>
      </c>
      <c r="O1508" s="3" t="inlineStr">
        <is>
          <t>아임</t>
        </is>
      </c>
      <c r="P1508" s="4" t="n">
        <v>1</v>
      </c>
      <c r="Q1508" s="4" t="n">
        <v>264.6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1209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264</v>
      </c>
      <c r="H1509" s="4" t="n">
        <v>80</v>
      </c>
      <c r="I1509" s="5" t="n">
        <v>750</v>
      </c>
      <c r="J1509" s="5" t="n">
        <v>206.3</v>
      </c>
      <c r="K1509" s="3" t="inlineStr">
        <is>
          <t>오송 2산업단지 준주거지역과 접해있고 상업지역과도 50m정도 떨어져 있음</t>
        </is>
      </c>
      <c r="L1509" s="6">
        <f>HYPERLINK("https://fin.land.naver.com/articles/2650022122", "매물Link")</f>
        <v/>
      </c>
      <c r="M1509" s="6">
        <f>HYPERLINK("https://map.naver.com/p/search/오송읍 봉산리 1209", "지도Link")</f>
        <v/>
      </c>
      <c r="N1509" s="6">
        <f>HYPERLINK("http://www.eum.go.kr/web/ar/lu/luLandDet.jsp?pnu=4311325031112090000&amp;isNoScr=script&amp;mode=search", "토지이음")</f>
        <v/>
      </c>
      <c r="O1509" s="3" t="inlineStr">
        <is>
          <t>스마일세종</t>
        </is>
      </c>
      <c r="P1509" s="4" t="n">
        <v>1</v>
      </c>
      <c r="Q1509" s="4" t="n">
        <v>264.8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1221</t>
        </is>
      </c>
      <c r="B1510" s="3" t="inlineStr">
        <is>
          <t>준주거지역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124630</v>
      </c>
      <c r="G1510" s="4" t="n">
        <v>412</v>
      </c>
      <c r="H1510" s="4" t="n">
        <v>125</v>
      </c>
      <c r="I1510" s="5" t="n">
        <v>997</v>
      </c>
      <c r="J1510" s="5" t="n">
        <v>624.1</v>
      </c>
      <c r="K1510" s="3" t="inlineStr">
        <is>
          <t>오송2산단 준주거지역</t>
        </is>
      </c>
      <c r="L1510" s="6">
        <f>HYPERLINK("https://fin.land.naver.com/articles/2652691641", "매물Link")</f>
        <v/>
      </c>
      <c r="M1510" s="6">
        <f>HYPERLINK("https://map.naver.com/p/search/오송읍 봉산리 1221", "지도Link")</f>
        <v/>
      </c>
      <c r="N1510" s="6">
        <f>HYPERLINK("http://www.eum.go.kr/web/ar/lu/luLandDet.jsp?pnu=4311325031112210000&amp;isNoScr=script&amp;mode=search", "토지이음")</f>
        <v/>
      </c>
      <c r="O1510" s="3" t="inlineStr">
        <is>
          <t>365</t>
        </is>
      </c>
      <c r="P1510" s="4" t="n">
        <v>1</v>
      </c>
      <c r="Q1510" s="4" t="n">
        <v>412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봉산리 1276</t>
        </is>
      </c>
      <c r="B1511" s="3" t="inlineStr">
        <is>
          <t>제1종일반주거지역</t>
        </is>
      </c>
      <c r="C1511" s="3" t="inlineStr">
        <is>
          <t>주차장</t>
        </is>
      </c>
      <c r="D1511" s="3" t="inlineStr">
        <is>
          <t>주차장</t>
        </is>
      </c>
      <c r="E1511" s="3" t="inlineStr">
        <is>
          <t>매매</t>
        </is>
      </c>
      <c r="F1511" s="4" t="n">
        <v>165000</v>
      </c>
      <c r="G1511" s="4" t="n">
        <v>1091</v>
      </c>
      <c r="H1511" s="4" t="n">
        <v>330</v>
      </c>
      <c r="I1511" s="5" t="n">
        <v>500</v>
      </c>
      <c r="J1511" s="5" t="n">
        <v>220.4</v>
      </c>
      <c r="K1511" s="3" t="inlineStr">
        <is>
          <t>주차타워와 1층 근생상가 가능한 매력적인 주차장용지</t>
        </is>
      </c>
      <c r="L1511" s="6">
        <f>HYPERLINK("https://fin.land.naver.com/articles/2650859464", "매물Link")</f>
        <v/>
      </c>
      <c r="M1511" s="6">
        <f>HYPERLINK("https://map.naver.com/p/search/오송읍 봉산리 1276", "지도Link")</f>
        <v/>
      </c>
      <c r="N1511" s="6">
        <f>HYPERLINK("http://www.eum.go.kr/web/ar/lu/luLandDet.jsp?pnu=4311325031112760000&amp;isNoScr=script&amp;mode=search", "토지이음")</f>
        <v/>
      </c>
      <c r="O1511" s="3" t="inlineStr">
        <is>
          <t>프로</t>
        </is>
      </c>
      <c r="P1511" s="4" t="n">
        <v>2</v>
      </c>
      <c r="Q1511" s="4" t="n">
        <v>1091.4</v>
      </c>
      <c r="R1511" s="3" t="inlineStr">
        <is>
          <t>지정되지않음</t>
        </is>
      </c>
      <c r="S1511" s="3" t="inlineStr">
        <is>
          <t>주차장등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중로각지</t>
        </is>
      </c>
    </row>
    <row r="1512">
      <c r="A1512" s="3" t="inlineStr">
        <is>
          <t>오송읍 봉산리 1293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169000</v>
      </c>
      <c r="G1512" s="4" t="n">
        <v>413</v>
      </c>
      <c r="H1512" s="4" t="n">
        <v>125</v>
      </c>
      <c r="I1512" s="5" t="n">
        <v>1352</v>
      </c>
      <c r="J1512" s="5" t="n">
        <v>624.1</v>
      </c>
      <c r="K1512" s="3" t="inlineStr">
        <is>
          <t>오송2산단 초입 오송역 3분거리 대로변 광고효과 좋은 위치</t>
        </is>
      </c>
      <c r="L1512" s="6">
        <f>HYPERLINK("https://fin.land.naver.com/articles/2652625570", "매물Link")</f>
        <v/>
      </c>
      <c r="M1512" s="6">
        <f>HYPERLINK("https://map.naver.com/p/search/오송읍 봉산리 1293", "지도Link")</f>
        <v/>
      </c>
      <c r="N1512" s="6">
        <f>HYPERLINK("http://www.eum.go.kr/web/ar/lu/luLandDet.jsp?pnu=4311325031112930000&amp;isNoScr=script&amp;mode=search", "토지이음")</f>
        <v/>
      </c>
      <c r="O1512" s="3" t="inlineStr">
        <is>
          <t>더원</t>
        </is>
      </c>
      <c r="P1512" s="4" t="n">
        <v>2</v>
      </c>
      <c r="Q1512" s="4" t="n">
        <v>413.5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봉산리 1296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162000</v>
      </c>
      <c r="G1513" s="4" t="n">
        <v>411</v>
      </c>
      <c r="H1513" s="4" t="n">
        <v>124</v>
      </c>
      <c r="I1513" s="5" t="n">
        <v>1306.5</v>
      </c>
      <c r="J1513" s="5" t="n">
        <v>624.1</v>
      </c>
      <c r="K1513" s="3" t="inlineStr">
        <is>
          <t>오송역 인근 근생용지 매매, 평당 약 1300만원</t>
        </is>
      </c>
      <c r="L1513" s="6">
        <f>HYPERLINK("https://fin.land.naver.com/articles/2649842662", "매물Link")</f>
        <v/>
      </c>
      <c r="M1513" s="6">
        <f>HYPERLINK("https://map.naver.com/p/search/오송읍 봉산리 1296", "지도Link")</f>
        <v/>
      </c>
      <c r="N1513" s="6">
        <f>HYPERLINK("http://www.eum.go.kr/web/ar/lu/luLandDet.jsp?pnu=4311325031112960000&amp;isNoScr=script&amp;mode=search",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411.7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1297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190000</v>
      </c>
      <c r="G1514" s="4" t="n">
        <v>421</v>
      </c>
      <c r="H1514" s="4" t="n">
        <v>127</v>
      </c>
      <c r="I1514" s="5" t="n">
        <v>1496.1</v>
      </c>
      <c r="J1514" s="5" t="n">
        <v>624.1</v>
      </c>
      <c r="K1514" s="3" t="inlineStr">
        <is>
          <t>코너 근생용지 매매, 평당 약 1500만원</t>
        </is>
      </c>
      <c r="L1514" s="6">
        <f>HYPERLINK("https://fin.land.naver.com/articles/2649842980", "매물Link")</f>
        <v/>
      </c>
      <c r="M1514" s="6">
        <f>HYPERLINK("https://map.naver.com/p/search/오송읍 봉산리 1297", "지도Link")</f>
        <v/>
      </c>
      <c r="N1514" s="6">
        <f>HYPERLINK("http://www.eum.go.kr/web/ar/lu/luLandDet.jsp?pnu=4311325031112970000&amp;isNoScr=script&amp;mode=search", "토지이음")</f>
        <v/>
      </c>
      <c r="O1514" s="3" t="inlineStr">
        <is>
          <t>광장</t>
        </is>
      </c>
      <c r="P1514" s="4" t="n">
        <v>1</v>
      </c>
      <c r="Q1514" s="4" t="n">
        <v>421.4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1298</t>
        </is>
      </c>
      <c r="B1515" s="3" t="inlineStr">
        <is>
          <t>일반상업지역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420000</v>
      </c>
      <c r="G1515" s="4" t="n">
        <v>1164</v>
      </c>
      <c r="H1515" s="4" t="n">
        <v>352</v>
      </c>
      <c r="I1515" s="5" t="n">
        <v>1193.2</v>
      </c>
      <c r="J1515" s="5" t="n">
        <v>585.5</v>
      </c>
      <c r="K1515" s="3" t="inlineStr">
        <is>
          <t>삼면 코너각지 소송2산단 오송역주변 상권 010 3022 3841</t>
        </is>
      </c>
      <c r="L1515" s="6">
        <f>HYPERLINK("https://fin.land.naver.com/articles/2651087997", "매물Link")</f>
        <v/>
      </c>
      <c r="M1515" s="6">
        <f>HYPERLINK("https://map.naver.com/p/search/오송읍 봉산리 1298", "지도Link")</f>
        <v/>
      </c>
      <c r="N1515" s="6">
        <f>HYPERLINK("http://www.eum.go.kr/web/ar/lu/luLandDet.jsp?pnu=4311325031112980000&amp;isNoScr=script&amp;mode=search",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1164.1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1301</t>
        </is>
      </c>
      <c r="B1516" s="3" t="inlineStr">
        <is>
          <t>일반상업지역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456000</v>
      </c>
      <c r="G1516" s="4" t="n">
        <v>1115</v>
      </c>
      <c r="H1516" s="4" t="n">
        <v>337</v>
      </c>
      <c r="I1516" s="5" t="n">
        <v>1353.1</v>
      </c>
      <c r="J1516" s="5" t="n">
        <v>618.2</v>
      </c>
      <c r="K1516" s="3" t="inlineStr">
        <is>
          <t>연제 저수지 앞 상업용지 호텔 개발 추천부지</t>
        </is>
      </c>
      <c r="L1516" s="6">
        <f>HYPERLINK("https://fin.land.naver.com/articles/2648717612", "매물Link")</f>
        <v/>
      </c>
      <c r="M1516" s="6">
        <f>HYPERLINK("https://map.naver.com/p/search/오송읍 봉산리 1301", "지도Link")</f>
        <v/>
      </c>
      <c r="N1516" s="6">
        <f>HYPERLINK("http://www.eum.go.kr/web/ar/lu/luLandDet.jsp?pnu=4311325031113010000&amp;isNoScr=script&amp;mode=search", "토지이음")</f>
        <v/>
      </c>
      <c r="O1516" s="3" t="inlineStr">
        <is>
          <t>(주)마이다스역삼센터</t>
        </is>
      </c>
      <c r="P1516" s="4" t="n">
        <v>1</v>
      </c>
      <c r="Q1516" s="4" t="n">
        <v>1115.2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1321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460000</v>
      </c>
      <c r="G1517" s="4" t="n">
        <v>1541</v>
      </c>
      <c r="H1517" s="4" t="n">
        <v>466</v>
      </c>
      <c r="I1517" s="5" t="n">
        <v>987.1</v>
      </c>
      <c r="J1517" s="5" t="n">
        <v>550.1</v>
      </c>
      <c r="K1517" s="3" t="inlineStr">
        <is>
          <t>nan</t>
        </is>
      </c>
      <c r="L1517" s="6">
        <f>HYPERLINK("https://fin.land.naver.com/articles/2650862179", "매물Link")</f>
        <v/>
      </c>
      <c r="M1517" s="6">
        <f>HYPERLINK("https://map.naver.com/p/search/오송읍 봉산리 1321", "지도Link")</f>
        <v/>
      </c>
      <c r="N1517" s="6">
        <f>HYPERLINK("http://www.eum.go.kr/web/ar/lu/luLandDet.jsp?pnu=4311325031113210000&amp;isNoScr=script&amp;mode=search",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1541.1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중로한면</t>
        </is>
      </c>
    </row>
    <row r="1518">
      <c r="A1518" s="3" t="inlineStr">
        <is>
          <t>오송읍 봉산리 1322</t>
        </is>
      </c>
      <c r="B1518" s="3" t="inlineStr">
        <is>
          <t>일반상업지역</t>
        </is>
      </c>
      <c r="C1518" s="3" t="inlineStr">
        <is>
          <t>주차장</t>
        </is>
      </c>
      <c r="D1518" s="3" t="inlineStr">
        <is>
          <t>주차장</t>
        </is>
      </c>
      <c r="E1518" s="3" t="inlineStr">
        <is>
          <t>월세</t>
        </is>
      </c>
      <c r="F1518" s="4" t="n">
        <v>10000</v>
      </c>
      <c r="G1518" s="4" t="n">
        <v>2435</v>
      </c>
      <c r="H1518" s="4" t="n">
        <v>737</v>
      </c>
      <c r="I1518" s="5" t="n">
        <v>2</v>
      </c>
      <c r="J1518" s="5" t="n">
        <v>295.4</v>
      </c>
      <c r="K1518" s="3" t="inlineStr">
        <is>
          <t>nan</t>
        </is>
      </c>
      <c r="L1518" s="6">
        <f>HYPERLINK("https://fin.land.naver.com/articles/2647590994", "매물Link")</f>
        <v/>
      </c>
      <c r="M1518" s="6">
        <f>HYPERLINK("https://map.naver.com/p/search/오송읍 봉산리 1322", "지도Link")</f>
        <v/>
      </c>
      <c r="N1518" s="6">
        <f>HYPERLINK("http://www.eum.go.kr/web/ar/lu/luLandDet.jsp?pnu=4311325031113220000&amp;isNoScr=script&amp;mode=search", "토지이음")</f>
        <v/>
      </c>
      <c r="O1518" s="3" t="inlineStr">
        <is>
          <t>오송메카</t>
        </is>
      </c>
      <c r="P1518" s="4" t="n">
        <v>1</v>
      </c>
      <c r="Q1518" s="4" t="n">
        <v>2435.1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1324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1524</v>
      </c>
      <c r="H1519" s="4" t="n">
        <v>461</v>
      </c>
      <c r="I1519" s="5" t="n">
        <v>997.8</v>
      </c>
      <c r="J1519" s="5" t="n">
        <v>573.2</v>
      </c>
      <c r="K1519" s="3" t="inlineStr">
        <is>
          <t>nan</t>
        </is>
      </c>
      <c r="L1519" s="6">
        <f>HYPERLINK("https://fin.land.naver.com/articles/2652702316", "매물Link")</f>
        <v/>
      </c>
      <c r="M1519" s="6">
        <f>HYPERLINK("https://map.naver.com/p/search/오송읍 봉산리 1324", "지도Link")</f>
        <v/>
      </c>
      <c r="N1519" s="6">
        <f>HYPERLINK("http://www.eum.go.kr/web/ar/lu/luLandDet.jsp?pnu=4311325031113240000&amp;isNoScr=script&amp;mode=search", "토지이음")</f>
        <v/>
      </c>
      <c r="O1519" s="3" t="inlineStr">
        <is>
          <t>365</t>
        </is>
      </c>
      <c r="P1519" s="4" t="n">
        <v>1</v>
      </c>
      <c r="Q1519" s="4" t="n">
        <v>1524.9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중로각지</t>
        </is>
      </c>
    </row>
    <row r="1520">
      <c r="A1520" s="3" t="inlineStr">
        <is>
          <t>오송읍 봉산리 1326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500000</v>
      </c>
      <c r="G1520" s="4" t="n">
        <v>889</v>
      </c>
      <c r="H1520" s="4" t="n">
        <v>269</v>
      </c>
      <c r="I1520" s="5" t="n">
        <v>1858.7</v>
      </c>
      <c r="J1520" s="5" t="n">
        <v>719.3</v>
      </c>
      <c r="K1520" s="3" t="inlineStr">
        <is>
          <t>오송역 인근 일반상업지역 숙박업가능 토지매매개발호재 풍부진입도로 완비</t>
        </is>
      </c>
      <c r="L1520" s="6">
        <f>HYPERLINK("https://fin.land.naver.com/articles/2647637551", "매물Link")</f>
        <v/>
      </c>
      <c r="M1520" s="6">
        <f>HYPERLINK("https://map.naver.com/p/search/오송읍 봉산리 1326", "지도Link")</f>
        <v/>
      </c>
      <c r="N1520" s="6">
        <f>HYPERLINK("http://www.eum.go.kr/web/ar/lu/luLandDet.jsp?pnu=4311325031113260000&amp;isNoScr=script&amp;mode=search", "토지이음")</f>
        <v/>
      </c>
      <c r="O1520" s="3" t="inlineStr">
        <is>
          <t>엠즈앤프라퍼티주식회사</t>
        </is>
      </c>
      <c r="P1520" s="4" t="n">
        <v>1</v>
      </c>
      <c r="Q1520" s="4" t="n">
        <v>889.6</v>
      </c>
      <c r="R1520" s="3" t="inlineStr">
        <is>
          <t>지정되지않음</t>
        </is>
      </c>
      <c r="S1520" s="3" t="inlineStr">
        <is>
          <t>상업기타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광대소각</t>
        </is>
      </c>
    </row>
    <row r="1521">
      <c r="A1521" s="3" t="inlineStr">
        <is>
          <t>오송읍 봉산리 1328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598000</v>
      </c>
      <c r="G1521" s="4" t="n">
        <v>859</v>
      </c>
      <c r="H1521" s="4" t="n">
        <v>260</v>
      </c>
      <c r="I1521" s="5" t="n">
        <v>2300</v>
      </c>
      <c r="J1521" s="5" t="n">
        <v>660.2</v>
      </c>
      <c r="K1521" s="3" t="inlineStr">
        <is>
          <t>오송역 초역세권 4거리코너 급매</t>
        </is>
      </c>
      <c r="L1521" s="6">
        <f>HYPERLINK("https://fin.land.naver.com/articles/2648986889", "매물Link")</f>
        <v/>
      </c>
      <c r="M1521" s="6">
        <f>HYPERLINK("https://map.naver.com/p/search/오송읍 봉산리 1328", "지도Link")</f>
        <v/>
      </c>
      <c r="N1521" s="6">
        <f>HYPERLINK("http://www.eum.go.kr/web/ar/lu/luLandDet.jsp?pnu=4311325031113280000&amp;isNoScr=script&amp;mode=search", "토지이음")</f>
        <v/>
      </c>
      <c r="O1521" s="3" t="inlineStr">
        <is>
          <t>하나</t>
        </is>
      </c>
      <c r="P1521" s="4" t="n">
        <v>1</v>
      </c>
      <c r="Q1521" s="4" t="n">
        <v>858.6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1344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136400</v>
      </c>
      <c r="G1522" s="4" t="n">
        <v>408</v>
      </c>
      <c r="H1522" s="4" t="n">
        <v>123</v>
      </c>
      <c r="I1522" s="5" t="n">
        <v>1108.9</v>
      </c>
      <c r="J1522" s="5" t="n">
        <v>624.1</v>
      </c>
      <c r="K1522" s="3" t="inlineStr">
        <is>
          <t>준주거지역 대지, 상가주택사옥 부지 최적</t>
        </is>
      </c>
      <c r="L1522" s="6">
        <f>HYPERLINK("https://fin.land.naver.com/articles/2648857608", "매물Link")</f>
        <v/>
      </c>
      <c r="M1522" s="6">
        <f>HYPERLINK("https://map.naver.com/p/search/오송읍 봉산리 1344", "지도Link")</f>
        <v/>
      </c>
      <c r="N1522" s="6">
        <f>HYPERLINK("http://www.eum.go.kr/web/ar/lu/luLandDet.jsp?pnu=4311325031113440000&amp;isNoScr=script&amp;mode=search", "토지이음")</f>
        <v/>
      </c>
      <c r="O1522" s="3" t="inlineStr">
        <is>
          <t>반석원무소</t>
        </is>
      </c>
      <c r="P1522" s="4" t="n">
        <v>1</v>
      </c>
      <c r="Q1522" s="4" t="n">
        <v>408.9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오송읍 봉산리 1367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41500</v>
      </c>
      <c r="G1523" s="4" t="n">
        <v>244</v>
      </c>
      <c r="H1523" s="4" t="n">
        <v>74</v>
      </c>
      <c r="I1523" s="5" t="n">
        <v>560.8</v>
      </c>
      <c r="J1523" s="5" t="n">
        <v>290</v>
      </c>
      <c r="K1523" s="3" t="inlineStr">
        <is>
          <t>급매 오송역 인근 일반주거지역 3거리 코너 각지 위치 좋은 대지입니다</t>
        </is>
      </c>
      <c r="L1523" s="6">
        <f>HYPERLINK("https://fin.land.naver.com/articles/2650741530", "매물Link")</f>
        <v/>
      </c>
      <c r="M1523" s="6">
        <f>HYPERLINK("https://map.naver.com/p/search/오송읍 봉산리 1367", "지도Link")</f>
        <v/>
      </c>
      <c r="N1523" s="6">
        <f>HYPERLINK("http://www.eum.go.kr/web/ar/lu/luLandDet.jsp?pnu=4311325031113670000&amp;isNoScr=script&amp;mode=search", "토지이음")</f>
        <v/>
      </c>
      <c r="O1523" s="3" t="inlineStr">
        <is>
          <t>스마일세종</t>
        </is>
      </c>
      <c r="P1523" s="4" t="n">
        <v>1</v>
      </c>
      <c r="Q1523" s="4" t="n">
        <v>244.4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소로각지</t>
        </is>
      </c>
    </row>
    <row r="1524">
      <c r="A1524" s="3" t="inlineStr">
        <is>
          <t>오송읍 봉산리 1375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30000</v>
      </c>
      <c r="G1524" s="4" t="n">
        <v>239</v>
      </c>
      <c r="H1524" s="4" t="n">
        <v>72</v>
      </c>
      <c r="I1524" s="5" t="n">
        <v>416.7</v>
      </c>
      <c r="J1524" s="5" t="n">
        <v>207.9</v>
      </c>
      <c r="K1524" s="3" t="inlineStr">
        <is>
          <t>nan</t>
        </is>
      </c>
      <c r="L1524" s="6">
        <f>HYPERLINK("https://fin.land.naver.com/articles/2652150259", "매물Link")</f>
        <v/>
      </c>
      <c r="M1524" s="6">
        <f>HYPERLINK("https://map.naver.com/p/search/오송읍 봉산리 1375", "지도Link")</f>
        <v/>
      </c>
      <c r="N1524" s="6">
        <f>HYPERLINK("http://www.eum.go.kr/web/ar/lu/luLandDet.jsp?pnu=4311325031113750000&amp;isNoScr=script&amp;mode=search", "토지이음")</f>
        <v/>
      </c>
      <c r="O1524" s="3" t="inlineStr">
        <is>
          <t>뉴스</t>
        </is>
      </c>
      <c r="P1524" s="4" t="n">
        <v>3</v>
      </c>
      <c r="Q1524" s="4" t="n">
        <v>239.5</v>
      </c>
      <c r="R1524" s="3" t="inlineStr">
        <is>
          <t>지정되지않음</t>
        </is>
      </c>
      <c r="S1524" s="3" t="inlineStr">
        <is>
          <t>주거기타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1392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60000</v>
      </c>
      <c r="G1525" s="4" t="n">
        <v>246</v>
      </c>
      <c r="H1525" s="4" t="n">
        <v>74</v>
      </c>
      <c r="I1525" s="5" t="n">
        <v>810.8</v>
      </c>
      <c r="J1525" s="5" t="n">
        <v>250.2</v>
      </c>
      <c r="K1525" s="3" t="inlineStr">
        <is>
          <t>대로변 위치 좋은 코너 각지</t>
        </is>
      </c>
      <c r="L1525" s="6">
        <f>HYPERLINK("https://fin.land.naver.com/articles/2652529296", "매물Link")</f>
        <v/>
      </c>
      <c r="M1525" s="6">
        <f>HYPERLINK("https://map.naver.com/p/search/오송읍 봉산리 1392", "지도Link")</f>
        <v/>
      </c>
      <c r="N1525" s="6">
        <f>HYPERLINK("http://www.eum.go.kr/web/ar/lu/luLandDet.jsp?pnu=4311325031113920000&amp;isNoScr=script&amp;mode=search", "토지이음")</f>
        <v/>
      </c>
      <c r="O1525" s="3" t="inlineStr">
        <is>
          <t>광장</t>
        </is>
      </c>
      <c r="P1525" s="4" t="n">
        <v>1</v>
      </c>
      <c r="Q1525" s="4" t="n">
        <v>246.5</v>
      </c>
      <c r="R1525" s="3" t="inlineStr">
        <is>
          <t>지정되지않음</t>
        </is>
      </c>
      <c r="S1525" s="3" t="inlineStr">
        <is>
          <t>주상기타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소로각지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1419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238</v>
      </c>
      <c r="H1528" s="4" t="n">
        <v>72</v>
      </c>
      <c r="I1528" s="5" t="n">
        <v>625</v>
      </c>
      <c r="J1528" s="5" t="n">
        <v>250.2</v>
      </c>
      <c r="K1528" s="3" t="inlineStr">
        <is>
          <t>오송2산단 다가구 건축 용도 삼면 각지 토지</t>
        </is>
      </c>
      <c r="L1528" s="6">
        <f>HYPERLINK("https://fin.land.naver.com/articles/2652705478", "매물Link")</f>
        <v/>
      </c>
      <c r="M1528" s="6">
        <f>HYPERLINK("https://map.naver.com/p/search/오송읍 봉산리 1419", "지도Link")</f>
        <v/>
      </c>
      <c r="N1528" s="6">
        <f>HYPERLINK("http://www.eum.go.kr/web/ar/lu/luLandDet.jsp?pnu=4311325031114190000&amp;isNoScr=script&amp;mode=search", "토지이음")</f>
        <v/>
      </c>
      <c r="O1528" s="3" t="inlineStr">
        <is>
          <t>365</t>
        </is>
      </c>
      <c r="P1528" s="4" t="n">
        <v>1</v>
      </c>
      <c r="Q1528" s="4" t="n">
        <v>238.1</v>
      </c>
      <c r="R1528" s="3" t="inlineStr">
        <is>
          <t>지정되지않음</t>
        </is>
      </c>
      <c r="S1528" s="3" t="inlineStr">
        <is>
          <t>주상기타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nan</t>
        </is>
      </c>
      <c r="L1530" s="6">
        <f>HYPERLINK("https://fin.land.naver.com/articles/2652690757",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365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853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276</v>
      </c>
      <c r="H1531" s="4" t="n">
        <v>83</v>
      </c>
      <c r="I1531" s="5" t="n">
        <v>542.2</v>
      </c>
      <c r="J1531" s="5" t="n">
        <v>205.7</v>
      </c>
      <c r="K1531" s="3" t="inlineStr">
        <is>
          <t>솔미초 인근 다가구용 토지 매매</t>
        </is>
      </c>
      <c r="L1531" s="6">
        <f>HYPERLINK("https://fin.land.naver.com/articles/2650364095", "매물Link")</f>
        <v/>
      </c>
      <c r="M1531" s="6">
        <f>HYPERLINK("https://map.naver.com/p/search/오송읍 봉산리 853", "지도Link")</f>
        <v/>
      </c>
      <c r="N1531" s="6">
        <f>HYPERLINK("http://www.eum.go.kr/web/ar/lu/luLandDet.jsp?pnu=4311325031108530000&amp;isNoScr=script&amp;mode=search", "토지이음")</f>
        <v/>
      </c>
      <c r="O1531" s="3" t="inlineStr">
        <is>
          <t>광장</t>
        </is>
      </c>
      <c r="P1531" s="4" t="n">
        <v>1</v>
      </c>
      <c r="Q1531" s="4" t="n">
        <v>276.1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859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280</v>
      </c>
      <c r="H1532" s="4" t="n">
        <v>85</v>
      </c>
      <c r="I1532" s="5" t="n">
        <v>470.6</v>
      </c>
      <c r="J1532" s="5" t="n">
        <v>205.7</v>
      </c>
      <c r="K1532" s="3" t="inlineStr">
        <is>
          <t>수익율 좋은 다가구주택 건축하여 건물주님 되어보기</t>
        </is>
      </c>
      <c r="L1532" s="6">
        <f>HYPERLINK("https://fin.land.naver.com/articles/2650859358", "매물Link")</f>
        <v/>
      </c>
      <c r="M1532" s="6">
        <f>HYPERLINK("https://map.naver.com/p/search/오송읍 봉산리 859", "지도Link")</f>
        <v/>
      </c>
      <c r="N1532" s="6">
        <f>HYPERLINK("http://www.eum.go.kr/web/ar/lu/luLandDet.jsp?pnu=4311325031108590000&amp;isNoScr=script&amp;mode=search",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280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872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49000</v>
      </c>
      <c r="G1533" s="4" t="n">
        <v>271</v>
      </c>
      <c r="H1533" s="4" t="n">
        <v>82</v>
      </c>
      <c r="I1533" s="5" t="n">
        <v>597.6</v>
      </c>
      <c r="J1533" s="5" t="n">
        <v>236</v>
      </c>
      <c r="K1533" s="3" t="inlineStr">
        <is>
          <t>다가구주택용 대지, 임대세대 구성하기 좋은 면적</t>
        </is>
      </c>
      <c r="L1533" s="6">
        <f>HYPERLINK("https://fin.land.naver.com/articles/2651430081", "매물Link")</f>
        <v/>
      </c>
      <c r="M1533" s="6">
        <f>HYPERLINK("https://map.naver.com/p/search/오송읍 봉산리 872", "지도Link")</f>
        <v/>
      </c>
      <c r="N1533" s="6">
        <f>HYPERLINK("http://www.eum.go.kr/web/ar/lu/luLandDet.jsp?pnu=4311325031108720000&amp;isNoScr=script&amp;mode=search",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271.2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봉산리 888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60000</v>
      </c>
      <c r="G1534" s="4" t="n">
        <v>252</v>
      </c>
      <c r="H1534" s="4" t="n">
        <v>76</v>
      </c>
      <c r="I1534" s="5" t="n">
        <v>789.5</v>
      </c>
      <c r="J1534" s="5" t="n">
        <v>291</v>
      </c>
      <c r="K1534" s="3" t="inlineStr">
        <is>
          <t>오송 철도국가산단 수혜 핵심 입지</t>
        </is>
      </c>
      <c r="L1534" s="6">
        <f>HYPERLINK("https://fin.land.naver.com/articles/2648559186", "매물Link")</f>
        <v/>
      </c>
      <c r="M1534" s="6">
        <f>HYPERLINK("https://map.naver.com/p/search/오송읍 봉산리 888", "지도Link")</f>
        <v/>
      </c>
      <c r="N1534" s="6">
        <f>HYPERLINK("http://www.eum.go.kr/web/ar/lu/luLandDet.jsp?pnu=4311325031108880000&amp;isNoScr=script&amp;mode=search", "토지이음")</f>
        <v/>
      </c>
      <c r="O1534" s="3" t="inlineStr">
        <is>
          <t>복덩이</t>
        </is>
      </c>
      <c r="P1534" s="4" t="n">
        <v>1</v>
      </c>
      <c r="Q1534" s="4" t="n">
        <v>252.1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중로각지</t>
        </is>
      </c>
    </row>
    <row r="1535">
      <c r="A1535" s="3" t="inlineStr">
        <is>
          <t>오송읍 봉산리 949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271</v>
      </c>
      <c r="H1535" s="4" t="n">
        <v>82</v>
      </c>
      <c r="I1535" s="5" t="n">
        <v>512.2</v>
      </c>
      <c r="J1535" s="5" t="n">
        <v>236</v>
      </c>
      <c r="K1535" s="3" t="inlineStr">
        <is>
          <t>공실없는 지역,확보된 임차인,안적정인 임대수익을 누릴수 있어요</t>
        </is>
      </c>
      <c r="L1535" s="6">
        <f>HYPERLINK("https://fin.land.naver.com/articles/2651115581", "매물Link")</f>
        <v/>
      </c>
      <c r="M1535" s="6">
        <f>HYPERLINK("https://map.naver.com/p/search/오송읍 봉산리 949", "지도Link")</f>
        <v/>
      </c>
      <c r="N1535" s="6">
        <f>HYPERLINK("http://www.eum.go.kr/web/ar/lu/luLandDet.jsp?pnu=4311325031109490000&amp;isNoScr=script&amp;mode=search",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271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봉산리 954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265</v>
      </c>
      <c r="H1536" s="4" t="n">
        <v>80</v>
      </c>
      <c r="I1536" s="5" t="n">
        <v>687.5</v>
      </c>
      <c r="J1536" s="5" t="n">
        <v>257.5</v>
      </c>
      <c r="K1536" s="3" t="inlineStr">
        <is>
          <t>위치좋은 코너땅 입니다</t>
        </is>
      </c>
      <c r="L1536" s="6">
        <f>HYPERLINK("https://fin.land.naver.com/articles/2652109103", "매물Link")</f>
        <v/>
      </c>
      <c r="M1536" s="6">
        <f>HYPERLINK("https://map.naver.com/p/search/오송읍 봉산리 954", "지도Link")</f>
        <v/>
      </c>
      <c r="N1536" s="6">
        <f>HYPERLINK("http://www.eum.go.kr/web/ar/lu/luLandDet.jsp?pnu=4311325031109540000&amp;isNoScr=script&amp;mode=search", "토지이음")</f>
        <v/>
      </c>
      <c r="O1536" s="3" t="inlineStr">
        <is>
          <t>오송2단지창조</t>
        </is>
      </c>
      <c r="P1536" s="4" t="n">
        <v>1</v>
      </c>
      <c r="Q1536" s="4" t="n">
        <v>265.3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소로각지</t>
        </is>
      </c>
    </row>
    <row r="1537">
      <c r="A1537" s="3" t="inlineStr">
        <is>
          <t>오송읍 봉산리 978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353000</v>
      </c>
      <c r="G1537" s="4" t="n">
        <v>1295</v>
      </c>
      <c r="H1537" s="4" t="n">
        <v>392</v>
      </c>
      <c r="I1537" s="5" t="n">
        <v>900.5</v>
      </c>
      <c r="J1537" s="5" t="n">
        <v>585.5</v>
      </c>
      <c r="K1537" s="3" t="inlineStr">
        <is>
          <t>오송읍 봉산리 상업용지 매매</t>
        </is>
      </c>
      <c r="L1537" s="6">
        <f>HYPERLINK("https://fin.land.naver.com/articles/2650259873", "매물Link")</f>
        <v/>
      </c>
      <c r="M1537" s="6">
        <f>HYPERLINK("https://map.naver.com/p/search/오송읍 봉산리 978", "지도Link")</f>
        <v/>
      </c>
      <c r="N1537" s="6">
        <f>HYPERLINK("http://www.eum.go.kr/web/ar/lu/luLandDet.jsp?pnu=4311325031109780000&amp;isNoScr=script&amp;mode=search", "토지이음")</f>
        <v/>
      </c>
      <c r="O1537" s="3" t="inlineStr">
        <is>
          <t>일등</t>
        </is>
      </c>
      <c r="P1537" s="4" t="n">
        <v>1</v>
      </c>
      <c r="Q1537" s="4" t="n">
        <v>1295.6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313</t>
        </is>
      </c>
      <c r="B1541" s="3" t="inlineStr">
        <is>
          <t>보전관리지역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40000</v>
      </c>
      <c r="G1541" s="4" t="n">
        <v>2615</v>
      </c>
      <c r="H1541" s="4" t="n">
        <v>791</v>
      </c>
      <c r="I1541" s="5" t="n">
        <v>50.6</v>
      </c>
      <c r="J1541" s="5" t="n">
        <v>10</v>
      </c>
      <c r="K1541" s="3" t="inlineStr">
        <is>
          <t>세종시 경계부근에 위치 전원주택 주말농지 추천</t>
        </is>
      </c>
      <c r="L1541" s="6">
        <f>HYPERLINK("https://fin.land.naver.com/articles/2652553807", "매물Link")</f>
        <v/>
      </c>
      <c r="M1541" s="6">
        <f>HYPERLINK("https://map.naver.com/p/search/오송읍 상봉리 313", "지도Link")</f>
        <v/>
      </c>
      <c r="N1541" s="6">
        <f>HYPERLINK("http://www.eum.go.kr/web/ar/lu/luLandDet.jsp?pnu=4311325033103130000&amp;isNoScr=script&amp;mode=search", "토지이음")</f>
        <v/>
      </c>
      <c r="O1541" s="3" t="inlineStr">
        <is>
          <t>복수지구</t>
        </is>
      </c>
      <c r="P1541" s="4" t="n">
        <v>1</v>
      </c>
      <c r="Q1541" s="4" t="n">
        <v>2615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상봉리 359-3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25000</v>
      </c>
      <c r="G1542" s="4" t="n">
        <v>2008</v>
      </c>
      <c r="H1542" s="4" t="n">
        <v>607</v>
      </c>
      <c r="I1542" s="5" t="n">
        <v>41.2</v>
      </c>
      <c r="J1542" s="5" t="n">
        <v>21.5</v>
      </c>
      <c r="K1542" s="3" t="inlineStr">
        <is>
          <t>밴처밸리,오송2산단 차량3분 대토 과수원 농가주택 창고등 추천</t>
        </is>
      </c>
      <c r="L1542" s="6">
        <f>HYPERLINK("https://fin.land.naver.com/articles/2649259041", "매물Link")</f>
        <v/>
      </c>
      <c r="M1542" s="6">
        <f>HYPERLINK("https://map.naver.com/p/search/오송읍 상봉리 359-3", "지도Link")</f>
        <v/>
      </c>
      <c r="N1542" s="6">
        <f>HYPERLINK("http://www.eum.go.kr/web/ar/lu/luLandDet.jsp?pnu=4311325033103590003&amp;isNoScr=script&amp;mode=search", "토지이음")</f>
        <v/>
      </c>
      <c r="O1542" s="3" t="inlineStr">
        <is>
          <t>신안무소</t>
        </is>
      </c>
      <c r="P1542" s="4" t="n">
        <v>1</v>
      </c>
      <c r="Q1542" s="4" t="n">
        <v>2008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세로각지(가)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415-1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26000</v>
      </c>
      <c r="G1544" s="4" t="n">
        <v>1230</v>
      </c>
      <c r="H1544" s="4" t="n">
        <v>372</v>
      </c>
      <c r="I1544" s="5" t="n">
        <v>69.90000000000001</v>
      </c>
      <c r="J1544" s="5" t="n">
        <v>22</v>
      </c>
      <c r="K1544" s="3" t="inlineStr">
        <is>
          <t>매가 조정하여 매2.6억원 오송 산단주변 농림지역 매매</t>
        </is>
      </c>
      <c r="L1544" s="6">
        <f>HYPERLINK("https://fin.land.naver.com/articles/2651395740", "매물Link")</f>
        <v/>
      </c>
      <c r="M1544" s="6">
        <f>HYPERLINK("https://map.naver.com/p/search/오송읍 상봉리 415-1", "지도Link")</f>
        <v/>
      </c>
      <c r="N1544" s="6">
        <f>HYPERLINK("http://www.eum.go.kr/web/ar/lu/luLandDet.jsp?pnu=4311325033104150001&amp;isNoScr=script&amp;mode=search", "토지이음")</f>
        <v/>
      </c>
      <c r="O1544" s="3" t="inlineStr">
        <is>
          <t>로데오상가</t>
        </is>
      </c>
      <c r="P1544" s="4" t="n">
        <v>1</v>
      </c>
      <c r="Q1544" s="4" t="n">
        <v>1230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상봉리 98-15</t>
        </is>
      </c>
      <c r="B1545" s="3" t="inlineStr">
        <is>
          <t>생산관리지역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35500</v>
      </c>
      <c r="G1545" s="4" t="n">
        <v>1468</v>
      </c>
      <c r="H1545" s="4" t="n">
        <v>444</v>
      </c>
      <c r="I1545" s="5" t="n">
        <v>80</v>
      </c>
      <c r="J1545" s="5" t="n">
        <v>26.4</v>
      </c>
      <c r="K1545" s="3" t="inlineStr">
        <is>
          <t>신축, 경작, 투자하기 좋은 토지</t>
        </is>
      </c>
      <c r="L1545" s="6">
        <f>HYPERLINK("https://fin.land.naver.com/articles/2650650172", "매물Link")</f>
        <v/>
      </c>
      <c r="M1545" s="6">
        <f>HYPERLINK("https://map.naver.com/p/search/오송읍 상봉리 98-15", "지도Link")</f>
        <v/>
      </c>
      <c r="N1545" s="6">
        <f>HYPERLINK("http://www.eum.go.kr/web/ar/lu/luLandDet.jsp?pnu=4311325033100980015&amp;isNoScr=script&amp;mode=search", "토지이음")</f>
        <v/>
      </c>
      <c r="O1545" s="3" t="inlineStr">
        <is>
          <t>학정</t>
        </is>
      </c>
      <c r="P1545" s="4" t="n">
        <v>1</v>
      </c>
      <c r="Q1545" s="4" t="n">
        <v>1468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오송읍 상봉리 산 49-1</t>
        </is>
      </c>
      <c r="B1546" s="3" t="inlineStr">
        <is>
          <t>농림지역</t>
        </is>
      </c>
      <c r="C1546" s="3" t="inlineStr">
        <is>
          <t>임야</t>
        </is>
      </c>
      <c r="D1546" s="3" t="inlineStr">
        <is>
          <t>임야</t>
        </is>
      </c>
      <c r="E1546" s="3" t="inlineStr">
        <is>
          <t>매매</t>
        </is>
      </c>
      <c r="F1546" s="4" t="n">
        <v>22000</v>
      </c>
      <c r="G1546" s="4" t="n">
        <v>29256</v>
      </c>
      <c r="H1546" s="4" t="n">
        <v>8850</v>
      </c>
      <c r="I1546" s="5" t="n">
        <v>2.5</v>
      </c>
      <c r="J1546" s="5" t="n">
        <v>2.4</v>
      </c>
      <c r="K1546" s="3" t="inlineStr">
        <is>
          <t>충북 청주 오송읍 상봉리 임야 매매</t>
        </is>
      </c>
      <c r="L1546" s="6">
        <f>HYPERLINK("https://fin.land.naver.com/articles/2652514401", "매물Link")</f>
        <v/>
      </c>
      <c r="M1546" s="6">
        <f>HYPERLINK("https://map.naver.com/p/search/오송읍 상봉리 산 49-1", "지도Link")</f>
        <v/>
      </c>
      <c r="N1546" s="6">
        <f>HYPERLINK("http://www.eum.go.kr/web/ar/lu/luLandDet.jsp?pnu=4311325033200490001&amp;isNoScr=script&amp;mode=search", "토지이음")</f>
        <v/>
      </c>
      <c r="O1546" s="3" t="inlineStr">
        <is>
          <t>리더</t>
        </is>
      </c>
      <c r="P1546" s="4" t="n">
        <v>1</v>
      </c>
      <c r="Q1546" s="4" t="n">
        <v>29256</v>
      </c>
      <c r="R1546" s="3" t="inlineStr">
        <is>
          <t>생산관리지역</t>
        </is>
      </c>
      <c r="S1546" s="3" t="inlineStr">
        <is>
          <t>자연림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오송읍 상정리 149-1</t>
        </is>
      </c>
      <c r="B1547" s="3" t="inlineStr">
        <is>
          <t>농림지역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91000</v>
      </c>
      <c r="G1547" s="4" t="n">
        <v>3028</v>
      </c>
      <c r="H1547" s="4" t="n">
        <v>916</v>
      </c>
      <c r="I1547" s="5" t="n">
        <v>99.3</v>
      </c>
      <c r="J1547" s="5" t="n">
        <v>27.4</v>
      </c>
      <c r="K1547" s="3" t="inlineStr">
        <is>
          <t>성토된 창고 용지와 창고용지와 답 매도</t>
        </is>
      </c>
      <c r="L1547" s="6">
        <f>HYPERLINK("https://fin.land.naver.com/articles/2651744349", "매물Link")</f>
        <v/>
      </c>
      <c r="M1547" s="6">
        <f>HYPERLINK("https://map.naver.com/p/search/오송읍 상정리 149-1", "지도Link")</f>
        <v/>
      </c>
      <c r="N1547" s="6">
        <f>HYPERLINK("http://www.eum.go.kr/web/ar/lu/luLandDet.jsp?pnu=4311325022101490001&amp;isNoScr=script&amp;mode=search", "토지이음")</f>
        <v/>
      </c>
      <c r="O1547" s="3" t="inlineStr">
        <is>
          <t>현담</t>
        </is>
      </c>
      <c r="P1547" s="4" t="n">
        <v>1</v>
      </c>
      <c r="Q1547" s="4" t="n">
        <v>660</v>
      </c>
      <c r="R1547" s="3" t="inlineStr">
        <is>
          <t>지정되지않음</t>
        </is>
      </c>
      <c r="S1547" s="3" t="inlineStr">
        <is>
          <t>답창고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오송읍 상정리 149-3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90000</v>
      </c>
      <c r="G1548" s="4" t="n">
        <v>3028</v>
      </c>
      <c r="H1548" s="4" t="n">
        <v>916</v>
      </c>
      <c r="I1548" s="5" t="n">
        <v>98.3</v>
      </c>
      <c r="J1548" s="5" t="n">
        <v>23</v>
      </c>
      <c r="K1548" s="3" t="inlineStr">
        <is>
          <t>현재 대지660m2, 창고128m2 임대중, 대토,투자추천</t>
        </is>
      </c>
      <c r="L1548" s="6">
        <f>HYPERLINK("https://fin.land.naver.com/articles/2651061331", "매물Link")</f>
        <v/>
      </c>
      <c r="M1548" s="6">
        <f>HYPERLINK("https://map.naver.com/p/search/오송읍 상정리 149-3", "지도Link")</f>
        <v/>
      </c>
      <c r="N1548" s="6">
        <f>HYPERLINK("http://www.eum.go.kr/web/ar/lu/luLandDet.jsp?pnu=4311325022101490003&amp;isNoScr=script&amp;mode=search", "토지이음")</f>
        <v/>
      </c>
      <c r="O1548" s="3" t="inlineStr">
        <is>
          <t>플러스자이합동</t>
        </is>
      </c>
      <c r="P1548" s="4" t="n">
        <v>1</v>
      </c>
      <c r="Q1548" s="4" t="n">
        <v>2368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오송읍 상정리 151-18</t>
        </is>
      </c>
      <c r="B1549" s="3" t="inlineStr">
        <is>
          <t>보전관리지역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40400</v>
      </c>
      <c r="G1549" s="4" t="n">
        <v>666</v>
      </c>
      <c r="H1549" s="4" t="n">
        <v>201</v>
      </c>
      <c r="I1549" s="5" t="n">
        <v>201</v>
      </c>
      <c r="J1549" s="5" t="n">
        <v>70.2</v>
      </c>
      <c r="K1549" s="3" t="inlineStr">
        <is>
          <t>전원주택단지조성된곳 바로인근 화장품단지개발호재</t>
        </is>
      </c>
      <c r="L1549" s="6">
        <f>HYPERLINK("https://fin.land.naver.com/articles/2647609720", "매물Link")</f>
        <v/>
      </c>
      <c r="M1549" s="6">
        <f>HYPERLINK("https://map.naver.com/p/search/오송읍 상정리 151-18", "지도Link")</f>
        <v/>
      </c>
      <c r="N1549" s="6">
        <f>HYPERLINK("http://www.eum.go.kr/web/ar/lu/luLandDet.jsp?pnu=4311325022101510018&amp;isNoScr=script&amp;mode=search",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573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완경사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상정리 174-7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80000</v>
      </c>
      <c r="G1550" s="4" t="n">
        <v>982</v>
      </c>
      <c r="H1550" s="4" t="n">
        <v>297</v>
      </c>
      <c r="I1550" s="5" t="n">
        <v>269.4</v>
      </c>
      <c r="J1550" s="5" t="n">
        <v>43.7</v>
      </c>
      <c r="K1550" s="3" t="inlineStr">
        <is>
          <t>순이네 보리밥 진입로 좌측 직사각형의 용도다양한 토지매매</t>
        </is>
      </c>
      <c r="L1550" s="6">
        <f>HYPERLINK("https://fin.land.naver.com/articles/2652102937", "매물Link")</f>
        <v/>
      </c>
      <c r="M1550" s="6">
        <f>HYPERLINK("https://map.naver.com/p/search/오송읍 상정리 174-7", "지도Link")</f>
        <v/>
      </c>
      <c r="N1550" s="6">
        <f>HYPERLINK("http://www.eum.go.kr/web/ar/lu/luLandDet.jsp?pnu=4311325022101740007&amp;isNoScr=script&amp;mode=search",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982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상정리 185-2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61000</v>
      </c>
      <c r="G1551" s="4" t="n">
        <v>1299</v>
      </c>
      <c r="H1551" s="4" t="n">
        <v>393</v>
      </c>
      <c r="I1551" s="5" t="n">
        <v>155.2</v>
      </c>
      <c r="J1551" s="5" t="n">
        <v>38.1</v>
      </c>
      <c r="K1551" s="3" t="inlineStr">
        <is>
          <t>계획관리 화장품단지인근 전원주택개발지 추후공시지가상승예정지 투자적합</t>
        </is>
      </c>
      <c r="L1551" s="6">
        <f>HYPERLINK("https://fin.land.naver.com/articles/2647626107", "매물Link")</f>
        <v/>
      </c>
      <c r="M1551" s="6">
        <f>HYPERLINK("https://map.naver.com/p/search/오송읍 상정리 185-2", "지도Link")</f>
        <v/>
      </c>
      <c r="N1551" s="6">
        <f>HYPERLINK("http://www.eum.go.kr/web/ar/lu/luLandDet.jsp?pnu=4311325022101850002&amp;isNoScr=script&amp;mode=search", "토지이음")</f>
        <v/>
      </c>
      <c r="O1551" s="3" t="inlineStr">
        <is>
          <t>자이원</t>
        </is>
      </c>
      <c r="P1551" s="4" t="n">
        <v>1</v>
      </c>
      <c r="Q1551" s="4" t="n">
        <v>1299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오송읍 상정리 189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130000</v>
      </c>
      <c r="G1552" s="4" t="n">
        <v>1413</v>
      </c>
      <c r="H1552" s="4" t="n">
        <v>427</v>
      </c>
      <c r="I1552" s="5" t="n">
        <v>304.4</v>
      </c>
      <c r="J1552" s="5" t="n">
        <v>84.3</v>
      </c>
      <c r="K1552" s="3" t="inlineStr">
        <is>
          <t>오송읍 2차선 도로접한 계획관리 토지매매</t>
        </is>
      </c>
      <c r="L1552" s="6">
        <f>HYPERLINK("https://fin.land.naver.com/articles/2647592687", "매물Link")</f>
        <v/>
      </c>
      <c r="M1552" s="6">
        <f>HYPERLINK("https://map.naver.com/p/search/오송읍 상정리 189", "지도Link")</f>
        <v/>
      </c>
      <c r="N1552" s="6">
        <f>HYPERLINK("http://www.eum.go.kr/web/ar/lu/luLandDet.jsp?pnu=4311325022101890000&amp;isNoScr=script&amp;mode=search", "토지이음")</f>
        <v/>
      </c>
      <c r="O1552" s="3" t="inlineStr">
        <is>
          <t>대지</t>
        </is>
      </c>
      <c r="P1552" s="4" t="n">
        <v>1</v>
      </c>
      <c r="Q1552" s="4" t="n">
        <v>733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오송읍 상정리 191-4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24600</v>
      </c>
      <c r="G1553" s="4" t="n">
        <v>367</v>
      </c>
      <c r="H1553" s="4" t="n">
        <v>111</v>
      </c>
      <c r="I1553" s="5" t="n">
        <v>221.6</v>
      </c>
      <c r="J1553" s="5" t="n">
        <v>83.59999999999999</v>
      </c>
      <c r="K1553" s="3" t="inlineStr">
        <is>
          <t>오송 1산단 생명과학단지 인근, 도로 옆, 건축가능, 투자가치 있음</t>
        </is>
      </c>
      <c r="L1553" s="6">
        <f>HYPERLINK("https://fin.land.naver.com/articles/2651744309", "매물Link")</f>
        <v/>
      </c>
      <c r="M1553" s="6">
        <f>HYPERLINK("https://map.naver.com/p/search/오송읍 상정리 191-4", "지도Link")</f>
        <v/>
      </c>
      <c r="N1553" s="6">
        <f>HYPERLINK("http://www.eum.go.kr/web/ar/lu/luLandDet.jsp?pnu=4311325022101910004&amp;isNoScr=script&amp;mode=search", "토지이음")</f>
        <v/>
      </c>
      <c r="O1553" s="3" t="inlineStr">
        <is>
          <t>현담</t>
        </is>
      </c>
      <c r="P1553" s="4" t="n">
        <v>1</v>
      </c>
      <c r="Q1553" s="4" t="n">
        <v>367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상정리 261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27000</v>
      </c>
      <c r="G1554" s="4" t="n">
        <v>1083</v>
      </c>
      <c r="H1554" s="4" t="n">
        <v>328</v>
      </c>
      <c r="I1554" s="5" t="n">
        <v>82.3</v>
      </c>
      <c r="J1554" s="5" t="n">
        <v>23.3</v>
      </c>
      <c r="K1554" s="3" t="inlineStr">
        <is>
          <t>농림지역</t>
        </is>
      </c>
      <c r="L1554" s="6">
        <f>HYPERLINK("https://fin.land.naver.com/articles/2648107540", "매물Link")</f>
        <v/>
      </c>
      <c r="M1554" s="6">
        <f>HYPERLINK("https://map.naver.com/p/search/오송읍 상정리 261", "지도Link")</f>
        <v/>
      </c>
      <c r="N1554" s="6">
        <f>HYPERLINK("http://www.eum.go.kr/web/ar/lu/luLandDet.jsp?pnu=4311325022102610000&amp;isNoScr=script&amp;mode=search", "토지이음")</f>
        <v/>
      </c>
      <c r="O1554" s="3" t="inlineStr">
        <is>
          <t>수풀림</t>
        </is>
      </c>
      <c r="P1554" s="4" t="n">
        <v>1</v>
      </c>
      <c r="Q1554" s="4" t="n">
        <v>1083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세로한면(가)</t>
        </is>
      </c>
    </row>
    <row r="1555">
      <c r="A1555" s="3" t="inlineStr">
        <is>
          <t>오송읍 상정리 306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42000</v>
      </c>
      <c r="G1555" s="4" t="n">
        <v>1714</v>
      </c>
      <c r="H1555" s="4" t="n">
        <v>518</v>
      </c>
      <c r="I1555" s="5" t="n">
        <v>81.09999999999999</v>
      </c>
      <c r="J1555" s="5" t="n">
        <v>26.1</v>
      </c>
      <c r="K1555" s="3" t="inlineStr">
        <is>
          <t>농림지역 대토권 최적의 입지 농가 주택 가능한 토지 투자가치 뿜뿜</t>
        </is>
      </c>
      <c r="L1555" s="6">
        <f>HYPERLINK("https://fin.land.naver.com/articles/2648907417", "매물Link")</f>
        <v/>
      </c>
      <c r="M1555" s="6">
        <f>HYPERLINK("https://map.naver.com/p/search/오송읍 상정리 306", "지도Link")</f>
        <v/>
      </c>
      <c r="N1555" s="6">
        <f>HYPERLINK("http://www.eum.go.kr/web/ar/lu/luLandDet.jsp?pnu=4311325022103060000&amp;isNoScr=script&amp;mode=search",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1714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상정리 337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2849</v>
      </c>
      <c r="H1556" s="4" t="n">
        <v>862</v>
      </c>
      <c r="I1556" s="5" t="n">
        <v>174</v>
      </c>
      <c r="J1556" s="5" t="n">
        <v>38.1</v>
      </c>
      <c r="K1556" s="3" t="inlineStr">
        <is>
          <t>서울세종간 제2고속도로이용(오송ic) 2차 지방도접 입지 최고</t>
        </is>
      </c>
      <c r="L1556" s="6">
        <f>HYPERLINK("https://fin.land.naver.com/articles/2652103214", "매물Link")</f>
        <v/>
      </c>
      <c r="M1556" s="6">
        <f>HYPERLINK("https://map.naver.com/p/search/오송읍 상정리 337", "지도Link")</f>
        <v/>
      </c>
      <c r="N1556" s="6">
        <f>HYPERLINK("http://www.eum.go.kr/web/ar/lu/luLandDet.jsp?pnu=4311325022103370000&amp;isNoScr=script&amp;mode=search",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2022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오송읍 상정리 62-2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</v>
      </c>
      <c r="G1557" s="4" t="n">
        <v>647</v>
      </c>
      <c r="H1557" s="4" t="n">
        <v>196</v>
      </c>
      <c r="I1557" s="5" t="n">
        <v>295.9</v>
      </c>
      <c r="J1557" s="5" t="n">
        <v>53.2</v>
      </c>
      <c r="K1557" s="3" t="inlineStr">
        <is>
          <t>농업용 주택부설창고</t>
        </is>
      </c>
      <c r="L1557" s="6">
        <f>HYPERLINK("https://fin.land.naver.com/articles/2650749483", "매물Link")</f>
        <v/>
      </c>
      <c r="M1557" s="6">
        <f>HYPERLINK("https://map.naver.com/p/search/오송읍 상정리 62-2", "지도Link")</f>
        <v/>
      </c>
      <c r="N1557" s="6">
        <f>HYPERLINK("http://www.eum.go.kr/web/ar/lu/luLandDet.jsp?pnu=4311325022100620002&amp;isNoScr=script&amp;mode=search",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647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오송읍 상정리 669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34000</v>
      </c>
      <c r="G1558" s="4" t="n">
        <v>507</v>
      </c>
      <c r="H1558" s="4" t="n">
        <v>153</v>
      </c>
      <c r="I1558" s="5" t="n">
        <v>222.2</v>
      </c>
      <c r="J1558" s="5" t="n">
        <v>80.09999999999999</v>
      </c>
      <c r="K1558" s="3" t="inlineStr">
        <is>
          <t>오송 화장품단지옆 전원주택단지,  작은 전원주택과 507㎡의 대지</t>
        </is>
      </c>
      <c r="L1558" s="6">
        <f>HYPERLINK("https://fin.land.naver.com/articles/2652917534", "매물Link")</f>
        <v/>
      </c>
      <c r="M1558" s="6">
        <f>HYPERLINK("https://map.naver.com/p/search/오송읍 상정리 669", "지도Link")</f>
        <v/>
      </c>
      <c r="N1558" s="6">
        <f>HYPERLINK("http://www.eum.go.kr/web/ar/lu/luLandDet.jsp?pnu=4311325022106690000&amp;isNoScr=script&amp;mode=search", "토지이음")</f>
        <v/>
      </c>
      <c r="O1558" s="3" t="inlineStr">
        <is>
          <t>OK파라곤</t>
        </is>
      </c>
      <c r="P1558" s="4" t="n">
        <v>2</v>
      </c>
      <c r="Q1558" s="4" t="n">
        <v>507.1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725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33000</v>
      </c>
      <c r="G1559" s="4" t="n">
        <v>541</v>
      </c>
      <c r="H1559" s="4" t="n">
        <v>164</v>
      </c>
      <c r="I1559" s="5" t="n">
        <v>201.2</v>
      </c>
      <c r="J1559" s="5" t="n">
        <v>80.09999999999999</v>
      </c>
      <c r="K1559" s="3" t="inlineStr">
        <is>
          <t>고급 전원주택 단지 계획관리지역 건폐율60 지역 화장품단지 호재</t>
        </is>
      </c>
      <c r="L1559" s="6">
        <f>HYPERLINK("https://fin.land.naver.com/articles/2649903782", "매물Link")</f>
        <v/>
      </c>
      <c r="M1559" s="6">
        <f>HYPERLINK("https://map.naver.com/p/search/오송읍 상정리 725", "지도Link")</f>
        <v/>
      </c>
      <c r="N1559" s="6">
        <f>HYPERLINK("http://www.eum.go.kr/web/ar/lu/luLandDet.jsp?pnu=4311325022107250000&amp;isNoScr=script&amp;mode=search", "토지이음")</f>
        <v/>
      </c>
      <c r="O1559" s="3" t="inlineStr">
        <is>
          <t>프렌즈</t>
        </is>
      </c>
      <c r="P1559" s="4" t="n">
        <v>1</v>
      </c>
      <c r="Q1559" s="4" t="n">
        <v>541.1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751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29000</v>
      </c>
      <c r="G1561" s="4" t="n">
        <v>535</v>
      </c>
      <c r="H1561" s="4" t="n">
        <v>162</v>
      </c>
      <c r="I1561" s="5" t="n">
        <v>179</v>
      </c>
      <c r="J1561" s="5" t="n">
        <v>80.09999999999999</v>
      </c>
      <c r="K1561" s="3" t="inlineStr">
        <is>
          <t>nan</t>
        </is>
      </c>
      <c r="L1561" s="6">
        <f>HYPERLINK("https://fin.land.naver.com/articles/2651726674", "매물Link")</f>
        <v/>
      </c>
      <c r="M1561" s="6">
        <f>HYPERLINK("https://map.naver.com/p/search/오송읍 상정리 751", "지도Link")</f>
        <v/>
      </c>
      <c r="N1561" s="6">
        <f>HYPERLINK("http://www.eum.go.kr/web/ar/lu/luLandDet.jsp?pnu=4311325022107510000&amp;isNoScr=script&amp;mode=search", "토지이음")</f>
        <v/>
      </c>
      <c r="O1561" s="3" t="inlineStr">
        <is>
          <t>OK파라곤</t>
        </is>
      </c>
      <c r="P1561" s="4" t="n">
        <v>2</v>
      </c>
      <c r="Q1561" s="4" t="n">
        <v>535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오송읍 상정리 79</t>
        </is>
      </c>
      <c r="B1562" s="3" t="inlineStr">
        <is>
          <t>생산관리지역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32000</v>
      </c>
      <c r="G1562" s="4" t="n">
        <v>2383</v>
      </c>
      <c r="H1562" s="4" t="n">
        <v>721</v>
      </c>
      <c r="I1562" s="5" t="n">
        <v>44.4</v>
      </c>
      <c r="J1562" s="5" t="n">
        <v>18</v>
      </c>
      <c r="K1562" s="3" t="inlineStr">
        <is>
          <t>여유를 만끽할 수 있는 토지,  인근전원주택지 개발된 오송화장품 산단 옆</t>
        </is>
      </c>
      <c r="L1562" s="6">
        <f>HYPERLINK("https://fin.land.naver.com/articles/2649495113", "매물Link")</f>
        <v/>
      </c>
      <c r="M1562" s="6">
        <f>HYPERLINK("https://map.naver.com/p/search/오송읍 상정리 79", "지도Link")</f>
        <v/>
      </c>
      <c r="N1562" s="6">
        <f>HYPERLINK("http://www.eum.go.kr/web/ar/lu/luLandDet.jsp?pnu=4311325022100790000&amp;isNoScr=script&amp;mode=search", "토지이음")</f>
        <v/>
      </c>
      <c r="O1562" s="3" t="inlineStr">
        <is>
          <t>OK파라곤</t>
        </is>
      </c>
      <c r="P1562" s="4" t="n">
        <v>1</v>
      </c>
      <c r="Q1562" s="4" t="n">
        <v>2383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세로한면(불)</t>
        </is>
      </c>
    </row>
    <row r="1563">
      <c r="A1563" s="3" t="inlineStr">
        <is>
          <t>오송읍 상정리 89-34</t>
        </is>
      </c>
      <c r="B1563" s="3" t="inlineStr">
        <is>
          <t>보전관리지역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651</v>
      </c>
      <c r="H1563" s="4" t="n">
        <v>197</v>
      </c>
      <c r="I1563" s="5" t="n">
        <v>304.6</v>
      </c>
      <c r="J1563" s="5" t="n">
        <v>76.09999999999999</v>
      </c>
      <c r="K1563" s="3" t="inlineStr">
        <is>
          <t>동물병원</t>
        </is>
      </c>
      <c r="L1563" s="6">
        <f>HYPERLINK("https://fin.land.naver.com/articles/2647651688", "매물Link")</f>
        <v/>
      </c>
      <c r="M1563" s="6">
        <f>HYPERLINK("https://map.naver.com/p/search/오송읍 상정리 89-34", "지도Link")</f>
        <v/>
      </c>
      <c r="N1563" s="6">
        <f>HYPERLINK("http://www.eum.go.kr/web/ar/lu/luLandDet.jsp?pnu=4311325022100890034&amp;isNoScr=script&amp;mode=search", "토지이음")</f>
        <v/>
      </c>
      <c r="O1563" s="3" t="inlineStr">
        <is>
          <t>현담</t>
        </is>
      </c>
      <c r="P1563" s="4" t="n">
        <v>1</v>
      </c>
      <c r="Q1563" s="4" t="n">
        <v>651</v>
      </c>
      <c r="R1563" s="3" t="inlineStr">
        <is>
          <t>지정되지않음</t>
        </is>
      </c>
      <c r="S1563" s="3" t="inlineStr">
        <is>
          <t>주거기타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세로각지(가)</t>
        </is>
      </c>
    </row>
    <row r="1564">
      <c r="A1564" s="3" t="inlineStr">
        <is>
          <t>오송읍 상정리 산55-2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31845</v>
      </c>
      <c r="G1564" s="4" t="n">
        <v>637</v>
      </c>
      <c r="H1564" s="4" t="n">
        <v>193</v>
      </c>
      <c r="I1564" s="5" t="n">
        <v>165</v>
      </c>
      <c r="J1564" s="5" t="n">
        <v>74.90000000000001</v>
      </c>
      <c r="K1564" s="3" t="inlineStr">
        <is>
          <t>전원투택용지 화장품단지인근 전원주택마을</t>
        </is>
      </c>
      <c r="L1564" s="6">
        <f>HYPERLINK("https://fin.land.naver.com/articles/2647625447", "매물Link")</f>
        <v/>
      </c>
      <c r="M1564" s="6">
        <f>HYPERLINK("https://map.naver.com/p/search/오송읍 상정리 산55-2", "지도Link")</f>
        <v/>
      </c>
      <c r="N1564" s="6">
        <f>HYPERLINK("http://www.eum.go.kr/web/ar/lu/luLandDet.jsp?pnu=4311325022200550002&amp;isNoScr=script&amp;mode=search", "토지이음")</f>
        <v/>
      </c>
      <c r="O1564" s="3" t="inlineStr">
        <is>
          <t>자이원</t>
        </is>
      </c>
      <c r="P1564" s="4" t="n">
        <v>1</v>
      </c>
      <c r="Q1564" s="4" t="n">
        <v>595</v>
      </c>
      <c r="R1564" s="3" t="inlineStr">
        <is>
          <t>계획관리지역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자루형</t>
        </is>
      </c>
      <c r="V1564" s="3" t="inlineStr">
        <is>
          <t>세로한면(가)</t>
        </is>
      </c>
    </row>
    <row r="1565">
      <c r="A1565" s="3" t="inlineStr">
        <is>
          <t>오송읍 상정리 산55-3</t>
        </is>
      </c>
      <c r="B1565" s="3" t="inlineStr">
        <is>
          <t>보전관리지역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매매</t>
        </is>
      </c>
      <c r="F1565" s="4" t="n">
        <v>30000</v>
      </c>
      <c r="G1565" s="4" t="n">
        <v>555</v>
      </c>
      <c r="H1565" s="4" t="n">
        <v>168</v>
      </c>
      <c r="I1565" s="5" t="n">
        <v>178.6</v>
      </c>
      <c r="J1565" s="5" t="n">
        <v>78.3</v>
      </c>
      <c r="K1565" s="3" t="inlineStr">
        <is>
          <t>오송 제1 생명과학단지 화장품산업단지 확정지 근접 대지</t>
        </is>
      </c>
      <c r="L1565" s="6">
        <f>HYPERLINK("https://fin.land.naver.com/articles/2652701813", "매물Link")</f>
        <v/>
      </c>
      <c r="M1565" s="6">
        <f>HYPERLINK("https://map.naver.com/p/search/오송읍 상정리 산55-3", "지도Link")</f>
        <v/>
      </c>
      <c r="N1565" s="6">
        <f>HYPERLINK("http://www.eum.go.kr/web/ar/lu/luLandDet.jsp?pnu=4311325022200550003&amp;isNoScr=script&amp;mode=search", "토지이음")</f>
        <v/>
      </c>
      <c r="O1565" s="3" t="inlineStr">
        <is>
          <t>365</t>
        </is>
      </c>
      <c r="P1565" s="4" t="n">
        <v>2</v>
      </c>
      <c r="Q1565" s="4" t="n">
        <v>555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서평리 128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144000</v>
      </c>
      <c r="G1566" s="4" t="n">
        <v>3967</v>
      </c>
      <c r="H1566" s="4" t="n">
        <v>1200</v>
      </c>
      <c r="I1566" s="5" t="n">
        <v>120</v>
      </c>
      <c r="J1566" s="5" t="n">
        <v>55.5</v>
      </c>
      <c r="K1566" s="3" t="inlineStr">
        <is>
          <t>오송 제3생명과학 국가산업단지 인접 2차선에 접한 접근성좋은 호재높은토지</t>
        </is>
      </c>
      <c r="L1566" s="6">
        <f>HYPERLINK("https://fin.land.naver.com/articles/2651386258", "매물Link")</f>
        <v/>
      </c>
      <c r="M1566" s="6">
        <f>HYPERLINK("https://map.naver.com/p/search/오송읍 서평리 128", "지도Link")</f>
        <v/>
      </c>
      <c r="N1566" s="6">
        <f>HYPERLINK("http://www.eum.go.kr/web/ar/lu/luLandDet.jsp?pnu=4311325030101280000&amp;isNoScr=script&amp;mode=search", "토지이음")</f>
        <v/>
      </c>
      <c r="O1566" s="3" t="inlineStr">
        <is>
          <t>명지</t>
        </is>
      </c>
      <c r="P1566" s="4" t="n">
        <v>1</v>
      </c>
      <c r="Q1566" s="4" t="n">
        <v>3967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129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170000</v>
      </c>
      <c r="G1567" s="4" t="n">
        <v>5088</v>
      </c>
      <c r="H1567" s="4" t="n">
        <v>1539</v>
      </c>
      <c r="I1567" s="5" t="n">
        <v>110.5</v>
      </c>
      <c r="J1567" s="5" t="n">
        <v>55.5</v>
      </c>
      <c r="K1567" s="3" t="inlineStr">
        <is>
          <t>오송 제3생명과학 국가산업단지 인근토지, 2차선도로에 접함,두필지,절충</t>
        </is>
      </c>
      <c r="L1567" s="6">
        <f>HYPERLINK("https://fin.land.naver.com/articles/2651207738", "매물Link")</f>
        <v/>
      </c>
      <c r="M1567" s="6">
        <f>HYPERLINK("https://map.naver.com/p/search/오송읍 서평리 129", "지도Link")</f>
        <v/>
      </c>
      <c r="N1567" s="6">
        <f>HYPERLINK("http://www.eum.go.kr/web/ar/lu/luLandDet.jsp?pnu=4311325030101290000&amp;isNoScr=script&amp;mode=search", "토지이음")</f>
        <v/>
      </c>
      <c r="O1567" s="3" t="inlineStr">
        <is>
          <t>금호무소</t>
        </is>
      </c>
      <c r="P1567" s="4" t="n">
        <v>1</v>
      </c>
      <c r="Q1567" s="4" t="n">
        <v>4116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HYPERLINK("https://fin.land.naver.com/articles/2653143304",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194-2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100000</v>
      </c>
      <c r="G1572" s="4" t="n">
        <v>2182</v>
      </c>
      <c r="H1572" s="4" t="n">
        <v>660</v>
      </c>
      <c r="I1572" s="5" t="n">
        <v>151.5</v>
      </c>
      <c r="J1572" s="5" t="n">
        <v>54.7</v>
      </c>
      <c r="K1572" s="3" t="inlineStr">
        <is>
          <t>복숭아등 과일 노상 판매장용도 추천</t>
        </is>
      </c>
      <c r="L1572" s="6">
        <f>HYPERLINK("https://fin.land.naver.com/articles/2649950268", "매물Link")</f>
        <v/>
      </c>
      <c r="M1572" s="6">
        <f>HYPERLINK("https://map.naver.com/p/search/오송읍 서평리 194-2", "지도Link")</f>
        <v/>
      </c>
      <c r="N1572" s="6">
        <f>HYPERLINK("http://www.eum.go.kr/web/ar/lu/luLandDet.jsp?pnu=4311325030101940002&amp;isNoScr=script&amp;mode=search",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2182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오송읍 서평리 196-3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86000</v>
      </c>
      <c r="G1573" s="4" t="n">
        <v>4205</v>
      </c>
      <c r="H1573" s="4" t="n">
        <v>1272</v>
      </c>
      <c r="I1573" s="5" t="n">
        <v>67.59999999999999</v>
      </c>
      <c r="J1573" s="5" t="n">
        <v>54.7</v>
      </c>
      <c r="K1573" s="3" t="inlineStr">
        <is>
          <t>오송3산단 배후지, 토지거해허가해제로 지가 상승 유망 투자지역</t>
        </is>
      </c>
      <c r="L1573" s="6">
        <f>HYPERLINK("https://fin.land.naver.com/articles/2647661512", "매물Link")</f>
        <v/>
      </c>
      <c r="M1573" s="6">
        <f>HYPERLINK("https://map.naver.com/p/search/오송읍 서평리 196-3", "지도Link")</f>
        <v/>
      </c>
      <c r="N1573" s="6">
        <f>HYPERLINK("http://www.eum.go.kr/web/ar/lu/luLandDet.jsp?pnu=4311325030101960003&amp;isNoScr=script&amp;mode=search", "토지이음")</f>
        <v/>
      </c>
      <c r="O1573" s="3" t="inlineStr">
        <is>
          <t>청주모충사모1/2LH트릴로채명성</t>
        </is>
      </c>
      <c r="P1573" s="4" t="n">
        <v>1</v>
      </c>
      <c r="Q1573" s="4" t="n">
        <v>2033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214-10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198720</v>
      </c>
      <c r="G1574" s="4" t="n">
        <v>4564</v>
      </c>
      <c r="H1574" s="4" t="n">
        <v>1381</v>
      </c>
      <c r="I1574" s="5" t="n">
        <v>143.9</v>
      </c>
      <c r="J1574" s="5" t="n">
        <v>54.7</v>
      </c>
      <c r="K1574" s="3" t="inlineStr">
        <is>
          <t>오송3산단 배후지, 토지거래허가 해제로 대토용지로 지가상승 유망 투자지역</t>
        </is>
      </c>
      <c r="L1574" s="6">
        <f>HYPERLINK("https://fin.land.naver.com/articles/2650412996", "매물Link")</f>
        <v/>
      </c>
      <c r="M1574" s="6">
        <f>HYPERLINK("https://map.naver.com/p/search/오송읍 서평리 214-10", "지도Link")</f>
        <v/>
      </c>
      <c r="N1574" s="6">
        <f>HYPERLINK("http://www.eum.go.kr/web/ar/lu/luLandDet.jsp?pnu=4311325030102140010&amp;isNoScr=script&amp;mode=search",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4213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오송읍 서평리 214-4</t>
        </is>
      </c>
      <c r="B1575" s="3" t="inlineStr">
        <is>
          <t>농림지역</t>
        </is>
      </c>
      <c r="C1575" s="3" t="inlineStr">
        <is>
          <t>전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122000</v>
      </c>
      <c r="G1575" s="4" t="n">
        <v>3080</v>
      </c>
      <c r="H1575" s="4" t="n">
        <v>932</v>
      </c>
      <c r="I1575" s="5" t="n">
        <v>130.9</v>
      </c>
      <c r="J1575" s="5" t="n">
        <v>54.7</v>
      </c>
      <c r="K1575" s="3" t="inlineStr">
        <is>
          <t>2차선 도로접한 토지</t>
        </is>
      </c>
      <c r="L1575" s="6">
        <f>HYPERLINK("https://fin.land.naver.com/articles/2650856660", "매물Link")</f>
        <v/>
      </c>
      <c r="M1575" s="6">
        <f>HYPERLINK("https://map.naver.com/p/search/오송읍 서평리 214-4", "지도Link")</f>
        <v/>
      </c>
      <c r="N1575" s="6">
        <f>HYPERLINK("http://www.eum.go.kr/web/ar/lu/luLandDet.jsp?pnu=4311325030102140004&amp;isNoScr=script&amp;mode=search",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3080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서평리 219-30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41500</v>
      </c>
      <c r="G1576" s="4" t="n">
        <v>2648</v>
      </c>
      <c r="H1576" s="4" t="n">
        <v>801</v>
      </c>
      <c r="I1576" s="5" t="n">
        <v>51.8</v>
      </c>
      <c r="J1576" s="5" t="n">
        <v>35.5</v>
      </c>
      <c r="K1576" s="3" t="inlineStr">
        <is>
          <t>파격가 급매물, 오송3산단 호재있는 투자용 물건, 하우스 6동 포함</t>
        </is>
      </c>
      <c r="L1576" s="6">
        <f>HYPERLINK("https://fin.land.naver.com/articles/2648088489", "매물Link")</f>
        <v/>
      </c>
      <c r="M1576" s="6">
        <f>HYPERLINK("https://map.naver.com/p/search/오송읍 서평리 219-30", "지도Link")</f>
        <v/>
      </c>
      <c r="N1576" s="6">
        <f>HYPERLINK("http://www.eum.go.kr/web/ar/lu/luLandDet.jsp?pnu=4311325030102190030&amp;isNoScr=script&amp;mode=search", "토지이음")</f>
        <v/>
      </c>
      <c r="O1576" s="3" t="inlineStr">
        <is>
          <t>오송3산단  사무소</t>
        </is>
      </c>
      <c r="P1576" s="4" t="n">
        <v>1</v>
      </c>
      <c r="Q1576" s="4" t="n">
        <v>2648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서평리 281-1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105000</v>
      </c>
      <c r="G1577" s="4" t="n">
        <v>2827</v>
      </c>
      <c r="H1577" s="4" t="n">
        <v>855</v>
      </c>
      <c r="I1577" s="5" t="n">
        <v>122.8</v>
      </c>
      <c r="J1577" s="5" t="n">
        <v>29.5</v>
      </c>
      <c r="K1577" s="3" t="inlineStr">
        <is>
          <t>하우스시설이 완비된 토지,주변 토지와 일괄 매매</t>
        </is>
      </c>
      <c r="L1577" s="6">
        <f>HYPERLINK("https://fin.land.naver.com/articles/2648013053", "매물Link")</f>
        <v/>
      </c>
      <c r="M1577" s="6">
        <f>HYPERLINK("https://map.naver.com/p/search/오송읍 서평리 281-1", "지도Link")</f>
        <v/>
      </c>
      <c r="N1577" s="6">
        <f>HYPERLINK("http://www.eum.go.kr/web/ar/lu/luLandDet.jsp?pnu=4311325030102810001&amp;isNoScr=script&amp;mode=search", "토지이음")</f>
        <v/>
      </c>
      <c r="O1577" s="3" t="inlineStr">
        <is>
          <t>오송2단지창조</t>
        </is>
      </c>
      <c r="P1577" s="4" t="n">
        <v>1</v>
      </c>
      <c r="Q1577" s="4" t="n">
        <v>2827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오송읍 서평리 296-4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43000</v>
      </c>
      <c r="G1578" s="4" t="n">
        <v>2340</v>
      </c>
      <c r="H1578" s="4" t="n">
        <v>708</v>
      </c>
      <c r="I1578" s="5" t="n">
        <v>60.7</v>
      </c>
      <c r="J1578" s="5" t="n">
        <v>29.5</v>
      </c>
      <c r="K1578" s="3" t="inlineStr">
        <is>
          <t>오송3산업단지 공용수용지 인근가격대비 최적의 대토 투자용 토지임</t>
        </is>
      </c>
      <c r="L1578" s="6">
        <f>HYPERLINK("https://fin.land.naver.com/articles/2652103543", "매물Link")</f>
        <v/>
      </c>
      <c r="M1578" s="6">
        <f>HYPERLINK("https://map.naver.com/p/search/오송읍 서평리 296-4", "지도Link")</f>
        <v/>
      </c>
      <c r="N1578" s="6">
        <f>HYPERLINK("http://www.eum.go.kr/web/ar/lu/luLandDet.jsp?pnu=4311325030102960004&amp;isNoScr=script&amp;mode=search", "토지이음")</f>
        <v/>
      </c>
      <c r="O1578" s="3" t="inlineStr">
        <is>
          <t>오송k랜드</t>
        </is>
      </c>
      <c r="P1578" s="4" t="n">
        <v>1</v>
      </c>
      <c r="Q1578" s="4" t="n">
        <v>2340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오송읍 서평리 354-1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96000</v>
      </c>
      <c r="G1579" s="4" t="n">
        <v>3507</v>
      </c>
      <c r="H1579" s="4" t="n">
        <v>1061</v>
      </c>
      <c r="I1579" s="5" t="n">
        <v>90.5</v>
      </c>
      <c r="J1579" s="5" t="n">
        <v>41.7</v>
      </c>
      <c r="K1579" s="3" t="inlineStr">
        <is>
          <t>오송3산업단지 수용지 인근 투자</t>
        </is>
      </c>
      <c r="L1579" s="6">
        <f>HYPERLINK("https://fin.land.naver.com/articles/2648237005", "매물Link")</f>
        <v/>
      </c>
      <c r="M1579" s="6">
        <f>HYPERLINK("https://map.naver.com/p/search/오송읍 서평리 354-1", "지도Link")</f>
        <v/>
      </c>
      <c r="N1579" s="6">
        <f>HYPERLINK("http://www.eum.go.kr/web/ar/lu/luLandDet.jsp?pnu=4311325030103540001&amp;isNoScr=script&amp;mode=search",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2466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오송읍 서평리 356</t>
        </is>
      </c>
      <c r="B1580" s="3" t="inlineStr">
        <is>
          <t>농림지역</t>
        </is>
      </c>
      <c r="C1580" s="3" t="inlineStr">
        <is>
          <t>창고용지</t>
        </is>
      </c>
      <c r="D1580" s="3" t="inlineStr">
        <is>
          <t>창고용지</t>
        </is>
      </c>
      <c r="E1580" s="3" t="inlineStr">
        <is>
          <t>매매</t>
        </is>
      </c>
      <c r="F1580" s="4" t="n">
        <v>120000</v>
      </c>
      <c r="G1580" s="4" t="n">
        <v>2423</v>
      </c>
      <c r="H1580" s="4" t="n">
        <v>733</v>
      </c>
      <c r="I1580" s="5" t="n">
        <v>163.7</v>
      </c>
      <c r="J1580" s="5" t="n">
        <v>49.6</v>
      </c>
      <c r="K1580" s="3" t="inlineStr">
        <is>
          <t>오송3산단예정지인근 2차선변 농업용창고,부분거래가능</t>
        </is>
      </c>
      <c r="L1580" s="6">
        <f>HYPERLINK("https://fin.land.naver.com/articles/2650475978", "매물Link")</f>
        <v/>
      </c>
      <c r="M1580" s="6">
        <f>HYPERLINK("https://map.naver.com/p/search/오송읍 서평리 356", "지도Link")</f>
        <v/>
      </c>
      <c r="N1580" s="6">
        <f>HYPERLINK("http://www.eum.go.kr/web/ar/lu/luLandDet.jsp?pnu=4311325030103560000&amp;isNoScr=script&amp;mode=search", "토지이음")</f>
        <v/>
      </c>
      <c r="O1580" s="3" t="inlineStr">
        <is>
          <t>가치잇는</t>
        </is>
      </c>
      <c r="P1580" s="4" t="n">
        <v>2</v>
      </c>
      <c r="Q1580" s="4" t="n">
        <v>900</v>
      </c>
      <c r="R1580" s="3" t="inlineStr">
        <is>
          <t>지정되지않음</t>
        </is>
      </c>
      <c r="S1580" s="3" t="inlineStr">
        <is>
          <t>답창고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소로한면</t>
        </is>
      </c>
    </row>
    <row r="1581">
      <c r="A1581" s="3" t="inlineStr">
        <is>
          <t>오송읍 서평리 356</t>
        </is>
      </c>
      <c r="B1581" s="3" t="inlineStr">
        <is>
          <t>농림지역</t>
        </is>
      </c>
      <c r="C1581" s="3" t="inlineStr">
        <is>
          <t>창고용지</t>
        </is>
      </c>
      <c r="D1581" s="3" t="inlineStr">
        <is>
          <t>답</t>
        </is>
      </c>
      <c r="E1581" s="3" t="inlineStr">
        <is>
          <t>매매</t>
        </is>
      </c>
      <c r="F1581" s="4" t="n">
        <v>110000</v>
      </c>
      <c r="G1581" s="4" t="n">
        <v>2423</v>
      </c>
      <c r="H1581" s="4" t="n">
        <v>733</v>
      </c>
      <c r="I1581" s="5" t="n">
        <v>150.1</v>
      </c>
      <c r="J1581" s="5" t="n">
        <v>49.6</v>
      </c>
      <c r="K1581" s="3" t="inlineStr">
        <is>
          <t>2차선도로접한3필지일괄매매,창고는 현재 임대중,그리고 복숭아밭으로이용중</t>
        </is>
      </c>
      <c r="L1581" s="6">
        <f>HYPERLINK("https://fin.land.naver.com/articles/2652138120", "매물Link")</f>
        <v/>
      </c>
      <c r="M1581" s="6">
        <f>HYPERLINK("https://map.naver.com/p/search/오송읍 서평리 356", "지도Link")</f>
        <v/>
      </c>
      <c r="N1581" s="6">
        <f>HYPERLINK("http://www.eum.go.kr/web/ar/lu/luLandDet.jsp?pnu=4311325030103560000&amp;isNoScr=script&amp;mode=search", "토지이음")</f>
        <v/>
      </c>
      <c r="O1581" s="3" t="inlineStr">
        <is>
          <t>담뜰</t>
        </is>
      </c>
      <c r="P1581" s="4" t="n">
        <v>1</v>
      </c>
      <c r="Q1581" s="4" t="n">
        <v>900</v>
      </c>
      <c r="R1581" s="3" t="inlineStr">
        <is>
          <t>지정되지않음</t>
        </is>
      </c>
      <c r="S1581" s="3" t="inlineStr">
        <is>
          <t>답창고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오송읍 서평리 381-8</t>
        </is>
      </c>
      <c r="B1582" s="3" t="inlineStr">
        <is>
          <t>생산관리지역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124000</v>
      </c>
      <c r="G1582" s="4" t="n">
        <v>4100</v>
      </c>
      <c r="H1582" s="4" t="n">
        <v>1240</v>
      </c>
      <c r="I1582" s="5" t="n">
        <v>100</v>
      </c>
      <c r="J1582" s="5" t="n">
        <v>39.1</v>
      </c>
      <c r="K1582" s="3" t="inlineStr">
        <is>
          <t>nan</t>
        </is>
      </c>
      <c r="L1582" s="6">
        <f>HYPERLINK("https://fin.land.naver.com/articles/2651729251", "매물Link")</f>
        <v/>
      </c>
      <c r="M1582" s="6">
        <f>HYPERLINK("https://map.naver.com/p/search/오송읍 서평리 381-8", "지도Link")</f>
        <v/>
      </c>
      <c r="N1582" s="6">
        <f>HYPERLINK("http://www.eum.go.kr/web/ar/lu/luLandDet.jsp?pnu=4311325030103810008&amp;isNoScr=script&amp;mode=search",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4100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세로한면(불)</t>
        </is>
      </c>
    </row>
    <row r="1583">
      <c r="A1583" s="3" t="inlineStr">
        <is>
          <t>오송읍 서평리 56-9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57400</v>
      </c>
      <c r="G1583" s="4" t="n">
        <v>542</v>
      </c>
      <c r="H1583" s="4" t="n">
        <v>164</v>
      </c>
      <c r="I1583" s="5" t="n">
        <v>350</v>
      </c>
      <c r="J1583" s="5" t="n">
        <v>195.9</v>
      </c>
      <c r="K1583" s="3" t="inlineStr">
        <is>
          <t>오송읍 서평리 주거개발진흥지구내 다가구 .상가.상가주택등 신축 추천</t>
        </is>
      </c>
      <c r="L1583" s="6">
        <f>HYPERLINK("https://fin.land.naver.com/articles/2649339502", "매물Link")</f>
        <v/>
      </c>
      <c r="M1583" s="6">
        <f>HYPERLINK("https://map.naver.com/p/search/오송읍 서평리 56-9", "지도Link")</f>
        <v/>
      </c>
      <c r="N1583" s="6">
        <f>HYPERLINK("http://www.eum.go.kr/web/ar/lu/luLandDet.jsp?pnu=4311325030100560009&amp;isNoScr=script&amp;mode=search", "토지이음")</f>
        <v/>
      </c>
      <c r="O1583" s="3" t="inlineStr">
        <is>
          <t>그린</t>
        </is>
      </c>
      <c r="P1583" s="4" t="n">
        <v>1</v>
      </c>
      <c r="Q1583" s="4" t="n">
        <v>542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중로한면</t>
        </is>
      </c>
    </row>
    <row r="1584">
      <c r="A1584" s="3" t="inlineStr">
        <is>
          <t>오송읍 서평리 664-97</t>
        </is>
      </c>
      <c r="B1584" s="3" t="inlineStr">
        <is>
          <t>농림지역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23000</v>
      </c>
      <c r="G1584" s="4" t="n">
        <v>591</v>
      </c>
      <c r="H1584" s="4" t="n">
        <v>179</v>
      </c>
      <c r="I1584" s="5" t="n">
        <v>128.5</v>
      </c>
      <c r="J1584" s="5" t="n">
        <v>38</v>
      </c>
      <c r="K1584" s="3" t="inlineStr">
        <is>
          <t>도로접한 토지</t>
        </is>
      </c>
      <c r="L1584" s="6">
        <f>HYPERLINK("https://fin.land.naver.com/articles/2650856659", "매물Link")</f>
        <v/>
      </c>
      <c r="M1584" s="6">
        <f>HYPERLINK("https://map.naver.com/p/search/오송읍 서평리 664-97", "지도Link")</f>
        <v/>
      </c>
      <c r="N1584" s="6">
        <f>HYPERLINK("http://www.eum.go.kr/web/ar/lu/luLandDet.jsp?pnu=4311325030106640097&amp;isNoScr=script&amp;mode=search",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591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88-1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39000</v>
      </c>
      <c r="G1585" s="4" t="n">
        <v>1289</v>
      </c>
      <c r="H1585" s="4" t="n">
        <v>390</v>
      </c>
      <c r="I1585" s="5" t="n">
        <v>100</v>
      </c>
      <c r="J1585" s="5" t="n">
        <v>38.8</v>
      </c>
      <c r="K1585" s="3" t="inlineStr">
        <is>
          <t>농사짓기 좋은 우량 농지 매매</t>
        </is>
      </c>
      <c r="L1585" s="6">
        <f>HYPERLINK("https://fin.land.naver.com/articles/2648014715", "매물Link")</f>
        <v/>
      </c>
      <c r="M1585" s="6">
        <f>HYPERLINK("https://map.naver.com/p/search/오송읍 서평리 88-1", "지도Link")</f>
        <v/>
      </c>
      <c r="N1585" s="6">
        <f>HYPERLINK("http://www.eum.go.kr/web/ar/lu/luLandDet.jsp?pnu=4311325030100880001&amp;isNoScr=script&amp;mode=search", "토지이음")</f>
        <v/>
      </c>
      <c r="O1585" s="3" t="inlineStr">
        <is>
          <t>오송2단지창조</t>
        </is>
      </c>
      <c r="P1585" s="4" t="n">
        <v>1</v>
      </c>
      <c r="Q1585" s="4" t="n">
        <v>1289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세로각지(가)</t>
        </is>
      </c>
    </row>
    <row r="1586">
      <c r="A1586" s="3" t="inlineStr">
        <is>
          <t>오송읍 서평리 88-2</t>
        </is>
      </c>
      <c r="B1586" s="3" t="inlineStr">
        <is>
          <t>농림지역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80700</v>
      </c>
      <c r="G1586" s="4" t="n">
        <v>2668</v>
      </c>
      <c r="H1586" s="4" t="n">
        <v>807</v>
      </c>
      <c r="I1586" s="5" t="n">
        <v>100</v>
      </c>
      <c r="J1586" s="5" t="n">
        <v>37.3</v>
      </c>
      <c r="K1586" s="3" t="inlineStr">
        <is>
          <t>경지정리 완료 농기계 진입 편리, 바로 농사 가능한 우량 농지 매매</t>
        </is>
      </c>
      <c r="L1586" s="6">
        <f>HYPERLINK("https://fin.land.naver.com/articles/2648014585", "매물Link")</f>
        <v/>
      </c>
      <c r="M1586" s="6">
        <f>HYPERLINK("https://map.naver.com/p/search/오송읍 서평리 88-2", "지도Link")</f>
        <v/>
      </c>
      <c r="N1586" s="6">
        <f>HYPERLINK("http://www.eum.go.kr/web/ar/lu/luLandDet.jsp?pnu=4311325030100880002&amp;isNoScr=script&amp;mode=search", "토지이음")</f>
        <v/>
      </c>
      <c r="O1586" s="3" t="inlineStr">
        <is>
          <t>오송2단지창조</t>
        </is>
      </c>
      <c r="P1586" s="4" t="n">
        <v>1</v>
      </c>
      <c r="Q1586" s="4" t="n">
        <v>2668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오송읍 서평리 94-2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57300</v>
      </c>
      <c r="G1587" s="4" t="n">
        <v>1975</v>
      </c>
      <c r="H1587" s="4" t="n">
        <v>597</v>
      </c>
      <c r="I1587" s="5" t="n">
        <v>96</v>
      </c>
      <c r="J1587" s="5" t="n">
        <v>54.7</v>
      </c>
      <c r="K1587" s="3" t="inlineStr">
        <is>
          <t>오송제3산업단지(27.하반기 보상예정)인접하고 4차로 확장예정도로접함.</t>
        </is>
      </c>
      <c r="L1587" s="6">
        <f>HYPERLINK("https://fin.land.naver.com/articles/2650557460", "매물Link")</f>
        <v/>
      </c>
      <c r="M1587" s="6">
        <f>HYPERLINK("https://map.naver.com/p/search/오송읍 서평리 94-2", "지도Link")</f>
        <v/>
      </c>
      <c r="N1587" s="6">
        <f>HYPERLINK("http://www.eum.go.kr/web/ar/lu/luLandDet.jsp?pnu=4311325030100940002&amp;isNoScr=script&amp;mode=search",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1975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소로한면</t>
        </is>
      </c>
    </row>
    <row r="1588">
      <c r="A1588" s="3" t="inlineStr">
        <is>
          <t>오송읍 쌍청리 108-31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30800</v>
      </c>
      <c r="G1588" s="4" t="n">
        <v>566</v>
      </c>
      <c r="H1588" s="4" t="n">
        <v>171</v>
      </c>
      <c r="I1588" s="5" t="n">
        <v>180.1</v>
      </c>
      <c r="J1588" s="5" t="n">
        <v>61</v>
      </c>
      <c r="K1588" s="3" t="inlineStr">
        <is>
          <t>접근성 좋은 토지,활용하기 좋은 토지 입니다</t>
        </is>
      </c>
      <c r="L1588" s="6">
        <f>HYPERLINK("https://fin.land.naver.com/articles/2652264870", "매물Link")</f>
        <v/>
      </c>
      <c r="M1588" s="6">
        <f>HYPERLINK("https://map.naver.com/p/search/오송읍 쌍청리 108-31", "지도Link")</f>
        <v/>
      </c>
      <c r="N1588" s="6">
        <f>HYPERLINK("http://www.eum.go.kr/web/ar/lu/luLandDet.jsp?pnu=4311325024101080031&amp;isNoScr=script&amp;mode=search",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566</v>
      </c>
      <c r="R1588" s="3" t="inlineStr">
        <is>
          <t>지정되지않음</t>
        </is>
      </c>
      <c r="S1588" s="3" t="inlineStr">
        <is>
          <t>공업나지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쌍청리 117-16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65000</v>
      </c>
      <c r="G1589" s="4" t="n">
        <v>1701</v>
      </c>
      <c r="H1589" s="4" t="n">
        <v>515</v>
      </c>
      <c r="I1589" s="5" t="n">
        <v>126.2</v>
      </c>
      <c r="J1589" s="5" t="n">
        <v>59.3</v>
      </c>
      <c r="K1589" s="3" t="inlineStr">
        <is>
          <t>오송 생활권 도로접근 계획관리 개발검토 토지</t>
        </is>
      </c>
      <c r="L1589" s="6">
        <f>HYPERLINK("https://fin.land.naver.com/articles/2648110924", "매물Link")</f>
        <v/>
      </c>
      <c r="M1589" s="6">
        <f>HYPERLINK("https://map.naver.com/p/search/오송읍 쌍청리 117-16", "지도Link")</f>
        <v/>
      </c>
      <c r="N1589" s="6">
        <f>HYPERLINK("http://www.eum.go.kr/web/ar/lu/luLandDet.jsp?pnu=4311325024101170016&amp;isNoScr=script&amp;mode=search", "토지이음")</f>
        <v/>
      </c>
      <c r="O1589" s="3" t="inlineStr">
        <is>
          <t>세종소담황금</t>
        </is>
      </c>
      <c r="P1589" s="4" t="n">
        <v>1</v>
      </c>
      <c r="Q1589" s="4" t="n">
        <v>1701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쌍청리 117-16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1701</v>
      </c>
      <c r="H1590" s="4" t="n">
        <v>515</v>
      </c>
      <c r="I1590" s="5" t="n">
        <v>194.2</v>
      </c>
      <c r="J1590" s="5" t="n">
        <v>59.3</v>
      </c>
      <c r="K1590" s="3" t="inlineStr">
        <is>
          <t>오송신도시의 계획관리지역으로 투자가치가 좋음</t>
        </is>
      </c>
      <c r="L1590" s="6">
        <f>HYPERLINK("https://fin.land.naver.com/articles/2647916765", "매물Link")</f>
        <v/>
      </c>
      <c r="M1590" s="6">
        <f>HYPERLINK("https://map.naver.com/p/search/오송읍 쌍청리 117-16", "지도Link")</f>
        <v/>
      </c>
      <c r="N1590" s="6">
        <f>HYPERLINK("http://www.eum.go.kr/web/ar/lu/luLandDet.jsp?pnu=4311325024101170016&amp;isNoScr=script&amp;mode=search",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1701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완경사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쌍청리 124-3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23100</v>
      </c>
      <c r="G1591" s="4" t="n">
        <v>362</v>
      </c>
      <c r="H1591" s="4" t="n">
        <v>110</v>
      </c>
      <c r="I1591" s="5" t="n">
        <v>210</v>
      </c>
      <c r="J1591" s="5" t="n">
        <v>69</v>
      </c>
      <c r="K1591" s="3" t="inlineStr">
        <is>
          <t>오송 제1 생명과학단지 내주변 토지 매매</t>
        </is>
      </c>
      <c r="L1591" s="6">
        <f>HYPERLINK("https://fin.land.naver.com/articles/2648085254", "매물Link")</f>
        <v/>
      </c>
      <c r="M1591" s="6">
        <f>HYPERLINK("https://map.naver.com/p/search/오송읍 쌍청리 124-3", "지도Link")</f>
        <v/>
      </c>
      <c r="N1591" s="6">
        <f>HYPERLINK("http://www.eum.go.kr/web/ar/lu/luLandDet.jsp?pnu=4311325024101240003&amp;isNoScr=script&amp;mode=search", "토지이음")</f>
        <v/>
      </c>
      <c r="O1591" s="3" t="inlineStr">
        <is>
          <t>365</t>
        </is>
      </c>
      <c r="P1591" s="4" t="n">
        <v>1</v>
      </c>
      <c r="Q1591" s="4" t="n">
        <v>362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165-3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53000</v>
      </c>
      <c r="G1592" s="4" t="n">
        <v>751</v>
      </c>
      <c r="H1592" s="4" t="n">
        <v>227</v>
      </c>
      <c r="I1592" s="5" t="n">
        <v>233.5</v>
      </c>
      <c r="J1592" s="5" t="n">
        <v>48.6</v>
      </c>
      <c r="K1592" s="3" t="inlineStr">
        <is>
          <t>매매. 임대. 2가지 선택지 임대 임차인 원하면 근린생활시설 신축</t>
        </is>
      </c>
      <c r="L1592" s="6">
        <f>HYPERLINK("https://fin.land.naver.com/articles/2651280466", "매물Link")</f>
        <v/>
      </c>
      <c r="M1592" s="6">
        <f>HYPERLINK("https://map.naver.com/p/search/오송읍 쌍청리 165-3", "지도Link")</f>
        <v/>
      </c>
      <c r="N1592" s="6">
        <f>HYPERLINK("http://www.eum.go.kr/web/ar/lu/luLandDet.jsp?pnu=4311325024101650003&amp;isNoScr=script&amp;mode=search", "토지이음")</f>
        <v/>
      </c>
      <c r="O1592" s="3" t="inlineStr">
        <is>
          <t>오송퍼스트영웅</t>
        </is>
      </c>
      <c r="P1592" s="4" t="n">
        <v>1</v>
      </c>
      <c r="Q1592" s="4" t="n">
        <v>751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오송읍 쌍청리 29-1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53500</v>
      </c>
      <c r="G1593" s="4" t="n">
        <v>2266</v>
      </c>
      <c r="H1593" s="4" t="n">
        <v>685</v>
      </c>
      <c r="I1593" s="5" t="n">
        <v>78.09999999999999</v>
      </c>
      <c r="J1593" s="5" t="n">
        <v>31.9</v>
      </c>
      <c r="K1593" s="3" t="inlineStr">
        <is>
          <t>대한제지 인근 오송역 근거리 농림지역 토지 급매  도로접함  대토에 적합</t>
        </is>
      </c>
      <c r="L1593" s="6">
        <f>HYPERLINK("https://fin.land.naver.com/articles/2648940181", "매물Link")</f>
        <v/>
      </c>
      <c r="M1593" s="6">
        <f>HYPERLINK("https://map.naver.com/p/search/오송읍 쌍청리 29-1", "지도Link")</f>
        <v/>
      </c>
      <c r="N1593" s="6">
        <f>HYPERLINK("http://www.eum.go.kr/web/ar/lu/luLandDet.jsp?pnu=4311325024100290001&amp;isNoScr=script&amp;mode=search", "토지이음")</f>
        <v/>
      </c>
      <c r="O1593" s="3" t="inlineStr">
        <is>
          <t>오송퍼스트영웅</t>
        </is>
      </c>
      <c r="P1593" s="4" t="n">
        <v>1</v>
      </c>
      <c r="Q1593" s="4" t="n">
        <v>2266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오송읍 쌍청리 429-4</t>
        </is>
      </c>
      <c r="B1594" s="3" t="inlineStr">
        <is>
          <t>농림지역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73800</v>
      </c>
      <c r="G1594" s="4" t="n">
        <v>2440</v>
      </c>
      <c r="H1594" s="4" t="n">
        <v>738</v>
      </c>
      <c r="I1594" s="5" t="n">
        <v>100</v>
      </c>
      <c r="J1594" s="5" t="n">
        <v>35.7</v>
      </c>
      <c r="K1594" s="3" t="inlineStr">
        <is>
          <t>꿀배 꿀사과 전용 과수원 정사각으로 예쁜땅 오송의 최적의 투자 요충지</t>
        </is>
      </c>
      <c r="L1594" s="6">
        <f>HYPERLINK("https://fin.land.naver.com/articles/2651743273", "매물Link")</f>
        <v/>
      </c>
      <c r="M1594" s="6">
        <f>HYPERLINK("https://map.naver.com/p/search/오송읍 쌍청리 429-4", "지도Link")</f>
        <v/>
      </c>
      <c r="N1594" s="6">
        <f>HYPERLINK("http://www.eum.go.kr/web/ar/lu/luLandDet.jsp?pnu=4311325024104290004&amp;isNoScr=script&amp;mode=search", "토지이음")</f>
        <v/>
      </c>
      <c r="O1594" s="3" t="inlineStr">
        <is>
          <t>대한</t>
        </is>
      </c>
      <c r="P1594" s="4" t="n">
        <v>1</v>
      </c>
      <c r="Q1594" s="4" t="n">
        <v>2440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451-2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80000</v>
      </c>
      <c r="G1595" s="4" t="n">
        <v>3273</v>
      </c>
      <c r="H1595" s="4" t="n">
        <v>990</v>
      </c>
      <c r="I1595" s="5" t="n">
        <v>80.8</v>
      </c>
      <c r="J1595" s="5" t="n">
        <v>35.7</v>
      </c>
      <c r="K1595" s="3" t="inlineStr">
        <is>
          <t>투자가치있는 곳에 위치한 토지</t>
        </is>
      </c>
      <c r="L1595" s="6">
        <f>HYPERLINK("https://fin.land.naver.com/articles/2650865239", "매물Link")</f>
        <v/>
      </c>
      <c r="M1595" s="6">
        <f>HYPERLINK("https://map.naver.com/p/search/오송읍 쌍청리 451-2", "지도Link")</f>
        <v/>
      </c>
      <c r="N1595" s="6">
        <f>HYPERLINK("http://www.eum.go.kr/web/ar/lu/luLandDet.jsp?pnu=4311325024104510002&amp;isNoScr=script&amp;mode=search", "토지이음")</f>
        <v/>
      </c>
      <c r="O1595" s="3" t="inlineStr">
        <is>
          <t>굿모닝</t>
        </is>
      </c>
      <c r="P1595" s="4" t="n">
        <v>1</v>
      </c>
      <c r="Q1595" s="4" t="n">
        <v>3273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오송읍 쌍청리 454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121200</v>
      </c>
      <c r="G1596" s="4" t="n">
        <v>4000</v>
      </c>
      <c r="H1596" s="4" t="n">
        <v>1210</v>
      </c>
      <c r="I1596" s="5" t="n">
        <v>100.2</v>
      </c>
      <c r="J1596" s="5" t="n">
        <v>35.7</v>
      </c>
      <c r="K1596" s="3" t="inlineStr">
        <is>
          <t>오송읍 쌍청리에 있는 토지로 현재 답으로 이용중임</t>
        </is>
      </c>
      <c r="L1596" s="6">
        <f>HYPERLINK("https://fin.land.naver.com/articles/2652419853", "매물Link")</f>
        <v/>
      </c>
      <c r="M1596" s="6">
        <f>HYPERLINK("https://map.naver.com/p/search/오송읍 쌍청리 454", "지도Link")</f>
        <v/>
      </c>
      <c r="N1596" s="6">
        <f>HYPERLINK("http://www.eum.go.kr/web/ar/lu/luLandDet.jsp?pnu=4311325024104540000&amp;isNoScr=script&amp;mode=search", "토지이음")</f>
        <v/>
      </c>
      <c r="O1596" s="3" t="inlineStr">
        <is>
          <t>산성</t>
        </is>
      </c>
      <c r="P1596" s="4" t="n">
        <v>1</v>
      </c>
      <c r="Q1596" s="4" t="n">
        <v>4000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오송읍 쌍청리 463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105000</v>
      </c>
      <c r="G1597" s="4" t="n">
        <v>4182</v>
      </c>
      <c r="H1597" s="4" t="n">
        <v>1265</v>
      </c>
      <c r="I1597" s="5" t="n">
        <v>83</v>
      </c>
      <c r="J1597" s="5" t="n">
        <v>35.7</v>
      </c>
      <c r="K1597" s="3" t="inlineStr">
        <is>
          <t>nan</t>
        </is>
      </c>
      <c r="L1597" s="6">
        <f>HYPERLINK("https://fin.land.naver.com/articles/2648912962", "매물Link")</f>
        <v/>
      </c>
      <c r="M1597" s="6">
        <f>HYPERLINK("https://map.naver.com/p/search/오송읍 쌍청리 463", "지도Link")</f>
        <v/>
      </c>
      <c r="N1597" s="6">
        <f>HYPERLINK("http://www.eum.go.kr/web/ar/lu/luLandDet.jsp?pnu=4311325024104630000&amp;isNoScr=script&amp;mode=search", "토지이음")</f>
        <v/>
      </c>
      <c r="O1597" s="3" t="inlineStr">
        <is>
          <t>오송퍼스트영웅</t>
        </is>
      </c>
      <c r="P1597" s="4" t="n">
        <v>1</v>
      </c>
      <c r="Q1597" s="4" t="n">
        <v>4182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오송읍 쌍청리 498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172000</v>
      </c>
      <c r="G1598" s="4" t="n">
        <v>2188</v>
      </c>
      <c r="H1598" s="4" t="n">
        <v>662</v>
      </c>
      <c r="I1598" s="5" t="n">
        <v>259.8</v>
      </c>
      <c r="J1598" s="5" t="n">
        <v>67.5</v>
      </c>
      <c r="K1598" s="3" t="inlineStr">
        <is>
          <t>계획관리 성장관리 계획 구역 오송역 인근 오스크 컨벤션 오픈 중</t>
        </is>
      </c>
      <c r="L1598" s="6">
        <f>HYPERLINK("https://fin.land.naver.com/articles/2651280120", "매물Link")</f>
        <v/>
      </c>
      <c r="M1598" s="6">
        <f>HYPERLINK("https://map.naver.com/p/search/오송읍 쌍청리 498", "지도Link")</f>
        <v/>
      </c>
      <c r="N1598" s="6">
        <f>HYPERLINK("http://www.eum.go.kr/web/ar/lu/luLandDet.jsp?pnu=4311325024104980000&amp;isNoScr=script&amp;mode=search", "토지이음")</f>
        <v/>
      </c>
      <c r="O1598" s="3" t="inlineStr">
        <is>
          <t>오송퍼스트영웅</t>
        </is>
      </c>
      <c r="P1598" s="4" t="n">
        <v>1</v>
      </c>
      <c r="Q1598" s="4" t="n">
        <v>2099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세로한면(불)</t>
        </is>
      </c>
    </row>
    <row r="1599">
      <c r="A1599" s="3" t="inlineStr">
        <is>
          <t>오송읍 쌍청리 539-2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30000</v>
      </c>
      <c r="G1599" s="4" t="n">
        <v>4122</v>
      </c>
      <c r="H1599" s="4" t="n">
        <v>1247</v>
      </c>
      <c r="I1599" s="5" t="n">
        <v>24.1</v>
      </c>
      <c r="J1599" s="5" t="n">
        <v>18</v>
      </c>
      <c r="K1599" s="3" t="inlineStr">
        <is>
          <t>오송읍 쌍청리 농지 급매 농지원부 대토 투자 장기보유등 추천</t>
        </is>
      </c>
      <c r="L1599" s="6">
        <f>HYPERLINK("https://fin.land.naver.com/articles/2651258350", "매물Link")</f>
        <v/>
      </c>
      <c r="M1599" s="6">
        <f>HYPERLINK("https://map.naver.com/p/search/오송읍 쌍청리 539-2", "지도Link")</f>
        <v/>
      </c>
      <c r="N1599" s="6">
        <f>HYPERLINK("http://www.eum.go.kr/web/ar/lu/luLandDet.jsp?pnu=4311325024105390002&amp;isNoScr=script&amp;mode=search", "토지이음")</f>
        <v/>
      </c>
      <c r="O1599" s="3" t="inlineStr">
        <is>
          <t>그린</t>
        </is>
      </c>
      <c r="P1599" s="4" t="n">
        <v>1</v>
      </c>
      <c r="Q1599" s="4" t="n">
        <v>2208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맹지</t>
        </is>
      </c>
    </row>
    <row r="1600">
      <c r="A1600" s="3" t="inlineStr">
        <is>
          <t>오송읍 쌍청리 8-1</t>
        </is>
      </c>
      <c r="B1600" s="3" t="inlineStr">
        <is>
          <t>생산관리지역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61000</v>
      </c>
      <c r="G1600" s="4" t="n">
        <v>1613</v>
      </c>
      <c r="H1600" s="4" t="n">
        <v>488</v>
      </c>
      <c r="I1600" s="5" t="n">
        <v>125</v>
      </c>
      <c r="J1600" s="5" t="n">
        <v>46.5</v>
      </c>
      <c r="K1600" s="3" t="inlineStr">
        <is>
          <t>2차선 도로접  분할매매 가능</t>
        </is>
      </c>
      <c r="L1600" s="6">
        <f>HYPERLINK("https://fin.land.naver.com/articles/2650758461", "매물Link")</f>
        <v/>
      </c>
      <c r="M1600" s="6">
        <f>HYPERLINK("https://map.naver.com/p/search/오송읍 쌍청리 8-1", "지도Link")</f>
        <v/>
      </c>
      <c r="N1600" s="6">
        <f>HYPERLINK("http://www.eum.go.kr/web/ar/lu/luLandDet.jsp?pnu=4311325024100080001&amp;isNoScr=script&amp;mode=search", "토지이음")</f>
        <v/>
      </c>
      <c r="O1600" s="3" t="inlineStr">
        <is>
          <t>김창수</t>
        </is>
      </c>
      <c r="P1600" s="4" t="n">
        <v>1</v>
      </c>
      <c r="Q1600" s="4" t="n">
        <v>1613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오송읍 연제리 527-1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88000</v>
      </c>
      <c r="G1601" s="4" t="n">
        <v>1825</v>
      </c>
      <c r="H1601" s="4" t="n">
        <v>552</v>
      </c>
      <c r="I1601" s="5" t="n">
        <v>159.4</v>
      </c>
      <c r="J1601" s="5" t="n">
        <v>59.4</v>
      </c>
      <c r="K1601" s="3" t="inlineStr">
        <is>
          <t>지금 잡아야 할 핵심 입지 매물</t>
        </is>
      </c>
      <c r="L1601" s="6">
        <f>HYPERLINK("https://fin.land.naver.com/articles/2651283863", "매물Link")</f>
        <v/>
      </c>
      <c r="M1601" s="6">
        <f>HYPERLINK("https://map.naver.com/p/search/오송읍 연제리 527-1", "지도Link")</f>
        <v/>
      </c>
      <c r="N1601" s="6">
        <f>HYPERLINK("http://www.eum.go.kr/web/ar/lu/luLandDet.jsp?pnu=4311325026105270001&amp;isNoScr=script&amp;mode=search", "토지이음")</f>
        <v/>
      </c>
      <c r="O1601" s="3" t="inlineStr">
        <is>
          <t>오송퍼스트영웅</t>
        </is>
      </c>
      <c r="P1601" s="4" t="n">
        <v>2</v>
      </c>
      <c r="Q1601" s="4" t="n">
        <v>1825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연제리 539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493</v>
      </c>
      <c r="H1602" s="4" t="n">
        <v>149</v>
      </c>
      <c r="I1602" s="5" t="n">
        <v>369.1</v>
      </c>
      <c r="J1602" s="5" t="n">
        <v>115.7</v>
      </c>
      <c r="K1602" s="3" t="inlineStr">
        <is>
          <t>오송 호수공원 근접, 활용도 높은 토지 매매</t>
        </is>
      </c>
      <c r="L1602" s="6">
        <f>HYPERLINK("https://fin.land.naver.com/articles/2650595801", "매물Link")</f>
        <v/>
      </c>
      <c r="M1602" s="6">
        <f>HYPERLINK("https://map.naver.com/p/search/오송읍 연제리 539", "지도Link")</f>
        <v/>
      </c>
      <c r="N1602" s="6">
        <f>HYPERLINK("http://www.eum.go.kr/web/ar/lu/luLandDet.jsp?pnu=4311325026105390000&amp;isNoScr=script&amp;mode=search", "토지이음")</f>
        <v/>
      </c>
      <c r="O1602" s="3" t="inlineStr">
        <is>
          <t>광장</t>
        </is>
      </c>
      <c r="P1602" s="4" t="n">
        <v>1</v>
      </c>
      <c r="Q1602" s="4" t="n">
        <v>493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오송읍 연제리 540-20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300000</v>
      </c>
      <c r="G1603" s="4" t="n">
        <v>1608</v>
      </c>
      <c r="H1603" s="4" t="n">
        <v>486</v>
      </c>
      <c r="I1603" s="5" t="n">
        <v>617.3</v>
      </c>
      <c r="J1603" s="5" t="n">
        <v>189.7</v>
      </c>
      <c r="K1603" s="3" t="inlineStr">
        <is>
          <t>오송 내 최고의 위치 호수공원 품은 토지로서 미래가치 높은 토지</t>
        </is>
      </c>
      <c r="L1603" s="6">
        <f>HYPERLINK("https://fin.land.naver.com/articles/2651576082", "매물Link")</f>
        <v/>
      </c>
      <c r="M1603" s="6">
        <f>HYPERLINK("https://map.naver.com/p/search/오송읍 연제리 540-20", "지도Link")</f>
        <v/>
      </c>
      <c r="N1603" s="6">
        <f>HYPERLINK("http://www.eum.go.kr/web/ar/lu/luLandDet.jsp?pnu=4311325026105400020&amp;isNoScr=script&amp;mode=search", "토지이음")</f>
        <v/>
      </c>
      <c r="O1603" s="3" t="inlineStr">
        <is>
          <t>여기로</t>
        </is>
      </c>
      <c r="P1603" s="4" t="n">
        <v>1</v>
      </c>
      <c r="Q1603" s="4" t="n">
        <v>1332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연제리 540-37</t>
        </is>
      </c>
      <c r="B1604" s="3" t="inlineStr">
        <is>
          <t>계획관리지역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70000</v>
      </c>
      <c r="G1604" s="4" t="n">
        <v>500</v>
      </c>
      <c r="H1604" s="4" t="n">
        <v>151</v>
      </c>
      <c r="I1604" s="5" t="n">
        <v>463.6</v>
      </c>
      <c r="J1604" s="5" t="n">
        <v>161.4</v>
      </c>
      <c r="K1604" s="3" t="inlineStr">
        <is>
          <t>호수공원 인접, 다용도 건축 가능,가격협의 가능</t>
        </is>
      </c>
      <c r="L1604" s="6">
        <f>HYPERLINK("https://fin.land.naver.com/articles/2651622199", "매물Link")</f>
        <v/>
      </c>
      <c r="M1604" s="6">
        <f>HYPERLINK("https://map.naver.com/p/search/오송읍 연제리 540-37", "지도Link")</f>
        <v/>
      </c>
      <c r="N1604" s="6">
        <f>HYPERLINK("http://www.eum.go.kr/web/ar/lu/luLandDet.jsp?pnu=4311325026105400037&amp;isNoScr=script&amp;mode=search", "토지이음")</f>
        <v/>
      </c>
      <c r="O1604" s="3" t="inlineStr">
        <is>
          <t>테크노힐데스한빛사무소</t>
        </is>
      </c>
      <c r="P1604" s="4" t="n">
        <v>1</v>
      </c>
      <c r="Q1604" s="4" t="n">
        <v>500</v>
      </c>
      <c r="R1604" s="3" t="inlineStr">
        <is>
          <t>지정되지않음</t>
        </is>
      </c>
      <c r="S1604" s="3" t="inlineStr">
        <is>
          <t>주상나지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오송읍 연제리 664-2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2000000</v>
      </c>
      <c r="G1605" s="4" t="n">
        <v>9917</v>
      </c>
      <c r="H1605" s="4" t="n">
        <v>3000</v>
      </c>
      <c r="I1605" s="5" t="n">
        <v>666.7</v>
      </c>
      <c r="J1605" s="5" t="n">
        <v>199.2</v>
      </c>
      <c r="K1605" s="3" t="inlineStr">
        <is>
          <t>현재 가치는 물론 오송 개발과 산업 인프라 확장에 따른 미래가치까지 기대</t>
        </is>
      </c>
      <c r="L1605" s="6">
        <f>HYPERLINK("https://fin.land.naver.com/articles/2650115117", "매물Link")</f>
        <v/>
      </c>
      <c r="M1605" s="6">
        <f>HYPERLINK("https://map.naver.com/p/search/오송읍 연제리 664-2", "지도Link")</f>
        <v/>
      </c>
      <c r="N1605" s="6">
        <f>HYPERLINK("http://www.eum.go.kr/web/ar/lu/luLandDet.jsp?pnu=4311325026106640002&amp;isNoScr=script&amp;mode=search", "토지이음")</f>
        <v/>
      </c>
      <c r="O1605" s="3" t="inlineStr">
        <is>
          <t>대한</t>
        </is>
      </c>
      <c r="P1605" s="4" t="n">
        <v>1</v>
      </c>
      <c r="Q1605" s="4" t="n">
        <v>4958.7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오송읍 연제리 668</t>
        </is>
      </c>
      <c r="B1606" s="3" t="inlineStr">
        <is>
          <t>일반상업지역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820000</v>
      </c>
      <c r="G1606" s="4" t="n">
        <v>1593</v>
      </c>
      <c r="H1606" s="4" t="n">
        <v>482</v>
      </c>
      <c r="I1606" s="5" t="n">
        <v>1701.2</v>
      </c>
      <c r="J1606" s="5" t="n">
        <v>619.8</v>
      </c>
      <c r="K1606" s="3" t="inlineStr">
        <is>
          <t>nan</t>
        </is>
      </c>
      <c r="L1606" s="6">
        <f>HYPERLINK("https://fin.land.naver.com/articles/2651794517", "매물Link")</f>
        <v/>
      </c>
      <c r="M1606" s="6">
        <f>HYPERLINK("https://map.naver.com/p/search/오송읍 연제리 668", "지도Link")</f>
        <v/>
      </c>
      <c r="N1606" s="6">
        <f>HYPERLINK("http://www.eum.go.kr/web/ar/lu/luLandDet.jsp?pnu=4311325026106680000&amp;isNoScr=script&amp;mode=search", "토지이음")</f>
        <v/>
      </c>
      <c r="O1606" s="3" t="inlineStr">
        <is>
          <t>바른</t>
        </is>
      </c>
      <c r="P1606" s="4" t="n">
        <v>1</v>
      </c>
      <c r="Q1606" s="4" t="n">
        <v>803.1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연제리 668</t>
        </is>
      </c>
      <c r="B1607" s="3" t="inlineStr">
        <is>
          <t>일반상업지역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820000</v>
      </c>
      <c r="G1607" s="4" t="n">
        <v>1593</v>
      </c>
      <c r="H1607" s="4" t="n">
        <v>482</v>
      </c>
      <c r="I1607" s="5" t="n">
        <v>1701.2</v>
      </c>
      <c r="J1607" s="5" t="n">
        <v>619.8</v>
      </c>
      <c r="K1607" s="3" t="inlineStr">
        <is>
          <t>외1필지 호텔이나 오피스텔로 투자 적합</t>
        </is>
      </c>
      <c r="L1607" s="6">
        <f>HYPERLINK("https://fin.land.naver.com/articles/2650139636", "매물Link")</f>
        <v/>
      </c>
      <c r="M1607" s="6">
        <f>HYPERLINK("https://map.naver.com/p/search/오송읍 연제리 668", "지도Link")</f>
        <v/>
      </c>
      <c r="N1607" s="6">
        <f>HYPERLINK("http://www.eum.go.kr/web/ar/lu/luLandDet.jsp?pnu=4311325026106680000&amp;isNoScr=script&amp;mode=search", "토지이음")</f>
        <v/>
      </c>
      <c r="O1607" s="3" t="inlineStr">
        <is>
          <t>옥산하늘채 주식회사</t>
        </is>
      </c>
      <c r="P1607" s="4" t="n">
        <v>1</v>
      </c>
      <c r="Q1607" s="4" t="n">
        <v>803.1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가로장방</t>
        </is>
      </c>
      <c r="V1607" s="3" t="inlineStr">
        <is>
          <t>광대소각</t>
        </is>
      </c>
    </row>
    <row r="1608">
      <c r="A1608" s="3" t="inlineStr">
        <is>
          <t>오송읍 연제리 692</t>
        </is>
      </c>
      <c r="B1608" s="3" t="inlineStr">
        <is>
          <t>일반상업지역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135000</v>
      </c>
      <c r="G1608" s="4" t="n">
        <v>593</v>
      </c>
      <c r="H1608" s="4" t="n">
        <v>179</v>
      </c>
      <c r="I1608" s="5" t="n">
        <v>754.2</v>
      </c>
      <c r="J1608" s="5" t="n">
        <v>301.3</v>
      </c>
      <c r="K1608" s="3" t="inlineStr">
        <is>
          <t>nan</t>
        </is>
      </c>
      <c r="L1608" s="6">
        <f>HYPERLINK("https://fin.land.naver.com/articles/2648135693", "매물Link")</f>
        <v/>
      </c>
      <c r="M1608" s="6">
        <f>HYPERLINK("https://map.naver.com/p/search/오송읍 연제리 692", "지도Link")</f>
        <v/>
      </c>
      <c r="N1608" s="6">
        <f>HYPERLINK("http://www.eum.go.kr/web/ar/lu/luLandDet.jsp?pnu=4311325026106920000&amp;isNoScr=script&amp;mode=search", "토지이음")</f>
        <v/>
      </c>
      <c r="O1608" s="3" t="inlineStr">
        <is>
          <t>오송퍼스트영웅</t>
        </is>
      </c>
      <c r="P1608" s="4" t="n">
        <v>1</v>
      </c>
      <c r="Q1608" s="4" t="n">
        <v>593.3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광대소각</t>
        </is>
      </c>
    </row>
    <row r="1609">
      <c r="A1609" s="3" t="inlineStr">
        <is>
          <t>오송읍 연제리 703</t>
        </is>
      </c>
      <c r="B1609" s="3" t="inlineStr">
        <is>
          <t>일반상업지역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270000</v>
      </c>
      <c r="G1609" s="4" t="n">
        <v>690</v>
      </c>
      <c r="H1609" s="4" t="n">
        <v>209</v>
      </c>
      <c r="I1609" s="5" t="n">
        <v>1291.9</v>
      </c>
      <c r="J1609" s="5" t="n">
        <v>809.3</v>
      </c>
      <c r="K1609" s="3" t="inlineStr">
        <is>
          <t>일반 상업지역, 상업 나지</t>
        </is>
      </c>
      <c r="L1609" s="6">
        <f>HYPERLINK("https://fin.land.naver.com/articles/2647673845", "매물Link")</f>
        <v/>
      </c>
      <c r="M1609" s="6">
        <f>HYPERLINK("https://map.naver.com/p/search/오송읍 연제리 703", "지도Link")</f>
        <v/>
      </c>
      <c r="N1609" s="6">
        <f>HYPERLINK("http://www.eum.go.kr/web/ar/lu/luLandDet.jsp?pnu=4311325026107030000&amp;isNoScr=script&amp;mode=search", "토지이음")</f>
        <v/>
      </c>
      <c r="O1609" s="3" t="inlineStr">
        <is>
          <t>딜  중개</t>
        </is>
      </c>
      <c r="P1609" s="4" t="n">
        <v>1</v>
      </c>
      <c r="Q1609" s="4" t="n">
        <v>690.3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광대소각</t>
        </is>
      </c>
    </row>
    <row r="1610">
      <c r="A1610" s="3" t="inlineStr">
        <is>
          <t>오송읍 연제리 산24-15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140000</v>
      </c>
      <c r="G1610" s="4" t="n">
        <v>1076</v>
      </c>
      <c r="H1610" s="4" t="n">
        <v>325</v>
      </c>
      <c r="I1610" s="5" t="n">
        <v>430.8</v>
      </c>
      <c r="J1610" s="5" t="n">
        <v>16.8</v>
      </c>
      <c r="K1610" s="3" t="inlineStr">
        <is>
          <t>호수공원뷰,미래상승가치높은</t>
        </is>
      </c>
      <c r="L1610" s="6">
        <f>HYPERLINK("https://fin.land.naver.com/articles/2651124726", "매물Link")</f>
        <v/>
      </c>
      <c r="M1610" s="6">
        <f>HYPERLINK("https://map.naver.com/p/search/오송읍 연제리 산24-15", "지도Link")</f>
        <v/>
      </c>
      <c r="N1610" s="6">
        <f>HYPERLINK("http://www.eum.go.kr/web/ar/lu/luLandDet.jsp?pnu=4311325026200240015&amp;isNoScr=script&amp;mode=search", "토지이음")</f>
        <v/>
      </c>
      <c r="O1610" s="3" t="inlineStr">
        <is>
          <t>노블</t>
        </is>
      </c>
      <c r="P1610" s="4" t="n">
        <v>1</v>
      </c>
      <c r="Q1610" s="4" t="n">
        <v>1076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세로한면(불)</t>
        </is>
      </c>
    </row>
    <row r="1611">
      <c r="A1611" s="3" t="inlineStr">
        <is>
          <t>오송읍 오송리 146-29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85000</v>
      </c>
      <c r="G1611" s="4" t="n">
        <v>372</v>
      </c>
      <c r="H1611" s="4" t="n">
        <v>113</v>
      </c>
      <c r="I1611" s="5" t="n">
        <v>752.2</v>
      </c>
      <c r="J1611" s="5" t="n">
        <v>166.3</v>
      </c>
      <c r="K1611" s="3" t="inlineStr">
        <is>
          <t>흥덕구 오송읍 오송역 부근에 위치한 대지로 향후 지가 상승 예상됨</t>
        </is>
      </c>
      <c r="L1611" s="6">
        <f>HYPERLINK("https://fin.land.naver.com/articles/2652419828", "매물Link")</f>
        <v/>
      </c>
      <c r="M1611" s="6">
        <f>HYPERLINK("https://map.naver.com/p/search/오송읍 오송리 146-29", "지도Link")</f>
        <v/>
      </c>
      <c r="N1611" s="6">
        <f>HYPERLINK("http://www.eum.go.kr/web/ar/lu/luLandDet.jsp?pnu=4311325028101460029&amp;isNoScr=script&amp;mode=search", "토지이음")</f>
        <v/>
      </c>
      <c r="O1611" s="3" t="inlineStr">
        <is>
          <t>산성</t>
        </is>
      </c>
      <c r="P1611" s="4" t="n">
        <v>1</v>
      </c>
      <c r="Q1611" s="4" t="n">
        <v>372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오송읍 오송리 206-3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96000</v>
      </c>
      <c r="G1612" s="4" t="n">
        <v>635</v>
      </c>
      <c r="H1612" s="4" t="n">
        <v>192</v>
      </c>
      <c r="I1612" s="5" t="n">
        <v>500</v>
      </c>
      <c r="J1612" s="5" t="n">
        <v>159.6</v>
      </c>
      <c r="K1612" s="3" t="inlineStr">
        <is>
          <t>힐스테이트 오송역퍼스트 앞 토지 매매</t>
        </is>
      </c>
      <c r="L1612" s="6">
        <f>HYPERLINK("https://fin.land.naver.com/articles/2648085186", "매물Link")</f>
        <v/>
      </c>
      <c r="M1612" s="6">
        <f>HYPERLINK("https://map.naver.com/p/search/오송읍 오송리 206-3", "지도Link")</f>
        <v/>
      </c>
      <c r="N1612" s="6">
        <f>HYPERLINK("http://www.eum.go.kr/web/ar/lu/luLandDet.jsp?pnu=4311325028102060003&amp;isNoScr=script&amp;mode=search", "토지이음")</f>
        <v/>
      </c>
      <c r="O1612" s="3" t="inlineStr">
        <is>
          <t>365</t>
        </is>
      </c>
      <c r="P1612" s="4" t="n">
        <v>1</v>
      </c>
      <c r="Q1612" s="4" t="n">
        <v>295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오송읍 오송리 224-2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81500</v>
      </c>
      <c r="G1613" s="4" t="n">
        <v>538</v>
      </c>
      <c r="H1613" s="4" t="n">
        <v>163</v>
      </c>
      <c r="I1613" s="5" t="n">
        <v>500</v>
      </c>
      <c r="J1613" s="5" t="n">
        <v>136.5</v>
      </c>
      <c r="K1613" s="3" t="inlineStr">
        <is>
          <t>3산단초입 투자물건 2필지</t>
        </is>
      </c>
      <c r="L1613" s="6">
        <f>HYPERLINK("https://fin.land.naver.com/articles/2649702680", "매물Link")</f>
        <v/>
      </c>
      <c r="M1613" s="6">
        <f>HYPERLINK("https://map.naver.com/p/search/오송읍 오송리 224-2", "지도Link")</f>
        <v/>
      </c>
      <c r="N1613" s="6">
        <f>HYPERLINK("http://www.eum.go.kr/web/ar/lu/luLandDet.jsp?pnu=4311325028102240002&amp;isNoScr=script&amp;mode=search", "토지이음")</f>
        <v/>
      </c>
      <c r="O1613" s="3" t="inlineStr">
        <is>
          <t>금송</t>
        </is>
      </c>
      <c r="P1613" s="4" t="n">
        <v>1</v>
      </c>
      <c r="Q1613" s="4" t="n">
        <v>182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오송리 242-2</t>
        </is>
      </c>
      <c r="B1614" s="3" t="inlineStr">
        <is>
          <t>계획관리지역</t>
        </is>
      </c>
      <c r="C1614" s="3" t="inlineStr">
        <is>
          <t>주유소용지</t>
        </is>
      </c>
      <c r="D1614" s="3" t="inlineStr">
        <is>
          <t>주유소용지</t>
        </is>
      </c>
      <c r="E1614" s="3" t="inlineStr">
        <is>
          <t>매매</t>
        </is>
      </c>
      <c r="F1614" s="4" t="n">
        <v>250000</v>
      </c>
      <c r="G1614" s="4" t="n">
        <v>809</v>
      </c>
      <c r="H1614" s="4" t="n">
        <v>245</v>
      </c>
      <c r="I1614" s="5" t="n">
        <v>1020.4</v>
      </c>
      <c r="J1614" s="5" t="n">
        <v>313.2</v>
      </c>
      <c r="K1614" s="3" t="inlineStr">
        <is>
          <t>배후시장 탄탄한 6차선 대로변 토지</t>
        </is>
      </c>
      <c r="L1614" s="6">
        <f>HYPERLINK("https://fin.land.naver.com/articles/2651523803", "매물Link")</f>
        <v/>
      </c>
      <c r="M1614" s="6">
        <f>HYPERLINK("https://map.naver.com/p/search/오송읍 오송리 242-2", "지도Link")</f>
        <v/>
      </c>
      <c r="N1614" s="6">
        <f>HYPERLINK("http://www.eum.go.kr/web/ar/lu/luLandDet.jsp?pnu=4311325028102420002&amp;isNoScr=script&amp;mode=search", "토지이음")</f>
        <v/>
      </c>
      <c r="O1614" s="3" t="inlineStr">
        <is>
          <t>한국토지중개</t>
        </is>
      </c>
      <c r="P1614" s="4" t="n">
        <v>1</v>
      </c>
      <c r="Q1614" s="4" t="n">
        <v>810</v>
      </c>
      <c r="R1614" s="3" t="inlineStr">
        <is>
          <t>지정되지않음</t>
        </is>
      </c>
      <c r="S1614" s="3" t="inlineStr">
        <is>
          <t>주상용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광대로한면</t>
        </is>
      </c>
    </row>
    <row r="1615">
      <c r="A1615" s="3" t="inlineStr">
        <is>
          <t>오송읍 오송리 242-21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32000</v>
      </c>
      <c r="G1615" s="4" t="n">
        <v>300</v>
      </c>
      <c r="H1615" s="4" t="n">
        <v>91</v>
      </c>
      <c r="I1615" s="5" t="n">
        <v>351.6</v>
      </c>
      <c r="J1615" s="5" t="n">
        <v>84.5</v>
      </c>
      <c r="K1615" s="3" t="inlineStr">
        <is>
          <t>3산단 예정지 배후, 임대수익형 다가구 자리
3산단 배후지, 임대수익형</t>
        </is>
      </c>
      <c r="L1615" s="6">
        <f>HYPERLINK("https://fin.land.naver.com/articles/2649702126", "매물Link")</f>
        <v/>
      </c>
      <c r="M1615" s="6">
        <f>HYPERLINK("https://map.naver.com/p/search/오송읍 오송리 242-21", "지도Link")</f>
        <v/>
      </c>
      <c r="N1615" s="6">
        <f>HYPERLINK("http://www.eum.go.kr/web/ar/lu/luLandDet.jsp?pnu=4311325028102420021&amp;isNoScr=script&amp;mode=search", "토지이음")</f>
        <v/>
      </c>
      <c r="O1615" s="3" t="inlineStr">
        <is>
          <t>금송</t>
        </is>
      </c>
      <c r="P1615" s="4" t="n">
        <v>1</v>
      </c>
      <c r="Q1615" s="4" t="n">
        <v>165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오송리 245-4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120000</v>
      </c>
      <c r="G1616" s="4" t="n">
        <v>976</v>
      </c>
      <c r="H1616" s="4" t="n">
        <v>295</v>
      </c>
      <c r="I1616" s="5" t="n">
        <v>406.8</v>
      </c>
      <c r="J1616" s="5" t="n">
        <v>103.7</v>
      </c>
      <c r="K1616" s="3" t="inlineStr">
        <is>
          <t>오송3리 오송천주교회와 3산산단 경계부의 사업용 토지</t>
        </is>
      </c>
      <c r="L1616" s="6">
        <f>HYPERLINK("https://fin.land.naver.com/articles/2649169945", "매물Link")</f>
        <v/>
      </c>
      <c r="M1616" s="6">
        <f>HYPERLINK("https://map.naver.com/p/search/오송읍 오송리 245-4", "지도Link")</f>
        <v/>
      </c>
      <c r="N1616" s="6">
        <f>HYPERLINK("http://www.eum.go.kr/web/ar/lu/luLandDet.jsp?pnu=4311325028102450004&amp;isNoScr=script&amp;mode=search", "토지이음")</f>
        <v/>
      </c>
      <c r="O1616" s="3" t="inlineStr">
        <is>
          <t>오송k랜드</t>
        </is>
      </c>
      <c r="P1616" s="4" t="n">
        <v>1</v>
      </c>
      <c r="Q1616" s="4" t="n">
        <v>700</v>
      </c>
      <c r="R1616" s="3" t="inlineStr">
        <is>
          <t>지정되지않음</t>
        </is>
      </c>
      <c r="S1616" s="3" t="inlineStr">
        <is>
          <t>답기타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오송리 246-52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150000</v>
      </c>
      <c r="G1617" s="4" t="n">
        <v>911</v>
      </c>
      <c r="H1617" s="4" t="n">
        <v>276</v>
      </c>
      <c r="I1617" s="5" t="n">
        <v>543.5</v>
      </c>
      <c r="J1617" s="5" t="n">
        <v>163.6</v>
      </c>
      <c r="K1617" s="3" t="inlineStr">
        <is>
          <t>현재 나대지 3산단개발 호재로 투자가치 최고의땅</t>
        </is>
      </c>
      <c r="L1617" s="6">
        <f>HYPERLINK("https://fin.land.naver.com/articles/2651378175", "매물Link")</f>
        <v/>
      </c>
      <c r="M1617" s="6">
        <f>HYPERLINK("https://map.naver.com/p/search/오송읍 오송리 246-52", "지도Link")</f>
        <v/>
      </c>
      <c r="N1617" s="6">
        <f>HYPERLINK("http://www.eum.go.kr/web/ar/lu/luLandDet.jsp?pnu=4311325028102460052&amp;isNoScr=script&amp;mode=search", "토지이음")</f>
        <v/>
      </c>
      <c r="O1617" s="3" t="inlineStr">
        <is>
          <t>오송올래</t>
        </is>
      </c>
      <c r="P1617" s="4" t="n">
        <v>1</v>
      </c>
      <c r="Q1617" s="4" t="n">
        <v>667</v>
      </c>
      <c r="R1617" s="3" t="inlineStr">
        <is>
          <t>지정되지않음</t>
        </is>
      </c>
      <c r="S1617" s="3" t="inlineStr">
        <is>
          <t>공업용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246-53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330000</v>
      </c>
      <c r="G1618" s="4" t="n">
        <v>2011</v>
      </c>
      <c r="H1618" s="4" t="n">
        <v>608</v>
      </c>
      <c r="I1618" s="5" t="n">
        <v>542.8</v>
      </c>
      <c r="J1618" s="5" t="n">
        <v>110.3</v>
      </c>
      <c r="K1618" s="3" t="inlineStr">
        <is>
          <t>오송농협 36국도인접 계획관리지역,  실사업용 추천물건
오송제3산단 경</t>
        </is>
      </c>
      <c r="L1618" s="6">
        <f>HYPERLINK("https://fin.land.naver.com/articles/2648239506", "매물Link")</f>
        <v/>
      </c>
      <c r="M1618" s="6">
        <f>HYPERLINK("https://map.naver.com/p/search/오송읍 오송리 246-53", "지도Link")</f>
        <v/>
      </c>
      <c r="N1618" s="6">
        <f>HYPERLINK("http://www.eum.go.kr/web/ar/lu/luLandDet.jsp?pnu=4311325028102460053&amp;isNoScr=script&amp;mode=search", "토지이음")</f>
        <v/>
      </c>
      <c r="O1618" s="3" t="inlineStr">
        <is>
          <t>오송k랜드</t>
        </is>
      </c>
      <c r="P1618" s="4" t="n">
        <v>1</v>
      </c>
      <c r="Q1618" s="4" t="n">
        <v>2011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오송읍 오송리 60-104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70000</v>
      </c>
      <c r="G1619" s="4" t="n">
        <v>286</v>
      </c>
      <c r="H1619" s="4" t="n">
        <v>87</v>
      </c>
      <c r="I1619" s="5" t="n">
        <v>804.6</v>
      </c>
      <c r="J1619" s="5" t="n">
        <v>234</v>
      </c>
      <c r="K1619" s="3" t="inlineStr">
        <is>
          <t>힐스테이트 맞은편 대 매매</t>
        </is>
      </c>
      <c r="L1619" s="6">
        <f>HYPERLINK("https://fin.land.naver.com/articles/2649964725", "매물Link")</f>
        <v/>
      </c>
      <c r="M1619" s="6">
        <f>HYPERLINK("https://map.naver.com/p/search/오송읍 오송리 60-104", "지도Link")</f>
        <v/>
      </c>
      <c r="N1619" s="6">
        <f>HYPERLINK("http://www.eum.go.kr/web/ar/lu/luLandDet.jsp?pnu=4311325028100600104&amp;isNoScr=script&amp;mode=search", "토지이음")</f>
        <v/>
      </c>
      <c r="O1619" s="3" t="inlineStr">
        <is>
          <t>광장</t>
        </is>
      </c>
      <c r="P1619" s="4" t="n">
        <v>1</v>
      </c>
      <c r="Q1619" s="4" t="n">
        <v>286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오송읍 정중리 206-5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15000</v>
      </c>
      <c r="G1620" s="4" t="n">
        <v>278</v>
      </c>
      <c r="H1620" s="4" t="n">
        <v>84</v>
      </c>
      <c r="I1620" s="5" t="n">
        <v>178.6</v>
      </c>
      <c r="J1620" s="5" t="n">
        <v>62.7</v>
      </c>
      <c r="K1620" s="3" t="inlineStr">
        <is>
          <t>강추 매물 계획관리지역, 땅 소액투자, 미래가치성 좋음</t>
        </is>
      </c>
      <c r="L1620" s="6">
        <f>HYPERLINK("https://fin.land.naver.com/articles/2650556418", "매물Link")</f>
        <v/>
      </c>
      <c r="M1620" s="6">
        <f>HYPERLINK("https://map.naver.com/p/search/오송읍 정중리 206-5", "지도Link")</f>
        <v/>
      </c>
      <c r="N1620" s="6">
        <f>HYPERLINK("http://www.eum.go.kr/web/ar/lu/luLandDet.jsp?pnu=4311325032102060005&amp;isNoScr=script&amp;mode=search", "토지이음")</f>
        <v/>
      </c>
      <c r="O1620" s="3" t="inlineStr">
        <is>
          <t>현담</t>
        </is>
      </c>
      <c r="P1620" s="4" t="n">
        <v>1</v>
      </c>
      <c r="Q1620" s="4" t="n">
        <v>278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정중리 317-1</t>
        </is>
      </c>
      <c r="B1621" s="3" t="inlineStr">
        <is>
          <t>농림지역</t>
        </is>
      </c>
      <c r="C1621" s="3" t="inlineStr">
        <is>
          <t>잡종지</t>
        </is>
      </c>
      <c r="D1621" s="3" t="inlineStr">
        <is>
          <t>잡종지</t>
        </is>
      </c>
      <c r="E1621" s="3" t="inlineStr">
        <is>
          <t>매매</t>
        </is>
      </c>
      <c r="F1621" s="4" t="n">
        <v>180000</v>
      </c>
      <c r="G1621" s="4" t="n">
        <v>11497</v>
      </c>
      <c r="H1621" s="4" t="n">
        <v>3478</v>
      </c>
      <c r="I1621" s="5" t="n">
        <v>51.8</v>
      </c>
      <c r="J1621" s="5" t="n">
        <v>25.2</v>
      </c>
      <c r="K1621" s="3" t="inlineStr">
        <is>
          <t>오송KTX역 및 오송바이오2산단 인근  2차선 도로접한 창고 및 토지</t>
        </is>
      </c>
      <c r="L1621" s="6">
        <f>HYPERLINK("https://fin.land.naver.com/articles/2652679648", "매물Link")</f>
        <v/>
      </c>
      <c r="M1621" s="6">
        <f>HYPERLINK("https://map.naver.com/p/search/오송읍 정중리 317-1", "지도Link")</f>
        <v/>
      </c>
      <c r="N1621" s="6">
        <f>HYPERLINK("http://www.eum.go.kr/web/ar/lu/luLandDet.jsp?pnu=4311325032103170001&amp;isNoScr=script&amp;mode=search", "토지이음")</f>
        <v/>
      </c>
      <c r="O1621" s="3" t="inlineStr">
        <is>
          <t>번영</t>
        </is>
      </c>
      <c r="P1621" s="4" t="n">
        <v>1</v>
      </c>
      <c r="Q1621" s="4" t="n">
        <v>237</v>
      </c>
      <c r="R1621" s="3" t="inlineStr">
        <is>
          <t>지정되지않음</t>
        </is>
      </c>
      <c r="S1621" s="3" t="inlineStr">
        <is>
          <t>답창고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오송읍 정중리 634</t>
        </is>
      </c>
      <c r="B1622" s="3" t="inlineStr">
        <is>
          <t>일반공업지역</t>
        </is>
      </c>
      <c r="C1622" s="3" t="inlineStr">
        <is>
          <t>공장용지</t>
        </is>
      </c>
      <c r="D1622" s="3" t="inlineStr">
        <is>
          <t>공장용지</t>
        </is>
      </c>
      <c r="E1622" s="3" t="inlineStr">
        <is>
          <t>매매</t>
        </is>
      </c>
      <c r="F1622" s="4" t="n">
        <v>1416100</v>
      </c>
      <c r="G1622" s="4" t="n">
        <v>27537</v>
      </c>
      <c r="H1622" s="4" t="n">
        <v>8330</v>
      </c>
      <c r="I1622" s="5" t="n">
        <v>170</v>
      </c>
      <c r="J1622" s="5" t="n">
        <v>74.40000000000001</v>
      </c>
      <c r="K1622" s="3" t="inlineStr">
        <is>
          <t>nan</t>
        </is>
      </c>
      <c r="L1622" s="6">
        <f>HYPERLINK("https://fin.land.naver.com/articles/2653126420", "매물Link")</f>
        <v/>
      </c>
      <c r="M1622" s="6">
        <f>HYPERLINK("https://map.naver.com/p/search/오송읍 정중리 634", "지도Link")</f>
        <v/>
      </c>
      <c r="N1622" s="6">
        <f>HYPERLINK("http://www.eum.go.kr/web/ar/lu/luLandDet.jsp?pnu=4311325032106340000&amp;isNoScr=script&amp;mode=search", "토지이음")</f>
        <v/>
      </c>
      <c r="O1622" s="3" t="inlineStr">
        <is>
          <t>스마트랜드</t>
        </is>
      </c>
      <c r="P1622" s="4" t="n">
        <v>1</v>
      </c>
      <c r="Q1622" s="4" t="n">
        <v>27537.3</v>
      </c>
      <c r="R1622" s="3" t="inlineStr">
        <is>
          <t>지정되지않음</t>
        </is>
      </c>
      <c r="S1622" s="3" t="inlineStr">
        <is>
          <t>공업기타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광대소각</t>
        </is>
      </c>
    </row>
    <row r="1623">
      <c r="A1623" s="3" t="inlineStr">
        <is>
          <t>오송읍 정중리 698</t>
        </is>
      </c>
      <c r="B1623" s="3" t="inlineStr">
        <is>
          <t>준공업지역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220000</v>
      </c>
      <c r="G1623" s="4" t="n">
        <v>660</v>
      </c>
      <c r="H1623" s="4" t="n">
        <v>200</v>
      </c>
      <c r="I1623" s="5" t="n">
        <v>1100</v>
      </c>
      <c r="J1623" s="5" t="n">
        <v>361</v>
      </c>
      <c r="K1623" s="3" t="inlineStr">
        <is>
          <t>오송2산단 대형평수 음식점 학원 가능한 토지</t>
        </is>
      </c>
      <c r="L1623" s="6">
        <f>HYPERLINK("https://fin.land.naver.com/articles/2652527577", "매물Link")</f>
        <v/>
      </c>
      <c r="M1623" s="6">
        <f>HYPERLINK("https://map.naver.com/p/search/오송읍 정중리 698", "지도Link")</f>
        <v/>
      </c>
      <c r="N1623" s="6">
        <f>HYPERLINK("http://www.eum.go.kr/web/ar/lu/luLandDet.jsp?pnu=4311325032106980000&amp;isNoScr=script&amp;mode=search", "토지이음")</f>
        <v/>
      </c>
      <c r="O1623" s="3" t="inlineStr">
        <is>
          <t>오송명품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상업기타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오송읍 정중리 699</t>
        </is>
      </c>
      <c r="B1624" s="3" t="inlineStr">
        <is>
          <t>준공업지역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152000</v>
      </c>
      <c r="G1624" s="4" t="n">
        <v>678</v>
      </c>
      <c r="H1624" s="4" t="n">
        <v>205</v>
      </c>
      <c r="I1624" s="5" t="n">
        <v>741.5</v>
      </c>
      <c r="J1624" s="5" t="n">
        <v>361</v>
      </c>
      <c r="K1624" s="3" t="inlineStr">
        <is>
          <t>대형평수 음식점 사무실 학원 추천자리</t>
        </is>
      </c>
      <c r="L1624" s="6">
        <f>HYPERLINK("https://fin.land.naver.com/articles/2652527439", "매물Link")</f>
        <v/>
      </c>
      <c r="M1624" s="6">
        <f>HYPERLINK("https://map.naver.com/p/search/오송읍 정중리 699", "지도Link")</f>
        <v/>
      </c>
      <c r="N1624" s="6">
        <f>HYPERLINK("http://www.eum.go.kr/web/ar/lu/luLandDet.jsp?pnu=4311325032106990000&amp;isNoScr=script&amp;mode=search", "토지이음")</f>
        <v/>
      </c>
      <c r="O1624" s="3" t="inlineStr">
        <is>
          <t>오송명품</t>
        </is>
      </c>
      <c r="P1624" s="4" t="n">
        <v>1</v>
      </c>
      <c r="Q1624" s="4" t="n">
        <v>678.2</v>
      </c>
      <c r="R1624" s="3" t="inlineStr">
        <is>
          <t>지정되지않음</t>
        </is>
      </c>
      <c r="S1624" s="3" t="inlineStr">
        <is>
          <t>상업기타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오송읍 정중리 704</t>
        </is>
      </c>
      <c r="B1625" s="3" t="inlineStr">
        <is>
          <t>준공업지역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140000</v>
      </c>
      <c r="G1625" s="4" t="n">
        <v>548</v>
      </c>
      <c r="H1625" s="4" t="n">
        <v>166</v>
      </c>
      <c r="I1625" s="5" t="n">
        <v>843.4</v>
      </c>
      <c r="J1625" s="5" t="n">
        <v>347.1</v>
      </c>
      <c r="K1625" s="3" t="inlineStr">
        <is>
          <t>급매, 오송 국민체육센터 인근 토지 매매</t>
        </is>
      </c>
      <c r="L1625" s="6">
        <f>HYPERLINK("https://fin.land.naver.com/articles/2648308447", "매물Link")</f>
        <v/>
      </c>
      <c r="M1625" s="6">
        <f>HYPERLINK("https://map.naver.com/p/search/오송읍 정중리 704", "지도Link")</f>
        <v/>
      </c>
      <c r="N1625" s="6">
        <f>HYPERLINK("http://www.eum.go.kr/web/ar/lu/luLandDet.jsp?pnu=4311325032107040000&amp;isNoScr=script&amp;mode=search",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548.8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중로각지</t>
        </is>
      </c>
    </row>
    <row r="1626">
      <c r="A1626" s="3" t="inlineStr">
        <is>
          <t>오송읍 정중리 704</t>
        </is>
      </c>
      <c r="B1626" s="3" t="inlineStr">
        <is>
          <t>준공업지역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166000</v>
      </c>
      <c r="G1626" s="4" t="n">
        <v>548</v>
      </c>
      <c r="H1626" s="4" t="n">
        <v>166</v>
      </c>
      <c r="I1626" s="5" t="n">
        <v>1000</v>
      </c>
      <c r="J1626" s="5" t="n">
        <v>347.1</v>
      </c>
      <c r="K1626" s="3" t="inlineStr">
        <is>
          <t>오송 2산단 지원시설용지  아파트 인접한 대로변 토지 근생 건물등 가능</t>
        </is>
      </c>
      <c r="L1626" s="6">
        <f>HYPERLINK("https://fin.land.naver.com/articles/2652625205", "매물Link")</f>
        <v/>
      </c>
      <c r="M1626" s="6">
        <f>HYPERLINK("https://map.naver.com/p/search/오송읍 정중리 704", "지도Link")</f>
        <v/>
      </c>
      <c r="N1626" s="6">
        <f>HYPERLINK("http://www.eum.go.kr/web/ar/lu/luLandDet.jsp?pnu=4311325032107040000&amp;isNoScr=script&amp;mode=search", "토지이음")</f>
        <v/>
      </c>
      <c r="O1626" s="3" t="inlineStr">
        <is>
          <t>더원</t>
        </is>
      </c>
      <c r="P1626" s="4" t="n">
        <v>3</v>
      </c>
      <c r="Q1626" s="4" t="n">
        <v>548.8</v>
      </c>
      <c r="R1626" s="3" t="inlineStr">
        <is>
          <t>지정되지않음</t>
        </is>
      </c>
      <c r="S1626" s="3" t="inlineStr">
        <is>
          <t>상업기타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중로각지</t>
        </is>
      </c>
    </row>
    <row r="1627">
      <c r="A1627" s="3" t="inlineStr">
        <is>
          <t>오송읍 정중리 704</t>
        </is>
      </c>
      <c r="B1627" s="3" t="inlineStr">
        <is>
          <t>준공업지역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150000</v>
      </c>
      <c r="G1627" s="4" t="n">
        <v>548</v>
      </c>
      <c r="H1627" s="4" t="n">
        <v>166</v>
      </c>
      <c r="I1627" s="5" t="n">
        <v>903.6</v>
      </c>
      <c r="J1627" s="5" t="n">
        <v>347.1</v>
      </c>
      <c r="K1627" s="3" t="inlineStr">
        <is>
          <t>오송 정중리 상가 신축 가능한 투자용지</t>
        </is>
      </c>
      <c r="L1627" s="6">
        <f>HYPERLINK("https://fin.land.naver.com/articles/2647850811", "매물Link")</f>
        <v/>
      </c>
      <c r="M1627" s="6">
        <f>HYPERLINK("https://map.naver.com/p/search/오송읍 정중리 704", "지도Link")</f>
        <v/>
      </c>
      <c r="N1627" s="6">
        <f>HYPERLINK("http://www.eum.go.kr/web/ar/lu/luLandDet.jsp?pnu=4311325032107040000&amp;isNoScr=script&amp;mode=search", "토지이음")</f>
        <v/>
      </c>
      <c r="O1627" s="3" t="inlineStr">
        <is>
          <t>성진</t>
        </is>
      </c>
      <c r="P1627" s="4" t="n">
        <v>1</v>
      </c>
      <c r="Q1627" s="4" t="n">
        <v>548.8</v>
      </c>
      <c r="R1627" s="3" t="inlineStr">
        <is>
          <t>지정되지않음</t>
        </is>
      </c>
      <c r="S1627" s="3" t="inlineStr">
        <is>
          <t>상업기타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중로각지</t>
        </is>
      </c>
    </row>
    <row r="1628">
      <c r="A1628" s="3" t="inlineStr">
        <is>
          <t>오송읍 정중리 707</t>
        </is>
      </c>
      <c r="B1628" s="3" t="inlineStr">
        <is>
          <t>준공업지역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218000</v>
      </c>
      <c r="G1628" s="4" t="n">
        <v>1143</v>
      </c>
      <c r="H1628" s="4" t="n">
        <v>346</v>
      </c>
      <c r="I1628" s="5" t="n">
        <v>630.1</v>
      </c>
      <c r="J1628" s="5" t="n">
        <v>407.6</v>
      </c>
      <c r="K1628" s="3" t="inlineStr">
        <is>
          <t>코너땅,현재나대지,지원시설용지</t>
        </is>
      </c>
      <c r="L1628" s="6">
        <f>HYPERLINK("https://fin.land.naver.com/articles/2653153996", "매물Link")</f>
        <v/>
      </c>
      <c r="M1628" s="6">
        <f>HYPERLINK("https://map.naver.com/p/search/오송읍 정중리 707", "지도Link")</f>
        <v/>
      </c>
      <c r="N1628" s="6">
        <f>HYPERLINK("http://www.eum.go.kr/web/ar/lu/luLandDet.jsp?pnu=4311325032107070000&amp;isNoScr=script&amp;mode=search", "토지이음")</f>
        <v/>
      </c>
      <c r="O1628" s="3" t="inlineStr">
        <is>
          <t>오송올래</t>
        </is>
      </c>
      <c r="P1628" s="4" t="n">
        <v>1</v>
      </c>
      <c r="Q1628" s="4" t="n">
        <v>558.8</v>
      </c>
      <c r="R1628" s="3" t="inlineStr">
        <is>
          <t>지정되지않음</t>
        </is>
      </c>
      <c r="S1628" s="3" t="inlineStr">
        <is>
          <t>상업기타</t>
        </is>
      </c>
      <c r="T1628" s="3" t="inlineStr">
        <is>
          <t>평지</t>
        </is>
      </c>
      <c r="U1628" s="3" t="inlineStr">
        <is>
          <t>가로장방</t>
        </is>
      </c>
      <c r="V1628" s="3" t="inlineStr">
        <is>
          <t>광대소각</t>
        </is>
      </c>
    </row>
    <row r="1629">
      <c r="A1629" s="3" t="inlineStr">
        <is>
          <t>오송읍 정중리 707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380000</v>
      </c>
      <c r="G1629" s="4" t="n">
        <v>1143</v>
      </c>
      <c r="H1629" s="4" t="n">
        <v>346</v>
      </c>
      <c r="I1629" s="5" t="n">
        <v>1098.3</v>
      </c>
      <c r="J1629" s="5" t="n">
        <v>407.6</v>
      </c>
      <c r="K1629" s="3" t="inlineStr">
        <is>
          <t>산업단지 시작 코너 자리, 아파트 세대 배후.</t>
        </is>
      </c>
      <c r="L1629" s="6">
        <f>HYPERLINK("https://fin.land.naver.com/articles/2652526004", "매물Link")</f>
        <v/>
      </c>
      <c r="M1629" s="6">
        <f>HYPERLINK("https://map.naver.com/p/search/오송읍 정중리 707", "지도Link")</f>
        <v/>
      </c>
      <c r="N1629" s="6">
        <f>HYPERLINK("http://www.eum.go.kr/web/ar/lu/luLandDet.jsp?pnu=4311325032107070000&amp;isNoScr=script&amp;mode=search", "토지이음")</f>
        <v/>
      </c>
      <c r="O1629" s="3" t="inlineStr">
        <is>
          <t>대한민국</t>
        </is>
      </c>
      <c r="P1629" s="4" t="n">
        <v>1</v>
      </c>
      <c r="Q1629" s="4" t="n">
        <v>558.8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광대소각</t>
        </is>
      </c>
    </row>
    <row r="1630">
      <c r="A1630" s="3" t="inlineStr">
        <is>
          <t>오송읍 정중리 707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380000</v>
      </c>
      <c r="G1630" s="4" t="n">
        <v>1143</v>
      </c>
      <c r="H1630" s="4" t="n">
        <v>346</v>
      </c>
      <c r="I1630" s="5" t="n">
        <v>1098.3</v>
      </c>
      <c r="J1630" s="5" t="n">
        <v>407.6</v>
      </c>
      <c r="K1630" s="3" t="inlineStr">
        <is>
          <t>4차선 메인 코너토지 대단지아파트들을 끼고있음</t>
        </is>
      </c>
      <c r="L1630" s="6">
        <f>HYPERLINK("https://fin.land.naver.com/articles/2652380240", "매물Link")</f>
        <v/>
      </c>
      <c r="M1630" s="6">
        <f>HYPERLINK("https://map.naver.com/p/search/오송읍 정중리 707", "지도Link")</f>
        <v/>
      </c>
      <c r="N1630" s="6">
        <f>HYPERLINK("http://www.eum.go.kr/web/ar/lu/luLandDet.jsp?pnu=4311325032107070000&amp;isNoScr=script&amp;mode=search", "토지이음")</f>
        <v/>
      </c>
      <c r="O1630" s="3" t="inlineStr">
        <is>
          <t>조은</t>
        </is>
      </c>
      <c r="P1630" s="4" t="n">
        <v>1</v>
      </c>
      <c r="Q1630" s="4" t="n">
        <v>558.8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광대소각</t>
        </is>
      </c>
    </row>
    <row r="1631">
      <c r="A1631" s="3" t="inlineStr">
        <is>
          <t>오송읍 정중리 707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380000</v>
      </c>
      <c r="G1631" s="4" t="n">
        <v>1143</v>
      </c>
      <c r="H1631" s="4" t="n">
        <v>346</v>
      </c>
      <c r="I1631" s="5" t="n">
        <v>1098.3</v>
      </c>
      <c r="J1631" s="5" t="n">
        <v>407.6</v>
      </c>
      <c r="K1631" s="3" t="inlineStr">
        <is>
          <t>오송2산단 지원시설용지 삼면각지 토지 건폐율70 용적률400 6층이하</t>
        </is>
      </c>
      <c r="L1631" s="6">
        <f>HYPERLINK("https://fin.land.naver.com/articles/2652468960", "매물Link")</f>
        <v/>
      </c>
      <c r="M1631" s="6">
        <f>HYPERLINK("https://map.naver.com/p/search/오송읍 정중리 707", "지도Link")</f>
        <v/>
      </c>
      <c r="N1631" s="6">
        <f>HYPERLINK("http://www.eum.go.kr/web/ar/lu/luLandDet.jsp?pnu=4311325032107070000&amp;isNoScr=script&amp;mode=search", "토지이음")</f>
        <v/>
      </c>
      <c r="O1631" s="3" t="inlineStr">
        <is>
          <t>365</t>
        </is>
      </c>
      <c r="P1631" s="4" t="n">
        <v>2</v>
      </c>
      <c r="Q1631" s="4" t="n">
        <v>558.8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광대소각</t>
        </is>
      </c>
    </row>
    <row r="1632">
      <c r="A1632" s="3" t="inlineStr">
        <is>
          <t>오송읍 정중리 746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215000</v>
      </c>
      <c r="G1632" s="4" t="n">
        <v>639</v>
      </c>
      <c r="H1632" s="4" t="n">
        <v>193</v>
      </c>
      <c r="I1632" s="5" t="n">
        <v>1114</v>
      </c>
      <c r="J1632" s="5" t="n">
        <v>388.1</v>
      </c>
      <c r="K1632" s="3" t="inlineStr">
        <is>
          <t>3면코너 입지 입지 최상 건폐율70 6층이하 건축가능</t>
        </is>
      </c>
      <c r="L1632" s="6">
        <f>HYPERLINK("https://fin.land.naver.com/articles/2649903725", "매물Link")</f>
        <v/>
      </c>
      <c r="M1632" s="6">
        <f>HYPERLINK("https://map.naver.com/p/search/오송읍 정중리 746", "지도Link")</f>
        <v/>
      </c>
      <c r="N1632" s="6">
        <f>HYPERLINK("http://www.eum.go.kr/web/ar/lu/luLandDet.jsp?pnu=4311325032107460000&amp;isNoScr=script&amp;mode=search", "토지이음")</f>
        <v/>
      </c>
      <c r="O1632" s="3" t="inlineStr">
        <is>
          <t>프렌즈</t>
        </is>
      </c>
      <c r="P1632" s="4" t="n">
        <v>1</v>
      </c>
      <c r="Q1632" s="4" t="n">
        <v>639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광대소각</t>
        </is>
      </c>
    </row>
    <row r="1633">
      <c r="A1633" s="3" t="inlineStr">
        <is>
          <t>오송읍 정중리 755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240000</v>
      </c>
      <c r="G1633" s="4" t="n">
        <v>668</v>
      </c>
      <c r="H1633" s="4" t="n">
        <v>202</v>
      </c>
      <c r="I1633" s="5" t="n">
        <v>1188.1</v>
      </c>
      <c r="J1633" s="5" t="n">
        <v>361</v>
      </c>
      <c r="K1633" s="3" t="inlineStr">
        <is>
          <t>오송2산단내 지원시설용지,바로앞 아파트대단지 입주예정,</t>
        </is>
      </c>
      <c r="L1633" s="6">
        <f>HYPERLINK("https://fin.land.naver.com/articles/2651054162", "매물Link")</f>
        <v/>
      </c>
      <c r="M1633" s="6">
        <f>HYPERLINK("https://map.naver.com/p/search/오송읍 정중리 755", "지도Link")</f>
        <v/>
      </c>
      <c r="N1633" s="6">
        <f>HYPERLINK("http://www.eum.go.kr/web/ar/lu/luLandDet.jsp?pnu=4311325032107550000&amp;isNoScr=script&amp;mode=search",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668.8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중로각지</t>
        </is>
      </c>
    </row>
    <row r="1634">
      <c r="A1634" s="3" t="inlineStr">
        <is>
          <t>오송읍 정중리 768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105000</v>
      </c>
      <c r="G1634" s="4" t="n">
        <v>590</v>
      </c>
      <c r="H1634" s="4" t="n">
        <v>178</v>
      </c>
      <c r="I1634" s="5" t="n">
        <v>589.9</v>
      </c>
      <c r="J1634" s="5" t="n">
        <v>256.4</v>
      </c>
      <c r="K1634" s="3" t="inlineStr">
        <is>
          <t>오송2산단 준공업지역 급매 대단지아파트 및 공장지역</t>
        </is>
      </c>
      <c r="L1634" s="6">
        <f>HYPERLINK("https://fin.land.naver.com/articles/2651795106", "매물Link")</f>
        <v/>
      </c>
      <c r="M1634" s="6">
        <f>HYPERLINK("https://map.naver.com/p/search/오송읍 정중리 768", "지도Link")</f>
        <v/>
      </c>
      <c r="N1634" s="6">
        <f>HYPERLINK("http://www.eum.go.kr/web/ar/lu/luLandDet.jsp?pnu=4311325032107680000&amp;isNoScr=script&amp;mode=search", "토지이음")</f>
        <v/>
      </c>
      <c r="O1634" s="3" t="inlineStr">
        <is>
          <t>더원</t>
        </is>
      </c>
      <c r="P1634" s="4" t="n">
        <v>7</v>
      </c>
      <c r="Q1634" s="4" t="n">
        <v>590.3</v>
      </c>
      <c r="R1634" s="3" t="inlineStr">
        <is>
          <t>지정되지않음</t>
        </is>
      </c>
      <c r="S1634" s="3" t="inlineStr">
        <is>
          <t>상업나지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중로한면</t>
        </is>
      </c>
    </row>
    <row r="1635">
      <c r="A1635" s="3" t="inlineStr">
        <is>
          <t>오송읍 정중리 768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143000</v>
      </c>
      <c r="G1635" s="4" t="n">
        <v>590</v>
      </c>
      <c r="H1635" s="4" t="n">
        <v>178</v>
      </c>
      <c r="I1635" s="5" t="n">
        <v>803.4</v>
      </c>
      <c r="J1635" s="5" t="n">
        <v>256.4</v>
      </c>
      <c r="K1635" s="3" t="inlineStr">
        <is>
          <t>신도시 대단지아파트인접  지원시설용지</t>
        </is>
      </c>
      <c r="L1635" s="6">
        <f>HYPERLINK("https://fin.land.naver.com/articles/2651351013", "매물Link")</f>
        <v/>
      </c>
      <c r="M1635" s="6">
        <f>HYPERLINK("https://map.naver.com/p/search/오송읍 정중리 768", "지도Link")</f>
        <v/>
      </c>
      <c r="N1635" s="6">
        <f>HYPERLINK("http://www.eum.go.kr/web/ar/lu/luLandDet.jsp?pnu=4311325032107680000&amp;isNoScr=script&amp;mode=search", "토지이음")</f>
        <v/>
      </c>
      <c r="O1635" s="3" t="inlineStr">
        <is>
          <t>오송원</t>
        </is>
      </c>
      <c r="P1635" s="4" t="n">
        <v>1</v>
      </c>
      <c r="Q1635" s="4" t="n">
        <v>590.3</v>
      </c>
      <c r="R1635" s="3" t="inlineStr">
        <is>
          <t>지정되지않음</t>
        </is>
      </c>
      <c r="S1635" s="3" t="inlineStr">
        <is>
          <t>상업나지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중로한면</t>
        </is>
      </c>
    </row>
    <row r="1636">
      <c r="A1636" s="3" t="inlineStr">
        <is>
          <t>오송읍 정중리 768</t>
        </is>
      </c>
      <c r="B1636" s="3" t="inlineStr">
        <is>
          <t>준공업지역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125000</v>
      </c>
      <c r="G1636" s="4" t="n">
        <v>590</v>
      </c>
      <c r="H1636" s="4" t="n">
        <v>178</v>
      </c>
      <c r="I1636" s="5" t="n">
        <v>702.2</v>
      </c>
      <c r="J1636" s="5" t="n">
        <v>256.4</v>
      </c>
      <c r="K1636" s="3" t="inlineStr">
        <is>
          <t>지원시설용지 매매</t>
        </is>
      </c>
      <c r="L1636" s="6">
        <f>HYPERLINK("https://fin.land.naver.com/articles/2652685303", "매물Link")</f>
        <v/>
      </c>
      <c r="M1636" s="6">
        <f>HYPERLINK("https://map.naver.com/p/search/오송읍 정중리 768", "지도Link")</f>
        <v/>
      </c>
      <c r="N1636" s="6">
        <f>HYPERLINK("http://www.eum.go.kr/web/ar/lu/luLandDet.jsp?pnu=4311325032107680000&amp;isNoScr=script&amp;mode=search", "토지이음")</f>
        <v/>
      </c>
      <c r="O1636" s="3" t="inlineStr">
        <is>
          <t>대한민국</t>
        </is>
      </c>
      <c r="P1636" s="4" t="n">
        <v>1</v>
      </c>
      <c r="Q1636" s="4" t="n">
        <v>590.3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중로한면</t>
        </is>
      </c>
    </row>
    <row r="1637">
      <c r="A1637" s="3" t="inlineStr">
        <is>
          <t>오송읍 정중리 768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105000</v>
      </c>
      <c r="G1637" s="4" t="n">
        <v>590</v>
      </c>
      <c r="H1637" s="4" t="n">
        <v>178</v>
      </c>
      <c r="I1637" s="5" t="n">
        <v>589.9</v>
      </c>
      <c r="J1637" s="5" t="n">
        <v>256.4</v>
      </c>
      <c r="K1637" s="3" t="inlineStr">
        <is>
          <t>nan</t>
        </is>
      </c>
      <c r="L1637" s="6">
        <f>HYPERLINK("https://fin.land.naver.com/articles/2651733349", "매물Link")</f>
        <v/>
      </c>
      <c r="M1637" s="6">
        <f>HYPERLINK("https://map.naver.com/p/search/오송읍 정중리 768", "지도Link")</f>
        <v/>
      </c>
      <c r="N1637" s="6">
        <f>HYPERLINK("http://www.eum.go.kr/web/ar/lu/luLandDet.jsp?pnu=4311325032107680000&amp;isNoScr=script&amp;mode=search", "토지이음")</f>
        <v/>
      </c>
      <c r="O1637" s="3" t="inlineStr">
        <is>
          <t>동행사무소</t>
        </is>
      </c>
      <c r="P1637" s="4" t="n">
        <v>1</v>
      </c>
      <c r="Q1637" s="4" t="n">
        <v>590.3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773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95000</v>
      </c>
      <c r="G1638" s="4" t="n">
        <v>580</v>
      </c>
      <c r="H1638" s="4" t="n">
        <v>175</v>
      </c>
      <c r="I1638" s="5" t="n">
        <v>542.9</v>
      </c>
      <c r="J1638" s="5" t="n">
        <v>258.9</v>
      </c>
      <c r="K1638" s="3" t="inlineStr">
        <is>
          <t>저렴한기회 지원시설용지 차량진출입 용이한 근생상가 추천</t>
        </is>
      </c>
      <c r="L1638" s="6">
        <f>HYPERLINK("https://fin.land.naver.com/articles/2650862161", "매물Link")</f>
        <v/>
      </c>
      <c r="M1638" s="6">
        <f>HYPERLINK("https://map.naver.com/p/search/오송읍 정중리 773", "지도Link")</f>
        <v/>
      </c>
      <c r="N1638" s="6">
        <f>HYPERLINK("http://www.eum.go.kr/web/ar/lu/luLandDet.jsp?pnu=4311325032107730000&amp;isNoScr=script&amp;mode=search",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580.4</v>
      </c>
      <c r="R1638" s="3" t="inlineStr">
        <is>
          <t>지정되지않음</t>
        </is>
      </c>
      <c r="S1638" s="3" t="inlineStr">
        <is>
          <t>상업기타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중로각지</t>
        </is>
      </c>
    </row>
    <row r="1639">
      <c r="A1639" s="3" t="inlineStr">
        <is>
          <t>오송읍 호계리 143-1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39845</v>
      </c>
      <c r="G1639" s="4" t="n">
        <v>2026</v>
      </c>
      <c r="H1639" s="4" t="n">
        <v>613</v>
      </c>
      <c r="I1639" s="5" t="n">
        <v>65</v>
      </c>
      <c r="J1639" s="5" t="n">
        <v>30.4</v>
      </c>
      <c r="K1639" s="3" t="inlineStr">
        <is>
          <t>도로에 접해 주말농장 최상, 개발호재 핫한 오송시 위치 투자가치 최상</t>
        </is>
      </c>
      <c r="L1639" s="6">
        <f>HYPERLINK("https://fin.land.naver.com/articles/2650397039", "매물Link")</f>
        <v/>
      </c>
      <c r="M1639" s="6">
        <f>HYPERLINK("https://map.naver.com/p/search/오송읍 호계리 143-1", "지도Link")</f>
        <v/>
      </c>
      <c r="N1639" s="6">
        <f>HYPERLINK("http://www.eum.go.kr/web/ar/lu/luLandDet.jsp?pnu=4311325021101430001&amp;isNoScr=script&amp;mode=search", "토지이음")</f>
        <v/>
      </c>
      <c r="O1639" s="3" t="inlineStr">
        <is>
          <t>대한</t>
        </is>
      </c>
      <c r="P1639" s="4" t="n">
        <v>1</v>
      </c>
      <c r="Q1639" s="4" t="n">
        <v>2059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오송읍 호계리 152-1</t>
        </is>
      </c>
      <c r="B1640" s="3" t="inlineStr">
        <is>
          <t>계획관리지역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53500</v>
      </c>
      <c r="G1640" s="4" t="n">
        <v>1359</v>
      </c>
      <c r="H1640" s="4" t="n">
        <v>411</v>
      </c>
      <c r="I1640" s="5" t="n">
        <v>130.2</v>
      </c>
      <c r="J1640" s="5" t="n">
        <v>39.1</v>
      </c>
      <c r="K1640" s="3" t="inlineStr">
        <is>
          <t>급매, 시세 대비 매우 저렴, 4미터 도로에 접하고 있는 계획관리 토지</t>
        </is>
      </c>
      <c r="L1640" s="6">
        <f>HYPERLINK("https://fin.land.naver.com/articles/2647466833", "매물Link")</f>
        <v/>
      </c>
      <c r="M1640" s="6">
        <f>HYPERLINK("https://map.naver.com/p/search/오송읍 호계리 152-1", "지도Link")</f>
        <v/>
      </c>
      <c r="N1640" s="6">
        <f>HYPERLINK("http://www.eum.go.kr/web/ar/lu/luLandDet.jsp?pnu=4311325021101520001&amp;isNoScr=script&amp;mode=search", "토지이음")</f>
        <v/>
      </c>
      <c r="O1640" s="3" t="inlineStr">
        <is>
          <t>제이</t>
        </is>
      </c>
      <c r="P1640" s="4" t="n">
        <v>1</v>
      </c>
      <c r="Q1640" s="4" t="n">
        <v>962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세로각지(가)</t>
        </is>
      </c>
    </row>
    <row r="1641">
      <c r="A1641" s="3" t="inlineStr">
        <is>
          <t>오송읍 호계리 153-1</t>
        </is>
      </c>
      <c r="B1641" s="3" t="inlineStr">
        <is>
          <t>계획관리지역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53500</v>
      </c>
      <c r="G1641" s="4" t="n">
        <v>1359</v>
      </c>
      <c r="H1641" s="4" t="n">
        <v>411</v>
      </c>
      <c r="I1641" s="5" t="n">
        <v>130.2</v>
      </c>
      <c r="J1641" s="5" t="n">
        <v>40.1</v>
      </c>
      <c r="K1641" s="3" t="inlineStr">
        <is>
          <t>4M도로에 접함 투자및 공장추천 2필지</t>
        </is>
      </c>
      <c r="L1641" s="6">
        <f>HYPERLINK("https://fin.land.naver.com/articles/2650428790", "매물Link")</f>
        <v/>
      </c>
      <c r="M1641" s="6">
        <f>HYPERLINK("https://map.naver.com/p/search/오송읍 호계리 153-1", "지도Link")</f>
        <v/>
      </c>
      <c r="N1641" s="6">
        <f>HYPERLINK("http://www.eum.go.kr/web/ar/lu/luLandDet.jsp?pnu=4311325021101530001&amp;isNoScr=script&amp;mode=search", "토지이음")</f>
        <v/>
      </c>
      <c r="O1641" s="3" t="inlineStr">
        <is>
          <t>플러스태양</t>
        </is>
      </c>
      <c r="P1641" s="4" t="n">
        <v>1</v>
      </c>
      <c r="Q1641" s="4" t="n">
        <v>397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오송읍 호계리 155-1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195800</v>
      </c>
      <c r="G1642" s="4" t="n">
        <v>2943</v>
      </c>
      <c r="H1642" s="4" t="n">
        <v>890</v>
      </c>
      <c r="I1642" s="5" t="n">
        <v>220</v>
      </c>
      <c r="J1642" s="5" t="n">
        <v>38.1</v>
      </c>
      <c r="K1642" s="3" t="inlineStr">
        <is>
          <t>오송읍, 호계리, 계획관리지역, 5m 도로 접한 토지</t>
        </is>
      </c>
      <c r="L1642" s="6">
        <f>HYPERLINK("https://fin.land.naver.com/articles/2652670142", "매물Link")</f>
        <v/>
      </c>
      <c r="M1642" s="6">
        <f>HYPERLINK("https://map.naver.com/p/search/오송읍 호계리 155-1", "지도Link")</f>
        <v/>
      </c>
      <c r="N1642" s="6">
        <f>HYPERLINK("http://www.eum.go.kr/web/ar/lu/luLandDet.jsp?pnu=4311325021101550001&amp;isNoScr=script&amp;mode=search", "토지이음")</f>
        <v/>
      </c>
      <c r="O1642" s="3" t="inlineStr">
        <is>
          <t>올바른</t>
        </is>
      </c>
      <c r="P1642" s="4" t="n">
        <v>1</v>
      </c>
      <c r="Q1642" s="4" t="n">
        <v>2943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세로한면(가)</t>
        </is>
      </c>
    </row>
    <row r="1643">
      <c r="A1643" s="3" t="inlineStr">
        <is>
          <t>오송읍 호계리 224-2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49000</v>
      </c>
      <c r="G1643" s="4" t="n">
        <v>899</v>
      </c>
      <c r="H1643" s="4" t="n">
        <v>272</v>
      </c>
      <c r="I1643" s="5" t="n">
        <v>180.1</v>
      </c>
      <c r="J1643" s="5" t="n">
        <v>51.1</v>
      </c>
      <c r="K1643" s="3" t="inlineStr">
        <is>
          <t>2 배의 가치 2 배의 넓은 땅 사용 가능 토지  생산 관리 지역</t>
        </is>
      </c>
      <c r="L1643" s="6">
        <f>HYPERLINK("https://fin.land.naver.com/articles/2648940037", "매물Link")</f>
        <v/>
      </c>
      <c r="M1643" s="6">
        <f>HYPERLINK("https://map.naver.com/p/search/오송읍 호계리 224-2", "지도Link")</f>
        <v/>
      </c>
      <c r="N1643" s="6">
        <f>HYPERLINK("http://www.eum.go.kr/web/ar/lu/luLandDet.jsp?pnu=4311325021102240002&amp;isNoScr=script&amp;mode=search", "토지이음")</f>
        <v/>
      </c>
      <c r="O1643" s="3" t="inlineStr">
        <is>
          <t>오송퍼스트영웅</t>
        </is>
      </c>
      <c r="P1643" s="4" t="n">
        <v>1</v>
      </c>
      <c r="Q1643" s="4" t="n">
        <v>899</v>
      </c>
      <c r="R1643" s="3" t="inlineStr">
        <is>
          <t>지정되지않음</t>
        </is>
      </c>
      <c r="S1643" s="3" t="inlineStr">
        <is>
          <t>답기타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중로한면</t>
        </is>
      </c>
    </row>
    <row r="1644">
      <c r="A1644" s="3" t="inlineStr">
        <is>
          <t>오송읍 호계리 230-3</t>
        </is>
      </c>
      <c r="B1644" s="3" t="inlineStr">
        <is>
          <t>농림지역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29000</v>
      </c>
      <c r="G1644" s="4" t="n">
        <v>1595</v>
      </c>
      <c r="H1644" s="4" t="n">
        <v>482</v>
      </c>
      <c r="I1644" s="5" t="n">
        <v>60.2</v>
      </c>
      <c r="J1644" s="5" t="n">
        <v>32.4</v>
      </c>
      <c r="K1644" s="3" t="inlineStr">
        <is>
          <t>호계리 토지 매매.</t>
        </is>
      </c>
      <c r="L1644" s="6">
        <f>HYPERLINK("https://fin.land.naver.com/articles/2652685771", "매물Link")</f>
        <v/>
      </c>
      <c r="M1644" s="6">
        <f>HYPERLINK("https://map.naver.com/p/search/오송읍 호계리 230-3", "지도Link")</f>
        <v/>
      </c>
      <c r="N1644" s="6">
        <f>HYPERLINK("http://www.eum.go.kr/web/ar/lu/luLandDet.jsp?pnu=4311325021102300003&amp;isNoScr=script&amp;mode=search", "토지이음")</f>
        <v/>
      </c>
      <c r="O1644" s="3" t="inlineStr">
        <is>
          <t>대한민국</t>
        </is>
      </c>
      <c r="P1644" s="4" t="n">
        <v>1</v>
      </c>
      <c r="Q1644" s="4" t="n">
        <v>1595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오송읍 호계리 3-2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90400</v>
      </c>
      <c r="G1645" s="4" t="n">
        <v>1494</v>
      </c>
      <c r="H1645" s="4" t="n">
        <v>452</v>
      </c>
      <c r="I1645" s="5" t="n">
        <v>200</v>
      </c>
      <c r="J1645" s="5" t="n">
        <v>33.6</v>
      </c>
      <c r="K1645" s="3" t="inlineStr">
        <is>
          <t>공장이나 창고부지 적격</t>
        </is>
      </c>
      <c r="L1645" s="6">
        <f>HYPERLINK("https://fin.land.naver.com/articles/2652471712", "매물Link")</f>
        <v/>
      </c>
      <c r="M1645" s="6">
        <f>HYPERLINK("https://map.naver.com/p/search/오송읍 호계리 3-2", "지도Link")</f>
        <v/>
      </c>
      <c r="N1645" s="6">
        <f>HYPERLINK("http://www.eum.go.kr/web/ar/lu/luLandDet.jsp?pnu=4311325021100030002&amp;isNoScr=script&amp;mode=search", "토지이음")</f>
        <v/>
      </c>
      <c r="O1645" s="3" t="inlineStr">
        <is>
          <t>천석</t>
        </is>
      </c>
      <c r="P1645" s="4" t="n">
        <v>1</v>
      </c>
      <c r="Q1645" s="4" t="n">
        <v>1494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맹지</t>
        </is>
      </c>
    </row>
    <row r="1646">
      <c r="A1646" s="3" t="inlineStr">
        <is>
          <t>오송읍 호계리 50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90000</v>
      </c>
      <c r="G1646" s="4" t="n">
        <v>1927</v>
      </c>
      <c r="H1646" s="4" t="n">
        <v>583</v>
      </c>
      <c r="I1646" s="5" t="n">
        <v>154.4</v>
      </c>
      <c r="J1646" s="5" t="n">
        <v>40.1</v>
      </c>
      <c r="K1646" s="3" t="inlineStr">
        <is>
          <t>오송읍 호계리 산과 인접한 전원주택부지</t>
        </is>
      </c>
      <c r="L1646" s="6">
        <f>HYPERLINK("https://fin.land.naver.com/articles/2647515900", "매물Link")</f>
        <v/>
      </c>
      <c r="M1646" s="6">
        <f>HYPERLINK("https://map.naver.com/p/search/오송읍 호계리 50", "지도Link")</f>
        <v/>
      </c>
      <c r="N1646" s="6">
        <f>HYPERLINK("http://www.eum.go.kr/web/ar/lu/luLandDet.jsp?pnu=4311325021100500000&amp;isNoScr=script&amp;mode=search", "토지이음")</f>
        <v/>
      </c>
      <c r="O1646" s="3" t="inlineStr">
        <is>
          <t>새벽무소</t>
        </is>
      </c>
      <c r="P1646" s="4" t="n">
        <v>1</v>
      </c>
      <c r="Q1646" s="4" t="n">
        <v>1927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오송읍 호계리 7-6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28500</v>
      </c>
      <c r="G1647" s="4" t="n">
        <v>627</v>
      </c>
      <c r="H1647" s="4" t="n">
        <v>190</v>
      </c>
      <c r="I1647" s="5" t="n">
        <v>150</v>
      </c>
      <c r="J1647" s="5" t="n">
        <v>39</v>
      </c>
      <c r="K1647" s="3" t="inlineStr">
        <is>
          <t>전원주택지</t>
        </is>
      </c>
      <c r="L1647" s="6">
        <f>HYPERLINK("https://fin.land.naver.com/articles/2649702438", "매물Link")</f>
        <v/>
      </c>
      <c r="M1647" s="6">
        <f>HYPERLINK("https://map.naver.com/p/search/오송읍 호계리 7-6", "지도Link")</f>
        <v/>
      </c>
      <c r="N1647" s="6">
        <f>HYPERLINK("http://www.eum.go.kr/web/ar/lu/luLandDet.jsp?pnu=4311325021100070006&amp;isNoScr=script&amp;mode=search", "토지이음")</f>
        <v/>
      </c>
      <c r="O1647" s="3" t="inlineStr">
        <is>
          <t>금송</t>
        </is>
      </c>
      <c r="P1647" s="4" t="n">
        <v>1</v>
      </c>
      <c r="Q1647" s="4" t="n">
        <v>627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조치원읍 교리 16-5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40000</v>
      </c>
      <c r="G1648" s="4" t="n">
        <v>207</v>
      </c>
      <c r="H1648" s="4" t="n">
        <v>63</v>
      </c>
      <c r="I1648" s="5" t="n">
        <v>634.9</v>
      </c>
      <c r="J1648" s="5" t="n">
        <v>206.5</v>
      </c>
      <c r="K1648" s="3" t="inlineStr">
        <is>
          <t>조치원역 가까운 주거지역 토지매매</t>
        </is>
      </c>
      <c r="L1648" s="6">
        <f>HYPERLINK("https://fin.land.naver.com/articles/2648993356", "매물Link")</f>
        <v/>
      </c>
      <c r="M1648" s="6">
        <f>HYPERLINK("https://map.naver.com/p/search/조치원읍 교리 16-5", "지도Link")</f>
        <v/>
      </c>
      <c r="N1648" s="6">
        <f>HYPERLINK("http://www.eum.go.kr/web/ar/lu/luLandDet.jsp?pnu=3611025024100160005&amp;isNoScr=script&amp;mode=search",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103.5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조치원읍 교리 18-11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42000</v>
      </c>
      <c r="G1649" s="4" t="n">
        <v>179</v>
      </c>
      <c r="H1649" s="4" t="n">
        <v>54</v>
      </c>
      <c r="I1649" s="5" t="n">
        <v>777.8</v>
      </c>
      <c r="J1649" s="5" t="n">
        <v>274.9</v>
      </c>
      <c r="K1649" s="3" t="inlineStr">
        <is>
          <t>nan</t>
        </is>
      </c>
      <c r="L1649" s="6">
        <f>HYPERLINK("https://fin.land.naver.com/articles/2647461785", "매물Link")</f>
        <v/>
      </c>
      <c r="M1649" s="6">
        <f>HYPERLINK("https://map.naver.com/p/search/조치원읍 교리 18-11", "지도Link")</f>
        <v/>
      </c>
      <c r="N1649" s="6">
        <f>HYPERLINK("http://www.eum.go.kr/web/ar/lu/luLandDet.jsp?pnu=3611025024100180011&amp;isNoScr=script&amp;mode=search", "토지이음")</f>
        <v/>
      </c>
      <c r="O1649" s="3" t="inlineStr">
        <is>
          <t>정인</t>
        </is>
      </c>
      <c r="P1649" s="4" t="n">
        <v>1</v>
      </c>
      <c r="Q1649" s="4" t="n">
        <v>179.5</v>
      </c>
      <c r="R1649" s="3" t="inlineStr">
        <is>
          <t>지정되지않음</t>
        </is>
      </c>
      <c r="S1649" s="3" t="inlineStr">
        <is>
          <t>주상기타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조치원읍 교리 22-20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100000</v>
      </c>
      <c r="G1650" s="4" t="n">
        <v>387</v>
      </c>
      <c r="H1650" s="4" t="n">
        <v>117</v>
      </c>
      <c r="I1650" s="5" t="n">
        <v>854.7</v>
      </c>
      <c r="J1650" s="5" t="n">
        <v>452.2</v>
      </c>
      <c r="K1650" s="3" t="inlineStr">
        <is>
          <t>nan</t>
        </is>
      </c>
      <c r="L1650" s="6">
        <f>HYPERLINK("https://fin.land.naver.com/articles/2652123797", "매물Link")</f>
        <v/>
      </c>
      <c r="M1650" s="6">
        <f>HYPERLINK("https://map.naver.com/p/search/조치원읍 교리 22-20", "지도Link")</f>
        <v/>
      </c>
      <c r="N1650" s="6">
        <f>HYPERLINK("http://www.eum.go.kr/web/ar/lu/luLandDet.jsp?pnu=3611025024100220020&amp;isNoScr=script&amp;mode=search", "토지이음")</f>
        <v/>
      </c>
      <c r="O1650" s="3" t="inlineStr">
        <is>
          <t>미스터홈즈강남지사</t>
        </is>
      </c>
      <c r="P1650" s="4" t="n">
        <v>1</v>
      </c>
      <c r="Q1650" s="4" t="n">
        <v>185.8</v>
      </c>
      <c r="R1650" s="3" t="inlineStr">
        <is>
          <t>지정되지않음</t>
        </is>
      </c>
      <c r="S1650" s="3" t="inlineStr">
        <is>
          <t>상업용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조치원읍 남리 103-68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49000</v>
      </c>
      <c r="G1651" s="4" t="n">
        <v>396</v>
      </c>
      <c r="H1651" s="4" t="n">
        <v>120</v>
      </c>
      <c r="I1651" s="5" t="n">
        <v>408.3</v>
      </c>
      <c r="J1651" s="5" t="n">
        <v>166.9</v>
      </c>
      <c r="K1651" s="3" t="inlineStr">
        <is>
          <t>급매,2차로변에 위치,조치원역에서 도보5분거리로 접근성좋음</t>
        </is>
      </c>
      <c r="L1651" s="6">
        <f>HYPERLINK("https://fin.land.naver.com/articles/2651521344", "매물Link")</f>
        <v/>
      </c>
      <c r="M1651" s="6">
        <f>HYPERLINK("https://map.naver.com/p/search/조치원읍 남리 103-68", "지도Link")</f>
        <v/>
      </c>
      <c r="N1651" s="6">
        <f>HYPERLINK("http://www.eum.go.kr/web/ar/lu/luLandDet.jsp?pnu=3611025027101030068&amp;isNoScr=script&amp;mode=search", "토지이음")</f>
        <v/>
      </c>
      <c r="O1651" s="3" t="inlineStr">
        <is>
          <t>담뜰</t>
        </is>
      </c>
      <c r="P1651" s="4" t="n">
        <v>3</v>
      </c>
      <c r="Q1651" s="4" t="n">
        <v>396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조치원읍 남리 307-2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788</v>
      </c>
      <c r="H1652" s="4" t="n">
        <v>238</v>
      </c>
      <c r="I1652" s="5" t="n">
        <v>1050.4</v>
      </c>
      <c r="J1652" s="5" t="n">
        <v>366.6</v>
      </c>
      <c r="K1652" s="3" t="inlineStr">
        <is>
          <t>조치원 4차선 코너,대지238P,통건물 3동포함,사옥 병원등 추천</t>
        </is>
      </c>
      <c r="L1652" s="6">
        <f>HYPERLINK("https://fin.land.naver.com/articles/2650483987", "매물Link")</f>
        <v/>
      </c>
      <c r="M1652" s="6">
        <f>HYPERLINK("https://map.naver.com/p/search/조치원읍 남리 307-2", "지도Link")</f>
        <v/>
      </c>
      <c r="N1652" s="6">
        <f>HYPERLINK("http://www.eum.go.kr/web/ar/lu/luLandDet.jsp?pnu=3611025027103070002&amp;isNoScr=script&amp;mode=search", "토지이음")</f>
        <v/>
      </c>
      <c r="O1652" s="3" t="inlineStr">
        <is>
          <t>광장</t>
        </is>
      </c>
      <c r="P1652" s="4" t="n">
        <v>1</v>
      </c>
      <c r="Q1652" s="4" t="n">
        <v>211.4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중로각지</t>
        </is>
      </c>
    </row>
    <row r="1653">
      <c r="A1653" s="3" t="inlineStr">
        <is>
          <t>조치원읍 남리 347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33250</v>
      </c>
      <c r="G1653" s="4" t="n">
        <v>315</v>
      </c>
      <c r="H1653" s="4" t="n">
        <v>95</v>
      </c>
      <c r="I1653" s="5" t="n">
        <v>350</v>
      </c>
      <c r="J1653" s="5" t="n">
        <v>263.5</v>
      </c>
      <c r="K1653" s="3" t="inlineStr">
        <is>
          <t>남리 예쁜땅모양 주택및원룸 추천</t>
        </is>
      </c>
      <c r="L1653" s="6">
        <f>HYPERLINK("https://fin.land.naver.com/articles/2651708417", "매물Link")</f>
        <v/>
      </c>
      <c r="M1653" s="6">
        <f>HYPERLINK("https://map.naver.com/p/search/조치원읍 남리 347", "지도Link")</f>
        <v/>
      </c>
      <c r="N1653" s="6">
        <f>HYPERLINK("http://www.eum.go.kr/web/ar/lu/luLandDet.jsp?pnu=3611025027103470000&amp;isNoScr=script&amp;mode=search", "토지이음")</f>
        <v/>
      </c>
      <c r="O1653" s="3" t="inlineStr">
        <is>
          <t>OK수</t>
        </is>
      </c>
      <c r="P1653" s="4" t="n">
        <v>1</v>
      </c>
      <c r="Q1653" s="4" t="n">
        <v>315.7</v>
      </c>
      <c r="R1653" s="3" t="inlineStr">
        <is>
          <t>지정되지않음</t>
        </is>
      </c>
      <c r="S1653" s="3" t="inlineStr">
        <is>
          <t>주상기타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남리 419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38000</v>
      </c>
      <c r="G1654" s="4" t="n">
        <v>353</v>
      </c>
      <c r="H1654" s="4" t="n">
        <v>107</v>
      </c>
      <c r="I1654" s="5" t="n">
        <v>355.1</v>
      </c>
      <c r="J1654" s="5" t="n">
        <v>170.3</v>
      </c>
      <c r="K1654" s="3" t="inlineStr">
        <is>
          <t>남리 저렴한 토지 다가구원룸,사옥,상가 추천</t>
        </is>
      </c>
      <c r="L1654" s="6">
        <f>HYPERLINK("https://fin.land.naver.com/articles/2649281845", "매물Link")</f>
        <v/>
      </c>
      <c r="M1654" s="6">
        <f>HYPERLINK("https://map.naver.com/p/search/조치원읍 남리 419", "지도Link")</f>
        <v/>
      </c>
      <c r="N1654" s="6">
        <f>HYPERLINK("http://www.eum.go.kr/web/ar/lu/luLandDet.jsp?pnu=3611025027104190000&amp;isNoScr=script&amp;mode=search", "토지이음")</f>
        <v/>
      </c>
      <c r="O1654" s="3" t="inlineStr">
        <is>
          <t>OK수</t>
        </is>
      </c>
      <c r="P1654" s="4" t="n">
        <v>1</v>
      </c>
      <c r="Q1654" s="4" t="n">
        <v>352.6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조치원읍 남리 436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23800</v>
      </c>
      <c r="G1655" s="4" t="n">
        <v>225</v>
      </c>
      <c r="H1655" s="4" t="n">
        <v>68</v>
      </c>
      <c r="I1655" s="5" t="n">
        <v>350</v>
      </c>
      <c r="J1655" s="5" t="n">
        <v>321.7</v>
      </c>
      <c r="K1655" s="3" t="inlineStr">
        <is>
          <t>10m 도로 접, 공영주차장 접, 나대지. 착한가격의 투자매물</t>
        </is>
      </c>
      <c r="L1655" s="6">
        <f>HYPERLINK("https://fin.land.naver.com/articles/2651339564", "매물Link")</f>
        <v/>
      </c>
      <c r="M1655" s="6">
        <f>HYPERLINK("https://map.naver.com/p/search/조치원읍 남리 436", "지도Link")</f>
        <v/>
      </c>
      <c r="N1655" s="6">
        <f>HYPERLINK("http://www.eum.go.kr/web/ar/lu/luLandDet.jsp?pnu=3611025027104360000&amp;isNoScr=script&amp;mode=search", "토지이음")</f>
        <v/>
      </c>
      <c r="O1655" s="3" t="inlineStr">
        <is>
          <t>오송3산단  사무소</t>
        </is>
      </c>
      <c r="P1655" s="4" t="n">
        <v>2</v>
      </c>
      <c r="Q1655" s="4" t="n">
        <v>225.8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번암리 121-4</t>
        </is>
      </c>
      <c r="B1656" s="3" t="inlineStr">
        <is>
          <t>일반공업지역</t>
        </is>
      </c>
      <c r="C1656" s="3" t="inlineStr">
        <is>
          <t>잡종지</t>
        </is>
      </c>
      <c r="D1656" s="3" t="inlineStr">
        <is>
          <t>잡종지</t>
        </is>
      </c>
      <c r="E1656" s="3" t="inlineStr">
        <is>
          <t>매매</t>
        </is>
      </c>
      <c r="F1656" s="4" t="n">
        <v>280000</v>
      </c>
      <c r="G1656" s="4" t="n">
        <v>1531</v>
      </c>
      <c r="H1656" s="4" t="n">
        <v>463</v>
      </c>
      <c r="I1656" s="5" t="n">
        <v>604.8</v>
      </c>
      <c r="J1656" s="5" t="n">
        <v>201.1</v>
      </c>
      <c r="K1656" s="3" t="inlineStr">
        <is>
          <t>세종산단과 오송산단을 잇는 대로 접, 광고 시인성 뛰어남, 적극조율</t>
        </is>
      </c>
      <c r="L1656" s="6">
        <f>HYPERLINK("https://fin.land.naver.com/articles/2649267602", "매물Link")</f>
        <v/>
      </c>
      <c r="M1656" s="6">
        <f>HYPERLINK("https://map.naver.com/p/search/조치원읍 번암리 121-4", "지도Link")</f>
        <v/>
      </c>
      <c r="N1656" s="6">
        <f>HYPERLINK("http://www.eum.go.kr/web/ar/lu/luLandDet.jsp?pnu=3611025031101210004&amp;isNoScr=script&amp;mode=search", "토지이음")</f>
        <v/>
      </c>
      <c r="O1656" s="3" t="inlineStr">
        <is>
          <t>새롬시티</t>
        </is>
      </c>
      <c r="P1656" s="4" t="n">
        <v>1</v>
      </c>
      <c r="Q1656" s="4" t="n">
        <v>1531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광대세각</t>
        </is>
      </c>
    </row>
    <row r="1657">
      <c r="A1657" s="3" t="inlineStr">
        <is>
          <t>조치원읍 번암리 121-4</t>
        </is>
      </c>
      <c r="B1657" s="3" t="inlineStr">
        <is>
          <t>일반공업지역</t>
        </is>
      </c>
      <c r="C1657" s="3" t="inlineStr">
        <is>
          <t>잡종지</t>
        </is>
      </c>
      <c r="D1657" s="3" t="inlineStr">
        <is>
          <t>잡종지</t>
        </is>
      </c>
      <c r="E1657" s="3" t="inlineStr">
        <is>
          <t>매매</t>
        </is>
      </c>
      <c r="F1657" s="4" t="n">
        <v>280000</v>
      </c>
      <c r="G1657" s="4" t="n">
        <v>1530</v>
      </c>
      <c r="H1657" s="4" t="n">
        <v>463</v>
      </c>
      <c r="I1657" s="5" t="n">
        <v>604.8</v>
      </c>
      <c r="J1657" s="5" t="n">
        <v>201.1</v>
      </c>
      <c r="K1657" s="3" t="inlineStr">
        <is>
          <t>조치원 일반공업지역 차량진입 우수 산업형 부지</t>
        </is>
      </c>
      <c r="L1657" s="6">
        <f>HYPERLINK("https://fin.land.naver.com/articles/2648846717", "매물Link")</f>
        <v/>
      </c>
      <c r="M1657" s="6">
        <f>HYPERLINK("https://map.naver.com/p/search/조치원읍 번암리 121-4", "지도Link")</f>
        <v/>
      </c>
      <c r="N1657" s="6">
        <f>HYPERLINK("http://www.eum.go.kr/web/ar/lu/luLandDet.jsp?pnu=3611025031101210004&amp;isNoScr=script&amp;mode=search",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1531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광대세각</t>
        </is>
      </c>
    </row>
    <row r="1658">
      <c r="A1658" s="3" t="inlineStr">
        <is>
          <t>조치원읍 번암리 133</t>
        </is>
      </c>
      <c r="B1658" s="3" t="inlineStr">
        <is>
          <t>제2종일반주거지역</t>
        </is>
      </c>
      <c r="C1658" s="3" t="inlineStr">
        <is>
          <t>주유소용지</t>
        </is>
      </c>
      <c r="D1658" s="3" t="inlineStr">
        <is>
          <t>주유소용지</t>
        </is>
      </c>
      <c r="E1658" s="3" t="inlineStr">
        <is>
          <t>매매</t>
        </is>
      </c>
      <c r="F1658" s="4" t="n">
        <v>170000</v>
      </c>
      <c r="G1658" s="4" t="n">
        <v>542</v>
      </c>
      <c r="H1658" s="4" t="n">
        <v>164</v>
      </c>
      <c r="I1658" s="5" t="n">
        <v>1036.6</v>
      </c>
      <c r="J1658" s="5" t="n">
        <v>380.8</v>
      </c>
      <c r="K1658" s="3" t="inlineStr">
        <is>
          <t>최고의 입지, 대도로 접합, 진입로 있음, 명당,현재 주유소부지.</t>
        </is>
      </c>
      <c r="L1658" s="6">
        <f>HYPERLINK("https://fin.land.naver.com/articles/2647562954", "매물Link")</f>
        <v/>
      </c>
      <c r="M1658" s="6">
        <f>HYPERLINK("https://map.naver.com/p/search/조치원읍 번암리 133", "지도Link")</f>
        <v/>
      </c>
      <c r="N1658" s="6">
        <f>HYPERLINK("http://www.eum.go.kr/web/ar/lu/luLandDet.jsp?pnu=3611025031101330000&amp;isNoScr=script&amp;mode=search", "토지이음")</f>
        <v/>
      </c>
      <c r="O1658" s="3" t="inlineStr">
        <is>
          <t>송죽</t>
        </is>
      </c>
      <c r="P1658" s="4" t="n">
        <v>1</v>
      </c>
      <c r="Q1658" s="4" t="n">
        <v>542</v>
      </c>
      <c r="R1658" s="3" t="inlineStr">
        <is>
          <t>지정되지않음</t>
        </is>
      </c>
      <c r="S1658" s="3" t="inlineStr">
        <is>
          <t>상업용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광대로한면</t>
        </is>
      </c>
    </row>
    <row r="1659">
      <c r="A1659" s="3" t="inlineStr">
        <is>
          <t>조치원읍 번암리 171-48</t>
        </is>
      </c>
      <c r="B1659" s="3" t="inlineStr">
        <is>
          <t>일반공업지역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158400</v>
      </c>
      <c r="G1659" s="4" t="n">
        <v>1007</v>
      </c>
      <c r="H1659" s="4" t="n">
        <v>305</v>
      </c>
      <c r="I1659" s="5" t="n">
        <v>519.3</v>
      </c>
      <c r="J1659" s="5" t="n">
        <v>49.5</v>
      </c>
      <c r="K1659" s="3" t="inlineStr">
        <is>
          <t>조율가,대도로인접,소방포장도로 접,노출효과 좋음,근린상가,소형공장등 추천</t>
        </is>
      </c>
      <c r="L1659" s="6">
        <f>HYPERLINK("https://fin.land.naver.com/articles/2650121496", "매물Link")</f>
        <v/>
      </c>
      <c r="M1659" s="6">
        <f>HYPERLINK("https://map.naver.com/p/search/조치원읍 번암리 171-48", "지도Link")</f>
        <v/>
      </c>
      <c r="N1659" s="6">
        <f>HYPERLINK("http://www.eum.go.kr/web/ar/lu/luLandDet.jsp?pnu=3611025031101710048&amp;isNoScr=script&amp;mode=search", "토지이음")</f>
        <v/>
      </c>
      <c r="O1659" s="3" t="inlineStr">
        <is>
          <t>세종지원</t>
        </is>
      </c>
      <c r="P1659" s="4" t="n">
        <v>1</v>
      </c>
      <c r="Q1659" s="4" t="n">
        <v>598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번암리 171-48</t>
        </is>
      </c>
      <c r="B1660" s="3" t="inlineStr">
        <is>
          <t>일반공업지역</t>
        </is>
      </c>
      <c r="C1660" s="3" t="inlineStr">
        <is>
          <t>과수원</t>
        </is>
      </c>
      <c r="D1660" s="3" t="inlineStr">
        <is>
          <t>과수원</t>
        </is>
      </c>
      <c r="E1660" s="3" t="inlineStr">
        <is>
          <t>매매</t>
        </is>
      </c>
      <c r="F1660" s="4" t="n">
        <v>121800</v>
      </c>
      <c r="G1660" s="4" t="n">
        <v>1007</v>
      </c>
      <c r="H1660" s="4" t="n">
        <v>305</v>
      </c>
      <c r="I1660" s="5" t="n">
        <v>399.3</v>
      </c>
      <c r="J1660" s="5" t="n">
        <v>49.5</v>
      </c>
      <c r="K1660" s="3" t="inlineStr">
        <is>
          <t>대로변 광고효과 소로1류1012m접함 일반공업지역 공장 근생적합</t>
        </is>
      </c>
      <c r="L1660" s="6">
        <f>HYPERLINK("https://fin.land.naver.com/articles/2651927674", "매물Link")</f>
        <v/>
      </c>
      <c r="M1660" s="6">
        <f>HYPERLINK("https://map.naver.com/p/search/조치원읍 번암리 171-48", "지도Link")</f>
        <v/>
      </c>
      <c r="N1660" s="6">
        <f>HYPERLINK("http://www.eum.go.kr/web/ar/lu/luLandDet.jsp?pnu=3611025031101710048&amp;isNoScr=script&amp;mode=search", "토지이음")</f>
        <v/>
      </c>
      <c r="O1660" s="3" t="inlineStr">
        <is>
          <t>세종이룸</t>
        </is>
      </c>
      <c r="P1660" s="4" t="n">
        <v>1</v>
      </c>
      <c r="Q1660" s="4" t="n">
        <v>598</v>
      </c>
      <c r="R1660" s="3" t="inlineStr">
        <is>
          <t>지정되지않음</t>
        </is>
      </c>
      <c r="S1660" s="3" t="inlineStr">
        <is>
          <t>과수원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조치원읍 번암리 171-49</t>
        </is>
      </c>
      <c r="B1661" s="3" t="inlineStr">
        <is>
          <t>일반공업지역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178880</v>
      </c>
      <c r="G1661" s="4" t="n">
        <v>1137</v>
      </c>
      <c r="H1661" s="4" t="n">
        <v>344</v>
      </c>
      <c r="I1661" s="5" t="n">
        <v>520</v>
      </c>
      <c r="J1661" s="5" t="n">
        <v>44</v>
      </c>
      <c r="K1661" s="3" t="inlineStr">
        <is>
          <t>조율가,대도로근접,소방포장도로 접,노출효과 좋음,근린상가,소형공장등 추천</t>
        </is>
      </c>
      <c r="L1661" s="6">
        <f>HYPERLINK("https://fin.land.naver.com/articles/2650121155", "매물Link")</f>
        <v/>
      </c>
      <c r="M1661" s="6">
        <f>HYPERLINK("https://map.naver.com/p/search/조치원읍 번암리 171-49", "지도Link")</f>
        <v/>
      </c>
      <c r="N1661" s="6">
        <f>HYPERLINK("http://www.eum.go.kr/web/ar/lu/luLandDet.jsp?pnu=3611025031101710049&amp;isNoScr=script&amp;mode=search", "토지이음")</f>
        <v/>
      </c>
      <c r="O1661" s="3" t="inlineStr">
        <is>
          <t>어반통</t>
        </is>
      </c>
      <c r="P1661" s="4" t="n">
        <v>1</v>
      </c>
      <c r="Q1661" s="4" t="n">
        <v>1137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조치원읍 번암리 2-4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180000</v>
      </c>
      <c r="G1662" s="4" t="n">
        <v>15025</v>
      </c>
      <c r="H1662" s="4" t="n">
        <v>4545</v>
      </c>
      <c r="I1662" s="5" t="n">
        <v>39.6</v>
      </c>
      <c r="J1662" s="5" t="n">
        <v>59.8</v>
      </c>
      <c r="K1662" s="3" t="inlineStr">
        <is>
          <t>도로접근선 우수 여러용도 활용가능</t>
        </is>
      </c>
      <c r="L1662" s="6">
        <f>HYPERLINK("https://fin.land.naver.com/articles/2650788390", "매물Link")</f>
        <v/>
      </c>
      <c r="M1662" s="6">
        <f>HYPERLINK("https://map.naver.com/p/search/조치원읍 번암리 2-4", "지도Link")</f>
        <v/>
      </c>
      <c r="N1662" s="6">
        <f>HYPERLINK("http://www.eum.go.kr/web/ar/lu/luLandDet.jsp?pnu=3611025031100020004&amp;isNoScr=script&amp;mode=search", "토지이음")</f>
        <v/>
      </c>
      <c r="O1662" s="3" t="inlineStr">
        <is>
          <t>신두정리치</t>
        </is>
      </c>
      <c r="P1662" s="4" t="n">
        <v>1</v>
      </c>
      <c r="Q1662" s="4" t="n">
        <v>10154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완경사</t>
        </is>
      </c>
      <c r="U1662" s="3" t="inlineStr">
        <is>
          <t>자루형</t>
        </is>
      </c>
      <c r="V1662" s="3" t="inlineStr">
        <is>
          <t>세로한면(가)</t>
        </is>
      </c>
    </row>
    <row r="1663">
      <c r="A1663" s="3" t="inlineStr">
        <is>
          <t>조치원읍 번암리 2-4</t>
        </is>
      </c>
      <c r="B1663" s="3" t="inlineStr">
        <is>
          <t>보전녹지지역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186000</v>
      </c>
      <c r="G1663" s="4" t="n">
        <v>15410</v>
      </c>
      <c r="H1663" s="4" t="n">
        <v>4662</v>
      </c>
      <c r="I1663" s="5" t="n">
        <v>39.9</v>
      </c>
      <c r="J1663" s="5" t="n">
        <v>59.8</v>
      </c>
      <c r="K1663" s="3" t="inlineStr">
        <is>
          <t>급매, 번암리 산업시설,공장다수,향후 활용가능성 높은토지</t>
        </is>
      </c>
      <c r="L1663" s="6">
        <f>HYPERLINK("https://fin.land.naver.com/articles/2651070894", "매물Link")</f>
        <v/>
      </c>
      <c r="M1663" s="6">
        <f>HYPERLINK("https://map.naver.com/p/search/조치원읍 번암리 2-4", "지도Link")</f>
        <v/>
      </c>
      <c r="N1663" s="6">
        <f>HYPERLINK("http://www.eum.go.kr/web/ar/lu/luLandDet.jsp?pnu=3611025031100020004&amp;isNoScr=script&amp;mode=search", "토지이음")</f>
        <v/>
      </c>
      <c r="O1663" s="3" t="inlineStr">
        <is>
          <t>다옴</t>
        </is>
      </c>
      <c r="P1663" s="4" t="n">
        <v>1</v>
      </c>
      <c r="Q1663" s="4" t="n">
        <v>10154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완경사</t>
        </is>
      </c>
      <c r="U1663" s="3" t="inlineStr">
        <is>
          <t>자루형</t>
        </is>
      </c>
      <c r="V1663" s="3" t="inlineStr">
        <is>
          <t>세로한면(가)</t>
        </is>
      </c>
    </row>
    <row r="1664">
      <c r="A1664" s="3" t="inlineStr">
        <is>
          <t>조치원읍 번암리 66-1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100000</v>
      </c>
      <c r="G1664" s="4" t="n">
        <v>1084</v>
      </c>
      <c r="H1664" s="4" t="n">
        <v>328</v>
      </c>
      <c r="I1664" s="5" t="n">
        <v>304.9</v>
      </c>
      <c r="J1664" s="5" t="n">
        <v>120.7</v>
      </c>
      <c r="K1664" s="3" t="inlineStr">
        <is>
          <t>죽림리 2차선 접한 저렴한토지 상업용건물 추천</t>
        </is>
      </c>
      <c r="L1664" s="6">
        <f>HYPERLINK("https://fin.land.naver.com/articles/2651708138", "매물Link")</f>
        <v/>
      </c>
      <c r="M1664" s="6">
        <f>HYPERLINK("https://map.naver.com/p/search/조치원읍 번암리 66-1", "지도Link")</f>
        <v/>
      </c>
      <c r="N1664" s="6">
        <f>HYPERLINK("http://www.eum.go.kr/web/ar/lu/luLandDet.jsp?pnu=3611025031100660001&amp;isNoScr=script&amp;mode=search", "토지이음")</f>
        <v/>
      </c>
      <c r="O1664" s="3" t="inlineStr">
        <is>
          <t>OK수</t>
        </is>
      </c>
      <c r="P1664" s="4" t="n">
        <v>1</v>
      </c>
      <c r="Q1664" s="4" t="n">
        <v>500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번암리 86-1</t>
        </is>
      </c>
      <c r="B1665" s="3" t="inlineStr">
        <is>
          <t>제2종일반주거지역</t>
        </is>
      </c>
      <c r="C1665" s="3" t="inlineStr">
        <is>
          <t>과수원</t>
        </is>
      </c>
      <c r="D1665" s="3" t="inlineStr">
        <is>
          <t>대</t>
        </is>
      </c>
      <c r="E1665" s="3" t="inlineStr">
        <is>
          <t>매매</t>
        </is>
      </c>
      <c r="F1665" s="4" t="n">
        <v>50000</v>
      </c>
      <c r="G1665" s="4" t="n">
        <v>331</v>
      </c>
      <c r="H1665" s="4" t="n">
        <v>100</v>
      </c>
      <c r="I1665" s="5" t="n">
        <v>500</v>
      </c>
      <c r="J1665" s="5" t="n">
        <v>190.1</v>
      </c>
      <c r="K1665" s="3" t="inlineStr">
        <is>
          <t>초기 투자 부담 적고 활용도 높은 규모</t>
        </is>
      </c>
      <c r="L1665" s="6">
        <f>HYPERLINK("https://fin.land.naver.com/articles/2648621896", "매물Link")</f>
        <v/>
      </c>
      <c r="M1665" s="6">
        <f>HYPERLINK("https://map.naver.com/p/search/조치원읍 번암리 86-1", "지도Link")</f>
        <v/>
      </c>
      <c r="N1665" s="6">
        <f>HYPERLINK("http://www.eum.go.kr/web/ar/lu/luLandDet.jsp?pnu=3611025031100860001&amp;isNoScr=script&amp;mode=search", "토지이음")</f>
        <v/>
      </c>
      <c r="O1665" s="3" t="inlineStr">
        <is>
          <t>더KEY</t>
        </is>
      </c>
      <c r="P1665" s="4" t="n">
        <v>1</v>
      </c>
      <c r="Q1665" s="4" t="n">
        <v>331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번암리 86-3</t>
        </is>
      </c>
      <c r="B1666" s="3" t="inlineStr">
        <is>
          <t>제2종일반주거지역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356000</v>
      </c>
      <c r="G1666" s="4" t="n">
        <v>2934</v>
      </c>
      <c r="H1666" s="4" t="n">
        <v>888</v>
      </c>
      <c r="I1666" s="5" t="n">
        <v>400.9</v>
      </c>
      <c r="J1666" s="5" t="n">
        <v>181.1</v>
      </c>
      <c r="K1666" s="3" t="inlineStr">
        <is>
          <t>도로접도 우수한 조치원 제2종주거 2,934㎡ 일괄부지</t>
        </is>
      </c>
      <c r="L1666" s="6">
        <f>HYPERLINK("https://fin.land.naver.com/articles/2653049898", "매물Link")</f>
        <v/>
      </c>
      <c r="M1666" s="6">
        <f>HYPERLINK("https://map.naver.com/p/search/조치원읍 번암리 86-3", "지도Link")</f>
        <v/>
      </c>
      <c r="N1666" s="6">
        <f>HYPERLINK("http://www.eum.go.kr/web/ar/lu/luLandDet.jsp?pnu=3611025031100860003&amp;isNoScr=script&amp;mode=search", "토지이음")</f>
        <v/>
      </c>
      <c r="O1666" s="3" t="inlineStr">
        <is>
          <t>세종소담황금</t>
        </is>
      </c>
      <c r="P1666" s="4" t="n">
        <v>1</v>
      </c>
      <c r="Q1666" s="4" t="n">
        <v>980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번암리 96-2</t>
        </is>
      </c>
      <c r="B1667" s="3" t="inlineStr">
        <is>
          <t>제2종일반주거지역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180000</v>
      </c>
      <c r="G1667" s="4" t="n">
        <v>943</v>
      </c>
      <c r="H1667" s="4" t="n">
        <v>285</v>
      </c>
      <c r="I1667" s="5" t="n">
        <v>631.6</v>
      </c>
      <c r="J1667" s="5" t="n">
        <v>222.5</v>
      </c>
      <c r="K1667" s="3" t="inlineStr">
        <is>
          <t>도시지역내 2종일반주거지역 토지</t>
        </is>
      </c>
      <c r="L1667" s="6">
        <f>HYPERLINK("https://fin.land.naver.com/articles/2650856620", "매물Link")</f>
        <v/>
      </c>
      <c r="M1667" s="6">
        <f>HYPERLINK("https://map.naver.com/p/search/조치원읍 번암리 96-2", "지도Link")</f>
        <v/>
      </c>
      <c r="N1667" s="6">
        <f>HYPERLINK("http://www.eum.go.kr/web/ar/lu/luLandDet.jsp?pnu=3611025031100960002&amp;isNoScr=script&amp;mode=search", "토지이음")</f>
        <v/>
      </c>
      <c r="O1667" s="3" t="inlineStr">
        <is>
          <t>세종대박</t>
        </is>
      </c>
      <c r="P1667" s="4" t="n">
        <v>1</v>
      </c>
      <c r="Q1667" s="4" t="n">
        <v>943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중로한면</t>
        </is>
      </c>
    </row>
    <row r="1668">
      <c r="A1668" s="3" t="inlineStr">
        <is>
          <t>조치원읍 봉산리 108-1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245000</v>
      </c>
      <c r="G1668" s="4" t="n">
        <v>2188</v>
      </c>
      <c r="H1668" s="4" t="n">
        <v>662</v>
      </c>
      <c r="I1668" s="5" t="n">
        <v>370.1</v>
      </c>
      <c r="J1668" s="5" t="n">
        <v>153.9</v>
      </c>
      <c r="K1668" s="3" t="inlineStr">
        <is>
          <t>추천. 조치원 근생용지 추천</t>
        </is>
      </c>
      <c r="L1668" s="6">
        <f>HYPERLINK("https://fin.land.naver.com/articles/2651923205", "매물Link")</f>
        <v/>
      </c>
      <c r="M1668" s="6">
        <f>HYPERLINK("https://map.naver.com/p/search/조치원읍 봉산리 108-1", "지도Link")</f>
        <v/>
      </c>
      <c r="N1668" s="6">
        <f>HYPERLINK("http://www.eum.go.kr/web/ar/lu/luLandDet.jsp?pnu=3611025033101080001&amp;isNoScr=script&amp;mode=search", "토지이음")</f>
        <v/>
      </c>
      <c r="O1668" s="3" t="inlineStr">
        <is>
          <t>강아지풀</t>
        </is>
      </c>
      <c r="P1668" s="4" t="n">
        <v>1</v>
      </c>
      <c r="Q1668" s="4" t="n">
        <v>2188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봉산리 171-3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210000</v>
      </c>
      <c r="G1669" s="4" t="n">
        <v>2313</v>
      </c>
      <c r="H1669" s="4" t="n">
        <v>700</v>
      </c>
      <c r="I1669" s="5" t="n">
        <v>300</v>
      </c>
      <c r="J1669" s="5" t="n">
        <v>129.9</v>
      </c>
      <c r="K1669" s="3" t="inlineStr">
        <is>
          <t>세종시 조치원 도심 700,  중로접 토지, 코너위치, 투자 1순위</t>
        </is>
      </c>
      <c r="L1669" s="6">
        <f>HYPERLINK("https://fin.land.naver.com/articles/2650315346", "매물Link")</f>
        <v/>
      </c>
      <c r="M1669" s="6">
        <f>HYPERLINK("https://map.naver.com/p/search/조치원읍 봉산리 171-3", "지도Link")</f>
        <v/>
      </c>
      <c r="N1669" s="6">
        <f>HYPERLINK("http://www.eum.go.kr/web/ar/lu/luLandDet.jsp?pnu=3611025033101710003&amp;isNoScr=script&amp;mode=search", "토지이음")</f>
        <v/>
      </c>
      <c r="O1669" s="3" t="inlineStr">
        <is>
          <t>세종공감</t>
        </is>
      </c>
      <c r="P1669" s="4" t="n">
        <v>1</v>
      </c>
      <c r="Q1669" s="4" t="n">
        <v>2313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중로각지</t>
        </is>
      </c>
    </row>
    <row r="1670">
      <c r="A1670" s="3" t="inlineStr">
        <is>
          <t>조치원읍 봉산리 171-5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140000</v>
      </c>
      <c r="G1670" s="4" t="n">
        <v>1695</v>
      </c>
      <c r="H1670" s="4" t="n">
        <v>513</v>
      </c>
      <c r="I1670" s="5" t="n">
        <v>272.9</v>
      </c>
      <c r="J1670" s="5" t="n">
        <v>135.2</v>
      </c>
      <c r="K1670" s="3" t="inlineStr">
        <is>
          <t>세종시 조치원읍 봉산리 토지 2필지 일괄매매입니다.</t>
        </is>
      </c>
      <c r="L1670" s="6">
        <f>HYPERLINK("https://fin.land.naver.com/articles/2648778213", "매물Link")</f>
        <v/>
      </c>
      <c r="M1670" s="6">
        <f>HYPERLINK("https://map.naver.com/p/search/조치원읍 봉산리 171-5", "지도Link")</f>
        <v/>
      </c>
      <c r="N1670" s="6">
        <f>HYPERLINK("http://www.eum.go.kr/web/ar/lu/luLandDet.jsp?pnu=3611025033101710005&amp;isNoScr=script&amp;mode=search", "토지이음")</f>
        <v/>
      </c>
      <c r="O1670" s="3" t="inlineStr">
        <is>
          <t>세종공감</t>
        </is>
      </c>
      <c r="P1670" s="4" t="n">
        <v>1</v>
      </c>
      <c r="Q1670" s="4" t="n">
        <v>499</v>
      </c>
      <c r="R1670" s="3" t="inlineStr">
        <is>
          <t>지정되지않음</t>
        </is>
      </c>
      <c r="S1670" s="3" t="inlineStr">
        <is>
          <t>답창고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중로한면</t>
        </is>
      </c>
    </row>
    <row r="1671">
      <c r="A1671" s="3" t="inlineStr">
        <is>
          <t>조치원읍 봉산리 225-2</t>
        </is>
      </c>
      <c r="B1671" s="3" t="inlineStr">
        <is>
          <t>자연녹지지역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65000</v>
      </c>
      <c r="G1671" s="4" t="n">
        <v>1450</v>
      </c>
      <c r="H1671" s="4" t="n">
        <v>439</v>
      </c>
      <c r="I1671" s="5" t="n">
        <v>148.1</v>
      </c>
      <c r="J1671" s="5" t="n">
        <v>69.3</v>
      </c>
      <c r="K1671" s="3" t="inlineStr">
        <is>
          <t>nan</t>
        </is>
      </c>
      <c r="L1671" s="6">
        <f>HYPERLINK("https://fin.land.naver.com/articles/2647840843", "매물Link")</f>
        <v/>
      </c>
      <c r="M1671" s="6">
        <f>HYPERLINK("https://map.naver.com/p/search/조치원읍 봉산리 225-2", "지도Link")</f>
        <v/>
      </c>
      <c r="N1671" s="6">
        <f>HYPERLINK("http://www.eum.go.kr/web/ar/lu/luLandDet.jsp?pnu=3611025033102250002&amp;isNoScr=script&amp;mode=search", "토지이음")</f>
        <v/>
      </c>
      <c r="O1671" s="3" t="inlineStr">
        <is>
          <t>덕천</t>
        </is>
      </c>
      <c r="P1671" s="4" t="n">
        <v>1</v>
      </c>
      <c r="Q1671" s="4" t="n">
        <v>1450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세로한면(불)</t>
        </is>
      </c>
    </row>
    <row r="1672">
      <c r="A1672" s="3" t="inlineStr">
        <is>
          <t>조치원읍 봉산리 273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76000</v>
      </c>
      <c r="G1672" s="4" t="n">
        <v>1009</v>
      </c>
      <c r="H1672" s="4" t="n">
        <v>305</v>
      </c>
      <c r="I1672" s="5" t="n">
        <v>249.2</v>
      </c>
      <c r="J1672" s="5" t="n">
        <v>75.8</v>
      </c>
      <c r="K1672" s="3" t="inlineStr"/>
      <c r="L1672" s="6">
        <f>HYPERLINK("https://fin.land.naver.com/articles/2650829738", "매물Link")</f>
        <v/>
      </c>
      <c r="M1672" s="6">
        <f>HYPERLINK("https://map.naver.com/p/search/조치원읍 봉산리 273", "지도Link")</f>
        <v/>
      </c>
      <c r="N1672" s="6">
        <f>HYPERLINK("http://www.eum.go.kr/web/ar/lu/luLandDet.jsp?pnu=3611025033102730000&amp;isNoScr=script&amp;mode=search", "토지이음")</f>
        <v/>
      </c>
      <c r="O1672" s="3" t="inlineStr">
        <is>
          <t>세종지평</t>
        </is>
      </c>
      <c r="P1672" s="4" t="n">
        <v>1</v>
      </c>
      <c r="Q1672" s="4" t="n">
        <v>1010</v>
      </c>
      <c r="R1672" s="3" t="inlineStr">
        <is>
          <t>자연녹지지역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조치원읍 봉산리 273-2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180000</v>
      </c>
      <c r="G1673" s="4" t="n">
        <v>1949</v>
      </c>
      <c r="H1673" s="4" t="n">
        <v>590</v>
      </c>
      <c r="I1673" s="5" t="n">
        <v>305.1</v>
      </c>
      <c r="J1673" s="5" t="n">
        <v>74.40000000000001</v>
      </c>
      <c r="K1673" s="3" t="inlineStr">
        <is>
          <t>봉산리  귀한 계획관리지역  2차선도로 접.토지거래허가구역. 투자추천매물</t>
        </is>
      </c>
      <c r="L1673" s="6">
        <f>HYPERLINK("https://fin.land.naver.com/articles/2652950737", "매물Link")</f>
        <v/>
      </c>
      <c r="M1673" s="6">
        <f>HYPERLINK("https://map.naver.com/p/search/조치원읍 봉산리 273-2", "지도Link")</f>
        <v/>
      </c>
      <c r="N1673" s="6">
        <f>HYPERLINK("http://www.eum.go.kr/web/ar/lu/luLandDet.jsp?pnu=3611025033102730002&amp;isNoScr=script&amp;mode=search", "토지이음")</f>
        <v/>
      </c>
      <c r="O1673" s="3" t="inlineStr">
        <is>
          <t>세종보물</t>
        </is>
      </c>
      <c r="P1673" s="4" t="n">
        <v>1</v>
      </c>
      <c r="Q1673" s="4" t="n">
        <v>1949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287-2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140700</v>
      </c>
      <c r="G1674" s="4" t="n">
        <v>3322</v>
      </c>
      <c r="H1674" s="4" t="n">
        <v>1005</v>
      </c>
      <c r="I1674" s="5" t="n">
        <v>140</v>
      </c>
      <c r="J1674" s="5" t="n">
        <v>70</v>
      </c>
      <c r="K1674" s="3" t="inlineStr">
        <is>
          <t>투자용</t>
        </is>
      </c>
      <c r="L1674" s="6">
        <f>HYPERLINK("https://fin.land.naver.com/articles/2648555645", "매물Link")</f>
        <v/>
      </c>
      <c r="M1674" s="6">
        <f>HYPERLINK("https://map.naver.com/p/search/조치원읍 봉산리 287-2", "지도Link")</f>
        <v/>
      </c>
      <c r="N1674" s="6">
        <f>HYPERLINK("http://www.eum.go.kr/web/ar/lu/luLandDet.jsp?pnu=3611025033102870002&amp;isNoScr=script&amp;mode=search", "토지이음")</f>
        <v/>
      </c>
      <c r="O1674" s="3" t="inlineStr">
        <is>
          <t>세종리츠</t>
        </is>
      </c>
      <c r="P1674" s="4" t="n">
        <v>1</v>
      </c>
      <c r="Q1674" s="4" t="n">
        <v>2628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조치원읍 봉산리 296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300000</v>
      </c>
      <c r="G1675" s="4" t="n">
        <v>2631</v>
      </c>
      <c r="H1675" s="4" t="n">
        <v>796</v>
      </c>
      <c r="I1675" s="5" t="n">
        <v>376.9</v>
      </c>
      <c r="J1675" s="5" t="n">
        <v>93.7</v>
      </c>
      <c r="K1675" s="3" t="inlineStr">
        <is>
          <t>조치원 서북부지구 도시개발사업인접. 향후 유동 인구와 인프라 확충높음</t>
        </is>
      </c>
      <c r="L1675" s="6">
        <f>HYPERLINK("https://fin.land.naver.com/articles/2649013256", "매물Link")</f>
        <v/>
      </c>
      <c r="M1675" s="6">
        <f>HYPERLINK("https://map.naver.com/p/search/조치원읍 봉산리 296", "지도Link")</f>
        <v/>
      </c>
      <c r="N1675" s="6">
        <f>HYPERLINK("http://www.eum.go.kr/web/ar/lu/luLandDet.jsp?pnu=3611025033102960000&amp;isNoScr=script&amp;mode=search", "토지이음")</f>
        <v/>
      </c>
      <c r="O1675" s="3" t="inlineStr">
        <is>
          <t>우리동네</t>
        </is>
      </c>
      <c r="P1675" s="4" t="n">
        <v>1</v>
      </c>
      <c r="Q1675" s="4" t="n">
        <v>2631</v>
      </c>
      <c r="R1675" s="3" t="inlineStr">
        <is>
          <t>지정되지않음</t>
        </is>
      </c>
      <c r="S1675" s="3" t="inlineStr">
        <is>
          <t>공업용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조치원읍 봉산리 393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375000</v>
      </c>
      <c r="G1676" s="4" t="n">
        <v>828</v>
      </c>
      <c r="H1676" s="4" t="n">
        <v>250</v>
      </c>
      <c r="I1676" s="5" t="n">
        <v>1500</v>
      </c>
      <c r="J1676" s="5" t="n">
        <v>274.4</v>
      </c>
      <c r="K1676" s="3" t="inlineStr">
        <is>
          <t>준주거 대지</t>
        </is>
      </c>
      <c r="L1676" s="6">
        <f>HYPERLINK("https://fin.land.naver.com/articles/2649750743", "매물Link")</f>
        <v/>
      </c>
      <c r="M1676" s="6">
        <f>HYPERLINK("https://map.naver.com/p/search/조치원읍 봉산리 393", "지도Link")</f>
        <v/>
      </c>
      <c r="N1676" s="6">
        <f>HYPERLINK("http://www.eum.go.kr/web/ar/lu/luLandDet.jsp?pnu=3611025033103930000&amp;isNoScr=script&amp;mode=search", "토지이음")</f>
        <v/>
      </c>
      <c r="O1676" s="3" t="inlineStr">
        <is>
          <t>세종몽땅</t>
        </is>
      </c>
      <c r="P1676" s="4" t="n">
        <v>1</v>
      </c>
      <c r="Q1676" s="4" t="n">
        <v>828.7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봉산리 393</t>
        </is>
      </c>
      <c r="B1677" s="3" t="inlineStr">
        <is>
          <t>준주거지역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450000</v>
      </c>
      <c r="G1677" s="4" t="n">
        <v>828</v>
      </c>
      <c r="H1677" s="4" t="n">
        <v>250</v>
      </c>
      <c r="I1677" s="5" t="n">
        <v>1800</v>
      </c>
      <c r="J1677" s="5" t="n">
        <v>274.4</v>
      </c>
      <c r="K1677" s="3" t="inlineStr">
        <is>
          <t>조치원 서북부지구 아파트 앞 중심상권 토지</t>
        </is>
      </c>
      <c r="L1677" s="6">
        <f>HYPERLINK("https://fin.land.naver.com/articles/2650856619", "매물Link")</f>
        <v/>
      </c>
      <c r="M1677" s="6">
        <f>HYPERLINK("https://map.naver.com/p/search/조치원읍 봉산리 393", "지도Link")</f>
        <v/>
      </c>
      <c r="N1677" s="6">
        <f>HYPERLINK("http://www.eum.go.kr/web/ar/lu/luLandDet.jsp?pnu=3611025033103930000&amp;isNoScr=script&amp;mode=search", "토지이음")</f>
        <v/>
      </c>
      <c r="O1677" s="3" t="inlineStr">
        <is>
          <t>세종대박</t>
        </is>
      </c>
      <c r="P1677" s="4" t="n">
        <v>1</v>
      </c>
      <c r="Q1677" s="4" t="n">
        <v>828.7</v>
      </c>
      <c r="R1677" s="3" t="inlineStr">
        <is>
          <t>지정되지않음</t>
        </is>
      </c>
      <c r="S1677" s="3" t="inlineStr">
        <is>
          <t>상업나지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중로각지</t>
        </is>
      </c>
    </row>
    <row r="1678">
      <c r="A1678" s="3" t="inlineStr">
        <is>
          <t>조치원읍 봉산리 산 20-16</t>
        </is>
      </c>
      <c r="B1678" s="3" t="inlineStr">
        <is>
          <t>자연녹지지역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380000</v>
      </c>
      <c r="G1678" s="4" t="n">
        <v>25657</v>
      </c>
      <c r="H1678" s="4" t="n">
        <v>7761</v>
      </c>
      <c r="I1678" s="5" t="n">
        <v>49</v>
      </c>
      <c r="J1678" s="5" t="n">
        <v>8.5</v>
      </c>
      <c r="K1678" s="3" t="inlineStr">
        <is>
          <t>봉산리 임야 매매</t>
        </is>
      </c>
      <c r="L1678" s="6">
        <f>HYPERLINK("https://fin.land.naver.com/articles/2647628421", "매물Link")</f>
        <v/>
      </c>
      <c r="M1678" s="6">
        <f>HYPERLINK("https://map.naver.com/p/search/조치원읍 봉산리 산 20-16", "지도Link")</f>
        <v/>
      </c>
      <c r="N1678" s="6">
        <f>HYPERLINK("http://www.eum.go.kr/web/ar/lu/luLandDet.jsp?pnu=3611025033200200016&amp;isNoScr=script&amp;mode=search", "토지이음")</f>
        <v/>
      </c>
      <c r="O1678" s="3" t="inlineStr">
        <is>
          <t>스마트</t>
        </is>
      </c>
      <c r="P1678" s="4" t="n">
        <v>1</v>
      </c>
      <c r="Q1678" s="4" t="n">
        <v>25657</v>
      </c>
      <c r="R1678" s="3" t="inlineStr">
        <is>
          <t>보전녹지지역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조치원읍 봉산리 산20-15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16084</v>
      </c>
      <c r="G1679" s="4" t="n">
        <v>13291</v>
      </c>
      <c r="H1679" s="4" t="n">
        <v>4021</v>
      </c>
      <c r="I1679" s="5" t="n">
        <v>4</v>
      </c>
      <c r="J1679" s="5" t="n">
        <v>4.1</v>
      </c>
      <c r="K1679" s="3" t="inlineStr">
        <is>
          <t>맹지 빠른매도원함 조치원읍  주변 땅 발전성 높고요 매물 가치 좋아요</t>
        </is>
      </c>
      <c r="L1679" s="6">
        <f>HYPERLINK("https://fin.land.naver.com/articles/2649267318", "매물Link")</f>
        <v/>
      </c>
      <c r="M1679" s="6">
        <f>HYPERLINK("https://map.naver.com/p/search/조치원읍 봉산리 산20-15", "지도Link")</f>
        <v/>
      </c>
      <c r="N1679" s="6">
        <f>HYPERLINK("http://www.eum.go.kr/web/ar/lu/luLandDet.jsp?pnu=3611025033200200015&amp;isNoScr=script&amp;mode=search", "토지이음")</f>
        <v/>
      </c>
      <c r="O1679" s="3" t="inlineStr">
        <is>
          <t>삼성래미안</t>
        </is>
      </c>
      <c r="P1679" s="4" t="n">
        <v>2</v>
      </c>
      <c r="Q1679" s="4" t="n">
        <v>13291</v>
      </c>
      <c r="R1679" s="3" t="inlineStr">
        <is>
          <t>자연녹지지역</t>
        </is>
      </c>
      <c r="S1679" s="3" t="inlineStr">
        <is>
          <t>자연림</t>
        </is>
      </c>
      <c r="T1679" s="3" t="inlineStr">
        <is>
          <t>급경사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상리 98</t>
        </is>
      </c>
      <c r="B1680" s="3" t="inlineStr">
        <is>
          <t>일반상업지역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90000</v>
      </c>
      <c r="G1680" s="4" t="n">
        <v>427</v>
      </c>
      <c r="H1680" s="4" t="n">
        <v>129</v>
      </c>
      <c r="I1680" s="5" t="n">
        <v>697.7</v>
      </c>
      <c r="J1680" s="5" t="n">
        <v>478</v>
      </c>
      <c r="K1680" s="3" t="inlineStr">
        <is>
          <t>상리 일반상업지역 매매 대지 입니다</t>
        </is>
      </c>
      <c r="L1680" s="6">
        <f>HYPERLINK("https://fin.land.naver.com/articles/2653068453", "매물Link")</f>
        <v/>
      </c>
      <c r="M1680" s="6">
        <f>HYPERLINK("https://map.naver.com/p/search/조치원읍 상리 98", "지도Link")</f>
        <v/>
      </c>
      <c r="N1680" s="6">
        <f>HYPERLINK("http://www.eum.go.kr/web/ar/lu/luLandDet.jsp?pnu=3611025022100980000&amp;isNoScr=script&amp;mode=search", "토지이음")</f>
        <v/>
      </c>
      <c r="O1680" s="3" t="inlineStr">
        <is>
          <t>상희</t>
        </is>
      </c>
      <c r="P1680" s="4" t="n">
        <v>1</v>
      </c>
      <c r="Q1680" s="4" t="n">
        <v>427</v>
      </c>
      <c r="R1680" s="3" t="inlineStr">
        <is>
          <t>지정되지않음</t>
        </is>
      </c>
      <c r="S1680" s="3" t="inlineStr">
        <is>
          <t>주상나지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상리 98</t>
        </is>
      </c>
      <c r="B1681" s="3" t="inlineStr">
        <is>
          <t>일반상업지역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90000</v>
      </c>
      <c r="G1681" s="4" t="n">
        <v>427</v>
      </c>
      <c r="H1681" s="4" t="n">
        <v>129</v>
      </c>
      <c r="I1681" s="5" t="n">
        <v>697.7</v>
      </c>
      <c r="J1681" s="5" t="n">
        <v>478</v>
      </c>
      <c r="K1681" s="3" t="inlineStr">
        <is>
          <t>조치원 버스터미널 바로 옆 일반상업지역 위치 최고 대지 매매</t>
        </is>
      </c>
      <c r="L1681" s="6">
        <f>HYPERLINK("https://fin.land.naver.com/articles/2650923519", "매물Link")</f>
        <v/>
      </c>
      <c r="M1681" s="6">
        <f>HYPERLINK("https://map.naver.com/p/search/조치원읍 상리 98", "지도Link")</f>
        <v/>
      </c>
      <c r="N1681" s="6">
        <f>HYPERLINK("http://www.eum.go.kr/web/ar/lu/luLandDet.jsp?pnu=3611025022100980000&amp;isNoScr=script&amp;mode=search", "토지이음")</f>
        <v/>
      </c>
      <c r="O1681" s="3" t="inlineStr">
        <is>
          <t>나침반</t>
        </is>
      </c>
      <c r="P1681" s="4" t="n">
        <v>2</v>
      </c>
      <c r="Q1681" s="4" t="n">
        <v>427</v>
      </c>
      <c r="R1681" s="3" t="inlineStr">
        <is>
          <t>지정되지않음</t>
        </is>
      </c>
      <c r="S1681" s="3" t="inlineStr">
        <is>
          <t>주상나지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조치원읍 상리 98</t>
        </is>
      </c>
      <c r="B1682" s="3" t="inlineStr">
        <is>
          <t>일반상업지역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427</v>
      </c>
      <c r="H1682" s="4" t="n">
        <v>129</v>
      </c>
      <c r="I1682" s="5" t="n">
        <v>697.7</v>
      </c>
      <c r="J1682" s="5" t="n">
        <v>478</v>
      </c>
      <c r="K1682" s="3" t="inlineStr">
        <is>
          <t>조치원 버스터미널 인접 도로접 일반상업지역 9억대 나대지</t>
        </is>
      </c>
      <c r="L1682" s="6">
        <f>HYPERLINK("https://fin.land.naver.com/articles/2649751054", "매물Link")</f>
        <v/>
      </c>
      <c r="M1682" s="6">
        <f>HYPERLINK("https://map.naver.com/p/search/조치원읍 상리 98", "지도Link")</f>
        <v/>
      </c>
      <c r="N1682" s="6">
        <f>HYPERLINK("http://www.eum.go.kr/web/ar/lu/luLandDet.jsp?pnu=3611025022100980000&amp;isNoScr=script&amp;mode=search", "토지이음")</f>
        <v/>
      </c>
      <c r="O1682" s="3" t="inlineStr">
        <is>
          <t>세종소담황금</t>
        </is>
      </c>
      <c r="P1682" s="4" t="n">
        <v>1</v>
      </c>
      <c r="Q1682" s="4" t="n">
        <v>427</v>
      </c>
      <c r="R1682" s="3" t="inlineStr">
        <is>
          <t>지정되지않음</t>
        </is>
      </c>
      <c r="S1682" s="3" t="inlineStr">
        <is>
          <t>주상나지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서창리 105-10</t>
        </is>
      </c>
      <c r="B1683" s="3" t="inlineStr">
        <is>
          <t>제1종일반주거지역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185000</v>
      </c>
      <c r="G1683" s="4" t="n">
        <v>1685</v>
      </c>
      <c r="H1683" s="4" t="n">
        <v>510</v>
      </c>
      <c r="I1683" s="5" t="n">
        <v>362.7</v>
      </c>
      <c r="J1683" s="5" t="n">
        <v>228.2</v>
      </c>
      <c r="K1683" s="3" t="inlineStr">
        <is>
          <t>4차선 대로접, 물류 및 자동차 관련시설 추천</t>
        </is>
      </c>
      <c r="L1683" s="6">
        <f>HYPERLINK("https://fin.land.naver.com/articles/2649100924", "매물Link")</f>
        <v/>
      </c>
      <c r="M1683" s="6">
        <f>HYPERLINK("https://map.naver.com/p/search/조치원읍 서창리 105-10", "지도Link")</f>
        <v/>
      </c>
      <c r="N1683" s="6">
        <f>HYPERLINK("http://www.eum.go.kr/web/ar/lu/luLandDet.jsp?pnu=3611025034101050010&amp;isNoScr=script&amp;mode=search", "토지이음")</f>
        <v/>
      </c>
      <c r="O1683" s="3" t="inlineStr">
        <is>
          <t>세종소담114</t>
        </is>
      </c>
      <c r="P1683" s="4" t="n">
        <v>1</v>
      </c>
      <c r="Q1683" s="4" t="n">
        <v>1685</v>
      </c>
      <c r="R1683" s="3" t="inlineStr">
        <is>
          <t>자연녹지지역</t>
        </is>
      </c>
      <c r="S1683" s="3" t="inlineStr">
        <is>
          <t>주상나지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중로한면</t>
        </is>
      </c>
    </row>
    <row r="1684">
      <c r="A1684" s="3" t="inlineStr">
        <is>
          <t>조치원읍 서창리 106-4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540</v>
      </c>
      <c r="H1684" s="4" t="n">
        <v>163</v>
      </c>
      <c r="I1684" s="5" t="n">
        <v>368.1</v>
      </c>
      <c r="J1684" s="5" t="n">
        <v>194.8</v>
      </c>
      <c r="K1684" s="3" t="inlineStr">
        <is>
          <t>카센타 세차장 등으로 활용하면 좋을 근생시설과 단독주택을 일괄매매합니다</t>
        </is>
      </c>
      <c r="L1684" s="6">
        <f>HYPERLINK("https://fin.land.naver.com/articles/2650939295", "매물Link")</f>
        <v/>
      </c>
      <c r="M1684" s="6">
        <f>HYPERLINK("https://map.naver.com/p/search/조치원읍 서창리 106-4", "지도Link")</f>
        <v/>
      </c>
      <c r="N1684" s="6">
        <f>HYPERLINK("http://www.eum.go.kr/web/ar/lu/luLandDet.jsp?pnu=3611025034101060004&amp;isNoScr=script&amp;mode=search", "토지이음")</f>
        <v/>
      </c>
      <c r="O1684" s="3" t="inlineStr">
        <is>
          <t>스마일세종</t>
        </is>
      </c>
      <c r="P1684" s="4" t="n">
        <v>1</v>
      </c>
      <c r="Q1684" s="4" t="n">
        <v>540.1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서창리 124-2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98700</v>
      </c>
      <c r="G1685" s="4" t="n">
        <v>1086</v>
      </c>
      <c r="H1685" s="4" t="n">
        <v>329</v>
      </c>
      <c r="I1685" s="5" t="n">
        <v>300</v>
      </c>
      <c r="J1685" s="5" t="n">
        <v>108</v>
      </c>
      <c r="K1685" s="3" t="inlineStr">
        <is>
          <t>도시지역.자연녹지지역.공공청사</t>
        </is>
      </c>
      <c r="L1685" s="6">
        <f>HYPERLINK("https://fin.land.naver.com/articles/2651200819", "매물Link")</f>
        <v/>
      </c>
      <c r="M1685" s="6">
        <f>HYPERLINK("https://map.naver.com/p/search/조치원읍 서창리 124-2", "지도Link")</f>
        <v/>
      </c>
      <c r="N1685" s="6">
        <f>HYPERLINK("http://www.eum.go.kr/web/ar/lu/luLandDet.jsp?pnu=3611025034101240002&amp;isNoScr=script&amp;mode=search", "토지이음")</f>
        <v/>
      </c>
      <c r="O1685" s="3" t="inlineStr">
        <is>
          <t>광주역포스코</t>
        </is>
      </c>
      <c r="P1685" s="4" t="n">
        <v>1</v>
      </c>
      <c r="Q1685" s="4" t="n">
        <v>1086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중로각지</t>
        </is>
      </c>
    </row>
    <row r="1686">
      <c r="A1686" s="3" t="inlineStr">
        <is>
          <t>조치원읍 서창리 138-2</t>
        </is>
      </c>
      <c r="B1686" s="3" t="inlineStr">
        <is>
          <t>제2종일반주거지역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84960</v>
      </c>
      <c r="G1686" s="4" t="n">
        <v>620</v>
      </c>
      <c r="H1686" s="4" t="n">
        <v>188</v>
      </c>
      <c r="I1686" s="5" t="n">
        <v>451.9</v>
      </c>
      <c r="J1686" s="5" t="n">
        <v>178.5</v>
      </c>
      <c r="K1686" s="3" t="inlineStr">
        <is>
          <t>세종시 조치원읍 서창리 토지 급매 고려대,세종여고옆 제2종주거620㎡급매</t>
        </is>
      </c>
      <c r="L1686" s="6">
        <f>HYPERLINK("https://fin.land.naver.com/articles/2650379617", "매물Link")</f>
        <v/>
      </c>
      <c r="M1686" s="6">
        <f>HYPERLINK("https://map.naver.com/p/search/조치원읍 서창리 138-2", "지도Link")</f>
        <v/>
      </c>
      <c r="N1686" s="6">
        <f>HYPERLINK("http://www.eum.go.kr/web/ar/lu/luLandDet.jsp?pnu=3611025034101380002&amp;isNoScr=script&amp;mode=search", "토지이음")</f>
        <v/>
      </c>
      <c r="O1686" s="3" t="inlineStr">
        <is>
          <t>세종</t>
        </is>
      </c>
      <c r="P1686" s="4" t="n">
        <v>3</v>
      </c>
      <c r="Q1686" s="4" t="n">
        <v>289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서창리 138-2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85000</v>
      </c>
      <c r="G1687" s="4" t="n">
        <v>620</v>
      </c>
      <c r="H1687" s="4" t="n">
        <v>188</v>
      </c>
      <c r="I1687" s="5" t="n">
        <v>452.1</v>
      </c>
      <c r="J1687" s="5" t="n">
        <v>178.5</v>
      </c>
      <c r="K1687" s="3" t="inlineStr">
        <is>
          <t>서창리 2종일반주거,2차선접 코너 나대지 토지 급매</t>
        </is>
      </c>
      <c r="L1687" s="6">
        <f>HYPERLINK("https://fin.land.naver.com/articles/2649393495", "매물Link")</f>
        <v/>
      </c>
      <c r="M1687" s="6">
        <f>HYPERLINK("https://map.naver.com/p/search/조치원읍 서창리 138-2", "지도Link")</f>
        <v/>
      </c>
      <c r="N1687" s="6">
        <f>HYPERLINK("http://www.eum.go.kr/web/ar/lu/luLandDet.jsp?pnu=3611025034101380002&amp;isNoScr=script&amp;mode=search", "토지이음")</f>
        <v/>
      </c>
      <c r="O1687" s="3" t="inlineStr">
        <is>
          <t>광장</t>
        </is>
      </c>
      <c r="P1687" s="4" t="n">
        <v>2</v>
      </c>
      <c r="Q1687" s="4" t="n">
        <v>289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소로한면</t>
        </is>
      </c>
    </row>
    <row r="1688">
      <c r="A1688" s="3" t="inlineStr">
        <is>
          <t>조치원읍 서창리 138-2</t>
        </is>
      </c>
      <c r="B1688" s="3" t="inlineStr">
        <is>
          <t>제2종일반주거지역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85000</v>
      </c>
      <c r="G1688" s="4" t="n">
        <v>620</v>
      </c>
      <c r="H1688" s="4" t="n">
        <v>188</v>
      </c>
      <c r="I1688" s="5" t="n">
        <v>452.1</v>
      </c>
      <c r="J1688" s="5" t="n">
        <v>178.5</v>
      </c>
      <c r="K1688" s="3" t="inlineStr">
        <is>
          <t>서창리 토지 매매</t>
        </is>
      </c>
      <c r="L1688" s="6">
        <f>HYPERLINK("https://fin.land.naver.com/articles/2648992439", "매물Link")</f>
        <v/>
      </c>
      <c r="M1688" s="6">
        <f>HYPERLINK("https://map.naver.com/p/search/조치원읍 서창리 138-2", "지도Link")</f>
        <v/>
      </c>
      <c r="N1688" s="6">
        <f>HYPERLINK("http://www.eum.go.kr/web/ar/lu/luLandDet.jsp?pnu=3611025034101380002&amp;isNoScr=script&amp;mode=search", "토지이음")</f>
        <v/>
      </c>
      <c r="O1688" s="3" t="inlineStr">
        <is>
          <t>김준희</t>
        </is>
      </c>
      <c r="P1688" s="4" t="n">
        <v>1</v>
      </c>
      <c r="Q1688" s="4" t="n">
        <v>289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소로한면</t>
        </is>
      </c>
    </row>
    <row r="1689">
      <c r="A1689" s="3" t="inlineStr">
        <is>
          <t>조치원읍 서창리 138-2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85000</v>
      </c>
      <c r="G1689" s="4" t="n">
        <v>620</v>
      </c>
      <c r="H1689" s="4" t="n">
        <v>188</v>
      </c>
      <c r="I1689" s="5" t="n">
        <v>452.1</v>
      </c>
      <c r="J1689" s="5" t="n">
        <v>178.5</v>
      </c>
      <c r="K1689" s="3" t="inlineStr">
        <is>
          <t>nan</t>
        </is>
      </c>
      <c r="L1689" s="6">
        <f>HYPERLINK("https://fin.land.naver.com/articles/2649067843", "매물Link")</f>
        <v/>
      </c>
      <c r="M1689" s="6">
        <f>HYPERLINK("https://map.naver.com/p/search/조치원읍 서창리 138-2", "지도Link")</f>
        <v/>
      </c>
      <c r="N1689" s="6">
        <f>HYPERLINK("http://www.eum.go.kr/web/ar/lu/luLandDet.jsp?pnu=3611025034101380002&amp;isNoScr=script&amp;mode=search", "토지이음")</f>
        <v/>
      </c>
      <c r="O1689" s="3" t="inlineStr">
        <is>
          <t>번암주공</t>
        </is>
      </c>
      <c r="P1689" s="4" t="n">
        <v>2</v>
      </c>
      <c r="Q1689" s="4" t="n">
        <v>289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조치원읍 서창리 138-5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85000</v>
      </c>
      <c r="G1690" s="4" t="n">
        <v>620</v>
      </c>
      <c r="H1690" s="4" t="n">
        <v>188</v>
      </c>
      <c r="I1690" s="5" t="n">
        <v>452.1</v>
      </c>
      <c r="J1690" s="5" t="n">
        <v>178.5</v>
      </c>
      <c r="K1690" s="3" t="inlineStr">
        <is>
          <t>2차선도로 및 후면도로에도 접한 제2종일반주거지역의 근린생활시설 상가부지</t>
        </is>
      </c>
      <c r="L1690" s="6">
        <f>HYPERLINK("https://fin.land.naver.com/articles/2650732863", "매물Link")</f>
        <v/>
      </c>
      <c r="M1690" s="6">
        <f>HYPERLINK("https://map.naver.com/p/search/조치원읍 서창리 138-5", "지도Link")</f>
        <v/>
      </c>
      <c r="N1690" s="6">
        <f>HYPERLINK("http://www.eum.go.kr/web/ar/lu/luLandDet.jsp?pnu=3611025034101380005&amp;isNoScr=script&amp;mode=search", "토지이음")</f>
        <v/>
      </c>
      <c r="O1690" s="3" t="inlineStr">
        <is>
          <t>스마일세종</t>
        </is>
      </c>
      <c r="P1690" s="4" t="n">
        <v>2</v>
      </c>
      <c r="Q1690" s="4" t="n">
        <v>331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조치원읍 서창리 152-2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63000</v>
      </c>
      <c r="G1691" s="4" t="n">
        <v>328</v>
      </c>
      <c r="H1691" s="4" t="n">
        <v>99</v>
      </c>
      <c r="I1691" s="5" t="n">
        <v>636.4</v>
      </c>
      <c r="J1691" s="5" t="n">
        <v>237.3</v>
      </c>
      <c r="K1691" s="3" t="inlineStr">
        <is>
          <t>급매,고려대학교 인근,도로접 도시.2종일반주거지역,다용도 건축가능</t>
        </is>
      </c>
      <c r="L1691" s="6">
        <f>HYPERLINK("https://fin.land.naver.com/articles/2649493845", "매물Link")</f>
        <v/>
      </c>
      <c r="M1691" s="6">
        <f>HYPERLINK("https://map.naver.com/p/search/조치원읍 서창리 152-2", "지도Link")</f>
        <v/>
      </c>
      <c r="N1691" s="6">
        <f>HYPERLINK("http://www.eum.go.kr/web/ar/lu/luLandDet.jsp?pnu=3611025034101520002&amp;isNoScr=script&amp;mode=search", "토지이음")</f>
        <v/>
      </c>
      <c r="O1691" s="3" t="inlineStr">
        <is>
          <t>고운맘</t>
        </is>
      </c>
      <c r="P1691" s="4" t="n">
        <v>1</v>
      </c>
      <c r="Q1691" s="4" t="n">
        <v>328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168-2</t>
        </is>
      </c>
      <c r="B1692" s="3" t="inlineStr">
        <is>
          <t>준주거지역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732</v>
      </c>
      <c r="H1692" s="4" t="n">
        <v>221</v>
      </c>
      <c r="I1692" s="5" t="n">
        <v>543</v>
      </c>
      <c r="J1692" s="5" t="n">
        <v>320.9</v>
      </c>
      <c r="K1692" s="3" t="inlineStr">
        <is>
          <t>근생부지로 좋은 고려대학교 인근 3거리 코너 각지에 있는 준주거지역 대지</t>
        </is>
      </c>
      <c r="L1692" s="6">
        <f>HYPERLINK("https://fin.land.naver.com/articles/2652409745", "매물Link")</f>
        <v/>
      </c>
      <c r="M1692" s="6">
        <f>HYPERLINK("https://map.naver.com/p/search/조치원읍 서창리 168-2", "지도Link")</f>
        <v/>
      </c>
      <c r="N1692" s="6">
        <f>HYPERLINK("http://www.eum.go.kr/web/ar/lu/luLandDet.jsp?pnu=3611025034101680002&amp;isNoScr=script&amp;mode=search",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732</v>
      </c>
      <c r="R1692" s="3" t="inlineStr">
        <is>
          <t>지정되지않음</t>
        </is>
      </c>
      <c r="S1692" s="3" t="inlineStr">
        <is>
          <t>주거기타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168-2</t>
        </is>
      </c>
      <c r="B1693" s="3" t="inlineStr">
        <is>
          <t>준주거지역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120000</v>
      </c>
      <c r="G1693" s="4" t="n">
        <v>732</v>
      </c>
      <c r="H1693" s="4" t="n">
        <v>221</v>
      </c>
      <c r="I1693" s="5" t="n">
        <v>543</v>
      </c>
      <c r="J1693" s="5" t="n">
        <v>320.9</v>
      </c>
      <c r="K1693" s="3" t="inlineStr">
        <is>
          <t>준주거지역 추천매물 고대 정문근처</t>
        </is>
      </c>
      <c r="L1693" s="6">
        <f>HYPERLINK("https://fin.land.naver.com/articles/2648069706", "매물Link")</f>
        <v/>
      </c>
      <c r="M1693" s="6">
        <f>HYPERLINK("https://map.naver.com/p/search/조치원읍 서창리 168-2", "지도Link")</f>
        <v/>
      </c>
      <c r="N1693" s="6">
        <f>HYPERLINK("http://www.eum.go.kr/web/ar/lu/luLandDet.jsp?pnu=3611025034101680002&amp;isNoScr=script&amp;mode=search", "토지이음")</f>
        <v/>
      </c>
      <c r="O1693" s="3" t="inlineStr">
        <is>
          <t>김준희</t>
        </is>
      </c>
      <c r="P1693" s="4" t="n">
        <v>1</v>
      </c>
      <c r="Q1693" s="4" t="n">
        <v>732</v>
      </c>
      <c r="R1693" s="3" t="inlineStr">
        <is>
          <t>지정되지않음</t>
        </is>
      </c>
      <c r="S1693" s="3" t="inlineStr">
        <is>
          <t>주거기타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168-31</t>
        </is>
      </c>
      <c r="B1694" s="3" t="inlineStr">
        <is>
          <t>준주거지역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30000</v>
      </c>
      <c r="G1694" s="4" t="n">
        <v>148</v>
      </c>
      <c r="H1694" s="4" t="n">
        <v>45</v>
      </c>
      <c r="I1694" s="5" t="n">
        <v>666.7</v>
      </c>
      <c r="J1694" s="5" t="n">
        <v>307.9</v>
      </c>
      <c r="K1694" s="3" t="inlineStr">
        <is>
          <t>급매, 서창리 준주거지역 토지</t>
        </is>
      </c>
      <c r="L1694" s="6">
        <f>HYPERLINK("https://fin.land.naver.com/articles/2647570748", "매물Link")</f>
        <v/>
      </c>
      <c r="M1694" s="6">
        <f>HYPERLINK("https://map.naver.com/p/search/조치원읍 서창리 168-31", "지도Link")</f>
        <v/>
      </c>
      <c r="N1694" s="6">
        <f>HYPERLINK("http://www.eum.go.kr/web/ar/lu/luLandDet.jsp?pnu=3611025034101680031&amp;isNoScr=script&amp;mode=search", "토지이음")</f>
        <v/>
      </c>
      <c r="O1694" s="3" t="inlineStr">
        <is>
          <t>KB세종</t>
        </is>
      </c>
      <c r="P1694" s="4" t="n">
        <v>1</v>
      </c>
      <c r="Q1694" s="4" t="n">
        <v>148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조치원읍 서창리 182-16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29000</v>
      </c>
      <c r="G1695" s="4" t="n">
        <v>446</v>
      </c>
      <c r="H1695" s="4" t="n">
        <v>135</v>
      </c>
      <c r="I1695" s="5" t="n">
        <v>214.8</v>
      </c>
      <c r="J1695" s="5" t="n">
        <v>201.7</v>
      </c>
      <c r="K1695" s="3" t="inlineStr">
        <is>
          <t>nan</t>
        </is>
      </c>
      <c r="L1695" s="6">
        <f>HYPERLINK("https://fin.land.naver.com/articles/2650246902", "매물Link")</f>
        <v/>
      </c>
      <c r="M1695" s="6">
        <f>HYPERLINK("https://map.naver.com/p/search/조치원읍 서창리 182-16", "지도Link")</f>
        <v/>
      </c>
      <c r="N1695" s="6">
        <f>HYPERLINK("http://www.eum.go.kr/web/ar/lu/luLandDet.jsp?pnu=3611025034101820016&amp;isNoScr=script&amp;mode=search", "토지이음")</f>
        <v/>
      </c>
      <c r="O1695" s="3" t="inlineStr">
        <is>
          <t>찬스</t>
        </is>
      </c>
      <c r="P1695" s="4" t="n">
        <v>1</v>
      </c>
      <c r="Q1695" s="4" t="n">
        <v>446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서창리 248-18</t>
        </is>
      </c>
      <c r="B1696" s="3" t="inlineStr">
        <is>
          <t>자연녹지지역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58000</v>
      </c>
      <c r="G1696" s="4" t="n">
        <v>713</v>
      </c>
      <c r="H1696" s="4" t="n">
        <v>216</v>
      </c>
      <c r="I1696" s="5" t="n">
        <v>268.5</v>
      </c>
      <c r="J1696" s="5" t="n">
        <v>103.3</v>
      </c>
      <c r="K1696" s="3" t="inlineStr">
        <is>
          <t>세종여고 인근 토지매매</t>
        </is>
      </c>
      <c r="L1696" s="6">
        <f>HYPERLINK("https://fin.land.naver.com/articles/2648993268", "매물Link")</f>
        <v/>
      </c>
      <c r="M1696" s="6">
        <f>HYPERLINK("https://map.naver.com/p/search/조치원읍 서창리 248-18", "지도Link")</f>
        <v/>
      </c>
      <c r="N1696" s="6">
        <f>HYPERLINK("http://www.eum.go.kr/web/ar/lu/luLandDet.jsp?pnu=3611025034102480018&amp;isNoScr=script&amp;mode=search", "토지이음")</f>
        <v/>
      </c>
      <c r="O1696" s="3" t="inlineStr">
        <is>
          <t>김준희</t>
        </is>
      </c>
      <c r="P1696" s="4" t="n">
        <v>1</v>
      </c>
      <c r="Q1696" s="4" t="n">
        <v>377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소로한면</t>
        </is>
      </c>
    </row>
    <row r="1697">
      <c r="A1697" s="3" t="inlineStr">
        <is>
          <t>조치원읍 서창리 250</t>
        </is>
      </c>
      <c r="B1697" s="3" t="inlineStr">
        <is>
          <t>제2종일반주거지역</t>
        </is>
      </c>
      <c r="C1697" s="3" t="inlineStr">
        <is>
          <t>전</t>
        </is>
      </c>
      <c r="D1697" s="3" t="inlineStr">
        <is>
          <t>전</t>
        </is>
      </c>
      <c r="E1697" s="3" t="inlineStr">
        <is>
          <t>매매</t>
        </is>
      </c>
      <c r="F1697" s="4" t="n">
        <v>90000</v>
      </c>
      <c r="G1697" s="4" t="n">
        <v>540</v>
      </c>
      <c r="H1697" s="4" t="n">
        <v>163</v>
      </c>
      <c r="I1697" s="5" t="n">
        <v>552.1</v>
      </c>
      <c r="J1697" s="5" t="n">
        <v>184.3</v>
      </c>
      <c r="K1697" s="3" t="inlineStr">
        <is>
          <t>제2종일반주거지역 조치원서창리코너각지토지매매</t>
        </is>
      </c>
      <c r="L1697" s="6">
        <f>HYPERLINK("https://fin.land.naver.com/articles/2651379889", "매물Link")</f>
        <v/>
      </c>
      <c r="M1697" s="6">
        <f>HYPERLINK("https://map.naver.com/p/search/조치원읍 서창리 250", "지도Link")</f>
        <v/>
      </c>
      <c r="N1697" s="6">
        <f>HYPERLINK("http://www.eum.go.kr/web/ar/lu/luLandDet.jsp?pnu=3611025034102500000&amp;isNoScr=script&amp;mode=search", "토지이음")</f>
        <v/>
      </c>
      <c r="O1697" s="3" t="inlineStr">
        <is>
          <t>다정가온아리</t>
        </is>
      </c>
      <c r="P1697" s="4" t="n">
        <v>2</v>
      </c>
      <c r="Q1697" s="4" t="n">
        <v>540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서창리 26-3</t>
        </is>
      </c>
      <c r="B1698" s="3" t="inlineStr">
        <is>
          <t>자연녹지지역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76650</v>
      </c>
      <c r="G1698" s="4" t="n">
        <v>724</v>
      </c>
      <c r="H1698" s="4" t="n">
        <v>219</v>
      </c>
      <c r="I1698" s="5" t="n">
        <v>350</v>
      </c>
      <c r="J1698" s="5" t="n">
        <v>148.7</v>
      </c>
      <c r="K1698" s="3" t="inlineStr">
        <is>
          <t>시세보다 저렴하며,
근생 및 단독주택, 월세 90만원</t>
        </is>
      </c>
      <c r="L1698" s="6">
        <f>HYPERLINK("https://fin.land.naver.com/articles/2652026776", "매물Link")</f>
        <v/>
      </c>
      <c r="M1698" s="6">
        <f>HYPERLINK("https://map.naver.com/p/search/조치원읍 서창리 26-3", "지도Link")</f>
        <v/>
      </c>
      <c r="N1698" s="6">
        <f>HYPERLINK("http://www.eum.go.kr/web/ar/lu/luLandDet.jsp?pnu=3611025034100260003&amp;isNoScr=script&amp;mode=search", "토지이음")</f>
        <v/>
      </c>
      <c r="O1698" s="3" t="inlineStr">
        <is>
          <t>세종땅전문</t>
        </is>
      </c>
      <c r="P1698" s="4" t="n">
        <v>1</v>
      </c>
      <c r="Q1698" s="4" t="n">
        <v>724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서창리 291-8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299</v>
      </c>
      <c r="H1699" s="4" t="n">
        <v>90</v>
      </c>
      <c r="I1699" s="5" t="n">
        <v>611.1</v>
      </c>
      <c r="J1699" s="5" t="n">
        <v>348.4</v>
      </c>
      <c r="K1699" s="3" t="inlineStr">
        <is>
          <t>서창리 다가구주택이나 상가를 지을수 있는 제2종일반주거지역의 대지입니다</t>
        </is>
      </c>
      <c r="L1699" s="6">
        <f>HYPERLINK("https://fin.land.naver.com/articles/2647452131", "매물Link")</f>
        <v/>
      </c>
      <c r="M1699" s="6">
        <f>HYPERLINK("https://map.naver.com/p/search/조치원읍 서창리 291-8", "지도Link")</f>
        <v/>
      </c>
      <c r="N1699" s="6">
        <f>HYPERLINK("http://www.eum.go.kr/web/ar/lu/luLandDet.jsp?pnu=3611025034102910008&amp;isNoScr=script&amp;mode=search",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299</v>
      </c>
      <c r="R1699" s="3" t="inlineStr">
        <is>
          <t>지정되지않음</t>
        </is>
      </c>
      <c r="S1699" s="3" t="inlineStr">
        <is>
          <t>주상기타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소로각지</t>
        </is>
      </c>
    </row>
    <row r="1700">
      <c r="A1700" s="3" t="inlineStr">
        <is>
          <t>조치원읍 서창리 293-4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24638</v>
      </c>
      <c r="G1700" s="4" t="n">
        <v>181</v>
      </c>
      <c r="H1700" s="4" t="n">
        <v>55</v>
      </c>
      <c r="I1700" s="5" t="n">
        <v>448</v>
      </c>
      <c r="J1700" s="5" t="n">
        <v>289.3</v>
      </c>
      <c r="K1700" s="3" t="inlineStr">
        <is>
          <t>nan</t>
        </is>
      </c>
      <c r="L1700" s="6">
        <f>HYPERLINK("https://fin.land.naver.com/articles/2652217321", "매물Link")</f>
        <v/>
      </c>
      <c r="M1700" s="6">
        <f>HYPERLINK("https://map.naver.com/p/search/조치원읍 서창리 293-4", "지도Link")</f>
        <v/>
      </c>
      <c r="N1700" s="6">
        <f>HYPERLINK("http://www.eum.go.kr/web/ar/lu/luLandDet.jsp?pnu=3611025034102930004&amp;isNoScr=script&amp;mode=search", "토지이음")</f>
        <v/>
      </c>
      <c r="O1700" s="3" t="inlineStr">
        <is>
          <t>한일</t>
        </is>
      </c>
      <c r="P1700" s="4" t="n">
        <v>1</v>
      </c>
      <c r="Q1700" s="4" t="n">
        <v>181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조치원읍 서창리 306</t>
        </is>
      </c>
      <c r="B1701" s="3" t="inlineStr">
        <is>
          <t>준주거지역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221000</v>
      </c>
      <c r="G1701" s="4" t="n">
        <v>731</v>
      </c>
      <c r="H1701" s="4" t="n">
        <v>221</v>
      </c>
      <c r="I1701" s="5" t="n">
        <v>1000</v>
      </c>
      <c r="J1701" s="5" t="n">
        <v>274.4</v>
      </c>
      <c r="K1701" s="3" t="inlineStr">
        <is>
          <t>조치원서북부지구 가치상승. 투자가치 우수.</t>
        </is>
      </c>
      <c r="L1701" s="6">
        <f>HYPERLINK("https://fin.land.naver.com/articles/2652222097", "매물Link")</f>
        <v/>
      </c>
      <c r="M1701" s="6">
        <f>HYPERLINK("https://map.naver.com/p/search/조치원읍 서창리 306", "지도Link")</f>
        <v/>
      </c>
      <c r="N1701" s="6">
        <f>HYPERLINK("http://www.eum.go.kr/web/ar/lu/luLandDet.jsp?pnu=3611025034103060000&amp;isNoScr=script&amp;mode=search", "토지이음")</f>
        <v/>
      </c>
      <c r="O1701" s="3" t="inlineStr">
        <is>
          <t>진행</t>
        </is>
      </c>
      <c r="P1701" s="4" t="n">
        <v>1</v>
      </c>
      <c r="Q1701" s="4" t="n">
        <v>731</v>
      </c>
      <c r="R1701" s="3" t="inlineStr">
        <is>
          <t>지정되지않음</t>
        </is>
      </c>
      <c r="S1701" s="3" t="inlineStr">
        <is>
          <t>상업나지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조치원읍 서창리 42-254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25000</v>
      </c>
      <c r="G1702" s="4" t="n">
        <v>330</v>
      </c>
      <c r="H1702" s="4" t="n">
        <v>100</v>
      </c>
      <c r="I1702" s="5" t="n">
        <v>250</v>
      </c>
      <c r="J1702" s="5" t="n">
        <v>133.2</v>
      </c>
      <c r="K1702" s="3" t="inlineStr">
        <is>
          <t>북쪽과 동쪽으로 도로를 낀 코너토지. 주택지추천</t>
        </is>
      </c>
      <c r="L1702" s="6">
        <f>HYPERLINK("https://fin.land.naver.com/articles/2649914344", "매물Link")</f>
        <v/>
      </c>
      <c r="M1702" s="6">
        <f>HYPERLINK("https://map.naver.com/p/search/조치원읍 서창리 42-254", "지도Link")</f>
        <v/>
      </c>
      <c r="N1702" s="6">
        <f>HYPERLINK("http://www.eum.go.kr/web/ar/lu/luLandDet.jsp?pnu=3611025034100420254&amp;isNoScr=script&amp;mode=search", "토지이음")</f>
        <v/>
      </c>
      <c r="O1702" s="3" t="inlineStr">
        <is>
          <t>미스터홈즈강남지사</t>
        </is>
      </c>
      <c r="P1702" s="4" t="n">
        <v>1</v>
      </c>
      <c r="Q1702" s="4" t="n">
        <v>330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세로각지(가)</t>
        </is>
      </c>
    </row>
    <row r="1703">
      <c r="A1703" s="3" t="inlineStr">
        <is>
          <t>조치원읍 서창리 54-1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165000</v>
      </c>
      <c r="G1703" s="4" t="n">
        <v>915</v>
      </c>
      <c r="H1703" s="4" t="n">
        <v>277</v>
      </c>
      <c r="I1703" s="5" t="n">
        <v>595.7</v>
      </c>
      <c r="J1703" s="5" t="n">
        <v>113.6</v>
      </c>
      <c r="K1703" s="3" t="inlineStr">
        <is>
          <t>nan</t>
        </is>
      </c>
      <c r="L1703" s="6">
        <f>HYPERLINK("https://fin.land.naver.com/articles/2651060447", "매물Link")</f>
        <v/>
      </c>
      <c r="M1703" s="6">
        <f>HYPERLINK("https://map.naver.com/p/search/조치원읍 서창리 54-1", "지도Link")</f>
        <v/>
      </c>
      <c r="N1703" s="6">
        <f>HYPERLINK("http://www.eum.go.kr/web/ar/lu/luLandDet.jsp?pnu=3611025034100540001&amp;isNoScr=script&amp;mode=search", "토지이음")</f>
        <v/>
      </c>
      <c r="O1703" s="3" t="inlineStr">
        <is>
          <t>세종문화길</t>
        </is>
      </c>
      <c r="P1703" s="4" t="n">
        <v>1</v>
      </c>
      <c r="Q1703" s="4" t="n">
        <v>915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광대로한면</t>
        </is>
      </c>
    </row>
    <row r="1704">
      <c r="A1704" s="3" t="inlineStr">
        <is>
          <t>조치원읍 서창리 93-20</t>
        </is>
      </c>
      <c r="B1704" s="3" t="inlineStr">
        <is>
          <t>자연녹지지역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150000</v>
      </c>
      <c r="G1704" s="4" t="n">
        <v>2921</v>
      </c>
      <c r="H1704" s="4" t="n">
        <v>884</v>
      </c>
      <c r="I1704" s="5" t="n">
        <v>169.7</v>
      </c>
      <c r="J1704" s="5" t="n">
        <v>59.7</v>
      </c>
      <c r="K1704" s="3" t="inlineStr">
        <is>
          <t>토지급매 조치원역 인근 대규모 부지 정비소, 세차장, 요양원 추천</t>
        </is>
      </c>
      <c r="L1704" s="6">
        <f>HYPERLINK("https://fin.land.naver.com/articles/2652108627", "매물Link")</f>
        <v/>
      </c>
      <c r="M1704" s="6">
        <f>HYPERLINK("https://map.naver.com/p/search/조치원읍 서창리 93-20", "지도Link")</f>
        <v/>
      </c>
      <c r="N1704" s="6">
        <f>HYPERLINK("http://www.eum.go.kr/web/ar/lu/luLandDet.jsp?pnu=3611025034100930020&amp;isNoScr=script&amp;mode=search", "토지이음")</f>
        <v/>
      </c>
      <c r="O1704" s="3" t="inlineStr">
        <is>
          <t>다모아</t>
        </is>
      </c>
      <c r="P1704" s="4" t="n">
        <v>1</v>
      </c>
      <c r="Q1704" s="4" t="n">
        <v>2575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조치원읍 서창리 93-20</t>
        </is>
      </c>
      <c r="B1705" s="3" t="inlineStr">
        <is>
          <t>자연녹지지역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180000</v>
      </c>
      <c r="G1705" s="4" t="n">
        <v>2921</v>
      </c>
      <c r="H1705" s="4" t="n">
        <v>884</v>
      </c>
      <c r="I1705" s="5" t="n">
        <v>203.6</v>
      </c>
      <c r="J1705" s="5" t="n">
        <v>59.7</v>
      </c>
      <c r="K1705" s="3" t="inlineStr">
        <is>
          <t>3필지 일괄매매</t>
        </is>
      </c>
      <c r="L1705" s="6">
        <f>HYPERLINK("https://fin.land.naver.com/articles/2652420151", "매물Link")</f>
        <v/>
      </c>
      <c r="M1705" s="6">
        <f>HYPERLINK("https://map.naver.com/p/search/조치원읍 서창리 93-20", "지도Link")</f>
        <v/>
      </c>
      <c r="N1705" s="6">
        <f>HYPERLINK("http://www.eum.go.kr/web/ar/lu/luLandDet.jsp?pnu=3611025034100930020&amp;isNoScr=script&amp;mode=search", "토지이음")</f>
        <v/>
      </c>
      <c r="O1705" s="3" t="inlineStr">
        <is>
          <t>오송좋은날</t>
        </is>
      </c>
      <c r="P1705" s="4" t="n">
        <v>1</v>
      </c>
      <c r="Q1705" s="4" t="n">
        <v>2575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조치원읍 서창리 93-20</t>
        </is>
      </c>
      <c r="B1706" s="3" t="inlineStr">
        <is>
          <t>자연녹지지역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150000</v>
      </c>
      <c r="G1706" s="4" t="n">
        <v>2921</v>
      </c>
      <c r="H1706" s="4" t="n">
        <v>884</v>
      </c>
      <c r="I1706" s="5" t="n">
        <v>169.7</v>
      </c>
      <c r="J1706" s="5" t="n">
        <v>59.7</v>
      </c>
      <c r="K1706" s="3" t="inlineStr">
        <is>
          <t>조치원 생활권 평탄 대형부지 소형창고 차량보관시설 검토</t>
        </is>
      </c>
      <c r="L1706" s="6">
        <f>HYPERLINK("https://fin.land.naver.com/articles/2650423353", "매물Link")</f>
        <v/>
      </c>
      <c r="M1706" s="6">
        <f>HYPERLINK("https://map.naver.com/p/search/조치원읍 서창리 93-20", "지도Link")</f>
        <v/>
      </c>
      <c r="N1706" s="6">
        <f>HYPERLINK("http://www.eum.go.kr/web/ar/lu/luLandDet.jsp?pnu=3611025034100930020&amp;isNoScr=script&amp;mode=search", "토지이음")</f>
        <v/>
      </c>
      <c r="O1706" s="3" t="inlineStr">
        <is>
          <t>세종소담황금</t>
        </is>
      </c>
      <c r="P1706" s="4" t="n">
        <v>1</v>
      </c>
      <c r="Q1706" s="4" t="n">
        <v>2575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조치원읍 서창리 93-20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150000</v>
      </c>
      <c r="G1707" s="4" t="n">
        <v>2920</v>
      </c>
      <c r="H1707" s="4" t="n">
        <v>883</v>
      </c>
      <c r="I1707" s="5" t="n">
        <v>169.9</v>
      </c>
      <c r="J1707" s="5" t="n">
        <v>59.7</v>
      </c>
      <c r="K1707" s="3" t="inlineStr">
        <is>
          <t>nan</t>
        </is>
      </c>
      <c r="L1707" s="6">
        <f>HYPERLINK("https://fin.land.naver.com/articles/2650423179", "매물Link")</f>
        <v/>
      </c>
      <c r="M1707" s="6">
        <f>HYPERLINK("https://map.naver.com/p/search/조치원읍 서창리 93-20", "지도Link")</f>
        <v/>
      </c>
      <c r="N1707" s="6">
        <f>HYPERLINK("http://www.eum.go.kr/web/ar/lu/luLandDet.jsp?pnu=3611025034100930020&amp;isNoScr=script&amp;mode=search", "토지이음")</f>
        <v/>
      </c>
      <c r="O1707" s="3" t="inlineStr">
        <is>
          <t>현대</t>
        </is>
      </c>
      <c r="P1707" s="4" t="n">
        <v>1</v>
      </c>
      <c r="Q1707" s="4" t="n">
        <v>2575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조치원읍서창리 대규모부지 및 도로포함 3필지 일괄매매, 미래가치투자최적지</t>
        </is>
      </c>
      <c r="L1708" s="6">
        <f>HYPERLINK("https://fin.land.naver.com/articles/2650921528",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이화</t>
        </is>
      </c>
      <c r="P1708" s="4" t="n">
        <v>4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95-3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120000</v>
      </c>
      <c r="G1709" s="4" t="n">
        <v>1293</v>
      </c>
      <c r="H1709" s="4" t="n">
        <v>391</v>
      </c>
      <c r="I1709" s="5" t="n">
        <v>306.9</v>
      </c>
      <c r="J1709" s="5" t="n">
        <v>157.6</v>
      </c>
      <c r="K1709" s="3" t="inlineStr">
        <is>
          <t>서창리 토지 매매 자연녹지</t>
        </is>
      </c>
      <c r="L1709" s="6">
        <f>HYPERLINK("https://fin.land.naver.com/articles/2648069701", "매물Link")</f>
        <v/>
      </c>
      <c r="M1709" s="6">
        <f>HYPERLINK("https://map.naver.com/p/search/조치원읍 서창리 95-3", "지도Link")</f>
        <v/>
      </c>
      <c r="N1709" s="6">
        <f>HYPERLINK("http://www.eum.go.kr/web/ar/lu/luLandDet.jsp?pnu=3611025034100950003&amp;isNoScr=script&amp;mode=search",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255</v>
      </c>
      <c r="R1709" s="3" t="inlineStr">
        <is>
          <t>제1종일반주거지역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중로한면</t>
        </is>
      </c>
    </row>
    <row r="1710">
      <c r="A1710" s="3" t="inlineStr">
        <is>
          <t>조치원읍 신안리 171-7</t>
        </is>
      </c>
      <c r="B1710" s="3" t="inlineStr">
        <is>
          <t>자연녹지지역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57000</v>
      </c>
      <c r="G1710" s="4" t="n">
        <v>1046</v>
      </c>
      <c r="H1710" s="4" t="n">
        <v>316</v>
      </c>
      <c r="I1710" s="5" t="n">
        <v>180.4</v>
      </c>
      <c r="J1710" s="5" t="n">
        <v>108.5</v>
      </c>
      <c r="K1710" s="3" t="inlineStr">
        <is>
          <t>세종 조치원읍 성장관리계획구역 토지 매매</t>
        </is>
      </c>
      <c r="L1710" s="6">
        <f>HYPERLINK("https://fin.land.naver.com/articles/2650361043", "매물Link")</f>
        <v/>
      </c>
      <c r="M1710" s="6">
        <f>HYPERLINK("https://map.naver.com/p/search/조치원읍 신안리 171-7", "지도Link")</f>
        <v/>
      </c>
      <c r="N1710" s="6">
        <f>HYPERLINK("http://www.eum.go.kr/web/ar/lu/luLandDet.jsp?pnu=3611025032101710007&amp;isNoScr=script&amp;mode=search", "토지이음")</f>
        <v/>
      </c>
      <c r="O1710" s="3" t="inlineStr">
        <is>
          <t>세종몽땅</t>
        </is>
      </c>
      <c r="P1710" s="4" t="n">
        <v>1</v>
      </c>
      <c r="Q1710" s="4" t="n">
        <v>1046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조치원읍 신안리 193-2</t>
        </is>
      </c>
      <c r="B1711" s="3" t="inlineStr">
        <is>
          <t>자연녹지지역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46000</v>
      </c>
      <c r="G1711" s="4" t="n">
        <v>529</v>
      </c>
      <c r="H1711" s="4" t="n">
        <v>160</v>
      </c>
      <c r="I1711" s="5" t="n">
        <v>287.5</v>
      </c>
      <c r="J1711" s="5" t="n">
        <v>147.6</v>
      </c>
      <c r="K1711" s="3" t="inlineStr">
        <is>
          <t>급매,국도1호선 서창역 인근 알토란 나대지,월룸.단독주택.투자용추천</t>
        </is>
      </c>
      <c r="L1711" s="6">
        <f>HYPERLINK("https://fin.land.naver.com/articles/2651742010", "매물Link")</f>
        <v/>
      </c>
      <c r="M1711" s="6">
        <f>HYPERLINK("https://map.naver.com/p/search/조치원읍 신안리 193-2", "지도Link")</f>
        <v/>
      </c>
      <c r="N1711" s="6">
        <f>HYPERLINK("http://www.eum.go.kr/web/ar/lu/luLandDet.jsp?pnu=3611025032101930002&amp;isNoScr=script&amp;mode=search",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397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조치원읍 신안리 207-53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147900</v>
      </c>
      <c r="G1712" s="4" t="n">
        <v>1630</v>
      </c>
      <c r="H1712" s="4" t="n">
        <v>493</v>
      </c>
      <c r="I1712" s="5" t="n">
        <v>300</v>
      </c>
      <c r="J1712" s="5" t="n">
        <v>95.2</v>
      </c>
      <c r="K1712" s="3" t="inlineStr">
        <is>
          <t>1번국도변 가시성좋은 자연녹지. 서창역300미터거리</t>
        </is>
      </c>
      <c r="L1712" s="6">
        <f>HYPERLINK("https://fin.land.naver.com/articles/2649892785", "매물Link")</f>
        <v/>
      </c>
      <c r="M1712" s="6">
        <f>HYPERLINK("https://map.naver.com/p/search/조치원읍 신안리 207-53", "지도Link")</f>
        <v/>
      </c>
      <c r="N1712" s="6">
        <f>HYPERLINK("http://www.eum.go.kr/web/ar/lu/luLandDet.jsp?pnu=3611025032102070053&amp;isNoScr=script&amp;mode=search",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1257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조치원읍 신안리 243-10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98000</v>
      </c>
      <c r="G1713" s="4" t="n">
        <v>1620</v>
      </c>
      <c r="H1713" s="4" t="n">
        <v>490</v>
      </c>
      <c r="I1713" s="5" t="n">
        <v>200</v>
      </c>
      <c r="J1713" s="5" t="n">
        <v>76.5</v>
      </c>
      <c r="K1713" s="3" t="inlineStr">
        <is>
          <t>서창역세권 개발예정지, 홍익대학교 인접, 철도보호지구</t>
        </is>
      </c>
      <c r="L1713" s="6">
        <f>HYPERLINK("https://fin.land.naver.com/articles/2652107211", "매물Link")</f>
        <v/>
      </c>
      <c r="M1713" s="6">
        <f>HYPERLINK("https://map.naver.com/p/search/조치원읍 신안리 243-10", "지도Link")</f>
        <v/>
      </c>
      <c r="N1713" s="6">
        <f>HYPERLINK("http://www.eum.go.kr/web/ar/lu/luLandDet.jsp?pnu=3611025032102430010&amp;isNoScr=script&amp;mode=search", "토지이음")</f>
        <v/>
      </c>
      <c r="O1713" s="3" t="inlineStr">
        <is>
          <t>미스터홈즈강남지사</t>
        </is>
      </c>
      <c r="P1713" s="4" t="n">
        <v>1</v>
      </c>
      <c r="Q1713" s="4" t="n">
        <v>1620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조치원읍 신안리 341-17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65000</v>
      </c>
      <c r="G1714" s="4" t="n">
        <v>433</v>
      </c>
      <c r="H1714" s="4" t="n">
        <v>131</v>
      </c>
      <c r="I1714" s="5" t="n">
        <v>496.2</v>
      </c>
      <c r="J1714" s="5" t="n">
        <v>233.8</v>
      </c>
      <c r="K1714" s="3" t="inlineStr">
        <is>
          <t>홍익대 근접 거리, 원룸 지으실 분 추천요.</t>
        </is>
      </c>
      <c r="L1714" s="6">
        <f>HYPERLINK("https://fin.land.naver.com/articles/2650467431", "매물Link")</f>
        <v/>
      </c>
      <c r="M1714" s="6">
        <f>HYPERLINK("https://map.naver.com/p/search/조치원읍 신안리 341-17", "지도Link")</f>
        <v/>
      </c>
      <c r="N1714" s="6">
        <f>HYPERLINK("http://www.eum.go.kr/web/ar/lu/luLandDet.jsp?pnu=3611025032103410017&amp;isNoScr=script&amp;mode=search",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337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세로한면(가)</t>
        </is>
      </c>
    </row>
    <row r="1715">
      <c r="A1715" s="3" t="inlineStr">
        <is>
          <t>조치원읍 신안리 35-17</t>
        </is>
      </c>
      <c r="B1715" s="3" t="inlineStr">
        <is>
          <t>제2종일반주거지역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285000</v>
      </c>
      <c r="G1715" s="4" t="n">
        <v>1653</v>
      </c>
      <c r="H1715" s="4" t="n">
        <v>500</v>
      </c>
      <c r="I1715" s="5" t="n">
        <v>570</v>
      </c>
      <c r="J1715" s="5" t="n">
        <v>430.4</v>
      </c>
      <c r="K1715" s="3" t="inlineStr">
        <is>
          <t>도시지역 대로접, 2종일반주거지역,넓은 면적 위치좋은 토지</t>
        </is>
      </c>
      <c r="L1715" s="6">
        <f>HYPERLINK("https://fin.land.naver.com/articles/2647781403", "매물Link")</f>
        <v/>
      </c>
      <c r="M1715" s="6">
        <f>HYPERLINK("https://map.naver.com/p/search/조치원읍 신안리 35-17", "지도Link")</f>
        <v/>
      </c>
      <c r="N1715" s="6">
        <f>HYPERLINK("http://www.eum.go.kr/web/ar/lu/luLandDet.jsp?pnu=3611025032100350017&amp;isNoScr=script&amp;mode=search",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1653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광대로한면</t>
        </is>
      </c>
    </row>
    <row r="1716">
      <c r="A1716" s="3" t="inlineStr">
        <is>
          <t>조치원읍 신안리 383-1</t>
        </is>
      </c>
      <c r="B1716" s="3" t="inlineStr">
        <is>
          <t>제2종일반주거지역</t>
        </is>
      </c>
      <c r="C1716" s="3" t="inlineStr">
        <is>
          <t>답</t>
        </is>
      </c>
      <c r="D1716" s="3" t="inlineStr">
        <is>
          <t>대</t>
        </is>
      </c>
      <c r="E1716" s="3" t="inlineStr">
        <is>
          <t>매매</t>
        </is>
      </c>
      <c r="F1716" s="4" t="n">
        <v>30000</v>
      </c>
      <c r="G1716" s="4" t="n">
        <v>264</v>
      </c>
      <c r="H1716" s="4" t="n">
        <v>80</v>
      </c>
      <c r="I1716" s="5" t="n">
        <v>375</v>
      </c>
      <c r="J1716" s="5" t="n">
        <v>200.1</v>
      </c>
      <c r="K1716" s="3" t="inlineStr">
        <is>
          <t>2차선도로접,대학교 주변 상권좋음</t>
        </is>
      </c>
      <c r="L1716" s="6">
        <f>HYPERLINK("https://fin.land.naver.com/articles/2651577930", "매물Link")</f>
        <v/>
      </c>
      <c r="M1716" s="6">
        <f>HYPERLINK("https://map.naver.com/p/search/조치원읍 신안리 383-1", "지도Link")</f>
        <v/>
      </c>
      <c r="N1716" s="6">
        <f>HYPERLINK("http://www.eum.go.kr/web/ar/lu/luLandDet.jsp?pnu=3611025032103830001&amp;isNoScr=script&amp;mode=search", "토지이음")</f>
        <v/>
      </c>
      <c r="O1716" s="3" t="inlineStr">
        <is>
          <t>세종연동탑</t>
        </is>
      </c>
      <c r="P1716" s="4" t="n">
        <v>2</v>
      </c>
      <c r="Q1716" s="4" t="n">
        <v>265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조치원읍 신안리 390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120000</v>
      </c>
      <c r="G1717" s="4" t="n">
        <v>525</v>
      </c>
      <c r="H1717" s="4" t="n">
        <v>159</v>
      </c>
      <c r="I1717" s="5" t="n">
        <v>754.7</v>
      </c>
      <c r="J1717" s="5" t="n">
        <v>418.5</v>
      </c>
      <c r="K1717" s="3" t="inlineStr">
        <is>
          <t>대지가격으로 매매합니다.12억평750만원</t>
        </is>
      </c>
      <c r="L1717" s="6">
        <f>HYPERLINK("https://fin.land.naver.com/articles/2650957174", "매물Link")</f>
        <v/>
      </c>
      <c r="M1717" s="6">
        <f>HYPERLINK("https://map.naver.com/p/search/조치원읍 신안리 390", "지도Link")</f>
        <v/>
      </c>
      <c r="N1717" s="6">
        <f>HYPERLINK("http://www.eum.go.kr/web/ar/lu/luLandDet.jsp?pnu=3611025032103900000&amp;isNoScr=script&amp;mode=search", "토지이음")</f>
        <v/>
      </c>
      <c r="O1717" s="3" t="inlineStr">
        <is>
          <t>고잔역</t>
        </is>
      </c>
      <c r="P1717" s="4" t="n">
        <v>1</v>
      </c>
      <c r="Q1717" s="4" t="n">
        <v>515</v>
      </c>
      <c r="R1717" s="3" t="inlineStr">
        <is>
          <t>지정되지않음</t>
        </is>
      </c>
      <c r="S1717" s="3" t="inlineStr">
        <is>
          <t>상업용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중로각지</t>
        </is>
      </c>
    </row>
    <row r="1718">
      <c r="A1718" s="3" t="inlineStr">
        <is>
          <t>조치원읍 신안리 427-21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413800</v>
      </c>
      <c r="G1718" s="4" t="n">
        <v>6217</v>
      </c>
      <c r="H1718" s="4" t="n">
        <v>1881</v>
      </c>
      <c r="I1718" s="5" t="n">
        <v>220</v>
      </c>
      <c r="J1718" s="5" t="n">
        <v>57.8</v>
      </c>
      <c r="K1718" s="3" t="inlineStr">
        <is>
          <t>10~12m 도로접한 조치원 주거배후 대형 개발형 토지</t>
        </is>
      </c>
      <c r="L1718" s="6">
        <f>HYPERLINK("https://fin.land.naver.com/articles/2648848431", "매물Link")</f>
        <v/>
      </c>
      <c r="M1718" s="6">
        <f>HYPERLINK("https://map.naver.com/p/search/조치원읍 신안리 427-21", "지도Link")</f>
        <v/>
      </c>
      <c r="N1718" s="6">
        <f>HYPERLINK("http://www.eum.go.kr/web/ar/lu/luLandDet.jsp?pnu=3611025032104270021&amp;isNoScr=script&amp;mode=search", "토지이음")</f>
        <v/>
      </c>
      <c r="O1718" s="3" t="inlineStr">
        <is>
          <t>세종소담황금</t>
        </is>
      </c>
      <c r="P1718" s="4" t="n">
        <v>1</v>
      </c>
      <c r="Q1718" s="4" t="n">
        <v>3962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완경사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조치원읍 신안리 436-1</t>
        </is>
      </c>
      <c r="B1719" s="3" t="inlineStr">
        <is>
          <t>자연녹지지역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661</v>
      </c>
      <c r="H1719" s="4" t="n">
        <v>200</v>
      </c>
      <c r="I1719" s="5" t="n">
        <v>225</v>
      </c>
      <c r="J1719" s="5" t="n">
        <v>64.59999999999999</v>
      </c>
      <c r="K1719" s="3" t="inlineStr">
        <is>
          <t>대단지아파트인근, 신안지구개발예정지 인근, 전원주택지 등 다용도 가능</t>
        </is>
      </c>
      <c r="L1719" s="6">
        <f>HYPERLINK("https://fin.land.naver.com/articles/2650311385", "매물Link")</f>
        <v/>
      </c>
      <c r="M1719" s="6">
        <f>HYPERLINK("https://map.naver.com/p/search/조치원읍 신안리 436-1", "지도Link")</f>
        <v/>
      </c>
      <c r="N1719" s="6">
        <f>HYPERLINK("http://www.eum.go.kr/web/ar/lu/luLandDet.jsp?pnu=3611025032104360001&amp;isNoScr=script&amp;mode=search", "토지이음")</f>
        <v/>
      </c>
      <c r="O1719" s="3" t="inlineStr">
        <is>
          <t>세종공감</t>
        </is>
      </c>
      <c r="P1719" s="4" t="n">
        <v>2</v>
      </c>
      <c r="Q1719" s="4" t="n">
        <v>661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조치원읍 신안리 436-3</t>
        </is>
      </c>
      <c r="B1720" s="3" t="inlineStr">
        <is>
          <t>자연녹지지역</t>
        </is>
      </c>
      <c r="C1720" s="3" t="inlineStr">
        <is>
          <t>전</t>
        </is>
      </c>
      <c r="D1720" s="3" t="inlineStr">
        <is>
          <t>답</t>
        </is>
      </c>
      <c r="E1720" s="3" t="inlineStr">
        <is>
          <t>매매</t>
        </is>
      </c>
      <c r="F1720" s="4" t="n">
        <v>46000</v>
      </c>
      <c r="G1720" s="4" t="n">
        <v>662</v>
      </c>
      <c r="H1720" s="4" t="n">
        <v>200</v>
      </c>
      <c r="I1720" s="5" t="n">
        <v>230</v>
      </c>
      <c r="J1720" s="5" t="n">
        <v>67.8</v>
      </c>
      <c r="K1720" s="3" t="inlineStr">
        <is>
          <t>이편한세상 아파트 983세대  초인접 공영주차장 이용가능</t>
        </is>
      </c>
      <c r="L1720" s="6">
        <f>HYPERLINK("https://fin.land.naver.com/articles/2649611209", "매물Link")</f>
        <v/>
      </c>
      <c r="M1720" s="6">
        <f>HYPERLINK("https://map.naver.com/p/search/조치원읍 신안리 436-3", "지도Link")</f>
        <v/>
      </c>
      <c r="N1720" s="6">
        <f>HYPERLINK("http://www.eum.go.kr/web/ar/lu/luLandDet.jsp?pnu=3611025032104360003&amp;isNoScr=script&amp;mode=search", "토지이음")</f>
        <v/>
      </c>
      <c r="O1720" s="3" t="inlineStr">
        <is>
          <t>그래그</t>
        </is>
      </c>
      <c r="P1720" s="4" t="n">
        <v>2</v>
      </c>
      <c r="Q1720" s="4" t="n">
        <v>662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436-4</t>
        </is>
      </c>
      <c r="B1721" s="3" t="inlineStr">
        <is>
          <t>자연녹지지역</t>
        </is>
      </c>
      <c r="C1721" s="3" t="inlineStr">
        <is>
          <t>전</t>
        </is>
      </c>
      <c r="D1721" s="3" t="inlineStr">
        <is>
          <t>답</t>
        </is>
      </c>
      <c r="E1721" s="3" t="inlineStr">
        <is>
          <t>매매</t>
        </is>
      </c>
      <c r="F1721" s="4" t="n">
        <v>120000</v>
      </c>
      <c r="G1721" s="4" t="n">
        <v>1256</v>
      </c>
      <c r="H1721" s="4" t="n">
        <v>380</v>
      </c>
      <c r="I1721" s="5" t="n">
        <v>315.8</v>
      </c>
      <c r="J1721" s="5" t="n">
        <v>72.2</v>
      </c>
      <c r="K1721" s="3" t="inlineStr">
        <is>
          <t>신안리 이편한세상 아파트 초인접, 3면 포장도로 접한 음식점,커피숍</t>
        </is>
      </c>
      <c r="L1721" s="6">
        <f>HYPERLINK("https://fin.land.naver.com/articles/2650955165", "매물Link")</f>
        <v/>
      </c>
      <c r="M1721" s="6">
        <f>HYPERLINK("https://map.naver.com/p/search/조치원읍 신안리 436-4", "지도Link")</f>
        <v/>
      </c>
      <c r="N1721" s="6">
        <f>HYPERLINK("http://www.eum.go.kr/web/ar/lu/luLandDet.jsp?pnu=3611025032104360004&amp;isNoScr=script&amp;mode=search", "토지이음")</f>
        <v/>
      </c>
      <c r="O1721" s="3" t="inlineStr">
        <is>
          <t>세종나라</t>
        </is>
      </c>
      <c r="P1721" s="4" t="n">
        <v>1</v>
      </c>
      <c r="Q1721" s="4" t="n">
        <v>932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완경사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조치원읍 신안리 436-4</t>
        </is>
      </c>
      <c r="B1722" s="3" t="inlineStr">
        <is>
          <t>자연녹지지역</t>
        </is>
      </c>
      <c r="C1722" s="3" t="inlineStr">
        <is>
          <t>전</t>
        </is>
      </c>
      <c r="D1722" s="3" t="inlineStr">
        <is>
          <t>답</t>
        </is>
      </c>
      <c r="E1722" s="3" t="inlineStr">
        <is>
          <t>매매</t>
        </is>
      </c>
      <c r="F1722" s="4" t="n">
        <v>120000</v>
      </c>
      <c r="G1722" s="4" t="n">
        <v>932</v>
      </c>
      <c r="H1722" s="4" t="n">
        <v>282</v>
      </c>
      <c r="I1722" s="5" t="n">
        <v>425.5</v>
      </c>
      <c r="J1722" s="5" t="n">
        <v>72.2</v>
      </c>
      <c r="K1722" s="3" t="inlineStr">
        <is>
          <t>3면 포장도로 접함 이편한세상 984세대 인접 공영주차장이용가능</t>
        </is>
      </c>
      <c r="L1722" s="6">
        <f>HYPERLINK("https://fin.land.naver.com/articles/2649618845", "매물Link")</f>
        <v/>
      </c>
      <c r="M1722" s="6">
        <f>HYPERLINK("https://map.naver.com/p/search/조치원읍 신안리 436-4", "지도Link")</f>
        <v/>
      </c>
      <c r="N1722" s="6">
        <f>HYPERLINK("http://www.eum.go.kr/web/ar/lu/luLandDet.jsp?pnu=3611025032104360004&amp;isNoScr=script&amp;mode=search", "토지이음")</f>
        <v/>
      </c>
      <c r="O1722" s="3" t="inlineStr">
        <is>
          <t>그래그</t>
        </is>
      </c>
      <c r="P1722" s="4" t="n">
        <v>1</v>
      </c>
      <c r="Q1722" s="4" t="n">
        <v>932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완경사</t>
        </is>
      </c>
      <c r="U1722" s="3" t="inlineStr">
        <is>
          <t>사다리형</t>
        </is>
      </c>
      <c r="V1722" s="3" t="inlineStr">
        <is>
          <t>소로한면</t>
        </is>
      </c>
    </row>
    <row r="1723">
      <c r="A1723" s="3" t="inlineStr">
        <is>
          <t>조치원읍 신안리 445-4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150000</v>
      </c>
      <c r="G1723" s="4" t="n">
        <v>635</v>
      </c>
      <c r="H1723" s="4" t="n">
        <v>192</v>
      </c>
      <c r="I1723" s="5" t="n">
        <v>781.2</v>
      </c>
      <c r="J1723" s="5" t="n">
        <v>336.2</v>
      </c>
      <c r="K1723" s="3" t="inlineStr">
        <is>
          <t>입지가 최상인 토지입니다.</t>
        </is>
      </c>
      <c r="L1723" s="6">
        <f>HYPERLINK("https://fin.land.naver.com/articles/2649402434", "매물Link")</f>
        <v/>
      </c>
      <c r="M1723" s="6">
        <f>HYPERLINK("https://map.naver.com/p/search/조치원읍 신안리 445-4", "지도Link")</f>
        <v/>
      </c>
      <c r="N1723" s="6">
        <f>HYPERLINK("http://www.eum.go.kr/web/ar/lu/luLandDet.jsp?pnu=3611025032104450004&amp;isNoScr=script&amp;mode=search", "토지이음")</f>
        <v/>
      </c>
      <c r="O1723" s="3" t="inlineStr">
        <is>
          <t>부자터</t>
        </is>
      </c>
      <c r="P1723" s="4" t="n">
        <v>1</v>
      </c>
      <c r="Q1723" s="4" t="n">
        <v>635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소로한면</t>
        </is>
      </c>
    </row>
    <row r="1724">
      <c r="A1724" s="3" t="inlineStr">
        <is>
          <t>조치원읍 신안리 68-19</t>
        </is>
      </c>
      <c r="B1724" s="3" t="inlineStr">
        <is>
          <t>생산녹지지역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50000</v>
      </c>
      <c r="G1724" s="4" t="n">
        <v>2234</v>
      </c>
      <c r="H1724" s="4" t="n">
        <v>676</v>
      </c>
      <c r="I1724" s="5" t="n">
        <v>74</v>
      </c>
      <c r="J1724" s="5" t="n">
        <v>35.4</v>
      </c>
      <c r="K1724" s="3" t="inlineStr">
        <is>
          <t>하우스,전기,지하수 관정이 있는 밭</t>
        </is>
      </c>
      <c r="L1724" s="6">
        <f>HYPERLINK("https://fin.land.naver.com/articles/2648499050", "매물Link")</f>
        <v/>
      </c>
      <c r="M1724" s="6">
        <f>HYPERLINK("https://map.naver.com/p/search/조치원읍 신안리 68-19", "지도Link")</f>
        <v/>
      </c>
      <c r="N1724" s="6">
        <f>HYPERLINK("http://www.eum.go.kr/web/ar/lu/luLandDet.jsp?pnu=3611025032100680019&amp;isNoScr=script&amp;mode=search", "토지이음")</f>
        <v/>
      </c>
      <c r="O1724" s="3" t="inlineStr">
        <is>
          <t>지성</t>
        </is>
      </c>
      <c r="P1724" s="4" t="n">
        <v>1</v>
      </c>
      <c r="Q1724" s="4" t="n">
        <v>1188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조치원읍 신안리 산13</t>
        </is>
      </c>
      <c r="B1725" s="3" t="inlineStr">
        <is>
          <t>자연녹지지역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300000</v>
      </c>
      <c r="G1725" s="4" t="n">
        <v>10909</v>
      </c>
      <c r="H1725" s="4" t="n">
        <v>3300</v>
      </c>
      <c r="I1725" s="5" t="n">
        <v>90.90000000000001</v>
      </c>
      <c r="J1725" s="5" t="n">
        <v>18.7</v>
      </c>
      <c r="K1725" s="3" t="inlineStr">
        <is>
          <t>제2종일반주거지역 성장관리계획구역</t>
        </is>
      </c>
      <c r="L1725" s="6">
        <f>HYPERLINK("https://fin.land.naver.com/articles/2652865397", "매물Link")</f>
        <v/>
      </c>
      <c r="M1725" s="6">
        <f>HYPERLINK("https://map.naver.com/p/search/조치원읍 신안리 산13", "지도Link")</f>
        <v/>
      </c>
      <c r="N1725" s="6">
        <f>HYPERLINK("http://www.eum.go.kr/web/ar/lu/luLandDet.jsp?pnu=3611025032200130000&amp;isNoScr=script&amp;mode=search", "토지이음")</f>
        <v/>
      </c>
      <c r="O1725" s="3" t="inlineStr">
        <is>
          <t>건국</t>
        </is>
      </c>
      <c r="P1725" s="4" t="n">
        <v>1</v>
      </c>
      <c r="Q1725" s="4" t="n">
        <v>10909</v>
      </c>
      <c r="R1725" s="3" t="inlineStr">
        <is>
          <t>제2종일반주거지역</t>
        </is>
      </c>
      <c r="S1725" s="3" t="inlineStr">
        <is>
          <t>자연림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신안리 산8-37</t>
        </is>
      </c>
      <c r="B1726" s="3" t="inlineStr">
        <is>
          <t>자연녹지지역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150000</v>
      </c>
      <c r="G1726" s="4" t="n">
        <v>10118</v>
      </c>
      <c r="H1726" s="4" t="n">
        <v>3061</v>
      </c>
      <c r="I1726" s="5" t="n">
        <v>49</v>
      </c>
      <c r="J1726" s="5" t="n">
        <v>9.199999999999999</v>
      </c>
      <c r="K1726" s="3" t="inlineStr">
        <is>
          <t>총5필지,세종 홍대근접,도로접</t>
        </is>
      </c>
      <c r="L1726" s="6">
        <f>HYPERLINK("https://fin.land.naver.com/articles/2651521476", "매물Link")</f>
        <v/>
      </c>
      <c r="M1726" s="6">
        <f>HYPERLINK("https://map.naver.com/p/search/조치원읍 신안리 산8-37", "지도Link")</f>
        <v/>
      </c>
      <c r="N1726" s="6">
        <f>HYPERLINK("http://www.eum.go.kr/web/ar/lu/luLandDet.jsp?pnu=3611025032200080037&amp;isNoScr=script&amp;mode=search",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1652</v>
      </c>
      <c r="R1726" s="3" t="inlineStr">
        <is>
          <t>보전녹지지역</t>
        </is>
      </c>
      <c r="S1726" s="3" t="inlineStr">
        <is>
          <t>자연림</t>
        </is>
      </c>
      <c r="T1726" s="3" t="inlineStr">
        <is>
          <t>급경사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조치원읍 신흥리 1-5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77000</v>
      </c>
      <c r="G1727" s="4" t="n">
        <v>513</v>
      </c>
      <c r="H1727" s="4" t="n">
        <v>155</v>
      </c>
      <c r="I1727" s="5" t="n">
        <v>496.8</v>
      </c>
      <c r="J1727" s="5" t="n">
        <v>188.2</v>
      </c>
      <c r="K1727" s="3" t="inlineStr">
        <is>
          <t>신흥리 코너 넓은 나대지 활용가치좋음,금액협의</t>
        </is>
      </c>
      <c r="L1727" s="6">
        <f>HYPERLINK("https://fin.land.naver.com/articles/2651981278", "매물Link")</f>
        <v/>
      </c>
      <c r="M1727" s="6">
        <f>HYPERLINK("https://map.naver.com/p/search/조치원읍 신흥리 1-5", "지도Link")</f>
        <v/>
      </c>
      <c r="N1727" s="6">
        <f>HYPERLINK("http://www.eum.go.kr/web/ar/lu/luLandDet.jsp?pnu=3611025029100010005&amp;isNoScr=script&amp;mode=search", "토지이음")</f>
        <v/>
      </c>
      <c r="O1727" s="3" t="inlineStr">
        <is>
          <t>다옴</t>
        </is>
      </c>
      <c r="P1727" s="4" t="n">
        <v>1</v>
      </c>
      <c r="Q1727" s="4" t="n">
        <v>513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소로각지</t>
        </is>
      </c>
    </row>
    <row r="1728">
      <c r="A1728" s="3" t="inlineStr">
        <is>
          <t>조치원읍 신흥리 100-2</t>
        </is>
      </c>
      <c r="B1728" s="3" t="inlineStr">
        <is>
          <t>제2종일반주거지역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17000</v>
      </c>
      <c r="G1728" s="4" t="n">
        <v>188</v>
      </c>
      <c r="H1728" s="4" t="n">
        <v>57</v>
      </c>
      <c r="I1728" s="5" t="n">
        <v>298.2</v>
      </c>
      <c r="J1728" s="5" t="n">
        <v>196.8</v>
      </c>
      <c r="K1728" s="3" t="inlineStr">
        <is>
          <t>신흥리 2종일반주거지역 급매. 맹지이나 진입로 있음</t>
        </is>
      </c>
      <c r="L1728" s="6">
        <f>HYPERLINK("https://fin.land.naver.com/articles/2652663257", "매물Link")</f>
        <v/>
      </c>
      <c r="M1728" s="6">
        <f>HYPERLINK("https://map.naver.com/p/search/조치원읍 신흥리 100-2", "지도Link")</f>
        <v/>
      </c>
      <c r="N1728" s="6">
        <f>HYPERLINK("http://www.eum.go.kr/web/ar/lu/luLandDet.jsp?pnu=3611025029101000002&amp;isNoScr=script&amp;mode=search",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188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세로한면(불)</t>
        </is>
      </c>
    </row>
    <row r="1729">
      <c r="A1729" s="3" t="inlineStr">
        <is>
          <t>조치원읍 신흥리 198-1</t>
        </is>
      </c>
      <c r="B1729" s="3" t="inlineStr">
        <is>
          <t>제2종일반주거지역</t>
        </is>
      </c>
      <c r="C1729" s="3" t="inlineStr">
        <is>
          <t>잡종지</t>
        </is>
      </c>
      <c r="D1729" s="3" t="inlineStr">
        <is>
          <t>잡종지</t>
        </is>
      </c>
      <c r="E1729" s="3" t="inlineStr">
        <is>
          <t>매매</t>
        </is>
      </c>
      <c r="F1729" s="4" t="n">
        <v>390000</v>
      </c>
      <c r="G1729" s="4" t="n">
        <v>1797</v>
      </c>
      <c r="H1729" s="4" t="n">
        <v>544</v>
      </c>
      <c r="I1729" s="5" t="n">
        <v>716.9</v>
      </c>
      <c r="J1729" s="5" t="n">
        <v>435.4</v>
      </c>
      <c r="K1729" s="3" t="inlineStr">
        <is>
          <t>신흥 아파트단지 중심지역 대도로변 코너각지</t>
        </is>
      </c>
      <c r="L1729" s="6">
        <f>HYPERLINK("https://fin.land.naver.com/articles/2648777123", "매물Link")</f>
        <v/>
      </c>
      <c r="M1729" s="6">
        <f>HYPERLINK("https://map.naver.com/p/search/조치원읍 신흥리 198-1", "지도Link")</f>
        <v/>
      </c>
      <c r="N1729" s="6">
        <f>HYPERLINK("http://www.eum.go.kr/web/ar/lu/luLandDet.jsp?pnu=3611025029101980001&amp;isNoScr=script&amp;mode=search", "토지이음")</f>
        <v/>
      </c>
      <c r="O1729" s="3" t="inlineStr">
        <is>
          <t>뉴신세계</t>
        </is>
      </c>
      <c r="P1729" s="4" t="n">
        <v>2</v>
      </c>
      <c r="Q1729" s="4" t="n">
        <v>1797</v>
      </c>
      <c r="R1729" s="3" t="inlineStr">
        <is>
          <t>지정되지않음</t>
        </is>
      </c>
      <c r="S1729" s="3" t="inlineStr">
        <is>
          <t>상업용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중로각지</t>
        </is>
      </c>
    </row>
    <row r="1730">
      <c r="A1730" s="3" t="inlineStr">
        <is>
          <t>조치원읍 신흥리 288-1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31000</v>
      </c>
      <c r="G1730" s="4" t="n">
        <v>245</v>
      </c>
      <c r="H1730" s="4" t="n">
        <v>74</v>
      </c>
      <c r="I1730" s="5" t="n">
        <v>418.9</v>
      </c>
      <c r="J1730" s="5" t="n">
        <v>246.6</v>
      </c>
      <c r="K1730" s="3" t="inlineStr">
        <is>
          <t>투자가치가 높은 세종시 조치원읍 신흥리 토지</t>
        </is>
      </c>
      <c r="L1730" s="6">
        <f>HYPERLINK("https://fin.land.naver.com/articles/2648407574", "매물Link")</f>
        <v/>
      </c>
      <c r="M1730" s="6">
        <f>HYPERLINK("https://map.naver.com/p/search/조치원읍 신흥리 288-1", "지도Link")</f>
        <v/>
      </c>
      <c r="N1730" s="6">
        <f>HYPERLINK("http://www.eum.go.kr/web/ar/lu/luLandDet.jsp?pnu=3611025029102880001&amp;isNoScr=script&amp;mode=search", "토지이음")</f>
        <v/>
      </c>
      <c r="O1730" s="3" t="inlineStr">
        <is>
          <t>비전</t>
        </is>
      </c>
      <c r="P1730" s="4" t="n">
        <v>1</v>
      </c>
      <c r="Q1730" s="4" t="n">
        <v>245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소로한면</t>
        </is>
      </c>
    </row>
    <row r="1731">
      <c r="A1731" s="3" t="inlineStr">
        <is>
          <t>조치원읍 신흥리 288-1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31000</v>
      </c>
      <c r="G1731" s="4" t="n">
        <v>245</v>
      </c>
      <c r="H1731" s="4" t="n">
        <v>74</v>
      </c>
      <c r="I1731" s="5" t="n">
        <v>418.9</v>
      </c>
      <c r="J1731" s="5" t="n">
        <v>246.6</v>
      </c>
      <c r="K1731" s="3" t="inlineStr">
        <is>
          <t>추천. 조치원 신흥사거리 대지</t>
        </is>
      </c>
      <c r="L1731" s="6">
        <f>HYPERLINK("https://fin.land.naver.com/articles/2649193837", "매물Link")</f>
        <v/>
      </c>
      <c r="M1731" s="6">
        <f>HYPERLINK("https://map.naver.com/p/search/조치원읍 신흥리 288-1", "지도Link")</f>
        <v/>
      </c>
      <c r="N1731" s="6">
        <f>HYPERLINK("http://www.eum.go.kr/web/ar/lu/luLandDet.jsp?pnu=3611025029102880001&amp;isNoScr=script&amp;mode=search",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245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소로한면</t>
        </is>
      </c>
    </row>
    <row r="1732">
      <c r="A1732" s="3" t="inlineStr">
        <is>
          <t>조치원읍 신흥리 288-2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45000</v>
      </c>
      <c r="G1732" s="4" t="n">
        <v>299</v>
      </c>
      <c r="H1732" s="4" t="n">
        <v>90</v>
      </c>
      <c r="I1732" s="5" t="n">
        <v>500</v>
      </c>
      <c r="J1732" s="5" t="n">
        <v>244.2</v>
      </c>
      <c r="K1732" s="3" t="inlineStr">
        <is>
          <t>투자가치가 높은 세종시 조치원읍 신흥리 토지</t>
        </is>
      </c>
      <c r="L1732" s="6">
        <f>HYPERLINK("https://fin.land.naver.com/articles/2647920832", "매물Link")</f>
        <v/>
      </c>
      <c r="M1732" s="6">
        <f>HYPERLINK("https://map.naver.com/p/search/조치원읍 신흥리 288-2", "지도Link")</f>
        <v/>
      </c>
      <c r="N1732" s="6">
        <f>HYPERLINK("http://www.eum.go.kr/web/ar/lu/luLandDet.jsp?pnu=3611025029102880002&amp;isNoScr=script&amp;mode=search", "토지이음")</f>
        <v/>
      </c>
      <c r="O1732" s="3" t="inlineStr">
        <is>
          <t>비전</t>
        </is>
      </c>
      <c r="P1732" s="4" t="n">
        <v>1</v>
      </c>
      <c r="Q1732" s="4" t="n">
        <v>299</v>
      </c>
      <c r="R1732" s="3" t="inlineStr">
        <is>
          <t>지정되지않음</t>
        </is>
      </c>
      <c r="S1732" s="3" t="inlineStr">
        <is>
          <t>단독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신흥리 304-1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205000</v>
      </c>
      <c r="G1733" s="4" t="n">
        <v>1679</v>
      </c>
      <c r="H1733" s="4" t="n">
        <v>508</v>
      </c>
      <c r="I1733" s="5" t="n">
        <v>403.5</v>
      </c>
      <c r="J1733" s="5" t="n">
        <v>147.3</v>
      </c>
      <c r="K1733" s="3" t="inlineStr">
        <is>
          <t>이쁜 모양의 토지 분할매수도 가능</t>
        </is>
      </c>
      <c r="L1733" s="6">
        <f>HYPERLINK("https://fin.land.naver.com/articles/2651577271", "매물Link")</f>
        <v/>
      </c>
      <c r="M1733" s="6">
        <f>HYPERLINK("https://map.naver.com/p/search/조치원읍 신흥리 304-1", "지도Link")</f>
        <v/>
      </c>
      <c r="N1733" s="6">
        <f>HYPERLINK("http://www.eum.go.kr/web/ar/lu/luLandDet.jsp?pnu=3611025029103040001&amp;isNoScr=script&amp;mode=search", "토지이음")</f>
        <v/>
      </c>
      <c r="O1733" s="3" t="inlineStr">
        <is>
          <t>여기로</t>
        </is>
      </c>
      <c r="P1733" s="4" t="n">
        <v>1</v>
      </c>
      <c r="Q1733" s="4" t="n">
        <v>1667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조치원읍 신흥리 49-19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36000</v>
      </c>
      <c r="G1734" s="4" t="n">
        <v>239</v>
      </c>
      <c r="H1734" s="4" t="n">
        <v>72</v>
      </c>
      <c r="I1734" s="5" t="n">
        <v>500</v>
      </c>
      <c r="J1734" s="5" t="n">
        <v>161.8</v>
      </c>
      <c r="K1734" s="3" t="inlineStr">
        <is>
          <t>조치원역 뒤,신축,투자,보유 좋은 저렴토지</t>
        </is>
      </c>
      <c r="L1734" s="6">
        <f>HYPERLINK("https://fin.land.naver.com/articles/2651980448", "매물Link")</f>
        <v/>
      </c>
      <c r="M1734" s="6">
        <f>HYPERLINK("https://map.naver.com/p/search/조치원읍 신흥리 49-19", "지도Link")</f>
        <v/>
      </c>
      <c r="N1734" s="6">
        <f>HYPERLINK("http://www.eum.go.kr/web/ar/lu/luLandDet.jsp?pnu=3611025029100490019&amp;isNoScr=script&amp;mode=search", "토지이음")</f>
        <v/>
      </c>
      <c r="O1734" s="3" t="inlineStr">
        <is>
          <t>다옴</t>
        </is>
      </c>
      <c r="P1734" s="4" t="n">
        <v>1</v>
      </c>
      <c r="Q1734" s="4" t="n">
        <v>130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자루형</t>
        </is>
      </c>
      <c r="V1734" s="3" t="inlineStr">
        <is>
          <t>세로한면(가)</t>
        </is>
      </c>
    </row>
    <row r="1735">
      <c r="A1735" s="3" t="inlineStr">
        <is>
          <t>조치원읍 신흥리 55-2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22000</v>
      </c>
      <c r="G1735" s="4" t="n">
        <v>121</v>
      </c>
      <c r="H1735" s="4" t="n">
        <v>37</v>
      </c>
      <c r="I1735" s="5" t="n">
        <v>594.6</v>
      </c>
      <c r="J1735" s="5" t="n">
        <v>187.2</v>
      </c>
      <c r="K1735" s="3" t="inlineStr">
        <is>
          <t>보건소옆 코너각지 토지매매</t>
        </is>
      </c>
      <c r="L1735" s="6">
        <f>HYPERLINK("https://fin.land.naver.com/articles/2653068635", "매물Link")</f>
        <v/>
      </c>
      <c r="M1735" s="6">
        <f>HYPERLINK("https://map.naver.com/p/search/조치원읍 신흥리 55-2", "지도Link")</f>
        <v/>
      </c>
      <c r="N1735" s="6">
        <f>HYPERLINK("http://www.eum.go.kr/web/ar/lu/luLandDet.jsp?pnu=3611025029100550002&amp;isNoScr=script&amp;mode=search",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121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조치원읍 신흥리 62-8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63900</v>
      </c>
      <c r="G1736" s="4" t="n">
        <v>469</v>
      </c>
      <c r="H1736" s="4" t="n">
        <v>142</v>
      </c>
      <c r="I1736" s="5" t="n">
        <v>450</v>
      </c>
      <c r="J1736" s="5" t="n">
        <v>302.4</v>
      </c>
      <c r="K1736" s="3" t="inlineStr">
        <is>
          <t>신흥리 2차선 접한 토지 사옥및주택추천</t>
        </is>
      </c>
      <c r="L1736" s="6">
        <f>HYPERLINK("https://fin.land.naver.com/articles/2651708291", "매물Link")</f>
        <v/>
      </c>
      <c r="M1736" s="6">
        <f>HYPERLINK("https://map.naver.com/p/search/조치원읍 신흥리 62-8", "지도Link")</f>
        <v/>
      </c>
      <c r="N1736" s="6">
        <f>HYPERLINK("http://www.eum.go.kr/web/ar/lu/luLandDet.jsp?pnu=3611025029100620008&amp;isNoScr=script&amp;mode=search", "토지이음")</f>
        <v/>
      </c>
      <c r="O1736" s="3" t="inlineStr">
        <is>
          <t>OK수</t>
        </is>
      </c>
      <c r="P1736" s="4" t="n">
        <v>1</v>
      </c>
      <c r="Q1736" s="4" t="n">
        <v>400</v>
      </c>
      <c r="R1736" s="3" t="inlineStr">
        <is>
          <t>지정되지않음</t>
        </is>
      </c>
      <c r="S1736" s="3" t="inlineStr">
        <is>
          <t>공업용</t>
        </is>
      </c>
      <c r="T1736" s="3" t="inlineStr">
        <is>
          <t>평지</t>
        </is>
      </c>
      <c r="U1736" s="3" t="inlineStr">
        <is>
          <t>자루형</t>
        </is>
      </c>
      <c r="V1736" s="3" t="inlineStr">
        <is>
          <t>소로한면</t>
        </is>
      </c>
    </row>
    <row r="1737">
      <c r="A1737" s="3" t="inlineStr">
        <is>
          <t>조치원읍 원리 8-9</t>
        </is>
      </c>
      <c r="B1737" s="3" t="inlineStr">
        <is>
          <t>일반상업지역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260000</v>
      </c>
      <c r="G1737" s="4" t="n">
        <v>546</v>
      </c>
      <c r="H1737" s="4" t="n">
        <v>165</v>
      </c>
      <c r="I1737" s="5" t="n">
        <v>1575.8</v>
      </c>
      <c r="J1737" s="5" t="n">
        <v>1082.3</v>
      </c>
      <c r="K1737" s="3" t="inlineStr">
        <is>
          <t>nan</t>
        </is>
      </c>
      <c r="L1737" s="6">
        <f>HYPERLINK("https://fin.land.naver.com/articles/2651529141", "매물Link")</f>
        <v/>
      </c>
      <c r="M1737" s="6">
        <f>HYPERLINK("https://map.naver.com/p/search/조치원읍 원리 8-9", "지도Link")</f>
        <v/>
      </c>
      <c r="N1737" s="6">
        <f>HYPERLINK("http://www.eum.go.kr/web/ar/lu/luLandDet.jsp?pnu=3611025021100080009&amp;isNoScr=script&amp;mode=search", "토지이음")</f>
        <v/>
      </c>
      <c r="O1737" s="3" t="inlineStr">
        <is>
          <t>한아름</t>
        </is>
      </c>
      <c r="P1737" s="4" t="n">
        <v>1</v>
      </c>
      <c r="Q1737" s="4" t="n">
        <v>473.1</v>
      </c>
      <c r="R1737" s="3" t="inlineStr">
        <is>
          <t>지정되지않음</t>
        </is>
      </c>
      <c r="S1737" s="3" t="inlineStr">
        <is>
          <t>상업용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중로각지</t>
        </is>
      </c>
    </row>
    <row r="1738">
      <c r="A1738" s="3" t="inlineStr">
        <is>
          <t>조치원읍 정리 52-6</t>
        </is>
      </c>
      <c r="B1738" s="3" t="inlineStr">
        <is>
          <t>준주거지역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260000</v>
      </c>
      <c r="G1738" s="4" t="n">
        <v>1191</v>
      </c>
      <c r="H1738" s="4" t="n">
        <v>360</v>
      </c>
      <c r="I1738" s="5" t="n">
        <v>722.2</v>
      </c>
      <c r="J1738" s="5" t="n">
        <v>194.4</v>
      </c>
      <c r="K1738" s="3" t="inlineStr">
        <is>
          <t>전통시장 근접한 대지로 단독주택 또는 원룸건축에 좋은 위치입니다.</t>
        </is>
      </c>
      <c r="L1738" s="6">
        <f>HYPERLINK("https://fin.land.naver.com/articles/2649493411", "매물Link")</f>
        <v/>
      </c>
      <c r="M1738" s="6">
        <f>HYPERLINK("https://map.naver.com/p/search/조치원읍 정리 52-6", "지도Link")</f>
        <v/>
      </c>
      <c r="N1738" s="6">
        <f>HYPERLINK("http://www.eum.go.kr/web/ar/lu/luLandDet.jsp?pnu=3611025025100520006&amp;isNoScr=script&amp;mode=search", "토지이음")</f>
        <v/>
      </c>
      <c r="O1738" s="3" t="inlineStr">
        <is>
          <t>가람</t>
        </is>
      </c>
      <c r="P1738" s="4" t="n">
        <v>1</v>
      </c>
      <c r="Q1738" s="4" t="n">
        <v>468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조치원읍 정리 87-8</t>
        </is>
      </c>
      <c r="B1739" s="3" t="inlineStr">
        <is>
          <t>일반상업지역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89000</v>
      </c>
      <c r="G1739" s="4" t="n">
        <v>326</v>
      </c>
      <c r="H1739" s="4" t="n">
        <v>99</v>
      </c>
      <c r="I1739" s="5" t="n">
        <v>899</v>
      </c>
      <c r="J1739" s="5" t="n">
        <v>335.5</v>
      </c>
      <c r="K1739" s="3" t="inlineStr">
        <is>
          <t>조치원시장내, 일반상업 알짜토지,다양활용가능</t>
        </is>
      </c>
      <c r="L1739" s="6">
        <f>HYPERLINK("https://fin.land.naver.com/articles/2651333398", "매물Link")</f>
        <v/>
      </c>
      <c r="M1739" s="6">
        <f>HYPERLINK("https://map.naver.com/p/search/조치원읍 정리 87-8", "지도Link")</f>
        <v/>
      </c>
      <c r="N1739" s="6">
        <f>HYPERLINK("http://www.eum.go.kr/web/ar/lu/luLandDet.jsp?pnu=3611025025100870008&amp;isNoScr=script&amp;mode=search", "토지이음")</f>
        <v/>
      </c>
      <c r="O1739" s="3" t="inlineStr">
        <is>
          <t>다옴</t>
        </is>
      </c>
      <c r="P1739" s="4" t="n">
        <v>1</v>
      </c>
      <c r="Q1739" s="4" t="n">
        <v>326</v>
      </c>
      <c r="R1739" s="3" t="inlineStr">
        <is>
          <t>지정되지않음</t>
        </is>
      </c>
      <c r="S1739" s="3" t="inlineStr">
        <is>
          <t>상업용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세로한면(가)</t>
        </is>
      </c>
    </row>
    <row r="1740">
      <c r="A1740" s="3" t="inlineStr">
        <is>
          <t>조치원읍 죽림리 156-15</t>
        </is>
      </c>
      <c r="B1740" s="3" t="inlineStr">
        <is>
          <t>일반상업지역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245000</v>
      </c>
      <c r="G1740" s="4" t="n">
        <v>810</v>
      </c>
      <c r="H1740" s="4" t="n">
        <v>245</v>
      </c>
      <c r="I1740" s="5" t="n">
        <v>1000</v>
      </c>
      <c r="J1740" s="5" t="n">
        <v>119.3</v>
      </c>
      <c r="K1740" s="3" t="inlineStr">
        <is>
          <t>2차선변 일반상업지역, 투자가치 최고</t>
        </is>
      </c>
      <c r="L1740" s="6">
        <f>HYPERLINK("https://fin.land.naver.com/articles/2650316280", "매물Link")</f>
        <v/>
      </c>
      <c r="M1740" s="6">
        <f>HYPERLINK("https://map.naver.com/p/search/조치원읍 죽림리 156-15", "지도Link")</f>
        <v/>
      </c>
      <c r="N1740" s="6">
        <f>HYPERLINK("http://www.eum.go.kr/web/ar/lu/luLandDet.jsp?pnu=3611025030101560015&amp;isNoScr=script&amp;mode=search", "토지이음")</f>
        <v/>
      </c>
      <c r="O1740" s="3" t="inlineStr">
        <is>
          <t>세종공감</t>
        </is>
      </c>
      <c r="P1740" s="4" t="n">
        <v>1</v>
      </c>
      <c r="Q1740" s="4" t="n">
        <v>716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조치원읍 죽림리 184-15</t>
        </is>
      </c>
      <c r="B1741" s="3" t="inlineStr">
        <is>
          <t>제2종일반주거지역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48500</v>
      </c>
      <c r="G1741" s="4" t="n">
        <v>321</v>
      </c>
      <c r="H1741" s="4" t="n">
        <v>97</v>
      </c>
      <c r="I1741" s="5" t="n">
        <v>500</v>
      </c>
      <c r="J1741" s="5" t="n">
        <v>198.2</v>
      </c>
      <c r="K1741" s="3" t="inlineStr">
        <is>
          <t>2차선3거리코너,주변아파트.상가주택형성,투자가치좋아요</t>
        </is>
      </c>
      <c r="L1741" s="6">
        <f>HYPERLINK("https://fin.land.naver.com/articles/2651762596", "매물Link")</f>
        <v/>
      </c>
      <c r="M1741" s="6">
        <f>HYPERLINK("https://map.naver.com/p/search/조치원읍 죽림리 184-15", "지도Link")</f>
        <v/>
      </c>
      <c r="N1741" s="6">
        <f>HYPERLINK("http://www.eum.go.kr/web/ar/lu/luLandDet.jsp?pnu=3611025030101840015&amp;isNoScr=script&amp;mode=search", "토지이음")</f>
        <v/>
      </c>
      <c r="O1741" s="3" t="inlineStr">
        <is>
          <t>힐스테이트행복</t>
        </is>
      </c>
      <c r="P1741" s="4" t="n">
        <v>1</v>
      </c>
      <c r="Q1741" s="4" t="n">
        <v>321.2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소로각지</t>
        </is>
      </c>
    </row>
    <row r="1742">
      <c r="A1742" s="3" t="inlineStr">
        <is>
          <t>조치원읍 죽림리 240</t>
        </is>
      </c>
      <c r="B1742" s="3" t="inlineStr">
        <is>
          <t>제2종일반주거지역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700000</v>
      </c>
      <c r="G1742" s="4" t="n">
        <v>4045</v>
      </c>
      <c r="H1742" s="4" t="n">
        <v>1224</v>
      </c>
      <c r="I1742" s="5" t="n">
        <v>571.9</v>
      </c>
      <c r="J1742" s="5" t="n">
        <v>131.4</v>
      </c>
      <c r="K1742" s="3" t="inlineStr">
        <is>
          <t>2면 도로접한 도시지역,근생시설,제2종일반주거지역,다용도 사용가능</t>
        </is>
      </c>
      <c r="L1742" s="6">
        <f>HYPERLINK("https://fin.land.naver.com/articles/2647778364", "매물Link")</f>
        <v/>
      </c>
      <c r="M1742" s="6">
        <f>HYPERLINK("https://map.naver.com/p/search/조치원읍 죽림리 240", "지도Link")</f>
        <v/>
      </c>
      <c r="N1742" s="6">
        <f>HYPERLINK("http://www.eum.go.kr/web/ar/lu/luLandDet.jsp?pnu=3611025030102400000&amp;isNoScr=script&amp;mode=search", "토지이음")</f>
        <v/>
      </c>
      <c r="O1742" s="3" t="inlineStr">
        <is>
          <t>고운맘</t>
        </is>
      </c>
      <c r="P1742" s="4" t="n">
        <v>1</v>
      </c>
      <c r="Q1742" s="4" t="n">
        <v>2590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조치원읍 죽림리 315-2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695000</v>
      </c>
      <c r="G1743" s="4" t="n">
        <v>5079</v>
      </c>
      <c r="H1743" s="4" t="n">
        <v>1536</v>
      </c>
      <c r="I1743" s="5" t="n">
        <v>452.5</v>
      </c>
      <c r="J1743" s="5" t="n">
        <v>124.8</v>
      </c>
      <c r="K1743" s="3" t="inlineStr">
        <is>
          <t>Click 홈플러스 옆 3필지 도로접 Click</t>
        </is>
      </c>
      <c r="L1743" s="6">
        <f>HYPERLINK("https://fin.land.naver.com/articles/2651207978", "매물Link")</f>
        <v/>
      </c>
      <c r="M1743" s="6">
        <f>HYPERLINK("https://map.naver.com/p/search/조치원읍 죽림리 315-2", "지도Link")</f>
        <v/>
      </c>
      <c r="N1743" s="6">
        <f>HYPERLINK("http://www.eum.go.kr/web/ar/lu/luLandDet.jsp?pnu=3611025030103150002&amp;isNoScr=script&amp;mode=search", "토지이음")</f>
        <v/>
      </c>
      <c r="O1743" s="3" t="inlineStr">
        <is>
          <t>해뜰</t>
        </is>
      </c>
      <c r="P1743" s="4" t="n">
        <v>1</v>
      </c>
      <c r="Q1743" s="4" t="n">
        <v>3538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광대로한면</t>
        </is>
      </c>
    </row>
    <row r="1744">
      <c r="A1744" s="3" t="inlineStr">
        <is>
          <t>조치원읍 죽림리 333-3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240000</v>
      </c>
      <c r="G1744" s="4" t="n">
        <v>1061</v>
      </c>
      <c r="H1744" s="4" t="n">
        <v>321</v>
      </c>
      <c r="I1744" s="5" t="n">
        <v>747.7</v>
      </c>
      <c r="J1744" s="5" t="n">
        <v>311.8</v>
      </c>
      <c r="K1744" s="3" t="inlineStr">
        <is>
          <t>nan</t>
        </is>
      </c>
      <c r="L1744" s="6">
        <f>HYPERLINK("https://fin.land.naver.com/articles/2651553883", "매물Link")</f>
        <v/>
      </c>
      <c r="M1744" s="6">
        <f>HYPERLINK("https://map.naver.com/p/search/조치원읍 죽림리 333-3", "지도Link")</f>
        <v/>
      </c>
      <c r="N1744" s="6">
        <f>HYPERLINK("http://www.eum.go.kr/web/ar/lu/luLandDet.jsp?pnu=3611025030103330003&amp;isNoScr=script&amp;mode=search", "토지이음")</f>
        <v/>
      </c>
      <c r="O1744" s="3" t="inlineStr">
        <is>
          <t>태원</t>
        </is>
      </c>
      <c r="P1744" s="4" t="n">
        <v>1</v>
      </c>
      <c r="Q1744" s="4" t="n">
        <v>945</v>
      </c>
      <c r="R1744" s="3" t="inlineStr">
        <is>
          <t>지정되지않음</t>
        </is>
      </c>
      <c r="S1744" s="3" t="inlineStr">
        <is>
          <t>주상용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광대소각</t>
        </is>
      </c>
    </row>
    <row r="1745">
      <c r="A1745" s="3" t="inlineStr">
        <is>
          <t>조치원읍 죽림리 342</t>
        </is>
      </c>
      <c r="B1745" s="3" t="inlineStr">
        <is>
          <t>제2종일반주거지역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110000</v>
      </c>
      <c r="G1745" s="4" t="n">
        <v>587</v>
      </c>
      <c r="H1745" s="4" t="n">
        <v>178</v>
      </c>
      <c r="I1745" s="5" t="n">
        <v>618</v>
      </c>
      <c r="J1745" s="5" t="n">
        <v>190.2</v>
      </c>
      <c r="K1745" s="3" t="inlineStr">
        <is>
          <t>세종북부경찰서와 파밀리에아파트, 그리고 원룸이 인접해 있음</t>
        </is>
      </c>
      <c r="L1745" s="6">
        <f>HYPERLINK("https://fin.land.naver.com/articles/2652786093", "매물Link")</f>
        <v/>
      </c>
      <c r="M1745" s="6">
        <f>HYPERLINK("https://map.naver.com/p/search/조치원읍 죽림리 342", "지도Link")</f>
        <v/>
      </c>
      <c r="N1745" s="6">
        <f>HYPERLINK("http://www.eum.go.kr/web/ar/lu/luLandDet.jsp?pnu=3611025030103420000&amp;isNoScr=script&amp;mode=search", "토지이음")</f>
        <v/>
      </c>
      <c r="O1745" s="3" t="inlineStr">
        <is>
          <t>가람</t>
        </is>
      </c>
      <c r="P1745" s="4" t="n">
        <v>1</v>
      </c>
      <c r="Q1745" s="4" t="n">
        <v>587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중로한면</t>
        </is>
      </c>
    </row>
    <row r="1746">
      <c r="A1746" s="3" t="inlineStr">
        <is>
          <t>조치원읍 죽림리 46-2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260000</v>
      </c>
      <c r="G1746" s="4" t="n">
        <v>1793</v>
      </c>
      <c r="H1746" s="4" t="n">
        <v>542</v>
      </c>
      <c r="I1746" s="5" t="n">
        <v>479.7</v>
      </c>
      <c r="J1746" s="5" t="n">
        <v>254.6</v>
      </c>
      <c r="K1746" s="3" t="inlineStr">
        <is>
          <t>죽림오거리 엘지전자샾 주변,도시지역,제2종일반주거지역.도로접함,다용도 굿</t>
        </is>
      </c>
      <c r="L1746" s="6">
        <f>HYPERLINK("https://fin.land.naver.com/articles/2649742867", "매물Link")</f>
        <v/>
      </c>
      <c r="M1746" s="6">
        <f>HYPERLINK("https://map.naver.com/p/search/조치원읍 죽림리 46-2", "지도Link")</f>
        <v/>
      </c>
      <c r="N1746" s="6">
        <f>HYPERLINK("http://www.eum.go.kr/web/ar/lu/luLandDet.jsp?pnu=3611025030100460002&amp;isNoScr=script&amp;mode=search", "토지이음")</f>
        <v/>
      </c>
      <c r="O1746" s="3" t="inlineStr">
        <is>
          <t>미래타운</t>
        </is>
      </c>
      <c r="P1746" s="4" t="n">
        <v>1</v>
      </c>
      <c r="Q1746" s="4" t="n">
        <v>1209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조치원읍 침산리 111-18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11400</v>
      </c>
      <c r="G1747" s="4" t="n">
        <v>102</v>
      </c>
      <c r="H1747" s="4" t="n">
        <v>31</v>
      </c>
      <c r="I1747" s="5" t="n">
        <v>367.7</v>
      </c>
      <c r="J1747" s="5" t="n">
        <v>175.7</v>
      </c>
      <c r="K1747" s="3" t="inlineStr">
        <is>
          <t>조치원 침산리 토지 매매 102㎡ 단독필지</t>
        </is>
      </c>
      <c r="L1747" s="6">
        <f>HYPERLINK("https://fin.land.naver.com/articles/2651350442", "매물Link")</f>
        <v/>
      </c>
      <c r="M1747" s="6">
        <f>HYPERLINK("https://map.naver.com/p/search/조치원읍 침산리 111-18", "지도Link")</f>
        <v/>
      </c>
      <c r="N1747" s="6">
        <f>HYPERLINK("http://www.eum.go.kr/web/ar/lu/luLandDet.jsp?pnu=3611025028101110018&amp;isNoScr=script&amp;mode=search", "토지이음")</f>
        <v/>
      </c>
      <c r="O1747" s="3" t="inlineStr">
        <is>
          <t>세종공감</t>
        </is>
      </c>
      <c r="P1747" s="4" t="n">
        <v>1</v>
      </c>
      <c r="Q1747" s="4" t="n">
        <v>102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조치원읍 침산리 123-2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27000</v>
      </c>
      <c r="G1748" s="4" t="n">
        <v>238</v>
      </c>
      <c r="H1748" s="4" t="n">
        <v>72</v>
      </c>
      <c r="I1748" s="5" t="n">
        <v>375</v>
      </c>
      <c r="J1748" s="5" t="n">
        <v>177.6</v>
      </c>
      <c r="K1748" s="3" t="inlineStr">
        <is>
          <t>조치원역인접.나대지상태.상가주택부지.장기투자가치.교통편리.제2종주거지역</t>
        </is>
      </c>
      <c r="L1748" s="6">
        <f>HYPERLINK("https://fin.land.naver.com/articles/2649220962", "매물Link")</f>
        <v/>
      </c>
      <c r="M1748" s="6">
        <f>HYPERLINK("https://map.naver.com/p/search/조치원읍 침산리 123-2", "지도Link")</f>
        <v/>
      </c>
      <c r="N1748" s="6">
        <f>HYPERLINK("http://www.eum.go.kr/web/ar/lu/luLandDet.jsp?pnu=3611025028101230002&amp;isNoScr=script&amp;mode=search", "토지이음")</f>
        <v/>
      </c>
      <c r="O1748" s="3" t="inlineStr">
        <is>
          <t>돈방석</t>
        </is>
      </c>
      <c r="P1748" s="4" t="n">
        <v>1</v>
      </c>
      <c r="Q1748" s="4" t="n">
        <v>238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조치원읍 침산리 144-9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129</v>
      </c>
      <c r="H1749" s="4" t="n">
        <v>39</v>
      </c>
      <c r="I1749" s="5" t="n">
        <v>1333.3</v>
      </c>
      <c r="J1749" s="5" t="n">
        <v>404.6</v>
      </c>
      <c r="K1749" s="3" t="inlineStr">
        <is>
          <t>조치원역바로뒤,2층건물 포함 일괄매매</t>
        </is>
      </c>
      <c r="L1749" s="6">
        <f>HYPERLINK("https://fin.land.naver.com/articles/2652801000", "매물Link")</f>
        <v/>
      </c>
      <c r="M1749" s="6">
        <f>HYPERLINK("https://map.naver.com/p/search/조치원읍 침산리 144-9", "지도Link")</f>
        <v/>
      </c>
      <c r="N1749" s="6">
        <f>HYPERLINK("http://www.eum.go.kr/web/ar/lu/luLandDet.jsp?pnu=3611025028101440009&amp;isNoScr=script&amp;mode=search", "토지이음")</f>
        <v/>
      </c>
      <c r="O1749" s="3" t="inlineStr">
        <is>
          <t>다옴</t>
        </is>
      </c>
      <c r="P1749" s="4" t="n">
        <v>1</v>
      </c>
      <c r="Q1749" s="4" t="n">
        <v>129</v>
      </c>
      <c r="R1749" s="3" t="inlineStr">
        <is>
          <t>지정되지않음</t>
        </is>
      </c>
      <c r="S1749" s="3" t="inlineStr">
        <is>
          <t>주상용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중로한면</t>
        </is>
      </c>
    </row>
    <row r="1750">
      <c r="A1750" s="3" t="inlineStr">
        <is>
          <t>조치원읍 침산리 167-10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95000</v>
      </c>
      <c r="G1750" s="4" t="n">
        <v>332</v>
      </c>
      <c r="H1750" s="4" t="n">
        <v>100</v>
      </c>
      <c r="I1750" s="5" t="n">
        <v>950</v>
      </c>
      <c r="J1750" s="5" t="n">
        <v>440.3</v>
      </c>
      <c r="K1750" s="3" t="inlineStr">
        <is>
          <t>조치원역뒤, 상가포함 좋은입지 일괄매매</t>
        </is>
      </c>
      <c r="L1750" s="6">
        <f>HYPERLINK("https://fin.land.naver.com/articles/2651077314", "매물Link")</f>
        <v/>
      </c>
      <c r="M1750" s="6">
        <f>HYPERLINK("https://map.naver.com/p/search/조치원읍 침산리 167-10", "지도Link")</f>
        <v/>
      </c>
      <c r="N1750" s="6">
        <f>HYPERLINK("http://www.eum.go.kr/web/ar/lu/luLandDet.jsp?pnu=3611025028101670010&amp;isNoScr=script&amp;mode=search",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332</v>
      </c>
      <c r="R1750" s="3" t="inlineStr">
        <is>
          <t>지정되지않음</t>
        </is>
      </c>
      <c r="S1750" s="3" t="inlineStr">
        <is>
          <t>상업용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광대로한면</t>
        </is>
      </c>
    </row>
    <row r="1751">
      <c r="A1751" s="3" t="inlineStr">
        <is>
          <t>조치원읍 침산리 185-13</t>
        </is>
      </c>
      <c r="B1751" s="3" t="inlineStr">
        <is>
          <t>제2종일반주거지역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33000</v>
      </c>
      <c r="G1751" s="4" t="n">
        <v>283</v>
      </c>
      <c r="H1751" s="4" t="n">
        <v>86</v>
      </c>
      <c r="I1751" s="5" t="n">
        <v>383.7</v>
      </c>
      <c r="J1751" s="5" t="n">
        <v>136.4</v>
      </c>
      <c r="K1751" s="3" t="inlineStr">
        <is>
          <t>조치원역세권 개발 배후지.도시가스.상하수도 연결 완료</t>
        </is>
      </c>
      <c r="L1751" s="6">
        <f>HYPERLINK("https://fin.land.naver.com/articles/2651803543", "매물Link")</f>
        <v/>
      </c>
      <c r="M1751" s="6">
        <f>HYPERLINK("https://map.naver.com/p/search/조치원읍 침산리 185-13", "지도Link")</f>
        <v/>
      </c>
      <c r="N1751" s="6">
        <f>HYPERLINK("http://www.eum.go.kr/web/ar/lu/luLandDet.jsp?pnu=3611025028101850013&amp;isNoScr=script&amp;mode=search", "토지이음")</f>
        <v/>
      </c>
      <c r="O1751" s="3" t="inlineStr">
        <is>
          <t>굿모닝</t>
        </is>
      </c>
      <c r="P1751" s="4" t="n">
        <v>1</v>
      </c>
      <c r="Q1751" s="4" t="n">
        <v>283</v>
      </c>
      <c r="R1751" s="3" t="inlineStr">
        <is>
          <t>지정되지않음</t>
        </is>
      </c>
      <c r="S1751" s="3" t="inlineStr">
        <is>
          <t>전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조치원읍 침산리 185-19</t>
        </is>
      </c>
      <c r="B1752" s="3" t="inlineStr">
        <is>
          <t>제1종일반주거지역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80400</v>
      </c>
      <c r="G1752" s="4" t="n">
        <v>664</v>
      </c>
      <c r="H1752" s="4" t="n">
        <v>201</v>
      </c>
      <c r="I1752" s="5" t="n">
        <v>400</v>
      </c>
      <c r="J1752" s="5" t="n">
        <v>155.1</v>
      </c>
      <c r="K1752" s="3" t="inlineStr">
        <is>
          <t>침산리 위치 좋은 곳으로 커피숍이나 음식점 자리</t>
        </is>
      </c>
      <c r="L1752" s="6">
        <f>HYPERLINK("https://fin.land.naver.com/articles/2647576266", "매물Link")</f>
        <v/>
      </c>
      <c r="M1752" s="6">
        <f>HYPERLINK("https://map.naver.com/p/search/조치원읍 침산리 185-19", "지도Link")</f>
        <v/>
      </c>
      <c r="N1752" s="6">
        <f>HYPERLINK("http://www.eum.go.kr/web/ar/lu/luLandDet.jsp?pnu=3611025028101850019&amp;isNoScr=script&amp;mode=search", "토지이음")</f>
        <v/>
      </c>
      <c r="O1752" s="3" t="inlineStr">
        <is>
          <t>KB세종</t>
        </is>
      </c>
      <c r="P1752" s="4" t="n">
        <v>1</v>
      </c>
      <c r="Q1752" s="4" t="n">
        <v>580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조치원읍 침산리 203</t>
        </is>
      </c>
      <c r="B1753" s="3" t="inlineStr">
        <is>
          <t>제1종일반주거지역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193000</v>
      </c>
      <c r="G1753" s="4" t="n">
        <v>2362</v>
      </c>
      <c r="H1753" s="4" t="n">
        <v>715</v>
      </c>
      <c r="I1753" s="5" t="n">
        <v>269.9</v>
      </c>
      <c r="J1753" s="5" t="n">
        <v>187</v>
      </c>
      <c r="K1753" s="3" t="inlineStr">
        <is>
          <t>1번국도 인근토지로 지대가 높고 다양한 용도로 활용가능. 가격조율 가능.</t>
        </is>
      </c>
      <c r="L1753" s="6">
        <f>HYPERLINK("https://fin.land.naver.com/articles/2647427896", "매물Link")</f>
        <v/>
      </c>
      <c r="M1753" s="6">
        <f>HYPERLINK("https://map.naver.com/p/search/조치원읍 침산리 203", "지도Link")</f>
        <v/>
      </c>
      <c r="N1753" s="6">
        <f>HYPERLINK("http://www.eum.go.kr/web/ar/lu/luLandDet.jsp?pnu=3611025028102030000&amp;isNoScr=script&amp;mode=search", "토지이음")</f>
        <v/>
      </c>
      <c r="O1753" s="3" t="inlineStr">
        <is>
          <t>세종대장</t>
        </is>
      </c>
      <c r="P1753" s="4" t="n">
        <v>1</v>
      </c>
      <c r="Q1753" s="4" t="n">
        <v>2362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광대로한면</t>
        </is>
      </c>
    </row>
    <row r="1754">
      <c r="A1754" s="3" t="inlineStr">
        <is>
          <t>조치원읍 침산리 219-3</t>
        </is>
      </c>
      <c r="B1754" s="3" t="inlineStr">
        <is>
          <t>제1종일반주거지역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268000</v>
      </c>
      <c r="G1754" s="4" t="n">
        <v>1971</v>
      </c>
      <c r="H1754" s="4" t="n">
        <v>596</v>
      </c>
      <c r="I1754" s="5" t="n">
        <v>449.7</v>
      </c>
      <c r="J1754" s="5" t="n">
        <v>183.4</v>
      </c>
      <c r="K1754" s="3" t="inlineStr">
        <is>
          <t>제1종일반주거지역, 코너토지,조치원하이마트,예술회관,조치원복컴등 인근위치</t>
        </is>
      </c>
      <c r="L1754" s="6">
        <f>HYPERLINK("https://fin.land.naver.com/articles/2650636285", "매물Link")</f>
        <v/>
      </c>
      <c r="M1754" s="6">
        <f>HYPERLINK("https://map.naver.com/p/search/조치원읍 침산리 219-3", "지도Link")</f>
        <v/>
      </c>
      <c r="N1754" s="6">
        <f>HYPERLINK("http://www.eum.go.kr/web/ar/lu/luLandDet.jsp?pnu=3611025028102190003&amp;isNoScr=script&amp;mode=search", "토지이음")</f>
        <v/>
      </c>
      <c r="O1754" s="3" t="inlineStr">
        <is>
          <t>세종일조</t>
        </is>
      </c>
      <c r="P1754" s="4" t="n">
        <v>1</v>
      </c>
      <c r="Q1754" s="4" t="n">
        <v>1887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중로한면</t>
        </is>
      </c>
    </row>
    <row r="1755">
      <c r="A1755" s="3" t="inlineStr">
        <is>
          <t>조치원읍 침산리 219-3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268000</v>
      </c>
      <c r="G1755" s="4" t="n">
        <v>1971</v>
      </c>
      <c r="H1755" s="4" t="n">
        <v>596</v>
      </c>
      <c r="I1755" s="5" t="n">
        <v>449.7</v>
      </c>
      <c r="J1755" s="5" t="n">
        <v>183.4</v>
      </c>
      <c r="K1755" s="3" t="inlineStr">
        <is>
          <t>도도리파크, 문화예술회관 맞은편 토지</t>
        </is>
      </c>
      <c r="L1755" s="6">
        <f>HYPERLINK("https://fin.land.naver.com/articles/2648317472", "매물Link")</f>
        <v/>
      </c>
      <c r="M1755" s="6">
        <f>HYPERLINK("https://map.naver.com/p/search/조치원읍 침산리 219-3", "지도Link")</f>
        <v/>
      </c>
      <c r="N1755" s="6">
        <f>HYPERLINK("http://www.eum.go.kr/web/ar/lu/luLandDet.jsp?pnu=3611025028102190003&amp;isNoScr=script&amp;mode=search",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1887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중로한면</t>
        </is>
      </c>
    </row>
    <row r="1756">
      <c r="A1756" s="3" t="inlineStr">
        <is>
          <t>조치원읍 침산리 219-7</t>
        </is>
      </c>
      <c r="B1756" s="3" t="inlineStr">
        <is>
          <t>제1종일반주거지역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136000</v>
      </c>
      <c r="G1756" s="4" t="n">
        <v>566</v>
      </c>
      <c r="H1756" s="4" t="n">
        <v>171</v>
      </c>
      <c r="I1756" s="5" t="n">
        <v>795.3</v>
      </c>
      <c r="J1756" s="5" t="n">
        <v>272.3</v>
      </c>
      <c r="K1756" s="3" t="inlineStr">
        <is>
          <t>침산리 대로변 넓고반듯한 토지 매매,다양활용</t>
        </is>
      </c>
      <c r="L1756" s="6">
        <f>HYPERLINK("https://fin.land.naver.com/articles/2652805884", "매물Link")</f>
        <v/>
      </c>
      <c r="M1756" s="6">
        <f>HYPERLINK("https://map.naver.com/p/search/조치원읍 침산리 219-7", "지도Link")</f>
        <v/>
      </c>
      <c r="N1756" s="6">
        <f>HYPERLINK("http://www.eum.go.kr/web/ar/lu/luLandDet.jsp?pnu=3611025028102190007&amp;isNoScr=script&amp;mode=search", "토지이음")</f>
        <v/>
      </c>
      <c r="O1756" s="3" t="inlineStr">
        <is>
          <t>다옴</t>
        </is>
      </c>
      <c r="P1756" s="4" t="n">
        <v>1</v>
      </c>
      <c r="Q1756" s="4" t="n">
        <v>566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중로각지</t>
        </is>
      </c>
    </row>
    <row r="1757">
      <c r="A1757" s="3" t="inlineStr">
        <is>
          <t>조치원읍 침산리 255-7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40000</v>
      </c>
      <c r="G1757" s="4" t="n">
        <v>251</v>
      </c>
      <c r="H1757" s="4" t="n">
        <v>76</v>
      </c>
      <c r="I1757" s="5" t="n">
        <v>526.3</v>
      </c>
      <c r="J1757" s="5" t="n">
        <v>289.8</v>
      </c>
      <c r="K1757" s="3" t="inlineStr">
        <is>
          <t>침산리 건축가능한 대지매물</t>
        </is>
      </c>
      <c r="L1757" s="6">
        <f>HYPERLINK("https://fin.land.naver.com/articles/2650857783", "매물Link")</f>
        <v/>
      </c>
      <c r="M1757" s="6">
        <f>HYPERLINK("https://map.naver.com/p/search/조치원읍 침산리 255-7", "지도Link")</f>
        <v/>
      </c>
      <c r="N1757" s="6">
        <f>HYPERLINK("http://www.eum.go.kr/web/ar/lu/luLandDet.jsp?pnu=3611025028102550007&amp;isNoScr=script&amp;mode=search", "토지이음")</f>
        <v/>
      </c>
      <c r="O1757" s="3" t="inlineStr">
        <is>
          <t>상희</t>
        </is>
      </c>
      <c r="P1757" s="4" t="n">
        <v>1</v>
      </c>
      <c r="Q1757" s="4" t="n">
        <v>251.7</v>
      </c>
      <c r="R1757" s="3" t="inlineStr">
        <is>
          <t>지정되지않음</t>
        </is>
      </c>
      <c r="S1757" s="3" t="inlineStr">
        <is>
          <t>주거기타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세로한면(가)</t>
        </is>
      </c>
    </row>
    <row r="1758">
      <c r="A1758" s="3" t="inlineStr">
        <is>
          <t>조치원읍 침산리 262-2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55000</v>
      </c>
      <c r="G1758" s="4" t="n">
        <v>160</v>
      </c>
      <c r="H1758" s="4" t="n">
        <v>48</v>
      </c>
      <c r="I1758" s="5" t="n">
        <v>1145.8</v>
      </c>
      <c r="J1758" s="5" t="n">
        <v>376.9</v>
      </c>
      <c r="K1758" s="3" t="inlineStr">
        <is>
          <t>음식점으로 성업중인 토지와 상가 건물을 일괄하여 매매합니다.</t>
        </is>
      </c>
      <c r="L1758" s="6">
        <f>HYPERLINK("https://fin.land.naver.com/articles/2652461844", "매물Link")</f>
        <v/>
      </c>
      <c r="M1758" s="6">
        <f>HYPERLINK("https://map.naver.com/p/search/조치원읍 침산리 262-2", "지도Link")</f>
        <v/>
      </c>
      <c r="N1758" s="6">
        <f>HYPERLINK("http://www.eum.go.kr/web/ar/lu/luLandDet.jsp?pnu=3611025028102620002&amp;isNoScr=script&amp;mode=search", "토지이음")</f>
        <v/>
      </c>
      <c r="O1758" s="3" t="inlineStr">
        <is>
          <t>스마일세종</t>
        </is>
      </c>
      <c r="P1758" s="4" t="n">
        <v>1</v>
      </c>
      <c r="Q1758" s="4" t="n">
        <v>160.5</v>
      </c>
      <c r="R1758" s="3" t="inlineStr">
        <is>
          <t>지정되지않음</t>
        </is>
      </c>
      <c r="S1758" s="3" t="inlineStr">
        <is>
          <t>주상기타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세로한면(가)</t>
        </is>
      </c>
    </row>
    <row r="1759">
      <c r="A1759" s="3" t="inlineStr">
        <is>
          <t>조치원읍 침산리 278-1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100000</v>
      </c>
      <c r="G1759" s="4" t="n">
        <v>281</v>
      </c>
      <c r="H1759" s="4" t="n">
        <v>85</v>
      </c>
      <c r="I1759" s="5" t="n">
        <v>1176.5</v>
      </c>
      <c r="J1759" s="5" t="n">
        <v>363.6</v>
      </c>
      <c r="K1759" s="3" t="inlineStr">
        <is>
          <t>침산리 대로접한 귀한토지</t>
        </is>
      </c>
      <c r="L1759" s="6">
        <f>HYPERLINK("https://fin.land.naver.com/articles/2648014040", "매물Link")</f>
        <v/>
      </c>
      <c r="M1759" s="6">
        <f>HYPERLINK("https://map.naver.com/p/search/조치원읍 침산리 278-1", "지도Link")</f>
        <v/>
      </c>
      <c r="N1759" s="6">
        <f>HYPERLINK("http://www.eum.go.kr/web/ar/lu/luLandDet.jsp?pnu=3611025028102780001&amp;isNoScr=script&amp;mode=search", "토지이음")</f>
        <v/>
      </c>
      <c r="O1759" s="3" t="inlineStr">
        <is>
          <t>동백</t>
        </is>
      </c>
      <c r="P1759" s="4" t="n">
        <v>1</v>
      </c>
      <c r="Q1759" s="4" t="n">
        <v>281.3</v>
      </c>
      <c r="R1759" s="3" t="inlineStr">
        <is>
          <t>지정되지않음</t>
        </is>
      </c>
      <c r="S1759" s="3" t="inlineStr">
        <is>
          <t>상업용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조치원읍 침산리 283-8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265</v>
      </c>
      <c r="H1760" s="4" t="n">
        <v>80</v>
      </c>
      <c r="I1760" s="5" t="n">
        <v>687.5</v>
      </c>
      <c r="J1760" s="5" t="n">
        <v>441.7</v>
      </c>
      <c r="K1760" s="3" t="inlineStr">
        <is>
          <t>코너 대지 매매</t>
        </is>
      </c>
      <c r="L1760" s="6">
        <f>HYPERLINK("https://fin.land.naver.com/articles/2651765054", "매물Link")</f>
        <v/>
      </c>
      <c r="M1760" s="6">
        <f>HYPERLINK("https://map.naver.com/p/search/조치원읍 침산리 283-8", "지도Link")</f>
        <v/>
      </c>
      <c r="N1760" s="6">
        <f>HYPERLINK("http://www.eum.go.kr/web/ar/lu/luLandDet.jsp?pnu=3611025028102830008&amp;isNoScr=script&amp;mode=search", "토지이음")</f>
        <v/>
      </c>
      <c r="O1760" s="3" t="inlineStr">
        <is>
          <t>찬스</t>
        </is>
      </c>
      <c r="P1760" s="4" t="n">
        <v>1</v>
      </c>
      <c r="Q1760" s="4" t="n">
        <v>265.6</v>
      </c>
      <c r="R1760" s="3" t="inlineStr">
        <is>
          <t>지정되지않음</t>
        </is>
      </c>
      <c r="S1760" s="3" t="inlineStr">
        <is>
          <t>주상기타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소로각지</t>
        </is>
      </c>
    </row>
    <row r="1761">
      <c r="A1761" s="3" t="inlineStr">
        <is>
          <t>조치원읍 침산리 283-9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월세</t>
        </is>
      </c>
      <c r="F1761" s="4" t="n">
        <v>1000</v>
      </c>
      <c r="G1761" s="4" t="n">
        <v>248</v>
      </c>
      <c r="H1761" s="4" t="n">
        <v>75</v>
      </c>
      <c r="I1761" s="5" t="n">
        <v>0.5</v>
      </c>
      <c r="J1761" s="5" t="n">
        <v>283.1</v>
      </c>
      <c r="K1761" s="3" t="inlineStr">
        <is>
          <t>nan</t>
        </is>
      </c>
      <c r="L1761" s="6">
        <f>HYPERLINK("https://fin.land.naver.com/articles/2650644582", "매물Link")</f>
        <v/>
      </c>
      <c r="M1761" s="6">
        <f>HYPERLINK("https://map.naver.com/p/search/조치원읍 침산리 283-9", "지도Link")</f>
        <v/>
      </c>
      <c r="N1761" s="6">
        <f>HYPERLINK("http://www.eum.go.kr/web/ar/lu/luLandDet.jsp?pnu=3611025028102830009&amp;isNoScr=script&amp;mode=search", "토지이음")</f>
        <v/>
      </c>
      <c r="O1761" s="3" t="inlineStr">
        <is>
          <t>세종문화길</t>
        </is>
      </c>
      <c r="P1761" s="4" t="n">
        <v>1</v>
      </c>
      <c r="Q1761" s="4" t="n">
        <v>248.8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세로한면(가)</t>
        </is>
      </c>
    </row>
    <row r="1762">
      <c r="A1762" s="3" t="inlineStr">
        <is>
          <t>조치원읍 침산리 284-9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60000</v>
      </c>
      <c r="G1762" s="4" t="n">
        <v>238</v>
      </c>
      <c r="H1762" s="4" t="n">
        <v>72</v>
      </c>
      <c r="I1762" s="5" t="n">
        <v>833.3</v>
      </c>
      <c r="J1762" s="5" t="n">
        <v>283.1</v>
      </c>
      <c r="K1762" s="3" t="inlineStr">
        <is>
          <t>스타벅스가 선택한 그 입지, 세종 조치원 침산리 금쪽같은 토지 매매</t>
        </is>
      </c>
      <c r="L1762" s="6">
        <f>HYPERLINK("https://fin.land.naver.com/articles/2648828796", "매물Link")</f>
        <v/>
      </c>
      <c r="M1762" s="6">
        <f>HYPERLINK("https://map.naver.com/p/search/조치원읍 침산리 284-9", "지도Link")</f>
        <v/>
      </c>
      <c r="N1762" s="6">
        <f>HYPERLINK("http://www.eum.go.kr/web/ar/lu/luLandDet.jsp?pnu=3611025028102840009&amp;isNoScr=script&amp;mode=search", "토지이음")</f>
        <v/>
      </c>
      <c r="O1762" s="3" t="inlineStr">
        <is>
          <t>찬스</t>
        </is>
      </c>
      <c r="P1762" s="4" t="n">
        <v>1</v>
      </c>
      <c r="Q1762" s="4" t="n">
        <v>238.8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조치원읍 침산리 285-16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38630</v>
      </c>
      <c r="G1763" s="4" t="n">
        <v>255</v>
      </c>
      <c r="H1763" s="4" t="n">
        <v>77</v>
      </c>
      <c r="I1763" s="5" t="n">
        <v>501.7</v>
      </c>
      <c r="J1763" s="5" t="n">
        <v>301.6</v>
      </c>
      <c r="K1763" s="3" t="inlineStr">
        <is>
          <t>구역정리된 지역임</t>
        </is>
      </c>
      <c r="L1763" s="6">
        <f>HYPERLINK("https://fin.land.naver.com/articles/2652215917", "매물Link")</f>
        <v/>
      </c>
      <c r="M1763" s="6">
        <f>HYPERLINK("https://map.naver.com/p/search/조치원읍 침산리 285-16", "지도Link")</f>
        <v/>
      </c>
      <c r="N1763" s="6">
        <f>HYPERLINK("http://www.eum.go.kr/web/ar/lu/luLandDet.jsp?pnu=3611025028102850016&amp;isNoScr=script&amp;mode=search", "토지이음")</f>
        <v/>
      </c>
      <c r="O1763" s="3" t="inlineStr">
        <is>
          <t>한일</t>
        </is>
      </c>
      <c r="P1763" s="4" t="n">
        <v>1</v>
      </c>
      <c r="Q1763" s="4" t="n">
        <v>255.4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소로한면</t>
        </is>
      </c>
    </row>
    <row r="1764">
      <c r="A1764" s="3" t="inlineStr">
        <is>
          <t>조치원읍 침산리 40</t>
        </is>
      </c>
      <c r="B1764" s="3" t="inlineStr">
        <is>
          <t>제1종일반주거지역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256000</v>
      </c>
      <c r="G1764" s="4" t="n">
        <v>2116</v>
      </c>
      <c r="H1764" s="4" t="n">
        <v>640</v>
      </c>
      <c r="I1764" s="5" t="n">
        <v>400</v>
      </c>
      <c r="J1764" s="5" t="n">
        <v>177.6</v>
      </c>
      <c r="K1764" s="3" t="inlineStr">
        <is>
          <t>침산리 토지매매</t>
        </is>
      </c>
      <c r="L1764" s="6">
        <f>HYPERLINK("https://fin.land.naver.com/articles/2648993462", "매물Link")</f>
        <v/>
      </c>
      <c r="M1764" s="6">
        <f>HYPERLINK("https://map.naver.com/p/search/조치원읍 침산리 40", "지도Link")</f>
        <v/>
      </c>
      <c r="N1764" s="6">
        <f>HYPERLINK("http://www.eum.go.kr/web/ar/lu/luLandDet.jsp?pnu=3611025028100400000&amp;isNoScr=script&amp;mode=search", "토지이음")</f>
        <v/>
      </c>
      <c r="O1764" s="3" t="inlineStr">
        <is>
          <t>김준희</t>
        </is>
      </c>
      <c r="P1764" s="4" t="n">
        <v>1</v>
      </c>
      <c r="Q1764" s="4" t="n">
        <v>1924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조치원읍 침산리 79-4</t>
        </is>
      </c>
      <c r="B1765" s="3" t="inlineStr">
        <is>
          <t>제1종일반주거지역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700000</v>
      </c>
      <c r="G1765" s="4" t="n">
        <v>1842</v>
      </c>
      <c r="H1765" s="4" t="n">
        <v>557</v>
      </c>
      <c r="I1765" s="5" t="n">
        <v>1256.7</v>
      </c>
      <c r="J1765" s="5" t="n">
        <v>416.9</v>
      </c>
      <c r="K1765" s="3" t="inlineStr">
        <is>
          <t>1번국도와 55m 접해있어 근린생활시설을 지으면 좋은 일반주거지역 대지</t>
        </is>
      </c>
      <c r="L1765" s="6">
        <f>HYPERLINK("https://fin.land.naver.com/articles/2650207703", "매물Link")</f>
        <v/>
      </c>
      <c r="M1765" s="6">
        <f>HYPERLINK("https://map.naver.com/p/search/조치원읍 침산리 79-4", "지도Link")</f>
        <v/>
      </c>
      <c r="N1765" s="6">
        <f>HYPERLINK("http://www.eum.go.kr/web/ar/lu/luLandDet.jsp?pnu=3611025028100790004&amp;isNoScr=script&amp;mode=search", "토지이음")</f>
        <v/>
      </c>
      <c r="O1765" s="3" t="inlineStr">
        <is>
          <t>스마일세종</t>
        </is>
      </c>
      <c r="P1765" s="4" t="n">
        <v>2</v>
      </c>
      <c r="Q1765" s="4" t="n">
        <v>1380</v>
      </c>
      <c r="R1765" s="3" t="inlineStr">
        <is>
          <t>지정되지않음</t>
        </is>
      </c>
      <c r="S1765" s="3" t="inlineStr">
        <is>
          <t>상업기타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광대로한면</t>
        </is>
      </c>
    </row>
    <row r="1766">
      <c r="A1766" s="3" t="inlineStr">
        <is>
          <t>조치원읍 평리 101-2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356</v>
      </c>
      <c r="H1766" s="4" t="n">
        <v>108</v>
      </c>
      <c r="I1766" s="5" t="n">
        <v>555.6</v>
      </c>
      <c r="J1766" s="5" t="n">
        <v>175.8</v>
      </c>
      <c r="K1766" s="3" t="inlineStr">
        <is>
          <t>8미터도로연접, 다가구부지 추천매매</t>
        </is>
      </c>
      <c r="L1766" s="6">
        <f>HYPERLINK("https://fin.land.naver.com/articles/2653056560", "매물Link")</f>
        <v/>
      </c>
      <c r="M1766" s="6">
        <f>HYPERLINK("https://map.naver.com/p/search/조치원읍 평리 101-2", "지도Link")</f>
        <v/>
      </c>
      <c r="N1766" s="6">
        <f>HYPERLINK("http://www.eum.go.kr/web/ar/lu/luLandDet.jsp?pnu=3611025023101010002&amp;isNoScr=script&amp;mode=search", "토지이음")</f>
        <v/>
      </c>
      <c r="O1766" s="3" t="inlineStr">
        <is>
          <t>Home</t>
        </is>
      </c>
      <c r="P1766" s="4" t="n">
        <v>1</v>
      </c>
      <c r="Q1766" s="4" t="n">
        <v>356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조치원읍 평리 101-2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356</v>
      </c>
      <c r="H1767" s="4" t="n">
        <v>108</v>
      </c>
      <c r="I1767" s="5" t="n">
        <v>555.6</v>
      </c>
      <c r="J1767" s="5" t="n">
        <v>175.8</v>
      </c>
      <c r="K1767" s="3" t="inlineStr">
        <is>
          <t>남향토지,도로지분포함,조치원 시장 도보5분거리 위치,</t>
        </is>
      </c>
      <c r="L1767" s="6">
        <f>HYPERLINK("https://fin.land.naver.com/articles/2652137848", "매물Link")</f>
        <v/>
      </c>
      <c r="M1767" s="6">
        <f>HYPERLINK("https://map.naver.com/p/search/조치원읍 평리 101-2", "지도Link")</f>
        <v/>
      </c>
      <c r="N1767" s="6">
        <f>HYPERLINK("http://www.eum.go.kr/web/ar/lu/luLandDet.jsp?pnu=3611025023101010002&amp;isNoScr=script&amp;mode=search", "토지이음")</f>
        <v/>
      </c>
      <c r="O1767" s="3" t="inlineStr">
        <is>
          <t>담뜰</t>
        </is>
      </c>
      <c r="P1767" s="4" t="n">
        <v>1</v>
      </c>
      <c r="Q1767" s="4" t="n">
        <v>356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집현동 1203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215000</v>
      </c>
      <c r="G1768" s="4" t="n">
        <v>569</v>
      </c>
      <c r="H1768" s="4" t="n">
        <v>172</v>
      </c>
      <c r="I1768" s="5" t="n">
        <v>1250</v>
      </c>
      <c r="J1768" s="5" t="n">
        <v>320.7</v>
      </c>
      <c r="K1768" s="3" t="inlineStr">
        <is>
          <t>일반음식점 가능 2종근생, 자이 1200세대 정문 앞 횡단보도 버스정류장</t>
        </is>
      </c>
      <c r="L1768" s="6">
        <f>HYPERLINK("https://fin.land.naver.com/articles/2650179158", "매물Link")</f>
        <v/>
      </c>
      <c r="M1768" s="6">
        <f>HYPERLINK("https://map.naver.com/p/search/집현동 1203", "지도Link")</f>
        <v/>
      </c>
      <c r="N1768" s="6">
        <f>HYPERLINK("http://www.eum.go.kr/web/ar/lu/luLandDet.jsp?pnu=3611011800112030000&amp;isNoScr=script&amp;mode=search", "토지이음")</f>
        <v/>
      </c>
      <c r="O1768" s="3" t="inlineStr">
        <is>
          <t>오송3산단  사무소</t>
        </is>
      </c>
      <c r="P1768" s="4" t="n">
        <v>1</v>
      </c>
      <c r="Q1768" s="4" t="n">
        <v>569.7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광대소각</t>
        </is>
      </c>
    </row>
    <row r="1769">
      <c r="A1769" s="3" t="inlineStr">
        <is>
          <t>집현동 1217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42000</v>
      </c>
      <c r="G1769" s="4" t="n">
        <v>320</v>
      </c>
      <c r="H1769" s="4" t="n">
        <v>97</v>
      </c>
      <c r="I1769" s="5" t="n">
        <v>433</v>
      </c>
      <c r="J1769" s="5" t="n">
        <v>267.1</v>
      </c>
      <c r="K1769" s="3" t="inlineStr">
        <is>
          <t>급매 남향 상권 삼성천 가까운 선호위치</t>
        </is>
      </c>
      <c r="L1769" s="6">
        <f>HYPERLINK("https://fin.land.naver.com/articles/2650653419", "매물Link")</f>
        <v/>
      </c>
      <c r="M1769" s="6">
        <f>HYPERLINK("https://map.naver.com/p/search/집현동 1217", "지도Link")</f>
        <v/>
      </c>
      <c r="N1769" s="6">
        <f>HYPERLINK("http://www.eum.go.kr/web/ar/lu/luLandDet.jsp?pnu=3611011800112170000&amp;isNoScr=script&amp;mode=search", "토지이음")</f>
        <v/>
      </c>
      <c r="O1769" s="3" t="inlineStr">
        <is>
          <t>세종스타</t>
        </is>
      </c>
      <c r="P1769" s="4" t="n">
        <v>3</v>
      </c>
      <c r="Q1769" s="4" t="n">
        <v>320.9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집현동 1219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47000</v>
      </c>
      <c r="G1770" s="4" t="n">
        <v>318</v>
      </c>
      <c r="H1770" s="4" t="n">
        <v>96</v>
      </c>
      <c r="I1770" s="5" t="n">
        <v>489.6</v>
      </c>
      <c r="J1770" s="5" t="n">
        <v>277.7</v>
      </c>
      <c r="K1770" s="3" t="inlineStr">
        <is>
          <t>급매 집현동 택지</t>
        </is>
      </c>
      <c r="L1770" s="6">
        <f>HYPERLINK("https://fin.land.naver.com/articles/2652794576", "매물Link")</f>
        <v/>
      </c>
      <c r="M1770" s="6">
        <f>HYPERLINK("https://map.naver.com/p/search/집현동 1219", "지도Link")</f>
        <v/>
      </c>
      <c r="N1770" s="6">
        <f>HYPERLINK("http://www.eum.go.kr/web/ar/lu/luLandDet.jsp?pnu=3611011800112190000&amp;isNoScr=script&amp;mode=search", "토지이음")</f>
        <v/>
      </c>
      <c r="O1770" s="3" t="inlineStr">
        <is>
          <t>강아지풀</t>
        </is>
      </c>
      <c r="P1770" s="4" t="n">
        <v>1</v>
      </c>
      <c r="Q1770" s="4" t="n">
        <v>318.9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가로장방</t>
        </is>
      </c>
      <c r="V1770" s="3" t="inlineStr">
        <is>
          <t>소로각지</t>
        </is>
      </c>
    </row>
    <row r="1771">
      <c r="A1771" s="3" t="inlineStr">
        <is>
          <t>집현동 1226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54000</v>
      </c>
      <c r="G1771" s="4" t="n">
        <v>305</v>
      </c>
      <c r="H1771" s="4" t="n">
        <v>92</v>
      </c>
      <c r="I1771" s="5" t="n">
        <v>587</v>
      </c>
      <c r="J1771" s="5" t="n">
        <v>267.1</v>
      </c>
      <c r="K1771" s="3" t="inlineStr">
        <is>
          <t>집현동 위치 좋은 단독주택, 사거리 코너 입지</t>
        </is>
      </c>
      <c r="L1771" s="6">
        <f>HYPERLINK("https://fin.land.naver.com/articles/2652843192", "매물Link")</f>
        <v/>
      </c>
      <c r="M1771" s="6">
        <f>HYPERLINK("https://map.naver.com/p/search/집현동 1226", "지도Link")</f>
        <v/>
      </c>
      <c r="N1771" s="6">
        <f>HYPERLINK("http://www.eum.go.kr/web/ar/lu/luLandDet.jsp?pnu=3611011800112260000&amp;isNoScr=script&amp;mode=search",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305.3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집현동 1226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54000</v>
      </c>
      <c r="G1772" s="4" t="n">
        <v>305</v>
      </c>
      <c r="H1772" s="4" t="n">
        <v>92</v>
      </c>
      <c r="I1772" s="5" t="n">
        <v>587</v>
      </c>
      <c r="J1772" s="5" t="n">
        <v>267.1</v>
      </c>
      <c r="K1772" s="3" t="inlineStr">
        <is>
          <t>삼성천인근 남북트인위치 남쪽 보행로접함</t>
        </is>
      </c>
      <c r="L1772" s="6">
        <f>HYPERLINK("https://fin.land.naver.com/articles/2652943039", "매물Link")</f>
        <v/>
      </c>
      <c r="M1772" s="6">
        <f>HYPERLINK("https://map.naver.com/p/search/집현동 1226", "지도Link")</f>
        <v/>
      </c>
      <c r="N1772" s="6">
        <f>HYPERLINK("http://www.eum.go.kr/web/ar/lu/luLandDet.jsp?pnu=3611011800112260000&amp;isNoScr=script&amp;mode=search",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305.3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1226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54000</v>
      </c>
      <c r="G1773" s="4" t="n">
        <v>305</v>
      </c>
      <c r="H1773" s="4" t="n">
        <v>92</v>
      </c>
      <c r="I1773" s="5" t="n">
        <v>587</v>
      </c>
      <c r="J1773" s="5" t="n">
        <v>267.1</v>
      </c>
      <c r="K1773" s="3" t="inlineStr">
        <is>
          <t>집현동 위치 좋은 단독주택 토지매매, 사거리 코너 입지</t>
        </is>
      </c>
      <c r="L1773" s="6">
        <f>HYPERLINK("https://fin.land.naver.com/articles/2648137252", "매물Link")</f>
        <v/>
      </c>
      <c r="M1773" s="6">
        <f>HYPERLINK("https://map.naver.com/p/search/집현동 1226", "지도Link")</f>
        <v/>
      </c>
      <c r="N1773" s="6">
        <f>HYPERLINK("http://www.eum.go.kr/web/ar/lu/luLandDet.jsp?pnu=3611011800112260000&amp;isNoScr=script&amp;mode=search",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305.3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집현동 1244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60000</v>
      </c>
      <c r="G1774" s="4" t="n">
        <v>323</v>
      </c>
      <c r="H1774" s="4" t="n">
        <v>98</v>
      </c>
      <c r="I1774" s="5" t="n">
        <v>612.2</v>
      </c>
      <c r="J1774" s="5" t="n">
        <v>275</v>
      </c>
      <c r="K1774" s="3" t="inlineStr">
        <is>
          <t>최고위치 코너각지 공원뷰 삼성천뷰</t>
        </is>
      </c>
      <c r="L1774" s="6">
        <f>HYPERLINK("https://fin.land.naver.com/articles/2650366745", "매물Link")</f>
        <v/>
      </c>
      <c r="M1774" s="6">
        <f>HYPERLINK("https://map.naver.com/p/search/집현동 1244", "지도Link")</f>
        <v/>
      </c>
      <c r="N1774" s="6">
        <f>HYPERLINK("http://www.eum.go.kr/web/ar/lu/luLandDet.jsp?pnu=3611011800112440000&amp;isNoScr=script&amp;mode=search", "토지이음")</f>
        <v/>
      </c>
      <c r="O1774" s="3" t="inlineStr">
        <is>
          <t>세종스타</t>
        </is>
      </c>
      <c r="P1774" s="4" t="n">
        <v>2</v>
      </c>
      <c r="Q1774" s="4" t="n">
        <v>323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소로각지</t>
        </is>
      </c>
    </row>
    <row r="1775">
      <c r="A1775" s="3" t="inlineStr">
        <is>
          <t>집현동 1244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323</v>
      </c>
      <c r="H1775" s="4" t="n">
        <v>98</v>
      </c>
      <c r="I1775" s="5" t="n">
        <v>612.2</v>
      </c>
      <c r="J1775" s="5" t="n">
        <v>275</v>
      </c>
      <c r="K1775" s="3" t="inlineStr">
        <is>
          <t>코너각지 위치한 토지매매, 공원과 삼성천 뷰 가능</t>
        </is>
      </c>
      <c r="L1775" s="6">
        <f>HYPERLINK("https://fin.land.naver.com/articles/2649592856", "매물Link")</f>
        <v/>
      </c>
      <c r="M1775" s="6">
        <f>HYPERLINK("https://map.naver.com/p/search/집현동 1244", "지도Link")</f>
        <v/>
      </c>
      <c r="N1775" s="6">
        <f>HYPERLINK("http://www.eum.go.kr/web/ar/lu/luLandDet.jsp?pnu=3611011800112440000&amp;isNoScr=script&amp;mode=search", "토지이음")</f>
        <v/>
      </c>
      <c r="O1775" s="3" t="inlineStr">
        <is>
          <t>세종무지개</t>
        </is>
      </c>
      <c r="P1775" s="4" t="n">
        <v>1</v>
      </c>
      <c r="Q1775" s="4" t="n">
        <v>323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소로각지</t>
        </is>
      </c>
    </row>
    <row r="1776">
      <c r="A1776" s="3" t="inlineStr">
        <is>
          <t>집현동 1255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42000</v>
      </c>
      <c r="G1776" s="4" t="n">
        <v>277</v>
      </c>
      <c r="H1776" s="4" t="n">
        <v>84</v>
      </c>
      <c r="I1776" s="5" t="n">
        <v>500</v>
      </c>
      <c r="J1776" s="5" t="n">
        <v>275</v>
      </c>
      <c r="K1776" s="3" t="inlineStr">
        <is>
          <t>추천. 집현동 코너 택지</t>
        </is>
      </c>
      <c r="L1776" s="6">
        <f>HYPERLINK("https://fin.land.naver.com/articles/2651894833", "매물Link")</f>
        <v/>
      </c>
      <c r="M1776" s="6">
        <f>HYPERLINK("https://map.naver.com/p/search/집현동 1255", "지도Link")</f>
        <v/>
      </c>
      <c r="N1776" s="6">
        <f>HYPERLINK("http://www.eum.go.kr/web/ar/lu/luLandDet.jsp?pnu=3611011800112550000&amp;isNoScr=script&amp;mode=search", "토지이음")</f>
        <v/>
      </c>
      <c r="O1776" s="3" t="inlineStr">
        <is>
          <t>강아지풀</t>
        </is>
      </c>
      <c r="P1776" s="4" t="n">
        <v>1</v>
      </c>
      <c r="Q1776" s="4" t="n">
        <v>277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가로장방</t>
        </is>
      </c>
      <c r="V1776" s="3" t="inlineStr">
        <is>
          <t>소로각지</t>
        </is>
      </c>
    </row>
    <row r="1777">
      <c r="A1777" s="3" t="inlineStr">
        <is>
          <t>집현동 1281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160000</v>
      </c>
      <c r="G1777" s="4" t="n">
        <v>521</v>
      </c>
      <c r="H1777" s="4" t="n">
        <v>158</v>
      </c>
      <c r="I1777" s="5" t="n">
        <v>1012.7</v>
      </c>
      <c r="J1777" s="5" t="n">
        <v>320.7</v>
      </c>
      <c r="K1777" s="3" t="inlineStr">
        <is>
          <t>집현동 자이아파트 맞은편 횡단보도 앞 근생용지</t>
        </is>
      </c>
      <c r="L1777" s="6">
        <f>HYPERLINK("https://fin.land.naver.com/articles/2649329293", "매물Link")</f>
        <v/>
      </c>
      <c r="M1777" s="6">
        <f>HYPERLINK("https://map.naver.com/p/search/집현동 1281", "지도Link")</f>
        <v/>
      </c>
      <c r="N1777" s="6">
        <f>HYPERLINK("http://www.eum.go.kr/web/ar/lu/luLandDet.jsp?pnu=3611011800112810000&amp;isNoScr=script&amp;mode=search", "토지이음")</f>
        <v/>
      </c>
      <c r="O1777" s="3" t="inlineStr">
        <is>
          <t>국제</t>
        </is>
      </c>
      <c r="P1777" s="4" t="n">
        <v>2</v>
      </c>
      <c r="Q1777" s="4" t="n">
        <v>520.5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광대소각</t>
        </is>
      </c>
    </row>
    <row r="1778">
      <c r="A1778" s="3" t="inlineStr">
        <is>
          <t>집현동 1303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45000</v>
      </c>
      <c r="G1778" s="4" t="n">
        <v>308</v>
      </c>
      <c r="H1778" s="4" t="n">
        <v>93</v>
      </c>
      <c r="I1778" s="5" t="n">
        <v>483.9</v>
      </c>
      <c r="J1778" s="5" t="n">
        <v>268.2</v>
      </c>
      <c r="K1778" s="3" t="inlineStr">
        <is>
          <t>D2 남향 보행로접 조율가능</t>
        </is>
      </c>
      <c r="L1778" s="6">
        <f>HYPERLINK("https://fin.land.naver.com/articles/2650653318", "매물Link")</f>
        <v/>
      </c>
      <c r="M1778" s="6">
        <f>HYPERLINK("https://map.naver.com/p/search/집현동 1303", "지도Link")</f>
        <v/>
      </c>
      <c r="N1778" s="6">
        <f>HYPERLINK("http://www.eum.go.kr/web/ar/lu/luLandDet.jsp?pnu=3611011800113030000&amp;isNoScr=script&amp;mode=search",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308.7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집현동 1304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47000</v>
      </c>
      <c r="G1779" s="4" t="n">
        <v>309</v>
      </c>
      <c r="H1779" s="4" t="n">
        <v>93</v>
      </c>
      <c r="I1779" s="5" t="n">
        <v>505.4</v>
      </c>
      <c r="J1779" s="5" t="n">
        <v>268.2</v>
      </c>
      <c r="K1779" s="3" t="inlineStr">
        <is>
          <t>명성공인, 전용93, 집현동 택지 추천 매물</t>
        </is>
      </c>
      <c r="L1779" s="6">
        <f>HYPERLINK("https://fin.land.naver.com/articles/2648044957", "매물Link")</f>
        <v/>
      </c>
      <c r="M1779" s="6">
        <f>HYPERLINK("https://map.naver.com/p/search/집현동 1304", "지도Link")</f>
        <v/>
      </c>
      <c r="N1779" s="6">
        <f>HYPERLINK("http://www.eum.go.kr/web/ar/lu/luLandDet.jsp?pnu=3611011800113040000&amp;isNoScr=script&amp;mode=search", "토지이음")</f>
        <v/>
      </c>
      <c r="O1779" s="3" t="inlineStr">
        <is>
          <t>명성</t>
        </is>
      </c>
      <c r="P1779" s="4" t="n">
        <v>1</v>
      </c>
      <c r="Q1779" s="4" t="n">
        <v>308.7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집현동 1310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37000</v>
      </c>
      <c r="G1780" s="4" t="n">
        <v>279</v>
      </c>
      <c r="H1780" s="4" t="n">
        <v>84</v>
      </c>
      <c r="I1780" s="5" t="n">
        <v>440.5</v>
      </c>
      <c r="J1780" s="5" t="n">
        <v>265.5</v>
      </c>
      <c r="K1780" s="3" t="inlineStr">
        <is>
          <t>집현동단독택지매매 위치좋은토지 남향도로인접</t>
        </is>
      </c>
      <c r="L1780" s="6">
        <f>HYPERLINK("https://fin.land.naver.com/articles/2651881746", "매물Link")</f>
        <v/>
      </c>
      <c r="M1780" s="6">
        <f>HYPERLINK("https://map.naver.com/p/search/집현동 1310", "지도Link")</f>
        <v/>
      </c>
      <c r="N1780" s="6">
        <f>HYPERLINK("http://www.eum.go.kr/web/ar/lu/luLandDet.jsp?pnu=3611011800113100000&amp;isNoScr=script&amp;mode=search", "토지이음")</f>
        <v/>
      </c>
      <c r="O1780" s="3" t="inlineStr">
        <is>
          <t>고운동리치세종</t>
        </is>
      </c>
      <c r="P1780" s="4" t="n">
        <v>3</v>
      </c>
      <c r="Q1780" s="4" t="n">
        <v>279.8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집현동 1313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52000</v>
      </c>
      <c r="G1781" s="4" t="n">
        <v>284</v>
      </c>
      <c r="H1781" s="4" t="n">
        <v>86</v>
      </c>
      <c r="I1781" s="5" t="n">
        <v>604.7</v>
      </c>
      <c r="J1781" s="5" t="n">
        <v>265.5</v>
      </c>
      <c r="K1781" s="3" t="inlineStr">
        <is>
          <t>앞,뒤 양면도로 접한 남향필지</t>
        </is>
      </c>
      <c r="L1781" s="6">
        <f>HYPERLINK("https://fin.land.naver.com/articles/2649762430", "매물Link")</f>
        <v/>
      </c>
      <c r="M1781" s="6">
        <f>HYPERLINK("https://map.naver.com/p/search/집현동 1313", "지도Link")</f>
        <v/>
      </c>
      <c r="N1781" s="6">
        <f>HYPERLINK("http://www.eum.go.kr/web/ar/lu/luLandDet.jsp?pnu=3611011800113130000&amp;isNoScr=script&amp;mode=search", "토지이음")</f>
        <v/>
      </c>
      <c r="O1781" s="3" t="inlineStr">
        <is>
          <t>킹세종</t>
        </is>
      </c>
      <c r="P1781" s="4" t="n">
        <v>1</v>
      </c>
      <c r="Q1781" s="4" t="n">
        <v>284.8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1325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45000</v>
      </c>
      <c r="G1782" s="4" t="n">
        <v>305</v>
      </c>
      <c r="H1782" s="4" t="n">
        <v>92</v>
      </c>
      <c r="I1782" s="5" t="n">
        <v>489.1</v>
      </c>
      <c r="J1782" s="5" t="n">
        <v>265.5</v>
      </c>
      <c r="K1782" s="3" t="inlineStr">
        <is>
          <t>nan</t>
        </is>
      </c>
      <c r="L1782" s="6">
        <f>HYPERLINK("https://fin.land.naver.com/articles/2651658100", "매물Link")</f>
        <v/>
      </c>
      <c r="M1782" s="6">
        <f>HYPERLINK("https://map.naver.com/p/search/집현동 1325", "지도Link")</f>
        <v/>
      </c>
      <c r="N1782" s="6">
        <f>HYPERLINK("http://www.eum.go.kr/web/ar/lu/luLandDet.jsp?pnu=3611011800113250000&amp;isNoScr=script&amp;mode=search", "토지이음")</f>
        <v/>
      </c>
      <c r="O1782" s="3" t="inlineStr">
        <is>
          <t>열린자이</t>
        </is>
      </c>
      <c r="P1782" s="4" t="n">
        <v>1</v>
      </c>
      <c r="Q1782" s="4" t="n">
        <v>304.8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1337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55000</v>
      </c>
      <c r="G1783" s="4" t="n">
        <v>357</v>
      </c>
      <c r="H1783" s="4" t="n">
        <v>108</v>
      </c>
      <c r="I1783" s="5" t="n">
        <v>509.3</v>
      </c>
      <c r="J1783" s="5" t="n">
        <v>276</v>
      </c>
      <c r="K1783" s="3" t="inlineStr">
        <is>
          <t>코너자리로 위치좋은 단독택지 가격조정가능</t>
        </is>
      </c>
      <c r="L1783" s="6">
        <f>HYPERLINK("https://fin.land.naver.com/articles/2648981730", "매물Link")</f>
        <v/>
      </c>
      <c r="M1783" s="6">
        <f>HYPERLINK("https://map.naver.com/p/search/집현동 1337", "지도Link")</f>
        <v/>
      </c>
      <c r="N1783" s="6">
        <f>HYPERLINK("http://www.eum.go.kr/web/ar/lu/luLandDet.jsp?pnu=3611011800113370000&amp;isNoScr=script&amp;mode=search", "토지이음")</f>
        <v/>
      </c>
      <c r="O1783" s="3" t="inlineStr">
        <is>
          <t>고운동리치세종</t>
        </is>
      </c>
      <c r="P1783" s="4" t="n">
        <v>1</v>
      </c>
      <c r="Q1783" s="4" t="n">
        <v>357.7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소로각지</t>
        </is>
      </c>
    </row>
    <row r="1784">
      <c r="A1784" s="3" t="inlineStr">
        <is>
          <t>집현동 1343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390</v>
      </c>
      <c r="H1784" s="4" t="n">
        <v>118</v>
      </c>
      <c r="I1784" s="5" t="n">
        <v>508.5</v>
      </c>
      <c r="J1784" s="5" t="n">
        <v>278.9</v>
      </c>
      <c r="K1784" s="3" t="inlineStr">
        <is>
          <t>탁트인 공원조망 위치최상 왼쪽시유지접 지대높음</t>
        </is>
      </c>
      <c r="L1784" s="6">
        <f>HYPERLINK("https://fin.land.naver.com/articles/2650653242", "매물Link")</f>
        <v/>
      </c>
      <c r="M1784" s="6">
        <f>HYPERLINK("https://map.naver.com/p/search/집현동 1343", "지도Link")</f>
        <v/>
      </c>
      <c r="N1784" s="6">
        <f>HYPERLINK("http://www.eum.go.kr/web/ar/lu/luLandDet.jsp?pnu=3611011800113430000&amp;isNoScr=script&amp;mode=search",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390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소로각지</t>
        </is>
      </c>
    </row>
    <row r="1785">
      <c r="A1785" s="3" t="inlineStr">
        <is>
          <t>집현동 1348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55000</v>
      </c>
      <c r="G1785" s="4" t="n">
        <v>414</v>
      </c>
      <c r="H1785" s="4" t="n">
        <v>125</v>
      </c>
      <c r="I1785" s="5" t="n">
        <v>440</v>
      </c>
      <c r="J1785" s="5" t="n">
        <v>278.9</v>
      </c>
      <c r="K1785" s="3" t="inlineStr">
        <is>
          <t>위치좋은 집현동토지매매 평수넓어요</t>
        </is>
      </c>
      <c r="L1785" s="6">
        <f>HYPERLINK("https://fin.land.naver.com/articles/2652656500", "매물Link")</f>
        <v/>
      </c>
      <c r="M1785" s="6">
        <f>HYPERLINK("https://map.naver.com/p/search/집현동 1348", "지도Link")</f>
        <v/>
      </c>
      <c r="N1785" s="6">
        <f>HYPERLINK("http://www.eum.go.kr/web/ar/lu/luLandDet.jsp?pnu=3611011800113480000&amp;isNoScr=script&amp;mode=search", "토지이음")</f>
        <v/>
      </c>
      <c r="O1785" s="3" t="inlineStr">
        <is>
          <t>고운동리치세종</t>
        </is>
      </c>
      <c r="P1785" s="4" t="n">
        <v>2</v>
      </c>
      <c r="Q1785" s="4" t="n">
        <v>414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소로각지</t>
        </is>
      </c>
    </row>
    <row r="1786">
      <c r="A1786" s="3" t="inlineStr">
        <is>
          <t>한솔동 1000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41500</v>
      </c>
      <c r="G1786" s="4" t="n">
        <v>275</v>
      </c>
      <c r="H1786" s="4" t="n">
        <v>83</v>
      </c>
      <c r="I1786" s="5" t="n">
        <v>500</v>
      </c>
      <c r="J1786" s="5" t="n">
        <v>314.9</v>
      </c>
      <c r="K1786" s="3" t="inlineStr">
        <is>
          <t>급매, 총 84.1p, 삼거리 코너 토지</t>
        </is>
      </c>
      <c r="L1786" s="6">
        <f>HYPERLINK("https://fin.land.naver.com/articles/2652841509", "매물Link")</f>
        <v/>
      </c>
      <c r="M1786" s="6">
        <f>HYPERLINK("https://map.naver.com/p/search/한솔동 1000", "지도Link")</f>
        <v/>
      </c>
      <c r="N1786" s="6">
        <f>HYPERLINK("http://www.eum.go.kr/web/ar/lu/luLandDet.jsp?pnu=3611010600110000000&amp;isNoScr=script&amp;mode=search", "토지이음")</f>
        <v/>
      </c>
      <c r="O1786" s="3" t="inlineStr">
        <is>
          <t>세종무지개</t>
        </is>
      </c>
      <c r="P1786" s="4" t="n">
        <v>1</v>
      </c>
      <c r="Q1786" s="4" t="n">
        <v>277.5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소로각지</t>
        </is>
      </c>
    </row>
    <row r="1787">
      <c r="A1787" s="3" t="inlineStr">
        <is>
          <t>한솔동 1000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41500</v>
      </c>
      <c r="G1787" s="4" t="n">
        <v>277</v>
      </c>
      <c r="H1787" s="4" t="n">
        <v>84</v>
      </c>
      <c r="I1787" s="5" t="n">
        <v>494</v>
      </c>
      <c r="J1787" s="5" t="n">
        <v>314.9</v>
      </c>
      <c r="K1787" s="3" t="inlineStr">
        <is>
          <t>급매, 84.1p, 삼거리 코너, 상가와 공원 인근</t>
        </is>
      </c>
      <c r="L1787" s="6">
        <f>HYPERLINK("https://fin.land.naver.com/articles/2648349468", "매물Link")</f>
        <v/>
      </c>
      <c r="M1787" s="6">
        <f>HYPERLINK("https://map.naver.com/p/search/한솔동 1000", "지도Link")</f>
        <v/>
      </c>
      <c r="N1787" s="6">
        <f>HYPERLINK("http://www.eum.go.kr/web/ar/lu/luLandDet.jsp?pnu=3611010600110000000&amp;isNoScr=script&amp;mode=search",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277.5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소로각지</t>
        </is>
      </c>
    </row>
    <row r="1788">
      <c r="A1788" s="3" t="inlineStr">
        <is>
          <t>한솔동 1000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40500</v>
      </c>
      <c r="G1788" s="4" t="n">
        <v>277</v>
      </c>
      <c r="H1788" s="4" t="n">
        <v>84</v>
      </c>
      <c r="I1788" s="5" t="n">
        <v>482.1</v>
      </c>
      <c r="J1788" s="5" t="n">
        <v>314.9</v>
      </c>
      <c r="K1788" s="3" t="inlineStr">
        <is>
          <t>채광좋음 상권가깝고 뒤로 보행로접함</t>
        </is>
      </c>
      <c r="L1788" s="6">
        <f>HYPERLINK("https://fin.land.naver.com/articles/2648615386", "매물Link")</f>
        <v/>
      </c>
      <c r="M1788" s="6">
        <f>HYPERLINK("https://map.naver.com/p/search/한솔동 1000", "지도Link")</f>
        <v/>
      </c>
      <c r="N1788" s="6">
        <f>HYPERLINK("http://www.eum.go.kr/web/ar/lu/luLandDet.jsp?pnu=3611010600110000000&amp;isNoScr=script&amp;mode=search",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277.5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소로각지</t>
        </is>
      </c>
    </row>
    <row r="1789">
      <c r="A1789" s="3" t="inlineStr">
        <is>
          <t>한솔동 1003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52000</v>
      </c>
      <c r="G1789" s="4" t="n">
        <v>277</v>
      </c>
      <c r="H1789" s="4" t="n">
        <v>84</v>
      </c>
      <c r="I1789" s="5" t="n">
        <v>619</v>
      </c>
      <c r="J1789" s="5" t="n">
        <v>314.9</v>
      </c>
      <c r="K1789" s="3" t="inlineStr">
        <is>
          <t>가치있는  즉시 신축 가능 추천  단독주택 도심속전원 시내 시외 진출입</t>
        </is>
      </c>
      <c r="L1789" s="6">
        <f>HYPERLINK("https://fin.land.naver.com/articles/2651707666", "매물Link")</f>
        <v/>
      </c>
      <c r="M1789" s="6">
        <f>HYPERLINK("https://map.naver.com/p/search/한솔동 1003", "지도Link")</f>
        <v/>
      </c>
      <c r="N1789" s="6">
        <f>HYPERLINK("http://www.eum.go.kr/web/ar/lu/luLandDet.jsp?pnu=3611010600110030000&amp;isNoScr=script&amp;mode=search",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277.8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277</v>
      </c>
      <c r="H1790" s="4" t="n">
        <v>84</v>
      </c>
      <c r="I1790" s="5" t="n">
        <v>595.2</v>
      </c>
      <c r="J1790" s="5" t="n">
        <v>314.9</v>
      </c>
      <c r="K1790" s="3" t="inlineStr">
        <is>
          <t>급매 채광최상 남서향막힘없음 초중고5분내</t>
        </is>
      </c>
      <c r="L1790" s="6">
        <f>HYPERLINK("https://fin.land.naver.com/articles/2652441626", "매물Link")</f>
        <v/>
      </c>
      <c r="M1790" s="6">
        <f>HYPERLINK("https://map.naver.com/p/search/한솔동 1005", "지도Link")</f>
        <v/>
      </c>
      <c r="N1790" s="6">
        <f>HYPERLINK("http://www.eum.go.kr/web/ar/lu/luLandDet.jsp?pnu=3611010600110050000&amp;isNoScr=script&amp;mode=search",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276.7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1006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62000</v>
      </c>
      <c r="G1791" s="4" t="n">
        <v>394</v>
      </c>
      <c r="H1791" s="4" t="n">
        <v>119</v>
      </c>
      <c r="I1791" s="5" t="n">
        <v>521</v>
      </c>
      <c r="J1791" s="5" t="n">
        <v>314.9</v>
      </c>
      <c r="K1791" s="3" t="inlineStr">
        <is>
          <t>총 119.7p, 대형면적 단독주택토지, 한솔초.중.고 인접</t>
        </is>
      </c>
      <c r="L1791" s="6">
        <f>HYPERLINK("https://fin.land.naver.com/articles/2648349379", "매물Link")</f>
        <v/>
      </c>
      <c r="M1791" s="6">
        <f>HYPERLINK("https://map.naver.com/p/search/한솔동 1006", "지도Link")</f>
        <v/>
      </c>
      <c r="N1791" s="6">
        <f>HYPERLINK("http://www.eum.go.kr/web/ar/lu/luLandDet.jsp?pnu=3611010600110060000&amp;isNoScr=script&amp;mode=search",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394.9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1006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62000</v>
      </c>
      <c r="G1792" s="4" t="n">
        <v>394</v>
      </c>
      <c r="H1792" s="4" t="n">
        <v>119</v>
      </c>
      <c r="I1792" s="5" t="n">
        <v>521</v>
      </c>
      <c r="J1792" s="5" t="n">
        <v>314.9</v>
      </c>
      <c r="K1792" s="3" t="inlineStr">
        <is>
          <t>단독주택 토지, 학군인접</t>
        </is>
      </c>
      <c r="L1792" s="6">
        <f>HYPERLINK("https://fin.land.naver.com/articles/2652841375", "매물Link")</f>
        <v/>
      </c>
      <c r="M1792" s="6">
        <f>HYPERLINK("https://map.naver.com/p/search/한솔동 1006", "지도Link")</f>
        <v/>
      </c>
      <c r="N1792" s="6">
        <f>HYPERLINK("http://www.eum.go.kr/web/ar/lu/luLandDet.jsp?pnu=3611010600110060000&amp;isNoScr=script&amp;mode=search", "토지이음")</f>
        <v/>
      </c>
      <c r="O1792" s="3" t="inlineStr">
        <is>
          <t>세종무지개</t>
        </is>
      </c>
      <c r="P1792" s="4" t="n">
        <v>1</v>
      </c>
      <c r="Q1792" s="4" t="n">
        <v>394.9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59500</v>
      </c>
      <c r="G1793" s="4" t="n">
        <v>395</v>
      </c>
      <c r="H1793" s="4" t="n">
        <v>119</v>
      </c>
      <c r="I1793" s="5" t="n">
        <v>500</v>
      </c>
      <c r="J1793" s="5" t="n">
        <v>314.9</v>
      </c>
      <c r="K1793" s="3" t="inlineStr">
        <is>
          <t>넓은평형 평단가 저렴한택지 추가조율가능</t>
        </is>
      </c>
      <c r="L1793" s="6">
        <f>HYPERLINK("https://fin.land.naver.com/articles/2652410227",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세종스타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395</v>
      </c>
      <c r="H1794" s="4" t="n">
        <v>119</v>
      </c>
      <c r="I1794" s="5" t="n">
        <v>521</v>
      </c>
      <c r="J1794" s="5" t="n">
        <v>302.8</v>
      </c>
      <c r="K1794" s="3" t="inlineStr">
        <is>
          <t>조정가능 한솔초중고 이마트 코스트코 인근 단독 주택지</t>
        </is>
      </c>
      <c r="L1794" s="6">
        <f>HYPERLINK("https://fin.land.naver.com/articles/2649609420", "매물Link")</f>
        <v/>
      </c>
      <c r="M1794" s="6">
        <f>HYPERLINK("https://map.naver.com/p/search/한솔동 1007", "지도Link")</f>
        <v/>
      </c>
      <c r="N1794" s="6">
        <f>HYPERLINK("http://www.eum.go.kr/web/ar/lu/luLandDet.jsp?pnu=3611010600110070000&amp;isNoScr=script&amp;mode=search", "토지이음")</f>
        <v/>
      </c>
      <c r="O1794" s="3" t="inlineStr">
        <is>
          <t>그래그</t>
        </is>
      </c>
      <c r="P1794" s="4" t="n">
        <v>1</v>
      </c>
      <c r="Q1794" s="4" t="n">
        <v>395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1010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317</v>
      </c>
      <c r="H1795" s="4" t="n">
        <v>96</v>
      </c>
      <c r="I1795" s="5" t="n">
        <v>520.8</v>
      </c>
      <c r="J1795" s="5" t="n">
        <v>302.8</v>
      </c>
      <c r="K1795" s="3" t="inlineStr">
        <is>
          <t>급매 추가조율가능 한솔동D3택지</t>
        </is>
      </c>
      <c r="L1795" s="6">
        <f>HYPERLINK("https://fin.land.naver.com/articles/2649812151", "매물Link")</f>
        <v/>
      </c>
      <c r="M1795" s="6">
        <f>HYPERLINK("https://map.naver.com/p/search/한솔동 1010", "지도Link")</f>
        <v/>
      </c>
      <c r="N1795" s="6">
        <f>HYPERLINK("http://www.eum.go.kr/web/ar/lu/luLandDet.jsp?pnu=3611010600110100000&amp;isNoScr=script&amp;mode=search",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317.1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1033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51000</v>
      </c>
      <c r="G1796" s="4" t="n">
        <v>302</v>
      </c>
      <c r="H1796" s="4" t="n">
        <v>91</v>
      </c>
      <c r="I1796" s="5" t="n">
        <v>560.4</v>
      </c>
      <c r="J1796" s="5" t="n">
        <v>314.9</v>
      </c>
      <c r="K1796" s="3" t="inlineStr">
        <is>
          <t>네모 반듯한  내 집 지을 예쁜  토지.주변 인프라 좋음</t>
        </is>
      </c>
      <c r="L1796" s="6">
        <f>HYPERLINK("https://fin.land.naver.com/articles/2650388988", "매물Link")</f>
        <v/>
      </c>
      <c r="M1796" s="6">
        <f>HYPERLINK("https://map.naver.com/p/search/한솔동 1033", "지도Link")</f>
        <v/>
      </c>
      <c r="N1796" s="6">
        <f>HYPERLINK("http://www.eum.go.kr/web/ar/lu/luLandDet.jsp?pnu=3611010600110330000&amp;isNoScr=script&amp;mode=search", "토지이음")</f>
        <v/>
      </c>
      <c r="O1796" s="3" t="inlineStr">
        <is>
          <t>석촌</t>
        </is>
      </c>
      <c r="P1796" s="4" t="n">
        <v>1</v>
      </c>
      <c r="Q1796" s="4" t="n">
        <v>302.1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한솔동 1036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55000</v>
      </c>
      <c r="G1797" s="4" t="n">
        <v>403</v>
      </c>
      <c r="H1797" s="4" t="n">
        <v>122</v>
      </c>
      <c r="I1797" s="5" t="n">
        <v>450.8</v>
      </c>
      <c r="J1797" s="5" t="n">
        <v>290.7</v>
      </c>
      <c r="K1797" s="3" t="inlineStr">
        <is>
          <t>가격 좋은 넓은 평형 토지매매, 조율도 가능</t>
        </is>
      </c>
      <c r="L1797" s="6">
        <f>HYPERLINK("https://fin.land.naver.com/articles/2650427563", "매물Link")</f>
        <v/>
      </c>
      <c r="M1797" s="6">
        <f>HYPERLINK("https://map.naver.com/p/search/한솔동 1036", "지도Link")</f>
        <v/>
      </c>
      <c r="N1797" s="6">
        <f>HYPERLINK("http://www.eum.go.kr/web/ar/lu/luLandDet.jsp?pnu=3611010600110360000&amp;isNoScr=script&amp;mode=search",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405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자루형</t>
        </is>
      </c>
      <c r="V1797" s="3" t="inlineStr">
        <is>
          <t>소로한면</t>
        </is>
      </c>
    </row>
    <row r="1798">
      <c r="A1798" s="3" t="inlineStr">
        <is>
          <t>한솔동 1059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40500</v>
      </c>
      <c r="G1798" s="4" t="n">
        <v>312</v>
      </c>
      <c r="H1798" s="4" t="n">
        <v>94</v>
      </c>
      <c r="I1798" s="5" t="n">
        <v>430.9</v>
      </c>
      <c r="J1798" s="5" t="n">
        <v>373.6</v>
      </c>
      <c r="K1798" s="3" t="inlineStr">
        <is>
          <t>O초급매O단독택지  코너각지 상가 대중교통 공원인접</t>
        </is>
      </c>
      <c r="L1798" s="6">
        <f>HYPERLINK("https://fin.land.naver.com/articles/2652638119", "매물Link")</f>
        <v/>
      </c>
      <c r="M1798" s="6">
        <f>HYPERLINK("https://map.naver.com/p/search/한솔동 1059", "지도Link")</f>
        <v/>
      </c>
      <c r="N1798" s="6">
        <f>HYPERLINK("http://www.eum.go.kr/web/ar/lu/luLandDet.jsp?pnu=3611010600110590000&amp;isNoScr=script&amp;mode=search", "토지이음")</f>
        <v/>
      </c>
      <c r="O1798" s="3" t="inlineStr">
        <is>
          <t>예예</t>
        </is>
      </c>
      <c r="P1798" s="4" t="n">
        <v>2</v>
      </c>
      <c r="Q1798" s="4" t="n">
        <v>312.4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1080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59000</v>
      </c>
      <c r="G1799" s="4" t="n">
        <v>301</v>
      </c>
      <c r="H1799" s="4" t="n">
        <v>91</v>
      </c>
      <c r="I1799" s="5" t="n">
        <v>648.4</v>
      </c>
      <c r="J1799" s="5" t="n">
        <v>369.3</v>
      </c>
      <c r="K1799" s="3" t="inlineStr">
        <is>
          <t>총 91.2p, 근린공원인근, 조율가능</t>
        </is>
      </c>
      <c r="L1799" s="6">
        <f>HYPERLINK("https://fin.land.naver.com/articles/2652839380", "매물Link")</f>
        <v/>
      </c>
      <c r="M1799" s="6">
        <f>HYPERLINK("https://map.naver.com/p/search/한솔동 1080", "지도Link")</f>
        <v/>
      </c>
      <c r="N1799" s="6">
        <f>HYPERLINK("http://www.eum.go.kr/web/ar/lu/luLandDet.jsp?pnu=3611010600110800000&amp;isNoScr=script&amp;mode=search",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301.1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1086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60000</v>
      </c>
      <c r="G1801" s="4" t="n">
        <v>302</v>
      </c>
      <c r="H1801" s="4" t="n">
        <v>91</v>
      </c>
      <c r="I1801" s="5" t="n">
        <v>659.3</v>
      </c>
      <c r="J1801" s="5" t="n">
        <v>377.2</v>
      </c>
      <c r="K1801" s="3" t="inlineStr">
        <is>
          <t>즉시신축 조율가능 도심속전원 시내외 교통 편리 지상낙원으 주택으로 오세요</t>
        </is>
      </c>
      <c r="L1801" s="6">
        <f>HYPERLINK("https://fin.land.naver.com/articles/2651710275", "매물Link")</f>
        <v/>
      </c>
      <c r="M1801" s="6">
        <f>HYPERLINK("https://map.naver.com/p/search/한솔동 1086", "지도Link")</f>
        <v/>
      </c>
      <c r="N1801" s="6">
        <f>HYPERLINK("http://www.eum.go.kr/web/ar/lu/luLandDet.jsp?pnu=3611010600110860000&amp;isNoScr=script&amp;mode=search", "토지이음")</f>
        <v/>
      </c>
      <c r="O1801" s="3" t="inlineStr">
        <is>
          <t>세종삼성래미안</t>
        </is>
      </c>
      <c r="P1801" s="4" t="n">
        <v>3</v>
      </c>
      <c r="Q1801" s="4" t="n">
        <v>302.9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한솔동 1087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85000</v>
      </c>
      <c r="G1802" s="4" t="n">
        <v>303</v>
      </c>
      <c r="H1802" s="4" t="n">
        <v>92</v>
      </c>
      <c r="I1802" s="5" t="n">
        <v>923.9</v>
      </c>
      <c r="J1802" s="5" t="n">
        <v>377.2</v>
      </c>
      <c r="K1802" s="3" t="inlineStr">
        <is>
          <t>한솔동, 단독주택지 토지매매</t>
        </is>
      </c>
      <c r="L1802" s="6">
        <f>HYPERLINK("https://fin.land.naver.com/articles/2649875547", "매물Link")</f>
        <v/>
      </c>
      <c r="M1802" s="6">
        <f>HYPERLINK("https://map.naver.com/p/search/한솔동 1087", "지도Link")</f>
        <v/>
      </c>
      <c r="N1802" s="6">
        <f>HYPERLINK("http://www.eum.go.kr/web/ar/lu/luLandDet.jsp?pnu=3611010600110870000&amp;isNoScr=script&amp;mode=search",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303.9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1098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314</v>
      </c>
      <c r="H1803" s="4" t="n">
        <v>95</v>
      </c>
      <c r="I1803" s="5" t="n">
        <v>842.1</v>
      </c>
      <c r="J1803" s="5" t="n">
        <v>373.6</v>
      </c>
      <c r="K1803" s="3" t="inlineStr">
        <is>
          <t>95.4p, 삼거리코너 맞은편, 새뜸1단지 앞 단독주택 토지</t>
        </is>
      </c>
      <c r="L1803" s="6">
        <f>HYPERLINK("https://fin.land.naver.com/articles/2649004548", "매물Link")</f>
        <v/>
      </c>
      <c r="M1803" s="6">
        <f>HYPERLINK("https://map.naver.com/p/search/한솔동 1098", "지도Link")</f>
        <v/>
      </c>
      <c r="N1803" s="6">
        <f>HYPERLINK("http://www.eum.go.kr/web/ar/lu/luLandDet.jsp?pnu=3611010600110980000&amp;isNoScr=script&amp;mode=search",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314.9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조건 파격조율가능 도심속전원 시내 시외 진출입편리 이곳은 엘도라도입니다</t>
        </is>
      </c>
      <c r="L1804" s="6">
        <f>HYPERLINK("https://fin.land.naver.com/articles/2648082909",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세종시삼성래미안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삼거리 코너입지, 한솔동 단독주택지</t>
        </is>
      </c>
      <c r="L1805" s="6">
        <f>HYPERLINK("https://fin.land.naver.com/articles/2650427968",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세종무지개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1113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60000</v>
      </c>
      <c r="G1806" s="4" t="n">
        <v>320</v>
      </c>
      <c r="H1806" s="4" t="n">
        <v>97</v>
      </c>
      <c r="I1806" s="5" t="n">
        <v>618.6</v>
      </c>
      <c r="J1806" s="5" t="n">
        <v>373.6</v>
      </c>
      <c r="K1806" s="3" t="inlineStr">
        <is>
          <t>적극협의가능 시유지넓게접함 선호위치</t>
        </is>
      </c>
      <c r="L1806" s="6">
        <f>HYPERLINK("https://fin.land.naver.com/articles/2649812097", "매물Link")</f>
        <v/>
      </c>
      <c r="M1806" s="6">
        <f>HYPERLINK("https://map.naver.com/p/search/한솔동 1113", "지도Link")</f>
        <v/>
      </c>
      <c r="N1806" s="6">
        <f>HYPERLINK("http://www.eum.go.kr/web/ar/lu/luLandDet.jsp?pnu=3611010600111130000&amp;isNoScr=script&amp;mode=search",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320.1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1122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80000</v>
      </c>
      <c r="G1807" s="4" t="n">
        <v>310</v>
      </c>
      <c r="H1807" s="4" t="n">
        <v>94</v>
      </c>
      <c r="I1807" s="5" t="n">
        <v>851.1</v>
      </c>
      <c r="J1807" s="5" t="n">
        <v>376.9</v>
      </c>
      <c r="K1807" s="3" t="inlineStr">
        <is>
          <t>총 94p, 한솔동 단독주택지 토지</t>
        </is>
      </c>
      <c r="L1807" s="6">
        <f>HYPERLINK("https://fin.land.naver.com/articles/2648901069", "매물Link")</f>
        <v/>
      </c>
      <c r="M1807" s="6">
        <f>HYPERLINK("https://map.naver.com/p/search/한솔동 1122", "지도Link")</f>
        <v/>
      </c>
      <c r="N1807" s="6">
        <f>HYPERLINK("http://www.eum.go.kr/web/ar/lu/luLandDet.jsp?pnu=3611010600111220000&amp;isNoScr=script&amp;mode=search",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310.1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한솔동 단독주택 토지매매</t>
        </is>
      </c>
      <c r="L1808" s="6">
        <f>HYPERLINK("https://fin.land.naver.com/articles/2650427036",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1135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55000</v>
      </c>
      <c r="G1809" s="4" t="n">
        <v>309</v>
      </c>
      <c r="H1809" s="4" t="n">
        <v>93</v>
      </c>
      <c r="I1809" s="5" t="n">
        <v>591.4</v>
      </c>
      <c r="J1809" s="5" t="n">
        <v>376.9</v>
      </c>
      <c r="K1809" s="3" t="inlineStr">
        <is>
          <t>새롬동과 한솔동사이 경사진 단독전용 택지,협의가능</t>
        </is>
      </c>
      <c r="L1809" s="6">
        <f>HYPERLINK("https://fin.land.naver.com/articles/2653031834", "매물Link")</f>
        <v/>
      </c>
      <c r="M1809" s="6">
        <f>HYPERLINK("https://map.naver.com/p/search/한솔동 1135", "지도Link")</f>
        <v/>
      </c>
      <c r="N1809" s="6">
        <f>HYPERLINK("http://www.eum.go.kr/web/ar/lu/luLandDet.jsp?pnu=3611010600111350000&amp;isNoScr=script&amp;mode=search", "토지이음")</f>
        <v/>
      </c>
      <c r="O1809" s="3" t="inlineStr">
        <is>
          <t>세종나라</t>
        </is>
      </c>
      <c r="P1809" s="4" t="n">
        <v>2</v>
      </c>
      <c r="Q1809" s="4" t="n">
        <v>309.9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1175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90000</v>
      </c>
      <c r="G1810" s="4" t="n">
        <v>407</v>
      </c>
      <c r="H1810" s="4" t="n">
        <v>123</v>
      </c>
      <c r="I1810" s="5" t="n">
        <v>731.7</v>
      </c>
      <c r="J1810" s="5" t="n">
        <v>389.8</v>
      </c>
      <c r="K1810" s="3" t="inlineStr">
        <is>
          <t>총 123.4p, 새뜸1단지 맞은편</t>
        </is>
      </c>
      <c r="L1810" s="6">
        <f>HYPERLINK("https://fin.land.naver.com/articles/2648127460", "매물Link")</f>
        <v/>
      </c>
      <c r="M1810" s="6">
        <f>HYPERLINK("https://map.naver.com/p/search/한솔동 1175", "지도Link")</f>
        <v/>
      </c>
      <c r="N1810" s="6">
        <f>HYPERLINK("http://www.eum.go.kr/web/ar/lu/luLandDet.jsp?pnu=3611010600111750000&amp;isNoScr=script&amp;mode=search", "토지이음")</f>
        <v/>
      </c>
      <c r="O1810" s="3" t="inlineStr">
        <is>
          <t>명진</t>
        </is>
      </c>
      <c r="P1810" s="4" t="n">
        <v>1</v>
      </c>
      <c r="Q1810" s="4" t="n">
        <v>407.1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1187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60000</v>
      </c>
      <c r="G1812" s="4" t="n">
        <v>420</v>
      </c>
      <c r="H1812" s="4" t="n">
        <v>127</v>
      </c>
      <c r="I1812" s="5" t="n">
        <v>472.4</v>
      </c>
      <c r="J1812" s="5" t="n">
        <v>391.7</v>
      </c>
      <c r="K1812" s="3" t="inlineStr">
        <is>
          <t>대형평수 코너각지 위치최상 조율협의</t>
        </is>
      </c>
      <c r="L1812" s="6">
        <f>HYPERLINK("https://fin.land.naver.com/articles/2649479860", "매물Link")</f>
        <v/>
      </c>
      <c r="M1812" s="6">
        <f>HYPERLINK("https://map.naver.com/p/search/한솔동 1187", "지도Link")</f>
        <v/>
      </c>
      <c r="N1812" s="6">
        <f>HYPERLINK("http://www.eum.go.kr/web/ar/lu/luLandDet.jsp?pnu=3611010600111870000&amp;isNoScr=script&amp;mode=search", "토지이음")</f>
        <v/>
      </c>
      <c r="O1812" s="3" t="inlineStr">
        <is>
          <t>세종스타</t>
        </is>
      </c>
      <c r="P1812" s="4" t="n">
        <v>2</v>
      </c>
      <c r="Q1812" s="4" t="n">
        <v>420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1193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65000</v>
      </c>
      <c r="G1813" s="4" t="n">
        <v>320</v>
      </c>
      <c r="H1813" s="4" t="n">
        <v>97</v>
      </c>
      <c r="I1813" s="5" t="n">
        <v>670.1</v>
      </c>
      <c r="J1813" s="5" t="n">
        <v>391.7</v>
      </c>
      <c r="K1813" s="3" t="inlineStr">
        <is>
          <t>코너위치좋은한솔동단독택지매매 가격조정가능</t>
        </is>
      </c>
      <c r="L1813" s="6">
        <f>HYPERLINK("https://fin.land.naver.com/articles/2651789377", "매물Link")</f>
        <v/>
      </c>
      <c r="M1813" s="6">
        <f>HYPERLINK("https://map.naver.com/p/search/한솔동 1193", "지도Link")</f>
        <v/>
      </c>
      <c r="N1813" s="6">
        <f>HYPERLINK("http://www.eum.go.kr/web/ar/lu/luLandDet.jsp?pnu=3611010600111930000&amp;isNoScr=script&amp;mode=search", "토지이음")</f>
        <v/>
      </c>
      <c r="O1813" s="3" t="inlineStr">
        <is>
          <t>고운동리치세종</t>
        </is>
      </c>
      <c r="P1813" s="4" t="n">
        <v>2</v>
      </c>
      <c r="Q1813" s="4" t="n">
        <v>320.1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소로각지</t>
        </is>
      </c>
    </row>
    <row r="1814">
      <c r="A1814" s="3" t="inlineStr">
        <is>
          <t>한솔동 1194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49000</v>
      </c>
      <c r="G1814" s="4" t="n">
        <v>335</v>
      </c>
      <c r="H1814" s="4" t="n">
        <v>101</v>
      </c>
      <c r="I1814" s="5" t="n">
        <v>485.1</v>
      </c>
      <c r="J1814" s="5" t="n">
        <v>376.9</v>
      </c>
      <c r="K1814" s="3" t="inlineStr">
        <is>
          <t>급매 한솔동단독택지매매 가격조정가능</t>
        </is>
      </c>
      <c r="L1814" s="6">
        <f>HYPERLINK("https://fin.land.naver.com/articles/2651877033", "매물Link")</f>
        <v/>
      </c>
      <c r="M1814" s="6">
        <f>HYPERLINK("https://map.naver.com/p/search/한솔동 1194", "지도Link")</f>
        <v/>
      </c>
      <c r="N1814" s="6">
        <f>HYPERLINK("http://www.eum.go.kr/web/ar/lu/luLandDet.jsp?pnu=3611010600111940000&amp;isNoScr=script&amp;mode=search",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335.4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75000</v>
      </c>
      <c r="G1816" s="4" t="n">
        <v>320</v>
      </c>
      <c r="H1816" s="4" t="n">
        <v>97</v>
      </c>
      <c r="I1816" s="5" t="n">
        <v>773.2</v>
      </c>
      <c r="J1816" s="5" t="n">
        <v>391.7</v>
      </c>
      <c r="K1816" s="3" t="inlineStr">
        <is>
          <t>공원앞 코너각지토지 97p 답답하지않은 위치</t>
        </is>
      </c>
      <c r="L1816" s="6">
        <f>HYPERLINK("https://fin.land.naver.com/articles/2653171975", "매물Link")</f>
        <v/>
      </c>
      <c r="M1816" s="6">
        <f>HYPERLINK("https://map.naver.com/p/search/한솔동 1197", "지도Link")</f>
        <v/>
      </c>
      <c r="N1816" s="6">
        <f>HYPERLINK("http://www.eum.go.kr/web/ar/lu/luLandDet.jsp?pnu=3611010600111970000&amp;isNoScr=script&amp;mode=search", "토지이음")</f>
        <v/>
      </c>
      <c r="O1816" s="3" t="inlineStr">
        <is>
          <t>세종365</t>
        </is>
      </c>
      <c r="P1816" s="4" t="n">
        <v>1</v>
      </c>
      <c r="Q1816" s="4" t="n">
        <v>320.4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소로각지</t>
        </is>
      </c>
    </row>
    <row r="1817">
      <c r="A1817" s="3" t="inlineStr">
        <is>
          <t>한솔동 1201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60000</v>
      </c>
      <c r="G1817" s="4" t="n">
        <v>294</v>
      </c>
      <c r="H1817" s="4" t="n">
        <v>89</v>
      </c>
      <c r="I1817" s="5" t="n">
        <v>674.2</v>
      </c>
      <c r="J1817" s="5" t="n">
        <v>376.9</v>
      </c>
      <c r="K1817" s="3" t="inlineStr">
        <is>
          <t>위치좋은 단독주택지, 직접보시면 더 좋아요</t>
        </is>
      </c>
      <c r="L1817" s="6">
        <f>HYPERLINK("https://fin.land.naver.com/articles/2649375943", "매물Link")</f>
        <v/>
      </c>
      <c r="M1817" s="6">
        <f>HYPERLINK("https://map.naver.com/p/search/한솔동 1201", "지도Link")</f>
        <v/>
      </c>
      <c r="N1817" s="6">
        <f>HYPERLINK("http://www.eum.go.kr/web/ar/lu/luLandDet.jsp?pnu=3611010600112010000&amp;isNoScr=script&amp;mode=search", "토지이음")</f>
        <v/>
      </c>
      <c r="O1817" s="3" t="inlineStr">
        <is>
          <t>리브</t>
        </is>
      </c>
      <c r="P1817" s="4" t="n">
        <v>1</v>
      </c>
      <c r="Q1817" s="4" t="n">
        <v>294.6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한솔동 1207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50000</v>
      </c>
      <c r="G1818" s="4" t="n">
        <v>329</v>
      </c>
      <c r="H1818" s="4" t="n">
        <v>100</v>
      </c>
      <c r="I1818" s="5" t="n">
        <v>500</v>
      </c>
      <c r="J1818" s="5" t="n">
        <v>376.9</v>
      </c>
      <c r="K1818" s="3" t="inlineStr">
        <is>
          <t>인기지역 D2 땅모양좋음 조율가능</t>
        </is>
      </c>
      <c r="L1818" s="6">
        <f>HYPERLINK("https://fin.land.naver.com/articles/2650653609", "매물Link")</f>
        <v/>
      </c>
      <c r="M1818" s="6">
        <f>HYPERLINK("https://map.naver.com/p/search/한솔동 1207", "지도Link")</f>
        <v/>
      </c>
      <c r="N1818" s="6">
        <f>HYPERLINK("http://www.eum.go.kr/web/ar/lu/luLandDet.jsp?pnu=3611010600112070000&amp;isNoScr=script&amp;mode=search",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329.5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총 99.8p, 조율가능, 네모반듯한 남향 예쁜 토지</t>
        </is>
      </c>
      <c r="L1819" s="6">
        <f>HYPERLINK("https://fin.land.naver.com/articles/2651947606",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명진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네모 반듯한 예쁜 토지 매매, 입지 굿</t>
        </is>
      </c>
      <c r="L1820" s="6">
        <f>HYPERLINK("https://fin.land.naver.com/articles/2650893847",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1208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45000</v>
      </c>
      <c r="G1821" s="4" t="n">
        <v>299</v>
      </c>
      <c r="H1821" s="4" t="n">
        <v>90</v>
      </c>
      <c r="I1821" s="5" t="n">
        <v>500</v>
      </c>
      <c r="J1821" s="5" t="n">
        <v>376.9</v>
      </c>
      <c r="K1821" s="3" t="inlineStr">
        <is>
          <t>nan</t>
        </is>
      </c>
      <c r="L1821" s="6">
        <f>HYPERLINK("https://fin.land.naver.com/articles/2649014156", "매물Link")</f>
        <v/>
      </c>
      <c r="M1821" s="6">
        <f>HYPERLINK("https://map.naver.com/p/search/한솔동 1208", "지도Link")</f>
        <v/>
      </c>
      <c r="N1821" s="6">
        <f>HYPERLINK("http://www.eum.go.kr/web/ar/lu/luLandDet.jsp?pnu=3611010600112080000&amp;isNoScr=script&amp;mode=search", "토지이음")</f>
        <v/>
      </c>
      <c r="O1821" s="3" t="inlineStr">
        <is>
          <t>봄마중</t>
        </is>
      </c>
      <c r="P1821" s="4" t="n">
        <v>1</v>
      </c>
      <c r="Q1821" s="4" t="n">
        <v>299.8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1211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38000</v>
      </c>
      <c r="G1822" s="4" t="n">
        <v>323</v>
      </c>
      <c r="H1822" s="4" t="n">
        <v>98</v>
      </c>
      <c r="I1822" s="5" t="n">
        <v>387.8</v>
      </c>
      <c r="J1822" s="5" t="n">
        <v>373.6</v>
      </c>
      <c r="K1822" s="3" t="inlineStr">
        <is>
          <t>급매, 한솔동 단독주택지 가격 좋은 토지</t>
        </is>
      </c>
      <c r="L1822" s="6">
        <f>HYPERLINK("https://fin.land.naver.com/articles/2651773518", "매물Link")</f>
        <v/>
      </c>
      <c r="M1822" s="6">
        <f>HYPERLINK("https://map.naver.com/p/search/한솔동 1211", "지도Link")</f>
        <v/>
      </c>
      <c r="N1822" s="6">
        <f>HYPERLINK("http://www.eum.go.kr/web/ar/lu/luLandDet.jsp?pnu=3611010600112110000&amp;isNoScr=script&amp;mode=search", "토지이음")</f>
        <v/>
      </c>
      <c r="O1822" s="3" t="inlineStr">
        <is>
          <t>세종무지개</t>
        </is>
      </c>
      <c r="P1822" s="4" t="n">
        <v>1</v>
      </c>
      <c r="Q1822" s="4" t="n">
        <v>323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865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80000</v>
      </c>
      <c r="G1824" s="4" t="n">
        <v>352</v>
      </c>
      <c r="H1824" s="4" t="n">
        <v>106</v>
      </c>
      <c r="I1824" s="5" t="n">
        <v>754.7</v>
      </c>
      <c r="J1824" s="5" t="n">
        <v>403</v>
      </c>
      <c r="K1824" s="3" t="inlineStr">
        <is>
          <t>공원 인근, 조용한고 편리한 단독주택지 토지매매</t>
        </is>
      </c>
      <c r="L1824" s="6">
        <f>HYPERLINK("https://fin.land.naver.com/articles/2650427090", "매물Link")</f>
        <v/>
      </c>
      <c r="M1824" s="6">
        <f>HYPERLINK("https://map.naver.com/p/search/한솔동 865", "지도Link")</f>
        <v/>
      </c>
      <c r="N1824" s="6">
        <f>HYPERLINK("http://www.eum.go.kr/web/ar/lu/luLandDet.jsp?pnu=3611010600108650000&amp;isNoScr=script&amp;mode=search",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353.4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353</v>
      </c>
      <c r="H1825" s="4" t="n">
        <v>107</v>
      </c>
      <c r="I1825" s="5" t="n">
        <v>747.7</v>
      </c>
      <c r="J1825" s="5" t="n">
        <v>403</v>
      </c>
      <c r="K1825" s="3" t="inlineStr">
        <is>
          <t>세종시 한솔동 도심속 전원주택부지 매매</t>
        </is>
      </c>
      <c r="L1825" s="6">
        <f>HYPERLINK("https://fin.land.naver.com/articles/2651763249",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전원</t>
        </is>
      </c>
      <c r="P1825" s="4" t="n">
        <v>2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885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292</v>
      </c>
      <c r="H1827" s="4" t="n">
        <v>88</v>
      </c>
      <c r="I1827" s="5" t="n">
        <v>647.7</v>
      </c>
      <c r="J1827" s="5" t="n">
        <v>410.9</v>
      </c>
      <c r="K1827" s="3" t="inlineStr">
        <is>
          <t>D1 귀한매물 새롬동학원가도보 조율가능</t>
        </is>
      </c>
      <c r="L1827" s="6">
        <f>HYPERLINK("https://fin.land.naver.com/articles/2652410283", "매물Link")</f>
        <v/>
      </c>
      <c r="M1827" s="6">
        <f>HYPERLINK("https://map.naver.com/p/search/한솔동 885", "지도Link")</f>
        <v/>
      </c>
      <c r="N1827" s="6">
        <f>HYPERLINK("http://www.eum.go.kr/web/ar/lu/luLandDet.jsp?pnu=3611010600108850000&amp;isNoScr=script&amp;mode=search", "토지이음")</f>
        <v/>
      </c>
      <c r="O1827" s="3" t="inlineStr">
        <is>
          <t>세종스타</t>
        </is>
      </c>
      <c r="P1827" s="4" t="n">
        <v>1</v>
      </c>
      <c r="Q1827" s="4" t="n">
        <v>292.2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생활 인프라가 완비된 2생활권 내 희소성 높은 알짜 토지.</t>
        </is>
      </c>
      <c r="L1829" s="6">
        <f>HYPERLINK("https://fin.land.naver.com/articles/2648288398",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이룸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나리꽃어린이공원  인접,학군 한솔초.중.고, 이마트 인근,가격조정가능</t>
        </is>
      </c>
      <c r="L1830" s="6">
        <f>HYPERLINK("https://fin.land.naver.com/articles/2647522138",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702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431600</v>
      </c>
      <c r="G1836" s="4" t="n">
        <v>3170</v>
      </c>
      <c r="H1836" s="4" t="n">
        <v>959</v>
      </c>
      <c r="I1836" s="5" t="n">
        <v>450.1</v>
      </c>
      <c r="J1836" s="5" t="n">
        <v>219.8</v>
      </c>
      <c r="K1836" s="3" t="inlineStr">
        <is>
          <t>세종시 해밀동 토지 매매 숲속 타운하우스 15가구 부지 대지 3,170㎡</t>
        </is>
      </c>
      <c r="L1836" s="6">
        <f>HYPERLINK("https://fin.land.naver.com/articles/2651744353", "매물Link")</f>
        <v/>
      </c>
      <c r="M1836" s="6">
        <f>HYPERLINK("https://map.naver.com/p/search/해밀동 702", "지도Link")</f>
        <v/>
      </c>
      <c r="N1836" s="6">
        <f>HYPERLINK("http://www.eum.go.kr/web/ar/lu/luLandDet.jsp?pnu=3611011600107020000&amp;isNoScr=script&amp;mode=search", "토지이음")</f>
        <v/>
      </c>
      <c r="O1836" s="3" t="inlineStr">
        <is>
          <t>세종</t>
        </is>
      </c>
      <c r="P1836" s="4" t="n">
        <v>1</v>
      </c>
      <c r="Q1836" s="4" t="n">
        <v>3170.9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소로한면</t>
        </is>
      </c>
    </row>
    <row r="1837">
      <c r="A1837" s="3" t="inlineStr">
        <is>
          <t>해밀동 704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60000</v>
      </c>
      <c r="G1837" s="4" t="n">
        <v>289</v>
      </c>
      <c r="H1837" s="4" t="n">
        <v>87</v>
      </c>
      <c r="I1837" s="5" t="n">
        <v>689.7</v>
      </c>
      <c r="J1837" s="5" t="n">
        <v>241.1</v>
      </c>
      <c r="K1837" s="3" t="inlineStr">
        <is>
          <t>조율가능 지대높음 원수산뷰 학교,상가 가까움</t>
        </is>
      </c>
      <c r="L1837" s="6">
        <f>HYPERLINK("https://fin.land.naver.com/articles/2652136537", "매물Link")</f>
        <v/>
      </c>
      <c r="M1837" s="6">
        <f>HYPERLINK("https://map.naver.com/p/search/해밀동 704", "지도Link")</f>
        <v/>
      </c>
      <c r="N1837" s="6">
        <f>HYPERLINK("http://www.eum.go.kr/web/ar/lu/luLandDet.jsp?pnu=3611011600107040000&amp;isNoScr=script&amp;mode=search", "토지이음")</f>
        <v/>
      </c>
      <c r="O1837" s="3" t="inlineStr">
        <is>
          <t>세종스타</t>
        </is>
      </c>
      <c r="P1837" s="4" t="n">
        <v>1</v>
      </c>
      <c r="Q1837" s="4" t="n">
        <v>289.4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해밀동 713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58000</v>
      </c>
      <c r="G1838" s="4" t="n">
        <v>324</v>
      </c>
      <c r="H1838" s="4" t="n">
        <v>98</v>
      </c>
      <c r="I1838" s="5" t="n">
        <v>591.8</v>
      </c>
      <c r="J1838" s="5" t="n">
        <v>241.1</v>
      </c>
      <c r="K1838" s="3" t="inlineStr">
        <is>
          <t>조율가능 남동향 트인위치 땅모양 좋음</t>
        </is>
      </c>
      <c r="L1838" s="6">
        <f>HYPERLINK("https://fin.land.naver.com/articles/2649295989", "매물Link")</f>
        <v/>
      </c>
      <c r="M1838" s="6">
        <f>HYPERLINK("https://map.naver.com/p/search/해밀동 713", "지도Link")</f>
        <v/>
      </c>
      <c r="N1838" s="6">
        <f>HYPERLINK("http://www.eum.go.kr/web/ar/lu/luLandDet.jsp?pnu=3611011600107130000&amp;isNoScr=script&amp;mode=search", "토지이음")</f>
        <v/>
      </c>
      <c r="O1838" s="3" t="inlineStr">
        <is>
          <t>세종스타</t>
        </is>
      </c>
      <c r="P1838" s="4" t="n">
        <v>1</v>
      </c>
      <c r="Q1838" s="4" t="n">
        <v>324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소로한면</t>
        </is>
      </c>
    </row>
    <row r="1839">
      <c r="A1839" s="3" t="inlineStr">
        <is>
          <t>해밀동 713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58000</v>
      </c>
      <c r="G1839" s="4" t="n">
        <v>324</v>
      </c>
      <c r="H1839" s="4" t="n">
        <v>98</v>
      </c>
      <c r="I1839" s="5" t="n">
        <v>591.8</v>
      </c>
      <c r="J1839" s="5" t="n">
        <v>241.1</v>
      </c>
      <c r="K1839" s="3" t="inlineStr">
        <is>
          <t>98.18p, 해밀동 네모 반듯한 단독주택 토지매매</t>
        </is>
      </c>
      <c r="L1839" s="6">
        <f>HYPERLINK("https://fin.land.naver.com/articles/2649004455", "매물Link")</f>
        <v/>
      </c>
      <c r="M1839" s="6">
        <f>HYPERLINK("https://map.naver.com/p/search/해밀동 713", "지도Link")</f>
        <v/>
      </c>
      <c r="N1839" s="6">
        <f>HYPERLINK("http://www.eum.go.kr/web/ar/lu/luLandDet.jsp?pnu=3611011600107130000&amp;isNoScr=script&amp;mode=search", "토지이음")</f>
        <v/>
      </c>
      <c r="O1839" s="3" t="inlineStr">
        <is>
          <t>명진</t>
        </is>
      </c>
      <c r="P1839" s="4" t="n">
        <v>1</v>
      </c>
      <c r="Q1839" s="4" t="n">
        <v>324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정방형</t>
        </is>
      </c>
      <c r="V1839" s="3" t="inlineStr">
        <is>
          <t>소로한면</t>
        </is>
      </c>
    </row>
    <row r="1840">
      <c r="A1840" s="3" t="inlineStr">
        <is>
          <t>해밀동 756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57000</v>
      </c>
      <c r="G1840" s="4" t="n">
        <v>326</v>
      </c>
      <c r="H1840" s="4" t="n">
        <v>99</v>
      </c>
      <c r="I1840" s="5" t="n">
        <v>575.8</v>
      </c>
      <c r="J1840" s="5" t="n">
        <v>241.1</v>
      </c>
      <c r="K1840" s="3" t="inlineStr">
        <is>
          <t>조율가능 넓은평수 코너 보행로접</t>
        </is>
      </c>
      <c r="L1840" s="6">
        <f>HYPERLINK("https://fin.land.naver.com/articles/2652942604", "매물Link")</f>
        <v/>
      </c>
      <c r="M1840" s="6">
        <f>HYPERLINK("https://map.naver.com/p/search/해밀동 756", "지도Link")</f>
        <v/>
      </c>
      <c r="N1840" s="6">
        <f>HYPERLINK("http://www.eum.go.kr/web/ar/lu/luLandDet.jsp?pnu=3611011600107560000&amp;isNoScr=script&amp;mode=search",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326.4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767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55000</v>
      </c>
      <c r="G1841" s="4" t="n">
        <v>287</v>
      </c>
      <c r="H1841" s="4" t="n">
        <v>87</v>
      </c>
      <c r="I1841" s="5" t="n">
        <v>632.2</v>
      </c>
      <c r="J1841" s="5" t="n">
        <v>241.1</v>
      </c>
      <c r="K1841" s="3" t="inlineStr">
        <is>
          <t>남향 보행로접함 뒷편 공원조망 조율가능</t>
        </is>
      </c>
      <c r="L1841" s="6">
        <f>HYPERLINK("https://fin.land.naver.com/articles/2649618859", "매물Link")</f>
        <v/>
      </c>
      <c r="M1841" s="6">
        <f>HYPERLINK("https://map.naver.com/p/search/해밀동 767", "지도Link")</f>
        <v/>
      </c>
      <c r="N1841" s="6">
        <f>HYPERLINK("http://www.eum.go.kr/web/ar/lu/luLandDet.jsp?pnu=3611011600107670000&amp;isNoScr=script&amp;mode=search",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287.5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해밀동 777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56500</v>
      </c>
      <c r="G1842" s="4" t="n">
        <v>294</v>
      </c>
      <c r="H1842" s="4" t="n">
        <v>89</v>
      </c>
      <c r="I1842" s="5" t="n">
        <v>634.8</v>
      </c>
      <c r="J1842" s="5" t="n">
        <v>243.3</v>
      </c>
      <c r="K1842" s="3" t="inlineStr">
        <is>
          <t>해밀동 가격 좋은 단독주택 매매, 공원인근</t>
        </is>
      </c>
      <c r="L1842" s="6">
        <f>HYPERLINK("https://fin.land.naver.com/articles/2647424555", "매물Link")</f>
        <v/>
      </c>
      <c r="M1842" s="6">
        <f>HYPERLINK("https://map.naver.com/p/search/해밀동 777", "지도Link")</f>
        <v/>
      </c>
      <c r="N1842" s="6">
        <f>HYPERLINK("http://www.eum.go.kr/web/ar/lu/luLandDet.jsp?pnu=3611011600107770000&amp;isNoScr=script&amp;mode=search", "토지이음")</f>
        <v/>
      </c>
      <c r="O1842" s="3" t="inlineStr">
        <is>
          <t>세종무지개</t>
        </is>
      </c>
      <c r="P1842" s="4" t="n">
        <v>1</v>
      </c>
      <c r="Q1842" s="4" t="n">
        <v>294.8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소로한면</t>
        </is>
      </c>
    </row>
    <row r="1843">
      <c r="A1843" s="3" t="inlineStr">
        <is>
          <t>해밀동 777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56500</v>
      </c>
      <c r="G1843" s="4" t="n">
        <v>294</v>
      </c>
      <c r="H1843" s="4" t="n">
        <v>89</v>
      </c>
      <c r="I1843" s="5" t="n">
        <v>634.8</v>
      </c>
      <c r="J1843" s="5" t="n">
        <v>243.3</v>
      </c>
      <c r="K1843" s="3" t="inlineStr">
        <is>
          <t>남향 원수산조망 뒷쪽 보행로접</t>
        </is>
      </c>
      <c r="L1843" s="6">
        <f>HYPERLINK("https://fin.land.naver.com/articles/2648046733", "매물Link")</f>
        <v/>
      </c>
      <c r="M1843" s="6">
        <f>HYPERLINK("https://map.naver.com/p/search/해밀동 777", "지도Link")</f>
        <v/>
      </c>
      <c r="N1843" s="6">
        <f>HYPERLINK("http://www.eum.go.kr/web/ar/lu/luLandDet.jsp?pnu=3611011600107770000&amp;isNoScr=script&amp;mode=search",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294.8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소로한면</t>
        </is>
      </c>
    </row>
    <row r="1844">
      <c r="A1844" s="3" t="inlineStr">
        <is>
          <t>해밀동 806</t>
        </is>
      </c>
      <c r="B1844" s="3" t="inlineStr">
        <is>
          <t>제1종전용주거지역</t>
        </is>
      </c>
      <c r="C1844" s="3" t="inlineStr">
        <is>
          <t>도로</t>
        </is>
      </c>
      <c r="D1844" s="3" t="inlineStr">
        <is>
          <t>대</t>
        </is>
      </c>
      <c r="E1844" s="3" t="inlineStr">
        <is>
          <t>매매</t>
        </is>
      </c>
      <c r="F1844" s="4" t="n">
        <v>70000</v>
      </c>
      <c r="G1844" s="4" t="n">
        <v>314</v>
      </c>
      <c r="H1844" s="4" t="n">
        <v>95</v>
      </c>
      <c r="I1844" s="5" t="n">
        <v>736.8</v>
      </c>
      <c r="J1844" s="5" t="n">
        <v>79.59999999999999</v>
      </c>
      <c r="K1844" s="3" t="inlineStr">
        <is>
          <t>조율가능 시유지접한 지대높음</t>
        </is>
      </c>
      <c r="L1844" s="6">
        <f>HYPERLINK("https://fin.land.naver.com/articles/2651299558", "매물Link")</f>
        <v/>
      </c>
      <c r="M1844" s="6">
        <f>HYPERLINK("https://map.naver.com/p/search/해밀동 806", "지도Link")</f>
        <v/>
      </c>
      <c r="N1844" s="6">
        <f>HYPERLINK("http://www.eum.go.kr/web/ar/lu/luLandDet.jsp?pnu=3611011600108060000&amp;isNoScr=script&amp;mode=search",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5372.8</v>
      </c>
      <c r="R1844" s="3" t="inlineStr">
        <is>
          <t>지정되지않음</t>
        </is>
      </c>
      <c r="S1844" s="3" t="inlineStr">
        <is>
          <t>도로등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지정되지않음</t>
        </is>
      </c>
    </row>
  </sheetData>
  <autoFilter ref="A1:V18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2026-10-02T23:08:42Z</dcterms:created>
  <dcterms:modified xsi:type="dcterms:W3CDTF">2026-10-02T23:08:50Z</dcterms:modified>
</cp:coreProperties>
</file>