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'공장창고매물'!$A$1:$AD$156</definedName>
    <definedName name="_xlnm._FilterDatabase" localSheetId="1" hidden="1">'주택매물'!$A$1:$AA$54</definedName>
    <definedName name="_xlnm._FilterDatabase" localSheetId="2" hidden="1">'토지매물'!$A$1:$V$254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매매</t>
        </is>
      </c>
      <c r="F2" s="4" t="n">
        <v>800000</v>
      </c>
      <c r="G2" s="4" t="n">
        <v>0</v>
      </c>
      <c r="H2" s="4" t="n">
        <v>16933</v>
      </c>
      <c r="I2" s="4" t="n">
        <v>5122</v>
      </c>
      <c r="J2" s="5" t="n">
        <v>156.2</v>
      </c>
      <c r="K2" s="4" t="n">
        <v>5728</v>
      </c>
      <c r="L2" s="4" t="n">
        <v>1733</v>
      </c>
      <c r="M2" s="5" t="n">
        <v>461.6</v>
      </c>
      <c r="N2" s="3" t="inlineStr">
        <is>
          <t>1</t>
        </is>
      </c>
      <c r="O2" s="3" t="inlineStr">
        <is>
          <t>-</t>
        </is>
      </c>
      <c r="P2" s="3" t="inlineStr">
        <is>
          <t>급매 주변시세대비 저렴한 매물 하이테크밸리 인접한 공장</t>
        </is>
      </c>
      <c r="Q2" s="6">
        <f>HYPERLINK("https://fin.land.naver.com/articles/2651750022",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매매</t>
        </is>
      </c>
      <c r="F3" s="4" t="n">
        <v>596000</v>
      </c>
      <c r="G3" s="4" t="n">
        <v>0</v>
      </c>
      <c r="H3" s="4" t="n">
        <v>8383</v>
      </c>
      <c r="I3" s="4" t="n">
        <v>2536</v>
      </c>
      <c r="J3" s="5" t="n">
        <v>235</v>
      </c>
      <c r="K3" s="4" t="n">
        <v>3333</v>
      </c>
      <c r="L3" s="4" t="n">
        <v>1008</v>
      </c>
      <c r="M3" s="5" t="n">
        <v>591.3</v>
      </c>
      <c r="N3" s="3" t="inlineStr">
        <is>
          <t>1</t>
        </is>
      </c>
      <c r="O3" s="3" t="inlineStr">
        <is>
          <t>-</t>
        </is>
      </c>
      <c r="P3" s="3" t="inlineStr">
        <is>
          <t>2차선도로 접  마당 넓고 층고 높은 신축급 공장.창고매매</t>
        </is>
      </c>
      <c r="Q3" s="6">
        <f>HYPERLINK("https://fin.land.naver.com/articles/2651750014",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월세</t>
        </is>
      </c>
      <c r="F4" s="4" t="n">
        <v>6000</v>
      </c>
      <c r="G4" s="4" t="n">
        <v>570</v>
      </c>
      <c r="H4" s="4" t="n">
        <v>8383</v>
      </c>
      <c r="I4" s="4" t="n">
        <v>2536</v>
      </c>
      <c r="J4" s="5" t="n">
        <v>0.2</v>
      </c>
      <c r="K4" s="4" t="n">
        <v>817</v>
      </c>
      <c r="L4" s="4" t="n">
        <v>247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남청주ic, 청주 ic 접근성 좋은 위치의 신축급 공장이나 창고</t>
        </is>
      </c>
      <c r="Q4" s="6">
        <f>HYPERLINK("https://fin.land.naver.com/articles/2651750009",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더원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매매</t>
        </is>
      </c>
      <c r="F5" s="4" t="n">
        <v>90000</v>
      </c>
      <c r="G5" s="4" t="n">
        <v>0</v>
      </c>
      <c r="H5" s="4" t="n">
        <v>1240</v>
      </c>
      <c r="I5" s="4" t="n">
        <v>375</v>
      </c>
      <c r="J5" s="5" t="n">
        <v>240</v>
      </c>
      <c r="K5" s="4" t="n">
        <v>492</v>
      </c>
      <c r="L5" s="4" t="n">
        <v>149</v>
      </c>
      <c r="M5" s="5" t="n">
        <v>604</v>
      </c>
      <c r="N5" s="3" t="inlineStr">
        <is>
          <t>1</t>
        </is>
      </c>
      <c r="O5" s="3" t="inlineStr">
        <is>
          <t>-</t>
        </is>
      </c>
      <c r="P5" s="3" t="inlineStr">
        <is>
          <t>청주ic 청주도심권 접근성 좋은 위치의 공장매매</t>
        </is>
      </c>
      <c r="Q5" s="6">
        <f>HYPERLINK("https://fin.land.naver.com/articles/2651750007",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더원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공장</t>
        </is>
      </c>
      <c r="E6" s="3" t="inlineStr">
        <is>
          <t>월세</t>
        </is>
      </c>
      <c r="F6" s="4" t="n">
        <v>7000</v>
      </c>
      <c r="G6" s="4" t="n">
        <v>690</v>
      </c>
      <c r="H6" s="4" t="n">
        <v>8383</v>
      </c>
      <c r="I6" s="4" t="n">
        <v>2536</v>
      </c>
      <c r="J6" s="5" t="n">
        <v>0.3</v>
      </c>
      <c r="K6" s="4" t="n">
        <v>997</v>
      </c>
      <c r="L6" s="4" t="n">
        <v>302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남청주ic, 청주ic 접근성 좋은 위치 대형차 진출입가능</t>
        </is>
      </c>
      <c r="Q6" s="6">
        <f>HYPERLINK("https://fin.land.naver.com/articles/2651750003",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더원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</t>
        </is>
      </c>
      <c r="E7" s="3" t="inlineStr">
        <is>
          <t>월세</t>
        </is>
      </c>
      <c r="F7" s="4" t="n">
        <v>4000</v>
      </c>
      <c r="G7" s="4" t="n">
        <v>360</v>
      </c>
      <c r="H7" s="4" t="n">
        <v>8383</v>
      </c>
      <c r="I7" s="4" t="n">
        <v>2536</v>
      </c>
      <c r="J7" s="5" t="n">
        <v>0.1</v>
      </c>
      <c r="K7" s="4" t="n">
        <v>519</v>
      </c>
      <c r="L7" s="4" t="n">
        <v>157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청주ic 접근성 좋고 2차선도로접 대형차 진출입가능</t>
        </is>
      </c>
      <c r="Q7" s="6">
        <f>HYPERLINK("https://fin.land.naver.com/articles/2651750000",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60000</v>
      </c>
      <c r="G8" s="4" t="n">
        <v>5700</v>
      </c>
      <c r="H8" s="4" t="n">
        <v>47000</v>
      </c>
      <c r="I8" s="4" t="n">
        <v>14218</v>
      </c>
      <c r="J8" s="5" t="n">
        <v>0.4</v>
      </c>
      <c r="K8" s="4" t="n">
        <v>7514</v>
      </c>
      <c r="L8" s="4" t="n">
        <v>2273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강내 대형창고 공장 임대 즉시입주가 대형차진출입용이</t>
        </is>
      </c>
      <c r="Q8" s="6">
        <f>HYPERLINK("https://fin.land.naver.com/articles/2650950659",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580000</v>
      </c>
      <c r="G9" s="4" t="n">
        <v>0</v>
      </c>
      <c r="H9" s="4" t="n">
        <v>8027</v>
      </c>
      <c r="I9" s="4" t="n">
        <v>2428</v>
      </c>
      <c r="J9" s="5" t="n">
        <v>238.9</v>
      </c>
      <c r="K9" s="4" t="n">
        <v>3206</v>
      </c>
      <c r="L9" s="4" t="n">
        <v>970</v>
      </c>
      <c r="M9" s="5" t="n">
        <v>597.9</v>
      </c>
      <c r="N9" s="3" t="inlineStr">
        <is>
          <t>1</t>
        </is>
      </c>
      <c r="O9" s="3" t="inlineStr">
        <is>
          <t>-</t>
        </is>
      </c>
      <c r="P9" s="3" t="inlineStr">
        <is>
          <t>2차선도로접 야드넓은 중대형 공장 청주ic 10분</t>
        </is>
      </c>
      <c r="Q9" s="6">
        <f>HYPERLINK("https://fin.land.naver.com/articles/2651750028",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더원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23000</v>
      </c>
      <c r="G10" s="4" t="n">
        <v>2300</v>
      </c>
      <c r="H10" s="4" t="n">
        <v>8383</v>
      </c>
      <c r="I10" s="4" t="n">
        <v>2536</v>
      </c>
      <c r="J10" s="5" t="n">
        <v>0.9</v>
      </c>
      <c r="K10" s="4" t="n">
        <v>3333</v>
      </c>
      <c r="L10" s="4" t="n">
        <v>1008</v>
      </c>
      <c r="M10" s="5" t="n">
        <v>2.3</v>
      </c>
      <c r="N10" s="3" t="inlineStr">
        <is>
          <t>1</t>
        </is>
      </c>
      <c r="O10" s="3" t="inlineStr">
        <is>
          <t>-</t>
        </is>
      </c>
      <c r="P10" s="3" t="inlineStr">
        <is>
          <t>청주ic 접근성좋은 신축급 공장 물류창고로도 가능 야적장 넓음</t>
        </is>
      </c>
      <c r="Q10" s="6">
        <f>HYPERLINK("https://fin.land.naver.com/articles/2650873479",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더원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매매</t>
        </is>
      </c>
      <c r="F11" s="4" t="n">
        <v>354000</v>
      </c>
      <c r="G11" s="4" t="n">
        <v>0</v>
      </c>
      <c r="H11" s="4" t="n">
        <v>4680</v>
      </c>
      <c r="I11" s="4" t="n">
        <v>1416</v>
      </c>
      <c r="J11" s="5" t="n">
        <v>250</v>
      </c>
      <c r="K11" s="4" t="n">
        <v>1525</v>
      </c>
      <c r="L11" s="4" t="n">
        <v>461</v>
      </c>
      <c r="M11" s="5" t="n">
        <v>767.9</v>
      </c>
      <c r="N11" s="3" t="inlineStr">
        <is>
          <t>1</t>
        </is>
      </c>
      <c r="O11" s="3" t="inlineStr">
        <is>
          <t>-</t>
        </is>
      </c>
      <c r="P11" s="3" t="inlineStr">
        <is>
          <t>강내하이테크밸리산업단지 옆에 위치 세종 오송 접근성 좋은 공장</t>
        </is>
      </c>
      <c r="Q11" s="6">
        <f>HYPERLINK("https://fin.land.naver.com/articles/2650873427",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매매</t>
        </is>
      </c>
      <c r="F12" s="4" t="n">
        <v>280000</v>
      </c>
      <c r="G12" s="4" t="n">
        <v>0</v>
      </c>
      <c r="H12" s="4" t="n">
        <v>5013</v>
      </c>
      <c r="I12" s="4" t="n">
        <v>1516</v>
      </c>
      <c r="J12" s="5" t="n">
        <v>184.7</v>
      </c>
      <c r="K12" s="4" t="n">
        <v>1535</v>
      </c>
      <c r="L12" s="4" t="n">
        <v>464</v>
      </c>
      <c r="M12" s="5" t="n">
        <v>603.4</v>
      </c>
      <c r="N12" s="3" t="inlineStr">
        <is>
          <t>2</t>
        </is>
      </c>
      <c r="O12" s="3" t="inlineStr">
        <is>
          <t>-</t>
        </is>
      </c>
      <c r="P12" s="3" t="inlineStr">
        <is>
          <t>청주ic 10 분 고속도로 접근성 좋고 마당넓은 공장 숙소있음</t>
        </is>
      </c>
      <c r="Q12" s="6">
        <f>HYPERLINK("https://fin.land.naver.com/articles/2650873424",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매매</t>
        </is>
      </c>
      <c r="F13" s="4" t="n">
        <v>55000</v>
      </c>
      <c r="G13" s="4" t="n">
        <v>0</v>
      </c>
      <c r="H13" s="4" t="n">
        <v>672</v>
      </c>
      <c r="I13" s="4" t="n">
        <v>203</v>
      </c>
      <c r="J13" s="5" t="n">
        <v>270.9</v>
      </c>
      <c r="K13" s="4" t="n">
        <v>202</v>
      </c>
      <c r="L13" s="4" t="n">
        <v>61</v>
      </c>
      <c r="M13" s="5" t="n">
        <v>901.6</v>
      </c>
      <c r="N13" s="3" t="inlineStr">
        <is>
          <t>1</t>
        </is>
      </c>
      <c r="O13" s="3" t="inlineStr">
        <is>
          <t>-</t>
        </is>
      </c>
      <c r="P13" s="3" t="inlineStr">
        <is>
          <t>공장제조업소, 2차선에서 100m 거리라 이동시 편리</t>
        </is>
      </c>
      <c r="Q13" s="6">
        <f>HYPERLINK("https://fin.land.naver.com/articles/2649696714",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하경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매매</t>
        </is>
      </c>
      <c r="F14" s="4" t="n">
        <v>580000</v>
      </c>
      <c r="G14" s="4" t="n">
        <v>0</v>
      </c>
      <c r="H14" s="4" t="n">
        <v>8027</v>
      </c>
      <c r="I14" s="4" t="n">
        <v>2428</v>
      </c>
      <c r="J14" s="5" t="n">
        <v>238.9</v>
      </c>
      <c r="K14" s="4" t="n">
        <v>3206</v>
      </c>
      <c r="L14" s="4" t="n">
        <v>970</v>
      </c>
      <c r="M14" s="5" t="n">
        <v>597.9</v>
      </c>
      <c r="N14" s="3" t="inlineStr">
        <is>
          <t>1</t>
        </is>
      </c>
      <c r="O14" s="3" t="inlineStr">
        <is>
          <t>-</t>
        </is>
      </c>
      <c r="P14" s="3" t="inlineStr">
        <is>
          <t>청주 ic 인근 깨끗한 공장 매매</t>
        </is>
      </c>
      <c r="Q14" s="6">
        <f>HYPERLINK("https://fin.land.naver.com/articles/2650617225",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대복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월세</t>
        </is>
      </c>
      <c r="F15" s="4" t="n">
        <v>10000</v>
      </c>
      <c r="G15" s="4" t="n">
        <v>920</v>
      </c>
      <c r="H15" s="4" t="n">
        <v>4183</v>
      </c>
      <c r="I15" s="4" t="n">
        <v>1265</v>
      </c>
      <c r="J15" s="5" t="n">
        <v>0.7</v>
      </c>
      <c r="K15" s="4" t="n">
        <v>1337</v>
      </c>
      <c r="L15" s="4" t="n">
        <v>404</v>
      </c>
      <c r="M15" s="5" t="n">
        <v>2.3</v>
      </c>
      <c r="N15" s="3" t="inlineStr">
        <is>
          <t>1</t>
        </is>
      </c>
      <c r="O15" s="3" t="inlineStr">
        <is>
          <t>-</t>
        </is>
      </c>
      <c r="P15" s="3" t="inlineStr">
        <is>
          <t>청주ic 접근성 좋은 위치 준신축급 공장 및 창고임대</t>
        </is>
      </c>
      <c r="Q15" s="6">
        <f>HYPERLINK("https://fin.land.naver.com/articles/2650873430",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공장</t>
        </is>
      </c>
      <c r="E16" s="3" t="inlineStr">
        <is>
          <t>매매</t>
        </is>
      </c>
      <c r="F16" s="4" t="n">
        <v>500000</v>
      </c>
      <c r="G16" s="4" t="n">
        <v>0</v>
      </c>
      <c r="H16" s="4" t="n">
        <v>5517</v>
      </c>
      <c r="I16" s="4" t="n">
        <v>1669</v>
      </c>
      <c r="J16" s="5" t="n">
        <v>299.6</v>
      </c>
      <c r="K16" s="4" t="n">
        <v>2217</v>
      </c>
      <c r="L16" s="4" t="n">
        <v>671</v>
      </c>
      <c r="M16" s="5" t="n">
        <v>745.2</v>
      </c>
      <c r="N16" s="3" t="inlineStr">
        <is>
          <t>2</t>
        </is>
      </c>
      <c r="O16" s="3" t="inlineStr">
        <is>
          <t>-</t>
        </is>
      </c>
      <c r="P16" s="3" t="inlineStr">
        <is>
          <t>황탄리공장 건물총4동 전체 일괄매각 태양광매각비용별도 월별도수익있어요</t>
        </is>
      </c>
      <c r="Q16" s="6">
        <f>HYPERLINK("https://fin.land.naver.com/articles/2649782299",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자이원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월세</t>
        </is>
      </c>
      <c r="F17" s="4" t="n">
        <v>4000</v>
      </c>
      <c r="G17" s="4" t="n">
        <v>310</v>
      </c>
      <c r="H17" s="4" t="n">
        <v>2284</v>
      </c>
      <c r="I17" s="4" t="n">
        <v>691</v>
      </c>
      <c r="J17" s="5" t="n">
        <v>0.4</v>
      </c>
      <c r="K17" s="4" t="n">
        <v>399</v>
      </c>
      <c r="L17" s="4" t="n">
        <v>121</v>
      </c>
      <c r="M17" s="5" t="n">
        <v>2.6</v>
      </c>
      <c r="N17" s="3" t="inlineStr">
        <is>
          <t>1</t>
        </is>
      </c>
      <c r="O17" s="3" t="inlineStr">
        <is>
          <t>-</t>
        </is>
      </c>
      <c r="P17" s="3" t="inlineStr">
        <is>
          <t>청주ic13분 오송, 세종 접근성 우수 신축 2종근생제조나 창고 가능</t>
        </is>
      </c>
      <c r="Q17" s="6">
        <f>HYPERLINK("https://fin.land.naver.com/articles/2652290059",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더원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월세</t>
        </is>
      </c>
      <c r="F18" s="4" t="n">
        <v>2000</v>
      </c>
      <c r="G18" s="4" t="n">
        <v>135</v>
      </c>
      <c r="H18" s="4" t="n">
        <v>2284</v>
      </c>
      <c r="I18" s="4" t="n">
        <v>691</v>
      </c>
      <c r="J18" s="5" t="n">
        <v>0.2</v>
      </c>
      <c r="K18" s="4" t="n">
        <v>165</v>
      </c>
      <c r="L18" s="4" t="n">
        <v>50</v>
      </c>
      <c r="M18" s="5" t="n">
        <v>2.7</v>
      </c>
      <c r="N18" s="3" t="inlineStr">
        <is>
          <t>1</t>
        </is>
      </c>
      <c r="O18" s="3" t="inlineStr">
        <is>
          <t>-</t>
        </is>
      </c>
      <c r="P18" s="3" t="inlineStr">
        <is>
          <t>청주ic 13분 강내면 2종근생 소형공장이나 창고가능 2차선접</t>
        </is>
      </c>
      <c r="Q18" s="6">
        <f>HYPERLINK("https://fin.land.naver.com/articles/2652162025",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더원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공장</t>
        </is>
      </c>
      <c r="E19" s="3" t="inlineStr">
        <is>
          <t>매매</t>
        </is>
      </c>
      <c r="F19" s="4" t="n">
        <v>250000</v>
      </c>
      <c r="G19" s="4" t="n">
        <v>0</v>
      </c>
      <c r="H19" s="4" t="n">
        <v>4185</v>
      </c>
      <c r="I19" s="4" t="n">
        <v>1266</v>
      </c>
      <c r="J19" s="5" t="n">
        <v>197.5</v>
      </c>
      <c r="K19" s="4" t="n">
        <v>337</v>
      </c>
      <c r="L19" s="4" t="n">
        <v>102</v>
      </c>
      <c r="M19" s="5" t="n">
        <v>2451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HYPERLINK("https://fin.land.naver.com/articles/2651921060",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케이투(k2)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8027</v>
      </c>
      <c r="I20" s="4" t="n">
        <v>2428</v>
      </c>
      <c r="J20" s="5" t="n">
        <v>234.8</v>
      </c>
      <c r="K20" s="4" t="n">
        <v>3206</v>
      </c>
      <c r="L20" s="4" t="n">
        <v>970</v>
      </c>
      <c r="M20" s="5" t="n">
        <v>587.6</v>
      </c>
      <c r="N20" s="3" t="inlineStr">
        <is>
          <t>1</t>
        </is>
      </c>
      <c r="O20" s="3" t="inlineStr">
        <is>
          <t>-</t>
        </is>
      </c>
      <c r="P20" s="3" t="inlineStr">
        <is>
          <t>2차선접한 컨디션좋은 공장입니다</t>
        </is>
      </c>
      <c r="Q20" s="6">
        <f>HYPERLINK("https://fin.land.naver.com/articles/2653093912",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복댕이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55000</v>
      </c>
      <c r="G21" s="4" t="n">
        <v>0</v>
      </c>
      <c r="H21" s="4" t="n">
        <v>672</v>
      </c>
      <c r="I21" s="4" t="n">
        <v>203</v>
      </c>
      <c r="J21" s="5" t="n">
        <v>270.9</v>
      </c>
      <c r="K21" s="4" t="n">
        <v>202</v>
      </c>
      <c r="L21" s="4" t="n">
        <v>61</v>
      </c>
      <c r="M21" s="5" t="n">
        <v>901.6</v>
      </c>
      <c r="N21" s="3" t="inlineStr">
        <is>
          <t>1</t>
        </is>
      </c>
      <c r="O21" s="3" t="inlineStr">
        <is>
          <t>-</t>
        </is>
      </c>
      <c r="P21" s="3" t="inlineStr">
        <is>
          <t>2차선도로 약간 들어간 위치 소형공장제조업소</t>
        </is>
      </c>
      <c r="Q21" s="6">
        <f>HYPERLINK("https://fin.land.naver.com/articles/2650935737",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더원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창고</t>
        </is>
      </c>
      <c r="E22" s="3" t="inlineStr">
        <is>
          <t>월세</t>
        </is>
      </c>
      <c r="F22" s="4" t="n">
        <v>1000</v>
      </c>
      <c r="G22" s="4" t="n">
        <v>120</v>
      </c>
      <c r="H22" s="4" t="n">
        <v>928</v>
      </c>
      <c r="I22" s="4" t="n">
        <v>281</v>
      </c>
      <c r="J22" s="5" t="n">
        <v>0.4</v>
      </c>
      <c r="K22" s="4" t="n">
        <v>162</v>
      </c>
      <c r="L22" s="4" t="n">
        <v>49</v>
      </c>
      <c r="M22" s="5" t="n">
        <v>2.4</v>
      </c>
      <c r="N22" s="3" t="inlineStr">
        <is>
          <t>1</t>
        </is>
      </c>
      <c r="O22" s="3" t="inlineStr">
        <is>
          <t>-</t>
        </is>
      </c>
      <c r="P22" s="3" t="inlineStr">
        <is>
          <t>궁현리 소형 창고 임대</t>
        </is>
      </c>
      <c r="Q22" s="6">
        <f>HYPERLINK("https://fin.land.naver.com/articles/2652768734",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사거리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창고</t>
        </is>
      </c>
      <c r="E23" s="3" t="inlineStr">
        <is>
          <t>매매</t>
        </is>
      </c>
      <c r="F23" s="4" t="n">
        <v>280000</v>
      </c>
      <c r="G23" s="4" t="n">
        <v>0</v>
      </c>
      <c r="H23" s="4" t="n">
        <v>1883</v>
      </c>
      <c r="I23" s="4" t="n">
        <v>570</v>
      </c>
      <c r="J23" s="5" t="n">
        <v>491.2</v>
      </c>
      <c r="K23" s="4" t="n">
        <v>801</v>
      </c>
      <c r="L23" s="4" t="n">
        <v>242</v>
      </c>
      <c r="M23" s="5" t="n">
        <v>1157</v>
      </c>
      <c r="N23" s="3" t="inlineStr">
        <is>
          <t>2</t>
        </is>
      </c>
      <c r="O23" s="3" t="inlineStr">
        <is>
          <t>-</t>
        </is>
      </c>
      <c r="P23" s="3" t="inlineStr">
        <is>
          <t>태성삼거리 인근 2차선접 단독창고 사무실 있음  현임차인 있음</t>
        </is>
      </c>
      <c r="Q23" s="6">
        <f>HYPERLINK("https://fin.land.naver.com/articles/2652625475",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더원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28197</v>
      </c>
      <c r="I24" s="4" t="n">
        <v>8530</v>
      </c>
      <c r="J24" s="5" t="n">
        <v>0</v>
      </c>
      <c r="K24" s="4" t="n">
        <v>330</v>
      </c>
      <c r="L24" s="4" t="n">
        <v>100</v>
      </c>
      <c r="M24" s="5" t="n">
        <v>3</v>
      </c>
      <c r="N24" s="3" t="inlineStr">
        <is>
          <t>1</t>
        </is>
      </c>
      <c r="O24" s="3" t="inlineStr">
        <is>
          <t>-</t>
        </is>
      </c>
      <c r="P24" s="3" t="inlineStr">
        <is>
          <t>남청주IC접근성 좋고 대형차진출입가능 호이스트2.8톤1개 내부사무실있음</t>
        </is>
      </c>
      <c r="Q24" s="6">
        <f>HYPERLINK("https://fin.land.naver.com/articles/2652625444",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16546</v>
      </c>
      <c r="I25" s="4" t="n">
        <v>5005</v>
      </c>
      <c r="J25" s="5" t="n">
        <v>0.1</v>
      </c>
      <c r="K25" s="4" t="n">
        <v>495</v>
      </c>
      <c r="L25" s="4" t="n">
        <v>150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강내 저렴한 임대료 중앙고 9M  창고나 공장 민원소지없음</t>
        </is>
      </c>
      <c r="Q25" s="6">
        <f>HYPERLINK("https://fin.land.naver.com/articles/2652625362",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더원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65000</v>
      </c>
      <c r="G26" s="4" t="n">
        <v>0</v>
      </c>
      <c r="H26" s="4" t="n">
        <v>946</v>
      </c>
      <c r="I26" s="4" t="n">
        <v>286</v>
      </c>
      <c r="J26" s="5" t="n">
        <v>227.3</v>
      </c>
      <c r="K26" s="4" t="n">
        <v>376</v>
      </c>
      <c r="L26" s="4" t="n">
        <v>114</v>
      </c>
      <c r="M26" s="5" t="n">
        <v>570.2</v>
      </c>
      <c r="N26" s="3" t="inlineStr">
        <is>
          <t>1</t>
        </is>
      </c>
      <c r="O26" s="3" t="inlineStr">
        <is>
          <t>-</t>
        </is>
      </c>
      <c r="P26" s="3" t="inlineStr">
        <is>
          <t>소형공장매매 층고 8m 내부사무실있음 현임대중</t>
        </is>
      </c>
      <c r="Q26" s="6">
        <f>HYPERLINK("https://fin.land.naver.com/articles/2652625283",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더원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175000</v>
      </c>
      <c r="G27" s="4" t="n">
        <v>0</v>
      </c>
      <c r="H27" s="4" t="n">
        <v>3394</v>
      </c>
      <c r="I27" s="4" t="n">
        <v>1027</v>
      </c>
      <c r="J27" s="5" t="n">
        <v>170.4</v>
      </c>
      <c r="K27" s="4" t="n">
        <v>482</v>
      </c>
      <c r="L27" s="4" t="n">
        <v>146</v>
      </c>
      <c r="M27" s="5" t="n">
        <v>1198.6</v>
      </c>
      <c r="N27" s="3" t="inlineStr">
        <is>
          <t>2</t>
        </is>
      </c>
      <c r="O27" s="3" t="inlineStr">
        <is>
          <t>-</t>
        </is>
      </c>
      <c r="P27" s="3" t="inlineStr">
        <is>
          <t>세종청주로 인근 마당넓은 신축급 사옥형 공장 매매</t>
        </is>
      </c>
      <c r="Q27" s="6">
        <f>HYPERLINK("https://fin.land.naver.com/articles/2652625227",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더원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매매</t>
        </is>
      </c>
      <c r="F28" s="4" t="n">
        <v>100000</v>
      </c>
      <c r="G28" s="4" t="n">
        <v>0</v>
      </c>
      <c r="H28" s="4" t="n">
        <v>741</v>
      </c>
      <c r="I28" s="4" t="n">
        <v>224</v>
      </c>
      <c r="J28" s="5" t="n">
        <v>446.4</v>
      </c>
      <c r="K28" s="4" t="n">
        <v>260</v>
      </c>
      <c r="L28" s="4" t="n">
        <v>79</v>
      </c>
      <c r="M28" s="5" t="n">
        <v>1265.8</v>
      </c>
      <c r="N28" s="3" t="inlineStr">
        <is>
          <t>2</t>
        </is>
      </c>
      <c r="O28" s="3" t="inlineStr">
        <is>
          <t>-</t>
        </is>
      </c>
      <c r="P28" s="3" t="inlineStr">
        <is>
          <t>강내면 제2종 근린생활시설 제조업 위치 좋음</t>
        </is>
      </c>
      <c r="Q28" s="6">
        <f>HYPERLINK("https://fin.land.naver.com/articles/2650860883",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반석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</t>
        </is>
      </c>
      <c r="E29" s="3" t="inlineStr">
        <is>
          <t>월세</t>
        </is>
      </c>
      <c r="F29" s="4" t="n">
        <v>8000</v>
      </c>
      <c r="G29" s="4" t="n">
        <v>580</v>
      </c>
      <c r="H29" s="4" t="n">
        <v>2284</v>
      </c>
      <c r="I29" s="4" t="n">
        <v>691</v>
      </c>
      <c r="J29" s="5" t="n">
        <v>0.8</v>
      </c>
      <c r="K29" s="4" t="n">
        <v>729</v>
      </c>
      <c r="L29" s="4" t="n">
        <v>221</v>
      </c>
      <c r="M29" s="5" t="n">
        <v>2.6</v>
      </c>
      <c r="N29" s="3" t="inlineStr">
        <is>
          <t>1</t>
        </is>
      </c>
      <c r="O29" s="3" t="inlineStr">
        <is>
          <t>-</t>
        </is>
      </c>
      <c r="P29" s="3" t="inlineStr">
        <is>
          <t>청주ic 13분 수도권 및 전국 물류이동 우수</t>
        </is>
      </c>
      <c r="Q29" s="6">
        <f>HYPERLINK("https://fin.land.naver.com/articles/2652295291",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공장</t>
        </is>
      </c>
      <c r="E30" s="3" t="inlineStr">
        <is>
          <t>월세</t>
        </is>
      </c>
      <c r="F30" s="4" t="n">
        <v>10000</v>
      </c>
      <c r="G30" s="4" t="n">
        <v>970</v>
      </c>
      <c r="H30" s="4" t="n">
        <v>2494</v>
      </c>
      <c r="I30" s="4" t="n">
        <v>754</v>
      </c>
      <c r="J30" s="5" t="n">
        <v>1.3</v>
      </c>
      <c r="K30" s="4" t="n">
        <v>1392</v>
      </c>
      <c r="L30" s="4" t="n">
        <v>421</v>
      </c>
      <c r="M30" s="5" t="n">
        <v>2.3</v>
      </c>
      <c r="N30" s="3" t="inlineStr">
        <is>
          <t>1</t>
        </is>
      </c>
      <c r="O30" s="3" t="inlineStr">
        <is>
          <t>-</t>
        </is>
      </c>
      <c r="P30" s="3" t="inlineStr">
        <is>
          <t>청주IC인근, 대형차 진출입 등 접근성 좋은 공장, 층고 약 10m</t>
        </is>
      </c>
      <c r="Q30" s="6">
        <f>HYPERLINK("https://fin.land.naver.com/articles/2652110213",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(주)미르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1500000</v>
      </c>
      <c r="G31" s="4" t="n">
        <v>0</v>
      </c>
      <c r="H31" s="4" t="n">
        <v>9564</v>
      </c>
      <c r="I31" s="4" t="n">
        <v>2893</v>
      </c>
      <c r="J31" s="5" t="n">
        <v>518.5</v>
      </c>
      <c r="K31" s="4" t="n">
        <v>1504</v>
      </c>
      <c r="L31" s="4" t="n">
        <v>455</v>
      </c>
      <c r="M31" s="5" t="n">
        <v>3296.7</v>
      </c>
      <c r="N31" s="3" t="inlineStr">
        <is>
          <t>3</t>
        </is>
      </c>
      <c r="O31" s="3" t="inlineStr">
        <is>
          <t>-</t>
        </is>
      </c>
      <c r="P31" s="3" t="inlineStr">
        <is>
          <t>4차선대로접한공장 청주IC 오송역 세종등 교통편리한곳 상세설명참조</t>
        </is>
      </c>
      <c r="Q31" s="6">
        <f>HYPERLINK("https://fin.land.naver.com/articles/2649766687",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자이원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월세</t>
        </is>
      </c>
      <c r="F32" s="4" t="n">
        <v>4500</v>
      </c>
      <c r="G32" s="4" t="n">
        <v>450</v>
      </c>
      <c r="H32" s="4" t="n">
        <v>28197</v>
      </c>
      <c r="I32" s="4" t="n">
        <v>8530</v>
      </c>
      <c r="J32" s="5" t="n">
        <v>0.1</v>
      </c>
      <c r="K32" s="4" t="n">
        <v>578</v>
      </c>
      <c r="L32" s="4" t="n">
        <v>175</v>
      </c>
      <c r="M32" s="5" t="n">
        <v>2.6</v>
      </c>
      <c r="N32" s="3" t="inlineStr">
        <is>
          <t>1</t>
        </is>
      </c>
      <c r="O32" s="3" t="inlineStr">
        <is>
          <t>-</t>
        </is>
      </c>
      <c r="P32" s="3" t="inlineStr">
        <is>
          <t>대형트레일러 진출입 가능한 공장으로 창고로 사용가능</t>
        </is>
      </c>
      <c r="Q32" s="6">
        <f>HYPERLINK("https://fin.land.naver.com/articles/2649682853",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더원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매매</t>
        </is>
      </c>
      <c r="F33" s="4" t="n">
        <v>570000</v>
      </c>
      <c r="G33" s="4" t="n">
        <v>0</v>
      </c>
      <c r="H33" s="4" t="n">
        <v>8027</v>
      </c>
      <c r="I33" s="4" t="n">
        <v>2428</v>
      </c>
      <c r="J33" s="5" t="n">
        <v>234.8</v>
      </c>
      <c r="K33" s="4" t="n">
        <v>3206</v>
      </c>
      <c r="L33" s="4" t="n">
        <v>970</v>
      </c>
      <c r="M33" s="5" t="n">
        <v>587.6</v>
      </c>
      <c r="N33" s="3" t="inlineStr">
        <is>
          <t>1</t>
        </is>
      </c>
      <c r="O33" s="3" t="inlineStr">
        <is>
          <t>-</t>
        </is>
      </c>
      <c r="P33" s="3" t="inlineStr">
        <is>
          <t>2차선 접한 컨디션 좋은 공장입니다</t>
        </is>
      </c>
      <c r="Q33" s="6">
        <f>HYPERLINK("https://fin.land.naver.com/articles/2649903449",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복댕이무소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창고</t>
        </is>
      </c>
      <c r="E34" s="3" t="inlineStr">
        <is>
          <t>월세</t>
        </is>
      </c>
      <c r="F34" s="4" t="n">
        <v>2000</v>
      </c>
      <c r="G34" s="4" t="n">
        <v>130</v>
      </c>
      <c r="H34" s="4" t="n">
        <v>1435</v>
      </c>
      <c r="I34" s="4" t="n">
        <v>434</v>
      </c>
      <c r="J34" s="5" t="n">
        <v>0.3</v>
      </c>
      <c r="K34" s="4" t="n">
        <v>500</v>
      </c>
      <c r="L34" s="4" t="n">
        <v>151</v>
      </c>
      <c r="M34" s="5" t="n">
        <v>0.9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HYPERLINK("https://fin.land.naver.com/articles/2649783398",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방서비타민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월세</t>
        </is>
      </c>
      <c r="F35" s="4" t="n">
        <v>23000</v>
      </c>
      <c r="G35" s="4" t="n">
        <v>2300</v>
      </c>
      <c r="H35" s="4" t="n">
        <v>8383</v>
      </c>
      <c r="I35" s="4" t="n">
        <v>2536</v>
      </c>
      <c r="J35" s="5" t="n">
        <v>0.9</v>
      </c>
      <c r="K35" s="4" t="n">
        <v>3333</v>
      </c>
      <c r="L35" s="4" t="n">
        <v>1008</v>
      </c>
      <c r="M35" s="5" t="n">
        <v>2.3</v>
      </c>
      <c r="N35" s="3" t="inlineStr">
        <is>
          <t>1</t>
        </is>
      </c>
      <c r="O35" s="3" t="inlineStr">
        <is>
          <t>-</t>
        </is>
      </c>
      <c r="P35" s="3" t="inlineStr">
        <is>
          <t>마당넓고 진출입 편리한 2차선 접한 공장입니다</t>
        </is>
      </c>
      <c r="Q35" s="6">
        <f>HYPERLINK("https://fin.land.naver.com/articles/2649722756",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복댕이무소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공장</t>
        </is>
      </c>
      <c r="E36" s="3" t="inlineStr">
        <is>
          <t>매매</t>
        </is>
      </c>
      <c r="F36" s="4" t="n">
        <v>400000</v>
      </c>
      <c r="G36" s="4" t="n">
        <v>0</v>
      </c>
      <c r="H36" s="4" t="n">
        <v>5994</v>
      </c>
      <c r="I36" s="4" t="n">
        <v>1813</v>
      </c>
      <c r="J36" s="5" t="n">
        <v>220.6</v>
      </c>
      <c r="K36" s="4" t="n">
        <v>2390</v>
      </c>
      <c r="L36" s="4" t="n">
        <v>723</v>
      </c>
      <c r="M36" s="5" t="n">
        <v>553.3</v>
      </c>
      <c r="N36" s="3" t="inlineStr">
        <is>
          <t>1</t>
        </is>
      </c>
      <c r="O36" s="3" t="inlineStr">
        <is>
          <t>-</t>
        </is>
      </c>
      <c r="P36" s="3" t="inlineStr">
        <is>
          <t>nan</t>
        </is>
      </c>
      <c r="Q36" s="6">
        <f>HYPERLINK("https://fin.land.naver.com/articles/2648558691",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정세영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창고</t>
        </is>
      </c>
      <c r="E37" s="3" t="inlineStr">
        <is>
          <t>월세</t>
        </is>
      </c>
      <c r="F37" s="4" t="n">
        <v>2000</v>
      </c>
      <c r="G37" s="4" t="n">
        <v>150</v>
      </c>
      <c r="H37" s="4" t="n">
        <v>998</v>
      </c>
      <c r="I37" s="4" t="n">
        <v>302</v>
      </c>
      <c r="J37" s="5" t="n">
        <v>0.5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소형 창고 임대 즉시 입주가능</t>
        </is>
      </c>
      <c r="Q37" s="6">
        <f>HYPERLINK("https://fin.land.naver.com/articles/2649680102",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더원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230000</v>
      </c>
      <c r="G38" s="4" t="n">
        <v>0</v>
      </c>
      <c r="H38" s="4" t="n">
        <v>3500</v>
      </c>
      <c r="I38" s="4" t="n">
        <v>1059</v>
      </c>
      <c r="J38" s="5" t="n">
        <v>217.2</v>
      </c>
      <c r="K38" s="4" t="n">
        <v>1392</v>
      </c>
      <c r="L38" s="4" t="n">
        <v>421</v>
      </c>
      <c r="M38" s="5" t="n">
        <v>546.3</v>
      </c>
      <c r="N38" s="3" t="inlineStr">
        <is>
          <t>1</t>
        </is>
      </c>
      <c r="O38" s="3" t="inlineStr">
        <is>
          <t>-</t>
        </is>
      </c>
      <c r="P38" s="3" t="inlineStr">
        <is>
          <t>마당넓어 야적하시기 좋은 층고높은 공장. 물류창고</t>
        </is>
      </c>
      <c r="Q38" s="6">
        <f>HYPERLINK("https://fin.land.naver.com/articles/2649677944",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더원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월세</t>
        </is>
      </c>
      <c r="F39" s="4" t="n">
        <v>14000</v>
      </c>
      <c r="G39" s="4" t="n">
        <v>1390</v>
      </c>
      <c r="H39" s="4" t="n">
        <v>4200</v>
      </c>
      <c r="I39" s="4" t="n">
        <v>1270</v>
      </c>
      <c r="J39" s="5" t="n">
        <v>1.1</v>
      </c>
      <c r="K39" s="4" t="n">
        <v>1996</v>
      </c>
      <c r="L39" s="4" t="n">
        <v>604</v>
      </c>
      <c r="M39" s="5" t="n">
        <v>2.3</v>
      </c>
      <c r="N39" s="3" t="inlineStr">
        <is>
          <t>1</t>
        </is>
      </c>
      <c r="O39" s="3" t="inlineStr">
        <is>
          <t>-</t>
        </is>
      </c>
      <c r="P39" s="3" t="inlineStr">
        <is>
          <t>2차선도로 대형차 진출입 가능한 대형 공장이나 물류창고 가능</t>
        </is>
      </c>
      <c r="Q39" s="6">
        <f>HYPERLINK("https://fin.land.naver.com/articles/2649657835",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매매</t>
        </is>
      </c>
      <c r="F40" s="4" t="n">
        <v>280000</v>
      </c>
      <c r="G40" s="4" t="n">
        <v>0</v>
      </c>
      <c r="H40" s="4" t="n">
        <v>5013</v>
      </c>
      <c r="I40" s="4" t="n">
        <v>1516</v>
      </c>
      <c r="J40" s="5" t="n">
        <v>184.7</v>
      </c>
      <c r="K40" s="4" t="n">
        <v>1535</v>
      </c>
      <c r="L40" s="4" t="n">
        <v>464</v>
      </c>
      <c r="M40" s="5" t="n">
        <v>603.4</v>
      </c>
      <c r="N40" s="3" t="inlineStr">
        <is>
          <t>1</t>
        </is>
      </c>
      <c r="O40" s="3" t="inlineStr">
        <is>
          <t>-</t>
        </is>
      </c>
      <c r="P40" s="3" t="inlineStr">
        <is>
          <t>청주i,c 10분 오송ktx 10분 공장동 사무동기숙사,식당 등</t>
        </is>
      </c>
      <c r="Q40" s="6">
        <f>HYPERLINK("https://fin.land.naver.com/articles/2648970935",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공장365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매매</t>
        </is>
      </c>
      <c r="F41" s="4" t="n">
        <v>410000</v>
      </c>
      <c r="G41" s="4" t="n">
        <v>0</v>
      </c>
      <c r="H41" s="4" t="n">
        <v>5466</v>
      </c>
      <c r="I41" s="4" t="n">
        <v>1653</v>
      </c>
      <c r="J41" s="5" t="n">
        <v>248</v>
      </c>
      <c r="K41" s="4" t="n">
        <v>2176</v>
      </c>
      <c r="L41" s="4" t="n">
        <v>658</v>
      </c>
      <c r="M41" s="5" t="n">
        <v>623.1</v>
      </c>
      <c r="N41" s="3" t="inlineStr">
        <is>
          <t>1</t>
        </is>
      </c>
      <c r="O41" s="3" t="inlineStr">
        <is>
          <t>-</t>
        </is>
      </c>
      <c r="P41" s="3" t="inlineStr">
        <is>
          <t>2차선도로 접  마당넓은 공장으로 대형차 진출입원활 입주협의</t>
        </is>
      </c>
      <c r="Q41" s="6">
        <f>HYPERLINK("https://fin.land.naver.com/articles/2649678620",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더원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매매</t>
        </is>
      </c>
      <c r="F42" s="4" t="n">
        <v>365000</v>
      </c>
      <c r="G42" s="4" t="n">
        <v>0</v>
      </c>
      <c r="H42" s="4" t="n">
        <v>4704</v>
      </c>
      <c r="I42" s="4" t="n">
        <v>1423</v>
      </c>
      <c r="J42" s="5" t="n">
        <v>256.5</v>
      </c>
      <c r="K42" s="4" t="n">
        <v>1431</v>
      </c>
      <c r="L42" s="4" t="n">
        <v>433</v>
      </c>
      <c r="M42" s="5" t="n">
        <v>843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HYPERLINK("https://fin.land.naver.com/articles/2652400694",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오송랜드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1501</v>
      </c>
      <c r="I43" s="4" t="n">
        <v>454</v>
      </c>
      <c r="J43" s="5" t="n">
        <v>0.4</v>
      </c>
      <c r="K43" s="4" t="n">
        <v>365</v>
      </c>
      <c r="L43" s="4" t="n">
        <v>110</v>
      </c>
      <c r="M43" s="5" t="n">
        <v>1.8</v>
      </c>
      <c r="N43" s="3" t="inlineStr">
        <is>
          <t>2</t>
        </is>
      </c>
      <c r="O43" s="3" t="inlineStr">
        <is>
          <t>-</t>
        </is>
      </c>
      <c r="P43" s="3" t="inlineStr">
        <is>
          <t>신축건물 층고10.7미터 2층사무실 소형물류창고 공장추천</t>
        </is>
      </c>
      <c r="Q43" s="6">
        <f>HYPERLINK("https://fin.land.naver.com/articles/2647919860",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세종연동탑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공장</t>
        </is>
      </c>
      <c r="E44" s="3" t="inlineStr">
        <is>
          <t>매매</t>
        </is>
      </c>
      <c r="F44" s="4" t="n">
        <v>695000</v>
      </c>
      <c r="G44" s="4" t="n">
        <v>0</v>
      </c>
      <c r="H44" s="4" t="n">
        <v>9194</v>
      </c>
      <c r="I44" s="4" t="n">
        <v>2781</v>
      </c>
      <c r="J44" s="5" t="n">
        <v>249.9</v>
      </c>
      <c r="K44" s="4" t="n">
        <v>2066</v>
      </c>
      <c r="L44" s="4" t="n">
        <v>625</v>
      </c>
      <c r="M44" s="5" t="n">
        <v>1112</v>
      </c>
      <c r="N44" s="3" t="inlineStr">
        <is>
          <t>2</t>
        </is>
      </c>
      <c r="O44" s="3" t="inlineStr">
        <is>
          <t>-</t>
        </is>
      </c>
      <c r="P44" s="3" t="inlineStr">
        <is>
          <t>강내 하이테크밸리인접한 위치의 공장매매</t>
        </is>
      </c>
      <c r="Q44" s="6">
        <f>HYPERLINK("https://fin.land.naver.com/articles/2648089936",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더원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월세</t>
        </is>
      </c>
      <c r="F45" s="4" t="n">
        <v>4000</v>
      </c>
      <c r="G45" s="4" t="n">
        <v>380</v>
      </c>
      <c r="H45" s="4" t="n">
        <v>1445</v>
      </c>
      <c r="I45" s="4" t="n">
        <v>437</v>
      </c>
      <c r="J45" s="5" t="n">
        <v>0.9</v>
      </c>
      <c r="K45" s="4" t="n">
        <v>499</v>
      </c>
      <c r="L45" s="4" t="n">
        <v>151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청주ic 남청주ic 15분 2차선접 대형차진출입원활 공장등록가능</t>
        </is>
      </c>
      <c r="Q45" s="6">
        <f>HYPERLINK("https://fin.land.naver.com/articles/2648090009",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더원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월세</t>
        </is>
      </c>
      <c r="F46" s="4" t="n">
        <v>5000</v>
      </c>
      <c r="G46" s="4" t="n">
        <v>800</v>
      </c>
      <c r="H46" s="4" t="n">
        <v>5013</v>
      </c>
      <c r="I46" s="4" t="n">
        <v>1516</v>
      </c>
      <c r="J46" s="5" t="n">
        <v>0.5</v>
      </c>
      <c r="K46" s="4" t="n">
        <v>1535</v>
      </c>
      <c r="L46" s="4" t="n">
        <v>464</v>
      </c>
      <c r="M46" s="5" t="n">
        <v>1.7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마당넓은 단독공장 임대 사무실 기숙사 있음</t>
        </is>
      </c>
      <c r="Q46" s="6">
        <f>HYPERLINK("https://fin.land.naver.com/articles/2648089929",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더원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남이면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공장</t>
        </is>
      </c>
      <c r="E47" s="3" t="inlineStr">
        <is>
          <t>매매</t>
        </is>
      </c>
      <c r="F47" s="4" t="n">
        <v>130000</v>
      </c>
      <c r="G47" s="4" t="n">
        <v>0</v>
      </c>
      <c r="H47" s="4" t="n">
        <v>1283</v>
      </c>
      <c r="I47" s="4" t="n">
        <v>388</v>
      </c>
      <c r="J47" s="5" t="n">
        <v>335.1</v>
      </c>
      <c r="K47" s="4" t="n">
        <v>747</v>
      </c>
      <c r="L47" s="4" t="n">
        <v>226</v>
      </c>
      <c r="M47" s="5" t="n">
        <v>575.2</v>
      </c>
      <c r="N47" s="3" t="inlineStr">
        <is>
          <t>3</t>
        </is>
      </c>
      <c r="O47" s="3" t="inlineStr">
        <is>
          <t>-</t>
        </is>
      </c>
      <c r="P47" s="3" t="inlineStr">
        <is>
          <t>2차선도로변 남청주ic 및 강서하이패스ic 접근성 좋은 위치의 공장</t>
        </is>
      </c>
      <c r="Q47" s="6">
        <f>HYPERLINK("https://fin.land.naver.com/articles/2649015887", "매물Link")</f>
        <v/>
      </c>
      <c r="R47" t="inlineStr">
        <is>
          <t>정보 없음</t>
        </is>
      </c>
      <c r="S47" t="inlineStr">
        <is>
          <t>정보 없음</t>
        </is>
      </c>
      <c r="T47" s="3" t="inlineStr">
        <is>
          <t>더원</t>
        </is>
      </c>
      <c r="U47" s="4" t="n">
        <v>1</v>
      </c>
      <c r="V47" s="5" t="n">
        <v>0</v>
      </c>
      <c r="W47" s="3" t="inlineStr"/>
      <c r="X47" s="3" t="inlineStr">
        <is>
          <t>정보 없음</t>
        </is>
      </c>
      <c r="Y47" s="7" t="inlineStr">
        <is>
          <t>정보 없음</t>
        </is>
      </c>
      <c r="Z47" s="3" t="inlineStr">
        <is>
          <t>정보 없음</t>
        </is>
      </c>
      <c r="AA47" s="3" t="inlineStr">
        <is>
          <t>정보 없음</t>
        </is>
      </c>
      <c r="AB47" s="3" t="inlineStr">
        <is>
          <t>정보 없음</t>
        </is>
      </c>
      <c r="AC47" s="3" t="inlineStr">
        <is>
          <t>정보 없음</t>
        </is>
      </c>
      <c r="AD47" s="3" t="inlineStr">
        <is>
          <t>정보 없음</t>
        </is>
      </c>
    </row>
    <row r="48">
      <c r="A48" s="3" t="inlineStr">
        <is>
          <t>남이면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공장</t>
        </is>
      </c>
      <c r="E48" s="3" t="inlineStr">
        <is>
          <t>매매</t>
        </is>
      </c>
      <c r="F48" s="4" t="n">
        <v>250000</v>
      </c>
      <c r="G48" s="4" t="n">
        <v>0</v>
      </c>
      <c r="H48" s="4" t="n">
        <v>5147</v>
      </c>
      <c r="I48" s="4" t="n">
        <v>1557</v>
      </c>
      <c r="J48" s="5" t="n">
        <v>160.6</v>
      </c>
      <c r="K48" s="4" t="n">
        <v>1239</v>
      </c>
      <c r="L48" s="4" t="n">
        <v>375</v>
      </c>
      <c r="M48" s="5" t="n">
        <v>666.7</v>
      </c>
      <c r="N48" s="3" t="inlineStr">
        <is>
          <t>1</t>
        </is>
      </c>
      <c r="O48" s="3" t="inlineStr">
        <is>
          <t>-</t>
        </is>
      </c>
      <c r="P48" s="3" t="inlineStr">
        <is>
          <t>2차선도로접 대형차 진출입 가능 야적면적 넓음</t>
        </is>
      </c>
      <c r="Q48" s="6">
        <f>HYPERLINK("https://fin.land.naver.com/articles/2649015321", "매물Link")</f>
        <v/>
      </c>
      <c r="R48" t="inlineStr">
        <is>
          <t>정보 없음</t>
        </is>
      </c>
      <c r="S48" t="inlineStr">
        <is>
          <t>정보 없음</t>
        </is>
      </c>
      <c r="T48" s="3" t="inlineStr">
        <is>
          <t>더원</t>
        </is>
      </c>
      <c r="U48" s="4" t="n">
        <v>1</v>
      </c>
      <c r="V48" s="5" t="n">
        <v>0</v>
      </c>
      <c r="W48" s="3" t="inlineStr"/>
      <c r="X48" s="3" t="inlineStr">
        <is>
          <t>정보 없음</t>
        </is>
      </c>
      <c r="Y48" s="7" t="inlineStr">
        <is>
          <t>정보 없음</t>
        </is>
      </c>
      <c r="Z48" s="3" t="inlineStr">
        <is>
          <t>정보 없음</t>
        </is>
      </c>
      <c r="AA48" s="3" t="inlineStr">
        <is>
          <t>정보 없음</t>
        </is>
      </c>
      <c r="AB48" s="3" t="inlineStr">
        <is>
          <t>정보 없음</t>
        </is>
      </c>
      <c r="AC48" s="3" t="inlineStr">
        <is>
          <t>정보 없음</t>
        </is>
      </c>
      <c r="AD48" s="3" t="inlineStr">
        <is>
          <t>정보 없음</t>
        </is>
      </c>
    </row>
    <row r="49">
      <c r="A49" s="3" t="inlineStr">
        <is>
          <t>남이면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공장</t>
        </is>
      </c>
      <c r="E49" s="3" t="inlineStr">
        <is>
          <t>매매</t>
        </is>
      </c>
      <c r="F49" s="4" t="n">
        <v>300000</v>
      </c>
      <c r="G49" s="4" t="n">
        <v>0</v>
      </c>
      <c r="H49" s="4" t="n">
        <v>5120</v>
      </c>
      <c r="I49" s="4" t="n">
        <v>1549</v>
      </c>
      <c r="J49" s="5" t="n">
        <v>193.7</v>
      </c>
      <c r="K49" s="4" t="n">
        <v>2124</v>
      </c>
      <c r="L49" s="4" t="n">
        <v>643</v>
      </c>
      <c r="M49" s="5" t="n">
        <v>466.6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남청주IC와 가까워 대형차 진출입이 편리하며 접근성이 좋은 공장</t>
        </is>
      </c>
      <c r="Q49" s="6">
        <f>HYPERLINK("https://fin.land.naver.com/articles/2648354710", "매물Link")</f>
        <v/>
      </c>
      <c r="R49" t="inlineStr">
        <is>
          <t>정보 없음</t>
        </is>
      </c>
      <c r="S49" t="inlineStr">
        <is>
          <t>정보 없음</t>
        </is>
      </c>
      <c r="T49" s="3" t="inlineStr">
        <is>
          <t>(주)미르</t>
        </is>
      </c>
      <c r="U49" s="4" t="n">
        <v>1</v>
      </c>
      <c r="V49" s="5" t="n">
        <v>0</v>
      </c>
      <c r="W49" s="3" t="inlineStr"/>
      <c r="X49" s="3" t="inlineStr">
        <is>
          <t>정보 없음</t>
        </is>
      </c>
      <c r="Y49" s="7" t="inlineStr">
        <is>
          <t>정보 없음</t>
        </is>
      </c>
      <c r="Z49" s="3" t="inlineStr">
        <is>
          <t>정보 없음</t>
        </is>
      </c>
      <c r="AA49" s="3" t="inlineStr">
        <is>
          <t>정보 없음</t>
        </is>
      </c>
      <c r="AB49" s="3" t="inlineStr">
        <is>
          <t>정보 없음</t>
        </is>
      </c>
      <c r="AC49" s="3" t="inlineStr">
        <is>
          <t>정보 없음</t>
        </is>
      </c>
      <c r="AD49" s="3" t="inlineStr">
        <is>
          <t>정보 없음</t>
        </is>
      </c>
    </row>
    <row r="50">
      <c r="A50" s="3" t="inlineStr">
        <is>
          <t>남이면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창고</t>
        </is>
      </c>
      <c r="E50" s="3" t="inlineStr">
        <is>
          <t>매매</t>
        </is>
      </c>
      <c r="F50" s="4" t="n">
        <v>165000</v>
      </c>
      <c r="G50" s="4" t="n">
        <v>0</v>
      </c>
      <c r="H50" s="4" t="n">
        <v>3214</v>
      </c>
      <c r="I50" s="4" t="n">
        <v>972</v>
      </c>
      <c r="J50" s="5" t="n">
        <v>169.8</v>
      </c>
      <c r="K50" s="4" t="n">
        <v>640</v>
      </c>
      <c r="L50" s="4" t="n">
        <v>194</v>
      </c>
      <c r="M50" s="5" t="n">
        <v>850.5</v>
      </c>
      <c r="N50" s="3" t="inlineStr">
        <is>
          <t>1</t>
        </is>
      </c>
      <c r="O50" s="3" t="inlineStr">
        <is>
          <t>-</t>
        </is>
      </c>
      <c r="P50" s="3" t="inlineStr">
        <is>
          <t>청주시 서원구 창고매매 2023년 사용승인된 신축 창고</t>
        </is>
      </c>
      <c r="Q50" s="6">
        <f>HYPERLINK("https://fin.land.naver.com/articles/2649099391", "매물Link")</f>
        <v/>
      </c>
      <c r="R50" t="inlineStr">
        <is>
          <t>정보 없음</t>
        </is>
      </c>
      <c r="S50" t="inlineStr">
        <is>
          <t>정보 없음</t>
        </is>
      </c>
      <c r="T50" s="3" t="inlineStr">
        <is>
          <t>왕중왕기업</t>
        </is>
      </c>
      <c r="U50" s="4" t="n">
        <v>1</v>
      </c>
      <c r="V50" s="5" t="n">
        <v>0</v>
      </c>
      <c r="W50" s="3" t="inlineStr"/>
      <c r="X50" s="3" t="inlineStr">
        <is>
          <t>정보 없음</t>
        </is>
      </c>
      <c r="Y50" s="7" t="inlineStr">
        <is>
          <t>정보 없음</t>
        </is>
      </c>
      <c r="Z50" s="3" t="inlineStr">
        <is>
          <t>정보 없음</t>
        </is>
      </c>
      <c r="AA50" s="3" t="inlineStr">
        <is>
          <t>정보 없음</t>
        </is>
      </c>
      <c r="AB50" s="3" t="inlineStr">
        <is>
          <t>정보 없음</t>
        </is>
      </c>
      <c r="AC50" s="3" t="inlineStr">
        <is>
          <t>정보 없음</t>
        </is>
      </c>
      <c r="AD50" s="3" t="inlineStr">
        <is>
          <t>정보 없음</t>
        </is>
      </c>
    </row>
    <row r="51">
      <c r="A51" s="3" t="inlineStr">
        <is>
          <t>남이면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300</v>
      </c>
      <c r="H51" s="4" t="n">
        <v>3684</v>
      </c>
      <c r="I51" s="4" t="n">
        <v>1114</v>
      </c>
      <c r="J51" s="5" t="n">
        <v>0.3</v>
      </c>
      <c r="K51" s="4" t="n">
        <v>406</v>
      </c>
      <c r="L51" s="4" t="n">
        <v>123</v>
      </c>
      <c r="M51" s="5" t="n">
        <v>2.4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HYPERLINK("https://fin.land.naver.com/articles/2653321704", "매물Link")</f>
        <v/>
      </c>
      <c r="R51" t="inlineStr">
        <is>
          <t>정보 없음</t>
        </is>
      </c>
      <c r="S51" t="inlineStr">
        <is>
          <t>정보 없음</t>
        </is>
      </c>
      <c r="T51" s="3" t="inlineStr">
        <is>
          <t>좋은만남</t>
        </is>
      </c>
      <c r="U51" s="4" t="n">
        <v>1</v>
      </c>
      <c r="V51" s="5" t="n">
        <v>0</v>
      </c>
      <c r="W51" s="3" t="inlineStr"/>
      <c r="X51" s="3" t="inlineStr">
        <is>
          <t>정보 없음</t>
        </is>
      </c>
      <c r="Y51" s="7" t="inlineStr">
        <is>
          <t>정보 없음</t>
        </is>
      </c>
      <c r="Z51" s="3" t="inlineStr">
        <is>
          <t>정보 없음</t>
        </is>
      </c>
      <c r="AA51" s="3" t="inlineStr">
        <is>
          <t>정보 없음</t>
        </is>
      </c>
      <c r="AB51" s="3" t="inlineStr">
        <is>
          <t>정보 없음</t>
        </is>
      </c>
      <c r="AC51" s="3" t="inlineStr">
        <is>
          <t>정보 없음</t>
        </is>
      </c>
      <c r="AD51" s="3" t="inlineStr">
        <is>
          <t>정보 없음</t>
        </is>
      </c>
    </row>
    <row r="52">
      <c r="A52" s="3" t="inlineStr">
        <is>
          <t>남이면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창고</t>
        </is>
      </c>
      <c r="E52" s="3" t="inlineStr">
        <is>
          <t>매매</t>
        </is>
      </c>
      <c r="F52" s="4" t="n">
        <v>3400000</v>
      </c>
      <c r="G52" s="4" t="n">
        <v>0</v>
      </c>
      <c r="H52" s="4" t="n">
        <v>45651</v>
      </c>
      <c r="I52" s="4" t="n">
        <v>13809</v>
      </c>
      <c r="J52" s="5" t="n">
        <v>246.2</v>
      </c>
      <c r="K52" s="4" t="n">
        <v>20806</v>
      </c>
      <c r="L52" s="4" t="n">
        <v>6294</v>
      </c>
      <c r="M52" s="5" t="n">
        <v>540.2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남청주IC에서 가까워대형차 진출입이 편리한곳,대형 물류창고,층고14m</t>
        </is>
      </c>
      <c r="Q52" s="6">
        <f>HYPERLINK("https://fin.land.naver.com/articles/2648734082", "매물Link")</f>
        <v/>
      </c>
      <c r="R52" t="inlineStr">
        <is>
          <t>정보 없음</t>
        </is>
      </c>
      <c r="S52" t="inlineStr">
        <is>
          <t>정보 없음</t>
        </is>
      </c>
      <c r="T52" s="3" t="inlineStr">
        <is>
          <t>(주)미르</t>
        </is>
      </c>
      <c r="U52" s="4" t="n">
        <v>1</v>
      </c>
      <c r="V52" s="5" t="n">
        <v>0</v>
      </c>
      <c r="W52" s="3" t="inlineStr"/>
      <c r="X52" s="3" t="inlineStr">
        <is>
          <t>정보 없음</t>
        </is>
      </c>
      <c r="Y52" s="7" t="inlineStr">
        <is>
          <t>정보 없음</t>
        </is>
      </c>
      <c r="Z52" s="3" t="inlineStr">
        <is>
          <t>정보 없음</t>
        </is>
      </c>
      <c r="AA52" s="3" t="inlineStr">
        <is>
          <t>정보 없음</t>
        </is>
      </c>
      <c r="AB52" s="3" t="inlineStr">
        <is>
          <t>정보 없음</t>
        </is>
      </c>
      <c r="AC52" s="3" t="inlineStr">
        <is>
          <t>정보 없음</t>
        </is>
      </c>
      <c r="AD52" s="3" t="inlineStr">
        <is>
          <t>정보 없음</t>
        </is>
      </c>
    </row>
    <row r="53">
      <c r="A53" s="3" t="inlineStr">
        <is>
          <t>남이면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공장</t>
        </is>
      </c>
      <c r="E53" s="3" t="inlineStr">
        <is>
          <t>월세</t>
        </is>
      </c>
      <c r="F53" s="4" t="n">
        <v>6000</v>
      </c>
      <c r="G53" s="4" t="n">
        <v>600</v>
      </c>
      <c r="H53" s="4" t="n">
        <v>5000</v>
      </c>
      <c r="I53" s="4" t="n">
        <v>1512</v>
      </c>
      <c r="J53" s="5" t="n">
        <v>0.4</v>
      </c>
      <c r="K53" s="4" t="n">
        <v>996</v>
      </c>
      <c r="L53" s="4" t="n">
        <v>301</v>
      </c>
      <c r="M53" s="5" t="n">
        <v>2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HYPERLINK("https://fin.land.naver.com/articles/2649100064", "매물Link")</f>
        <v/>
      </c>
      <c r="R53" t="inlineStr">
        <is>
          <t>정보 없음</t>
        </is>
      </c>
      <c r="S53" t="inlineStr">
        <is>
          <t>정보 없음</t>
        </is>
      </c>
      <c r="T53" s="3" t="inlineStr">
        <is>
          <t>왕중왕기업</t>
        </is>
      </c>
      <c r="U53" s="4" t="n">
        <v>1</v>
      </c>
      <c r="V53" s="5" t="n">
        <v>0</v>
      </c>
      <c r="W53" s="3" t="inlineStr"/>
      <c r="X53" s="3" t="inlineStr">
        <is>
          <t>정보 없음</t>
        </is>
      </c>
      <c r="Y53" s="7" t="inlineStr">
        <is>
          <t>정보 없음</t>
        </is>
      </c>
      <c r="Z53" s="3" t="inlineStr">
        <is>
          <t>정보 없음</t>
        </is>
      </c>
      <c r="AA53" s="3" t="inlineStr">
        <is>
          <t>정보 없음</t>
        </is>
      </c>
      <c r="AB53" s="3" t="inlineStr">
        <is>
          <t>정보 없음</t>
        </is>
      </c>
      <c r="AC53" s="3" t="inlineStr">
        <is>
          <t>정보 없음</t>
        </is>
      </c>
      <c r="AD53" s="3" t="inlineStr">
        <is>
          <t>정보 없음</t>
        </is>
      </c>
    </row>
    <row r="54">
      <c r="A54" s="3" t="inlineStr">
        <is>
          <t>남이면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160</v>
      </c>
      <c r="H54" s="4" t="n">
        <v>8339</v>
      </c>
      <c r="I54" s="4" t="n">
        <v>2523</v>
      </c>
      <c r="J54" s="5" t="n">
        <v>0.1</v>
      </c>
      <c r="K54" s="4" t="n">
        <v>265</v>
      </c>
      <c r="L54" s="4" t="n">
        <v>80</v>
      </c>
      <c r="M54" s="5" t="n">
        <v>2</v>
      </c>
      <c r="N54" s="3" t="inlineStr">
        <is>
          <t>2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HYPERLINK("https://fin.land.naver.com/articles/2650613534", "매물Link")</f>
        <v/>
      </c>
      <c r="R54" t="inlineStr">
        <is>
          <t>정보 없음</t>
        </is>
      </c>
      <c r="S54" t="inlineStr">
        <is>
          <t>정보 없음</t>
        </is>
      </c>
      <c r="T54" s="3" t="inlineStr">
        <is>
          <t>왕중왕기업</t>
        </is>
      </c>
      <c r="U54" s="4" t="n">
        <v>1</v>
      </c>
      <c r="V54" s="5" t="n">
        <v>0</v>
      </c>
      <c r="W54" s="3" t="inlineStr"/>
      <c r="X54" s="3" t="inlineStr">
        <is>
          <t>정보 없음</t>
        </is>
      </c>
      <c r="Y54" s="7" t="inlineStr">
        <is>
          <t>정보 없음</t>
        </is>
      </c>
      <c r="Z54" s="3" t="inlineStr">
        <is>
          <t>정보 없음</t>
        </is>
      </c>
      <c r="AA54" s="3" t="inlineStr">
        <is>
          <t>정보 없음</t>
        </is>
      </c>
      <c r="AB54" s="3" t="inlineStr">
        <is>
          <t>정보 없음</t>
        </is>
      </c>
      <c r="AC54" s="3" t="inlineStr">
        <is>
          <t>정보 없음</t>
        </is>
      </c>
      <c r="AD54" s="3" t="inlineStr">
        <is>
          <t>정보 없음</t>
        </is>
      </c>
    </row>
    <row r="55">
      <c r="A55" s="3" t="inlineStr">
        <is>
          <t>남이면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2</v>
      </c>
      <c r="I55" s="4" t="n">
        <v>1</v>
      </c>
      <c r="J55" s="5" t="n">
        <v>300</v>
      </c>
      <c r="K55" s="4" t="n">
        <v>295</v>
      </c>
      <c r="L55" s="4" t="n">
        <v>89</v>
      </c>
      <c r="M55" s="5" t="n">
        <v>3.4</v>
      </c>
      <c r="N55" s="3" t="inlineStr">
        <is>
          <t>1</t>
        </is>
      </c>
      <c r="O55" s="3" t="inlineStr">
        <is>
          <t>-</t>
        </is>
      </c>
      <c r="P55" s="3" t="inlineStr">
        <is>
          <t>진입 원할하고 도로 접합 신축 창고 임대</t>
        </is>
      </c>
      <c r="Q55" s="6">
        <f>HYPERLINK("https://fin.land.naver.com/articles/2649240940", "매물Link")</f>
        <v/>
      </c>
      <c r="R55" t="inlineStr">
        <is>
          <t>정보 없음</t>
        </is>
      </c>
      <c r="S55" t="inlineStr">
        <is>
          <t>정보 없음</t>
        </is>
      </c>
      <c r="T55" s="3" t="inlineStr">
        <is>
          <t>한방</t>
        </is>
      </c>
      <c r="U55" s="4" t="n">
        <v>1</v>
      </c>
      <c r="V55" s="5" t="n">
        <v>0</v>
      </c>
      <c r="W55" s="3" t="inlineStr"/>
      <c r="X55" s="3" t="inlineStr">
        <is>
          <t>정보 없음</t>
        </is>
      </c>
      <c r="Y55" s="7" t="inlineStr">
        <is>
          <t>정보 없음</t>
        </is>
      </c>
      <c r="Z55" s="3" t="inlineStr">
        <is>
          <t>정보 없음</t>
        </is>
      </c>
      <c r="AA55" s="3" t="inlineStr">
        <is>
          <t>정보 없음</t>
        </is>
      </c>
      <c r="AB55" s="3" t="inlineStr">
        <is>
          <t>정보 없음</t>
        </is>
      </c>
      <c r="AC55" s="3" t="inlineStr">
        <is>
          <t>정보 없음</t>
        </is>
      </c>
      <c r="AD55" s="3" t="inlineStr">
        <is>
          <t>정보 없음</t>
        </is>
      </c>
    </row>
    <row r="56">
      <c r="A56" s="3" t="inlineStr">
        <is>
          <t>남이면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창고</t>
        </is>
      </c>
      <c r="E56" s="3" t="inlineStr">
        <is>
          <t>매매</t>
        </is>
      </c>
      <c r="F56" s="4" t="n">
        <v>4300000</v>
      </c>
      <c r="G56" s="4" t="n">
        <v>0</v>
      </c>
      <c r="H56" s="4" t="n">
        <v>64943</v>
      </c>
      <c r="I56" s="4" t="n">
        <v>19645</v>
      </c>
      <c r="J56" s="5" t="n">
        <v>218.9</v>
      </c>
      <c r="K56" s="4" t="n">
        <v>21249</v>
      </c>
      <c r="L56" s="4" t="n">
        <v>6428</v>
      </c>
      <c r="M56" s="5" t="n">
        <v>668.9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진출입이 편리한 남청주IC와도 가까운 대형 물류창고</t>
        </is>
      </c>
      <c r="Q56" s="6">
        <f>HYPERLINK("https://fin.land.naver.com/articles/2649989570", "매물Link")</f>
        <v/>
      </c>
      <c r="R56" t="inlineStr">
        <is>
          <t>정보 없음</t>
        </is>
      </c>
      <c r="S56" t="inlineStr">
        <is>
          <t>정보 없음</t>
        </is>
      </c>
      <c r="T56" s="3" t="inlineStr">
        <is>
          <t>(주)미르</t>
        </is>
      </c>
      <c r="U56" s="4" t="n">
        <v>1</v>
      </c>
      <c r="V56" s="5" t="n">
        <v>0</v>
      </c>
      <c r="W56" s="3" t="inlineStr"/>
      <c r="X56" s="3" t="inlineStr">
        <is>
          <t>정보 없음</t>
        </is>
      </c>
      <c r="Y56" s="7" t="inlineStr">
        <is>
          <t>정보 없음</t>
        </is>
      </c>
      <c r="Z56" s="3" t="inlineStr">
        <is>
          <t>정보 없음</t>
        </is>
      </c>
      <c r="AA56" s="3" t="inlineStr">
        <is>
          <t>정보 없음</t>
        </is>
      </c>
      <c r="AB56" s="3" t="inlineStr">
        <is>
          <t>정보 없음</t>
        </is>
      </c>
      <c r="AC56" s="3" t="inlineStr">
        <is>
          <t>정보 없음</t>
        </is>
      </c>
      <c r="AD56" s="3" t="inlineStr">
        <is>
          <t>정보 없음</t>
        </is>
      </c>
    </row>
    <row r="57">
      <c r="A57" s="3" t="inlineStr">
        <is>
          <t>남이면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공장</t>
        </is>
      </c>
      <c r="E57" s="3" t="inlineStr">
        <is>
          <t>매매</t>
        </is>
      </c>
      <c r="F57" s="4" t="n">
        <v>250000</v>
      </c>
      <c r="G57" s="4" t="n">
        <v>0</v>
      </c>
      <c r="H57" s="4" t="n">
        <v>4960</v>
      </c>
      <c r="I57" s="4" t="n">
        <v>1500</v>
      </c>
      <c r="J57" s="5" t="n">
        <v>166.7</v>
      </c>
      <c r="K57" s="4" t="n">
        <v>990</v>
      </c>
      <c r="L57" s="4" t="n">
        <v>299</v>
      </c>
      <c r="M57" s="5" t="n">
        <v>836.1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1종근린생활 공장 창고 매매</t>
        </is>
      </c>
      <c r="Q57" s="6">
        <f>HYPERLINK("https://fin.land.naver.com/articles/2650519813", "매물Link")</f>
        <v/>
      </c>
      <c r="R57" t="inlineStr">
        <is>
          <t>정보 없음</t>
        </is>
      </c>
      <c r="S57" t="inlineStr">
        <is>
          <t>정보 없음</t>
        </is>
      </c>
      <c r="T57" s="3" t="inlineStr">
        <is>
          <t>월드</t>
        </is>
      </c>
      <c r="U57" s="4" t="n">
        <v>1</v>
      </c>
      <c r="V57" s="5" t="n">
        <v>0</v>
      </c>
      <c r="W57" s="3" t="inlineStr"/>
      <c r="X57" s="3" t="inlineStr">
        <is>
          <t>정보 없음</t>
        </is>
      </c>
      <c r="Y57" s="7" t="inlineStr">
        <is>
          <t>정보 없음</t>
        </is>
      </c>
      <c r="Z57" s="3" t="inlineStr">
        <is>
          <t>정보 없음</t>
        </is>
      </c>
      <c r="AA57" s="3" t="inlineStr">
        <is>
          <t>정보 없음</t>
        </is>
      </c>
      <c r="AB57" s="3" t="inlineStr">
        <is>
          <t>정보 없음</t>
        </is>
      </c>
      <c r="AC57" s="3" t="inlineStr">
        <is>
          <t>정보 없음</t>
        </is>
      </c>
      <c r="AD57" s="3" t="inlineStr">
        <is>
          <t>정보 없음</t>
        </is>
      </c>
    </row>
    <row r="58">
      <c r="A58" s="3" t="inlineStr">
        <is>
          <t>남이면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공장</t>
        </is>
      </c>
      <c r="E58" s="3" t="inlineStr">
        <is>
          <t>매매</t>
        </is>
      </c>
      <c r="F58" s="4" t="n">
        <v>80000</v>
      </c>
      <c r="G58" s="4" t="n">
        <v>0</v>
      </c>
      <c r="H58" s="4" t="n">
        <v>839</v>
      </c>
      <c r="I58" s="4" t="n">
        <v>254</v>
      </c>
      <c r="J58" s="5" t="n">
        <v>315</v>
      </c>
      <c r="K58" s="4" t="n">
        <v>440</v>
      </c>
      <c r="L58" s="4" t="n">
        <v>133</v>
      </c>
      <c r="M58" s="5" t="n">
        <v>601.5</v>
      </c>
      <c r="N58" s="3" t="inlineStr">
        <is>
          <t>2</t>
        </is>
      </c>
      <c r="O58" s="3" t="inlineStr">
        <is>
          <t>-</t>
        </is>
      </c>
      <c r="P58" s="3" t="inlineStr">
        <is>
          <t>사진有 공장 매매</t>
        </is>
      </c>
      <c r="Q58" s="6">
        <f>HYPERLINK("https://fin.land.naver.com/articles/2650520728", "매물Link")</f>
        <v/>
      </c>
      <c r="R58" t="inlineStr">
        <is>
          <t>정보 없음</t>
        </is>
      </c>
      <c r="S58" t="inlineStr">
        <is>
          <t>정보 없음</t>
        </is>
      </c>
      <c r="T58" s="3" t="inlineStr">
        <is>
          <t>월드</t>
        </is>
      </c>
      <c r="U58" s="4" t="n">
        <v>1</v>
      </c>
      <c r="V58" s="5" t="n">
        <v>0</v>
      </c>
      <c r="W58" s="3" t="inlineStr"/>
      <c r="X58" s="3" t="inlineStr">
        <is>
          <t>정보 없음</t>
        </is>
      </c>
      <c r="Y58" s="7" t="inlineStr">
        <is>
          <t>정보 없음</t>
        </is>
      </c>
      <c r="Z58" s="3" t="inlineStr">
        <is>
          <t>정보 없음</t>
        </is>
      </c>
      <c r="AA58" s="3" t="inlineStr">
        <is>
          <t>정보 없음</t>
        </is>
      </c>
      <c r="AB58" s="3" t="inlineStr">
        <is>
          <t>정보 없음</t>
        </is>
      </c>
      <c r="AC58" s="3" t="inlineStr">
        <is>
          <t>정보 없음</t>
        </is>
      </c>
      <c r="AD58" s="3" t="inlineStr">
        <is>
          <t>정보 없음</t>
        </is>
      </c>
    </row>
    <row r="59">
      <c r="A59" s="3" t="inlineStr">
        <is>
          <t>남이면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공장</t>
        </is>
      </c>
      <c r="E59" s="3" t="inlineStr">
        <is>
          <t>매매</t>
        </is>
      </c>
      <c r="F59" s="4" t="n">
        <v>240000</v>
      </c>
      <c r="G59" s="4" t="n">
        <v>0</v>
      </c>
      <c r="H59" s="4" t="n">
        <v>4928</v>
      </c>
      <c r="I59" s="4" t="n">
        <v>1491</v>
      </c>
      <c r="J59" s="5" t="n">
        <v>161</v>
      </c>
      <c r="K59" s="4" t="n">
        <v>985</v>
      </c>
      <c r="L59" s="4" t="n">
        <v>298</v>
      </c>
      <c r="M59" s="5" t="n">
        <v>805.4</v>
      </c>
      <c r="N59" s="3" t="inlineStr">
        <is>
          <t>1</t>
        </is>
      </c>
      <c r="O59" s="3" t="inlineStr">
        <is>
          <t>-</t>
        </is>
      </c>
      <c r="P59" s="3" t="inlineStr">
        <is>
          <t>마당넓은 위험물 저장및 처리시설 현임대중 입주 8월말경</t>
        </is>
      </c>
      <c r="Q59" s="6">
        <f>HYPERLINK("https://fin.land.naver.com/articles/2650873421", "매물Link")</f>
        <v/>
      </c>
      <c r="R59" t="inlineStr">
        <is>
          <t>정보 없음</t>
        </is>
      </c>
      <c r="S59" t="inlineStr">
        <is>
          <t>정보 없음</t>
        </is>
      </c>
      <c r="T59" s="3" t="inlineStr">
        <is>
          <t>더원</t>
        </is>
      </c>
      <c r="U59" s="4" t="n">
        <v>1</v>
      </c>
      <c r="V59" s="5" t="n">
        <v>0</v>
      </c>
      <c r="W59" s="3" t="inlineStr"/>
      <c r="X59" s="3" t="inlineStr">
        <is>
          <t>정보 없음</t>
        </is>
      </c>
      <c r="Y59" s="7" t="inlineStr">
        <is>
          <t>정보 없음</t>
        </is>
      </c>
      <c r="Z59" s="3" t="inlineStr">
        <is>
          <t>정보 없음</t>
        </is>
      </c>
      <c r="AA59" s="3" t="inlineStr">
        <is>
          <t>정보 없음</t>
        </is>
      </c>
      <c r="AB59" s="3" t="inlineStr">
        <is>
          <t>정보 없음</t>
        </is>
      </c>
      <c r="AC59" s="3" t="inlineStr">
        <is>
          <t>정보 없음</t>
        </is>
      </c>
      <c r="AD59" s="3" t="inlineStr">
        <is>
          <t>정보 없음</t>
        </is>
      </c>
    </row>
    <row r="60">
      <c r="A60" s="3" t="inlineStr">
        <is>
          <t>남이면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창고</t>
        </is>
      </c>
      <c r="E60" s="3" t="inlineStr">
        <is>
          <t>매매</t>
        </is>
      </c>
      <c r="F60" s="4" t="n">
        <v>4300000</v>
      </c>
      <c r="G60" s="4" t="n">
        <v>0</v>
      </c>
      <c r="H60" s="4" t="n">
        <v>64943</v>
      </c>
      <c r="I60" s="4" t="n">
        <v>19645</v>
      </c>
      <c r="J60" s="5" t="n">
        <v>218.9</v>
      </c>
      <c r="K60" s="4" t="n">
        <v>21249</v>
      </c>
      <c r="L60" s="4" t="n">
        <v>6428</v>
      </c>
      <c r="M60" s="5" t="n">
        <v>668.9</v>
      </c>
      <c r="N60" s="3" t="inlineStr">
        <is>
          <t>1</t>
        </is>
      </c>
      <c r="O60" s="3" t="inlineStr">
        <is>
          <t>-</t>
        </is>
      </c>
      <c r="P60" s="3" t="inlineStr">
        <is>
          <t>남청주ic 10분거리로 고속도로접근성 좋은 위치의 대형물류창고매매</t>
        </is>
      </c>
      <c r="Q60" s="6">
        <f>HYPERLINK("https://fin.land.naver.com/articles/2650937551", "매물Link")</f>
        <v/>
      </c>
      <c r="R60" t="inlineStr">
        <is>
          <t>정보 없음</t>
        </is>
      </c>
      <c r="S60" t="inlineStr">
        <is>
          <t>정보 없음</t>
        </is>
      </c>
      <c r="T60" s="3" t="inlineStr">
        <is>
          <t>더원</t>
        </is>
      </c>
      <c r="U60" s="4" t="n">
        <v>1</v>
      </c>
      <c r="V60" s="5" t="n">
        <v>0</v>
      </c>
      <c r="W60" s="3" t="inlineStr"/>
      <c r="X60" s="3" t="inlineStr">
        <is>
          <t>정보 없음</t>
        </is>
      </c>
      <c r="Y60" s="7" t="inlineStr">
        <is>
          <t>정보 없음</t>
        </is>
      </c>
      <c r="Z60" s="3" t="inlineStr">
        <is>
          <t>정보 없음</t>
        </is>
      </c>
      <c r="AA60" s="3" t="inlineStr">
        <is>
          <t>정보 없음</t>
        </is>
      </c>
      <c r="AB60" s="3" t="inlineStr">
        <is>
          <t>정보 없음</t>
        </is>
      </c>
      <c r="AC60" s="3" t="inlineStr">
        <is>
          <t>정보 없음</t>
        </is>
      </c>
      <c r="AD60" s="3" t="inlineStr">
        <is>
          <t>정보 없음</t>
        </is>
      </c>
    </row>
    <row r="61">
      <c r="A61" s="3" t="inlineStr">
        <is>
          <t>남이면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공장</t>
        </is>
      </c>
      <c r="E61" s="3" t="inlineStr">
        <is>
          <t>월세</t>
        </is>
      </c>
      <c r="F61" s="4" t="n">
        <v>10000</v>
      </c>
      <c r="G61" s="4" t="n">
        <v>1000</v>
      </c>
      <c r="H61" s="4" t="n">
        <v>5120</v>
      </c>
      <c r="I61" s="4" t="n">
        <v>1549</v>
      </c>
      <c r="J61" s="5" t="n">
        <v>0.6</v>
      </c>
      <c r="K61" s="4" t="n">
        <v>1581</v>
      </c>
      <c r="L61" s="4" t="n">
        <v>478</v>
      </c>
      <c r="M61" s="5" t="n">
        <v>2.1</v>
      </c>
      <c r="N61" s="3" t="inlineStr">
        <is>
          <t>2</t>
        </is>
      </c>
      <c r="O61" s="3" t="inlineStr">
        <is>
          <t>-</t>
        </is>
      </c>
      <c r="P61" s="3" t="inlineStr">
        <is>
          <t>남청주ic 5분거리 청주시내권 접근성좋음 호이스트설치</t>
        </is>
      </c>
      <c r="Q61" s="6">
        <f>HYPERLINK("https://fin.land.naver.com/articles/2650945496", "매물Link")</f>
        <v/>
      </c>
      <c r="R61" t="inlineStr">
        <is>
          <t>정보 없음</t>
        </is>
      </c>
      <c r="S61" t="inlineStr">
        <is>
          <t>정보 없음</t>
        </is>
      </c>
      <c r="T61" s="3" t="inlineStr">
        <is>
          <t>더원</t>
        </is>
      </c>
      <c r="U61" s="4" t="n">
        <v>1</v>
      </c>
      <c r="V61" s="5" t="n">
        <v>0</v>
      </c>
      <c r="W61" s="3" t="inlineStr"/>
      <c r="X61" s="3" t="inlineStr">
        <is>
          <t>정보 없음</t>
        </is>
      </c>
      <c r="Y61" s="7" t="inlineStr">
        <is>
          <t>정보 없음</t>
        </is>
      </c>
      <c r="Z61" s="3" t="inlineStr">
        <is>
          <t>정보 없음</t>
        </is>
      </c>
      <c r="AA61" s="3" t="inlineStr">
        <is>
          <t>정보 없음</t>
        </is>
      </c>
      <c r="AB61" s="3" t="inlineStr">
        <is>
          <t>정보 없음</t>
        </is>
      </c>
      <c r="AC61" s="3" t="inlineStr">
        <is>
          <t>정보 없음</t>
        </is>
      </c>
      <c r="AD61" s="3" t="inlineStr">
        <is>
          <t>정보 없음</t>
        </is>
      </c>
    </row>
    <row r="62">
      <c r="A62" s="3" t="inlineStr">
        <is>
          <t>남이면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창고</t>
        </is>
      </c>
      <c r="E62" s="3" t="inlineStr">
        <is>
          <t>월세</t>
        </is>
      </c>
      <c r="F62" s="4" t="n">
        <v>2000</v>
      </c>
      <c r="G62" s="4" t="n">
        <v>180</v>
      </c>
      <c r="H62" s="4" t="n">
        <v>3157</v>
      </c>
      <c r="I62" s="4" t="n">
        <v>955</v>
      </c>
      <c r="J62" s="5" t="n">
        <v>0.2</v>
      </c>
      <c r="K62" s="4" t="n">
        <v>198</v>
      </c>
      <c r="L62" s="4" t="n">
        <v>60</v>
      </c>
      <c r="M62" s="5" t="n">
        <v>3</v>
      </c>
      <c r="N62" s="3" t="inlineStr">
        <is>
          <t>1</t>
        </is>
      </c>
      <c r="O62" s="3" t="inlineStr">
        <is>
          <t>-</t>
        </is>
      </c>
      <c r="P62" s="3" t="inlineStr">
        <is>
          <t>석실리 청주 도심 인접 소형 창고 2차선도로에서 진입</t>
        </is>
      </c>
      <c r="Q62" s="6">
        <f>HYPERLINK("https://fin.land.naver.com/articles/2649676040", "매물Link")</f>
        <v/>
      </c>
      <c r="R62" t="inlineStr">
        <is>
          <t>정보 없음</t>
        </is>
      </c>
      <c r="S62" t="inlineStr">
        <is>
          <t>정보 없음</t>
        </is>
      </c>
      <c r="T62" s="3" t="inlineStr">
        <is>
          <t>더원</t>
        </is>
      </c>
      <c r="U62" s="4" t="n">
        <v>1</v>
      </c>
      <c r="V62" s="5" t="n">
        <v>0</v>
      </c>
      <c r="W62" s="3" t="inlineStr"/>
      <c r="X62" s="3" t="inlineStr">
        <is>
          <t>정보 없음</t>
        </is>
      </c>
      <c r="Y62" s="7" t="inlineStr">
        <is>
          <t>정보 없음</t>
        </is>
      </c>
      <c r="Z62" s="3" t="inlineStr">
        <is>
          <t>정보 없음</t>
        </is>
      </c>
      <c r="AA62" s="3" t="inlineStr">
        <is>
          <t>정보 없음</t>
        </is>
      </c>
      <c r="AB62" s="3" t="inlineStr">
        <is>
          <t>정보 없음</t>
        </is>
      </c>
      <c r="AC62" s="3" t="inlineStr">
        <is>
          <t>정보 없음</t>
        </is>
      </c>
      <c r="AD62" s="3" t="inlineStr">
        <is>
          <t>정보 없음</t>
        </is>
      </c>
    </row>
    <row r="63">
      <c r="A63" s="3" t="inlineStr">
        <is>
          <t>남이면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공장</t>
        </is>
      </c>
      <c r="E63" s="3" t="inlineStr">
        <is>
          <t>매매</t>
        </is>
      </c>
      <c r="F63" s="4" t="n">
        <v>250000</v>
      </c>
      <c r="G63" s="4" t="n">
        <v>0</v>
      </c>
      <c r="H63" s="4" t="n">
        <v>4449</v>
      </c>
      <c r="I63" s="4" t="n">
        <v>1346</v>
      </c>
      <c r="J63" s="5" t="n">
        <v>185.7</v>
      </c>
      <c r="K63" s="4" t="n">
        <v>2796</v>
      </c>
      <c r="L63" s="4" t="n">
        <v>846</v>
      </c>
      <c r="M63" s="5" t="n">
        <v>295.5</v>
      </c>
      <c r="N63" s="3" t="inlineStr">
        <is>
          <t>4</t>
        </is>
      </c>
      <c r="O63" s="3" t="inlineStr">
        <is>
          <t>B1</t>
        </is>
      </c>
      <c r="P63" s="3" t="inlineStr">
        <is>
          <t>남청주i,c 10분 흥덕구청15분 위치 단독공장 바이오,전자,반도체</t>
        </is>
      </c>
      <c r="Q63" s="6">
        <f>HYPERLINK("https://fin.land.naver.com/articles/2649559210", "매물Link")</f>
        <v/>
      </c>
      <c r="R63" t="inlineStr">
        <is>
          <t>정보 없음</t>
        </is>
      </c>
      <c r="S63" t="inlineStr">
        <is>
          <t>정보 없음</t>
        </is>
      </c>
      <c r="T63" s="3" t="inlineStr">
        <is>
          <t>공장365</t>
        </is>
      </c>
      <c r="U63" s="4" t="n">
        <v>1</v>
      </c>
      <c r="V63" s="5" t="n">
        <v>0</v>
      </c>
      <c r="W63" s="3" t="inlineStr"/>
      <c r="X63" s="3" t="inlineStr">
        <is>
          <t>정보 없음</t>
        </is>
      </c>
      <c r="Y63" s="7" t="inlineStr">
        <is>
          <t>정보 없음</t>
        </is>
      </c>
      <c r="Z63" s="3" t="inlineStr">
        <is>
          <t>정보 없음</t>
        </is>
      </c>
      <c r="AA63" s="3" t="inlineStr">
        <is>
          <t>정보 없음</t>
        </is>
      </c>
      <c r="AB63" s="3" t="inlineStr">
        <is>
          <t>정보 없음</t>
        </is>
      </c>
      <c r="AC63" s="3" t="inlineStr">
        <is>
          <t>정보 없음</t>
        </is>
      </c>
      <c r="AD63" s="3" t="inlineStr">
        <is>
          <t>정보 없음</t>
        </is>
      </c>
    </row>
    <row r="64">
      <c r="A64" s="3" t="inlineStr">
        <is>
          <t>남이면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490</v>
      </c>
      <c r="H64" s="4" t="n">
        <v>1777</v>
      </c>
      <c r="I64" s="4" t="n">
        <v>538</v>
      </c>
      <c r="J64" s="5" t="n">
        <v>0.9</v>
      </c>
      <c r="K64" s="4" t="n">
        <v>704</v>
      </c>
      <c r="L64" s="4" t="n">
        <v>213</v>
      </c>
      <c r="M64" s="5" t="n">
        <v>2.3</v>
      </c>
      <c r="N64" s="3" t="inlineStr">
        <is>
          <t>1</t>
        </is>
      </c>
      <c r="O64" s="3" t="inlineStr">
        <is>
          <t>-</t>
        </is>
      </c>
      <c r="P64" s="3" t="inlineStr">
        <is>
          <t>남이면 공장 임대</t>
        </is>
      </c>
      <c r="Q64" s="6">
        <f>HYPERLINK("https://fin.land.naver.com/articles/2649150743", "매물Link")</f>
        <v/>
      </c>
      <c r="R64" t="inlineStr">
        <is>
          <t>정보 없음</t>
        </is>
      </c>
      <c r="S64" t="inlineStr">
        <is>
          <t>정보 없음</t>
        </is>
      </c>
      <c r="T64" s="3" t="inlineStr">
        <is>
          <t>사거리</t>
        </is>
      </c>
      <c r="U64" s="4" t="n">
        <v>1</v>
      </c>
      <c r="V64" s="5" t="n">
        <v>0</v>
      </c>
      <c r="W64" s="3" t="inlineStr"/>
      <c r="X64" s="3" t="inlineStr">
        <is>
          <t>정보 없음</t>
        </is>
      </c>
      <c r="Y64" s="7" t="inlineStr">
        <is>
          <t>정보 없음</t>
        </is>
      </c>
      <c r="Z64" s="3" t="inlineStr">
        <is>
          <t>정보 없음</t>
        </is>
      </c>
      <c r="AA64" s="3" t="inlineStr">
        <is>
          <t>정보 없음</t>
        </is>
      </c>
      <c r="AB64" s="3" t="inlineStr">
        <is>
          <t>정보 없음</t>
        </is>
      </c>
      <c r="AC64" s="3" t="inlineStr">
        <is>
          <t>정보 없음</t>
        </is>
      </c>
      <c r="AD64" s="3" t="inlineStr">
        <is>
          <t>정보 없음</t>
        </is>
      </c>
    </row>
    <row r="65">
      <c r="A65" s="3" t="inlineStr">
        <is>
          <t>남이면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공장</t>
        </is>
      </c>
      <c r="E65" s="3" t="inlineStr">
        <is>
          <t>월세</t>
        </is>
      </c>
      <c r="F65" s="4" t="n">
        <v>4000</v>
      </c>
      <c r="G65" s="4" t="n">
        <v>400</v>
      </c>
      <c r="H65" s="4" t="n">
        <v>1720</v>
      </c>
      <c r="I65" s="4" t="n">
        <v>520</v>
      </c>
      <c r="J65" s="5" t="n">
        <v>0.8</v>
      </c>
      <c r="K65" s="4" t="n">
        <v>677</v>
      </c>
      <c r="L65" s="4" t="n">
        <v>205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마당넓은 주차하기좋은공장및창고입니다2층사무실완비</t>
        </is>
      </c>
      <c r="Q65" s="6">
        <f>HYPERLINK("https://fin.land.naver.com/articles/2652025857", "매물Link")</f>
        <v/>
      </c>
      <c r="R65" t="inlineStr">
        <is>
          <t>정보 없음</t>
        </is>
      </c>
      <c r="S65" t="inlineStr">
        <is>
          <t>정보 없음</t>
        </is>
      </c>
      <c r="T65" s="3" t="inlineStr">
        <is>
          <t>남청주ic합동무소</t>
        </is>
      </c>
      <c r="U65" s="4" t="n">
        <v>1</v>
      </c>
      <c r="V65" s="5" t="n">
        <v>0</v>
      </c>
      <c r="W65" s="3" t="inlineStr"/>
      <c r="X65" s="3" t="inlineStr">
        <is>
          <t>정보 없음</t>
        </is>
      </c>
      <c r="Y65" s="7" t="inlineStr">
        <is>
          <t>정보 없음</t>
        </is>
      </c>
      <c r="Z65" s="3" t="inlineStr">
        <is>
          <t>정보 없음</t>
        </is>
      </c>
      <c r="AA65" s="3" t="inlineStr">
        <is>
          <t>정보 없음</t>
        </is>
      </c>
      <c r="AB65" s="3" t="inlineStr">
        <is>
          <t>정보 없음</t>
        </is>
      </c>
      <c r="AC65" s="3" t="inlineStr">
        <is>
          <t>정보 없음</t>
        </is>
      </c>
      <c r="AD65" s="3" t="inlineStr">
        <is>
          <t>정보 없음</t>
        </is>
      </c>
    </row>
    <row r="66">
      <c r="A66" s="3" t="inlineStr">
        <is>
          <t>남이면 [노출거부]</t>
        </is>
      </c>
      <c r="B66" s="3" t="inlineStr">
        <is>
          <t>정보 없음</t>
        </is>
      </c>
      <c r="C66" s="3" t="inlineStr">
        <is>
          <t>정보 없음</t>
        </is>
      </c>
      <c r="D66" s="3" t="inlineStr">
        <is>
          <t>공장</t>
        </is>
      </c>
      <c r="E66" s="3" t="inlineStr">
        <is>
          <t>월세</t>
        </is>
      </c>
      <c r="F66" s="4" t="n">
        <v>2000</v>
      </c>
      <c r="G66" s="4" t="n">
        <v>150</v>
      </c>
      <c r="H66" s="4" t="n">
        <v>1808</v>
      </c>
      <c r="I66" s="4" t="n">
        <v>547</v>
      </c>
      <c r="J66" s="5" t="n">
        <v>0.3</v>
      </c>
      <c r="K66" s="4" t="n">
        <v>381</v>
      </c>
      <c r="L66" s="4" t="n">
        <v>115</v>
      </c>
      <c r="M66" s="5" t="n">
        <v>1.3</v>
      </c>
      <c r="N66" s="3" t="inlineStr">
        <is>
          <t>1</t>
        </is>
      </c>
      <c r="O66" s="3" t="inlineStr">
        <is>
          <t>-</t>
        </is>
      </c>
      <c r="P66" s="3" t="inlineStr">
        <is>
          <t>nan</t>
        </is>
      </c>
      <c r="Q66" s="6">
        <f>HYPERLINK("https://fin.land.naver.com/articles/2652010258", "매물Link")</f>
        <v/>
      </c>
      <c r="R66" t="inlineStr">
        <is>
          <t>정보 없음</t>
        </is>
      </c>
      <c r="S66" t="inlineStr">
        <is>
          <t>정보 없음</t>
        </is>
      </c>
      <c r="T66" s="3" t="inlineStr">
        <is>
          <t>오너스</t>
        </is>
      </c>
      <c r="U66" s="4" t="n">
        <v>1</v>
      </c>
      <c r="V66" s="5" t="n">
        <v>0</v>
      </c>
      <c r="W66" s="3" t="inlineStr"/>
      <c r="X66" s="3" t="inlineStr">
        <is>
          <t>정보 없음</t>
        </is>
      </c>
      <c r="Y66" s="7" t="inlineStr">
        <is>
          <t>정보 없음</t>
        </is>
      </c>
      <c r="Z66" s="3" t="inlineStr">
        <is>
          <t>정보 없음</t>
        </is>
      </c>
      <c r="AA66" s="3" t="inlineStr">
        <is>
          <t>정보 없음</t>
        </is>
      </c>
      <c r="AB66" s="3" t="inlineStr">
        <is>
          <t>정보 없음</t>
        </is>
      </c>
      <c r="AC66" s="3" t="inlineStr">
        <is>
          <t>정보 없음</t>
        </is>
      </c>
      <c r="AD66" s="3" t="inlineStr">
        <is>
          <t>정보 없음</t>
        </is>
      </c>
    </row>
    <row r="67">
      <c r="A67" s="3" t="inlineStr">
        <is>
          <t>남이면 [노출거부]</t>
        </is>
      </c>
      <c r="B67" s="3" t="inlineStr">
        <is>
          <t>정보 없음</t>
        </is>
      </c>
      <c r="C67" s="3" t="inlineStr">
        <is>
          <t>정보 없음</t>
        </is>
      </c>
      <c r="D67" s="3" t="inlineStr">
        <is>
          <t>창고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2404</v>
      </c>
      <c r="I67" s="4" t="n">
        <v>727</v>
      </c>
      <c r="J67" s="5" t="n">
        <v>0.7</v>
      </c>
      <c r="K67" s="4" t="n">
        <v>850</v>
      </c>
      <c r="L67" s="4" t="n">
        <v>257</v>
      </c>
      <c r="M67" s="5" t="n">
        <v>1.9</v>
      </c>
      <c r="N67" s="3" t="inlineStr">
        <is>
          <t>1</t>
        </is>
      </c>
      <c r="O67" s="3" t="inlineStr">
        <is>
          <t>-</t>
        </is>
      </c>
      <c r="P67" s="3" t="inlineStr">
        <is>
          <t>남청주ic 접근성 좋은 위치의 창고  내부사무실  중앙고9m 트레일러진출</t>
        </is>
      </c>
      <c r="Q67" s="6">
        <f>HYPERLINK("https://fin.land.naver.com/articles/2650948437", "매물Link")</f>
        <v/>
      </c>
      <c r="R67" t="inlineStr">
        <is>
          <t>정보 없음</t>
        </is>
      </c>
      <c r="S67" t="inlineStr">
        <is>
          <t>정보 없음</t>
        </is>
      </c>
      <c r="T67" s="3" t="inlineStr">
        <is>
          <t>더원</t>
        </is>
      </c>
      <c r="U67" s="4" t="n">
        <v>1</v>
      </c>
      <c r="V67" s="5" t="n">
        <v>0</v>
      </c>
      <c r="W67" s="3" t="inlineStr"/>
      <c r="X67" s="3" t="inlineStr">
        <is>
          <t>정보 없음</t>
        </is>
      </c>
      <c r="Y67" s="7" t="inlineStr">
        <is>
          <t>정보 없음</t>
        </is>
      </c>
      <c r="Z67" s="3" t="inlineStr">
        <is>
          <t>정보 없음</t>
        </is>
      </c>
      <c r="AA67" s="3" t="inlineStr">
        <is>
          <t>정보 없음</t>
        </is>
      </c>
      <c r="AB67" s="3" t="inlineStr">
        <is>
          <t>정보 없음</t>
        </is>
      </c>
      <c r="AC67" s="3" t="inlineStr">
        <is>
          <t>정보 없음</t>
        </is>
      </c>
      <c r="AD67" s="3" t="inlineStr">
        <is>
          <t>정보 없음</t>
        </is>
      </c>
    </row>
    <row r="68">
      <c r="A68" s="3" t="inlineStr">
        <is>
          <t>남이면 [노출거부]</t>
        </is>
      </c>
      <c r="B68" s="3" t="inlineStr">
        <is>
          <t>정보 없음</t>
        </is>
      </c>
      <c r="C68" s="3" t="inlineStr">
        <is>
          <t>정보 없음</t>
        </is>
      </c>
      <c r="D68" s="3" t="inlineStr">
        <is>
          <t>창고</t>
        </is>
      </c>
      <c r="E68" s="3" t="inlineStr">
        <is>
          <t>매매</t>
        </is>
      </c>
      <c r="F68" s="4" t="n">
        <v>3400000</v>
      </c>
      <c r="G68" s="4" t="n">
        <v>0</v>
      </c>
      <c r="H68" s="4" t="n">
        <v>52485</v>
      </c>
      <c r="I68" s="4" t="n">
        <v>15877</v>
      </c>
      <c r="J68" s="5" t="n">
        <v>214.1</v>
      </c>
      <c r="K68" s="4" t="n">
        <v>20806</v>
      </c>
      <c r="L68" s="4" t="n">
        <v>6294</v>
      </c>
      <c r="M68" s="5" t="n">
        <v>540.2</v>
      </c>
      <c r="N68" s="3" t="inlineStr">
        <is>
          <t>2</t>
        </is>
      </c>
      <c r="O68" s="3" t="inlineStr">
        <is>
          <t>-</t>
        </is>
      </c>
      <c r="P68" s="3" t="inlineStr">
        <is>
          <t>물류창고입니다.</t>
        </is>
      </c>
      <c r="Q68" s="6">
        <f>HYPERLINK("https://fin.land.naver.com/articles/2651674012", "매물Link")</f>
        <v/>
      </c>
      <c r="R68" t="inlineStr">
        <is>
          <t>정보 없음</t>
        </is>
      </c>
      <c r="S68" t="inlineStr">
        <is>
          <t>정보 없음</t>
        </is>
      </c>
      <c r="T68" s="3" t="inlineStr">
        <is>
          <t>효성</t>
        </is>
      </c>
      <c r="U68" s="4" t="n">
        <v>1</v>
      </c>
      <c r="V68" s="5" t="n">
        <v>0</v>
      </c>
      <c r="W68" s="3" t="inlineStr"/>
      <c r="X68" s="3" t="inlineStr">
        <is>
          <t>정보 없음</t>
        </is>
      </c>
      <c r="Y68" s="7" t="inlineStr">
        <is>
          <t>정보 없음</t>
        </is>
      </c>
      <c r="Z68" s="3" t="inlineStr">
        <is>
          <t>정보 없음</t>
        </is>
      </c>
      <c r="AA68" s="3" t="inlineStr">
        <is>
          <t>정보 없음</t>
        </is>
      </c>
      <c r="AB68" s="3" t="inlineStr">
        <is>
          <t>정보 없음</t>
        </is>
      </c>
      <c r="AC68" s="3" t="inlineStr">
        <is>
          <t>정보 없음</t>
        </is>
      </c>
      <c r="AD68" s="3" t="inlineStr">
        <is>
          <t>정보 없음</t>
        </is>
      </c>
    </row>
    <row r="69">
      <c r="A69" s="3" t="inlineStr">
        <is>
          <t>남이면 [노출거부]</t>
        </is>
      </c>
      <c r="B69" s="3" t="inlineStr">
        <is>
          <t>정보 없음</t>
        </is>
      </c>
      <c r="C69" s="3" t="inlineStr">
        <is>
          <t>정보 없음</t>
        </is>
      </c>
      <c r="D69" s="3" t="inlineStr">
        <is>
          <t>창고</t>
        </is>
      </c>
      <c r="E69" s="3" t="inlineStr">
        <is>
          <t>월세</t>
        </is>
      </c>
      <c r="F69" s="4" t="n">
        <v>2000</v>
      </c>
      <c r="G69" s="4" t="n">
        <v>150</v>
      </c>
      <c r="H69" s="4" t="n">
        <v>799</v>
      </c>
      <c r="I69" s="4" t="n">
        <v>242</v>
      </c>
      <c r="J69" s="5" t="n">
        <v>0.6</v>
      </c>
      <c r="K69" s="4" t="n">
        <v>805</v>
      </c>
      <c r="L69" s="4" t="n">
        <v>244</v>
      </c>
      <c r="M69" s="5" t="n">
        <v>0.6</v>
      </c>
      <c r="N69" s="3" t="inlineStr">
        <is>
          <t>1</t>
        </is>
      </c>
      <c r="O69" s="3" t="inlineStr">
        <is>
          <t>-</t>
        </is>
      </c>
      <c r="P69" s="3" t="inlineStr">
        <is>
          <t>2층 이지만 1층처럼 사용가능</t>
        </is>
      </c>
      <c r="Q69" s="6">
        <f>HYPERLINK("https://fin.land.naver.com/articles/2651189837", "매물Link")</f>
        <v/>
      </c>
      <c r="R69" t="inlineStr">
        <is>
          <t>정보 없음</t>
        </is>
      </c>
      <c r="S69" t="inlineStr">
        <is>
          <t>정보 없음</t>
        </is>
      </c>
      <c r="T69" s="3" t="inlineStr">
        <is>
          <t>명품 사무소</t>
        </is>
      </c>
      <c r="U69" s="4" t="n">
        <v>1</v>
      </c>
      <c r="V69" s="5" t="n">
        <v>0</v>
      </c>
      <c r="W69" s="3" t="inlineStr"/>
      <c r="X69" s="3" t="inlineStr">
        <is>
          <t>정보 없음</t>
        </is>
      </c>
      <c r="Y69" s="7" t="inlineStr">
        <is>
          <t>정보 없음</t>
        </is>
      </c>
      <c r="Z69" s="3" t="inlineStr">
        <is>
          <t>정보 없음</t>
        </is>
      </c>
      <c r="AA69" s="3" t="inlineStr">
        <is>
          <t>정보 없음</t>
        </is>
      </c>
      <c r="AB69" s="3" t="inlineStr">
        <is>
          <t>정보 없음</t>
        </is>
      </c>
      <c r="AC69" s="3" t="inlineStr">
        <is>
          <t>정보 없음</t>
        </is>
      </c>
      <c r="AD69" s="3" t="inlineStr">
        <is>
          <t>정보 없음</t>
        </is>
      </c>
    </row>
    <row r="70">
      <c r="A70" s="3" t="inlineStr">
        <is>
          <t>남이면 [노출거부]</t>
        </is>
      </c>
      <c r="B70" s="3" t="inlineStr">
        <is>
          <t>정보 없음</t>
        </is>
      </c>
      <c r="C70" s="3" t="inlineStr">
        <is>
          <t>정보 없음</t>
        </is>
      </c>
      <c r="D70" s="3" t="inlineStr">
        <is>
          <t>창고</t>
        </is>
      </c>
      <c r="E70" s="3" t="inlineStr">
        <is>
          <t>월세</t>
        </is>
      </c>
      <c r="F70" s="4" t="n">
        <v>2000</v>
      </c>
      <c r="G70" s="4" t="n">
        <v>180</v>
      </c>
      <c r="H70" s="4" t="n">
        <v>660</v>
      </c>
      <c r="I70" s="4" t="n">
        <v>200</v>
      </c>
      <c r="J70" s="5" t="n">
        <v>0.9</v>
      </c>
      <c r="K70" s="4" t="n">
        <v>216</v>
      </c>
      <c r="L70" s="4" t="n">
        <v>65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신규창고공장입니다가격조절가능함</t>
        </is>
      </c>
      <c r="Q70" s="6">
        <f>HYPERLINK("https://fin.land.naver.com/articles/2652026435", "매물Link")</f>
        <v/>
      </c>
      <c r="R70" t="inlineStr">
        <is>
          <t>정보 없음</t>
        </is>
      </c>
      <c r="S70" t="inlineStr">
        <is>
          <t>정보 없음</t>
        </is>
      </c>
      <c r="T70" s="3" t="inlineStr">
        <is>
          <t>남청주ic합동무소</t>
        </is>
      </c>
      <c r="U70" s="4" t="n">
        <v>1</v>
      </c>
      <c r="V70" s="5" t="n">
        <v>0</v>
      </c>
      <c r="W70" s="3" t="inlineStr"/>
      <c r="X70" s="3" t="inlineStr">
        <is>
          <t>정보 없음</t>
        </is>
      </c>
      <c r="Y70" s="7" t="inlineStr">
        <is>
          <t>정보 없음</t>
        </is>
      </c>
      <c r="Z70" s="3" t="inlineStr">
        <is>
          <t>정보 없음</t>
        </is>
      </c>
      <c r="AA70" s="3" t="inlineStr">
        <is>
          <t>정보 없음</t>
        </is>
      </c>
      <c r="AB70" s="3" t="inlineStr">
        <is>
          <t>정보 없음</t>
        </is>
      </c>
      <c r="AC70" s="3" t="inlineStr">
        <is>
          <t>정보 없음</t>
        </is>
      </c>
      <c r="AD70" s="3" t="inlineStr">
        <is>
          <t>정보 없음</t>
        </is>
      </c>
    </row>
    <row r="71">
      <c r="A71" s="3" t="inlineStr">
        <is>
          <t>남이면 [노출거부]</t>
        </is>
      </c>
      <c r="B71" s="3" t="inlineStr">
        <is>
          <t>정보 없음</t>
        </is>
      </c>
      <c r="C71" s="3" t="inlineStr">
        <is>
          <t>정보 없음</t>
        </is>
      </c>
      <c r="D71" s="3" t="inlineStr">
        <is>
          <t>공장</t>
        </is>
      </c>
      <c r="E71" s="3" t="inlineStr">
        <is>
          <t>월세</t>
        </is>
      </c>
      <c r="F71" s="4" t="n">
        <v>7000</v>
      </c>
      <c r="G71" s="4" t="n">
        <v>650</v>
      </c>
      <c r="H71" s="4" t="n">
        <v>5119</v>
      </c>
      <c r="I71" s="4" t="n">
        <v>1548</v>
      </c>
      <c r="J71" s="5" t="n">
        <v>0.4</v>
      </c>
      <c r="K71" s="4" t="n">
        <v>1100</v>
      </c>
      <c r="L71" s="4" t="n">
        <v>333</v>
      </c>
      <c r="M71" s="5" t="n">
        <v>2</v>
      </c>
      <c r="N71" s="3" t="inlineStr">
        <is>
          <t>1</t>
        </is>
      </c>
      <c r="O71" s="3" t="inlineStr">
        <is>
          <t>-</t>
        </is>
      </c>
      <c r="P71" s="3" t="inlineStr">
        <is>
          <t>척산에 있는공장 2층사무실있슴</t>
        </is>
      </c>
      <c r="Q71" s="6">
        <f>HYPERLINK("https://fin.land.naver.com/articles/2652026920", "매물Link")</f>
        <v/>
      </c>
      <c r="R71" t="inlineStr">
        <is>
          <t>정보 없음</t>
        </is>
      </c>
      <c r="S71" t="inlineStr">
        <is>
          <t>정보 없음</t>
        </is>
      </c>
      <c r="T71" s="3" t="inlineStr">
        <is>
          <t>남청주ic합동무소</t>
        </is>
      </c>
      <c r="U71" s="4" t="n">
        <v>1</v>
      </c>
      <c r="V71" s="5" t="n">
        <v>0</v>
      </c>
      <c r="W71" s="3" t="inlineStr"/>
      <c r="X71" s="3" t="inlineStr">
        <is>
          <t>정보 없음</t>
        </is>
      </c>
      <c r="Y71" s="7" t="inlineStr">
        <is>
          <t>정보 없음</t>
        </is>
      </c>
      <c r="Z71" s="3" t="inlineStr">
        <is>
          <t>정보 없음</t>
        </is>
      </c>
      <c r="AA71" s="3" t="inlineStr">
        <is>
          <t>정보 없음</t>
        </is>
      </c>
      <c r="AB71" s="3" t="inlineStr">
        <is>
          <t>정보 없음</t>
        </is>
      </c>
      <c r="AC71" s="3" t="inlineStr">
        <is>
          <t>정보 없음</t>
        </is>
      </c>
      <c r="AD71" s="3" t="inlineStr">
        <is>
          <t>정보 없음</t>
        </is>
      </c>
    </row>
    <row r="72">
      <c r="A72" s="3" t="inlineStr">
        <is>
          <t>남이면 [노출거부]</t>
        </is>
      </c>
      <c r="B72" s="3" t="inlineStr">
        <is>
          <t>정보 없음</t>
        </is>
      </c>
      <c r="C72" s="3" t="inlineStr">
        <is>
          <t>정보 없음</t>
        </is>
      </c>
      <c r="D72" s="3" t="inlineStr">
        <is>
          <t>공장</t>
        </is>
      </c>
      <c r="E72" s="3" t="inlineStr">
        <is>
          <t>매매</t>
        </is>
      </c>
      <c r="F72" s="4" t="n">
        <v>40000</v>
      </c>
      <c r="G72" s="4" t="n">
        <v>0</v>
      </c>
      <c r="H72" s="4" t="n">
        <v>652</v>
      </c>
      <c r="I72" s="4" t="n">
        <v>197</v>
      </c>
      <c r="J72" s="5" t="n">
        <v>203</v>
      </c>
      <c r="K72" s="4" t="n">
        <v>356</v>
      </c>
      <c r="L72" s="4" t="n">
        <v>108</v>
      </c>
      <c r="M72" s="5" t="n">
        <v>370.4</v>
      </c>
      <c r="N72" s="3" t="inlineStr">
        <is>
          <t>1</t>
        </is>
      </c>
      <c r="O72" s="3" t="inlineStr">
        <is>
          <t>-</t>
        </is>
      </c>
      <c r="P72" s="3" t="inlineStr">
        <is>
          <t>계획관리지역내 공장 매매</t>
        </is>
      </c>
      <c r="Q72" s="6">
        <f>HYPERLINK("https://fin.land.naver.com/articles/2652817469", "매물Link")</f>
        <v/>
      </c>
      <c r="R72" t="inlineStr">
        <is>
          <t>정보 없음</t>
        </is>
      </c>
      <c r="S72" t="inlineStr">
        <is>
          <t>정보 없음</t>
        </is>
      </c>
      <c r="T72" s="3" t="inlineStr">
        <is>
          <t>산남현진에버빌</t>
        </is>
      </c>
      <c r="U72" s="4" t="n">
        <v>2</v>
      </c>
      <c r="V72" s="5" t="n">
        <v>0</v>
      </c>
      <c r="W72" s="3" t="inlineStr"/>
      <c r="X72" s="3" t="inlineStr">
        <is>
          <t>정보 없음</t>
        </is>
      </c>
      <c r="Y72" s="7" t="inlineStr">
        <is>
          <t>정보 없음</t>
        </is>
      </c>
      <c r="Z72" s="3" t="inlineStr">
        <is>
          <t>정보 없음</t>
        </is>
      </c>
      <c r="AA72" s="3" t="inlineStr">
        <is>
          <t>정보 없음</t>
        </is>
      </c>
      <c r="AB72" s="3" t="inlineStr">
        <is>
          <t>정보 없음</t>
        </is>
      </c>
      <c r="AC72" s="3" t="inlineStr">
        <is>
          <t>정보 없음</t>
        </is>
      </c>
      <c r="AD72" s="3" t="inlineStr">
        <is>
          <t>정보 없음</t>
        </is>
      </c>
    </row>
    <row r="73">
      <c r="A73" s="3" t="inlineStr">
        <is>
          <t>남이면 [노출거부]</t>
        </is>
      </c>
      <c r="B73" s="3" t="inlineStr">
        <is>
          <t>정보 없음</t>
        </is>
      </c>
      <c r="C73" s="3" t="inlineStr">
        <is>
          <t>정보 없음</t>
        </is>
      </c>
      <c r="D73" s="3" t="inlineStr">
        <is>
          <t>창고</t>
        </is>
      </c>
      <c r="E73" s="3" t="inlineStr">
        <is>
          <t>월세</t>
        </is>
      </c>
      <c r="F73" s="4" t="n">
        <v>2000</v>
      </c>
      <c r="G73" s="4" t="n">
        <v>180</v>
      </c>
      <c r="H73" s="4" t="n">
        <v>868</v>
      </c>
      <c r="I73" s="4" t="n">
        <v>263</v>
      </c>
      <c r="J73" s="5" t="n">
        <v>0.7</v>
      </c>
      <c r="K73" s="4" t="n">
        <v>330</v>
      </c>
      <c r="L73" s="4" t="n">
        <v>100</v>
      </c>
      <c r="M73" s="5" t="n">
        <v>1.8</v>
      </c>
      <c r="N73" s="3" t="inlineStr">
        <is>
          <t>1</t>
        </is>
      </c>
      <c r="O73" s="3" t="inlineStr">
        <is>
          <t>-</t>
        </is>
      </c>
      <c r="P73" s="3" t="inlineStr">
        <is>
          <t>nan</t>
        </is>
      </c>
      <c r="Q73" s="6">
        <f>HYPERLINK("https://fin.land.naver.com/articles/2652377840", "매물Link")</f>
        <v/>
      </c>
      <c r="R73" t="inlineStr">
        <is>
          <t>정보 없음</t>
        </is>
      </c>
      <c r="S73" t="inlineStr">
        <is>
          <t>정보 없음</t>
        </is>
      </c>
      <c r="T73" s="3" t="inlineStr">
        <is>
          <t>명품 사무소</t>
        </is>
      </c>
      <c r="U73" s="4" t="n">
        <v>1</v>
      </c>
      <c r="V73" s="5" t="n">
        <v>0</v>
      </c>
      <c r="W73" s="3" t="inlineStr"/>
      <c r="X73" s="3" t="inlineStr">
        <is>
          <t>정보 없음</t>
        </is>
      </c>
      <c r="Y73" s="7" t="inlineStr">
        <is>
          <t>정보 없음</t>
        </is>
      </c>
      <c r="Z73" s="3" t="inlineStr">
        <is>
          <t>정보 없음</t>
        </is>
      </c>
      <c r="AA73" s="3" t="inlineStr">
        <is>
          <t>정보 없음</t>
        </is>
      </c>
      <c r="AB73" s="3" t="inlineStr">
        <is>
          <t>정보 없음</t>
        </is>
      </c>
      <c r="AC73" s="3" t="inlineStr">
        <is>
          <t>정보 없음</t>
        </is>
      </c>
      <c r="AD73" s="3" t="inlineStr">
        <is>
          <t>정보 없음</t>
        </is>
      </c>
    </row>
    <row r="74">
      <c r="A74" s="3" t="inlineStr">
        <is>
          <t>남이면 [노출거부]</t>
        </is>
      </c>
      <c r="B74" s="3" t="inlineStr">
        <is>
          <t>정보 없음</t>
        </is>
      </c>
      <c r="C74" s="3" t="inlineStr">
        <is>
          <t>정보 없음</t>
        </is>
      </c>
      <c r="D74" s="3" t="inlineStr">
        <is>
          <t>공장</t>
        </is>
      </c>
      <c r="E74" s="3" t="inlineStr">
        <is>
          <t>매매</t>
        </is>
      </c>
      <c r="F74" s="4" t="n">
        <v>72000</v>
      </c>
      <c r="G74" s="4" t="n">
        <v>0</v>
      </c>
      <c r="H74" s="4" t="n">
        <v>4733</v>
      </c>
      <c r="I74" s="4" t="n">
        <v>1432</v>
      </c>
      <c r="J74" s="5" t="n">
        <v>50.3</v>
      </c>
      <c r="K74" s="4" t="n">
        <v>925</v>
      </c>
      <c r="L74" s="4" t="n">
        <v>280</v>
      </c>
      <c r="M74" s="5" t="n">
        <v>257.1</v>
      </c>
      <c r="N74" s="3" t="inlineStr">
        <is>
          <t>1</t>
        </is>
      </c>
      <c r="O74" s="3" t="inlineStr">
        <is>
          <t>-</t>
        </is>
      </c>
      <c r="P74" s="3" t="inlineStr">
        <is>
          <t>신축입니다</t>
        </is>
      </c>
      <c r="Q74" s="6">
        <f>HYPERLINK("https://fin.land.naver.com/articles/2652027932", "매물Link")</f>
        <v/>
      </c>
      <c r="R74" t="inlineStr">
        <is>
          <t>정보 없음</t>
        </is>
      </c>
      <c r="S74" t="inlineStr">
        <is>
          <t>정보 없음</t>
        </is>
      </c>
      <c r="T74" s="3" t="inlineStr">
        <is>
          <t>남청주ic합동무소</t>
        </is>
      </c>
      <c r="U74" s="4" t="n">
        <v>1</v>
      </c>
      <c r="V74" s="5" t="n">
        <v>0</v>
      </c>
      <c r="W74" s="3" t="inlineStr"/>
      <c r="X74" s="3" t="inlineStr">
        <is>
          <t>정보 없음</t>
        </is>
      </c>
      <c r="Y74" s="7" t="inlineStr">
        <is>
          <t>정보 없음</t>
        </is>
      </c>
      <c r="Z74" s="3" t="inlineStr">
        <is>
          <t>정보 없음</t>
        </is>
      </c>
      <c r="AA74" s="3" t="inlineStr">
        <is>
          <t>정보 없음</t>
        </is>
      </c>
      <c r="AB74" s="3" t="inlineStr">
        <is>
          <t>정보 없음</t>
        </is>
      </c>
      <c r="AC74" s="3" t="inlineStr">
        <is>
          <t>정보 없음</t>
        </is>
      </c>
      <c r="AD74" s="3" t="inlineStr">
        <is>
          <t>정보 없음</t>
        </is>
      </c>
    </row>
    <row r="75">
      <c r="A75" s="3" t="inlineStr">
        <is>
          <t>남이면 [노출거부]</t>
        </is>
      </c>
      <c r="B75" s="3" t="inlineStr">
        <is>
          <t>정보 없음</t>
        </is>
      </c>
      <c r="C75" s="3" t="inlineStr">
        <is>
          <t>정보 없음</t>
        </is>
      </c>
      <c r="D75" s="3" t="inlineStr">
        <is>
          <t>공장</t>
        </is>
      </c>
      <c r="E75" s="3" t="inlineStr">
        <is>
          <t>매매</t>
        </is>
      </c>
      <c r="F75" s="4" t="n">
        <v>73000</v>
      </c>
      <c r="G75" s="4" t="n">
        <v>0</v>
      </c>
      <c r="H75" s="4" t="n">
        <v>1261</v>
      </c>
      <c r="I75" s="4" t="n">
        <v>381</v>
      </c>
      <c r="J75" s="5" t="n">
        <v>191.6</v>
      </c>
      <c r="K75" s="4" t="n">
        <v>250</v>
      </c>
      <c r="L75" s="4" t="n">
        <v>76</v>
      </c>
      <c r="M75" s="5" t="n">
        <v>960.5</v>
      </c>
      <c r="N75" s="3" t="inlineStr">
        <is>
          <t>1</t>
        </is>
      </c>
      <c r="O75" s="3" t="inlineStr">
        <is>
          <t>-</t>
        </is>
      </c>
      <c r="P75" s="3" t="inlineStr">
        <is>
          <t>남청주IC 8분거리이며 2차선도로에 접근성 좋음 신축 공장이나 창고가능</t>
        </is>
      </c>
      <c r="Q75" s="6">
        <f>HYPERLINK("https://fin.land.naver.com/articles/2652625448", "매물Link")</f>
        <v/>
      </c>
      <c r="R75" t="inlineStr">
        <is>
          <t>정보 없음</t>
        </is>
      </c>
      <c r="S75" t="inlineStr">
        <is>
          <t>정보 없음</t>
        </is>
      </c>
      <c r="T75" s="3" t="inlineStr">
        <is>
          <t>더원</t>
        </is>
      </c>
      <c r="U75" s="4" t="n">
        <v>1</v>
      </c>
      <c r="V75" s="5" t="n">
        <v>0</v>
      </c>
      <c r="W75" s="3" t="inlineStr"/>
      <c r="X75" s="3" t="inlineStr">
        <is>
          <t>정보 없음</t>
        </is>
      </c>
      <c r="Y75" s="7" t="inlineStr">
        <is>
          <t>정보 없음</t>
        </is>
      </c>
      <c r="Z75" s="3" t="inlineStr">
        <is>
          <t>정보 없음</t>
        </is>
      </c>
      <c r="AA75" s="3" t="inlineStr">
        <is>
          <t>정보 없음</t>
        </is>
      </c>
      <c r="AB75" s="3" t="inlineStr">
        <is>
          <t>정보 없음</t>
        </is>
      </c>
      <c r="AC75" s="3" t="inlineStr">
        <is>
          <t>정보 없음</t>
        </is>
      </c>
      <c r="AD75" s="3" t="inlineStr">
        <is>
          <t>정보 없음</t>
        </is>
      </c>
    </row>
    <row r="76">
      <c r="A76" s="3" t="inlineStr">
        <is>
          <t>남이면 [노출거부]</t>
        </is>
      </c>
      <c r="B76" s="3" t="inlineStr">
        <is>
          <t>정보 없음</t>
        </is>
      </c>
      <c r="C76" s="3" t="inlineStr">
        <is>
          <t>정보 없음</t>
        </is>
      </c>
      <c r="D76" s="3" t="inlineStr">
        <is>
          <t>창고</t>
        </is>
      </c>
      <c r="E76" s="3" t="inlineStr">
        <is>
          <t>월세</t>
        </is>
      </c>
      <c r="F76" s="4" t="n">
        <v>2000</v>
      </c>
      <c r="G76" s="4" t="n">
        <v>150</v>
      </c>
      <c r="H76" s="4" t="n">
        <v>1133</v>
      </c>
      <c r="I76" s="4" t="n">
        <v>343</v>
      </c>
      <c r="J76" s="5" t="n">
        <v>0.4</v>
      </c>
      <c r="K76" s="4" t="n">
        <v>182</v>
      </c>
      <c r="L76" s="4" t="n">
        <v>55</v>
      </c>
      <c r="M76" s="5" t="n">
        <v>2.7</v>
      </c>
      <c r="N76" s="3" t="inlineStr">
        <is>
          <t>1</t>
        </is>
      </c>
      <c r="O76" s="3" t="inlineStr">
        <is>
          <t>-</t>
        </is>
      </c>
      <c r="P76" s="3" t="inlineStr">
        <is>
          <t>상발리 2차선도로 접 단독 마당 소규모창고 임대</t>
        </is>
      </c>
      <c r="Q76" s="6">
        <f>HYPERLINK("https://fin.land.naver.com/articles/2652625451", "매물Link")</f>
        <v/>
      </c>
      <c r="R76" t="inlineStr">
        <is>
          <t>정보 없음</t>
        </is>
      </c>
      <c r="S76" t="inlineStr">
        <is>
          <t>정보 없음</t>
        </is>
      </c>
      <c r="T76" s="3" t="inlineStr">
        <is>
          <t>더원</t>
        </is>
      </c>
      <c r="U76" s="4" t="n">
        <v>1</v>
      </c>
      <c r="V76" s="5" t="n">
        <v>0</v>
      </c>
      <c r="W76" s="3" t="inlineStr"/>
      <c r="X76" s="3" t="inlineStr">
        <is>
          <t>정보 없음</t>
        </is>
      </c>
      <c r="Y76" s="7" t="inlineStr">
        <is>
          <t>정보 없음</t>
        </is>
      </c>
      <c r="Z76" s="3" t="inlineStr">
        <is>
          <t>정보 없음</t>
        </is>
      </c>
      <c r="AA76" s="3" t="inlineStr">
        <is>
          <t>정보 없음</t>
        </is>
      </c>
      <c r="AB76" s="3" t="inlineStr">
        <is>
          <t>정보 없음</t>
        </is>
      </c>
      <c r="AC76" s="3" t="inlineStr">
        <is>
          <t>정보 없음</t>
        </is>
      </c>
      <c r="AD76" s="3" t="inlineStr">
        <is>
          <t>정보 없음</t>
        </is>
      </c>
    </row>
    <row r="77">
      <c r="A77" s="3" t="inlineStr">
        <is>
          <t>남이면 [노출거부]</t>
        </is>
      </c>
      <c r="B77" s="3" t="inlineStr">
        <is>
          <t>정보 없음</t>
        </is>
      </c>
      <c r="C77" s="3" t="inlineStr">
        <is>
          <t>정보 없음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5582</v>
      </c>
      <c r="I77" s="4" t="n">
        <v>1689</v>
      </c>
      <c r="J77" s="5" t="n">
        <v>165.8</v>
      </c>
      <c r="K77" s="4" t="n">
        <v>2126</v>
      </c>
      <c r="L77" s="4" t="n">
        <v>643</v>
      </c>
      <c r="M77" s="5" t="n">
        <v>435.5</v>
      </c>
      <c r="N77" s="3" t="inlineStr">
        <is>
          <t>1</t>
        </is>
      </c>
      <c r="O77" s="3" t="inlineStr">
        <is>
          <t>-</t>
        </is>
      </c>
      <c r="P77" s="3" t="inlineStr">
        <is>
          <t>남청주ic 6분거리로 고속도로 접근성 좋으며 대형차 진출입원활</t>
        </is>
      </c>
      <c r="Q77" s="6">
        <f>HYPERLINK("https://fin.land.naver.com/articles/2652625469", "매물Link")</f>
        <v/>
      </c>
      <c r="R77" t="inlineStr">
        <is>
          <t>정보 없음</t>
        </is>
      </c>
      <c r="S77" t="inlineStr">
        <is>
          <t>정보 없음</t>
        </is>
      </c>
      <c r="T77" s="3" t="inlineStr">
        <is>
          <t>더원</t>
        </is>
      </c>
      <c r="U77" s="4" t="n">
        <v>1</v>
      </c>
      <c r="V77" s="5" t="n">
        <v>0</v>
      </c>
      <c r="W77" s="3" t="inlineStr"/>
      <c r="X77" s="3" t="inlineStr">
        <is>
          <t>정보 없음</t>
        </is>
      </c>
      <c r="Y77" s="7" t="inlineStr">
        <is>
          <t>정보 없음</t>
        </is>
      </c>
      <c r="Z77" s="3" t="inlineStr">
        <is>
          <t>정보 없음</t>
        </is>
      </c>
      <c r="AA77" s="3" t="inlineStr">
        <is>
          <t>정보 없음</t>
        </is>
      </c>
      <c r="AB77" s="3" t="inlineStr">
        <is>
          <t>정보 없음</t>
        </is>
      </c>
      <c r="AC77" s="3" t="inlineStr">
        <is>
          <t>정보 없음</t>
        </is>
      </c>
      <c r="AD77" s="3" t="inlineStr">
        <is>
          <t>정보 없음</t>
        </is>
      </c>
    </row>
    <row r="78">
      <c r="A78" s="3" t="inlineStr">
        <is>
          <t>남이면 [노출거부]</t>
        </is>
      </c>
      <c r="B78" s="3" t="inlineStr">
        <is>
          <t>정보 없음</t>
        </is>
      </c>
      <c r="C78" s="3" t="inlineStr">
        <is>
          <t>정보 없음</t>
        </is>
      </c>
      <c r="D78" s="3" t="inlineStr">
        <is>
          <t>창고</t>
        </is>
      </c>
      <c r="E78" s="3" t="inlineStr">
        <is>
          <t>월세</t>
        </is>
      </c>
      <c r="F78" s="4" t="n">
        <v>3000</v>
      </c>
      <c r="G78" s="4" t="n">
        <v>300</v>
      </c>
      <c r="H78" s="4" t="n">
        <v>3524</v>
      </c>
      <c r="I78" s="4" t="n">
        <v>1066</v>
      </c>
      <c r="J78" s="5" t="n">
        <v>0.3</v>
      </c>
      <c r="K78" s="4" t="n">
        <v>270</v>
      </c>
      <c r="L78" s="4" t="n">
        <v>82</v>
      </c>
      <c r="M78" s="5" t="n">
        <v>3.7</v>
      </c>
      <c r="N78" s="3" t="inlineStr">
        <is>
          <t>1</t>
        </is>
      </c>
      <c r="O78" s="3" t="inlineStr">
        <is>
          <t>-</t>
        </is>
      </c>
      <c r="P78" s="3" t="inlineStr">
        <is>
          <t>청주,창고,마당넓음</t>
        </is>
      </c>
      <c r="Q78" s="6">
        <f>HYPERLINK("https://fin.land.naver.com/articles/2652707307", "매물Link")</f>
        <v/>
      </c>
      <c r="R78" t="inlineStr">
        <is>
          <t>정보 없음</t>
        </is>
      </c>
      <c r="S78" t="inlineStr">
        <is>
          <t>정보 없음</t>
        </is>
      </c>
      <c r="T78" s="3" t="inlineStr">
        <is>
          <t>LBA리치아노합동사무소</t>
        </is>
      </c>
      <c r="U78" s="4" t="n">
        <v>1</v>
      </c>
      <c r="V78" s="5" t="n">
        <v>0</v>
      </c>
      <c r="W78" s="3" t="inlineStr"/>
      <c r="X78" s="3" t="inlineStr">
        <is>
          <t>정보 없음</t>
        </is>
      </c>
      <c r="Y78" s="7" t="inlineStr">
        <is>
          <t>정보 없음</t>
        </is>
      </c>
      <c r="Z78" s="3" t="inlineStr">
        <is>
          <t>정보 없음</t>
        </is>
      </c>
      <c r="AA78" s="3" t="inlineStr">
        <is>
          <t>정보 없음</t>
        </is>
      </c>
      <c r="AB78" s="3" t="inlineStr">
        <is>
          <t>정보 없음</t>
        </is>
      </c>
      <c r="AC78" s="3" t="inlineStr">
        <is>
          <t>정보 없음</t>
        </is>
      </c>
      <c r="AD78" s="3" t="inlineStr">
        <is>
          <t>정보 없음</t>
        </is>
      </c>
    </row>
    <row r="79">
      <c r="A79" s="3" t="inlineStr">
        <is>
          <t>남이면 [노출거부]</t>
        </is>
      </c>
      <c r="B79" s="3" t="inlineStr">
        <is>
          <t>정보 없음</t>
        </is>
      </c>
      <c r="C79" s="3" t="inlineStr">
        <is>
          <t>정보 없음</t>
        </is>
      </c>
      <c r="D79" s="3" t="inlineStr">
        <is>
          <t>공장</t>
        </is>
      </c>
      <c r="E79" s="3" t="inlineStr">
        <is>
          <t>매매</t>
        </is>
      </c>
      <c r="F79" s="4" t="n">
        <v>50000</v>
      </c>
      <c r="G79" s="4" t="n">
        <v>0</v>
      </c>
      <c r="H79" s="4" t="n">
        <v>2334</v>
      </c>
      <c r="I79" s="4" t="n">
        <v>706</v>
      </c>
      <c r="J79" s="5" t="n">
        <v>70.8</v>
      </c>
      <c r="K79" s="4" t="n">
        <v>469</v>
      </c>
      <c r="L79" s="4" t="n">
        <v>142</v>
      </c>
      <c r="M79" s="5" t="n">
        <v>352.1</v>
      </c>
      <c r="N79" s="3" t="inlineStr">
        <is>
          <t>1</t>
        </is>
      </c>
      <c r="O79" s="3" t="inlineStr">
        <is>
          <t>-</t>
        </is>
      </c>
      <c r="P79" s="3" t="inlineStr">
        <is>
          <t>Point 남청주IC 약 10분, 주변 지가 상승,개발 호재,투자용 추천</t>
        </is>
      </c>
      <c r="Q79" s="6">
        <f>HYPERLINK("https://fin.land.naver.com/articles/2652420589", "매물Link")</f>
        <v/>
      </c>
      <c r="R79" t="inlineStr">
        <is>
          <t>정보 없음</t>
        </is>
      </c>
      <c r="S79" t="inlineStr">
        <is>
          <t>정보 없음</t>
        </is>
      </c>
      <c r="T79" s="3" t="inlineStr">
        <is>
          <t>도마호반</t>
        </is>
      </c>
      <c r="U79" s="4" t="n">
        <v>1</v>
      </c>
      <c r="V79" s="5" t="n">
        <v>0</v>
      </c>
      <c r="W79" s="3" t="inlineStr"/>
      <c r="X79" s="3" t="inlineStr">
        <is>
          <t>정보 없음</t>
        </is>
      </c>
      <c r="Y79" s="7" t="inlineStr">
        <is>
          <t>정보 없음</t>
        </is>
      </c>
      <c r="Z79" s="3" t="inlineStr">
        <is>
          <t>정보 없음</t>
        </is>
      </c>
      <c r="AA79" s="3" t="inlineStr">
        <is>
          <t>정보 없음</t>
        </is>
      </c>
      <c r="AB79" s="3" t="inlineStr">
        <is>
          <t>정보 없음</t>
        </is>
      </c>
      <c r="AC79" s="3" t="inlineStr">
        <is>
          <t>정보 없음</t>
        </is>
      </c>
      <c r="AD79" s="3" t="inlineStr">
        <is>
          <t>정보 없음</t>
        </is>
      </c>
    </row>
    <row r="80">
      <c r="A80" s="3" t="inlineStr">
        <is>
          <t>남이면 [노출거부]</t>
        </is>
      </c>
      <c r="B80" s="3" t="inlineStr">
        <is>
          <t>정보 없음</t>
        </is>
      </c>
      <c r="C80" s="3" t="inlineStr">
        <is>
          <t>정보 없음</t>
        </is>
      </c>
      <c r="D80" s="3" t="inlineStr">
        <is>
          <t>공장</t>
        </is>
      </c>
      <c r="E80" s="3" t="inlineStr">
        <is>
          <t>매매</t>
        </is>
      </c>
      <c r="F80" s="4" t="n">
        <v>110000</v>
      </c>
      <c r="G80" s="4" t="n">
        <v>0</v>
      </c>
      <c r="H80" s="4" t="n">
        <v>2315</v>
      </c>
      <c r="I80" s="4" t="n">
        <v>700</v>
      </c>
      <c r="J80" s="5" t="n">
        <v>157.1</v>
      </c>
      <c r="K80" s="4" t="n">
        <v>395</v>
      </c>
      <c r="L80" s="4" t="n">
        <v>119</v>
      </c>
      <c r="M80" s="5" t="n">
        <v>924.4</v>
      </c>
      <c r="N80" s="3" t="inlineStr">
        <is>
          <t>2</t>
        </is>
      </c>
      <c r="O80" s="3" t="inlineStr">
        <is>
          <t>-</t>
        </is>
      </c>
      <c r="P80" s="3" t="inlineStr">
        <is>
          <t>남청주ic 접근성 좋은 위치의 사무실완비된 공장</t>
        </is>
      </c>
      <c r="Q80" s="6">
        <f>HYPERLINK("https://fin.land.naver.com/articles/2652978176", "매물Link")</f>
        <v/>
      </c>
      <c r="R80" t="inlineStr">
        <is>
          <t>정보 없음</t>
        </is>
      </c>
      <c r="S80" t="inlineStr">
        <is>
          <t>정보 없음</t>
        </is>
      </c>
      <c r="T80" s="3" t="inlineStr">
        <is>
          <t>더원</t>
        </is>
      </c>
      <c r="U80" s="4" t="n">
        <v>1</v>
      </c>
      <c r="V80" s="5" t="n">
        <v>0</v>
      </c>
      <c r="W80" s="3" t="inlineStr"/>
      <c r="X80" s="3" t="inlineStr">
        <is>
          <t>정보 없음</t>
        </is>
      </c>
      <c r="Y80" s="7" t="inlineStr">
        <is>
          <t>정보 없음</t>
        </is>
      </c>
      <c r="Z80" s="3" t="inlineStr">
        <is>
          <t>정보 없음</t>
        </is>
      </c>
      <c r="AA80" s="3" t="inlineStr">
        <is>
          <t>정보 없음</t>
        </is>
      </c>
      <c r="AB80" s="3" t="inlineStr">
        <is>
          <t>정보 없음</t>
        </is>
      </c>
      <c r="AC80" s="3" t="inlineStr">
        <is>
          <t>정보 없음</t>
        </is>
      </c>
      <c r="AD80" s="3" t="inlineStr">
        <is>
          <t>정보 없음</t>
        </is>
      </c>
    </row>
    <row r="81">
      <c r="A81" s="3" t="inlineStr">
        <is>
          <t>남이면 [노출거부]</t>
        </is>
      </c>
      <c r="B81" s="3" t="inlineStr">
        <is>
          <t>정보 없음</t>
        </is>
      </c>
      <c r="C81" s="3" t="inlineStr">
        <is>
          <t>정보 없음</t>
        </is>
      </c>
      <c r="D81" s="3" t="inlineStr">
        <is>
          <t>공장</t>
        </is>
      </c>
      <c r="E81" s="3" t="inlineStr">
        <is>
          <t>매매</t>
        </is>
      </c>
      <c r="F81" s="4" t="n">
        <v>400000</v>
      </c>
      <c r="G81" s="4" t="n">
        <v>0</v>
      </c>
      <c r="H81" s="4" t="n">
        <v>6600</v>
      </c>
      <c r="I81" s="4" t="n">
        <v>1996</v>
      </c>
      <c r="J81" s="5" t="n">
        <v>200.4</v>
      </c>
      <c r="K81" s="4" t="n">
        <v>1544</v>
      </c>
      <c r="L81" s="4" t="n">
        <v>467</v>
      </c>
      <c r="M81" s="5" t="n">
        <v>856.5</v>
      </c>
      <c r="N81" s="3" t="inlineStr">
        <is>
          <t>1</t>
        </is>
      </c>
      <c r="O81" s="3" t="inlineStr">
        <is>
          <t>-</t>
        </is>
      </c>
      <c r="P81" s="3" t="inlineStr">
        <is>
          <t>남청주ic 6분거리의 신축공장매매 대형차진출입원활</t>
        </is>
      </c>
      <c r="Q81" s="6">
        <f>HYPERLINK("https://fin.land.naver.com/articles/2652625446", "매물Link")</f>
        <v/>
      </c>
      <c r="R81" t="inlineStr">
        <is>
          <t>정보 없음</t>
        </is>
      </c>
      <c r="S81" t="inlineStr">
        <is>
          <t>정보 없음</t>
        </is>
      </c>
      <c r="T81" s="3" t="inlineStr">
        <is>
          <t>더원</t>
        </is>
      </c>
      <c r="U81" s="4" t="n">
        <v>1</v>
      </c>
      <c r="V81" s="5" t="n">
        <v>0</v>
      </c>
      <c r="W81" s="3" t="inlineStr"/>
      <c r="X81" s="3" t="inlineStr">
        <is>
          <t>정보 없음</t>
        </is>
      </c>
      <c r="Y81" s="7" t="inlineStr">
        <is>
          <t>정보 없음</t>
        </is>
      </c>
      <c r="Z81" s="3" t="inlineStr">
        <is>
          <t>정보 없음</t>
        </is>
      </c>
      <c r="AA81" s="3" t="inlineStr">
        <is>
          <t>정보 없음</t>
        </is>
      </c>
      <c r="AB81" s="3" t="inlineStr">
        <is>
          <t>정보 없음</t>
        </is>
      </c>
      <c r="AC81" s="3" t="inlineStr">
        <is>
          <t>정보 없음</t>
        </is>
      </c>
      <c r="AD81" s="3" t="inlineStr">
        <is>
          <t>정보 없음</t>
        </is>
      </c>
    </row>
    <row r="82">
      <c r="A82" s="3" t="inlineStr">
        <is>
          <t>남이면 [노출거부]</t>
        </is>
      </c>
      <c r="B82" s="3" t="inlineStr">
        <is>
          <t>정보 없음</t>
        </is>
      </c>
      <c r="C82" s="3" t="inlineStr">
        <is>
          <t>정보 없음</t>
        </is>
      </c>
      <c r="D82" s="3" t="inlineStr">
        <is>
          <t>공장</t>
        </is>
      </c>
      <c r="E82" s="3" t="inlineStr">
        <is>
          <t>월세</t>
        </is>
      </c>
      <c r="F82" s="4" t="n">
        <v>7000</v>
      </c>
      <c r="G82" s="4" t="n">
        <v>700</v>
      </c>
      <c r="H82" s="4" t="n">
        <v>2473</v>
      </c>
      <c r="I82" s="4" t="n">
        <v>748</v>
      </c>
      <c r="J82" s="5" t="n">
        <v>0.9</v>
      </c>
      <c r="K82" s="4" t="n">
        <v>987</v>
      </c>
      <c r="L82" s="4" t="n">
        <v>299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HYPERLINK("https://fin.land.naver.com/articles/2648338776", "매물Link")</f>
        <v/>
      </c>
      <c r="R82" t="inlineStr">
        <is>
          <t>정보 없음</t>
        </is>
      </c>
      <c r="S82" t="inlineStr">
        <is>
          <t>정보 없음</t>
        </is>
      </c>
      <c r="T82" s="3" t="inlineStr">
        <is>
          <t>오너스</t>
        </is>
      </c>
      <c r="U82" s="4" t="n">
        <v>1</v>
      </c>
      <c r="V82" s="5" t="n">
        <v>0</v>
      </c>
      <c r="W82" s="3" t="inlineStr"/>
      <c r="X82" s="3" t="inlineStr">
        <is>
          <t>정보 없음</t>
        </is>
      </c>
      <c r="Y82" s="7" t="inlineStr">
        <is>
          <t>정보 없음</t>
        </is>
      </c>
      <c r="Z82" s="3" t="inlineStr">
        <is>
          <t>정보 없음</t>
        </is>
      </c>
      <c r="AA82" s="3" t="inlineStr">
        <is>
          <t>정보 없음</t>
        </is>
      </c>
      <c r="AB82" s="3" t="inlineStr">
        <is>
          <t>정보 없음</t>
        </is>
      </c>
      <c r="AC82" s="3" t="inlineStr">
        <is>
          <t>정보 없음</t>
        </is>
      </c>
      <c r="AD82" s="3" t="inlineStr">
        <is>
          <t>정보 없음</t>
        </is>
      </c>
    </row>
    <row r="83">
      <c r="A83" s="3" t="inlineStr">
        <is>
          <t>남이면 [노출거부]</t>
        </is>
      </c>
      <c r="B83" s="3" t="inlineStr">
        <is>
          <t>정보 없음</t>
        </is>
      </c>
      <c r="C83" s="3" t="inlineStr">
        <is>
          <t>정보 없음</t>
        </is>
      </c>
      <c r="D83" s="3" t="inlineStr">
        <is>
          <t>공장</t>
        </is>
      </c>
      <c r="E83" s="3" t="inlineStr">
        <is>
          <t>매매</t>
        </is>
      </c>
      <c r="F83" s="4" t="n">
        <v>80000</v>
      </c>
      <c r="G83" s="4" t="n">
        <v>0</v>
      </c>
      <c r="H83" s="4" t="n">
        <v>2494</v>
      </c>
      <c r="I83" s="4" t="n">
        <v>754</v>
      </c>
      <c r="J83" s="5" t="n">
        <v>106.1</v>
      </c>
      <c r="K83" s="4" t="n">
        <v>475</v>
      </c>
      <c r="L83" s="4" t="n">
        <v>144</v>
      </c>
      <c r="M83" s="5" t="n">
        <v>555.6</v>
      </c>
      <c r="N83" s="3" t="inlineStr">
        <is>
          <t>2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HYPERLINK("https://fin.land.naver.com/articles/2648272162", "매물Link")</f>
        <v/>
      </c>
      <c r="R83" t="inlineStr">
        <is>
          <t>정보 없음</t>
        </is>
      </c>
      <c r="S83" t="inlineStr">
        <is>
          <t>정보 없음</t>
        </is>
      </c>
      <c r="T83" s="3" t="inlineStr">
        <is>
          <t>신영</t>
        </is>
      </c>
      <c r="U83" s="4" t="n">
        <v>1</v>
      </c>
      <c r="V83" s="5" t="n">
        <v>0</v>
      </c>
      <c r="W83" s="3" t="inlineStr"/>
      <c r="X83" s="3" t="inlineStr">
        <is>
          <t>정보 없음</t>
        </is>
      </c>
      <c r="Y83" s="7" t="inlineStr">
        <is>
          <t>정보 없음</t>
        </is>
      </c>
      <c r="Z83" s="3" t="inlineStr">
        <is>
          <t>정보 없음</t>
        </is>
      </c>
      <c r="AA83" s="3" t="inlineStr">
        <is>
          <t>정보 없음</t>
        </is>
      </c>
      <c r="AB83" s="3" t="inlineStr">
        <is>
          <t>정보 없음</t>
        </is>
      </c>
      <c r="AC83" s="3" t="inlineStr">
        <is>
          <t>정보 없음</t>
        </is>
      </c>
      <c r="AD83" s="3" t="inlineStr">
        <is>
          <t>정보 없음</t>
        </is>
      </c>
    </row>
    <row r="84">
      <c r="A84" s="3" t="inlineStr">
        <is>
          <t>남이면 [노출거부]</t>
        </is>
      </c>
      <c r="B84" s="3" t="inlineStr">
        <is>
          <t>정보 없음</t>
        </is>
      </c>
      <c r="C84" s="3" t="inlineStr">
        <is>
          <t>정보 없음</t>
        </is>
      </c>
      <c r="D84" s="3" t="inlineStr">
        <is>
          <t>공장</t>
        </is>
      </c>
      <c r="E84" s="3" t="inlineStr">
        <is>
          <t>매매</t>
        </is>
      </c>
      <c r="F84" s="4" t="n">
        <v>350000</v>
      </c>
      <c r="G84" s="4" t="n">
        <v>0</v>
      </c>
      <c r="H84" s="4" t="n">
        <v>5052</v>
      </c>
      <c r="I84" s="4" t="n">
        <v>1528</v>
      </c>
      <c r="J84" s="5" t="n">
        <v>229.1</v>
      </c>
      <c r="K84" s="4" t="n">
        <v>601</v>
      </c>
      <c r="L84" s="4" t="n">
        <v>182</v>
      </c>
      <c r="M84" s="5" t="n">
        <v>1923.1</v>
      </c>
      <c r="N84" s="3" t="inlineStr">
        <is>
          <t>1</t>
        </is>
      </c>
      <c r="O84" s="3" t="inlineStr">
        <is>
          <t>-</t>
        </is>
      </c>
      <c r="P84" s="3" t="inlineStr">
        <is>
          <t>신축공장 매매2동</t>
        </is>
      </c>
      <c r="Q84" s="6">
        <f>HYPERLINK("https://fin.land.naver.com/articles/2648000913", "매물Link")</f>
        <v/>
      </c>
      <c r="R84" t="inlineStr">
        <is>
          <t>정보 없음</t>
        </is>
      </c>
      <c r="S84" t="inlineStr">
        <is>
          <t>정보 없음</t>
        </is>
      </c>
      <c r="T84" s="3" t="inlineStr">
        <is>
          <t>정세영</t>
        </is>
      </c>
      <c r="U84" s="4" t="n">
        <v>1</v>
      </c>
      <c r="V84" s="5" t="n">
        <v>0</v>
      </c>
      <c r="W84" s="3" t="inlineStr"/>
      <c r="X84" s="3" t="inlineStr">
        <is>
          <t>정보 없음</t>
        </is>
      </c>
      <c r="Y84" s="7" t="inlineStr">
        <is>
          <t>정보 없음</t>
        </is>
      </c>
      <c r="Z84" s="3" t="inlineStr">
        <is>
          <t>정보 없음</t>
        </is>
      </c>
      <c r="AA84" s="3" t="inlineStr">
        <is>
          <t>정보 없음</t>
        </is>
      </c>
      <c r="AB84" s="3" t="inlineStr">
        <is>
          <t>정보 없음</t>
        </is>
      </c>
      <c r="AC84" s="3" t="inlineStr">
        <is>
          <t>정보 없음</t>
        </is>
      </c>
      <c r="AD84" s="3" t="inlineStr">
        <is>
          <t>정보 없음</t>
        </is>
      </c>
    </row>
    <row r="85">
      <c r="A85" s="3" t="inlineStr">
        <is>
          <t>남이면 [노출거부]</t>
        </is>
      </c>
      <c r="B85" s="3" t="inlineStr">
        <is>
          <t>정보 없음</t>
        </is>
      </c>
      <c r="C85" s="3" t="inlineStr">
        <is>
          <t>정보 없음</t>
        </is>
      </c>
      <c r="D85" s="3" t="inlineStr">
        <is>
          <t>공장</t>
        </is>
      </c>
      <c r="E85" s="3" t="inlineStr">
        <is>
          <t>매매</t>
        </is>
      </c>
      <c r="F85" s="4" t="n">
        <v>100000</v>
      </c>
      <c r="G85" s="4" t="n">
        <v>0</v>
      </c>
      <c r="H85" s="4" t="n">
        <v>1462</v>
      </c>
      <c r="I85" s="4" t="n">
        <v>442</v>
      </c>
      <c r="J85" s="5" t="n">
        <v>226.2</v>
      </c>
      <c r="K85" s="4" t="n">
        <v>291</v>
      </c>
      <c r="L85" s="4" t="n">
        <v>88</v>
      </c>
      <c r="M85" s="5" t="n">
        <v>1136.4</v>
      </c>
      <c r="N85" s="3" t="inlineStr">
        <is>
          <t>1</t>
        </is>
      </c>
      <c r="O85" s="3" t="inlineStr">
        <is>
          <t>-</t>
        </is>
      </c>
      <c r="P85" s="3" t="inlineStr">
        <is>
          <t>남청주ic 8분거리 신축 2종근린생활시설 제조업이나 창고가능</t>
        </is>
      </c>
      <c r="Q85" s="6">
        <f>HYPERLINK("https://fin.land.naver.com/articles/2652625431", "매물Link")</f>
        <v/>
      </c>
      <c r="R85" t="inlineStr">
        <is>
          <t>정보 없음</t>
        </is>
      </c>
      <c r="S85" t="inlineStr">
        <is>
          <t>정보 없음</t>
        </is>
      </c>
      <c r="T85" s="3" t="inlineStr">
        <is>
          <t>더원</t>
        </is>
      </c>
      <c r="U85" s="4" t="n">
        <v>1</v>
      </c>
      <c r="V85" s="5" t="n">
        <v>0</v>
      </c>
      <c r="W85" s="3" t="inlineStr"/>
      <c r="X85" s="3" t="inlineStr">
        <is>
          <t>정보 없음</t>
        </is>
      </c>
      <c r="Y85" s="7" t="inlineStr">
        <is>
          <t>정보 없음</t>
        </is>
      </c>
      <c r="Z85" s="3" t="inlineStr">
        <is>
          <t>정보 없음</t>
        </is>
      </c>
      <c r="AA85" s="3" t="inlineStr">
        <is>
          <t>정보 없음</t>
        </is>
      </c>
      <c r="AB85" s="3" t="inlineStr">
        <is>
          <t>정보 없음</t>
        </is>
      </c>
      <c r="AC85" s="3" t="inlineStr">
        <is>
          <t>정보 없음</t>
        </is>
      </c>
      <c r="AD85" s="3" t="inlineStr">
        <is>
          <t>정보 없음</t>
        </is>
      </c>
    </row>
    <row r="86">
      <c r="A86" s="3" t="inlineStr">
        <is>
          <t>남이면 [노출거부]</t>
        </is>
      </c>
      <c r="B86" s="3" t="inlineStr">
        <is>
          <t>정보 없음</t>
        </is>
      </c>
      <c r="C86" s="3" t="inlineStr">
        <is>
          <t>정보 없음</t>
        </is>
      </c>
      <c r="D86" s="3" t="inlineStr">
        <is>
          <t>공장</t>
        </is>
      </c>
      <c r="E86" s="3" t="inlineStr">
        <is>
          <t>매매</t>
        </is>
      </c>
      <c r="F86" s="4" t="n">
        <v>145000</v>
      </c>
      <c r="G86" s="4" t="n">
        <v>0</v>
      </c>
      <c r="H86" s="4" t="n">
        <v>2697</v>
      </c>
      <c r="I86" s="4" t="n">
        <v>816</v>
      </c>
      <c r="J86" s="5" t="n">
        <v>177.7</v>
      </c>
      <c r="K86" s="4" t="n">
        <v>526</v>
      </c>
      <c r="L86" s="4" t="n">
        <v>159</v>
      </c>
      <c r="M86" s="5" t="n">
        <v>911.9</v>
      </c>
      <c r="N86" s="3" t="inlineStr">
        <is>
          <t>1</t>
        </is>
      </c>
      <c r="O86" s="3" t="inlineStr">
        <is>
          <t>-</t>
        </is>
      </c>
      <c r="P86" s="3" t="inlineStr">
        <is>
          <t>남청주ic 8분거리 2차선도로에 접근성 좋은 신축 공장이나 창고가능</t>
        </is>
      </c>
      <c r="Q86" s="6">
        <f>HYPERLINK("https://fin.land.naver.com/articles/2652625491", "매물Link")</f>
        <v/>
      </c>
      <c r="R86" t="inlineStr">
        <is>
          <t>정보 없음</t>
        </is>
      </c>
      <c r="S86" t="inlineStr">
        <is>
          <t>정보 없음</t>
        </is>
      </c>
      <c r="T86" s="3" t="inlineStr">
        <is>
          <t>더원</t>
        </is>
      </c>
      <c r="U86" s="4" t="n">
        <v>1</v>
      </c>
      <c r="V86" s="5" t="n">
        <v>0</v>
      </c>
      <c r="W86" s="3" t="inlineStr"/>
      <c r="X86" s="3" t="inlineStr">
        <is>
          <t>정보 없음</t>
        </is>
      </c>
      <c r="Y86" s="7" t="inlineStr">
        <is>
          <t>정보 없음</t>
        </is>
      </c>
      <c r="Z86" s="3" t="inlineStr">
        <is>
          <t>정보 없음</t>
        </is>
      </c>
      <c r="AA86" s="3" t="inlineStr">
        <is>
          <t>정보 없음</t>
        </is>
      </c>
      <c r="AB86" s="3" t="inlineStr">
        <is>
          <t>정보 없음</t>
        </is>
      </c>
      <c r="AC86" s="3" t="inlineStr">
        <is>
          <t>정보 없음</t>
        </is>
      </c>
      <c r="AD86" s="3" t="inlineStr">
        <is>
          <t>정보 없음</t>
        </is>
      </c>
    </row>
    <row r="87">
      <c r="A87" s="3" t="inlineStr">
        <is>
          <t>남이면 [노출거부]</t>
        </is>
      </c>
      <c r="B87" s="3" t="inlineStr">
        <is>
          <t>정보 없음</t>
        </is>
      </c>
      <c r="C87" s="3" t="inlineStr">
        <is>
          <t>정보 없음</t>
        </is>
      </c>
      <c r="D87" s="3" t="inlineStr">
        <is>
          <t>공장</t>
        </is>
      </c>
      <c r="E87" s="3" t="inlineStr">
        <is>
          <t>월세</t>
        </is>
      </c>
      <c r="F87" s="4" t="n">
        <v>5500</v>
      </c>
      <c r="G87" s="4" t="n">
        <v>550</v>
      </c>
      <c r="H87" s="4" t="n">
        <v>6600</v>
      </c>
      <c r="I87" s="4" t="n">
        <v>1996</v>
      </c>
      <c r="J87" s="5" t="n">
        <v>0.3</v>
      </c>
      <c r="K87" s="4" t="n">
        <v>725</v>
      </c>
      <c r="L87" s="4" t="n">
        <v>219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남청주ic 접근성 좋은 위치의 신축 공장 이나 창고가능 층고11m</t>
        </is>
      </c>
      <c r="Q87" s="6">
        <f>HYPERLINK("https://fin.land.naver.com/articles/2652625407", "매물Link")</f>
        <v/>
      </c>
      <c r="R87" t="inlineStr">
        <is>
          <t>정보 없음</t>
        </is>
      </c>
      <c r="S87" t="inlineStr">
        <is>
          <t>정보 없음</t>
        </is>
      </c>
      <c r="T87" s="3" t="inlineStr">
        <is>
          <t>더원</t>
        </is>
      </c>
      <c r="U87" s="4" t="n">
        <v>1</v>
      </c>
      <c r="V87" s="5" t="n">
        <v>0</v>
      </c>
      <c r="W87" s="3" t="inlineStr"/>
      <c r="X87" s="3" t="inlineStr">
        <is>
          <t>정보 없음</t>
        </is>
      </c>
      <c r="Y87" s="7" t="inlineStr">
        <is>
          <t>정보 없음</t>
        </is>
      </c>
      <c r="Z87" s="3" t="inlineStr">
        <is>
          <t>정보 없음</t>
        </is>
      </c>
      <c r="AA87" s="3" t="inlineStr">
        <is>
          <t>정보 없음</t>
        </is>
      </c>
      <c r="AB87" s="3" t="inlineStr">
        <is>
          <t>정보 없음</t>
        </is>
      </c>
      <c r="AC87" s="3" t="inlineStr">
        <is>
          <t>정보 없음</t>
        </is>
      </c>
      <c r="AD87" s="3" t="inlineStr">
        <is>
          <t>정보 없음</t>
        </is>
      </c>
    </row>
    <row r="88">
      <c r="A88" s="3" t="inlineStr">
        <is>
          <t>남이면 [노출거부]</t>
        </is>
      </c>
      <c r="B88" s="3" t="inlineStr">
        <is>
          <t>정보 없음</t>
        </is>
      </c>
      <c r="C88" s="3" t="inlineStr">
        <is>
          <t>정보 없음</t>
        </is>
      </c>
      <c r="D88" s="3" t="inlineStr">
        <is>
          <t>공장</t>
        </is>
      </c>
      <c r="E88" s="3" t="inlineStr">
        <is>
          <t>월세</t>
        </is>
      </c>
      <c r="F88" s="4" t="n">
        <v>4500</v>
      </c>
      <c r="G88" s="4" t="n">
        <v>450</v>
      </c>
      <c r="H88" s="4" t="n">
        <v>3779</v>
      </c>
      <c r="I88" s="4" t="n">
        <v>1143</v>
      </c>
      <c r="J88" s="5" t="n">
        <v>0.4</v>
      </c>
      <c r="K88" s="4" t="n">
        <v>600</v>
      </c>
      <c r="L88" s="4" t="n">
        <v>182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남청주ic 인접 세종청주로 인근 세종 오송 석곡교차로 접근성 좋음</t>
        </is>
      </c>
      <c r="Q88" s="6">
        <f>HYPERLINK("https://fin.land.naver.com/articles/2651673556", "매물Link")</f>
        <v/>
      </c>
      <c r="R88" t="inlineStr">
        <is>
          <t>정보 없음</t>
        </is>
      </c>
      <c r="S88" t="inlineStr">
        <is>
          <t>정보 없음</t>
        </is>
      </c>
      <c r="T88" s="3" t="inlineStr">
        <is>
          <t>더원</t>
        </is>
      </c>
      <c r="U88" s="4" t="n">
        <v>1</v>
      </c>
      <c r="V88" s="5" t="n">
        <v>0</v>
      </c>
      <c r="W88" s="3" t="inlineStr"/>
      <c r="X88" s="3" t="inlineStr">
        <is>
          <t>정보 없음</t>
        </is>
      </c>
      <c r="Y88" s="7" t="inlineStr">
        <is>
          <t>정보 없음</t>
        </is>
      </c>
      <c r="Z88" s="3" t="inlineStr">
        <is>
          <t>정보 없음</t>
        </is>
      </c>
      <c r="AA88" s="3" t="inlineStr">
        <is>
          <t>정보 없음</t>
        </is>
      </c>
      <c r="AB88" s="3" t="inlineStr">
        <is>
          <t>정보 없음</t>
        </is>
      </c>
      <c r="AC88" s="3" t="inlineStr">
        <is>
          <t>정보 없음</t>
        </is>
      </c>
      <c r="AD88" s="3" t="inlineStr">
        <is>
          <t>정보 없음</t>
        </is>
      </c>
    </row>
    <row r="89">
      <c r="A89" s="3" t="inlineStr">
        <is>
          <t>남이면 [노출거부]</t>
        </is>
      </c>
      <c r="B89" s="3" t="inlineStr">
        <is>
          <t>정보 없음</t>
        </is>
      </c>
      <c r="C89" s="3" t="inlineStr">
        <is>
          <t>정보 없음</t>
        </is>
      </c>
      <c r="D89" s="3" t="inlineStr">
        <is>
          <t>창고</t>
        </is>
      </c>
      <c r="E89" s="3" t="inlineStr">
        <is>
          <t>월세</t>
        </is>
      </c>
      <c r="F89" s="4" t="n">
        <v>6500</v>
      </c>
      <c r="G89" s="4" t="n">
        <v>650</v>
      </c>
      <c r="H89" s="4" t="n">
        <v>2671</v>
      </c>
      <c r="I89" s="4" t="n">
        <v>808</v>
      </c>
      <c r="J89" s="5" t="n">
        <v>0.8</v>
      </c>
      <c r="K89" s="4" t="n">
        <v>1025</v>
      </c>
      <c r="L89" s="4" t="n">
        <v>310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남청주ic 8분  창고 임대 냉동창고 4개설치 청주도심인접</t>
        </is>
      </c>
      <c r="Q89" s="6">
        <f>HYPERLINK("https://fin.land.naver.com/articles/2651673572", "매물Link")</f>
        <v/>
      </c>
      <c r="R89" t="inlineStr">
        <is>
          <t>정보 없음</t>
        </is>
      </c>
      <c r="S89" t="inlineStr">
        <is>
          <t>정보 없음</t>
        </is>
      </c>
      <c r="T89" s="3" t="inlineStr">
        <is>
          <t>더원</t>
        </is>
      </c>
      <c r="U89" s="4" t="n">
        <v>1</v>
      </c>
      <c r="V89" s="5" t="n">
        <v>0</v>
      </c>
      <c r="W89" s="3" t="inlineStr"/>
      <c r="X89" s="3" t="inlineStr">
        <is>
          <t>정보 없음</t>
        </is>
      </c>
      <c r="Y89" s="7" t="inlineStr">
        <is>
          <t>정보 없음</t>
        </is>
      </c>
      <c r="Z89" s="3" t="inlineStr">
        <is>
          <t>정보 없음</t>
        </is>
      </c>
      <c r="AA89" s="3" t="inlineStr">
        <is>
          <t>정보 없음</t>
        </is>
      </c>
      <c r="AB89" s="3" t="inlineStr">
        <is>
          <t>정보 없음</t>
        </is>
      </c>
      <c r="AC89" s="3" t="inlineStr">
        <is>
          <t>정보 없음</t>
        </is>
      </c>
      <c r="AD89" s="3" t="inlineStr">
        <is>
          <t>정보 없음</t>
        </is>
      </c>
    </row>
    <row r="90">
      <c r="A90" s="3" t="inlineStr">
        <is>
          <t>남이면 [노출거부]</t>
        </is>
      </c>
      <c r="B90" s="3" t="inlineStr">
        <is>
          <t>정보 없음</t>
        </is>
      </c>
      <c r="C90" s="3" t="inlineStr">
        <is>
          <t>정보 없음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575</v>
      </c>
      <c r="H90" s="4" t="n">
        <v>2083</v>
      </c>
      <c r="I90" s="4" t="n">
        <v>630</v>
      </c>
      <c r="J90" s="5" t="n">
        <v>0.9</v>
      </c>
      <c r="K90" s="4" t="n">
        <v>827</v>
      </c>
      <c r="L90" s="4" t="n">
        <v>250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세종청주로 인근 석곡사거리 5분거리 층고11m 입주협의</t>
        </is>
      </c>
      <c r="Q90" s="6">
        <f>HYPERLINK("https://fin.land.naver.com/articles/2651673624", "매물Link")</f>
        <v/>
      </c>
      <c r="R90" t="inlineStr">
        <is>
          <t>정보 없음</t>
        </is>
      </c>
      <c r="S90" t="inlineStr">
        <is>
          <t>정보 없음</t>
        </is>
      </c>
      <c r="T90" s="3" t="inlineStr">
        <is>
          <t>더원</t>
        </is>
      </c>
      <c r="U90" s="4" t="n">
        <v>1</v>
      </c>
      <c r="V90" s="5" t="n">
        <v>0</v>
      </c>
      <c r="W90" s="3" t="inlineStr"/>
      <c r="X90" s="3" t="inlineStr">
        <is>
          <t>정보 없음</t>
        </is>
      </c>
      <c r="Y90" s="7" t="inlineStr">
        <is>
          <t>정보 없음</t>
        </is>
      </c>
      <c r="Z90" s="3" t="inlineStr">
        <is>
          <t>정보 없음</t>
        </is>
      </c>
      <c r="AA90" s="3" t="inlineStr">
        <is>
          <t>정보 없음</t>
        </is>
      </c>
      <c r="AB90" s="3" t="inlineStr">
        <is>
          <t>정보 없음</t>
        </is>
      </c>
      <c r="AC90" s="3" t="inlineStr">
        <is>
          <t>정보 없음</t>
        </is>
      </c>
      <c r="AD90" s="3" t="inlineStr">
        <is>
          <t>정보 없음</t>
        </is>
      </c>
    </row>
    <row r="91">
      <c r="A91" s="3" t="inlineStr">
        <is>
          <t>남이면 [노출거부]</t>
        </is>
      </c>
      <c r="B91" s="3" t="inlineStr">
        <is>
          <t>정보 없음</t>
        </is>
      </c>
      <c r="C91" s="3" t="inlineStr">
        <is>
          <t>정보 없음</t>
        </is>
      </c>
      <c r="D91" s="3" t="inlineStr">
        <is>
          <t>공장</t>
        </is>
      </c>
      <c r="E91" s="3" t="inlineStr">
        <is>
          <t>월세</t>
        </is>
      </c>
      <c r="F91" s="4" t="n">
        <v>5000</v>
      </c>
      <c r="G91" s="4" t="n">
        <v>490</v>
      </c>
      <c r="H91" s="4" t="n">
        <v>1777</v>
      </c>
      <c r="I91" s="4" t="n">
        <v>538</v>
      </c>
      <c r="J91" s="5" t="n">
        <v>0.9</v>
      </c>
      <c r="K91" s="4" t="n">
        <v>704</v>
      </c>
      <c r="L91" s="4" t="n">
        <v>213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남청주ic 9분  2차선도로 상수도 하수종말처리장 직관 식품업종도 가능</t>
        </is>
      </c>
      <c r="Q91" s="6">
        <f>HYPERLINK("https://fin.land.naver.com/articles/2651673666", "매물Link")</f>
        <v/>
      </c>
      <c r="R91" t="inlineStr">
        <is>
          <t>정보 없음</t>
        </is>
      </c>
      <c r="S91" t="inlineStr">
        <is>
          <t>정보 없음</t>
        </is>
      </c>
      <c r="T91" s="3" t="inlineStr">
        <is>
          <t>더원</t>
        </is>
      </c>
      <c r="U91" s="4" t="n">
        <v>1</v>
      </c>
      <c r="V91" s="5" t="n">
        <v>0</v>
      </c>
      <c r="W91" s="3" t="inlineStr"/>
      <c r="X91" s="3" t="inlineStr">
        <is>
          <t>정보 없음</t>
        </is>
      </c>
      <c r="Y91" s="7" t="inlineStr">
        <is>
          <t>정보 없음</t>
        </is>
      </c>
      <c r="Z91" s="3" t="inlineStr">
        <is>
          <t>정보 없음</t>
        </is>
      </c>
      <c r="AA91" s="3" t="inlineStr">
        <is>
          <t>정보 없음</t>
        </is>
      </c>
      <c r="AB91" s="3" t="inlineStr">
        <is>
          <t>정보 없음</t>
        </is>
      </c>
      <c r="AC91" s="3" t="inlineStr">
        <is>
          <t>정보 없음</t>
        </is>
      </c>
      <c r="AD91" s="3" t="inlineStr">
        <is>
          <t>정보 없음</t>
        </is>
      </c>
    </row>
    <row r="92">
      <c r="A92" s="3" t="inlineStr">
        <is>
          <t>남이면 [노출거부]</t>
        </is>
      </c>
      <c r="B92" s="3" t="inlineStr">
        <is>
          <t>정보 없음</t>
        </is>
      </c>
      <c r="C92" s="3" t="inlineStr">
        <is>
          <t>정보 없음</t>
        </is>
      </c>
      <c r="D92" s="3" t="inlineStr">
        <is>
          <t>창고</t>
        </is>
      </c>
      <c r="E92" s="3" t="inlineStr">
        <is>
          <t>월세</t>
        </is>
      </c>
      <c r="F92" s="4" t="n">
        <v>7500</v>
      </c>
      <c r="G92" s="4" t="n">
        <v>750</v>
      </c>
      <c r="H92" s="4" t="n">
        <v>4960</v>
      </c>
      <c r="I92" s="4" t="n">
        <v>1500</v>
      </c>
      <c r="J92" s="5" t="n">
        <v>0.5</v>
      </c>
      <c r="K92" s="4" t="n">
        <v>990</v>
      </c>
      <c r="L92" s="4" t="n">
        <v>299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남청주ic 접근성 좋고 야드 넓어 야적 및 적재 공간 충분</t>
        </is>
      </c>
      <c r="Q92" s="6">
        <f>HYPERLINK("https://fin.land.naver.com/articles/2651673727", "매물Link")</f>
        <v/>
      </c>
      <c r="R92" t="inlineStr">
        <is>
          <t>정보 없음</t>
        </is>
      </c>
      <c r="S92" t="inlineStr">
        <is>
          <t>정보 없음</t>
        </is>
      </c>
      <c r="T92" s="3" t="inlineStr">
        <is>
          <t>더원</t>
        </is>
      </c>
      <c r="U92" s="4" t="n">
        <v>1</v>
      </c>
      <c r="V92" s="5" t="n">
        <v>0</v>
      </c>
      <c r="W92" s="3" t="inlineStr"/>
      <c r="X92" s="3" t="inlineStr">
        <is>
          <t>정보 없음</t>
        </is>
      </c>
      <c r="Y92" s="7" t="inlineStr">
        <is>
          <t>정보 없음</t>
        </is>
      </c>
      <c r="Z92" s="3" t="inlineStr">
        <is>
          <t>정보 없음</t>
        </is>
      </c>
      <c r="AA92" s="3" t="inlineStr">
        <is>
          <t>정보 없음</t>
        </is>
      </c>
      <c r="AB92" s="3" t="inlineStr">
        <is>
          <t>정보 없음</t>
        </is>
      </c>
      <c r="AC92" s="3" t="inlineStr">
        <is>
          <t>정보 없음</t>
        </is>
      </c>
      <c r="AD92" s="3" t="inlineStr">
        <is>
          <t>정보 없음</t>
        </is>
      </c>
    </row>
    <row r="93">
      <c r="A93" s="3" t="inlineStr">
        <is>
          <t>남이면 [노출거부]</t>
        </is>
      </c>
      <c r="B93" s="3" t="inlineStr">
        <is>
          <t>정보 없음</t>
        </is>
      </c>
      <c r="C93" s="3" t="inlineStr">
        <is>
          <t>정보 없음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1170</v>
      </c>
      <c r="H93" s="4" t="n">
        <v>4250</v>
      </c>
      <c r="I93" s="4" t="n">
        <v>1286</v>
      </c>
      <c r="J93" s="5" t="n">
        <v>0.9</v>
      </c>
      <c r="K93" s="4" t="n">
        <v>1691</v>
      </c>
      <c r="L93" s="4" t="n">
        <v>512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청주도심 인근 상수도 오폐수직관 식품업종도 가능한 공장</t>
        </is>
      </c>
      <c r="Q93" s="6">
        <f>HYPERLINK("https://fin.land.naver.com/articles/2651673751", "매물Link")</f>
        <v/>
      </c>
      <c r="R93" t="inlineStr">
        <is>
          <t>정보 없음</t>
        </is>
      </c>
      <c r="S93" t="inlineStr">
        <is>
          <t>정보 없음</t>
        </is>
      </c>
      <c r="T93" s="3" t="inlineStr">
        <is>
          <t>더원</t>
        </is>
      </c>
      <c r="U93" s="4" t="n">
        <v>1</v>
      </c>
      <c r="V93" s="5" t="n">
        <v>0</v>
      </c>
      <c r="W93" s="3" t="inlineStr"/>
      <c r="X93" s="3" t="inlineStr">
        <is>
          <t>정보 없음</t>
        </is>
      </c>
      <c r="Y93" s="7" t="inlineStr">
        <is>
          <t>정보 없음</t>
        </is>
      </c>
      <c r="Z93" s="3" t="inlineStr">
        <is>
          <t>정보 없음</t>
        </is>
      </c>
      <c r="AA93" s="3" t="inlineStr">
        <is>
          <t>정보 없음</t>
        </is>
      </c>
      <c r="AB93" s="3" t="inlineStr">
        <is>
          <t>정보 없음</t>
        </is>
      </c>
      <c r="AC93" s="3" t="inlineStr">
        <is>
          <t>정보 없음</t>
        </is>
      </c>
      <c r="AD93" s="3" t="inlineStr">
        <is>
          <t>정보 없음</t>
        </is>
      </c>
    </row>
    <row r="94">
      <c r="A94" s="3" t="inlineStr">
        <is>
          <t>남이면 [노출거부]</t>
        </is>
      </c>
      <c r="B94" s="3" t="inlineStr">
        <is>
          <t>정보 없음</t>
        </is>
      </c>
      <c r="C94" s="3" t="inlineStr">
        <is>
          <t>정보 없음</t>
        </is>
      </c>
      <c r="D94" s="3" t="inlineStr">
        <is>
          <t>창고</t>
        </is>
      </c>
      <c r="E94" s="3" t="inlineStr">
        <is>
          <t>매매</t>
        </is>
      </c>
      <c r="F94" s="4" t="n">
        <v>375000</v>
      </c>
      <c r="G94" s="4" t="n">
        <v>0</v>
      </c>
      <c r="H94" s="4" t="n">
        <v>1585</v>
      </c>
      <c r="I94" s="4" t="n">
        <v>479</v>
      </c>
      <c r="J94" s="5" t="n">
        <v>782.9</v>
      </c>
      <c r="K94" s="4" t="n">
        <v>4247</v>
      </c>
      <c r="L94" s="4" t="n">
        <v>1285</v>
      </c>
      <c r="M94" s="5" t="n">
        <v>291.8</v>
      </c>
      <c r="N94" s="3" t="inlineStr">
        <is>
          <t>8</t>
        </is>
      </c>
      <c r="O94" s="3" t="inlineStr">
        <is>
          <t>B1</t>
        </is>
      </c>
      <c r="P94" s="3" t="inlineStr">
        <is>
          <t>초급매 남청주IC 2분, 월1,300만 확정수익 승계 냉동 물류 빌딩</t>
        </is>
      </c>
      <c r="Q94" s="6">
        <f>HYPERLINK("https://fin.land.naver.com/articles/2651715865", "매물Link")</f>
        <v/>
      </c>
      <c r="R94" t="inlineStr">
        <is>
          <t>정보 없음</t>
        </is>
      </c>
      <c r="S94" t="inlineStr">
        <is>
          <t>정보 없음</t>
        </is>
      </c>
      <c r="T94" s="3" t="inlineStr">
        <is>
          <t>월정</t>
        </is>
      </c>
      <c r="U94" s="4" t="n">
        <v>1</v>
      </c>
      <c r="V94" s="5" t="n">
        <v>0</v>
      </c>
      <c r="W94" s="3" t="inlineStr"/>
      <c r="X94" s="3" t="inlineStr">
        <is>
          <t>정보 없음</t>
        </is>
      </c>
      <c r="Y94" s="7" t="inlineStr">
        <is>
          <t>정보 없음</t>
        </is>
      </c>
      <c r="Z94" s="3" t="inlineStr">
        <is>
          <t>정보 없음</t>
        </is>
      </c>
      <c r="AA94" s="3" t="inlineStr">
        <is>
          <t>정보 없음</t>
        </is>
      </c>
      <c r="AB94" s="3" t="inlineStr">
        <is>
          <t>정보 없음</t>
        </is>
      </c>
      <c r="AC94" s="3" t="inlineStr">
        <is>
          <t>정보 없음</t>
        </is>
      </c>
      <c r="AD94" s="3" t="inlineStr">
        <is>
          <t>정보 없음</t>
        </is>
      </c>
    </row>
    <row r="95">
      <c r="A95" s="3" t="inlineStr">
        <is>
          <t>남이면 [노출거부]</t>
        </is>
      </c>
      <c r="B95" s="3" t="inlineStr">
        <is>
          <t>정보 없음</t>
        </is>
      </c>
      <c r="C95" s="3" t="inlineStr">
        <is>
          <t>정보 없음</t>
        </is>
      </c>
      <c r="D95" s="3" t="inlineStr">
        <is>
          <t>공장</t>
        </is>
      </c>
      <c r="E95" s="3" t="inlineStr">
        <is>
          <t>매매</t>
        </is>
      </c>
      <c r="F95" s="4" t="n">
        <v>240000</v>
      </c>
      <c r="G95" s="4" t="n">
        <v>0</v>
      </c>
      <c r="H95" s="4" t="n">
        <v>4159</v>
      </c>
      <c r="I95" s="4" t="n">
        <v>1258</v>
      </c>
      <c r="J95" s="5" t="n">
        <v>190.8</v>
      </c>
      <c r="K95" s="4" t="n">
        <v>818</v>
      </c>
      <c r="L95" s="4" t="n">
        <v>247</v>
      </c>
      <c r="M95" s="5" t="n">
        <v>971.7</v>
      </c>
      <c r="N95" s="3" t="inlineStr">
        <is>
          <t>1</t>
        </is>
      </c>
      <c r="O95" s="3" t="inlineStr">
        <is>
          <t>-</t>
        </is>
      </c>
      <c r="P95" s="3" t="inlineStr">
        <is>
          <t>남청주ic 8분거리 신축 2종근린생활시설 제조업이나 창고가능</t>
        </is>
      </c>
      <c r="Q95" s="6">
        <f>HYPERLINK("https://fin.land.naver.com/articles/2652625429", "매물Link")</f>
        <v/>
      </c>
      <c r="R95" t="inlineStr">
        <is>
          <t>정보 없음</t>
        </is>
      </c>
      <c r="S95" t="inlineStr">
        <is>
          <t>정보 없음</t>
        </is>
      </c>
      <c r="T95" s="3" t="inlineStr">
        <is>
          <t>더원</t>
        </is>
      </c>
      <c r="U95" s="4" t="n">
        <v>1</v>
      </c>
      <c r="V95" s="5" t="n">
        <v>0</v>
      </c>
      <c r="W95" s="3" t="inlineStr"/>
      <c r="X95" s="3" t="inlineStr">
        <is>
          <t>정보 없음</t>
        </is>
      </c>
      <c r="Y95" s="7" t="inlineStr">
        <is>
          <t>정보 없음</t>
        </is>
      </c>
      <c r="Z95" s="3" t="inlineStr">
        <is>
          <t>정보 없음</t>
        </is>
      </c>
      <c r="AA95" s="3" t="inlineStr">
        <is>
          <t>정보 없음</t>
        </is>
      </c>
      <c r="AB95" s="3" t="inlineStr">
        <is>
          <t>정보 없음</t>
        </is>
      </c>
      <c r="AC95" s="3" t="inlineStr">
        <is>
          <t>정보 없음</t>
        </is>
      </c>
      <c r="AD95" s="3" t="inlineStr">
        <is>
          <t>정보 없음</t>
        </is>
      </c>
    </row>
    <row r="96">
      <c r="A96" s="3" t="inlineStr">
        <is>
          <t>남이면 [노출거부]</t>
        </is>
      </c>
      <c r="B96" s="3" t="inlineStr">
        <is>
          <t>정보 없음</t>
        </is>
      </c>
      <c r="C96" s="3" t="inlineStr">
        <is>
          <t>정보 없음</t>
        </is>
      </c>
      <c r="D96" s="3" t="inlineStr">
        <is>
          <t>공장</t>
        </is>
      </c>
      <c r="E96" s="3" t="inlineStr">
        <is>
          <t>매매</t>
        </is>
      </c>
      <c r="F96" s="4" t="n">
        <v>135000</v>
      </c>
      <c r="G96" s="4" t="n">
        <v>0</v>
      </c>
      <c r="H96" s="4" t="n">
        <v>1777</v>
      </c>
      <c r="I96" s="4" t="n">
        <v>538</v>
      </c>
      <c r="J96" s="5" t="n">
        <v>250.9</v>
      </c>
      <c r="K96" s="4" t="n">
        <v>704</v>
      </c>
      <c r="L96" s="4" t="n">
        <v>213</v>
      </c>
      <c r="M96" s="5" t="n">
        <v>633.8</v>
      </c>
      <c r="N96" s="3" t="inlineStr">
        <is>
          <t>1</t>
        </is>
      </c>
      <c r="O96" s="3" t="inlineStr">
        <is>
          <t>-</t>
        </is>
      </c>
      <c r="P96" s="3" t="inlineStr">
        <is>
          <t>급매 상수도 오폐수직관 석곡사거리 9분 남청주ic 9분 접근성 좋음</t>
        </is>
      </c>
      <c r="Q96" s="6">
        <f>HYPERLINK("https://fin.land.naver.com/articles/2651750024", "매물Link")</f>
        <v/>
      </c>
      <c r="R96" t="inlineStr">
        <is>
          <t>정보 없음</t>
        </is>
      </c>
      <c r="S96" t="inlineStr">
        <is>
          <t>정보 없음</t>
        </is>
      </c>
      <c r="T96" s="3" t="inlineStr">
        <is>
          <t>더원</t>
        </is>
      </c>
      <c r="U96" s="4" t="n">
        <v>1</v>
      </c>
      <c r="V96" s="5" t="n">
        <v>0</v>
      </c>
      <c r="W96" s="3" t="inlineStr"/>
      <c r="X96" s="3" t="inlineStr">
        <is>
          <t>정보 없음</t>
        </is>
      </c>
      <c r="Y96" s="7" t="inlineStr">
        <is>
          <t>정보 없음</t>
        </is>
      </c>
      <c r="Z96" s="3" t="inlineStr">
        <is>
          <t>정보 없음</t>
        </is>
      </c>
      <c r="AA96" s="3" t="inlineStr">
        <is>
          <t>정보 없음</t>
        </is>
      </c>
      <c r="AB96" s="3" t="inlineStr">
        <is>
          <t>정보 없음</t>
        </is>
      </c>
      <c r="AC96" s="3" t="inlineStr">
        <is>
          <t>정보 없음</t>
        </is>
      </c>
      <c r="AD96" s="3" t="inlineStr">
        <is>
          <t>정보 없음</t>
        </is>
      </c>
    </row>
    <row r="97">
      <c r="A97" s="3" t="inlineStr">
        <is>
          <t>남이면 [노출거부]</t>
        </is>
      </c>
      <c r="B97" s="3" t="inlineStr">
        <is>
          <t>정보 없음</t>
        </is>
      </c>
      <c r="C97" s="3" t="inlineStr">
        <is>
          <t>정보 없음</t>
        </is>
      </c>
      <c r="D97" s="3" t="inlineStr">
        <is>
          <t>공장</t>
        </is>
      </c>
      <c r="E97" s="3" t="inlineStr">
        <is>
          <t>매매</t>
        </is>
      </c>
      <c r="F97" s="4" t="n">
        <v>300000</v>
      </c>
      <c r="G97" s="4" t="n">
        <v>0</v>
      </c>
      <c r="H97" s="4" t="n">
        <v>4210</v>
      </c>
      <c r="I97" s="4" t="n">
        <v>1274</v>
      </c>
      <c r="J97" s="5" t="n">
        <v>235.5</v>
      </c>
      <c r="K97" s="4" t="n">
        <v>1541</v>
      </c>
      <c r="L97" s="4" t="n">
        <v>466</v>
      </c>
      <c r="M97" s="5" t="n">
        <v>643.8</v>
      </c>
      <c r="N97" s="3" t="inlineStr">
        <is>
          <t>2</t>
        </is>
      </c>
      <c r="O97" s="3" t="inlineStr">
        <is>
          <t>-</t>
        </is>
      </c>
      <c r="P97" s="3" t="inlineStr">
        <is>
          <t>직물건 급 공장상태 최상 IC 주변 위치 최고의 공장 매 주인과 사촌</t>
        </is>
      </c>
      <c r="Q97" s="6">
        <f>HYPERLINK("https://fin.land.naver.com/articles/2651794088", "매물Link")</f>
        <v/>
      </c>
      <c r="R97" t="inlineStr">
        <is>
          <t>정보 없음</t>
        </is>
      </c>
      <c r="S97" t="inlineStr">
        <is>
          <t>정보 없음</t>
        </is>
      </c>
      <c r="T97" s="3" t="inlineStr">
        <is>
          <t>(주)정민근</t>
        </is>
      </c>
      <c r="U97" s="4" t="n">
        <v>1</v>
      </c>
      <c r="V97" s="5" t="n">
        <v>0</v>
      </c>
      <c r="W97" s="3" t="inlineStr"/>
      <c r="X97" s="3" t="inlineStr">
        <is>
          <t>정보 없음</t>
        </is>
      </c>
      <c r="Y97" s="7" t="inlineStr">
        <is>
          <t>정보 없음</t>
        </is>
      </c>
      <c r="Z97" s="3" t="inlineStr">
        <is>
          <t>정보 없음</t>
        </is>
      </c>
      <c r="AA97" s="3" t="inlineStr">
        <is>
          <t>정보 없음</t>
        </is>
      </c>
      <c r="AB97" s="3" t="inlineStr">
        <is>
          <t>정보 없음</t>
        </is>
      </c>
      <c r="AC97" s="3" t="inlineStr">
        <is>
          <t>정보 없음</t>
        </is>
      </c>
      <c r="AD97" s="3" t="inlineStr">
        <is>
          <t>정보 없음</t>
        </is>
      </c>
    </row>
    <row r="98">
      <c r="A98" s="3" t="inlineStr">
        <is>
          <t>남이면 [노출거부]</t>
        </is>
      </c>
      <c r="B98" s="3" t="inlineStr">
        <is>
          <t>정보 없음</t>
        </is>
      </c>
      <c r="C98" s="3" t="inlineStr">
        <is>
          <t>정보 없음</t>
        </is>
      </c>
      <c r="D98" s="3" t="inlineStr">
        <is>
          <t>창고</t>
        </is>
      </c>
      <c r="E98" s="3" t="inlineStr">
        <is>
          <t>월세</t>
        </is>
      </c>
      <c r="F98" s="4" t="n">
        <v>2000</v>
      </c>
      <c r="G98" s="4" t="n">
        <v>100</v>
      </c>
      <c r="H98" s="4" t="n">
        <v>939</v>
      </c>
      <c r="I98" s="4" t="n">
        <v>284</v>
      </c>
      <c r="J98" s="5" t="n">
        <v>0.4</v>
      </c>
      <c r="K98" s="4" t="n">
        <v>488</v>
      </c>
      <c r="L98" s="4" t="n">
        <v>148</v>
      </c>
      <c r="M98" s="5" t="n">
        <v>0.7</v>
      </c>
      <c r="N98" s="3" t="inlineStr">
        <is>
          <t>1</t>
        </is>
      </c>
      <c r="O98" s="3" t="inlineStr">
        <is>
          <t>-</t>
        </is>
      </c>
      <c r="P98" s="3" t="inlineStr">
        <is>
          <t>청주,저렴한창고</t>
        </is>
      </c>
      <c r="Q98" s="6">
        <f>HYPERLINK("https://fin.land.naver.com/articles/2651798490", "매물Link")</f>
        <v/>
      </c>
      <c r="R98" t="inlineStr">
        <is>
          <t>정보 없음</t>
        </is>
      </c>
      <c r="S98" t="inlineStr">
        <is>
          <t>정보 없음</t>
        </is>
      </c>
      <c r="T98" s="3" t="inlineStr">
        <is>
          <t>LBA리치아노합동사무소</t>
        </is>
      </c>
      <c r="U98" s="4" t="n">
        <v>1</v>
      </c>
      <c r="V98" s="5" t="n">
        <v>0</v>
      </c>
      <c r="W98" s="3" t="inlineStr"/>
      <c r="X98" s="3" t="inlineStr">
        <is>
          <t>정보 없음</t>
        </is>
      </c>
      <c r="Y98" s="7" t="inlineStr">
        <is>
          <t>정보 없음</t>
        </is>
      </c>
      <c r="Z98" s="3" t="inlineStr">
        <is>
          <t>정보 없음</t>
        </is>
      </c>
      <c r="AA98" s="3" t="inlineStr">
        <is>
          <t>정보 없음</t>
        </is>
      </c>
      <c r="AB98" s="3" t="inlineStr">
        <is>
          <t>정보 없음</t>
        </is>
      </c>
      <c r="AC98" s="3" t="inlineStr">
        <is>
          <t>정보 없음</t>
        </is>
      </c>
      <c r="AD98" s="3" t="inlineStr">
        <is>
          <t>정보 없음</t>
        </is>
      </c>
    </row>
    <row r="99">
      <c r="A99" s="3" t="inlineStr">
        <is>
          <t>남이면 [노출거부]</t>
        </is>
      </c>
      <c r="B99" s="3" t="inlineStr">
        <is>
          <t>정보 없음</t>
        </is>
      </c>
      <c r="C99" s="3" t="inlineStr">
        <is>
          <t>정보 없음</t>
        </is>
      </c>
      <c r="D99" s="3" t="inlineStr">
        <is>
          <t>공장</t>
        </is>
      </c>
      <c r="E99" s="3" t="inlineStr">
        <is>
          <t>매매</t>
        </is>
      </c>
      <c r="F99" s="4" t="n">
        <v>355000</v>
      </c>
      <c r="G99" s="4" t="n">
        <v>0</v>
      </c>
      <c r="H99" s="4" t="n">
        <v>5052</v>
      </c>
      <c r="I99" s="4" t="n">
        <v>1528</v>
      </c>
      <c r="J99" s="5" t="n">
        <v>232.3</v>
      </c>
      <c r="K99" s="4" t="n">
        <v>1988</v>
      </c>
      <c r="L99" s="4" t="n">
        <v>601</v>
      </c>
      <c r="M99" s="5" t="n">
        <v>590.7</v>
      </c>
      <c r="N99" s="3" t="inlineStr">
        <is>
          <t>1</t>
        </is>
      </c>
      <c r="O99" s="3" t="inlineStr">
        <is>
          <t>-</t>
        </is>
      </c>
      <c r="P99" s="3" t="inlineStr">
        <is>
          <t>2차선도로 접 남청주 ic 15분 세종 청주로 접근성 좋은 신축공장</t>
        </is>
      </c>
      <c r="Q99" s="6">
        <f>HYPERLINK("https://fin.land.naver.com/articles/2651804499", "매물Link")</f>
        <v/>
      </c>
      <c r="R99" t="inlineStr">
        <is>
          <t>정보 없음</t>
        </is>
      </c>
      <c r="S99" t="inlineStr">
        <is>
          <t>정보 없음</t>
        </is>
      </c>
      <c r="T99" s="3" t="inlineStr">
        <is>
          <t>더원</t>
        </is>
      </c>
      <c r="U99" s="4" t="n">
        <v>1</v>
      </c>
      <c r="V99" s="5" t="n">
        <v>0</v>
      </c>
      <c r="W99" s="3" t="inlineStr"/>
      <c r="X99" s="3" t="inlineStr">
        <is>
          <t>정보 없음</t>
        </is>
      </c>
      <c r="Y99" s="7" t="inlineStr">
        <is>
          <t>정보 없음</t>
        </is>
      </c>
      <c r="Z99" s="3" t="inlineStr">
        <is>
          <t>정보 없음</t>
        </is>
      </c>
      <c r="AA99" s="3" t="inlineStr">
        <is>
          <t>정보 없음</t>
        </is>
      </c>
      <c r="AB99" s="3" t="inlineStr">
        <is>
          <t>정보 없음</t>
        </is>
      </c>
      <c r="AC99" s="3" t="inlineStr">
        <is>
          <t>정보 없음</t>
        </is>
      </c>
      <c r="AD99" s="3" t="inlineStr">
        <is>
          <t>정보 없음</t>
        </is>
      </c>
    </row>
    <row r="100">
      <c r="A100" s="3" t="inlineStr">
        <is>
          <t>남이면 [노출거부]</t>
        </is>
      </c>
      <c r="B100" s="3" t="inlineStr">
        <is>
          <t>정보 없음</t>
        </is>
      </c>
      <c r="C100" s="3" t="inlineStr">
        <is>
          <t>정보 없음</t>
        </is>
      </c>
      <c r="D100" s="3" t="inlineStr">
        <is>
          <t>창고</t>
        </is>
      </c>
      <c r="E100" s="3" t="inlineStr">
        <is>
          <t>월세</t>
        </is>
      </c>
      <c r="F100" s="4" t="n">
        <v>3500</v>
      </c>
      <c r="G100" s="4" t="n">
        <v>350</v>
      </c>
      <c r="H100" s="4" t="n">
        <v>2490</v>
      </c>
      <c r="I100" s="4" t="n">
        <v>753</v>
      </c>
      <c r="J100" s="5" t="n">
        <v>0.5</v>
      </c>
      <c r="K100" s="4" t="n">
        <v>495</v>
      </c>
      <c r="L100" s="4" t="n">
        <v>150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사진, 남청주IC10분,신축,1종근생,단독사용,마당넓음,사무실,매매임대</t>
        </is>
      </c>
      <c r="Q100" s="6">
        <f>HYPERLINK("https://fin.land.naver.com/articles/2651924757", "매물Link")</f>
        <v/>
      </c>
      <c r="R100" t="inlineStr">
        <is>
          <t>정보 없음</t>
        </is>
      </c>
      <c r="S100" t="inlineStr">
        <is>
          <t>정보 없음</t>
        </is>
      </c>
      <c r="T100" s="3" t="inlineStr">
        <is>
          <t>OK허니</t>
        </is>
      </c>
      <c r="U100" s="4" t="n">
        <v>1</v>
      </c>
      <c r="V100" s="5" t="n">
        <v>0</v>
      </c>
      <c r="W100" s="3" t="inlineStr"/>
      <c r="X100" s="3" t="inlineStr">
        <is>
          <t>정보 없음</t>
        </is>
      </c>
      <c r="Y100" s="7" t="inlineStr">
        <is>
          <t>정보 없음</t>
        </is>
      </c>
      <c r="Z100" s="3" t="inlineStr">
        <is>
          <t>정보 없음</t>
        </is>
      </c>
      <c r="AA100" s="3" t="inlineStr">
        <is>
          <t>정보 없음</t>
        </is>
      </c>
      <c r="AB100" s="3" t="inlineStr">
        <is>
          <t>정보 없음</t>
        </is>
      </c>
      <c r="AC100" s="3" t="inlineStr">
        <is>
          <t>정보 없음</t>
        </is>
      </c>
      <c r="AD100" s="3" t="inlineStr">
        <is>
          <t>정보 없음</t>
        </is>
      </c>
    </row>
    <row r="101">
      <c r="A101" s="3" t="inlineStr">
        <is>
          <t>남이면 [노출거부]</t>
        </is>
      </c>
      <c r="B101" s="3" t="inlineStr">
        <is>
          <t>정보 없음</t>
        </is>
      </c>
      <c r="C101" s="3" t="inlineStr">
        <is>
          <t>정보 없음</t>
        </is>
      </c>
      <c r="D101" s="3" t="inlineStr">
        <is>
          <t>공장</t>
        </is>
      </c>
      <c r="E101" s="3" t="inlineStr">
        <is>
          <t>매매</t>
        </is>
      </c>
      <c r="F101" s="4" t="n">
        <v>188000</v>
      </c>
      <c r="G101" s="4" t="n">
        <v>0</v>
      </c>
      <c r="H101" s="4" t="n">
        <v>2473</v>
      </c>
      <c r="I101" s="4" t="n">
        <v>748</v>
      </c>
      <c r="J101" s="5" t="n">
        <v>251.3</v>
      </c>
      <c r="K101" s="4" t="n">
        <v>987</v>
      </c>
      <c r="L101" s="4" t="n">
        <v>299</v>
      </c>
      <c r="M101" s="5" t="n">
        <v>628.8</v>
      </c>
      <c r="N101" s="3" t="inlineStr">
        <is>
          <t>1</t>
        </is>
      </c>
      <c r="O101" s="3" t="inlineStr">
        <is>
          <t>-</t>
        </is>
      </c>
      <c r="P101" s="3" t="inlineStr">
        <is>
          <t>남청주ic 9분 청주시내권 접근성 좋아 물류이동 편리</t>
        </is>
      </c>
      <c r="Q101" s="6">
        <f>HYPERLINK("https://fin.land.naver.com/articles/2651749994", "매물Link")</f>
        <v/>
      </c>
      <c r="R101" t="inlineStr">
        <is>
          <t>정보 없음</t>
        </is>
      </c>
      <c r="S101" t="inlineStr">
        <is>
          <t>정보 없음</t>
        </is>
      </c>
      <c r="T101" s="3" t="inlineStr">
        <is>
          <t>더원</t>
        </is>
      </c>
      <c r="U101" s="4" t="n">
        <v>1</v>
      </c>
      <c r="V101" s="5" t="n">
        <v>0</v>
      </c>
      <c r="W101" s="3" t="inlineStr"/>
      <c r="X101" s="3" t="inlineStr">
        <is>
          <t>정보 없음</t>
        </is>
      </c>
      <c r="Y101" s="7" t="inlineStr">
        <is>
          <t>정보 없음</t>
        </is>
      </c>
      <c r="Z101" s="3" t="inlineStr">
        <is>
          <t>정보 없음</t>
        </is>
      </c>
      <c r="AA101" s="3" t="inlineStr">
        <is>
          <t>정보 없음</t>
        </is>
      </c>
      <c r="AB101" s="3" t="inlineStr">
        <is>
          <t>정보 없음</t>
        </is>
      </c>
      <c r="AC101" s="3" t="inlineStr">
        <is>
          <t>정보 없음</t>
        </is>
      </c>
      <c r="AD101" s="3" t="inlineStr">
        <is>
          <t>정보 없음</t>
        </is>
      </c>
    </row>
    <row r="102">
      <c r="A102" s="3" t="inlineStr">
        <is>
          <t>남이면 [노출거부]</t>
        </is>
      </c>
      <c r="B102" s="3" t="inlineStr">
        <is>
          <t>정보 없음</t>
        </is>
      </c>
      <c r="C102" s="3" t="inlineStr">
        <is>
          <t>정보 없음</t>
        </is>
      </c>
      <c r="D102" s="3" t="inlineStr">
        <is>
          <t>창고</t>
        </is>
      </c>
      <c r="E102" s="3" t="inlineStr">
        <is>
          <t>매매</t>
        </is>
      </c>
      <c r="F102" s="4" t="n">
        <v>3500000</v>
      </c>
      <c r="G102" s="4" t="n">
        <v>0</v>
      </c>
      <c r="H102" s="4" t="n">
        <v>47412</v>
      </c>
      <c r="I102" s="4" t="n">
        <v>14342</v>
      </c>
      <c r="J102" s="5" t="n">
        <v>244</v>
      </c>
      <c r="K102" s="4" t="n">
        <v>20776</v>
      </c>
      <c r="L102" s="4" t="n">
        <v>6285</v>
      </c>
      <c r="M102" s="5" t="n">
        <v>556.9</v>
      </c>
      <c r="N102" s="3" t="inlineStr">
        <is>
          <t>1</t>
        </is>
      </c>
      <c r="O102" s="3" t="inlineStr">
        <is>
          <t>-</t>
        </is>
      </c>
      <c r="P102" s="3" t="inlineStr">
        <is>
          <t>남청주ic 10분거리 대형물류창고매매 투자용으로 최적 현임대중</t>
        </is>
      </c>
      <c r="Q102" s="6">
        <f>HYPERLINK("https://fin.land.naver.com/articles/2652625307", "매물Link")</f>
        <v/>
      </c>
      <c r="R102" t="inlineStr">
        <is>
          <t>정보 없음</t>
        </is>
      </c>
      <c r="S102" t="inlineStr">
        <is>
          <t>정보 없음</t>
        </is>
      </c>
      <c r="T102" s="3" t="inlineStr">
        <is>
          <t>더원</t>
        </is>
      </c>
      <c r="U102" s="4" t="n">
        <v>1</v>
      </c>
      <c r="V102" s="5" t="n">
        <v>0</v>
      </c>
      <c r="W102" s="3" t="inlineStr"/>
      <c r="X102" s="3" t="inlineStr">
        <is>
          <t>정보 없음</t>
        </is>
      </c>
      <c r="Y102" s="7" t="inlineStr">
        <is>
          <t>정보 없음</t>
        </is>
      </c>
      <c r="Z102" s="3" t="inlineStr">
        <is>
          <t>정보 없음</t>
        </is>
      </c>
      <c r="AA102" s="3" t="inlineStr">
        <is>
          <t>정보 없음</t>
        </is>
      </c>
      <c r="AB102" s="3" t="inlineStr">
        <is>
          <t>정보 없음</t>
        </is>
      </c>
      <c r="AC102" s="3" t="inlineStr">
        <is>
          <t>정보 없음</t>
        </is>
      </c>
      <c r="AD102" s="3" t="inlineStr">
        <is>
          <t>정보 없음</t>
        </is>
      </c>
    </row>
    <row r="103">
      <c r="A103" s="3" t="inlineStr">
        <is>
          <t>남이면 [노출거부]</t>
        </is>
      </c>
      <c r="B103" s="3" t="inlineStr">
        <is>
          <t>정보 없음</t>
        </is>
      </c>
      <c r="C103" s="3" t="inlineStr">
        <is>
          <t>정보 없음</t>
        </is>
      </c>
      <c r="D103" s="3" t="inlineStr">
        <is>
          <t>창고</t>
        </is>
      </c>
      <c r="E103" s="3" t="inlineStr">
        <is>
          <t>월세</t>
        </is>
      </c>
      <c r="F103" s="4" t="n">
        <v>7500</v>
      </c>
      <c r="G103" s="4" t="n">
        <v>750</v>
      </c>
      <c r="H103" s="4" t="n">
        <v>4976</v>
      </c>
      <c r="I103" s="4" t="n">
        <v>1505</v>
      </c>
      <c r="J103" s="5" t="n">
        <v>0.5</v>
      </c>
      <c r="K103" s="4" t="n">
        <v>990</v>
      </c>
      <c r="L103" s="4" t="n">
        <v>299</v>
      </c>
      <c r="M103" s="5" t="n">
        <v>2.5</v>
      </c>
      <c r="N103" s="3" t="inlineStr">
        <is>
          <t>1</t>
        </is>
      </c>
      <c r="O103" s="3" t="inlineStr">
        <is>
          <t>-</t>
        </is>
      </c>
      <c r="P103" s="3" t="inlineStr">
        <is>
          <t>남청주ic 및 청주ic 접근성 좋은 위치 마당넓고 트레일러진출입가능</t>
        </is>
      </c>
      <c r="Q103" s="6">
        <f>HYPERLINK("https://fin.land.naver.com/articles/2652625271", "매물Link")</f>
        <v/>
      </c>
      <c r="R103" t="inlineStr">
        <is>
          <t>정보 없음</t>
        </is>
      </c>
      <c r="S103" t="inlineStr">
        <is>
          <t>정보 없음</t>
        </is>
      </c>
      <c r="T103" s="3" t="inlineStr">
        <is>
          <t>더원</t>
        </is>
      </c>
      <c r="U103" s="4" t="n">
        <v>1</v>
      </c>
      <c r="V103" s="5" t="n">
        <v>0</v>
      </c>
      <c r="W103" s="3" t="inlineStr"/>
      <c r="X103" s="3" t="inlineStr">
        <is>
          <t>정보 없음</t>
        </is>
      </c>
      <c r="Y103" s="7" t="inlineStr">
        <is>
          <t>정보 없음</t>
        </is>
      </c>
      <c r="Z103" s="3" t="inlineStr">
        <is>
          <t>정보 없음</t>
        </is>
      </c>
      <c r="AA103" s="3" t="inlineStr">
        <is>
          <t>정보 없음</t>
        </is>
      </c>
      <c r="AB103" s="3" t="inlineStr">
        <is>
          <t>정보 없음</t>
        </is>
      </c>
      <c r="AC103" s="3" t="inlineStr">
        <is>
          <t>정보 없음</t>
        </is>
      </c>
      <c r="AD103" s="3" t="inlineStr">
        <is>
          <t>정보 없음</t>
        </is>
      </c>
    </row>
    <row r="104">
      <c r="A104" s="3" t="inlineStr">
        <is>
          <t>남이면 [노출거부]</t>
        </is>
      </c>
      <c r="B104" s="3" t="inlineStr">
        <is>
          <t>정보 없음</t>
        </is>
      </c>
      <c r="C104" s="3" t="inlineStr">
        <is>
          <t>정보 없음</t>
        </is>
      </c>
      <c r="D104" s="3" t="inlineStr">
        <is>
          <t>창고</t>
        </is>
      </c>
      <c r="E104" s="3" t="inlineStr">
        <is>
          <t>월세</t>
        </is>
      </c>
      <c r="F104" s="4" t="n">
        <v>15000</v>
      </c>
      <c r="G104" s="4" t="n">
        <v>1440</v>
      </c>
      <c r="H104" s="4" t="n">
        <v>9961</v>
      </c>
      <c r="I104" s="4" t="n">
        <v>3013</v>
      </c>
      <c r="J104" s="5" t="n">
        <v>0.5</v>
      </c>
      <c r="K104" s="4" t="n">
        <v>1980</v>
      </c>
      <c r="L104" s="4" t="n">
        <v>599</v>
      </c>
      <c r="M104" s="5" t="n">
        <v>2.4</v>
      </c>
      <c r="N104" s="3" t="inlineStr">
        <is>
          <t>1</t>
        </is>
      </c>
      <c r="O104" s="3" t="inlineStr">
        <is>
          <t>-</t>
        </is>
      </c>
      <c r="P104" s="3" t="inlineStr">
        <is>
          <t>남청주ic 인접한 위치의 대형토지면적의 물류창고 임대</t>
        </is>
      </c>
      <c r="Q104" s="6">
        <f>HYPERLINK("https://fin.land.naver.com/articles/2652625225", "매물Link")</f>
        <v/>
      </c>
      <c r="R104" t="inlineStr">
        <is>
          <t>정보 없음</t>
        </is>
      </c>
      <c r="S104" t="inlineStr">
        <is>
          <t>정보 없음</t>
        </is>
      </c>
      <c r="T104" s="3" t="inlineStr">
        <is>
          <t>더원</t>
        </is>
      </c>
      <c r="U104" s="4" t="n">
        <v>1</v>
      </c>
      <c r="V104" s="5" t="n">
        <v>0</v>
      </c>
      <c r="W104" s="3" t="inlineStr"/>
      <c r="X104" s="3" t="inlineStr">
        <is>
          <t>정보 없음</t>
        </is>
      </c>
      <c r="Y104" s="7" t="inlineStr">
        <is>
          <t>정보 없음</t>
        </is>
      </c>
      <c r="Z104" s="3" t="inlineStr">
        <is>
          <t>정보 없음</t>
        </is>
      </c>
      <c r="AA104" s="3" t="inlineStr">
        <is>
          <t>정보 없음</t>
        </is>
      </c>
      <c r="AB104" s="3" t="inlineStr">
        <is>
          <t>정보 없음</t>
        </is>
      </c>
      <c r="AC104" s="3" t="inlineStr">
        <is>
          <t>정보 없음</t>
        </is>
      </c>
      <c r="AD104" s="3" t="inlineStr">
        <is>
          <t>정보 없음</t>
        </is>
      </c>
    </row>
    <row r="105">
      <c r="A105" s="3" t="inlineStr">
        <is>
          <t>남이면 [노출거부]</t>
        </is>
      </c>
      <c r="B105" s="3" t="inlineStr">
        <is>
          <t>정보 없음</t>
        </is>
      </c>
      <c r="C105" s="3" t="inlineStr">
        <is>
          <t>정보 없음</t>
        </is>
      </c>
      <c r="D105" s="3" t="inlineStr">
        <is>
          <t>공장</t>
        </is>
      </c>
      <c r="E105" s="3" t="inlineStr">
        <is>
          <t>매매</t>
        </is>
      </c>
      <c r="F105" s="4" t="n">
        <v>50000</v>
      </c>
      <c r="G105" s="4" t="n">
        <v>0</v>
      </c>
      <c r="H105" s="4" t="n">
        <v>548</v>
      </c>
      <c r="I105" s="4" t="n">
        <v>166</v>
      </c>
      <c r="J105" s="5" t="n">
        <v>301.2</v>
      </c>
      <c r="K105" s="4" t="n">
        <v>212</v>
      </c>
      <c r="L105" s="4" t="n">
        <v>64</v>
      </c>
      <c r="M105" s="5" t="n">
        <v>781.2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2차선도로변 소형 공장 매매 서청주ic 접근성 최상</t>
        </is>
      </c>
      <c r="Q105" s="6">
        <f>HYPERLINK("https://fin.land.naver.com/articles/2652625215", "매물Link")</f>
        <v/>
      </c>
      <c r="R105" t="inlineStr">
        <is>
          <t>정보 없음</t>
        </is>
      </c>
      <c r="S105" t="inlineStr">
        <is>
          <t>정보 없음</t>
        </is>
      </c>
      <c r="T105" s="3" t="inlineStr">
        <is>
          <t>더원</t>
        </is>
      </c>
      <c r="U105" s="4" t="n">
        <v>1</v>
      </c>
      <c r="V105" s="5" t="n">
        <v>0</v>
      </c>
      <c r="W105" s="3" t="inlineStr"/>
      <c r="X105" s="3" t="inlineStr">
        <is>
          <t>정보 없음</t>
        </is>
      </c>
      <c r="Y105" s="7" t="inlineStr">
        <is>
          <t>정보 없음</t>
        </is>
      </c>
      <c r="Z105" s="3" t="inlineStr">
        <is>
          <t>정보 없음</t>
        </is>
      </c>
      <c r="AA105" s="3" t="inlineStr">
        <is>
          <t>정보 없음</t>
        </is>
      </c>
      <c r="AB105" s="3" t="inlineStr">
        <is>
          <t>정보 없음</t>
        </is>
      </c>
      <c r="AC105" s="3" t="inlineStr">
        <is>
          <t>정보 없음</t>
        </is>
      </c>
      <c r="AD105" s="3" t="inlineStr">
        <is>
          <t>정보 없음</t>
        </is>
      </c>
    </row>
    <row r="106">
      <c r="A106" s="3" t="inlineStr">
        <is>
          <t>남이면 [노출거부]</t>
        </is>
      </c>
      <c r="B106" s="3" t="inlineStr">
        <is>
          <t>정보 없음</t>
        </is>
      </c>
      <c r="C106" s="3" t="inlineStr">
        <is>
          <t>정보 없음</t>
        </is>
      </c>
      <c r="D106" s="3" t="inlineStr">
        <is>
          <t>창고</t>
        </is>
      </c>
      <c r="E106" s="3" t="inlineStr">
        <is>
          <t>매매</t>
        </is>
      </c>
      <c r="F106" s="4" t="n">
        <v>400000</v>
      </c>
      <c r="G106" s="4" t="n">
        <v>0</v>
      </c>
      <c r="H106" s="4" t="n">
        <v>5124</v>
      </c>
      <c r="I106" s="4" t="n">
        <v>1550</v>
      </c>
      <c r="J106" s="5" t="n">
        <v>258.1</v>
      </c>
      <c r="K106" s="4" t="n">
        <v>1743</v>
      </c>
      <c r="L106" s="4" t="n">
        <v>527</v>
      </c>
      <c r="M106" s="5" t="n">
        <v>759</v>
      </c>
      <c r="N106" s="3" t="inlineStr">
        <is>
          <t>1</t>
        </is>
      </c>
      <c r="O106" s="3" t="inlineStr">
        <is>
          <t>-</t>
        </is>
      </c>
      <c r="P106" s="3" t="inlineStr">
        <is>
          <t>남청주ic 10분 대형차 진출입 가능 청주 시내권 접근성 좋음</t>
        </is>
      </c>
      <c r="Q106" s="6">
        <f>HYPERLINK("https://fin.land.naver.com/articles/2652625197", "매물Link")</f>
        <v/>
      </c>
      <c r="R106" t="inlineStr">
        <is>
          <t>정보 없음</t>
        </is>
      </c>
      <c r="S106" t="inlineStr">
        <is>
          <t>정보 없음</t>
        </is>
      </c>
      <c r="T106" s="3" t="inlineStr">
        <is>
          <t>더원</t>
        </is>
      </c>
      <c r="U106" s="4" t="n">
        <v>1</v>
      </c>
      <c r="V106" s="5" t="n">
        <v>0</v>
      </c>
      <c r="W106" s="3" t="inlineStr"/>
      <c r="X106" s="3" t="inlineStr">
        <is>
          <t>정보 없음</t>
        </is>
      </c>
      <c r="Y106" s="7" t="inlineStr">
        <is>
          <t>정보 없음</t>
        </is>
      </c>
      <c r="Z106" s="3" t="inlineStr">
        <is>
          <t>정보 없음</t>
        </is>
      </c>
      <c r="AA106" s="3" t="inlineStr">
        <is>
          <t>정보 없음</t>
        </is>
      </c>
      <c r="AB106" s="3" t="inlineStr">
        <is>
          <t>정보 없음</t>
        </is>
      </c>
      <c r="AC106" s="3" t="inlineStr">
        <is>
          <t>정보 없음</t>
        </is>
      </c>
      <c r="AD106" s="3" t="inlineStr">
        <is>
          <t>정보 없음</t>
        </is>
      </c>
    </row>
    <row r="107">
      <c r="A107" s="3" t="inlineStr">
        <is>
          <t>남이면 [노출거부]</t>
        </is>
      </c>
      <c r="B107" s="3" t="inlineStr">
        <is>
          <t>정보 없음</t>
        </is>
      </c>
      <c r="C107" s="3" t="inlineStr">
        <is>
          <t>정보 없음</t>
        </is>
      </c>
      <c r="D107" s="3" t="inlineStr">
        <is>
          <t>공장</t>
        </is>
      </c>
      <c r="E107" s="3" t="inlineStr">
        <is>
          <t>월세</t>
        </is>
      </c>
      <c r="F107" s="4" t="n">
        <v>11000</v>
      </c>
      <c r="G107" s="4" t="n">
        <v>1100</v>
      </c>
      <c r="H107" s="4" t="n">
        <v>6600</v>
      </c>
      <c r="I107" s="4" t="n">
        <v>1996</v>
      </c>
      <c r="J107" s="5" t="n">
        <v>0.6</v>
      </c>
      <c r="K107" s="4" t="n">
        <v>1451</v>
      </c>
      <c r="L107" s="4" t="n">
        <v>439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남청주ic 접근성 좋은 위치의 단독신축공장 대형차량진출입가능 민원소지없음</t>
        </is>
      </c>
      <c r="Q107" s="6">
        <f>HYPERLINK("https://fin.land.naver.com/articles/2652625311", "매물Link")</f>
        <v/>
      </c>
      <c r="R107" t="inlineStr">
        <is>
          <t>정보 없음</t>
        </is>
      </c>
      <c r="S107" t="inlineStr">
        <is>
          <t>정보 없음</t>
        </is>
      </c>
      <c r="T107" s="3" t="inlineStr">
        <is>
          <t>더원</t>
        </is>
      </c>
      <c r="U107" s="4" t="n">
        <v>1</v>
      </c>
      <c r="V107" s="5" t="n">
        <v>0</v>
      </c>
      <c r="W107" s="3" t="inlineStr"/>
      <c r="X107" s="3" t="inlineStr">
        <is>
          <t>정보 없음</t>
        </is>
      </c>
      <c r="Y107" s="7" t="inlineStr">
        <is>
          <t>정보 없음</t>
        </is>
      </c>
      <c r="Z107" s="3" t="inlineStr">
        <is>
          <t>정보 없음</t>
        </is>
      </c>
      <c r="AA107" s="3" t="inlineStr">
        <is>
          <t>정보 없음</t>
        </is>
      </c>
      <c r="AB107" s="3" t="inlineStr">
        <is>
          <t>정보 없음</t>
        </is>
      </c>
      <c r="AC107" s="3" t="inlineStr">
        <is>
          <t>정보 없음</t>
        </is>
      </c>
      <c r="AD107" s="3" t="inlineStr">
        <is>
          <t>정보 없음</t>
        </is>
      </c>
    </row>
    <row r="108">
      <c r="A108" s="3" t="inlineStr">
        <is>
          <t>남이면 [노출거부]</t>
        </is>
      </c>
      <c r="B108" s="3" t="inlineStr">
        <is>
          <t>정보 없음</t>
        </is>
      </c>
      <c r="C108" s="3" t="inlineStr">
        <is>
          <t>정보 없음</t>
        </is>
      </c>
      <c r="D108" s="3" t="inlineStr">
        <is>
          <t>창고</t>
        </is>
      </c>
      <c r="E108" s="3" t="inlineStr">
        <is>
          <t>월세</t>
        </is>
      </c>
      <c r="F108" s="4" t="n">
        <v>20000</v>
      </c>
      <c r="G108" s="4" t="n">
        <v>2000</v>
      </c>
      <c r="H108" s="4" t="n">
        <v>5124</v>
      </c>
      <c r="I108" s="4" t="n">
        <v>1550</v>
      </c>
      <c r="J108" s="5" t="n">
        <v>1.3</v>
      </c>
      <c r="K108" s="4" t="n">
        <v>1734</v>
      </c>
      <c r="L108" s="4" t="n">
        <v>525</v>
      </c>
      <c r="M108" s="5" t="n">
        <v>3.8</v>
      </c>
      <c r="N108" s="3" t="inlineStr">
        <is>
          <t>1</t>
        </is>
      </c>
      <c r="O108" s="3" t="inlineStr">
        <is>
          <t>-</t>
        </is>
      </c>
      <c r="P108" s="3" t="inlineStr">
        <is>
          <t>남청주ic 10분 수도권 전국 물류이동 편리 도크시설 완비 냉동 냉장 창</t>
        </is>
      </c>
      <c r="Q108" s="6">
        <f>HYPERLINK("https://fin.land.naver.com/articles/2652625173", "매물Link")</f>
        <v/>
      </c>
      <c r="R108" t="inlineStr">
        <is>
          <t>정보 없음</t>
        </is>
      </c>
      <c r="S108" t="inlineStr">
        <is>
          <t>정보 없음</t>
        </is>
      </c>
      <c r="T108" s="3" t="inlineStr">
        <is>
          <t>더원</t>
        </is>
      </c>
      <c r="U108" s="4" t="n">
        <v>1</v>
      </c>
      <c r="V108" s="5" t="n">
        <v>0</v>
      </c>
      <c r="W108" s="3" t="inlineStr"/>
      <c r="X108" s="3" t="inlineStr">
        <is>
          <t>정보 없음</t>
        </is>
      </c>
      <c r="Y108" s="7" t="inlineStr">
        <is>
          <t>정보 없음</t>
        </is>
      </c>
      <c r="Z108" s="3" t="inlineStr">
        <is>
          <t>정보 없음</t>
        </is>
      </c>
      <c r="AA108" s="3" t="inlineStr">
        <is>
          <t>정보 없음</t>
        </is>
      </c>
      <c r="AB108" s="3" t="inlineStr">
        <is>
          <t>정보 없음</t>
        </is>
      </c>
      <c r="AC108" s="3" t="inlineStr">
        <is>
          <t>정보 없음</t>
        </is>
      </c>
      <c r="AD108" s="3" t="inlineStr">
        <is>
          <t>정보 없음</t>
        </is>
      </c>
    </row>
    <row r="109">
      <c r="A109" s="3" t="inlineStr">
        <is>
          <t>남이면 [노출거부]</t>
        </is>
      </c>
      <c r="B109" s="3" t="inlineStr">
        <is>
          <t>정보 없음</t>
        </is>
      </c>
      <c r="C109" s="3" t="inlineStr">
        <is>
          <t>정보 없음</t>
        </is>
      </c>
      <c r="D109" s="3" t="inlineStr">
        <is>
          <t>공장</t>
        </is>
      </c>
      <c r="E109" s="3" t="inlineStr">
        <is>
          <t>매매</t>
        </is>
      </c>
      <c r="F109" s="4" t="n">
        <v>73000</v>
      </c>
      <c r="G109" s="4" t="n">
        <v>0</v>
      </c>
      <c r="H109" s="4" t="n">
        <v>1436</v>
      </c>
      <c r="I109" s="4" t="n">
        <v>434</v>
      </c>
      <c r="J109" s="5" t="n">
        <v>168.2</v>
      </c>
      <c r="K109" s="4" t="n">
        <v>276</v>
      </c>
      <c r="L109" s="4" t="n">
        <v>83</v>
      </c>
      <c r="M109" s="5" t="n">
        <v>879.5</v>
      </c>
      <c r="N109" s="3" t="inlineStr">
        <is>
          <t>1</t>
        </is>
      </c>
      <c r="O109" s="3" t="inlineStr">
        <is>
          <t>-</t>
        </is>
      </c>
      <c r="P109" s="3" t="inlineStr">
        <is>
          <t>남청주ic 8분거리이며 신축 공장 2종근린생활시설 제조업이나 창고가능</t>
        </is>
      </c>
      <c r="Q109" s="6">
        <f>HYPERLINK("https://fin.land.naver.com/articles/2652625187", "매물Link")</f>
        <v/>
      </c>
      <c r="R109" t="inlineStr">
        <is>
          <t>정보 없음</t>
        </is>
      </c>
      <c r="S109" t="inlineStr">
        <is>
          <t>정보 없음</t>
        </is>
      </c>
      <c r="T109" s="3" t="inlineStr">
        <is>
          <t>더원</t>
        </is>
      </c>
      <c r="U109" s="4" t="n">
        <v>1</v>
      </c>
      <c r="V109" s="5" t="n">
        <v>0</v>
      </c>
      <c r="W109" s="3" t="inlineStr"/>
      <c r="X109" s="3" t="inlineStr">
        <is>
          <t>정보 없음</t>
        </is>
      </c>
      <c r="Y109" s="7" t="inlineStr">
        <is>
          <t>정보 없음</t>
        </is>
      </c>
      <c r="Z109" s="3" t="inlineStr">
        <is>
          <t>정보 없음</t>
        </is>
      </c>
      <c r="AA109" s="3" t="inlineStr">
        <is>
          <t>정보 없음</t>
        </is>
      </c>
      <c r="AB109" s="3" t="inlineStr">
        <is>
          <t>정보 없음</t>
        </is>
      </c>
      <c r="AC109" s="3" t="inlineStr">
        <is>
          <t>정보 없음</t>
        </is>
      </c>
      <c r="AD109" s="3" t="inlineStr">
        <is>
          <t>정보 없음</t>
        </is>
      </c>
    </row>
    <row r="110">
      <c r="A110" s="3" t="inlineStr">
        <is>
          <t>남이면 [노출거부]</t>
        </is>
      </c>
      <c r="B110" s="3" t="inlineStr">
        <is>
          <t>정보 없음</t>
        </is>
      </c>
      <c r="C110" s="3" t="inlineStr">
        <is>
          <t>정보 없음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200</v>
      </c>
      <c r="H110" s="4" t="n">
        <v>3575</v>
      </c>
      <c r="I110" s="4" t="n">
        <v>1081</v>
      </c>
      <c r="J110" s="5" t="n">
        <v>0.2</v>
      </c>
      <c r="K110" s="4" t="n">
        <v>1405</v>
      </c>
      <c r="L110" s="4" t="n">
        <v>425</v>
      </c>
      <c r="M110" s="5" t="n">
        <v>0.5</v>
      </c>
      <c r="N110" s="3" t="inlineStr">
        <is>
          <t>2</t>
        </is>
      </c>
      <c r="O110" s="3" t="inlineStr">
        <is>
          <t>-</t>
        </is>
      </c>
      <c r="P110" s="3" t="inlineStr">
        <is>
          <t>청주세종간 도로에서 접근성이 용이한 공장임</t>
        </is>
      </c>
      <c r="Q110" s="6">
        <f>HYPERLINK("https://fin.land.naver.com/articles/2652109065", "매물Link")</f>
        <v/>
      </c>
      <c r="R110" t="inlineStr">
        <is>
          <t>정보 없음</t>
        </is>
      </c>
      <c r="S110" t="inlineStr">
        <is>
          <t>정보 없음</t>
        </is>
      </c>
      <c r="T110" s="3" t="inlineStr">
        <is>
          <t>교차로</t>
        </is>
      </c>
      <c r="U110" s="4" t="n">
        <v>1</v>
      </c>
      <c r="V110" s="5" t="n">
        <v>0</v>
      </c>
      <c r="W110" s="3" t="inlineStr"/>
      <c r="X110" s="3" t="inlineStr">
        <is>
          <t>정보 없음</t>
        </is>
      </c>
      <c r="Y110" s="7" t="inlineStr">
        <is>
          <t>정보 없음</t>
        </is>
      </c>
      <c r="Z110" s="3" t="inlineStr">
        <is>
          <t>정보 없음</t>
        </is>
      </c>
      <c r="AA110" s="3" t="inlineStr">
        <is>
          <t>정보 없음</t>
        </is>
      </c>
      <c r="AB110" s="3" t="inlineStr">
        <is>
          <t>정보 없음</t>
        </is>
      </c>
      <c r="AC110" s="3" t="inlineStr">
        <is>
          <t>정보 없음</t>
        </is>
      </c>
      <c r="AD110" s="3" t="inlineStr">
        <is>
          <t>정보 없음</t>
        </is>
      </c>
    </row>
    <row r="111">
      <c r="A111" s="3" t="inlineStr">
        <is>
          <t>남이면 [노출거부]</t>
        </is>
      </c>
      <c r="B111" s="3" t="inlineStr">
        <is>
          <t>정보 없음</t>
        </is>
      </c>
      <c r="C111" s="3" t="inlineStr">
        <is>
          <t>정보 없음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839</v>
      </c>
      <c r="I111" s="4" t="n">
        <v>254</v>
      </c>
      <c r="J111" s="5" t="n">
        <v>315</v>
      </c>
      <c r="K111" s="4" t="n">
        <v>440</v>
      </c>
      <c r="L111" s="4" t="n">
        <v>133</v>
      </c>
      <c r="M111" s="5" t="n">
        <v>601.5</v>
      </c>
      <c r="N111" s="3" t="inlineStr">
        <is>
          <t>2</t>
        </is>
      </c>
      <c r="O111" s="3" t="inlineStr">
        <is>
          <t>-</t>
        </is>
      </c>
      <c r="P111" s="3" t="inlineStr">
        <is>
          <t>남청주ic 8분  제조업소 운영과 거주가 가능한 공장</t>
        </is>
      </c>
      <c r="Q111" s="6">
        <f>HYPERLINK("https://fin.land.naver.com/articles/2652266175", "매물Link")</f>
        <v/>
      </c>
      <c r="R111" t="inlineStr">
        <is>
          <t>정보 없음</t>
        </is>
      </c>
      <c r="S111" t="inlineStr">
        <is>
          <t>정보 없음</t>
        </is>
      </c>
      <c r="T111" s="3" t="inlineStr">
        <is>
          <t>더원</t>
        </is>
      </c>
      <c r="U111" s="4" t="n">
        <v>1</v>
      </c>
      <c r="V111" s="5" t="n">
        <v>0</v>
      </c>
      <c r="W111" s="3" t="inlineStr"/>
      <c r="X111" s="3" t="inlineStr">
        <is>
          <t>정보 없음</t>
        </is>
      </c>
      <c r="Y111" s="7" t="inlineStr">
        <is>
          <t>정보 없음</t>
        </is>
      </c>
      <c r="Z111" s="3" t="inlineStr">
        <is>
          <t>정보 없음</t>
        </is>
      </c>
      <c r="AA111" s="3" t="inlineStr">
        <is>
          <t>정보 없음</t>
        </is>
      </c>
      <c r="AB111" s="3" t="inlineStr">
        <is>
          <t>정보 없음</t>
        </is>
      </c>
      <c r="AC111" s="3" t="inlineStr">
        <is>
          <t>정보 없음</t>
        </is>
      </c>
      <c r="AD111" s="3" t="inlineStr">
        <is>
          <t>정보 없음</t>
        </is>
      </c>
    </row>
    <row r="112">
      <c r="A112" s="3" t="inlineStr">
        <is>
          <t>부강면 [노출거부]</t>
        </is>
      </c>
      <c r="B112" s="3" t="inlineStr">
        <is>
          <t>정보 없음</t>
        </is>
      </c>
      <c r="C112" s="3" t="inlineStr">
        <is>
          <t>정보 없음</t>
        </is>
      </c>
      <c r="D112" s="3" t="inlineStr">
        <is>
          <t>창고</t>
        </is>
      </c>
      <c r="E112" s="3" t="inlineStr">
        <is>
          <t>매매</t>
        </is>
      </c>
      <c r="F112" s="4" t="n">
        <v>1500000</v>
      </c>
      <c r="G112" s="4" t="n">
        <v>0</v>
      </c>
      <c r="H112" s="4" t="n">
        <v>24875</v>
      </c>
      <c r="I112" s="4" t="n">
        <v>7525</v>
      </c>
      <c r="J112" s="5" t="n">
        <v>199.3</v>
      </c>
      <c r="K112" s="4" t="n">
        <v>6971</v>
      </c>
      <c r="L112" s="4" t="n">
        <v>2109</v>
      </c>
      <c r="M112" s="5" t="n">
        <v>711.2</v>
      </c>
      <c r="N112" s="3" t="inlineStr">
        <is>
          <t>1</t>
        </is>
      </c>
      <c r="O112" s="3" t="inlineStr">
        <is>
          <t>-</t>
        </is>
      </c>
      <c r="P112" s="3" t="inlineStr">
        <is>
          <t>남청주IC와 가깝고 세종 청주 접근성 좋으며, 도크시설이 있는 곳</t>
        </is>
      </c>
      <c r="Q112" s="6">
        <f>HYPERLINK("https://fin.land.naver.com/articles/2649998568", "매물Link")</f>
        <v/>
      </c>
      <c r="R112" t="inlineStr">
        <is>
          <t>정보 없음</t>
        </is>
      </c>
      <c r="S112" t="inlineStr">
        <is>
          <t>정보 없음</t>
        </is>
      </c>
      <c r="T112" s="3" t="inlineStr">
        <is>
          <t>(주)미르</t>
        </is>
      </c>
      <c r="U112" s="4" t="n">
        <v>1</v>
      </c>
      <c r="V112" s="5" t="n">
        <v>0</v>
      </c>
      <c r="W112" s="3" t="inlineStr"/>
      <c r="X112" s="3" t="inlineStr">
        <is>
          <t>정보 없음</t>
        </is>
      </c>
      <c r="Y112" s="7" t="inlineStr">
        <is>
          <t>정보 없음</t>
        </is>
      </c>
      <c r="Z112" s="3" t="inlineStr">
        <is>
          <t>정보 없음</t>
        </is>
      </c>
      <c r="AA112" s="3" t="inlineStr">
        <is>
          <t>정보 없음</t>
        </is>
      </c>
      <c r="AB112" s="3" t="inlineStr">
        <is>
          <t>정보 없음</t>
        </is>
      </c>
      <c r="AC112" s="3" t="inlineStr">
        <is>
          <t>정보 없음</t>
        </is>
      </c>
      <c r="AD112" s="3" t="inlineStr">
        <is>
          <t>정보 없음</t>
        </is>
      </c>
    </row>
    <row r="113">
      <c r="A113" s="3" t="inlineStr">
        <is>
          <t>부강면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750</v>
      </c>
      <c r="H113" s="4" t="n">
        <v>1200</v>
      </c>
      <c r="I113" s="4" t="n">
        <v>363</v>
      </c>
      <c r="J113" s="5" t="n">
        <v>2.1</v>
      </c>
      <c r="K113" s="4" t="n">
        <v>990</v>
      </c>
      <c r="L113" s="4" t="n">
        <v>299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세종시 부강면 공장 및 창고 임대, 6월말 입주가능</t>
        </is>
      </c>
      <c r="Q113" s="6">
        <f>HYPERLINK("https://fin.land.naver.com/articles/2649940454", "매물Link")</f>
        <v/>
      </c>
      <c r="R113" t="inlineStr">
        <is>
          <t>정보 없음</t>
        </is>
      </c>
      <c r="S113" t="inlineStr">
        <is>
          <t>정보 없음</t>
        </is>
      </c>
      <c r="T113" s="3" t="inlineStr">
        <is>
          <t>신탄진다온</t>
        </is>
      </c>
      <c r="U113" s="4" t="n">
        <v>1</v>
      </c>
      <c r="V113" s="5" t="n">
        <v>0</v>
      </c>
      <c r="W113" s="3" t="inlineStr"/>
      <c r="X113" s="3" t="inlineStr">
        <is>
          <t>정보 없음</t>
        </is>
      </c>
      <c r="Y113" s="7" t="inlineStr">
        <is>
          <t>정보 없음</t>
        </is>
      </c>
      <c r="Z113" s="3" t="inlineStr">
        <is>
          <t>정보 없음</t>
        </is>
      </c>
      <c r="AA113" s="3" t="inlineStr">
        <is>
          <t>정보 없음</t>
        </is>
      </c>
      <c r="AB113" s="3" t="inlineStr">
        <is>
          <t>정보 없음</t>
        </is>
      </c>
      <c r="AC113" s="3" t="inlineStr">
        <is>
          <t>정보 없음</t>
        </is>
      </c>
      <c r="AD113" s="3" t="inlineStr">
        <is>
          <t>정보 없음</t>
        </is>
      </c>
    </row>
    <row r="114">
      <c r="A114" s="3" t="inlineStr">
        <is>
          <t>부강면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공장</t>
        </is>
      </c>
      <c r="E114" s="3" t="inlineStr">
        <is>
          <t>매매</t>
        </is>
      </c>
      <c r="F114" s="4" t="n">
        <v>1100000</v>
      </c>
      <c r="G114" s="4" t="n">
        <v>0</v>
      </c>
      <c r="H114" s="4" t="n">
        <v>11970</v>
      </c>
      <c r="I114" s="4" t="n">
        <v>3621</v>
      </c>
      <c r="J114" s="5" t="n">
        <v>303.8</v>
      </c>
      <c r="K114" s="4" t="n">
        <v>3679</v>
      </c>
      <c r="L114" s="4" t="n">
        <v>1113</v>
      </c>
      <c r="M114" s="5" t="n">
        <v>988.3</v>
      </c>
      <c r="N114" s="3" t="inlineStr">
        <is>
          <t>1</t>
        </is>
      </c>
      <c r="O114" s="3" t="inlineStr">
        <is>
          <t>-</t>
        </is>
      </c>
      <c r="P114" s="3" t="inlineStr">
        <is>
          <t>남청주IC에서 10분거리, 신축대형공장으로 대형차진출입이 편리한 곳</t>
        </is>
      </c>
      <c r="Q114" s="6">
        <f>HYPERLINK("https://fin.land.naver.com/articles/2649989463", "매물Link")</f>
        <v/>
      </c>
      <c r="R114" t="inlineStr">
        <is>
          <t>정보 없음</t>
        </is>
      </c>
      <c r="S114" t="inlineStr">
        <is>
          <t>정보 없음</t>
        </is>
      </c>
      <c r="T114" s="3" t="inlineStr">
        <is>
          <t>(주)미르</t>
        </is>
      </c>
      <c r="U114" s="4" t="n">
        <v>1</v>
      </c>
      <c r="V114" s="5" t="n">
        <v>0</v>
      </c>
      <c r="W114" s="3" t="inlineStr"/>
      <c r="X114" s="3" t="inlineStr">
        <is>
          <t>정보 없음</t>
        </is>
      </c>
      <c r="Y114" s="7" t="inlineStr">
        <is>
          <t>정보 없음</t>
        </is>
      </c>
      <c r="Z114" s="3" t="inlineStr">
        <is>
          <t>정보 없음</t>
        </is>
      </c>
      <c r="AA114" s="3" t="inlineStr">
        <is>
          <t>정보 없음</t>
        </is>
      </c>
      <c r="AB114" s="3" t="inlineStr">
        <is>
          <t>정보 없음</t>
        </is>
      </c>
      <c r="AC114" s="3" t="inlineStr">
        <is>
          <t>정보 없음</t>
        </is>
      </c>
      <c r="AD114" s="3" t="inlineStr">
        <is>
          <t>정보 없음</t>
        </is>
      </c>
    </row>
    <row r="115">
      <c r="A115" s="3" t="inlineStr">
        <is>
          <t>부강면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375</v>
      </c>
      <c r="H115" s="4" t="n">
        <v>1248</v>
      </c>
      <c r="I115" s="4" t="n">
        <v>378</v>
      </c>
      <c r="J115" s="5" t="n">
        <v>1</v>
      </c>
      <c r="K115" s="4" t="n">
        <v>496</v>
      </c>
      <c r="L115" s="4" t="n">
        <v>150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남청주ic10분 2차선도로 대형차량출입가능 신축건물 대전세종청주인접</t>
        </is>
      </c>
      <c r="Q115" s="6">
        <f>HYPERLINK("https://fin.land.naver.com/articles/2650482257", "매물Link")</f>
        <v/>
      </c>
      <c r="R115" t="inlineStr">
        <is>
          <t>정보 없음</t>
        </is>
      </c>
      <c r="S115" t="inlineStr">
        <is>
          <t>정보 없음</t>
        </is>
      </c>
      <c r="T115" s="3" t="inlineStr">
        <is>
          <t>세종연동탑</t>
        </is>
      </c>
      <c r="U115" s="4" t="n">
        <v>1</v>
      </c>
      <c r="V115" s="5" t="n">
        <v>0</v>
      </c>
      <c r="W115" s="3" t="inlineStr"/>
      <c r="X115" s="3" t="inlineStr">
        <is>
          <t>정보 없음</t>
        </is>
      </c>
      <c r="Y115" s="7" t="inlineStr">
        <is>
          <t>정보 없음</t>
        </is>
      </c>
      <c r="Z115" s="3" t="inlineStr">
        <is>
          <t>정보 없음</t>
        </is>
      </c>
      <c r="AA115" s="3" t="inlineStr">
        <is>
          <t>정보 없음</t>
        </is>
      </c>
      <c r="AB115" s="3" t="inlineStr">
        <is>
          <t>정보 없음</t>
        </is>
      </c>
      <c r="AC115" s="3" t="inlineStr">
        <is>
          <t>정보 없음</t>
        </is>
      </c>
      <c r="AD115" s="3" t="inlineStr">
        <is>
          <t>정보 없음</t>
        </is>
      </c>
    </row>
    <row r="116">
      <c r="A116" s="3" t="inlineStr">
        <is>
          <t>부강면 [노출거부]</t>
        </is>
      </c>
      <c r="B116" s="3" t="inlineStr">
        <is>
          <t>정보 없음</t>
        </is>
      </c>
      <c r="C116" s="3" t="inlineStr">
        <is>
          <t>정보 없음</t>
        </is>
      </c>
      <c r="D116" s="3" t="inlineStr">
        <is>
          <t>공장</t>
        </is>
      </c>
      <c r="E116" s="3" t="inlineStr">
        <is>
          <t>매매</t>
        </is>
      </c>
      <c r="F116" s="4" t="n">
        <v>200000</v>
      </c>
      <c r="G116" s="4" t="n">
        <v>0</v>
      </c>
      <c r="H116" s="4" t="n">
        <v>3848</v>
      </c>
      <c r="I116" s="4" t="n">
        <v>1164</v>
      </c>
      <c r="J116" s="5" t="n">
        <v>171.8</v>
      </c>
      <c r="K116" s="4" t="n">
        <v>1288</v>
      </c>
      <c r="L116" s="4" t="n">
        <v>390</v>
      </c>
      <c r="M116" s="5" t="n">
        <v>512.8</v>
      </c>
      <c r="N116" s="3" t="inlineStr">
        <is>
          <t>2</t>
        </is>
      </c>
      <c r="O116" s="3" t="inlineStr">
        <is>
          <t>-</t>
        </is>
      </c>
      <c r="P116" s="3" t="inlineStr">
        <is>
          <t>민원 없는 근린생활시설  3개동 구성  적재주차 편리</t>
        </is>
      </c>
      <c r="Q116" s="6">
        <f>HYPERLINK("https://fin.land.naver.com/articles/2650631559", "매물Link")</f>
        <v/>
      </c>
      <c r="R116" t="inlineStr">
        <is>
          <t>정보 없음</t>
        </is>
      </c>
      <c r="S116" t="inlineStr">
        <is>
          <t>정보 없음</t>
        </is>
      </c>
      <c r="T116" s="3" t="inlineStr">
        <is>
          <t>삼익</t>
        </is>
      </c>
      <c r="U116" s="4" t="n">
        <v>1</v>
      </c>
      <c r="V116" s="5" t="n">
        <v>0</v>
      </c>
      <c r="W116" s="3" t="inlineStr"/>
      <c r="X116" s="3" t="inlineStr">
        <is>
          <t>정보 없음</t>
        </is>
      </c>
      <c r="Y116" s="7" t="inlineStr">
        <is>
          <t>정보 없음</t>
        </is>
      </c>
      <c r="Z116" s="3" t="inlineStr">
        <is>
          <t>정보 없음</t>
        </is>
      </c>
      <c r="AA116" s="3" t="inlineStr">
        <is>
          <t>정보 없음</t>
        </is>
      </c>
      <c r="AB116" s="3" t="inlineStr">
        <is>
          <t>정보 없음</t>
        </is>
      </c>
      <c r="AC116" s="3" t="inlineStr">
        <is>
          <t>정보 없음</t>
        </is>
      </c>
      <c r="AD116" s="3" t="inlineStr">
        <is>
          <t>정보 없음</t>
        </is>
      </c>
    </row>
    <row r="117">
      <c r="A117" s="3" t="inlineStr">
        <is>
          <t>부강면 [노출거부]</t>
        </is>
      </c>
      <c r="B117" s="3" t="inlineStr">
        <is>
          <t>정보 없음</t>
        </is>
      </c>
      <c r="C117" s="3" t="inlineStr">
        <is>
          <t>정보 없음</t>
        </is>
      </c>
      <c r="D117" s="3" t="inlineStr">
        <is>
          <t>공장</t>
        </is>
      </c>
      <c r="E117" s="3" t="inlineStr">
        <is>
          <t>월세</t>
        </is>
      </c>
      <c r="F117" s="4" t="n">
        <v>1500</v>
      </c>
      <c r="G117" s="4" t="n">
        <v>140</v>
      </c>
      <c r="H117" s="4" t="n">
        <v>495</v>
      </c>
      <c r="I117" s="4" t="n">
        <v>150</v>
      </c>
      <c r="J117" s="5" t="n">
        <v>0.9</v>
      </c>
      <c r="K117" s="4" t="n">
        <v>195</v>
      </c>
      <c r="L117" s="4" t="n">
        <v>59</v>
      </c>
      <c r="M117" s="5" t="n">
        <v>2.4</v>
      </c>
      <c r="N117" s="3" t="inlineStr">
        <is>
          <t>1</t>
        </is>
      </c>
      <c r="O117" s="3" t="inlineStr">
        <is>
          <t>-</t>
        </is>
      </c>
      <c r="P117" s="3" t="inlineStr">
        <is>
          <t>남청주IC5분,2종근생제조용도,2차선변,대형차진입,층고6m,10월입주협의</t>
        </is>
      </c>
      <c r="Q117" s="6">
        <f>HYPERLINK("https://fin.land.naver.com/articles/2648411479", "매물Link")</f>
        <v/>
      </c>
      <c r="R117" t="inlineStr">
        <is>
          <t>정보 없음</t>
        </is>
      </c>
      <c r="S117" t="inlineStr">
        <is>
          <t>정보 없음</t>
        </is>
      </c>
      <c r="T117" s="3" t="inlineStr">
        <is>
          <t>OK허니</t>
        </is>
      </c>
      <c r="U117" s="4" t="n">
        <v>1</v>
      </c>
      <c r="V117" s="5" t="n">
        <v>0</v>
      </c>
      <c r="W117" s="3" t="inlineStr"/>
      <c r="X117" s="3" t="inlineStr">
        <is>
          <t>정보 없음</t>
        </is>
      </c>
      <c r="Y117" s="7" t="inlineStr">
        <is>
          <t>정보 없음</t>
        </is>
      </c>
      <c r="Z117" s="3" t="inlineStr">
        <is>
          <t>정보 없음</t>
        </is>
      </c>
      <c r="AA117" s="3" t="inlineStr">
        <is>
          <t>정보 없음</t>
        </is>
      </c>
      <c r="AB117" s="3" t="inlineStr">
        <is>
          <t>정보 없음</t>
        </is>
      </c>
      <c r="AC117" s="3" t="inlineStr">
        <is>
          <t>정보 없음</t>
        </is>
      </c>
      <c r="AD117" s="3" t="inlineStr">
        <is>
          <t>정보 없음</t>
        </is>
      </c>
    </row>
    <row r="118">
      <c r="A118" s="3" t="inlineStr">
        <is>
          <t>부강면 [노출거부]</t>
        </is>
      </c>
      <c r="B118" s="3" t="inlineStr">
        <is>
          <t>정보 없음</t>
        </is>
      </c>
      <c r="C118" s="3" t="inlineStr">
        <is>
          <t>정보 없음</t>
        </is>
      </c>
      <c r="D118" s="3" t="inlineStr">
        <is>
          <t>공장</t>
        </is>
      </c>
      <c r="E118" s="3" t="inlineStr">
        <is>
          <t>매매</t>
        </is>
      </c>
      <c r="F118" s="4" t="n">
        <v>100000</v>
      </c>
      <c r="G118" s="4" t="n">
        <v>0</v>
      </c>
      <c r="H118" s="4" t="n">
        <v>894</v>
      </c>
      <c r="I118" s="4" t="n">
        <v>270</v>
      </c>
      <c r="J118" s="5" t="n">
        <v>370.4</v>
      </c>
      <c r="K118" s="4" t="n">
        <v>352</v>
      </c>
      <c r="L118" s="4" t="n">
        <v>106</v>
      </c>
      <c r="M118" s="5" t="n">
        <v>943.4</v>
      </c>
      <c r="N118" s="3" t="inlineStr">
        <is>
          <t>1</t>
        </is>
      </c>
      <c r="O118" s="3" t="inlineStr">
        <is>
          <t>-</t>
        </is>
      </c>
      <c r="P118" s="3" t="inlineStr">
        <is>
          <t>남청주ic 9분 세종 부강일반산업단지 옆 소형 공장매매</t>
        </is>
      </c>
      <c r="Q118" s="6">
        <f>HYPERLINK("https://fin.land.naver.com/articles/2650873412", "매물Link")</f>
        <v/>
      </c>
      <c r="R118" t="inlineStr">
        <is>
          <t>정보 없음</t>
        </is>
      </c>
      <c r="S118" t="inlineStr">
        <is>
          <t>정보 없음</t>
        </is>
      </c>
      <c r="T118" s="3" t="inlineStr">
        <is>
          <t>더원</t>
        </is>
      </c>
      <c r="U118" s="4" t="n">
        <v>1</v>
      </c>
      <c r="V118" s="5" t="n">
        <v>0</v>
      </c>
      <c r="W118" s="3" t="inlineStr"/>
      <c r="X118" s="3" t="inlineStr">
        <is>
          <t>정보 없음</t>
        </is>
      </c>
      <c r="Y118" s="7" t="inlineStr">
        <is>
          <t>정보 없음</t>
        </is>
      </c>
      <c r="Z118" s="3" t="inlineStr">
        <is>
          <t>정보 없음</t>
        </is>
      </c>
      <c r="AA118" s="3" t="inlineStr">
        <is>
          <t>정보 없음</t>
        </is>
      </c>
      <c r="AB118" s="3" t="inlineStr">
        <is>
          <t>정보 없음</t>
        </is>
      </c>
      <c r="AC118" s="3" t="inlineStr">
        <is>
          <t>정보 없음</t>
        </is>
      </c>
      <c r="AD118" s="3" t="inlineStr">
        <is>
          <t>정보 없음</t>
        </is>
      </c>
    </row>
    <row r="119">
      <c r="A119" s="3" t="inlineStr">
        <is>
          <t>부강면 [노출거부]</t>
        </is>
      </c>
      <c r="B119" s="3" t="inlineStr">
        <is>
          <t>정보 없음</t>
        </is>
      </c>
      <c r="C119" s="3" t="inlineStr">
        <is>
          <t>정보 없음</t>
        </is>
      </c>
      <c r="D119" s="3" t="inlineStr">
        <is>
          <t>공장</t>
        </is>
      </c>
      <c r="E119" s="3" t="inlineStr">
        <is>
          <t>월세</t>
        </is>
      </c>
      <c r="F119" s="4" t="n">
        <v>4500</v>
      </c>
      <c r="G119" s="4" t="n">
        <v>450</v>
      </c>
      <c r="H119" s="4" t="n">
        <v>21410</v>
      </c>
      <c r="I119" s="4" t="n">
        <v>6477</v>
      </c>
      <c r="J119" s="5" t="n">
        <v>0.1</v>
      </c>
      <c r="K119" s="4" t="n">
        <v>733</v>
      </c>
      <c r="L119" s="4" t="n">
        <v>222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남청주ic 접근성 좋음 임대료 저렴 대형차 진출입 원활 전력100kw이상</t>
        </is>
      </c>
      <c r="Q119" s="6">
        <f>HYPERLINK("https://fin.land.naver.com/articles/2649683099", "매물Link")</f>
        <v/>
      </c>
      <c r="R119" t="inlineStr">
        <is>
          <t>정보 없음</t>
        </is>
      </c>
      <c r="S119" t="inlineStr">
        <is>
          <t>정보 없음</t>
        </is>
      </c>
      <c r="T119" s="3" t="inlineStr">
        <is>
          <t>더원</t>
        </is>
      </c>
      <c r="U119" s="4" t="n">
        <v>1</v>
      </c>
      <c r="V119" s="5" t="n">
        <v>0</v>
      </c>
      <c r="W119" s="3" t="inlineStr"/>
      <c r="X119" s="3" t="inlineStr">
        <is>
          <t>정보 없음</t>
        </is>
      </c>
      <c r="Y119" s="7" t="inlineStr">
        <is>
          <t>정보 없음</t>
        </is>
      </c>
      <c r="Z119" s="3" t="inlineStr">
        <is>
          <t>정보 없음</t>
        </is>
      </c>
      <c r="AA119" s="3" t="inlineStr">
        <is>
          <t>정보 없음</t>
        </is>
      </c>
      <c r="AB119" s="3" t="inlineStr">
        <is>
          <t>정보 없음</t>
        </is>
      </c>
      <c r="AC119" s="3" t="inlineStr">
        <is>
          <t>정보 없음</t>
        </is>
      </c>
      <c r="AD119" s="3" t="inlineStr">
        <is>
          <t>정보 없음</t>
        </is>
      </c>
    </row>
    <row r="120">
      <c r="A120" s="3" t="inlineStr">
        <is>
          <t>부강면 [노출거부]</t>
        </is>
      </c>
      <c r="B120" s="3" t="inlineStr">
        <is>
          <t>정보 없음</t>
        </is>
      </c>
      <c r="C120" s="3" t="inlineStr">
        <is>
          <t>정보 없음</t>
        </is>
      </c>
      <c r="D120" s="3" t="inlineStr">
        <is>
          <t>창고</t>
        </is>
      </c>
      <c r="E120" s="3" t="inlineStr">
        <is>
          <t>매매</t>
        </is>
      </c>
      <c r="F120" s="4" t="n">
        <v>1500000</v>
      </c>
      <c r="G120" s="4" t="n">
        <v>0</v>
      </c>
      <c r="H120" s="4" t="n">
        <v>24875</v>
      </c>
      <c r="I120" s="4" t="n">
        <v>7525</v>
      </c>
      <c r="J120" s="5" t="n">
        <v>199.3</v>
      </c>
      <c r="K120" s="4" t="n">
        <v>6971</v>
      </c>
      <c r="L120" s="4" t="n">
        <v>2109</v>
      </c>
      <c r="M120" s="5" t="n">
        <v>711.2</v>
      </c>
      <c r="N120" s="3" t="inlineStr">
        <is>
          <t>2</t>
        </is>
      </c>
      <c r="O120" s="3" t="inlineStr">
        <is>
          <t>-</t>
        </is>
      </c>
      <c r="P120" s="3" t="inlineStr">
        <is>
          <t>남청주ic접근성 좋으며 대형차진출입용이 도크시설 되어는 창고</t>
        </is>
      </c>
      <c r="Q120" s="6">
        <f>HYPERLINK("https://fin.land.naver.com/articles/2650952916", "매물Link")</f>
        <v/>
      </c>
      <c r="R120" t="inlineStr">
        <is>
          <t>정보 없음</t>
        </is>
      </c>
      <c r="S120" t="inlineStr">
        <is>
          <t>정보 없음</t>
        </is>
      </c>
      <c r="T120" s="3" t="inlineStr">
        <is>
          <t>더원</t>
        </is>
      </c>
      <c r="U120" s="4" t="n">
        <v>1</v>
      </c>
      <c r="V120" s="5" t="n">
        <v>0</v>
      </c>
      <c r="W120" s="3" t="inlineStr"/>
      <c r="X120" s="3" t="inlineStr">
        <is>
          <t>정보 없음</t>
        </is>
      </c>
      <c r="Y120" s="7" t="inlineStr">
        <is>
          <t>정보 없음</t>
        </is>
      </c>
      <c r="Z120" s="3" t="inlineStr">
        <is>
          <t>정보 없음</t>
        </is>
      </c>
      <c r="AA120" s="3" t="inlineStr">
        <is>
          <t>정보 없음</t>
        </is>
      </c>
      <c r="AB120" s="3" t="inlineStr">
        <is>
          <t>정보 없음</t>
        </is>
      </c>
      <c r="AC120" s="3" t="inlineStr">
        <is>
          <t>정보 없음</t>
        </is>
      </c>
      <c r="AD120" s="3" t="inlineStr">
        <is>
          <t>정보 없음</t>
        </is>
      </c>
    </row>
    <row r="121">
      <c r="A121" s="3" t="inlineStr">
        <is>
          <t>부강면 [노출거부]</t>
        </is>
      </c>
      <c r="B121" s="3" t="inlineStr">
        <is>
          <t>정보 없음</t>
        </is>
      </c>
      <c r="C121" s="3" t="inlineStr">
        <is>
          <t>정보 없음</t>
        </is>
      </c>
      <c r="D121" s="3" t="inlineStr">
        <is>
          <t>창고</t>
        </is>
      </c>
      <c r="E121" s="3" t="inlineStr">
        <is>
          <t>매매</t>
        </is>
      </c>
      <c r="F121" s="4" t="n">
        <v>1500000</v>
      </c>
      <c r="G121" s="4" t="n">
        <v>0</v>
      </c>
      <c r="H121" s="4" t="n">
        <v>24800</v>
      </c>
      <c r="I121" s="4" t="n">
        <v>7502</v>
      </c>
      <c r="J121" s="5" t="n">
        <v>199.9</v>
      </c>
      <c r="K121" s="4" t="n">
        <v>6971</v>
      </c>
      <c r="L121" s="4" t="n">
        <v>2109</v>
      </c>
      <c r="M121" s="5" t="n">
        <v>711.2</v>
      </c>
      <c r="N121" s="3" t="inlineStr">
        <is>
          <t>1</t>
        </is>
      </c>
      <c r="O121" s="3" t="inlineStr">
        <is>
          <t>-</t>
        </is>
      </c>
      <c r="P121" s="3" t="inlineStr">
        <is>
          <t>신축급 창고시설, 남청주IC 9분</t>
        </is>
      </c>
      <c r="Q121" s="6">
        <f>HYPERLINK("https://fin.land.naver.com/articles/2650975202", "매물Link")</f>
        <v/>
      </c>
      <c r="R121" t="inlineStr">
        <is>
          <t>정보 없음</t>
        </is>
      </c>
      <c r="S121" t="inlineStr">
        <is>
          <t>정보 없음</t>
        </is>
      </c>
      <c r="T121" s="3" t="inlineStr">
        <is>
          <t>미더스</t>
        </is>
      </c>
      <c r="U121" s="4" t="n">
        <v>1</v>
      </c>
      <c r="V121" s="5" t="n">
        <v>0</v>
      </c>
      <c r="W121" s="3" t="inlineStr"/>
      <c r="X121" s="3" t="inlineStr">
        <is>
          <t>정보 없음</t>
        </is>
      </c>
      <c r="Y121" s="7" t="inlineStr">
        <is>
          <t>정보 없음</t>
        </is>
      </c>
      <c r="Z121" s="3" t="inlineStr">
        <is>
          <t>정보 없음</t>
        </is>
      </c>
      <c r="AA121" s="3" t="inlineStr">
        <is>
          <t>정보 없음</t>
        </is>
      </c>
      <c r="AB121" s="3" t="inlineStr">
        <is>
          <t>정보 없음</t>
        </is>
      </c>
      <c r="AC121" s="3" t="inlineStr">
        <is>
          <t>정보 없음</t>
        </is>
      </c>
      <c r="AD121" s="3" t="inlineStr">
        <is>
          <t>정보 없음</t>
        </is>
      </c>
    </row>
    <row r="122">
      <c r="A122" s="3" t="inlineStr">
        <is>
          <t>부강면 [노출거부]</t>
        </is>
      </c>
      <c r="B122" s="3" t="inlineStr">
        <is>
          <t>정보 없음</t>
        </is>
      </c>
      <c r="C122" s="3" t="inlineStr">
        <is>
          <t>정보 없음</t>
        </is>
      </c>
      <c r="D122" s="3" t="inlineStr">
        <is>
          <t>공장</t>
        </is>
      </c>
      <c r="E122" s="3" t="inlineStr">
        <is>
          <t>매매</t>
        </is>
      </c>
      <c r="F122" s="4" t="n">
        <v>85000</v>
      </c>
      <c r="G122" s="4" t="n">
        <v>0</v>
      </c>
      <c r="H122" s="4" t="n">
        <v>891</v>
      </c>
      <c r="I122" s="4" t="n">
        <v>270</v>
      </c>
      <c r="J122" s="5" t="n">
        <v>314.8</v>
      </c>
      <c r="K122" s="4" t="n">
        <v>280</v>
      </c>
      <c r="L122" s="4" t="n">
        <v>85</v>
      </c>
      <c r="M122" s="5" t="n">
        <v>1000</v>
      </c>
      <c r="N122" s="3" t="inlineStr">
        <is>
          <t>1</t>
        </is>
      </c>
      <c r="O122" s="3" t="inlineStr">
        <is>
          <t>B1</t>
        </is>
      </c>
      <c r="P122" s="3" t="inlineStr">
        <is>
          <t>2차선접한 아담한 사이즈의 제조업소입니다.</t>
        </is>
      </c>
      <c r="Q122" s="6">
        <f>HYPERLINK("https://fin.land.naver.com/articles/2651032294", "매물Link")</f>
        <v/>
      </c>
      <c r="R122" t="inlineStr">
        <is>
          <t>정보 없음</t>
        </is>
      </c>
      <c r="S122" t="inlineStr">
        <is>
          <t>정보 없음</t>
        </is>
      </c>
      <c r="T122" s="3" t="inlineStr">
        <is>
          <t>연동스카이</t>
        </is>
      </c>
      <c r="U122" s="4" t="n">
        <v>1</v>
      </c>
      <c r="V122" s="5" t="n">
        <v>0</v>
      </c>
      <c r="W122" s="3" t="inlineStr"/>
      <c r="X122" s="3" t="inlineStr">
        <is>
          <t>정보 없음</t>
        </is>
      </c>
      <c r="Y122" s="7" t="inlineStr">
        <is>
          <t>정보 없음</t>
        </is>
      </c>
      <c r="Z122" s="3" t="inlineStr">
        <is>
          <t>정보 없음</t>
        </is>
      </c>
      <c r="AA122" s="3" t="inlineStr">
        <is>
          <t>정보 없음</t>
        </is>
      </c>
      <c r="AB122" s="3" t="inlineStr">
        <is>
          <t>정보 없음</t>
        </is>
      </c>
      <c r="AC122" s="3" t="inlineStr">
        <is>
          <t>정보 없음</t>
        </is>
      </c>
      <c r="AD122" s="3" t="inlineStr">
        <is>
          <t>정보 없음</t>
        </is>
      </c>
    </row>
    <row r="123">
      <c r="A123" s="3" t="inlineStr">
        <is>
          <t>부강면 [노출거부]</t>
        </is>
      </c>
      <c r="B123" s="3" t="inlineStr">
        <is>
          <t>정보 없음</t>
        </is>
      </c>
      <c r="C123" s="3" t="inlineStr">
        <is>
          <t>정보 없음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240</v>
      </c>
      <c r="H123" s="4" t="n">
        <v>2876</v>
      </c>
      <c r="I123" s="4" t="n">
        <v>870</v>
      </c>
      <c r="J123" s="5" t="n">
        <v>0.3</v>
      </c>
      <c r="K123" s="4" t="n">
        <v>397</v>
      </c>
      <c r="L123" s="4" t="n">
        <v>120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남청주ic10분.대형차량접근가.2차선도로근접.광고효과최상.공장창고추천</t>
        </is>
      </c>
      <c r="Q123" s="6">
        <f>HYPERLINK("https://fin.land.naver.com/articles/2651576709", "매물Link")</f>
        <v/>
      </c>
      <c r="R123" t="inlineStr">
        <is>
          <t>정보 없음</t>
        </is>
      </c>
      <c r="S123" t="inlineStr">
        <is>
          <t>정보 없음</t>
        </is>
      </c>
      <c r="T123" s="3" t="inlineStr">
        <is>
          <t>세종연동탑</t>
        </is>
      </c>
      <c r="U123" s="4" t="n">
        <v>1</v>
      </c>
      <c r="V123" s="5" t="n">
        <v>0</v>
      </c>
      <c r="W123" s="3" t="inlineStr"/>
      <c r="X123" s="3" t="inlineStr">
        <is>
          <t>정보 없음</t>
        </is>
      </c>
      <c r="Y123" s="7" t="inlineStr">
        <is>
          <t>정보 없음</t>
        </is>
      </c>
      <c r="Z123" s="3" t="inlineStr">
        <is>
          <t>정보 없음</t>
        </is>
      </c>
      <c r="AA123" s="3" t="inlineStr">
        <is>
          <t>정보 없음</t>
        </is>
      </c>
      <c r="AB123" s="3" t="inlineStr">
        <is>
          <t>정보 없음</t>
        </is>
      </c>
      <c r="AC123" s="3" t="inlineStr">
        <is>
          <t>정보 없음</t>
        </is>
      </c>
      <c r="AD123" s="3" t="inlineStr">
        <is>
          <t>정보 없음</t>
        </is>
      </c>
    </row>
    <row r="124">
      <c r="A124" s="3" t="inlineStr">
        <is>
          <t>부강면 [노출거부]</t>
        </is>
      </c>
      <c r="B124" s="3" t="inlineStr">
        <is>
          <t>정보 없음</t>
        </is>
      </c>
      <c r="C124" s="3" t="inlineStr">
        <is>
          <t>정보 없음</t>
        </is>
      </c>
      <c r="D124" s="3" t="inlineStr">
        <is>
          <t>공장</t>
        </is>
      </c>
      <c r="E124" s="3" t="inlineStr">
        <is>
          <t>매매</t>
        </is>
      </c>
      <c r="F124" s="4" t="n">
        <v>132000</v>
      </c>
      <c r="G124" s="4" t="n">
        <v>0</v>
      </c>
      <c r="H124" s="4" t="n">
        <v>1705</v>
      </c>
      <c r="I124" s="4" t="n">
        <v>516</v>
      </c>
      <c r="J124" s="5" t="n">
        <v>255.8</v>
      </c>
      <c r="K124" s="4" t="n">
        <v>471</v>
      </c>
      <c r="L124" s="4" t="n">
        <v>142</v>
      </c>
      <c r="M124" s="5" t="n">
        <v>929.6</v>
      </c>
      <c r="N124" s="3" t="inlineStr">
        <is>
          <t>2</t>
        </is>
      </c>
      <c r="O124" s="3" t="inlineStr">
        <is>
          <t>-</t>
        </is>
      </c>
      <c r="P124" s="3" t="inlineStr">
        <is>
          <t>남청주ic5분  대전세종청주접근성좋음 물류 공장 창고추천</t>
        </is>
      </c>
      <c r="Q124" s="6">
        <f>HYPERLINK("https://fin.land.naver.com/articles/2651577367", "매물Link")</f>
        <v/>
      </c>
      <c r="R124" t="inlineStr">
        <is>
          <t>정보 없음</t>
        </is>
      </c>
      <c r="S124" t="inlineStr">
        <is>
          <t>정보 없음</t>
        </is>
      </c>
      <c r="T124" s="3" t="inlineStr">
        <is>
          <t>세종연동탑</t>
        </is>
      </c>
      <c r="U124" s="4" t="n">
        <v>1</v>
      </c>
      <c r="V124" s="5" t="n">
        <v>0</v>
      </c>
      <c r="W124" s="3" t="inlineStr"/>
      <c r="X124" s="3" t="inlineStr">
        <is>
          <t>정보 없음</t>
        </is>
      </c>
      <c r="Y124" s="7" t="inlineStr">
        <is>
          <t>정보 없음</t>
        </is>
      </c>
      <c r="Z124" s="3" t="inlineStr">
        <is>
          <t>정보 없음</t>
        </is>
      </c>
      <c r="AA124" s="3" t="inlineStr">
        <is>
          <t>정보 없음</t>
        </is>
      </c>
      <c r="AB124" s="3" t="inlineStr">
        <is>
          <t>정보 없음</t>
        </is>
      </c>
      <c r="AC124" s="3" t="inlineStr">
        <is>
          <t>정보 없음</t>
        </is>
      </c>
      <c r="AD124" s="3" t="inlineStr">
        <is>
          <t>정보 없음</t>
        </is>
      </c>
    </row>
    <row r="125">
      <c r="A125" s="3" t="inlineStr">
        <is>
          <t>부강면 [노출거부]</t>
        </is>
      </c>
      <c r="B125" s="3" t="inlineStr">
        <is>
          <t>정보 없음</t>
        </is>
      </c>
      <c r="C125" s="3" t="inlineStr">
        <is>
          <t>정보 없음</t>
        </is>
      </c>
      <c r="D125" s="3" t="inlineStr">
        <is>
          <t>공장</t>
        </is>
      </c>
      <c r="E125" s="3" t="inlineStr">
        <is>
          <t>매매</t>
        </is>
      </c>
      <c r="F125" s="4" t="n">
        <v>1400000</v>
      </c>
      <c r="G125" s="4" t="n">
        <v>0</v>
      </c>
      <c r="H125" s="4" t="n">
        <v>13866</v>
      </c>
      <c r="I125" s="4" t="n">
        <v>4194</v>
      </c>
      <c r="J125" s="5" t="n">
        <v>333.8</v>
      </c>
      <c r="K125" s="4" t="n">
        <v>6367</v>
      </c>
      <c r="L125" s="4" t="n">
        <v>1926</v>
      </c>
      <c r="M125" s="5" t="n">
        <v>726.9</v>
      </c>
      <c r="N125" s="3" t="inlineStr">
        <is>
          <t>1</t>
        </is>
      </c>
      <c r="O125" s="3" t="inlineStr">
        <is>
          <t>B1</t>
        </is>
      </c>
      <c r="P125" s="3" t="inlineStr">
        <is>
          <t>사진有 공장 매매</t>
        </is>
      </c>
      <c r="Q125" s="6">
        <f>HYPERLINK("https://fin.land.naver.com/articles/2652060804", "매물Link")</f>
        <v/>
      </c>
      <c r="R125" t="inlineStr">
        <is>
          <t>정보 없음</t>
        </is>
      </c>
      <c r="S125" t="inlineStr">
        <is>
          <t>정보 없음</t>
        </is>
      </c>
      <c r="T125" s="3" t="inlineStr">
        <is>
          <t>월드</t>
        </is>
      </c>
      <c r="U125" s="4" t="n">
        <v>1</v>
      </c>
      <c r="V125" s="5" t="n">
        <v>0</v>
      </c>
      <c r="W125" s="3" t="inlineStr"/>
      <c r="X125" s="3" t="inlineStr">
        <is>
          <t>정보 없음</t>
        </is>
      </c>
      <c r="Y125" s="7" t="inlineStr">
        <is>
          <t>정보 없음</t>
        </is>
      </c>
      <c r="Z125" s="3" t="inlineStr">
        <is>
          <t>정보 없음</t>
        </is>
      </c>
      <c r="AA125" s="3" t="inlineStr">
        <is>
          <t>정보 없음</t>
        </is>
      </c>
      <c r="AB125" s="3" t="inlineStr">
        <is>
          <t>정보 없음</t>
        </is>
      </c>
      <c r="AC125" s="3" t="inlineStr">
        <is>
          <t>정보 없음</t>
        </is>
      </c>
      <c r="AD125" s="3" t="inlineStr">
        <is>
          <t>정보 없음</t>
        </is>
      </c>
    </row>
    <row r="126">
      <c r="A126" s="3" t="inlineStr">
        <is>
          <t>부강면 [노출거부]</t>
        </is>
      </c>
      <c r="B126" s="3" t="inlineStr">
        <is>
          <t>정보 없음</t>
        </is>
      </c>
      <c r="C126" s="3" t="inlineStr">
        <is>
          <t>정보 없음</t>
        </is>
      </c>
      <c r="D126" s="3" t="inlineStr">
        <is>
          <t>공장</t>
        </is>
      </c>
      <c r="E126" s="3" t="inlineStr">
        <is>
          <t>매매</t>
        </is>
      </c>
      <c r="F126" s="4" t="n">
        <v>1100000</v>
      </c>
      <c r="G126" s="4" t="n">
        <v>0</v>
      </c>
      <c r="H126" s="4" t="n">
        <v>11970</v>
      </c>
      <c r="I126" s="4" t="n">
        <v>3621</v>
      </c>
      <c r="J126" s="5" t="n">
        <v>303.8</v>
      </c>
      <c r="K126" s="4" t="n">
        <v>6987</v>
      </c>
      <c r="L126" s="4" t="n">
        <v>2114</v>
      </c>
      <c r="M126" s="5" t="n">
        <v>520.3</v>
      </c>
      <c r="N126" s="3" t="inlineStr">
        <is>
          <t>1</t>
        </is>
      </c>
      <c r="O126" s="3" t="inlineStr">
        <is>
          <t>-</t>
        </is>
      </c>
      <c r="P126" s="3" t="inlineStr">
        <is>
          <t>남청주ic 7km 접근성 좋은 위치의 신축공장 매매</t>
        </is>
      </c>
      <c r="Q126" s="6">
        <f>HYPERLINK("https://fin.land.naver.com/articles/2650955191", "매물Link")</f>
        <v/>
      </c>
      <c r="R126" t="inlineStr">
        <is>
          <t>정보 없음</t>
        </is>
      </c>
      <c r="S126" t="inlineStr">
        <is>
          <t>정보 없음</t>
        </is>
      </c>
      <c r="T126" s="3" t="inlineStr">
        <is>
          <t>더원</t>
        </is>
      </c>
      <c r="U126" s="4" t="n">
        <v>1</v>
      </c>
      <c r="V126" s="5" t="n">
        <v>0</v>
      </c>
      <c r="W126" s="3" t="inlineStr"/>
      <c r="X126" s="3" t="inlineStr">
        <is>
          <t>정보 없음</t>
        </is>
      </c>
      <c r="Y126" s="7" t="inlineStr">
        <is>
          <t>정보 없음</t>
        </is>
      </c>
      <c r="Z126" s="3" t="inlineStr">
        <is>
          <t>정보 없음</t>
        </is>
      </c>
      <c r="AA126" s="3" t="inlineStr">
        <is>
          <t>정보 없음</t>
        </is>
      </c>
      <c r="AB126" s="3" t="inlineStr">
        <is>
          <t>정보 없음</t>
        </is>
      </c>
      <c r="AC126" s="3" t="inlineStr">
        <is>
          <t>정보 없음</t>
        </is>
      </c>
      <c r="AD126" s="3" t="inlineStr">
        <is>
          <t>정보 없음</t>
        </is>
      </c>
    </row>
    <row r="127">
      <c r="A127" s="3" t="inlineStr">
        <is>
          <t>부강면 [노출거부]</t>
        </is>
      </c>
      <c r="B127" s="3" t="inlineStr">
        <is>
          <t>정보 없음</t>
        </is>
      </c>
      <c r="C127" s="3" t="inlineStr">
        <is>
          <t>정보 없음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21410</v>
      </c>
      <c r="I127" s="4" t="n">
        <v>6477</v>
      </c>
      <c r="J127" s="5" t="n">
        <v>0.1</v>
      </c>
      <c r="K127" s="4" t="n">
        <v>733</v>
      </c>
      <c r="L127" s="4" t="n">
        <v>222</v>
      </c>
      <c r="M127" s="5" t="n">
        <v>2</v>
      </c>
      <c r="N127" s="3" t="inlineStr">
        <is>
          <t>1</t>
        </is>
      </c>
      <c r="O127" s="3" t="inlineStr">
        <is>
          <t>-</t>
        </is>
      </c>
      <c r="P127" s="3" t="inlineStr">
        <is>
          <t>남청주ic 10분거리이며 대형차 진출입원활하고 공장등록가능</t>
        </is>
      </c>
      <c r="Q127" s="6">
        <f>HYPERLINK("https://fin.land.naver.com/articles/2652625265", "매물Link")</f>
        <v/>
      </c>
      <c r="R127" t="inlineStr">
        <is>
          <t>정보 없음</t>
        </is>
      </c>
      <c r="S127" t="inlineStr">
        <is>
          <t>정보 없음</t>
        </is>
      </c>
      <c r="T127" s="3" t="inlineStr">
        <is>
          <t>더원</t>
        </is>
      </c>
      <c r="U127" s="4" t="n">
        <v>1</v>
      </c>
      <c r="V127" s="5" t="n">
        <v>0</v>
      </c>
      <c r="W127" s="3" t="inlineStr"/>
      <c r="X127" s="3" t="inlineStr">
        <is>
          <t>정보 없음</t>
        </is>
      </c>
      <c r="Y127" s="7" t="inlineStr">
        <is>
          <t>정보 없음</t>
        </is>
      </c>
      <c r="Z127" s="3" t="inlineStr">
        <is>
          <t>정보 없음</t>
        </is>
      </c>
      <c r="AA127" s="3" t="inlineStr">
        <is>
          <t>정보 없음</t>
        </is>
      </c>
      <c r="AB127" s="3" t="inlineStr">
        <is>
          <t>정보 없음</t>
        </is>
      </c>
      <c r="AC127" s="3" t="inlineStr">
        <is>
          <t>정보 없음</t>
        </is>
      </c>
      <c r="AD127" s="3" t="inlineStr">
        <is>
          <t>정보 없음</t>
        </is>
      </c>
    </row>
    <row r="128">
      <c r="A128" s="3" t="inlineStr">
        <is>
          <t>부강면 [노출거부]</t>
        </is>
      </c>
      <c r="B128" s="3" t="inlineStr">
        <is>
          <t>정보 없음</t>
        </is>
      </c>
      <c r="C128" s="3" t="inlineStr">
        <is>
          <t>정보 없음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280</v>
      </c>
      <c r="H128" s="4" t="n">
        <v>991</v>
      </c>
      <c r="I128" s="4" t="n">
        <v>300</v>
      </c>
      <c r="J128" s="5" t="n">
        <v>0.9</v>
      </c>
      <c r="K128" s="4" t="n">
        <v>390</v>
      </c>
      <c r="L128" s="4" t="n">
        <v>118</v>
      </c>
      <c r="M128" s="5" t="n">
        <v>2.4</v>
      </c>
      <c r="N128" s="3" t="inlineStr">
        <is>
          <t>1</t>
        </is>
      </c>
      <c r="O128" s="3" t="inlineStr">
        <is>
          <t>-</t>
        </is>
      </c>
      <c r="P128" s="3" t="inlineStr">
        <is>
          <t>남청주IC5분,제조용도,2종근생,2차선변,대형차진입,층고6m,각동분할가능</t>
        </is>
      </c>
      <c r="Q128" s="6">
        <f>HYPERLINK("https://fin.land.naver.com/articles/2648415982", "매물Link")</f>
        <v/>
      </c>
      <c r="R128" t="inlineStr">
        <is>
          <t>정보 없음</t>
        </is>
      </c>
      <c r="S128" t="inlineStr">
        <is>
          <t>정보 없음</t>
        </is>
      </c>
      <c r="T128" s="3" t="inlineStr">
        <is>
          <t>OK허니</t>
        </is>
      </c>
      <c r="U128" s="4" t="n">
        <v>1</v>
      </c>
      <c r="V128" s="5" t="n">
        <v>0</v>
      </c>
      <c r="W128" s="3" t="inlineStr"/>
      <c r="X128" s="3" t="inlineStr">
        <is>
          <t>정보 없음</t>
        </is>
      </c>
      <c r="Y128" s="7" t="inlineStr">
        <is>
          <t>정보 없음</t>
        </is>
      </c>
      <c r="Z128" s="3" t="inlineStr">
        <is>
          <t>정보 없음</t>
        </is>
      </c>
      <c r="AA128" s="3" t="inlineStr">
        <is>
          <t>정보 없음</t>
        </is>
      </c>
      <c r="AB128" s="3" t="inlineStr">
        <is>
          <t>정보 없음</t>
        </is>
      </c>
      <c r="AC128" s="3" t="inlineStr">
        <is>
          <t>정보 없음</t>
        </is>
      </c>
      <c r="AD128" s="3" t="inlineStr">
        <is>
          <t>정보 없음</t>
        </is>
      </c>
    </row>
    <row r="129">
      <c r="A129" s="3" t="inlineStr">
        <is>
          <t>부강면 [노출거부]</t>
        </is>
      </c>
      <c r="B129" s="3" t="inlineStr">
        <is>
          <t>정보 없음</t>
        </is>
      </c>
      <c r="C129" s="3" t="inlineStr">
        <is>
          <t>정보 없음</t>
        </is>
      </c>
      <c r="D129" s="3" t="inlineStr">
        <is>
          <t>창고</t>
        </is>
      </c>
      <c r="E129" s="3" t="inlineStr">
        <is>
          <t>월세</t>
        </is>
      </c>
      <c r="F129" s="4" t="n">
        <v>2000</v>
      </c>
      <c r="G129" s="4" t="n">
        <v>140</v>
      </c>
      <c r="H129" s="4" t="n">
        <v>1149</v>
      </c>
      <c r="I129" s="4" t="n">
        <v>348</v>
      </c>
      <c r="J129" s="5" t="n">
        <v>0.4</v>
      </c>
      <c r="K129" s="4" t="n">
        <v>176</v>
      </c>
      <c r="L129" s="4" t="n">
        <v>53</v>
      </c>
      <c r="M129" s="5" t="n">
        <v>2.6</v>
      </c>
      <c r="N129" s="3" t="inlineStr">
        <is>
          <t>1</t>
        </is>
      </c>
      <c r="O129" s="3" t="inlineStr">
        <is>
          <t>-</t>
        </is>
      </c>
      <c r="P129" s="3" t="inlineStr">
        <is>
          <t>남청주ic5분.2차선도로접.광고효과최상.소형물류추천.신축.화장실실내설치</t>
        </is>
      </c>
      <c r="Q129" s="6">
        <f>HYPERLINK("https://fin.land.naver.com/articles/2648866961", "매물Link")</f>
        <v/>
      </c>
      <c r="R129" t="inlineStr">
        <is>
          <t>정보 없음</t>
        </is>
      </c>
      <c r="S129" t="inlineStr">
        <is>
          <t>정보 없음</t>
        </is>
      </c>
      <c r="T129" s="3" t="inlineStr">
        <is>
          <t>세종연동탑</t>
        </is>
      </c>
      <c r="U129" s="4" t="n">
        <v>1</v>
      </c>
      <c r="V129" s="5" t="n">
        <v>0</v>
      </c>
      <c r="W129" s="3" t="inlineStr"/>
      <c r="X129" s="3" t="inlineStr">
        <is>
          <t>정보 없음</t>
        </is>
      </c>
      <c r="Y129" s="7" t="inlineStr">
        <is>
          <t>정보 없음</t>
        </is>
      </c>
      <c r="Z129" s="3" t="inlineStr">
        <is>
          <t>정보 없음</t>
        </is>
      </c>
      <c r="AA129" s="3" t="inlineStr">
        <is>
          <t>정보 없음</t>
        </is>
      </c>
      <c r="AB129" s="3" t="inlineStr">
        <is>
          <t>정보 없음</t>
        </is>
      </c>
      <c r="AC129" s="3" t="inlineStr">
        <is>
          <t>정보 없음</t>
        </is>
      </c>
      <c r="AD129" s="3" t="inlineStr">
        <is>
          <t>정보 없음</t>
        </is>
      </c>
    </row>
    <row r="130">
      <c r="A130" s="3" t="inlineStr">
        <is>
          <t>부강면 [노출거부]</t>
        </is>
      </c>
      <c r="B130" s="3" t="inlineStr">
        <is>
          <t>정보 없음</t>
        </is>
      </c>
      <c r="C130" s="3" t="inlineStr">
        <is>
          <t>정보 없음</t>
        </is>
      </c>
      <c r="D130" s="3" t="inlineStr">
        <is>
          <t>공장</t>
        </is>
      </c>
      <c r="E130" s="3" t="inlineStr">
        <is>
          <t>매매</t>
        </is>
      </c>
      <c r="F130" s="4" t="n">
        <v>120000</v>
      </c>
      <c r="G130" s="4" t="n">
        <v>0</v>
      </c>
      <c r="H130" s="4" t="n">
        <v>1027</v>
      </c>
      <c r="I130" s="4" t="n">
        <v>311</v>
      </c>
      <c r="J130" s="5" t="n">
        <v>385.9</v>
      </c>
      <c r="K130" s="4" t="n">
        <v>445</v>
      </c>
      <c r="L130" s="4" t="n">
        <v>135</v>
      </c>
      <c r="M130" s="5" t="n">
        <v>888.9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 IC 인근 공장 노호리 매매</t>
        </is>
      </c>
      <c r="Q130" s="6">
        <f>HYPERLINK("https://fin.land.naver.com/articles/2648936492", "매물Link")</f>
        <v/>
      </c>
      <c r="R130" t="inlineStr">
        <is>
          <t>정보 없음</t>
        </is>
      </c>
      <c r="S130" t="inlineStr">
        <is>
          <t>정보 없음</t>
        </is>
      </c>
      <c r="T130" s="3" t="inlineStr">
        <is>
          <t>우리동네</t>
        </is>
      </c>
      <c r="U130" s="4" t="n">
        <v>1</v>
      </c>
      <c r="V130" s="5" t="n">
        <v>0</v>
      </c>
      <c r="W130" s="3" t="inlineStr"/>
      <c r="X130" s="3" t="inlineStr">
        <is>
          <t>정보 없음</t>
        </is>
      </c>
      <c r="Y130" s="7" t="inlineStr">
        <is>
          <t>정보 없음</t>
        </is>
      </c>
      <c r="Z130" s="3" t="inlineStr">
        <is>
          <t>정보 없음</t>
        </is>
      </c>
      <c r="AA130" s="3" t="inlineStr">
        <is>
          <t>정보 없음</t>
        </is>
      </c>
      <c r="AB130" s="3" t="inlineStr">
        <is>
          <t>정보 없음</t>
        </is>
      </c>
      <c r="AC130" s="3" t="inlineStr">
        <is>
          <t>정보 없음</t>
        </is>
      </c>
      <c r="AD130" s="3" t="inlineStr">
        <is>
          <t>정보 없음</t>
        </is>
      </c>
    </row>
    <row r="131">
      <c r="A131" s="3" t="inlineStr">
        <is>
          <t>부강면 [노출거부]</t>
        </is>
      </c>
      <c r="B131" s="3" t="inlineStr">
        <is>
          <t>정보 없음</t>
        </is>
      </c>
      <c r="C131" s="3" t="inlineStr">
        <is>
          <t>정보 없음</t>
        </is>
      </c>
      <c r="D131" s="3" t="inlineStr">
        <is>
          <t>창고</t>
        </is>
      </c>
      <c r="E131" s="3" t="inlineStr">
        <is>
          <t>매매</t>
        </is>
      </c>
      <c r="F131" s="4" t="n">
        <v>1500000</v>
      </c>
      <c r="G131" s="4" t="n">
        <v>0</v>
      </c>
      <c r="H131" s="4" t="n">
        <v>17618</v>
      </c>
      <c r="I131" s="4" t="n">
        <v>5329</v>
      </c>
      <c r="J131" s="5" t="n">
        <v>281.5</v>
      </c>
      <c r="K131" s="4" t="n">
        <v>4986</v>
      </c>
      <c r="L131" s="4" t="n">
        <v>1508</v>
      </c>
      <c r="M131" s="5" t="n">
        <v>994.7</v>
      </c>
      <c r="N131" s="3" t="inlineStr">
        <is>
          <t>1</t>
        </is>
      </c>
      <c r="O131" s="3" t="inlineStr">
        <is>
          <t>-</t>
        </is>
      </c>
      <c r="P131" s="3" t="inlineStr">
        <is>
          <t>물류창고</t>
        </is>
      </c>
      <c r="Q131" s="6">
        <f>HYPERLINK("https://fin.land.naver.com/articles/2651439521", "매물Link")</f>
        <v/>
      </c>
      <c r="R131" t="inlineStr">
        <is>
          <t>정보 없음</t>
        </is>
      </c>
      <c r="S131" t="inlineStr">
        <is>
          <t>정보 없음</t>
        </is>
      </c>
      <c r="T131" s="3" t="inlineStr">
        <is>
          <t>운산</t>
        </is>
      </c>
      <c r="U131" s="4" t="n">
        <v>1</v>
      </c>
      <c r="V131" s="5" t="n">
        <v>0</v>
      </c>
      <c r="W131" s="3" t="inlineStr"/>
      <c r="X131" s="3" t="inlineStr">
        <is>
          <t>정보 없음</t>
        </is>
      </c>
      <c r="Y131" s="7" t="inlineStr">
        <is>
          <t>정보 없음</t>
        </is>
      </c>
      <c r="Z131" s="3" t="inlineStr">
        <is>
          <t>정보 없음</t>
        </is>
      </c>
      <c r="AA131" s="3" t="inlineStr">
        <is>
          <t>정보 없음</t>
        </is>
      </c>
      <c r="AB131" s="3" t="inlineStr">
        <is>
          <t>정보 없음</t>
        </is>
      </c>
      <c r="AC131" s="3" t="inlineStr">
        <is>
          <t>정보 없음</t>
        </is>
      </c>
      <c r="AD131" s="3" t="inlineStr">
        <is>
          <t>정보 없음</t>
        </is>
      </c>
    </row>
    <row r="132">
      <c r="A132" s="3" t="inlineStr">
        <is>
          <t>부강면 [노출거부]</t>
        </is>
      </c>
      <c r="B132" s="3" t="inlineStr">
        <is>
          <t>정보 없음</t>
        </is>
      </c>
      <c r="C132" s="3" t="inlineStr">
        <is>
          <t>정보 없음</t>
        </is>
      </c>
      <c r="D132" s="3" t="inlineStr">
        <is>
          <t>창고</t>
        </is>
      </c>
      <c r="E132" s="3" t="inlineStr">
        <is>
          <t>월세</t>
        </is>
      </c>
      <c r="F132" s="4" t="n">
        <v>25000</v>
      </c>
      <c r="G132" s="4" t="n">
        <v>6844</v>
      </c>
      <c r="H132" s="4" t="n">
        <v>29000</v>
      </c>
      <c r="I132" s="4" t="n">
        <v>8772</v>
      </c>
      <c r="J132" s="5" t="n">
        <v>0.8</v>
      </c>
      <c r="K132" s="4" t="n">
        <v>8175</v>
      </c>
      <c r="L132" s="4" t="n">
        <v>2473</v>
      </c>
      <c r="M132" s="5" t="n">
        <v>2.8</v>
      </c>
      <c r="N132" s="3" t="inlineStr">
        <is>
          <t>1</t>
        </is>
      </c>
      <c r="O132" s="3" t="inlineStr">
        <is>
          <t>-</t>
        </is>
      </c>
      <c r="P132" s="3" t="inlineStr">
        <is>
          <t>남청주ic 10분거리 세종청주대전 접근성 최상인 물류창고</t>
        </is>
      </c>
      <c r="Q132" s="6">
        <f>HYPERLINK("https://fin.land.naver.com/articles/2652625402", "매물Link")</f>
        <v/>
      </c>
      <c r="R132" t="inlineStr">
        <is>
          <t>정보 없음</t>
        </is>
      </c>
      <c r="S132" t="inlineStr">
        <is>
          <t>정보 없음</t>
        </is>
      </c>
      <c r="T132" s="3" t="inlineStr">
        <is>
          <t>더원</t>
        </is>
      </c>
      <c r="U132" s="4" t="n">
        <v>1</v>
      </c>
      <c r="V132" s="5" t="n">
        <v>0</v>
      </c>
      <c r="W132" s="3" t="inlineStr"/>
      <c r="X132" s="3" t="inlineStr">
        <is>
          <t>정보 없음</t>
        </is>
      </c>
      <c r="Y132" s="7" t="inlineStr">
        <is>
          <t>정보 없음</t>
        </is>
      </c>
      <c r="Z132" s="3" t="inlineStr">
        <is>
          <t>정보 없음</t>
        </is>
      </c>
      <c r="AA132" s="3" t="inlineStr">
        <is>
          <t>정보 없음</t>
        </is>
      </c>
      <c r="AB132" s="3" t="inlineStr">
        <is>
          <t>정보 없음</t>
        </is>
      </c>
      <c r="AC132" s="3" t="inlineStr">
        <is>
          <t>정보 없음</t>
        </is>
      </c>
      <c r="AD132" s="3" t="inlineStr">
        <is>
          <t>정보 없음</t>
        </is>
      </c>
    </row>
    <row r="133">
      <c r="A133" s="3" t="inlineStr">
        <is>
          <t>부강면 [노출거부]</t>
        </is>
      </c>
      <c r="B133" s="3" t="inlineStr">
        <is>
          <t>정보 없음</t>
        </is>
      </c>
      <c r="C133" s="3" t="inlineStr">
        <is>
          <t>정보 없음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2876</v>
      </c>
      <c r="I133" s="4" t="n">
        <v>870</v>
      </c>
      <c r="J133" s="5" t="n">
        <v>0.3</v>
      </c>
      <c r="K133" s="4" t="n">
        <v>496</v>
      </c>
      <c r="L133" s="4" t="n">
        <v>150</v>
      </c>
      <c r="M133" s="5" t="n">
        <v>2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 10분거리 접근성 좋은 위치이며저렴한 임대료 공장등록가능</t>
        </is>
      </c>
      <c r="Q133" s="6">
        <f>HYPERLINK("https://fin.land.naver.com/articles/2652625568", "매물Link")</f>
        <v/>
      </c>
      <c r="R133" t="inlineStr">
        <is>
          <t>정보 없음</t>
        </is>
      </c>
      <c r="S133" t="inlineStr">
        <is>
          <t>정보 없음</t>
        </is>
      </c>
      <c r="T133" s="3" t="inlineStr">
        <is>
          <t>더원</t>
        </is>
      </c>
      <c r="U133" s="4" t="n">
        <v>1</v>
      </c>
      <c r="V133" s="5" t="n">
        <v>0</v>
      </c>
      <c r="W133" s="3" t="inlineStr"/>
      <c r="X133" s="3" t="inlineStr">
        <is>
          <t>정보 없음</t>
        </is>
      </c>
      <c r="Y133" s="7" t="inlineStr">
        <is>
          <t>정보 없음</t>
        </is>
      </c>
      <c r="Z133" s="3" t="inlineStr">
        <is>
          <t>정보 없음</t>
        </is>
      </c>
      <c r="AA133" s="3" t="inlineStr">
        <is>
          <t>정보 없음</t>
        </is>
      </c>
      <c r="AB133" s="3" t="inlineStr">
        <is>
          <t>정보 없음</t>
        </is>
      </c>
      <c r="AC133" s="3" t="inlineStr">
        <is>
          <t>정보 없음</t>
        </is>
      </c>
      <c r="AD133" s="3" t="inlineStr">
        <is>
          <t>정보 없음</t>
        </is>
      </c>
    </row>
    <row r="134">
      <c r="A134" s="3" t="inlineStr">
        <is>
          <t>부강면 [노출거부]</t>
        </is>
      </c>
      <c r="B134" s="3" t="inlineStr">
        <is>
          <t>정보 없음</t>
        </is>
      </c>
      <c r="C134" s="3" t="inlineStr">
        <is>
          <t>정보 없음</t>
        </is>
      </c>
      <c r="D134" s="3" t="inlineStr">
        <is>
          <t>공장</t>
        </is>
      </c>
      <c r="E134" s="3" t="inlineStr">
        <is>
          <t>월세</t>
        </is>
      </c>
      <c r="F134" s="4" t="n">
        <v>2000</v>
      </c>
      <c r="G134" s="4" t="n">
        <v>240</v>
      </c>
      <c r="H134" s="4" t="n">
        <v>2913</v>
      </c>
      <c r="I134" s="4" t="n">
        <v>881</v>
      </c>
      <c r="J134" s="5" t="n">
        <v>0.3</v>
      </c>
      <c r="K134" s="4" t="n">
        <v>397</v>
      </c>
      <c r="L134" s="4" t="n">
        <v>120</v>
      </c>
      <c r="M134" s="5" t="n">
        <v>2</v>
      </c>
      <c r="N134" s="3" t="inlineStr">
        <is>
          <t>1</t>
        </is>
      </c>
      <c r="O134" s="3" t="inlineStr">
        <is>
          <t>-</t>
        </is>
      </c>
      <c r="P134" s="3" t="inlineStr">
        <is>
          <t>남청주IC10분거리로 고속도로 접근성좋고 공장등록가능 전력120kw</t>
        </is>
      </c>
      <c r="Q134" s="6">
        <f>HYPERLINK("https://fin.land.naver.com/articles/2652625560", "매물Link")</f>
        <v/>
      </c>
      <c r="R134" t="inlineStr">
        <is>
          <t>정보 없음</t>
        </is>
      </c>
      <c r="S134" t="inlineStr">
        <is>
          <t>정보 없음</t>
        </is>
      </c>
      <c r="T134" s="3" t="inlineStr">
        <is>
          <t>더원</t>
        </is>
      </c>
      <c r="U134" s="4" t="n">
        <v>1</v>
      </c>
      <c r="V134" s="5" t="n">
        <v>0</v>
      </c>
      <c r="W134" s="3" t="inlineStr"/>
      <c r="X134" s="3" t="inlineStr">
        <is>
          <t>정보 없음</t>
        </is>
      </c>
      <c r="Y134" s="7" t="inlineStr">
        <is>
          <t>정보 없음</t>
        </is>
      </c>
      <c r="Z134" s="3" t="inlineStr">
        <is>
          <t>정보 없음</t>
        </is>
      </c>
      <c r="AA134" s="3" t="inlineStr">
        <is>
          <t>정보 없음</t>
        </is>
      </c>
      <c r="AB134" s="3" t="inlineStr">
        <is>
          <t>정보 없음</t>
        </is>
      </c>
      <c r="AC134" s="3" t="inlineStr">
        <is>
          <t>정보 없음</t>
        </is>
      </c>
      <c r="AD134" s="3" t="inlineStr">
        <is>
          <t>정보 없음</t>
        </is>
      </c>
    </row>
    <row r="135">
      <c r="A135" s="3" t="inlineStr">
        <is>
          <t>부강면 [노출거부]</t>
        </is>
      </c>
      <c r="B135" s="3" t="inlineStr">
        <is>
          <t>정보 없음</t>
        </is>
      </c>
      <c r="C135" s="3" t="inlineStr">
        <is>
          <t>정보 없음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8600</v>
      </c>
      <c r="I135" s="4" t="n">
        <v>2602</v>
      </c>
      <c r="J135" s="5" t="n">
        <v>219.1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현도면행정복지센터에서 약 3km 인근 공장</t>
        </is>
      </c>
      <c r="Q135" s="6">
        <f>HYPERLINK("https://fin.land.naver.com/articles/2651562651", "매물Link")</f>
        <v/>
      </c>
      <c r="R135" t="inlineStr">
        <is>
          <t>정보 없음</t>
        </is>
      </c>
      <c r="S135" t="inlineStr">
        <is>
          <t>정보 없음</t>
        </is>
      </c>
      <c r="T135" s="3" t="inlineStr">
        <is>
          <t>태평</t>
        </is>
      </c>
      <c r="U135" s="4" t="n">
        <v>1</v>
      </c>
      <c r="V135" s="5" t="n">
        <v>0</v>
      </c>
      <c r="W135" s="3" t="inlineStr"/>
      <c r="X135" s="3" t="inlineStr">
        <is>
          <t>정보 없음</t>
        </is>
      </c>
      <c r="Y135" s="7" t="inlineStr">
        <is>
          <t>정보 없음</t>
        </is>
      </c>
      <c r="Z135" s="3" t="inlineStr">
        <is>
          <t>정보 없음</t>
        </is>
      </c>
      <c r="AA135" s="3" t="inlineStr">
        <is>
          <t>정보 없음</t>
        </is>
      </c>
      <c r="AB135" s="3" t="inlineStr">
        <is>
          <t>정보 없음</t>
        </is>
      </c>
      <c r="AC135" s="3" t="inlineStr">
        <is>
          <t>정보 없음</t>
        </is>
      </c>
      <c r="AD135" s="3" t="inlineStr">
        <is>
          <t>정보 없음</t>
        </is>
      </c>
    </row>
    <row r="136">
      <c r="A136" s="3" t="inlineStr">
        <is>
          <t>부강면 [노출거부]</t>
        </is>
      </c>
      <c r="B136" s="3" t="inlineStr">
        <is>
          <t>정보 없음</t>
        </is>
      </c>
      <c r="C136" s="3" t="inlineStr">
        <is>
          <t>정보 없음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150</v>
      </c>
      <c r="H136" s="4" t="n">
        <v>2741</v>
      </c>
      <c r="I136" s="4" t="n">
        <v>829</v>
      </c>
      <c r="J136" s="5" t="n">
        <v>0.2</v>
      </c>
      <c r="K136" s="4" t="n">
        <v>192</v>
      </c>
      <c r="L136" s="4" t="n">
        <v>58</v>
      </c>
      <c r="M136" s="5" t="n">
        <v>2.6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제조업.소형물류.청주대전세종인접.청주남청주ic10분.광고효과최상</t>
        </is>
      </c>
      <c r="Q136" s="6">
        <f>HYPERLINK("https://fin.land.naver.com/articles/2653044224", "매물Link")</f>
        <v/>
      </c>
      <c r="R136" t="inlineStr">
        <is>
          <t>정보 없음</t>
        </is>
      </c>
      <c r="S136" t="inlineStr">
        <is>
          <t>정보 없음</t>
        </is>
      </c>
      <c r="T136" s="3" t="inlineStr">
        <is>
          <t>세종연동탑</t>
        </is>
      </c>
      <c r="U136" s="4" t="n">
        <v>1</v>
      </c>
      <c r="V136" s="5" t="n">
        <v>0</v>
      </c>
      <c r="W136" s="3" t="inlineStr"/>
      <c r="X136" s="3" t="inlineStr">
        <is>
          <t>정보 없음</t>
        </is>
      </c>
      <c r="Y136" s="7" t="inlineStr">
        <is>
          <t>정보 없음</t>
        </is>
      </c>
      <c r="Z136" s="3" t="inlineStr">
        <is>
          <t>정보 없음</t>
        </is>
      </c>
      <c r="AA136" s="3" t="inlineStr">
        <is>
          <t>정보 없음</t>
        </is>
      </c>
      <c r="AB136" s="3" t="inlineStr">
        <is>
          <t>정보 없음</t>
        </is>
      </c>
      <c r="AC136" s="3" t="inlineStr">
        <is>
          <t>정보 없음</t>
        </is>
      </c>
      <c r="AD136" s="3" t="inlineStr">
        <is>
          <t>정보 없음</t>
        </is>
      </c>
    </row>
    <row r="137">
      <c r="A137" s="3" t="inlineStr">
        <is>
          <t>연동면 [노출거부]</t>
        </is>
      </c>
      <c r="B137" s="3" t="inlineStr">
        <is>
          <t>정보 없음</t>
        </is>
      </c>
      <c r="C137" s="3" t="inlineStr">
        <is>
          <t>정보 없음</t>
        </is>
      </c>
      <c r="D137" s="3" t="inlineStr">
        <is>
          <t>공장</t>
        </is>
      </c>
      <c r="E137" s="3" t="inlineStr">
        <is>
          <t>매매</t>
        </is>
      </c>
      <c r="F137" s="4" t="n">
        <v>300000</v>
      </c>
      <c r="G137" s="4" t="n">
        <v>0</v>
      </c>
      <c r="H137" s="4" t="n">
        <v>2277</v>
      </c>
      <c r="I137" s="4" t="n">
        <v>689</v>
      </c>
      <c r="J137" s="5" t="n">
        <v>435.4</v>
      </c>
      <c r="K137" s="4" t="n">
        <v>1150</v>
      </c>
      <c r="L137" s="4" t="n">
        <v>348</v>
      </c>
      <c r="M137" s="5" t="n">
        <v>862.1</v>
      </c>
      <c r="N137" s="3" t="inlineStr">
        <is>
          <t>2</t>
        </is>
      </c>
      <c r="O137" s="3" t="inlineStr">
        <is>
          <t>-</t>
        </is>
      </c>
      <c r="P137" s="3" t="inlineStr">
        <is>
          <t>4차선인접.세종5생인근지역.대전세종청주출퇴근유리.대형차량출입가능</t>
        </is>
      </c>
      <c r="Q137" s="6">
        <f>HYPERLINK("https://fin.land.naver.com/articles/2653043196", "매물Link")</f>
        <v/>
      </c>
      <c r="R137" t="inlineStr">
        <is>
          <t>정보 없음</t>
        </is>
      </c>
      <c r="S137" t="inlineStr">
        <is>
          <t>정보 없음</t>
        </is>
      </c>
      <c r="T137" s="3" t="inlineStr">
        <is>
          <t>세종연동탑</t>
        </is>
      </c>
      <c r="U137" s="4" t="n">
        <v>1</v>
      </c>
      <c r="V137" s="5" t="n">
        <v>0</v>
      </c>
      <c r="W137" s="3" t="inlineStr"/>
      <c r="X137" s="3" t="inlineStr">
        <is>
          <t>정보 없음</t>
        </is>
      </c>
      <c r="Y137" s="7" t="inlineStr">
        <is>
          <t>정보 없음</t>
        </is>
      </c>
      <c r="Z137" s="3" t="inlineStr">
        <is>
          <t>정보 없음</t>
        </is>
      </c>
      <c r="AA137" s="3" t="inlineStr">
        <is>
          <t>정보 없음</t>
        </is>
      </c>
      <c r="AB137" s="3" t="inlineStr">
        <is>
          <t>정보 없음</t>
        </is>
      </c>
      <c r="AC137" s="3" t="inlineStr">
        <is>
          <t>정보 없음</t>
        </is>
      </c>
      <c r="AD137" s="3" t="inlineStr">
        <is>
          <t>정보 없음</t>
        </is>
      </c>
    </row>
    <row r="138">
      <c r="A138" s="3" t="inlineStr">
        <is>
          <t>연동면 [노출거부]</t>
        </is>
      </c>
      <c r="B138" s="3" t="inlineStr">
        <is>
          <t>정보 없음</t>
        </is>
      </c>
      <c r="C138" s="3" t="inlineStr">
        <is>
          <t>정보 없음</t>
        </is>
      </c>
      <c r="D138" s="3" t="inlineStr">
        <is>
          <t>공장</t>
        </is>
      </c>
      <c r="E138" s="3" t="inlineStr">
        <is>
          <t>매매</t>
        </is>
      </c>
      <c r="F138" s="4" t="n">
        <v>780000</v>
      </c>
      <c r="G138" s="4" t="n">
        <v>0</v>
      </c>
      <c r="H138" s="4" t="n">
        <v>15112</v>
      </c>
      <c r="I138" s="4" t="n">
        <v>4571</v>
      </c>
      <c r="J138" s="5" t="n">
        <v>170.6</v>
      </c>
      <c r="K138" s="4" t="n">
        <v>51485</v>
      </c>
      <c r="L138" s="4" t="n">
        <v>15574</v>
      </c>
      <c r="M138" s="5" t="n">
        <v>50.1</v>
      </c>
      <c r="N138" s="3" t="inlineStr">
        <is>
          <t>2</t>
        </is>
      </c>
      <c r="O138" s="3" t="inlineStr">
        <is>
          <t>B1</t>
        </is>
      </c>
      <c r="P138" s="3" t="inlineStr">
        <is>
          <t>남청주IC에서 5분</t>
        </is>
      </c>
      <c r="Q138" s="6">
        <f>HYPERLINK("https://fin.land.naver.com/articles/2650971598", "매물Link")</f>
        <v/>
      </c>
      <c r="R138" t="inlineStr">
        <is>
          <t>정보 없음</t>
        </is>
      </c>
      <c r="S138" t="inlineStr">
        <is>
          <t>정보 없음</t>
        </is>
      </c>
      <c r="T138" s="3" t="inlineStr">
        <is>
          <t>미더스</t>
        </is>
      </c>
      <c r="U138" s="4" t="n">
        <v>1</v>
      </c>
      <c r="V138" s="5" t="n">
        <v>0</v>
      </c>
      <c r="W138" s="3" t="inlineStr"/>
      <c r="X138" s="3" t="inlineStr">
        <is>
          <t>정보 없음</t>
        </is>
      </c>
      <c r="Y138" s="7" t="inlineStr">
        <is>
          <t>정보 없음</t>
        </is>
      </c>
      <c r="Z138" s="3" t="inlineStr">
        <is>
          <t>정보 없음</t>
        </is>
      </c>
      <c r="AA138" s="3" t="inlineStr">
        <is>
          <t>정보 없음</t>
        </is>
      </c>
      <c r="AB138" s="3" t="inlineStr">
        <is>
          <t>정보 없음</t>
        </is>
      </c>
      <c r="AC138" s="3" t="inlineStr">
        <is>
          <t>정보 없음</t>
        </is>
      </c>
      <c r="AD138" s="3" t="inlineStr">
        <is>
          <t>정보 없음</t>
        </is>
      </c>
    </row>
    <row r="139">
      <c r="A139" s="3" t="inlineStr">
        <is>
          <t>연동면 [노출거부]</t>
        </is>
      </c>
      <c r="B139" s="3" t="inlineStr">
        <is>
          <t>정보 없음</t>
        </is>
      </c>
      <c r="C139" s="3" t="inlineStr">
        <is>
          <t>정보 없음</t>
        </is>
      </c>
      <c r="D139" s="3" t="inlineStr">
        <is>
          <t>창고</t>
        </is>
      </c>
      <c r="E139" s="3" t="inlineStr">
        <is>
          <t>월세</t>
        </is>
      </c>
      <c r="F139" s="4" t="n">
        <v>500</v>
      </c>
      <c r="G139" s="4" t="n">
        <v>48</v>
      </c>
      <c r="H139" s="4" t="n">
        <v>892</v>
      </c>
      <c r="I139" s="4" t="n">
        <v>270</v>
      </c>
      <c r="J139" s="5" t="n">
        <v>0.2</v>
      </c>
      <c r="K139" s="4" t="n">
        <v>392</v>
      </c>
      <c r="L139" s="4" t="n">
        <v>119</v>
      </c>
      <c r="M139" s="5" t="n">
        <v>0.4</v>
      </c>
      <c r="N139" s="3" t="inlineStr">
        <is>
          <t>1</t>
        </is>
      </c>
      <c r="O139" s="3" t="inlineStr">
        <is>
          <t>-</t>
        </is>
      </c>
      <c r="P139" s="3" t="inlineStr">
        <is>
          <t>현재 창고사용중,랜탈2달가능</t>
        </is>
      </c>
      <c r="Q139" s="6">
        <f>HYPERLINK("https://fin.land.naver.com/articles/2650666686", "매물Link")</f>
        <v/>
      </c>
      <c r="R139" t="inlineStr">
        <is>
          <t>정보 없음</t>
        </is>
      </c>
      <c r="S139" t="inlineStr">
        <is>
          <t>정보 없음</t>
        </is>
      </c>
      <c r="T139" s="3" t="inlineStr">
        <is>
          <t>당근</t>
        </is>
      </c>
      <c r="U139" s="4" t="n">
        <v>1</v>
      </c>
      <c r="V139" s="5" t="n">
        <v>0</v>
      </c>
      <c r="W139" s="3" t="inlineStr"/>
      <c r="X139" s="3" t="inlineStr">
        <is>
          <t>정보 없음</t>
        </is>
      </c>
      <c r="Y139" s="7" t="inlineStr">
        <is>
          <t>정보 없음</t>
        </is>
      </c>
      <c r="Z139" s="3" t="inlineStr">
        <is>
          <t>정보 없음</t>
        </is>
      </c>
      <c r="AA139" s="3" t="inlineStr">
        <is>
          <t>정보 없음</t>
        </is>
      </c>
      <c r="AB139" s="3" t="inlineStr">
        <is>
          <t>정보 없음</t>
        </is>
      </c>
      <c r="AC139" s="3" t="inlineStr">
        <is>
          <t>정보 없음</t>
        </is>
      </c>
      <c r="AD139" s="3" t="inlineStr">
        <is>
          <t>정보 없음</t>
        </is>
      </c>
    </row>
    <row r="140">
      <c r="A140" s="3" t="inlineStr">
        <is>
          <t>연동면 [노출거부]</t>
        </is>
      </c>
      <c r="B140" s="3" t="inlineStr">
        <is>
          <t>정보 없음</t>
        </is>
      </c>
      <c r="C140" s="3" t="inlineStr">
        <is>
          <t>정보 없음</t>
        </is>
      </c>
      <c r="D140" s="3" t="inlineStr">
        <is>
          <t>공장</t>
        </is>
      </c>
      <c r="E140" s="3" t="inlineStr">
        <is>
          <t>매매</t>
        </is>
      </c>
      <c r="F140" s="4" t="n">
        <v>1600000</v>
      </c>
      <c r="G140" s="4" t="n">
        <v>0</v>
      </c>
      <c r="H140" s="4" t="n">
        <v>24600</v>
      </c>
      <c r="I140" s="4" t="n">
        <v>7442</v>
      </c>
      <c r="J140" s="5" t="n">
        <v>215</v>
      </c>
      <c r="K140" s="4" t="n">
        <v>4460</v>
      </c>
      <c r="L140" s="4" t="n">
        <v>1349</v>
      </c>
      <c r="M140" s="5" t="n">
        <v>1186.1</v>
      </c>
      <c r="N140" s="3" t="inlineStr">
        <is>
          <t>2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HYPERLINK("https://fin.land.naver.com/articles/2652920047", "매물Link")</f>
        <v/>
      </c>
      <c r="R140" t="inlineStr">
        <is>
          <t>정보 없음</t>
        </is>
      </c>
      <c r="S140" t="inlineStr">
        <is>
          <t>정보 없음</t>
        </is>
      </c>
      <c r="T140" s="3" t="inlineStr">
        <is>
          <t>왕중왕기업</t>
        </is>
      </c>
      <c r="U140" s="4" t="n">
        <v>2</v>
      </c>
      <c r="V140" s="5" t="n">
        <v>0</v>
      </c>
      <c r="W140" s="3" t="inlineStr"/>
      <c r="X140" s="3" t="inlineStr">
        <is>
          <t>정보 없음</t>
        </is>
      </c>
      <c r="Y140" s="7" t="inlineStr">
        <is>
          <t>정보 없음</t>
        </is>
      </c>
      <c r="Z140" s="3" t="inlineStr">
        <is>
          <t>정보 없음</t>
        </is>
      </c>
      <c r="AA140" s="3" t="inlineStr">
        <is>
          <t>정보 없음</t>
        </is>
      </c>
      <c r="AB140" s="3" t="inlineStr">
        <is>
          <t>정보 없음</t>
        </is>
      </c>
      <c r="AC140" s="3" t="inlineStr">
        <is>
          <t>정보 없음</t>
        </is>
      </c>
      <c r="AD140" s="3" t="inlineStr">
        <is>
          <t>정보 없음</t>
        </is>
      </c>
    </row>
    <row r="141">
      <c r="A141" s="3" t="inlineStr">
        <is>
          <t>연동면 [노출거부]</t>
        </is>
      </c>
      <c r="B141" s="3" t="inlineStr">
        <is>
          <t>정보 없음</t>
        </is>
      </c>
      <c r="C141" s="3" t="inlineStr">
        <is>
          <t>정보 없음</t>
        </is>
      </c>
      <c r="D141" s="3" t="inlineStr">
        <is>
          <t>공장</t>
        </is>
      </c>
      <c r="E141" s="3" t="inlineStr">
        <is>
          <t>매매</t>
        </is>
      </c>
      <c r="F141" s="4" t="n">
        <v>380000</v>
      </c>
      <c r="G141" s="4" t="n">
        <v>0</v>
      </c>
      <c r="H141" s="4" t="n">
        <v>3008</v>
      </c>
      <c r="I141" s="4" t="n">
        <v>910</v>
      </c>
      <c r="J141" s="5" t="n">
        <v>417.6</v>
      </c>
      <c r="K141" s="4" t="n">
        <v>1332</v>
      </c>
      <c r="L141" s="4" t="n">
        <v>403</v>
      </c>
      <c r="M141" s="5" t="n">
        <v>942.9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HYPERLINK("https://fin.land.naver.com/articles/2653153611", "매물Link")</f>
        <v/>
      </c>
      <c r="R141" t="inlineStr">
        <is>
          <t>정보 없음</t>
        </is>
      </c>
      <c r="S141" t="inlineStr">
        <is>
          <t>정보 없음</t>
        </is>
      </c>
      <c r="T141" s="3" t="inlineStr">
        <is>
          <t>개미</t>
        </is>
      </c>
      <c r="U141" s="4" t="n">
        <v>1</v>
      </c>
      <c r="V141" s="5" t="n">
        <v>0</v>
      </c>
      <c r="W141" s="3" t="inlineStr"/>
      <c r="X141" s="3" t="inlineStr">
        <is>
          <t>정보 없음</t>
        </is>
      </c>
      <c r="Y141" s="7" t="inlineStr">
        <is>
          <t>정보 없음</t>
        </is>
      </c>
      <c r="Z141" s="3" t="inlineStr">
        <is>
          <t>정보 없음</t>
        </is>
      </c>
      <c r="AA141" s="3" t="inlineStr">
        <is>
          <t>정보 없음</t>
        </is>
      </c>
      <c r="AB141" s="3" t="inlineStr">
        <is>
          <t>정보 없음</t>
        </is>
      </c>
      <c r="AC141" s="3" t="inlineStr">
        <is>
          <t>정보 없음</t>
        </is>
      </c>
      <c r="AD141" s="3" t="inlineStr">
        <is>
          <t>정보 없음</t>
        </is>
      </c>
    </row>
    <row r="142">
      <c r="A142" s="3" t="inlineStr">
        <is>
          <t>연동면 [노출거부]</t>
        </is>
      </c>
      <c r="B142" s="3" t="inlineStr">
        <is>
          <t>정보 없음</t>
        </is>
      </c>
      <c r="C142" s="3" t="inlineStr">
        <is>
          <t>정보 없음</t>
        </is>
      </c>
      <c r="D142" s="3" t="inlineStr">
        <is>
          <t>공장</t>
        </is>
      </c>
      <c r="E142" s="3" t="inlineStr">
        <is>
          <t>월세</t>
        </is>
      </c>
      <c r="F142" s="4" t="n">
        <v>2000</v>
      </c>
      <c r="G142" s="4" t="n">
        <v>150</v>
      </c>
      <c r="H142" s="4" t="n">
        <v>2265</v>
      </c>
      <c r="I142" s="4" t="n">
        <v>685</v>
      </c>
      <c r="J142" s="5" t="n">
        <v>0.2</v>
      </c>
      <c r="K142" s="4" t="n">
        <v>252</v>
      </c>
      <c r="L142" s="4" t="n">
        <v>76</v>
      </c>
      <c r="M142" s="5" t="n">
        <v>2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남청주ic15분 대전청주근접 대형차량출입용이 2차선도로 소형물류창고추천</t>
        </is>
      </c>
      <c r="Q142" s="6">
        <f>HYPERLINK("https://fin.land.naver.com/articles/2647920315", "매물Link")</f>
        <v/>
      </c>
      <c r="R142" t="inlineStr">
        <is>
          <t>정보 없음</t>
        </is>
      </c>
      <c r="S142" t="inlineStr">
        <is>
          <t>정보 없음</t>
        </is>
      </c>
      <c r="T142" s="3" t="inlineStr">
        <is>
          <t>세종연동탑</t>
        </is>
      </c>
      <c r="U142" s="4" t="n">
        <v>1</v>
      </c>
      <c r="V142" s="5" t="n">
        <v>0</v>
      </c>
      <c r="W142" s="3" t="inlineStr"/>
      <c r="X142" s="3" t="inlineStr">
        <is>
          <t>정보 없음</t>
        </is>
      </c>
      <c r="Y142" s="7" t="inlineStr">
        <is>
          <t>정보 없음</t>
        </is>
      </c>
      <c r="Z142" s="3" t="inlineStr">
        <is>
          <t>정보 없음</t>
        </is>
      </c>
      <c r="AA142" s="3" t="inlineStr">
        <is>
          <t>정보 없음</t>
        </is>
      </c>
      <c r="AB142" s="3" t="inlineStr">
        <is>
          <t>정보 없음</t>
        </is>
      </c>
      <c r="AC142" s="3" t="inlineStr">
        <is>
          <t>정보 없음</t>
        </is>
      </c>
      <c r="AD142" s="3" t="inlineStr">
        <is>
          <t>정보 없음</t>
        </is>
      </c>
    </row>
    <row r="143">
      <c r="A143" s="3" t="inlineStr">
        <is>
          <t>연동면 [노출거부]</t>
        </is>
      </c>
      <c r="B143" s="3" t="inlineStr">
        <is>
          <t>정보 없음</t>
        </is>
      </c>
      <c r="C143" s="3" t="inlineStr">
        <is>
          <t>정보 없음</t>
        </is>
      </c>
      <c r="D143" s="3" t="inlineStr">
        <is>
          <t>공장</t>
        </is>
      </c>
      <c r="E143" s="3" t="inlineStr">
        <is>
          <t>월세</t>
        </is>
      </c>
      <c r="F143" s="4" t="n">
        <v>150000</v>
      </c>
      <c r="G143" s="4" t="n">
        <v>15000</v>
      </c>
      <c r="H143" s="4" t="n">
        <v>21066</v>
      </c>
      <c r="I143" s="4" t="n">
        <v>6372</v>
      </c>
      <c r="J143" s="5" t="n">
        <v>2.4</v>
      </c>
      <c r="K143" s="4" t="n">
        <v>12208</v>
      </c>
      <c r="L143" s="4" t="n">
        <v>3693</v>
      </c>
      <c r="M143" s="5" t="n">
        <v>4.1</v>
      </c>
      <c r="N143" s="3" t="inlineStr">
        <is>
          <t>3</t>
        </is>
      </c>
      <c r="O143" s="3" t="inlineStr">
        <is>
          <t>-</t>
        </is>
      </c>
      <c r="P143" s="3" t="inlineStr">
        <is>
          <t>명학산단위치. 가설동300p포함 3,693p대형공장임대.호이스트.고전력</t>
        </is>
      </c>
      <c r="Q143" s="6">
        <f>HYPERLINK("https://fin.land.naver.com/articles/2650869971", "매물Link")</f>
        <v/>
      </c>
      <c r="R143" t="inlineStr">
        <is>
          <t>정보 없음</t>
        </is>
      </c>
      <c r="S143" t="inlineStr">
        <is>
          <t>정보 없음</t>
        </is>
      </c>
      <c r="T143" s="3" t="inlineStr">
        <is>
          <t>맨하탄</t>
        </is>
      </c>
      <c r="U143" s="4" t="n">
        <v>1</v>
      </c>
      <c r="V143" s="5" t="n">
        <v>0</v>
      </c>
      <c r="W143" s="3" t="inlineStr"/>
      <c r="X143" s="3" t="inlineStr">
        <is>
          <t>정보 없음</t>
        </is>
      </c>
      <c r="Y143" s="7" t="inlineStr">
        <is>
          <t>정보 없음</t>
        </is>
      </c>
      <c r="Z143" s="3" t="inlineStr">
        <is>
          <t>정보 없음</t>
        </is>
      </c>
      <c r="AA143" s="3" t="inlineStr">
        <is>
          <t>정보 없음</t>
        </is>
      </c>
      <c r="AB143" s="3" t="inlineStr">
        <is>
          <t>정보 없음</t>
        </is>
      </c>
      <c r="AC143" s="3" t="inlineStr">
        <is>
          <t>정보 없음</t>
        </is>
      </c>
      <c r="AD143" s="3" t="inlineStr">
        <is>
          <t>정보 없음</t>
        </is>
      </c>
    </row>
    <row r="144">
      <c r="A144" s="3" t="inlineStr">
        <is>
          <t>연서면 [노출거부]</t>
        </is>
      </c>
      <c r="B144" s="3" t="inlineStr">
        <is>
          <t>정보 없음</t>
        </is>
      </c>
      <c r="C144" s="3" t="inlineStr">
        <is>
          <t>정보 없음</t>
        </is>
      </c>
      <c r="D144" s="3" t="inlineStr">
        <is>
          <t>공장</t>
        </is>
      </c>
      <c r="E144" s="3" t="inlineStr">
        <is>
          <t>매매</t>
        </is>
      </c>
      <c r="F144" s="4" t="n">
        <v>3200000</v>
      </c>
      <c r="G144" s="4" t="n">
        <v>0</v>
      </c>
      <c r="H144" s="4" t="n">
        <v>39669</v>
      </c>
      <c r="I144" s="4" t="n">
        <v>12000</v>
      </c>
      <c r="J144" s="5" t="n">
        <v>266.7</v>
      </c>
      <c r="K144" s="4" t="n">
        <v>10430</v>
      </c>
      <c r="L144" s="4" t="n">
        <v>3155</v>
      </c>
      <c r="M144" s="5" t="n">
        <v>1014.3</v>
      </c>
      <c r="N144" s="3" t="inlineStr">
        <is>
          <t>2</t>
        </is>
      </c>
      <c r="O144" s="3" t="inlineStr">
        <is>
          <t>B1</t>
        </is>
      </c>
      <c r="P144" s="3" t="inlineStr">
        <is>
          <t>nan</t>
        </is>
      </c>
      <c r="Q144" s="6">
        <f>HYPERLINK("https://fin.land.naver.com/articles/2651433784", "매물Link")</f>
        <v/>
      </c>
      <c r="R144" t="inlineStr">
        <is>
          <t>정보 없음</t>
        </is>
      </c>
      <c r="S144" t="inlineStr">
        <is>
          <t>정보 없음</t>
        </is>
      </c>
      <c r="T144" s="3" t="inlineStr">
        <is>
          <t>운산</t>
        </is>
      </c>
      <c r="U144" s="4" t="n">
        <v>1</v>
      </c>
      <c r="V144" s="5" t="n">
        <v>0</v>
      </c>
      <c r="W144" s="3" t="inlineStr"/>
      <c r="X144" s="3" t="inlineStr">
        <is>
          <t>정보 없음</t>
        </is>
      </c>
      <c r="Y144" s="7" t="inlineStr">
        <is>
          <t>정보 없음</t>
        </is>
      </c>
      <c r="Z144" s="3" t="inlineStr">
        <is>
          <t>정보 없음</t>
        </is>
      </c>
      <c r="AA144" s="3" t="inlineStr">
        <is>
          <t>정보 없음</t>
        </is>
      </c>
      <c r="AB144" s="3" t="inlineStr">
        <is>
          <t>정보 없음</t>
        </is>
      </c>
      <c r="AC144" s="3" t="inlineStr">
        <is>
          <t>정보 없음</t>
        </is>
      </c>
      <c r="AD144" s="3" t="inlineStr">
        <is>
          <t>정보 없음</t>
        </is>
      </c>
    </row>
    <row r="145">
      <c r="A145" s="3" t="inlineStr">
        <is>
          <t>연서면 [노출거부]</t>
        </is>
      </c>
      <c r="B145" s="3" t="inlineStr">
        <is>
          <t>정보 없음</t>
        </is>
      </c>
      <c r="C145" s="3" t="inlineStr">
        <is>
          <t>정보 없음</t>
        </is>
      </c>
      <c r="D145" s="3" t="inlineStr">
        <is>
          <t>공장</t>
        </is>
      </c>
      <c r="E145" s="3" t="inlineStr">
        <is>
          <t>매매</t>
        </is>
      </c>
      <c r="F145" s="4" t="n">
        <v>2750000</v>
      </c>
      <c r="G145" s="4" t="n">
        <v>0</v>
      </c>
      <c r="H145" s="4" t="n">
        <v>38402</v>
      </c>
      <c r="I145" s="4" t="n">
        <v>11617</v>
      </c>
      <c r="J145" s="5" t="n">
        <v>236.7</v>
      </c>
      <c r="K145" s="4" t="n">
        <v>8830</v>
      </c>
      <c r="L145" s="4" t="n">
        <v>2671</v>
      </c>
      <c r="M145" s="5" t="n">
        <v>1029.6</v>
      </c>
      <c r="N145" s="3" t="inlineStr">
        <is>
          <t>4</t>
        </is>
      </c>
      <c r="O145" s="3" t="inlineStr">
        <is>
          <t>-</t>
        </is>
      </c>
      <c r="P145" s="3" t="inlineStr">
        <is>
          <t>테이터센터부지,지구단위계획구역,계획관리,개발부담금없음,임차가능,현재공장</t>
        </is>
      </c>
      <c r="Q145" s="6">
        <f>HYPERLINK("https://fin.land.naver.com/articles/2652513762", "매물Link")</f>
        <v/>
      </c>
      <c r="R145" t="inlineStr">
        <is>
          <t>정보 없음</t>
        </is>
      </c>
      <c r="S145" t="inlineStr">
        <is>
          <t>정보 없음</t>
        </is>
      </c>
      <c r="T145" s="3" t="inlineStr">
        <is>
          <t>명동</t>
        </is>
      </c>
      <c r="U145" s="4" t="n">
        <v>1</v>
      </c>
      <c r="V145" s="5" t="n">
        <v>0</v>
      </c>
      <c r="W145" s="3" t="inlineStr"/>
      <c r="X145" s="3" t="inlineStr">
        <is>
          <t>정보 없음</t>
        </is>
      </c>
      <c r="Y145" s="7" t="inlineStr">
        <is>
          <t>정보 없음</t>
        </is>
      </c>
      <c r="Z145" s="3" t="inlineStr">
        <is>
          <t>정보 없음</t>
        </is>
      </c>
      <c r="AA145" s="3" t="inlineStr">
        <is>
          <t>정보 없음</t>
        </is>
      </c>
      <c r="AB145" s="3" t="inlineStr">
        <is>
          <t>정보 없음</t>
        </is>
      </c>
      <c r="AC145" s="3" t="inlineStr">
        <is>
          <t>정보 없음</t>
        </is>
      </c>
      <c r="AD145" s="3" t="inlineStr">
        <is>
          <t>정보 없음</t>
        </is>
      </c>
    </row>
    <row r="146">
      <c r="A146" s="3" t="inlineStr">
        <is>
          <t>연서면 [노출거부]</t>
        </is>
      </c>
      <c r="B146" s="3" t="inlineStr">
        <is>
          <t>정보 없음</t>
        </is>
      </c>
      <c r="C146" s="3" t="inlineStr">
        <is>
          <t>정보 없음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400</v>
      </c>
      <c r="H146" s="4" t="n">
        <v>2764</v>
      </c>
      <c r="I146" s="4" t="n">
        <v>836</v>
      </c>
      <c r="J146" s="5" t="n">
        <v>0.5</v>
      </c>
      <c r="K146" s="4" t="n">
        <v>655</v>
      </c>
      <c r="L146" s="4" t="n">
        <v>198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세종시에서 조치원쪽 주차공간 넓은 창고</t>
        </is>
      </c>
      <c r="Q146" s="6">
        <f>HYPERLINK("https://fin.land.naver.com/articles/2651208667", "매물Link")</f>
        <v/>
      </c>
      <c r="R146" t="inlineStr">
        <is>
          <t>정보 없음</t>
        </is>
      </c>
      <c r="S146" t="inlineStr">
        <is>
          <t>정보 없음</t>
        </is>
      </c>
      <c r="T146" s="3" t="inlineStr">
        <is>
          <t>호반114</t>
        </is>
      </c>
      <c r="U146" s="4" t="n">
        <v>1</v>
      </c>
      <c r="V146" s="5" t="n">
        <v>0</v>
      </c>
      <c r="W146" s="3" t="inlineStr"/>
      <c r="X146" s="3" t="inlineStr">
        <is>
          <t>정보 없음</t>
        </is>
      </c>
      <c r="Y146" s="7" t="inlineStr">
        <is>
          <t>정보 없음</t>
        </is>
      </c>
      <c r="Z146" s="3" t="inlineStr">
        <is>
          <t>정보 없음</t>
        </is>
      </c>
      <c r="AA146" s="3" t="inlineStr">
        <is>
          <t>정보 없음</t>
        </is>
      </c>
      <c r="AB146" s="3" t="inlineStr">
        <is>
          <t>정보 없음</t>
        </is>
      </c>
      <c r="AC146" s="3" t="inlineStr">
        <is>
          <t>정보 없음</t>
        </is>
      </c>
      <c r="AD146" s="3" t="inlineStr">
        <is>
          <t>정보 없음</t>
        </is>
      </c>
    </row>
    <row r="147">
      <c r="A147" s="3" t="inlineStr">
        <is>
          <t>오송읍 [노출거부]</t>
        </is>
      </c>
      <c r="B147" s="3" t="inlineStr">
        <is>
          <t>정보 없음</t>
        </is>
      </c>
      <c r="C147" s="3" t="inlineStr">
        <is>
          <t>정보 없음</t>
        </is>
      </c>
      <c r="D147" s="3" t="inlineStr">
        <is>
          <t>공장</t>
        </is>
      </c>
      <c r="E147" s="3" t="inlineStr">
        <is>
          <t>월세</t>
        </is>
      </c>
      <c r="F147" s="4" t="n">
        <v>11000</v>
      </c>
      <c r="G147" s="4" t="n">
        <v>1100</v>
      </c>
      <c r="H147" s="4" t="n">
        <v>6481</v>
      </c>
      <c r="I147" s="4" t="n">
        <v>1961</v>
      </c>
      <c r="J147" s="5" t="n">
        <v>0.6</v>
      </c>
      <c r="K147" s="4" t="n">
        <v>640</v>
      </c>
      <c r="L147" s="4" t="n">
        <v>194</v>
      </c>
      <c r="M147" s="5" t="n">
        <v>5.7</v>
      </c>
      <c r="N147" s="3" t="inlineStr">
        <is>
          <t>1</t>
        </is>
      </c>
      <c r="O147" s="3" t="inlineStr">
        <is>
          <t>-</t>
        </is>
      </c>
      <c r="P147" s="3" t="inlineStr">
        <is>
          <t>오송 산업단지  야드 넓은 단독 공장 호이스트 5톤 설치  전력140kw</t>
        </is>
      </c>
      <c r="Q147" s="6">
        <f>HYPERLINK("https://fin.land.naver.com/articles/2652265799", "매물Link")</f>
        <v/>
      </c>
      <c r="R147" t="inlineStr">
        <is>
          <t>정보 없음</t>
        </is>
      </c>
      <c r="S147" t="inlineStr">
        <is>
          <t>정보 없음</t>
        </is>
      </c>
      <c r="T147" s="3" t="inlineStr">
        <is>
          <t>더원</t>
        </is>
      </c>
      <c r="U147" s="4" t="n">
        <v>1</v>
      </c>
      <c r="V147" s="5" t="n">
        <v>0</v>
      </c>
      <c r="W147" s="3" t="inlineStr"/>
      <c r="X147" s="3" t="inlineStr">
        <is>
          <t>정보 없음</t>
        </is>
      </c>
      <c r="Y147" s="7" t="inlineStr">
        <is>
          <t>정보 없음</t>
        </is>
      </c>
      <c r="Z147" s="3" t="inlineStr">
        <is>
          <t>정보 없음</t>
        </is>
      </c>
      <c r="AA147" s="3" t="inlineStr">
        <is>
          <t>정보 없음</t>
        </is>
      </c>
      <c r="AB147" s="3" t="inlineStr">
        <is>
          <t>정보 없음</t>
        </is>
      </c>
      <c r="AC147" s="3" t="inlineStr">
        <is>
          <t>정보 없음</t>
        </is>
      </c>
      <c r="AD147" s="3" t="inlineStr">
        <is>
          <t>정보 없음</t>
        </is>
      </c>
    </row>
    <row r="148">
      <c r="A148" s="3" t="inlineStr">
        <is>
          <t>오송읍 [노출거부]</t>
        </is>
      </c>
      <c r="B148" s="3" t="inlineStr">
        <is>
          <t>정보 없음</t>
        </is>
      </c>
      <c r="C148" s="3" t="inlineStr">
        <is>
          <t>정보 없음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100</v>
      </c>
      <c r="H148" s="4" t="n">
        <v>780</v>
      </c>
      <c r="I148" s="4" t="n">
        <v>236</v>
      </c>
      <c r="J148" s="5" t="n">
        <v>0.4</v>
      </c>
      <c r="K148" s="4" t="n">
        <v>171</v>
      </c>
      <c r="L148" s="4" t="n">
        <v>52</v>
      </c>
      <c r="M148" s="5" t="n">
        <v>1.9</v>
      </c>
      <c r="N148" s="3" t="inlineStr">
        <is>
          <t>1</t>
        </is>
      </c>
      <c r="O148" s="3" t="inlineStr">
        <is>
          <t>-</t>
        </is>
      </c>
      <c r="P148" s="3" t="inlineStr">
        <is>
          <t>오송역 ktx 주차장 대로변 광고효과 좋은위치이며 전면주차가능</t>
        </is>
      </c>
      <c r="Q148" s="6">
        <f>HYPERLINK("https://fin.land.naver.com/articles/2650940735", "매물Link")</f>
        <v/>
      </c>
      <c r="R148" t="inlineStr">
        <is>
          <t>정보 없음</t>
        </is>
      </c>
      <c r="S148" t="inlineStr">
        <is>
          <t>정보 없음</t>
        </is>
      </c>
      <c r="T148" s="3" t="inlineStr">
        <is>
          <t>더원</t>
        </is>
      </c>
      <c r="U148" s="4" t="n">
        <v>1</v>
      </c>
      <c r="V148" s="5" t="n">
        <v>0</v>
      </c>
      <c r="W148" s="3" t="inlineStr"/>
      <c r="X148" s="3" t="inlineStr">
        <is>
          <t>정보 없음</t>
        </is>
      </c>
      <c r="Y148" s="7" t="inlineStr">
        <is>
          <t>정보 없음</t>
        </is>
      </c>
      <c r="Z148" s="3" t="inlineStr">
        <is>
          <t>정보 없음</t>
        </is>
      </c>
      <c r="AA148" s="3" t="inlineStr">
        <is>
          <t>정보 없음</t>
        </is>
      </c>
      <c r="AB148" s="3" t="inlineStr">
        <is>
          <t>정보 없음</t>
        </is>
      </c>
      <c r="AC148" s="3" t="inlineStr">
        <is>
          <t>정보 없음</t>
        </is>
      </c>
      <c r="AD148" s="3" t="inlineStr">
        <is>
          <t>정보 없음</t>
        </is>
      </c>
    </row>
    <row r="149">
      <c r="A149" s="3" t="inlineStr">
        <is>
          <t>오송읍 [노출거부]</t>
        </is>
      </c>
      <c r="B149" s="3" t="inlineStr">
        <is>
          <t>정보 없음</t>
        </is>
      </c>
      <c r="C149" s="3" t="inlineStr">
        <is>
          <t>정보 없음</t>
        </is>
      </c>
      <c r="D149" s="3" t="inlineStr">
        <is>
          <t>공장</t>
        </is>
      </c>
      <c r="E149" s="3" t="inlineStr">
        <is>
          <t>월세</t>
        </is>
      </c>
      <c r="F149" s="4" t="n">
        <v>30000</v>
      </c>
      <c r="G149" s="4" t="n">
        <v>2800</v>
      </c>
      <c r="H149" s="4" t="n">
        <v>4999</v>
      </c>
      <c r="I149" s="4" t="n">
        <v>1512</v>
      </c>
      <c r="J149" s="5" t="n">
        <v>1.9</v>
      </c>
      <c r="K149" s="4" t="n">
        <v>3062</v>
      </c>
      <c r="L149" s="4" t="n">
        <v>926</v>
      </c>
      <c r="M149" s="5" t="n">
        <v>3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HYPERLINK("https://fin.land.naver.com/articles/2648268088", "매물Link")</f>
        <v/>
      </c>
      <c r="R149" t="inlineStr">
        <is>
          <t>정보 없음</t>
        </is>
      </c>
      <c r="S149" t="inlineStr">
        <is>
          <t>정보 없음</t>
        </is>
      </c>
      <c r="T149" s="3" t="inlineStr">
        <is>
          <t>더원</t>
        </is>
      </c>
      <c r="U149" s="4" t="n">
        <v>1</v>
      </c>
      <c r="V149" s="5" t="n">
        <v>0</v>
      </c>
      <c r="W149" s="3" t="inlineStr"/>
      <c r="X149" s="3" t="inlineStr">
        <is>
          <t>정보 없음</t>
        </is>
      </c>
      <c r="Y149" s="7" t="inlineStr">
        <is>
          <t>정보 없음</t>
        </is>
      </c>
      <c r="Z149" s="3" t="inlineStr">
        <is>
          <t>정보 없음</t>
        </is>
      </c>
      <c r="AA149" s="3" t="inlineStr">
        <is>
          <t>정보 없음</t>
        </is>
      </c>
      <c r="AB149" s="3" t="inlineStr">
        <is>
          <t>정보 없음</t>
        </is>
      </c>
      <c r="AC149" s="3" t="inlineStr">
        <is>
          <t>정보 없음</t>
        </is>
      </c>
      <c r="AD149" s="3" t="inlineStr">
        <is>
          <t>정보 없음</t>
        </is>
      </c>
    </row>
    <row r="150">
      <c r="A150" s="3" t="inlineStr">
        <is>
          <t>오송읍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창고</t>
        </is>
      </c>
      <c r="E150" s="3" t="inlineStr">
        <is>
          <t>월세</t>
        </is>
      </c>
      <c r="F150" s="4" t="n">
        <v>2000</v>
      </c>
      <c r="G150" s="4" t="n">
        <v>150</v>
      </c>
      <c r="H150" s="4" t="n">
        <v>730</v>
      </c>
      <c r="I150" s="4" t="n">
        <v>221</v>
      </c>
      <c r="J150" s="5" t="n">
        <v>0.7</v>
      </c>
      <c r="K150" s="4" t="n">
        <v>160</v>
      </c>
      <c r="L150" s="4" t="n">
        <v>48</v>
      </c>
      <c r="M150" s="5" t="n">
        <v>3.1</v>
      </c>
      <c r="N150" s="3" t="inlineStr">
        <is>
          <t>1</t>
        </is>
      </c>
      <c r="O150" s="3" t="inlineStr">
        <is>
          <t>-</t>
        </is>
      </c>
      <c r="P150" s="3" t="inlineStr">
        <is>
          <t>오송1산단 대로변가에 위치 (야적과 창고 겸용 사용 가능)</t>
        </is>
      </c>
      <c r="Q150" s="6">
        <f>HYPERLINK("https://fin.land.naver.com/articles/2648981276", "매물Link")</f>
        <v/>
      </c>
      <c r="R150" t="inlineStr">
        <is>
          <t>정보 없음</t>
        </is>
      </c>
      <c r="S150" t="inlineStr">
        <is>
          <t>정보 없음</t>
        </is>
      </c>
      <c r="T150" s="3" t="inlineStr">
        <is>
          <t>오송랜드</t>
        </is>
      </c>
      <c r="U150" s="4" t="n">
        <v>1</v>
      </c>
      <c r="V150" s="5" t="n">
        <v>0</v>
      </c>
      <c r="W150" s="3" t="inlineStr"/>
      <c r="X150" s="3" t="inlineStr">
        <is>
          <t>정보 없음</t>
        </is>
      </c>
      <c r="Y150" s="7" t="inlineStr">
        <is>
          <t>정보 없음</t>
        </is>
      </c>
      <c r="Z150" s="3" t="inlineStr">
        <is>
          <t>정보 없음</t>
        </is>
      </c>
      <c r="AA150" s="3" t="inlineStr">
        <is>
          <t>정보 없음</t>
        </is>
      </c>
      <c r="AB150" s="3" t="inlineStr">
        <is>
          <t>정보 없음</t>
        </is>
      </c>
      <c r="AC150" s="3" t="inlineStr">
        <is>
          <t>정보 없음</t>
        </is>
      </c>
      <c r="AD150" s="3" t="inlineStr">
        <is>
          <t>정보 없음</t>
        </is>
      </c>
    </row>
    <row r="151">
      <c r="A151" s="3" t="inlineStr">
        <is>
          <t>오송읍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창고</t>
        </is>
      </c>
      <c r="E151" s="3" t="inlineStr">
        <is>
          <t>매매</t>
        </is>
      </c>
      <c r="F151" s="4" t="n">
        <v>140000</v>
      </c>
      <c r="G151" s="4" t="n">
        <v>0</v>
      </c>
      <c r="H151" s="4" t="n">
        <v>2382</v>
      </c>
      <c r="I151" s="4" t="n">
        <v>721</v>
      </c>
      <c r="J151" s="5" t="n">
        <v>194.2</v>
      </c>
      <c r="K151" s="4" t="n">
        <v>696</v>
      </c>
      <c r="L151" s="4" t="n">
        <v>211</v>
      </c>
      <c r="M151" s="5" t="n">
        <v>663.5</v>
      </c>
      <c r="N151" s="3" t="inlineStr">
        <is>
          <t>1</t>
        </is>
      </c>
      <c r="O151" s="3" t="inlineStr">
        <is>
          <t>B1</t>
        </is>
      </c>
      <c r="P151" s="3" t="inlineStr">
        <is>
          <t>창고,공장,6미터도로접,다세대,다가구주택,주택지인접</t>
        </is>
      </c>
      <c r="Q151" s="6">
        <f>HYPERLINK("https://fin.land.naver.com/articles/2649051596", "매물Link")</f>
        <v/>
      </c>
      <c r="R151" t="inlineStr">
        <is>
          <t>정보 없음</t>
        </is>
      </c>
      <c r="S151" t="inlineStr">
        <is>
          <t>정보 없음</t>
        </is>
      </c>
      <c r="T151" s="3" t="inlineStr">
        <is>
          <t>이박사</t>
        </is>
      </c>
      <c r="U151" s="4" t="n">
        <v>1</v>
      </c>
      <c r="V151" s="5" t="n">
        <v>0</v>
      </c>
      <c r="W151" s="3" t="inlineStr"/>
      <c r="X151" s="3" t="inlineStr">
        <is>
          <t>정보 없음</t>
        </is>
      </c>
      <c r="Y151" s="7" t="inlineStr">
        <is>
          <t>정보 없음</t>
        </is>
      </c>
      <c r="Z151" s="3" t="inlineStr">
        <is>
          <t>정보 없음</t>
        </is>
      </c>
      <c r="AA151" s="3" t="inlineStr">
        <is>
          <t>정보 없음</t>
        </is>
      </c>
      <c r="AB151" s="3" t="inlineStr">
        <is>
          <t>정보 없음</t>
        </is>
      </c>
      <c r="AC151" s="3" t="inlineStr">
        <is>
          <t>정보 없음</t>
        </is>
      </c>
      <c r="AD151" s="3" t="inlineStr">
        <is>
          <t>정보 없음</t>
        </is>
      </c>
    </row>
    <row r="152">
      <c r="A152" s="3" t="inlineStr">
        <is>
          <t>오송읍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공장</t>
        </is>
      </c>
      <c r="E152" s="3" t="inlineStr">
        <is>
          <t>매매</t>
        </is>
      </c>
      <c r="F152" s="4" t="n">
        <v>363000</v>
      </c>
      <c r="G152" s="4" t="n">
        <v>0</v>
      </c>
      <c r="H152" s="4" t="n">
        <v>2000</v>
      </c>
      <c r="I152" s="4" t="n">
        <v>605</v>
      </c>
      <c r="J152" s="5" t="n">
        <v>600</v>
      </c>
      <c r="K152" s="4" t="n">
        <v>501</v>
      </c>
      <c r="L152" s="4" t="n">
        <v>152</v>
      </c>
      <c r="M152" s="5" t="n">
        <v>2388.2</v>
      </c>
      <c r="N152" s="3" t="inlineStr">
        <is>
          <t>1</t>
        </is>
      </c>
      <c r="O152" s="3" t="inlineStr">
        <is>
          <t>-</t>
        </is>
      </c>
      <c r="P152" s="3" t="inlineStr">
        <is>
          <t>오송2산단 금속가공제품등 첨단관련업종 입주가능한 소형 공장매매</t>
        </is>
      </c>
      <c r="Q152" s="6">
        <f>HYPERLINK("https://fin.land.naver.com/articles/2649475819", "매물Link")</f>
        <v/>
      </c>
      <c r="R152" t="inlineStr">
        <is>
          <t>정보 없음</t>
        </is>
      </c>
      <c r="S152" t="inlineStr">
        <is>
          <t>정보 없음</t>
        </is>
      </c>
      <c r="T152" s="3" t="inlineStr">
        <is>
          <t>더원</t>
        </is>
      </c>
      <c r="U152" s="4" t="n">
        <v>1</v>
      </c>
      <c r="V152" s="5" t="n">
        <v>0</v>
      </c>
      <c r="W152" s="3" t="inlineStr"/>
      <c r="X152" s="3" t="inlineStr">
        <is>
          <t>정보 없음</t>
        </is>
      </c>
      <c r="Y152" s="7" t="inlineStr">
        <is>
          <t>정보 없음</t>
        </is>
      </c>
      <c r="Z152" s="3" t="inlineStr">
        <is>
          <t>정보 없음</t>
        </is>
      </c>
      <c r="AA152" s="3" t="inlineStr">
        <is>
          <t>정보 없음</t>
        </is>
      </c>
      <c r="AB152" s="3" t="inlineStr">
        <is>
          <t>정보 없음</t>
        </is>
      </c>
      <c r="AC152" s="3" t="inlineStr">
        <is>
          <t>정보 없음</t>
        </is>
      </c>
      <c r="AD152" s="3" t="inlineStr">
        <is>
          <t>정보 없음</t>
        </is>
      </c>
    </row>
    <row r="153">
      <c r="A153" s="3" t="inlineStr">
        <is>
          <t>오송읍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창고</t>
        </is>
      </c>
      <c r="E153" s="3" t="inlineStr">
        <is>
          <t>매매</t>
        </is>
      </c>
      <c r="F153" s="4" t="n">
        <v>95000</v>
      </c>
      <c r="G153" s="4" t="n">
        <v>0</v>
      </c>
      <c r="H153" s="4" t="n">
        <v>3028</v>
      </c>
      <c r="I153" s="4" t="n">
        <v>916</v>
      </c>
      <c r="J153" s="5" t="n">
        <v>103.7</v>
      </c>
      <c r="K153" s="4" t="n">
        <v>128</v>
      </c>
      <c r="L153" s="4" t="n">
        <v>39</v>
      </c>
      <c r="M153" s="5" t="n">
        <v>2435.9</v>
      </c>
      <c r="N153" s="3" t="inlineStr">
        <is>
          <t>1</t>
        </is>
      </c>
      <c r="O153" s="3" t="inlineStr">
        <is>
          <t>-</t>
        </is>
      </c>
      <c r="P153" s="3" t="inlineStr">
        <is>
          <t>상정리 농업용창고및 인근 답 일괄매매 1차선 도로접함</t>
        </is>
      </c>
      <c r="Q153" s="6">
        <f>HYPERLINK("https://fin.land.naver.com/articles/2649736654", "매물Link")</f>
        <v/>
      </c>
      <c r="R153" t="inlineStr">
        <is>
          <t>정보 없음</t>
        </is>
      </c>
      <c r="S153" t="inlineStr">
        <is>
          <t>정보 없음</t>
        </is>
      </c>
      <c r="T153" s="3" t="inlineStr">
        <is>
          <t>오송휴먼캐슬</t>
        </is>
      </c>
      <c r="U153" s="4" t="n">
        <v>1</v>
      </c>
      <c r="V153" s="5" t="n">
        <v>0</v>
      </c>
      <c r="W153" s="3" t="inlineStr"/>
      <c r="X153" s="3" t="inlineStr">
        <is>
          <t>정보 없음</t>
        </is>
      </c>
      <c r="Y153" s="7" t="inlineStr">
        <is>
          <t>정보 없음</t>
        </is>
      </c>
      <c r="Z153" s="3" t="inlineStr">
        <is>
          <t>정보 없음</t>
        </is>
      </c>
      <c r="AA153" s="3" t="inlineStr">
        <is>
          <t>정보 없음</t>
        </is>
      </c>
      <c r="AB153" s="3" t="inlineStr">
        <is>
          <t>정보 없음</t>
        </is>
      </c>
      <c r="AC153" s="3" t="inlineStr">
        <is>
          <t>정보 없음</t>
        </is>
      </c>
      <c r="AD153" s="3" t="inlineStr">
        <is>
          <t>정보 없음</t>
        </is>
      </c>
    </row>
    <row r="154">
      <c r="A154" s="3" t="inlineStr">
        <is>
          <t>오송읍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창고</t>
        </is>
      </c>
      <c r="E154" s="3" t="inlineStr">
        <is>
          <t>매매</t>
        </is>
      </c>
      <c r="F154" s="4" t="n">
        <v>95000</v>
      </c>
      <c r="G154" s="4" t="n">
        <v>0</v>
      </c>
      <c r="H154" s="4" t="n">
        <v>3028</v>
      </c>
      <c r="I154" s="4" t="n">
        <v>916</v>
      </c>
      <c r="J154" s="5" t="n">
        <v>103.7</v>
      </c>
      <c r="K154" s="4" t="n">
        <v>128</v>
      </c>
      <c r="L154" s="4" t="n">
        <v>39</v>
      </c>
      <c r="M154" s="5" t="n">
        <v>2435.9</v>
      </c>
      <c r="N154" s="3" t="inlineStr">
        <is>
          <t>1</t>
        </is>
      </c>
      <c r="O154" s="3" t="inlineStr">
        <is>
          <t>-</t>
        </is>
      </c>
      <c r="P154" s="3" t="inlineStr">
        <is>
          <t>상정리 창고용지및 답 일괄매매 상세설명참조</t>
        </is>
      </c>
      <c r="Q154" s="6">
        <f>HYPERLINK("https://fin.land.naver.com/articles/2649755622", "매물Link")</f>
        <v/>
      </c>
      <c r="R154" t="inlineStr">
        <is>
          <t>정보 없음</t>
        </is>
      </c>
      <c r="S154" t="inlineStr">
        <is>
          <t>정보 없음</t>
        </is>
      </c>
      <c r="T154" s="3" t="inlineStr">
        <is>
          <t>자이원</t>
        </is>
      </c>
      <c r="U154" s="4" t="n">
        <v>1</v>
      </c>
      <c r="V154" s="5" t="n">
        <v>0</v>
      </c>
      <c r="W154" s="3" t="inlineStr"/>
      <c r="X154" s="3" t="inlineStr">
        <is>
          <t>정보 없음</t>
        </is>
      </c>
      <c r="Y154" s="7" t="inlineStr">
        <is>
          <t>정보 없음</t>
        </is>
      </c>
      <c r="Z154" s="3" t="inlineStr">
        <is>
          <t>정보 없음</t>
        </is>
      </c>
      <c r="AA154" s="3" t="inlineStr">
        <is>
          <t>정보 없음</t>
        </is>
      </c>
      <c r="AB154" s="3" t="inlineStr">
        <is>
          <t>정보 없음</t>
        </is>
      </c>
      <c r="AC154" s="3" t="inlineStr">
        <is>
          <t>정보 없음</t>
        </is>
      </c>
      <c r="AD154" s="3" t="inlineStr">
        <is>
          <t>정보 없음</t>
        </is>
      </c>
    </row>
    <row r="155">
      <c r="A155" s="3" t="inlineStr">
        <is>
          <t>오송읍 [노출거부]</t>
        </is>
      </c>
      <c r="B155" s="3" t="inlineStr">
        <is>
          <t>정보 없음</t>
        </is>
      </c>
      <c r="C155" s="3" t="inlineStr">
        <is>
          <t>정보 없음</t>
        </is>
      </c>
      <c r="D155" s="3" t="inlineStr">
        <is>
          <t>공장</t>
        </is>
      </c>
      <c r="E155" s="3" t="inlineStr">
        <is>
          <t>월세</t>
        </is>
      </c>
      <c r="F155" s="4" t="n">
        <v>18000</v>
      </c>
      <c r="G155" s="4" t="n">
        <v>1800</v>
      </c>
      <c r="H155" s="4" t="n">
        <v>4958</v>
      </c>
      <c r="I155" s="4" t="n">
        <v>1500</v>
      </c>
      <c r="J155" s="5" t="n">
        <v>1.2</v>
      </c>
      <c r="K155" s="4" t="n">
        <v>1917</v>
      </c>
      <c r="L155" s="4" t="n">
        <v>580</v>
      </c>
      <c r="M155" s="5" t="n">
        <v>3.1</v>
      </c>
      <c r="N155" s="3" t="inlineStr">
        <is>
          <t>1</t>
        </is>
      </c>
      <c r="O155" s="3" t="inlineStr">
        <is>
          <t>-</t>
        </is>
      </c>
      <c r="P155" s="3" t="inlineStr">
        <is>
          <t>호이스트5톤1기,1.9톤1기 설치 전력300kw 물류창고로 추천</t>
        </is>
      </c>
      <c r="Q155" s="6">
        <f>HYPERLINK("https://fin.land.naver.com/articles/2650873402", "매물Link")</f>
        <v/>
      </c>
      <c r="R155" t="inlineStr">
        <is>
          <t>정보 없음</t>
        </is>
      </c>
      <c r="S155" t="inlineStr">
        <is>
          <t>정보 없음</t>
        </is>
      </c>
      <c r="T155" s="3" t="inlineStr">
        <is>
          <t>더원</t>
        </is>
      </c>
      <c r="U155" s="4" t="n">
        <v>1</v>
      </c>
      <c r="V155" s="5" t="n">
        <v>0</v>
      </c>
      <c r="W155" s="3" t="inlineStr"/>
      <c r="X155" s="3" t="inlineStr">
        <is>
          <t>정보 없음</t>
        </is>
      </c>
      <c r="Y155" s="7" t="inlineStr">
        <is>
          <t>정보 없음</t>
        </is>
      </c>
      <c r="Z155" s="3" t="inlineStr">
        <is>
          <t>정보 없음</t>
        </is>
      </c>
      <c r="AA155" s="3" t="inlineStr">
        <is>
          <t>정보 없음</t>
        </is>
      </c>
      <c r="AB155" s="3" t="inlineStr">
        <is>
          <t>정보 없음</t>
        </is>
      </c>
      <c r="AC155" s="3" t="inlineStr">
        <is>
          <t>정보 없음</t>
        </is>
      </c>
      <c r="AD155" s="3" t="inlineStr">
        <is>
          <t>정보 없음</t>
        </is>
      </c>
    </row>
    <row r="156">
      <c r="A156" s="3" t="inlineStr">
        <is>
          <t>조치원읍 [노출거부]</t>
        </is>
      </c>
      <c r="B156" s="3" t="inlineStr">
        <is>
          <t>정보 없음</t>
        </is>
      </c>
      <c r="C156" s="3" t="inlineStr">
        <is>
          <t>정보 없음</t>
        </is>
      </c>
      <c r="D156" s="3" t="inlineStr">
        <is>
          <t>공장</t>
        </is>
      </c>
      <c r="E156" s="3" t="inlineStr">
        <is>
          <t>매매</t>
        </is>
      </c>
      <c r="F156" s="4" t="n">
        <v>590750</v>
      </c>
      <c r="G156" s="4" t="n">
        <v>0</v>
      </c>
      <c r="H156" s="4" t="n">
        <v>7812</v>
      </c>
      <c r="I156" s="4" t="n">
        <v>2363</v>
      </c>
      <c r="J156" s="5" t="n">
        <v>250</v>
      </c>
      <c r="K156" s="4" t="n">
        <v>1286</v>
      </c>
      <c r="L156" s="4" t="n">
        <v>389</v>
      </c>
      <c r="M156" s="5" t="n">
        <v>1518.6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HYPERLINK("https://fin.land.naver.com/articles/2647936735", "매물Link")</f>
        <v/>
      </c>
      <c r="R156" t="inlineStr">
        <is>
          <t>정보 없음</t>
        </is>
      </c>
      <c r="S156" t="inlineStr">
        <is>
          <t>정보 없음</t>
        </is>
      </c>
      <c r="T156" s="3" t="inlineStr">
        <is>
          <t>운산</t>
        </is>
      </c>
      <c r="U156" s="4" t="n">
        <v>1</v>
      </c>
      <c r="V156" s="5" t="n">
        <v>0</v>
      </c>
      <c r="W156" s="3" t="inlineStr"/>
      <c r="X156" s="3" t="inlineStr">
        <is>
          <t>정보 없음</t>
        </is>
      </c>
      <c r="Y156" s="7" t="inlineStr">
        <is>
          <t>정보 없음</t>
        </is>
      </c>
      <c r="Z156" s="3" t="inlineStr">
        <is>
          <t>정보 없음</t>
        </is>
      </c>
      <c r="AA156" s="3" t="inlineStr">
        <is>
          <t>정보 없음</t>
        </is>
      </c>
      <c r="AB156" s="3" t="inlineStr">
        <is>
          <t>정보 없음</t>
        </is>
      </c>
      <c r="AC156" s="3" t="inlineStr">
        <is>
          <t>정보 없음</t>
        </is>
      </c>
      <c r="AD156" s="3" t="inlineStr">
        <is>
          <t>정보 없음</t>
        </is>
      </c>
    </row>
  </sheetData>
  <autoFilter ref="A1:AD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시에6대 입주 정품자재 설계 시공 보시면 볼수록 매력있어요  감동</t>
        </is>
      </c>
      <c r="P2" s="6">
        <f>HYPERLINK("https://fin.land.naver.com/articles/2651727643", "매물Link")</f>
        <v/>
      </c>
      <c r="Q2" t="inlineStr">
        <is>
          <t>정보 없음</t>
        </is>
      </c>
      <c r="R2" t="inlineStr">
        <is>
          <t>정보 없음</t>
        </is>
      </c>
      <c r="S2" s="3" t="inlineStr">
        <is>
          <t>세종골드삼성</t>
        </is>
      </c>
      <c r="T2" s="4" t="n">
        <v>1</v>
      </c>
      <c r="U2" s="5" t="n">
        <v>0</v>
      </c>
      <c r="V2" s="3" t="inlineStr"/>
      <c r="W2" s="3" t="inlineStr"/>
      <c r="X2" s="3" t="inlineStr">
        <is>
          <t>정보 없음</t>
        </is>
      </c>
      <c r="Y2" s="3" t="inlineStr"/>
      <c r="Z2" s="3" t="inlineStr"/>
      <c r="AA2" s="3" t="inlineStr">
        <is>
          <t>정보 없음</t>
        </is>
      </c>
    </row>
    <row r="3">
      <c r="A3" s="3" t="inlineStr">
        <is>
          <t>고운동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3</t>
        </is>
      </c>
      <c r="E3" s="3" t="inlineStr">
        <is>
          <t>단독</t>
        </is>
      </c>
      <c r="F3" s="3" t="inlineStr">
        <is>
          <t>매매</t>
        </is>
      </c>
      <c r="G3" s="4" t="n">
        <v>145000</v>
      </c>
      <c r="H3" s="4" t="n">
        <v>0</v>
      </c>
      <c r="I3" s="4" t="n">
        <v>341</v>
      </c>
      <c r="J3" s="4" t="n">
        <v>103</v>
      </c>
      <c r="K3" s="5" t="n">
        <v>1407.8</v>
      </c>
      <c r="L3" s="4" t="n">
        <v>249</v>
      </c>
      <c r="M3" s="4" t="n">
        <v>75</v>
      </c>
      <c r="N3" s="5" t="n">
        <v>1933.3</v>
      </c>
      <c r="O3" s="3" t="inlineStr">
        <is>
          <t>2세대가 살면 좋아요.즉시입주,전세도8억 가능,</t>
        </is>
      </c>
      <c r="P3" s="6">
        <f>HYPERLINK("https://fin.land.naver.com/articles/2653294072", "매물Link")</f>
        <v/>
      </c>
      <c r="Q3" t="inlineStr">
        <is>
          <t>정보 없음</t>
        </is>
      </c>
      <c r="R3" t="inlineStr">
        <is>
          <t>정보 없음</t>
        </is>
      </c>
      <c r="S3" s="3" t="inlineStr">
        <is>
          <t>세종리더스</t>
        </is>
      </c>
      <c r="T3" s="4" t="n">
        <v>1</v>
      </c>
      <c r="U3" s="5" t="n">
        <v>0</v>
      </c>
      <c r="V3" s="3" t="inlineStr"/>
      <c r="W3" s="3" t="inlineStr"/>
      <c r="X3" s="3" t="inlineStr">
        <is>
          <t>정보 없음</t>
        </is>
      </c>
      <c r="Y3" s="3" t="inlineStr"/>
      <c r="Z3" s="3" t="inlineStr"/>
      <c r="AA3" s="3" t="inlineStr">
        <is>
          <t>정보 없음</t>
        </is>
      </c>
    </row>
    <row r="4">
      <c r="A4" s="3" t="inlineStr">
        <is>
          <t>고운동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1</t>
        </is>
      </c>
      <c r="E4" s="3" t="inlineStr">
        <is>
          <t>상가주택</t>
        </is>
      </c>
      <c r="F4" s="3" t="inlineStr">
        <is>
          <t>월세</t>
        </is>
      </c>
      <c r="G4" s="4" t="n">
        <v>5000</v>
      </c>
      <c r="H4" s="4" t="n">
        <v>460</v>
      </c>
      <c r="I4" s="4" t="n">
        <v>273</v>
      </c>
      <c r="J4" s="4" t="n">
        <v>83</v>
      </c>
      <c r="K4" s="5" t="n">
        <v>5.5</v>
      </c>
      <c r="L4" s="4" t="n">
        <v>169</v>
      </c>
      <c r="M4" s="4" t="n">
        <v>51</v>
      </c>
      <c r="N4" s="5" t="n">
        <v>9</v>
      </c>
      <c r="O4" s="3" t="inlineStr">
        <is>
          <t>유동인구 풍부하며 대단위 아파트 밀집지역의 배후에 위치</t>
        </is>
      </c>
      <c r="P4" s="6">
        <f>HYPERLINK("https://fin.land.naver.com/articles/2647908283", "매물Link")</f>
        <v/>
      </c>
      <c r="Q4" t="inlineStr">
        <is>
          <t>정보 없음</t>
        </is>
      </c>
      <c r="R4" t="inlineStr">
        <is>
          <t>정보 없음</t>
        </is>
      </c>
      <c r="S4" s="3" t="inlineStr">
        <is>
          <t>하당</t>
        </is>
      </c>
      <c r="T4" s="4" t="n">
        <v>1</v>
      </c>
      <c r="U4" s="5" t="n">
        <v>0</v>
      </c>
      <c r="V4" s="3" t="inlineStr"/>
      <c r="W4" s="3" t="inlineStr"/>
      <c r="X4" s="3" t="inlineStr">
        <is>
          <t>정보 없음</t>
        </is>
      </c>
      <c r="Y4" s="3" t="inlineStr"/>
      <c r="Z4" s="3" t="inlineStr"/>
      <c r="AA4" s="3" t="inlineStr">
        <is>
          <t>정보 없음</t>
        </is>
      </c>
    </row>
    <row r="5">
      <c r="A5" s="3" t="inlineStr">
        <is>
          <t>도담동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월세</t>
        </is>
      </c>
      <c r="G5" s="4" t="n">
        <v>20000</v>
      </c>
      <c r="H5" s="4" t="n">
        <v>50</v>
      </c>
      <c r="I5" s="4" t="n">
        <v>0</v>
      </c>
      <c r="J5" s="4" t="n">
        <v>0</v>
      </c>
      <c r="K5" s="5" t="n">
        <v>0</v>
      </c>
      <c r="L5" s="4" t="n">
        <v>116</v>
      </c>
      <c r="M5" s="4" t="n">
        <v>35</v>
      </c>
      <c r="N5" s="5" t="n">
        <v>1.4</v>
      </c>
      <c r="O5" s="3" t="inlineStr">
        <is>
          <t>명성공인, 단독주택 2층만 사용, 별도 출입구 있는  추천 매물</t>
        </is>
      </c>
      <c r="P5" s="6">
        <f>HYPERLINK("https://fin.land.naver.com/articles/2651761296", "매물Link")</f>
        <v/>
      </c>
      <c r="Q5" t="inlineStr">
        <is>
          <t>정보 없음</t>
        </is>
      </c>
      <c r="R5" t="inlineStr">
        <is>
          <t>정보 없음</t>
        </is>
      </c>
      <c r="S5" s="3" t="inlineStr">
        <is>
          <t>명성</t>
        </is>
      </c>
      <c r="T5" s="4" t="n">
        <v>1</v>
      </c>
      <c r="U5" s="5" t="n">
        <v>0</v>
      </c>
      <c r="V5" s="3" t="inlineStr"/>
      <c r="W5" s="3" t="inlineStr"/>
      <c r="X5" s="3" t="inlineStr">
        <is>
          <t>정보 없음</t>
        </is>
      </c>
      <c r="Y5" s="3" t="inlineStr"/>
      <c r="Z5" s="3" t="inlineStr"/>
      <c r="AA5" s="3" t="inlineStr">
        <is>
          <t>정보 없음</t>
        </is>
      </c>
    </row>
    <row r="6">
      <c r="A6" s="3" t="inlineStr">
        <is>
          <t>도담동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전세</t>
        </is>
      </c>
      <c r="G6" s="4" t="n">
        <v>30000</v>
      </c>
      <c r="H6" s="4" t="n">
        <v>0</v>
      </c>
      <c r="I6" s="4" t="n">
        <v>0</v>
      </c>
      <c r="J6" s="4" t="n">
        <v>0</v>
      </c>
      <c r="K6" s="5" t="n">
        <v>0</v>
      </c>
      <c r="L6" s="4" t="n">
        <v>116</v>
      </c>
      <c r="M6" s="4" t="n">
        <v>35</v>
      </c>
      <c r="N6" s="5" t="n">
        <v>857.1</v>
      </c>
      <c r="O6" s="3" t="inlineStr">
        <is>
          <t>명성공인, 도담동 단독주택 2층 만 단독사용, 별도 출입구 있는 추천매물</t>
        </is>
      </c>
      <c r="P6" s="6">
        <f>HYPERLINK("https://fin.land.naver.com/articles/2651761079", "매물Link")</f>
        <v/>
      </c>
      <c r="Q6" t="inlineStr">
        <is>
          <t>정보 없음</t>
        </is>
      </c>
      <c r="R6" t="inlineStr">
        <is>
          <t>정보 없음</t>
        </is>
      </c>
      <c r="S6" s="3" t="inlineStr">
        <is>
          <t>명성</t>
        </is>
      </c>
      <c r="T6" s="4" t="n">
        <v>1</v>
      </c>
      <c r="U6" s="5" t="n">
        <v>0</v>
      </c>
      <c r="V6" s="3" t="inlineStr"/>
      <c r="W6" s="3" t="inlineStr"/>
      <c r="X6" s="3" t="inlineStr">
        <is>
          <t>정보 없음</t>
        </is>
      </c>
      <c r="Y6" s="3" t="inlineStr"/>
      <c r="Z6" s="3" t="inlineStr"/>
      <c r="AA6" s="3" t="inlineStr">
        <is>
          <t>정보 없음</t>
        </is>
      </c>
    </row>
    <row r="7">
      <c r="A7" s="3" t="inlineStr">
        <is>
          <t>도담동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전세</t>
        </is>
      </c>
      <c r="G7" s="4" t="n">
        <v>30000</v>
      </c>
      <c r="H7" s="4" t="n">
        <v>0</v>
      </c>
      <c r="I7" s="4" t="n">
        <v>0</v>
      </c>
      <c r="J7" s="4" t="n">
        <v>0</v>
      </c>
      <c r="K7" s="5" t="n">
        <v>0</v>
      </c>
      <c r="L7" s="4" t="n">
        <v>116</v>
      </c>
      <c r="M7" s="4" t="n">
        <v>35</v>
      </c>
      <c r="N7" s="5" t="n">
        <v>857.1</v>
      </c>
      <c r="O7" s="3" t="inlineStr">
        <is>
          <t>공실,단독주택2층사용, 다락방 사용가능, 시스템에어컨풀,</t>
        </is>
      </c>
      <c r="P7" s="6">
        <f>HYPERLINK("https://fin.land.naver.com/articles/2651311846", "매물Link")</f>
        <v/>
      </c>
      <c r="Q7" t="inlineStr">
        <is>
          <t>정보 없음</t>
        </is>
      </c>
      <c r="R7" t="inlineStr">
        <is>
          <t>정보 없음</t>
        </is>
      </c>
      <c r="S7" s="3" t="inlineStr">
        <is>
          <t>한뜰5단지</t>
        </is>
      </c>
      <c r="T7" s="4" t="n">
        <v>1</v>
      </c>
      <c r="U7" s="5" t="n">
        <v>0</v>
      </c>
      <c r="V7" s="3" t="inlineStr"/>
      <c r="W7" s="3" t="inlineStr"/>
      <c r="X7" s="3" t="inlineStr">
        <is>
          <t>정보 없음</t>
        </is>
      </c>
      <c r="Y7" s="3" t="inlineStr"/>
      <c r="Z7" s="3" t="inlineStr"/>
      <c r="AA7" s="3" t="inlineStr">
        <is>
          <t>정보 없음</t>
        </is>
      </c>
    </row>
    <row r="8">
      <c r="A8" s="3" t="inlineStr">
        <is>
          <t>도담동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280</v>
      </c>
      <c r="J8" s="4" t="n">
        <v>85</v>
      </c>
      <c r="K8" s="5" t="n">
        <v>1529.4</v>
      </c>
      <c r="L8" s="4" t="n">
        <v>169</v>
      </c>
      <c r="M8" s="4" t="n">
        <v>51</v>
      </c>
      <c r="N8" s="5" t="n">
        <v>2549</v>
      </c>
      <c r="O8" s="3" t="inlineStr">
        <is>
          <t>탄탄하고 잘지어진 집 추천매물</t>
        </is>
      </c>
      <c r="P8" s="6">
        <f>HYPERLINK("https://fin.land.naver.com/articles/2651104509", "매물Link")</f>
        <v/>
      </c>
      <c r="Q8" t="inlineStr">
        <is>
          <t>정보 없음</t>
        </is>
      </c>
      <c r="R8" t="inlineStr">
        <is>
          <t>정보 없음</t>
        </is>
      </c>
      <c r="S8" s="3" t="inlineStr">
        <is>
          <t>세종푸르지오</t>
        </is>
      </c>
      <c r="T8" s="4" t="n">
        <v>1</v>
      </c>
      <c r="U8" s="5" t="n">
        <v>0</v>
      </c>
      <c r="V8" s="3" t="inlineStr"/>
      <c r="W8" s="3" t="inlineStr"/>
      <c r="X8" s="3" t="inlineStr">
        <is>
          <t>정보 없음</t>
        </is>
      </c>
      <c r="Y8" s="3" t="inlineStr"/>
      <c r="Z8" s="3" t="inlineStr"/>
      <c r="AA8" s="3" t="inlineStr">
        <is>
          <t>정보 없음</t>
        </is>
      </c>
    </row>
    <row r="9">
      <c r="A9" s="3" t="inlineStr">
        <is>
          <t>부강면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1</t>
        </is>
      </c>
      <c r="E9" s="3" t="inlineStr">
        <is>
          <t>단독</t>
        </is>
      </c>
      <c r="F9" s="3" t="inlineStr">
        <is>
          <t>매매</t>
        </is>
      </c>
      <c r="G9" s="4" t="n">
        <v>25000</v>
      </c>
      <c r="H9" s="4" t="n">
        <v>0</v>
      </c>
      <c r="I9" s="4" t="n">
        <v>376</v>
      </c>
      <c r="J9" s="4" t="n">
        <v>114</v>
      </c>
      <c r="K9" s="5" t="n">
        <v>219.3</v>
      </c>
      <c r="L9" s="4" t="n">
        <v>52</v>
      </c>
      <c r="M9" s="4" t="n">
        <v>16</v>
      </c>
      <c r="N9" s="5" t="n">
        <v>1562.5</v>
      </c>
      <c r="O9" s="3" t="inlineStr">
        <is>
          <t>작은구옥 있으나   철거후 건축 추천드려요</t>
        </is>
      </c>
      <c r="P9" s="6">
        <f>HYPERLINK("https://fin.land.naver.com/articles/2648440313", "매물Link")</f>
        <v/>
      </c>
      <c r="Q9" t="inlineStr">
        <is>
          <t>정보 없음</t>
        </is>
      </c>
      <c r="R9" t="inlineStr">
        <is>
          <t>정보 없음</t>
        </is>
      </c>
      <c r="S9" s="3" t="inlineStr">
        <is>
          <t>하니</t>
        </is>
      </c>
      <c r="T9" s="4" t="n">
        <v>1</v>
      </c>
      <c r="U9" s="5" t="n">
        <v>0</v>
      </c>
      <c r="V9" s="3" t="inlineStr"/>
      <c r="W9" s="3" t="inlineStr"/>
      <c r="X9" s="3" t="inlineStr">
        <is>
          <t>정보 없음</t>
        </is>
      </c>
      <c r="Y9" s="3" t="inlineStr"/>
      <c r="Z9" s="3" t="inlineStr"/>
      <c r="AA9" s="3" t="inlineStr">
        <is>
          <t>정보 없음</t>
        </is>
      </c>
    </row>
    <row r="10">
      <c r="A10" s="3" t="inlineStr">
        <is>
          <t>부강면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1</t>
        </is>
      </c>
      <c r="E10" s="3" t="inlineStr">
        <is>
          <t>단독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425</v>
      </c>
      <c r="J10" s="4" t="n">
        <v>129</v>
      </c>
      <c r="K10" s="5" t="n">
        <v>348.8</v>
      </c>
      <c r="L10" s="4" t="n">
        <v>98</v>
      </c>
      <c r="M10" s="4" t="n">
        <v>30</v>
      </c>
      <c r="N10" s="5" t="n">
        <v>1500</v>
      </c>
      <c r="O10" s="3" t="inlineStr">
        <is>
          <t>교통편리 단독주택(건축2년) ,부강역 이용편리</t>
        </is>
      </c>
      <c r="P10" s="6">
        <f>HYPERLINK("https://fin.land.naver.com/articles/2652796739", "매물Link")</f>
        <v/>
      </c>
      <c r="Q10" t="inlineStr">
        <is>
          <t>정보 없음</t>
        </is>
      </c>
      <c r="R10" t="inlineStr">
        <is>
          <t>정보 없음</t>
        </is>
      </c>
      <c r="S10" s="3" t="inlineStr">
        <is>
          <t>동원탑무소</t>
        </is>
      </c>
      <c r="T10" s="4" t="n">
        <v>1</v>
      </c>
      <c r="U10" s="5" t="n">
        <v>0</v>
      </c>
      <c r="V10" s="3" t="inlineStr"/>
      <c r="W10" s="3" t="inlineStr"/>
      <c r="X10" s="3" t="inlineStr">
        <is>
          <t>정보 없음</t>
        </is>
      </c>
      <c r="Y10" s="3" t="inlineStr"/>
      <c r="Z10" s="3" t="inlineStr"/>
      <c r="AA10" s="3" t="inlineStr">
        <is>
          <t>정보 없음</t>
        </is>
      </c>
    </row>
    <row r="11">
      <c r="A11" s="3" t="inlineStr">
        <is>
          <t>부강면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55000</v>
      </c>
      <c r="H11" s="4" t="n">
        <v>0</v>
      </c>
      <c r="I11" s="4" t="n">
        <v>448</v>
      </c>
      <c r="J11" s="4" t="n">
        <v>136</v>
      </c>
      <c r="K11" s="5" t="n">
        <v>404.4</v>
      </c>
      <c r="L11" s="4" t="n">
        <v>142</v>
      </c>
      <c r="M11" s="4" t="n">
        <v>43</v>
      </c>
      <c r="N11" s="5" t="n">
        <v>1279.1</v>
      </c>
      <c r="O11" s="3" t="inlineStr">
        <is>
          <t>복층구조 넓은 마당 금강변 세종시인근 세련된 인테리어 구조굿</t>
        </is>
      </c>
      <c r="P11" s="6">
        <f>HYPERLINK("https://fin.land.naver.com/articles/2652530021", "매물Link")</f>
        <v/>
      </c>
      <c r="Q11" t="inlineStr">
        <is>
          <t>정보 없음</t>
        </is>
      </c>
      <c r="R11" t="inlineStr">
        <is>
          <t>정보 없음</t>
        </is>
      </c>
      <c r="S11" s="3" t="inlineStr">
        <is>
          <t>세종OK</t>
        </is>
      </c>
      <c r="T11" s="4" t="n">
        <v>1</v>
      </c>
      <c r="U11" s="5" t="n">
        <v>0</v>
      </c>
      <c r="V11" s="3" t="inlineStr"/>
      <c r="W11" s="3" t="inlineStr"/>
      <c r="X11" s="3" t="inlineStr">
        <is>
          <t>정보 없음</t>
        </is>
      </c>
      <c r="Y11" s="3" t="inlineStr"/>
      <c r="Z11" s="3" t="inlineStr"/>
      <c r="AA11" s="3" t="inlineStr">
        <is>
          <t>정보 없음</t>
        </is>
      </c>
    </row>
    <row r="12">
      <c r="A12" s="3" t="inlineStr">
        <is>
          <t>아름동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145000</v>
      </c>
      <c r="H12" s="4" t="n">
        <v>0</v>
      </c>
      <c r="I12" s="4" t="n">
        <v>328</v>
      </c>
      <c r="J12" s="4" t="n">
        <v>99</v>
      </c>
      <c r="K12" s="5" t="n">
        <v>1464.6</v>
      </c>
      <c r="L12" s="4" t="n">
        <v>148</v>
      </c>
      <c r="M12" s="4" t="n">
        <v>45</v>
      </c>
      <c r="N12" s="5" t="n">
        <v>3222.2</v>
      </c>
      <c r="O12" s="3" t="inlineStr">
        <is>
          <t>태양광,벽난로화목,외부창고,아이들을 위한 나무 아지트</t>
        </is>
      </c>
      <c r="P12" s="6">
        <f>HYPERLINK("https://fin.land.naver.com/articles/2649006402", "매물Link")</f>
        <v/>
      </c>
      <c r="Q12" t="inlineStr">
        <is>
          <t>정보 없음</t>
        </is>
      </c>
      <c r="R12" t="inlineStr">
        <is>
          <t>정보 없음</t>
        </is>
      </c>
      <c r="S12" s="3" t="inlineStr">
        <is>
          <t>세종푸르지오</t>
        </is>
      </c>
      <c r="T12" s="4" t="n">
        <v>1</v>
      </c>
      <c r="U12" s="5" t="n">
        <v>0</v>
      </c>
      <c r="V12" s="3" t="inlineStr"/>
      <c r="W12" s="3" t="inlineStr"/>
      <c r="X12" s="3" t="inlineStr">
        <is>
          <t>정보 없음</t>
        </is>
      </c>
      <c r="Y12" s="3" t="inlineStr"/>
      <c r="Z12" s="3" t="inlineStr"/>
      <c r="AA12" s="3" t="inlineStr">
        <is>
          <t>정보 없음</t>
        </is>
      </c>
    </row>
    <row r="13">
      <c r="A13" s="3" t="inlineStr">
        <is>
          <t>아름동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160000</v>
      </c>
      <c r="H13" s="4" t="n">
        <v>0</v>
      </c>
      <c r="I13" s="4" t="n">
        <v>332</v>
      </c>
      <c r="J13" s="4" t="n">
        <v>100</v>
      </c>
      <c r="K13" s="5" t="n">
        <v>1600</v>
      </c>
      <c r="L13" s="4" t="n">
        <v>223</v>
      </c>
      <c r="M13" s="4" t="n">
        <v>67</v>
      </c>
      <c r="N13" s="5" t="n">
        <v>2388.1</v>
      </c>
      <c r="O13" s="3" t="inlineStr">
        <is>
          <t>교통편리한 아름동 주택가, 일반목구조, 지하1층,지상2층,다락방</t>
        </is>
      </c>
      <c r="P13" s="6">
        <f>HYPERLINK("https://fin.land.naver.com/articles/2650243248", "매물Link")</f>
        <v/>
      </c>
      <c r="Q13" t="inlineStr">
        <is>
          <t>정보 없음</t>
        </is>
      </c>
      <c r="R13" t="inlineStr">
        <is>
          <t>정보 없음</t>
        </is>
      </c>
      <c r="S13" s="3" t="inlineStr">
        <is>
          <t>아름</t>
        </is>
      </c>
      <c r="T13" s="4" t="n">
        <v>1</v>
      </c>
      <c r="U13" s="5" t="n">
        <v>0</v>
      </c>
      <c r="V13" s="3" t="inlineStr"/>
      <c r="W13" s="3" t="inlineStr"/>
      <c r="X13" s="3" t="inlineStr">
        <is>
          <t>정보 없음</t>
        </is>
      </c>
      <c r="Y13" s="3" t="inlineStr"/>
      <c r="Z13" s="3" t="inlineStr"/>
      <c r="AA13" s="3" t="inlineStr">
        <is>
          <t>정보 없음</t>
        </is>
      </c>
    </row>
    <row r="14">
      <c r="A14" s="3" t="inlineStr">
        <is>
          <t>아름동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353</v>
      </c>
      <c r="J14" s="4" t="n">
        <v>107</v>
      </c>
      <c r="K14" s="5" t="n">
        <v>1261.7</v>
      </c>
      <c r="L14" s="4" t="n">
        <v>160</v>
      </c>
      <c r="M14" s="4" t="n">
        <v>48</v>
      </c>
      <c r="N14" s="5" t="n">
        <v>2812.5</v>
      </c>
      <c r="O14" s="3" t="inlineStr">
        <is>
          <t>탄탄하게 지어진 집이며 관리가 잘된 집 살기 편한 입지</t>
        </is>
      </c>
      <c r="P14" s="6">
        <f>HYPERLINK("https://fin.land.naver.com/articles/2651104431", "매물Link")</f>
        <v/>
      </c>
      <c r="Q14" t="inlineStr">
        <is>
          <t>정보 없음</t>
        </is>
      </c>
      <c r="R14" t="inlineStr">
        <is>
          <t>정보 없음</t>
        </is>
      </c>
      <c r="S14" s="3" t="inlineStr">
        <is>
          <t>세종푸르지오</t>
        </is>
      </c>
      <c r="T14" s="4" t="n">
        <v>1</v>
      </c>
      <c r="U14" s="5" t="n">
        <v>0</v>
      </c>
      <c r="V14" s="3" t="inlineStr"/>
      <c r="W14" s="3" t="inlineStr"/>
      <c r="X14" s="3" t="inlineStr">
        <is>
          <t>정보 없음</t>
        </is>
      </c>
      <c r="Y14" s="3" t="inlineStr"/>
      <c r="Z14" s="3" t="inlineStr"/>
      <c r="AA14" s="3" t="inlineStr">
        <is>
          <t>정보 없음</t>
        </is>
      </c>
    </row>
    <row r="15">
      <c r="A15" s="3" t="inlineStr">
        <is>
          <t>연동면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45200</v>
      </c>
      <c r="H15" s="4" t="n">
        <v>0</v>
      </c>
      <c r="I15" s="4" t="n">
        <v>394</v>
      </c>
      <c r="J15" s="4" t="n">
        <v>119</v>
      </c>
      <c r="K15" s="5" t="n">
        <v>379.8</v>
      </c>
      <c r="L15" s="4" t="n">
        <v>117</v>
      </c>
      <c r="M15" s="4" t="n">
        <v>35</v>
      </c>
      <c r="N15" s="5" t="n">
        <v>1291.4</v>
      </c>
      <c r="O15" s="3" t="inlineStr">
        <is>
          <t>1. 내부전체 리모델링 되어있음 2. 2층 다락방도 있습니다 3. 앞마당</t>
        </is>
      </c>
      <c r="P15" s="6">
        <f>HYPERLINK("https://fin.land.naver.com/articles/2652060410", "매물Link")</f>
        <v/>
      </c>
      <c r="Q15" t="inlineStr">
        <is>
          <t>정보 없음</t>
        </is>
      </c>
      <c r="R15" t="inlineStr">
        <is>
          <t>정보 없음</t>
        </is>
      </c>
      <c r="S15" s="3" t="inlineStr">
        <is>
          <t>연동스카이</t>
        </is>
      </c>
      <c r="T15" s="4" t="n">
        <v>1</v>
      </c>
      <c r="U15" s="5" t="n">
        <v>0</v>
      </c>
      <c r="V15" s="3" t="inlineStr"/>
      <c r="W15" s="3" t="inlineStr"/>
      <c r="X15" s="3" t="inlineStr">
        <is>
          <t>정보 없음</t>
        </is>
      </c>
      <c r="Y15" s="3" t="inlineStr"/>
      <c r="Z15" s="3" t="inlineStr"/>
      <c r="AA15" s="3" t="inlineStr">
        <is>
          <t>정보 없음</t>
        </is>
      </c>
    </row>
    <row r="16">
      <c r="A16" s="3" t="inlineStr">
        <is>
          <t>연동면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1</t>
        </is>
      </c>
      <c r="E16" s="3" t="inlineStr">
        <is>
          <t>전원주택</t>
        </is>
      </c>
      <c r="F16" s="3" t="inlineStr">
        <is>
          <t>매매</t>
        </is>
      </c>
      <c r="G16" s="4" t="n">
        <v>27000</v>
      </c>
      <c r="H16" s="4" t="n">
        <v>0</v>
      </c>
      <c r="I16" s="4" t="n">
        <v>1207</v>
      </c>
      <c r="J16" s="4" t="n">
        <v>365</v>
      </c>
      <c r="K16" s="5" t="n">
        <v>74</v>
      </c>
      <c r="L16" s="4" t="n">
        <v>89</v>
      </c>
      <c r="M16" s="4" t="n">
        <v>27</v>
      </c>
      <c r="N16" s="5" t="n">
        <v>1000</v>
      </c>
      <c r="O16" s="3" t="inlineStr">
        <is>
          <t>텃밭 가능, 금호어울림 추천 매물</t>
        </is>
      </c>
      <c r="P16" s="6">
        <f>HYPERLINK("https://fin.land.naver.com/articles/2648790586", "매물Link")</f>
        <v/>
      </c>
      <c r="Q16" t="inlineStr">
        <is>
          <t>정보 없음</t>
        </is>
      </c>
      <c r="R16" t="inlineStr">
        <is>
          <t>정보 없음</t>
        </is>
      </c>
      <c r="S16" s="3" t="inlineStr">
        <is>
          <t>금호어울림</t>
        </is>
      </c>
      <c r="T16" s="4" t="n">
        <v>1</v>
      </c>
      <c r="U16" s="5" t="n">
        <v>0</v>
      </c>
      <c r="V16" s="3" t="inlineStr"/>
      <c r="W16" s="3" t="inlineStr"/>
      <c r="X16" s="3" t="inlineStr">
        <is>
          <t>정보 없음</t>
        </is>
      </c>
      <c r="Y16" s="3" t="inlineStr"/>
      <c r="Z16" s="3" t="inlineStr"/>
      <c r="AA16" s="3" t="inlineStr">
        <is>
          <t>정보 없음</t>
        </is>
      </c>
    </row>
    <row r="17">
      <c r="A17" s="3" t="inlineStr">
        <is>
          <t>연동면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월세</t>
        </is>
      </c>
      <c r="G17" s="4" t="n">
        <v>500</v>
      </c>
      <c r="H17" s="4" t="n">
        <v>40</v>
      </c>
      <c r="I17" s="4" t="n">
        <v>90</v>
      </c>
      <c r="J17" s="4" t="n">
        <v>27</v>
      </c>
      <c r="K17" s="5" t="n">
        <v>1.5</v>
      </c>
      <c r="L17" s="4" t="n">
        <v>60</v>
      </c>
      <c r="M17" s="4" t="n">
        <v>18</v>
      </c>
      <c r="N17" s="5" t="n">
        <v>2.2</v>
      </c>
      <c r="O17" s="3" t="inlineStr">
        <is>
          <t>즉시입주,예양교차로변(2분),조치원역5분,5생활권7분,오송역8분,정부청사</t>
        </is>
      </c>
      <c r="P17" s="6">
        <f>HYPERLINK("https://fin.land.naver.com/articles/2650390107", "매물Link")</f>
        <v/>
      </c>
      <c r="Q17" t="inlineStr">
        <is>
          <t>정보 없음</t>
        </is>
      </c>
      <c r="R17" t="inlineStr">
        <is>
          <t>정보 없음</t>
        </is>
      </c>
      <c r="S17" s="3" t="inlineStr">
        <is>
          <t>시민행정사</t>
        </is>
      </c>
      <c r="T17" s="4" t="n">
        <v>1</v>
      </c>
      <c r="U17" s="5" t="n">
        <v>0</v>
      </c>
      <c r="V17" s="3" t="inlineStr"/>
      <c r="W17" s="3" t="inlineStr"/>
      <c r="X17" s="3" t="inlineStr">
        <is>
          <t>정보 없음</t>
        </is>
      </c>
      <c r="Y17" s="3" t="inlineStr"/>
      <c r="Z17" s="3" t="inlineStr"/>
      <c r="AA17" s="3" t="inlineStr">
        <is>
          <t>정보 없음</t>
        </is>
      </c>
    </row>
    <row r="18">
      <c r="A18" s="3" t="inlineStr">
        <is>
          <t>연서면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1</t>
        </is>
      </c>
      <c r="E18" s="3" t="inlineStr">
        <is>
          <t>전원주택</t>
        </is>
      </c>
      <c r="F18" s="3" t="inlineStr">
        <is>
          <t>매매</t>
        </is>
      </c>
      <c r="G18" s="4" t="n">
        <v>93000</v>
      </c>
      <c r="H18" s="4" t="n">
        <v>0</v>
      </c>
      <c r="I18" s="4" t="n">
        <v>678</v>
      </c>
      <c r="J18" s="4" t="n">
        <v>205</v>
      </c>
      <c r="K18" s="5" t="n">
        <v>453.7</v>
      </c>
      <c r="L18" s="4" t="n">
        <v>98</v>
      </c>
      <c r="M18" s="4" t="n">
        <v>30</v>
      </c>
      <c r="N18" s="5" t="n">
        <v>3100</v>
      </c>
      <c r="O18" s="3" t="inlineStr">
        <is>
          <t>nan</t>
        </is>
      </c>
      <c r="P18" s="6">
        <f>HYPERLINK("https://fin.land.naver.com/articles/2651680711", "매물Link")</f>
        <v/>
      </c>
      <c r="Q18" t="inlineStr">
        <is>
          <t>정보 없음</t>
        </is>
      </c>
      <c r="R18" t="inlineStr">
        <is>
          <t>정보 없음</t>
        </is>
      </c>
      <c r="S18" s="3" t="inlineStr">
        <is>
          <t>최프로</t>
        </is>
      </c>
      <c r="T18" s="4" t="n">
        <v>1</v>
      </c>
      <c r="U18" s="5" t="n">
        <v>0</v>
      </c>
      <c r="V18" s="3" t="inlineStr"/>
      <c r="W18" s="3" t="inlineStr"/>
      <c r="X18" s="3" t="inlineStr">
        <is>
          <t>정보 없음</t>
        </is>
      </c>
      <c r="Y18" s="3" t="inlineStr"/>
      <c r="Z18" s="3" t="inlineStr"/>
      <c r="AA18" s="3" t="inlineStr">
        <is>
          <t>정보 없음</t>
        </is>
      </c>
    </row>
    <row r="19">
      <c r="A19" s="3" t="inlineStr">
        <is>
          <t>연서면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25000</v>
      </c>
      <c r="H19" s="4" t="n">
        <v>0</v>
      </c>
      <c r="I19" s="4" t="n">
        <v>281</v>
      </c>
      <c r="J19" s="4" t="n">
        <v>85</v>
      </c>
      <c r="K19" s="5" t="n">
        <v>294.1</v>
      </c>
      <c r="L19" s="4" t="n">
        <v>70</v>
      </c>
      <c r="M19" s="4" t="n">
        <v>21</v>
      </c>
      <c r="N19" s="5" t="n">
        <v>1190.5</v>
      </c>
      <c r="O19" s="3" t="inlineStr">
        <is>
          <t>세종신도시와 조치원 사이 위치, 1번국도 인접, 투자용, 실입주 가능</t>
        </is>
      </c>
      <c r="P19" s="6">
        <f>HYPERLINK("https://fin.land.naver.com/articles/2653284236", "매물Link")</f>
        <v/>
      </c>
      <c r="Q19" t="inlineStr">
        <is>
          <t>정보 없음</t>
        </is>
      </c>
      <c r="R19" t="inlineStr">
        <is>
          <t>정보 없음</t>
        </is>
      </c>
      <c r="S19" s="3" t="inlineStr">
        <is>
          <t>세종공감</t>
        </is>
      </c>
      <c r="T19" s="4" t="n">
        <v>2</v>
      </c>
      <c r="U19" s="5" t="n">
        <v>0</v>
      </c>
      <c r="V19" s="3" t="inlineStr"/>
      <c r="W19" s="3" t="inlineStr"/>
      <c r="X19" s="3" t="inlineStr">
        <is>
          <t>정보 없음</t>
        </is>
      </c>
      <c r="Y19" s="3" t="inlineStr"/>
      <c r="Z19" s="3" t="inlineStr"/>
      <c r="AA19" s="3" t="inlineStr">
        <is>
          <t>정보 없음</t>
        </is>
      </c>
    </row>
    <row r="20">
      <c r="A20" s="3" t="inlineStr">
        <is>
          <t>연서면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53000</v>
      </c>
      <c r="H20" s="4" t="n">
        <v>0</v>
      </c>
      <c r="I20" s="4" t="n">
        <v>668</v>
      </c>
      <c r="J20" s="4" t="n">
        <v>202</v>
      </c>
      <c r="K20" s="5" t="n">
        <v>262.4</v>
      </c>
      <c r="L20" s="4" t="n">
        <v>64</v>
      </c>
      <c r="M20" s="4" t="n">
        <v>19</v>
      </c>
      <c r="N20" s="5" t="n">
        <v>2789.5</v>
      </c>
      <c r="O20" s="3" t="inlineStr">
        <is>
          <t>연서면 월하리 단독주택, 향후 지가상승 예상 매물로 급매 합니다.</t>
        </is>
      </c>
      <c r="P20" s="6">
        <f>HYPERLINK("https://fin.land.naver.com/articles/2649477820", "매물Link")</f>
        <v/>
      </c>
      <c r="Q20" t="inlineStr">
        <is>
          <t>정보 없음</t>
        </is>
      </c>
      <c r="R20" t="inlineStr">
        <is>
          <t>정보 없음</t>
        </is>
      </c>
      <c r="S20" s="3" t="inlineStr">
        <is>
          <t>세종강산</t>
        </is>
      </c>
      <c r="T20" s="4" t="n">
        <v>1</v>
      </c>
      <c r="U20" s="5" t="n">
        <v>0</v>
      </c>
      <c r="V20" s="3" t="inlineStr"/>
      <c r="W20" s="3" t="inlineStr"/>
      <c r="X20" s="3" t="inlineStr">
        <is>
          <t>정보 없음</t>
        </is>
      </c>
      <c r="Y20" s="3" t="inlineStr"/>
      <c r="Z20" s="3" t="inlineStr"/>
      <c r="AA20" s="3" t="inlineStr">
        <is>
          <t>정보 없음</t>
        </is>
      </c>
    </row>
    <row r="21">
      <c r="A21" s="3" t="inlineStr">
        <is>
          <t>연서면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39000</v>
      </c>
      <c r="H21" s="4" t="n">
        <v>0</v>
      </c>
      <c r="I21" s="4" t="n">
        <v>327</v>
      </c>
      <c r="J21" s="4" t="n">
        <v>99</v>
      </c>
      <c r="K21" s="5" t="n">
        <v>393.9</v>
      </c>
      <c r="L21" s="4" t="n">
        <v>168</v>
      </c>
      <c r="M21" s="4" t="n">
        <v>51</v>
      </c>
      <c r="N21" s="5" t="n">
        <v>764.7</v>
      </c>
      <c r="O21" s="3" t="inlineStr">
        <is>
          <t>nan</t>
        </is>
      </c>
      <c r="P21" s="6">
        <f>HYPERLINK("https://fin.land.naver.com/articles/2651957964", "매물Link")</f>
        <v/>
      </c>
      <c r="Q21" t="inlineStr">
        <is>
          <t>정보 없음</t>
        </is>
      </c>
      <c r="R21" t="inlineStr">
        <is>
          <t>정보 없음</t>
        </is>
      </c>
      <c r="S21" s="3" t="inlineStr">
        <is>
          <t>세종리더스</t>
        </is>
      </c>
      <c r="T21" s="4" t="n">
        <v>1</v>
      </c>
      <c r="U21" s="5" t="n">
        <v>0</v>
      </c>
      <c r="V21" s="3" t="inlineStr"/>
      <c r="W21" s="3" t="inlineStr"/>
      <c r="X21" s="3" t="inlineStr">
        <is>
          <t>정보 없음</t>
        </is>
      </c>
      <c r="Y21" s="3" t="inlineStr"/>
      <c r="Z21" s="3" t="inlineStr"/>
      <c r="AA21" s="3" t="inlineStr">
        <is>
          <t>정보 없음</t>
        </is>
      </c>
    </row>
    <row r="22">
      <c r="A22" s="3" t="inlineStr">
        <is>
          <t>연서면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전세</t>
        </is>
      </c>
      <c r="G22" s="4" t="n">
        <v>15000</v>
      </c>
      <c r="H22" s="4" t="n">
        <v>0</v>
      </c>
      <c r="I22" s="4" t="n">
        <v>157</v>
      </c>
      <c r="J22" s="4" t="n">
        <v>47</v>
      </c>
      <c r="K22" s="5" t="n">
        <v>319.1</v>
      </c>
      <c r="L22" s="4" t="n">
        <v>127</v>
      </c>
      <c r="M22" s="4" t="n">
        <v>38</v>
      </c>
      <c r="N22" s="5" t="n">
        <v>394.7</v>
      </c>
      <c r="O22" s="3" t="inlineStr">
        <is>
          <t>북세종IC주변(3분),도원성당인근,조치원역4분,아파트단지1만세대인근지역</t>
        </is>
      </c>
      <c r="P22" s="6">
        <f>HYPERLINK("https://fin.land.naver.com/articles/2650513244", "매물Link")</f>
        <v/>
      </c>
      <c r="Q22" t="inlineStr">
        <is>
          <t>정보 없음</t>
        </is>
      </c>
      <c r="R22" t="inlineStr">
        <is>
          <t>정보 없음</t>
        </is>
      </c>
      <c r="S22" s="3" t="inlineStr">
        <is>
          <t>시민행정사</t>
        </is>
      </c>
      <c r="T22" s="4" t="n">
        <v>1</v>
      </c>
      <c r="U22" s="5" t="n">
        <v>0</v>
      </c>
      <c r="V22" s="3" t="inlineStr"/>
      <c r="W22" s="3" t="inlineStr"/>
      <c r="X22" s="3" t="inlineStr">
        <is>
          <t>정보 없음</t>
        </is>
      </c>
      <c r="Y22" s="3" t="inlineStr"/>
      <c r="Z22" s="3" t="inlineStr"/>
      <c r="AA22" s="3" t="inlineStr">
        <is>
          <t>정보 없음</t>
        </is>
      </c>
    </row>
    <row r="23">
      <c r="A23" s="3" t="inlineStr">
        <is>
          <t>조치원읍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3</t>
        </is>
      </c>
      <c r="E23" s="3" t="inlineStr">
        <is>
          <t>도시형생활주택</t>
        </is>
      </c>
      <c r="F23" s="3" t="inlineStr">
        <is>
          <t>월세</t>
        </is>
      </c>
      <c r="G23" s="4" t="n">
        <v>300</v>
      </c>
      <c r="H23" s="4" t="n">
        <v>30</v>
      </c>
      <c r="I23" s="4" t="n">
        <v>0</v>
      </c>
      <c r="J23" s="4" t="n">
        <v>0</v>
      </c>
      <c r="K23" s="5" t="n">
        <v>0</v>
      </c>
      <c r="L23" s="4" t="n">
        <v>14</v>
      </c>
      <c r="M23" s="4" t="n">
        <v>4</v>
      </c>
      <c r="N23" s="5" t="n">
        <v>7.5</v>
      </c>
      <c r="O23" s="3" t="inlineStr">
        <is>
          <t>L 시장,역,버스정류장3분내. 생활권 최고. 전세가능</t>
        </is>
      </c>
      <c r="P23" s="6">
        <f>HYPERLINK("https://fin.land.naver.com/articles/2648334975", "매물Link")</f>
        <v/>
      </c>
      <c r="Q23" t="inlineStr">
        <is>
          <t>정보 없음</t>
        </is>
      </c>
      <c r="R23" t="inlineStr">
        <is>
          <t>정보 없음</t>
        </is>
      </c>
      <c r="S23" s="3" t="inlineStr">
        <is>
          <t>바다</t>
        </is>
      </c>
      <c r="T23" s="4" t="n">
        <v>1</v>
      </c>
      <c r="U23" s="5" t="n">
        <v>0</v>
      </c>
      <c r="V23" s="3" t="inlineStr"/>
      <c r="W23" s="3" t="inlineStr"/>
      <c r="X23" s="3" t="inlineStr">
        <is>
          <t>정보 없음</t>
        </is>
      </c>
      <c r="Y23" s="3" t="inlineStr"/>
      <c r="Z23" s="3" t="inlineStr"/>
      <c r="AA23" s="3" t="inlineStr">
        <is>
          <t>정보 없음</t>
        </is>
      </c>
    </row>
    <row r="24">
      <c r="A24" s="3" t="inlineStr">
        <is>
          <t>조치원읍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2</t>
        </is>
      </c>
      <c r="E24" s="3" t="inlineStr">
        <is>
          <t>다가구</t>
        </is>
      </c>
      <c r="F24" s="3" t="inlineStr">
        <is>
          <t>월세</t>
        </is>
      </c>
      <c r="G24" s="4" t="n">
        <v>200</v>
      </c>
      <c r="H24" s="4" t="n">
        <v>30</v>
      </c>
      <c r="I24" s="4" t="n">
        <v>24</v>
      </c>
      <c r="J24" s="4" t="n">
        <v>7</v>
      </c>
      <c r="K24" s="5" t="n">
        <v>4.3</v>
      </c>
      <c r="L24" s="4" t="n">
        <v>24</v>
      </c>
      <c r="M24" s="4" t="n">
        <v>7</v>
      </c>
      <c r="N24" s="5" t="n">
        <v>4.3</v>
      </c>
      <c r="O24" s="3" t="inlineStr">
        <is>
          <t>옵션 있음.</t>
        </is>
      </c>
      <c r="P24" s="6">
        <f>HYPERLINK("https://fin.land.naver.com/articles/2653257224", "매물Link")</f>
        <v/>
      </c>
      <c r="Q24" t="inlineStr">
        <is>
          <t>정보 없음</t>
        </is>
      </c>
      <c r="R24" t="inlineStr">
        <is>
          <t>정보 없음</t>
        </is>
      </c>
      <c r="S24" s="3" t="inlineStr">
        <is>
          <t>골드</t>
        </is>
      </c>
      <c r="T24" s="4" t="n">
        <v>1</v>
      </c>
      <c r="U24" s="5" t="n">
        <v>0</v>
      </c>
      <c r="V24" s="3" t="inlineStr"/>
      <c r="W24" s="3" t="inlineStr"/>
      <c r="X24" s="3" t="inlineStr">
        <is>
          <t>정보 없음</t>
        </is>
      </c>
      <c r="Y24" s="3" t="inlineStr"/>
      <c r="Z24" s="3" t="inlineStr"/>
      <c r="AA24" s="3" t="inlineStr">
        <is>
          <t>정보 없음</t>
        </is>
      </c>
    </row>
    <row r="25">
      <c r="A25" s="3" t="inlineStr">
        <is>
          <t>조치원읍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월세</t>
        </is>
      </c>
      <c r="G25" s="4" t="n">
        <v>300</v>
      </c>
      <c r="H25" s="4" t="n">
        <v>35</v>
      </c>
      <c r="I25" s="4" t="n">
        <v>40</v>
      </c>
      <c r="J25" s="4" t="n">
        <v>12</v>
      </c>
      <c r="K25" s="5" t="n">
        <v>2.9</v>
      </c>
      <c r="L25" s="4" t="n">
        <v>39</v>
      </c>
      <c r="M25" s="4" t="n">
        <v>12</v>
      </c>
      <c r="N25" s="5" t="n">
        <v>2.9</v>
      </c>
      <c r="O25" s="3" t="inlineStr">
        <is>
          <t>2층 슬라브주택,리모델링</t>
        </is>
      </c>
      <c r="P25" s="6">
        <f>HYPERLINK("https://fin.land.naver.com/articles/2653254926", "매물Link")</f>
        <v/>
      </c>
      <c r="Q25" t="inlineStr">
        <is>
          <t>정보 없음</t>
        </is>
      </c>
      <c r="R25" t="inlineStr">
        <is>
          <t>정보 없음</t>
        </is>
      </c>
      <c r="S25" s="3" t="inlineStr">
        <is>
          <t>골드</t>
        </is>
      </c>
      <c r="T25" s="4" t="n">
        <v>1</v>
      </c>
      <c r="U25" s="5" t="n">
        <v>0</v>
      </c>
      <c r="V25" s="3" t="inlineStr"/>
      <c r="W25" s="3" t="inlineStr"/>
      <c r="X25" s="3" t="inlineStr">
        <is>
          <t>정보 없음</t>
        </is>
      </c>
      <c r="Y25" s="3" t="inlineStr"/>
      <c r="Z25" s="3" t="inlineStr"/>
      <c r="AA25" s="3" t="inlineStr">
        <is>
          <t>정보 없음</t>
        </is>
      </c>
    </row>
    <row r="26">
      <c r="A26" s="3" t="inlineStr">
        <is>
          <t>조치원읍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33000</v>
      </c>
      <c r="H26" s="4" t="n">
        <v>0</v>
      </c>
      <c r="I26" s="4" t="n">
        <v>205</v>
      </c>
      <c r="J26" s="4" t="n">
        <v>62</v>
      </c>
      <c r="K26" s="5" t="n">
        <v>532.3</v>
      </c>
      <c r="L26" s="4" t="n">
        <v>144</v>
      </c>
      <c r="M26" s="4" t="n">
        <v>44</v>
      </c>
      <c r="N26" s="5" t="n">
        <v>750</v>
      </c>
      <c r="O26" s="3" t="inlineStr">
        <is>
          <t>nan</t>
        </is>
      </c>
      <c r="P26" s="6">
        <f>HYPERLINK("https://fin.land.naver.com/articles/2652497244", "매물Link")</f>
        <v/>
      </c>
      <c r="Q26" t="inlineStr">
        <is>
          <t>정보 없음</t>
        </is>
      </c>
      <c r="R26" t="inlineStr">
        <is>
          <t>정보 없음</t>
        </is>
      </c>
      <c r="S26" s="3" t="inlineStr">
        <is>
          <t>푸르지오</t>
        </is>
      </c>
      <c r="T26" s="4" t="n">
        <v>1</v>
      </c>
      <c r="U26" s="5" t="n">
        <v>0</v>
      </c>
      <c r="V26" s="3" t="inlineStr"/>
      <c r="W26" s="3" t="inlineStr"/>
      <c r="X26" s="3" t="inlineStr">
        <is>
          <t>정보 없음</t>
        </is>
      </c>
      <c r="Y26" s="3" t="inlineStr"/>
      <c r="Z26" s="3" t="inlineStr"/>
      <c r="AA26" s="3" t="inlineStr">
        <is>
          <t>정보 없음</t>
        </is>
      </c>
    </row>
    <row r="27">
      <c r="A27" s="3" t="inlineStr">
        <is>
          <t>조치원읍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전세</t>
        </is>
      </c>
      <c r="G27" s="4" t="n">
        <v>10000</v>
      </c>
      <c r="H27" s="4" t="n">
        <v>0</v>
      </c>
      <c r="I27" s="4" t="n">
        <v>60</v>
      </c>
      <c r="J27" s="4" t="n">
        <v>18</v>
      </c>
      <c r="K27" s="5" t="n">
        <v>555.6</v>
      </c>
      <c r="L27" s="4" t="n">
        <v>60</v>
      </c>
      <c r="M27" s="4" t="n">
        <v>18</v>
      </c>
      <c r="N27" s="5" t="n">
        <v>555.6</v>
      </c>
      <c r="O27" s="3" t="inlineStr">
        <is>
          <t>상태좋음,반월세가능 즉시입주 가능,( 냉장고, 세탁기,에어컨 있음)</t>
        </is>
      </c>
      <c r="P27" s="6">
        <f>HYPERLINK("https://fin.land.naver.com/articles/2651960080", "매물Link")</f>
        <v/>
      </c>
      <c r="Q27" t="inlineStr">
        <is>
          <t>정보 없음</t>
        </is>
      </c>
      <c r="R27" t="inlineStr">
        <is>
          <t>정보 없음</t>
        </is>
      </c>
      <c r="S27" s="3" t="inlineStr">
        <is>
          <t>열매</t>
        </is>
      </c>
      <c r="T27" s="4" t="n">
        <v>1</v>
      </c>
      <c r="U27" s="5" t="n">
        <v>0</v>
      </c>
      <c r="V27" s="3" t="inlineStr"/>
      <c r="W27" s="3" t="inlineStr"/>
      <c r="X27" s="3" t="inlineStr">
        <is>
          <t>정보 없음</t>
        </is>
      </c>
      <c r="Y27" s="3" t="inlineStr"/>
      <c r="Z27" s="3" t="inlineStr"/>
      <c r="AA27" s="3" t="inlineStr">
        <is>
          <t>정보 없음</t>
        </is>
      </c>
    </row>
    <row r="28">
      <c r="A28" s="3" t="inlineStr">
        <is>
          <t>조치원읍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2</t>
        </is>
      </c>
      <c r="E28" s="3" t="inlineStr">
        <is>
          <t>상가주택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549</v>
      </c>
      <c r="J28" s="4" t="n">
        <v>166</v>
      </c>
      <c r="K28" s="5" t="n">
        <v>572.3</v>
      </c>
      <c r="L28" s="4" t="n">
        <v>320</v>
      </c>
      <c r="M28" s="4" t="n">
        <v>97</v>
      </c>
      <c r="N28" s="5" t="n">
        <v>979.4</v>
      </c>
      <c r="O28" s="3" t="inlineStr">
        <is>
          <t>nan</t>
        </is>
      </c>
      <c r="P28" s="6">
        <f>HYPERLINK("https://fin.land.naver.com/articles/2648287811", "매물Link")</f>
        <v/>
      </c>
      <c r="Q28" t="inlineStr">
        <is>
          <t>정보 없음</t>
        </is>
      </c>
      <c r="R28" t="inlineStr">
        <is>
          <t>정보 없음</t>
        </is>
      </c>
      <c r="S28" s="3" t="inlineStr">
        <is>
          <t>황금</t>
        </is>
      </c>
      <c r="T28" s="4" t="n">
        <v>1</v>
      </c>
      <c r="U28" s="5" t="n">
        <v>0</v>
      </c>
      <c r="V28" s="3" t="inlineStr"/>
      <c r="W28" s="3" t="inlineStr"/>
      <c r="X28" s="3" t="inlineStr">
        <is>
          <t>정보 없음</t>
        </is>
      </c>
      <c r="Y28" s="3" t="inlineStr"/>
      <c r="Z28" s="3" t="inlineStr"/>
      <c r="AA28" s="3" t="inlineStr">
        <is>
          <t>정보 없음</t>
        </is>
      </c>
    </row>
    <row r="29">
      <c r="A29" s="3" t="inlineStr">
        <is>
          <t>조치원읍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22000</v>
      </c>
      <c r="H29" s="4" t="n">
        <v>0</v>
      </c>
      <c r="I29" s="4" t="n">
        <v>301</v>
      </c>
      <c r="J29" s="4" t="n">
        <v>91</v>
      </c>
      <c r="K29" s="5" t="n">
        <v>241.8</v>
      </c>
      <c r="L29" s="4" t="n">
        <v>98</v>
      </c>
      <c r="M29" s="4" t="n">
        <v>30</v>
      </c>
      <c r="N29" s="5" t="n">
        <v>733.3</v>
      </c>
      <c r="O29" s="3" t="inlineStr">
        <is>
          <t>nan</t>
        </is>
      </c>
      <c r="P29" s="6">
        <f>HYPERLINK("https://fin.land.naver.com/articles/2650522365", "매물Link")</f>
        <v/>
      </c>
      <c r="Q29" t="inlineStr">
        <is>
          <t>정보 없음</t>
        </is>
      </c>
      <c r="R29" t="inlineStr">
        <is>
          <t>정보 없음</t>
        </is>
      </c>
      <c r="S29" s="3" t="inlineStr">
        <is>
          <t>시민행정사</t>
        </is>
      </c>
      <c r="T29" s="4" t="n">
        <v>1</v>
      </c>
      <c r="U29" s="5" t="n">
        <v>0</v>
      </c>
      <c r="V29" s="3" t="inlineStr"/>
      <c r="W29" s="3" t="inlineStr"/>
      <c r="X29" s="3" t="inlineStr">
        <is>
          <t>정보 없음</t>
        </is>
      </c>
      <c r="Y29" s="3" t="inlineStr"/>
      <c r="Z29" s="3" t="inlineStr"/>
      <c r="AA29" s="3" t="inlineStr">
        <is>
          <t>정보 없음</t>
        </is>
      </c>
    </row>
    <row r="30">
      <c r="A30" s="3" t="inlineStr">
        <is>
          <t>조치원읍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51000</v>
      </c>
      <c r="H30" s="4" t="n">
        <v>0</v>
      </c>
      <c r="I30" s="4" t="n">
        <v>415</v>
      </c>
      <c r="J30" s="4" t="n">
        <v>126</v>
      </c>
      <c r="K30" s="5" t="n">
        <v>404.8</v>
      </c>
      <c r="L30" s="4" t="n">
        <v>581</v>
      </c>
      <c r="M30" s="4" t="n">
        <v>176</v>
      </c>
      <c r="N30" s="5" t="n">
        <v>289.8</v>
      </c>
      <c r="O30" s="3" t="inlineStr">
        <is>
          <t>연세로 5천만원 받아요.방20개</t>
        </is>
      </c>
      <c r="P30" s="6">
        <f>HYPERLINK("https://fin.land.naver.com/articles/2649614007", "매물Link")</f>
        <v/>
      </c>
      <c r="Q30" t="inlineStr">
        <is>
          <t>정보 없음</t>
        </is>
      </c>
      <c r="R30" t="inlineStr">
        <is>
          <t>정보 없음</t>
        </is>
      </c>
      <c r="S30" s="3" t="inlineStr">
        <is>
          <t>세종리더스</t>
        </is>
      </c>
      <c r="T30" s="4" t="n">
        <v>1</v>
      </c>
      <c r="U30" s="5" t="n">
        <v>0</v>
      </c>
      <c r="V30" s="3" t="inlineStr"/>
      <c r="W30" s="3" t="inlineStr"/>
      <c r="X30" s="3" t="inlineStr">
        <is>
          <t>정보 없음</t>
        </is>
      </c>
      <c r="Y30" s="3" t="inlineStr"/>
      <c r="Z30" s="3" t="inlineStr"/>
      <c r="AA30" s="3" t="inlineStr">
        <is>
          <t>정보 없음</t>
        </is>
      </c>
    </row>
    <row r="31">
      <c r="A31" s="3" t="inlineStr">
        <is>
          <t>조치원읍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2</t>
        </is>
      </c>
      <c r="E31" s="3" t="inlineStr">
        <is>
          <t>다가구</t>
        </is>
      </c>
      <c r="F31" s="3" t="inlineStr">
        <is>
          <t>월세</t>
        </is>
      </c>
      <c r="G31" s="4" t="n">
        <v>150</v>
      </c>
      <c r="H31" s="4" t="n">
        <v>27</v>
      </c>
      <c r="I31" s="4" t="n">
        <v>20</v>
      </c>
      <c r="J31" s="4" t="n">
        <v>6</v>
      </c>
      <c r="K31" s="5" t="n">
        <v>4.5</v>
      </c>
      <c r="L31" s="4" t="n">
        <v>20</v>
      </c>
      <c r="M31" s="4" t="n">
        <v>6</v>
      </c>
      <c r="N31" s="5" t="n">
        <v>4.5</v>
      </c>
      <c r="O31" s="3" t="inlineStr">
        <is>
          <t>1.5룸 관리비포함35만원</t>
        </is>
      </c>
      <c r="P31" s="6">
        <f>HYPERLINK("https://fin.land.naver.com/articles/2649426309", "매물Link")</f>
        <v/>
      </c>
      <c r="Q31" t="inlineStr">
        <is>
          <t>정보 없음</t>
        </is>
      </c>
      <c r="R31" t="inlineStr">
        <is>
          <t>정보 없음</t>
        </is>
      </c>
      <c r="S31" s="3" t="inlineStr">
        <is>
          <t>골드</t>
        </is>
      </c>
      <c r="T31" s="4" t="n">
        <v>1</v>
      </c>
      <c r="U31" s="5" t="n">
        <v>0</v>
      </c>
      <c r="V31" s="3" t="inlineStr"/>
      <c r="W31" s="3" t="inlineStr"/>
      <c r="X31" s="3" t="inlineStr">
        <is>
          <t>정보 없음</t>
        </is>
      </c>
      <c r="Y31" s="3" t="inlineStr"/>
      <c r="Z31" s="3" t="inlineStr"/>
      <c r="AA31" s="3" t="inlineStr">
        <is>
          <t>정보 없음</t>
        </is>
      </c>
    </row>
    <row r="32">
      <c r="A32" s="3" t="inlineStr">
        <is>
          <t>조치원읍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850000</v>
      </c>
      <c r="H32" s="4" t="n">
        <v>0</v>
      </c>
      <c r="I32" s="4" t="n">
        <v>223</v>
      </c>
      <c r="J32" s="4" t="n">
        <v>67</v>
      </c>
      <c r="K32" s="5" t="n">
        <v>12686.6</v>
      </c>
      <c r="L32" s="4" t="n">
        <v>298</v>
      </c>
      <c r="M32" s="4" t="n">
        <v>90</v>
      </c>
      <c r="N32" s="5" t="n">
        <v>9444.4</v>
      </c>
      <c r="O32" s="3" t="inlineStr">
        <is>
          <t>수익성통건물원룸.연세.홍대초근접</t>
        </is>
      </c>
      <c r="P32" s="6">
        <f>HYPERLINK("https://fin.land.naver.com/articles/2648132044", "매물Link")</f>
        <v/>
      </c>
      <c r="Q32" t="inlineStr">
        <is>
          <t>정보 없음</t>
        </is>
      </c>
      <c r="R32" t="inlineStr">
        <is>
          <t>정보 없음</t>
        </is>
      </c>
      <c r="S32" s="3" t="inlineStr">
        <is>
          <t>세종새빛</t>
        </is>
      </c>
      <c r="T32" s="4" t="n">
        <v>1</v>
      </c>
      <c r="U32" s="5" t="n">
        <v>0</v>
      </c>
      <c r="V32" s="3" t="inlineStr"/>
      <c r="W32" s="3" t="inlineStr"/>
      <c r="X32" s="3" t="inlineStr">
        <is>
          <t>정보 없음</t>
        </is>
      </c>
      <c r="Y32" s="3" t="inlineStr"/>
      <c r="Z32" s="3" t="inlineStr"/>
      <c r="AA32" s="3" t="inlineStr">
        <is>
          <t>정보 없음</t>
        </is>
      </c>
    </row>
    <row r="33">
      <c r="A33" s="3" t="inlineStr">
        <is>
          <t>조치원읍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2</t>
        </is>
      </c>
      <c r="E33" s="3" t="inlineStr">
        <is>
          <t>상가주택</t>
        </is>
      </c>
      <c r="F33" s="3" t="inlineStr">
        <is>
          <t>매매</t>
        </is>
      </c>
      <c r="G33" s="4" t="n">
        <v>35000</v>
      </c>
      <c r="H33" s="4" t="n">
        <v>0</v>
      </c>
      <c r="I33" s="4" t="n">
        <v>222</v>
      </c>
      <c r="J33" s="4" t="n">
        <v>67</v>
      </c>
      <c r="K33" s="5" t="n">
        <v>522.4</v>
      </c>
      <c r="L33" s="4" t="n">
        <v>251</v>
      </c>
      <c r="M33" s="4" t="n">
        <v>76</v>
      </c>
      <c r="N33" s="5" t="n">
        <v>460.5</v>
      </c>
      <c r="O33" s="3" t="inlineStr">
        <is>
          <t>nan</t>
        </is>
      </c>
      <c r="P33" s="6">
        <f>HYPERLINK("https://fin.land.naver.com/articles/2647934427", "매물Link")</f>
        <v/>
      </c>
      <c r="Q33" t="inlineStr">
        <is>
          <t>정보 없음</t>
        </is>
      </c>
      <c r="R33" t="inlineStr">
        <is>
          <t>정보 없음</t>
        </is>
      </c>
      <c r="S33" s="3" t="inlineStr">
        <is>
          <t>운산</t>
        </is>
      </c>
      <c r="T33" s="4" t="n">
        <v>1</v>
      </c>
      <c r="U33" s="5" t="n">
        <v>0</v>
      </c>
      <c r="V33" s="3" t="inlineStr"/>
      <c r="W33" s="3" t="inlineStr"/>
      <c r="X33" s="3" t="inlineStr">
        <is>
          <t>정보 없음</t>
        </is>
      </c>
      <c r="Y33" s="3" t="inlineStr"/>
      <c r="Z33" s="3" t="inlineStr"/>
      <c r="AA33" s="3" t="inlineStr">
        <is>
          <t>정보 없음</t>
        </is>
      </c>
    </row>
    <row r="34">
      <c r="A34" s="3" t="inlineStr">
        <is>
          <t>조치원읍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4</t>
        </is>
      </c>
      <c r="E34" s="3" t="inlineStr">
        <is>
          <t>단독</t>
        </is>
      </c>
      <c r="F34" s="3" t="inlineStr">
        <is>
          <t>매매</t>
        </is>
      </c>
      <c r="G34" s="4" t="n">
        <v>16500</v>
      </c>
      <c r="H34" s="4" t="n">
        <v>0</v>
      </c>
      <c r="I34" s="4" t="n">
        <v>336</v>
      </c>
      <c r="J34" s="4" t="n">
        <v>102</v>
      </c>
      <c r="K34" s="5" t="n">
        <v>161.8</v>
      </c>
      <c r="L34" s="4" t="n">
        <v>374</v>
      </c>
      <c r="M34" s="4" t="n">
        <v>113</v>
      </c>
      <c r="N34" s="5" t="n">
        <v>146</v>
      </c>
      <c r="O34" s="3" t="inlineStr">
        <is>
          <t>nan</t>
        </is>
      </c>
      <c r="P34" s="6">
        <f>HYPERLINK("https://fin.land.naver.com/articles/2648372880", "매물Link")</f>
        <v/>
      </c>
      <c r="Q34" t="inlineStr">
        <is>
          <t>정보 없음</t>
        </is>
      </c>
      <c r="R34" t="inlineStr">
        <is>
          <t>정보 없음</t>
        </is>
      </c>
      <c r="S34" s="3" t="inlineStr">
        <is>
          <t>욱일</t>
        </is>
      </c>
      <c r="T34" s="4" t="n">
        <v>1</v>
      </c>
      <c r="U34" s="5" t="n">
        <v>0</v>
      </c>
      <c r="V34" s="3" t="inlineStr"/>
      <c r="W34" s="3" t="inlineStr"/>
      <c r="X34" s="3" t="inlineStr">
        <is>
          <t>정보 없음</t>
        </is>
      </c>
      <c r="Y34" s="3" t="inlineStr"/>
      <c r="Z34" s="3" t="inlineStr"/>
      <c r="AA34" s="3" t="inlineStr">
        <is>
          <t>정보 없음</t>
        </is>
      </c>
    </row>
    <row r="35">
      <c r="A35" s="3" t="inlineStr">
        <is>
          <t>조치원읍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4</t>
        </is>
      </c>
      <c r="E35" s="3" t="inlineStr">
        <is>
          <t>다가구</t>
        </is>
      </c>
      <c r="F35" s="3" t="inlineStr">
        <is>
          <t>월세</t>
        </is>
      </c>
      <c r="G35" s="4" t="n">
        <v>500</v>
      </c>
      <c r="H35" s="4" t="n">
        <v>40</v>
      </c>
      <c r="I35" s="4" t="n">
        <v>26</v>
      </c>
      <c r="J35" s="4" t="n">
        <v>8</v>
      </c>
      <c r="K35" s="5" t="n">
        <v>5</v>
      </c>
      <c r="L35" s="4" t="n">
        <v>26</v>
      </c>
      <c r="M35" s="4" t="n">
        <v>8</v>
      </c>
      <c r="N35" s="5" t="n">
        <v>5</v>
      </c>
      <c r="O35" s="3" t="inlineStr">
        <is>
          <t>1.5룸 옵션완비</t>
        </is>
      </c>
      <c r="P35" s="6">
        <f>HYPERLINK("https://fin.land.naver.com/articles/2650574690", "매물Link")</f>
        <v/>
      </c>
      <c r="Q35" t="inlineStr">
        <is>
          <t>정보 없음</t>
        </is>
      </c>
      <c r="R35" t="inlineStr">
        <is>
          <t>정보 없음</t>
        </is>
      </c>
      <c r="S35" s="3" t="inlineStr">
        <is>
          <t>골드</t>
        </is>
      </c>
      <c r="T35" s="4" t="n">
        <v>1</v>
      </c>
      <c r="U35" s="5" t="n">
        <v>0</v>
      </c>
      <c r="V35" s="3" t="inlineStr"/>
      <c r="W35" s="3" t="inlineStr"/>
      <c r="X35" s="3" t="inlineStr">
        <is>
          <t>정보 없음</t>
        </is>
      </c>
      <c r="Y35" s="3" t="inlineStr"/>
      <c r="Z35" s="3" t="inlineStr"/>
      <c r="AA35" s="3" t="inlineStr">
        <is>
          <t>정보 없음</t>
        </is>
      </c>
    </row>
    <row r="36">
      <c r="A36" s="3" t="inlineStr">
        <is>
          <t>조치원읍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2</t>
        </is>
      </c>
      <c r="E36" s="3" t="inlineStr">
        <is>
          <t>일반원룸</t>
        </is>
      </c>
      <c r="F36" s="3" t="inlineStr">
        <is>
          <t>월세</t>
        </is>
      </c>
      <c r="G36" s="4" t="n">
        <v>200</v>
      </c>
      <c r="H36" s="4" t="n">
        <v>27</v>
      </c>
      <c r="I36" s="4" t="n">
        <v>0</v>
      </c>
      <c r="J36" s="4" t="n">
        <v>0</v>
      </c>
      <c r="K36" s="5" t="n">
        <v>0</v>
      </c>
      <c r="L36" s="4" t="n">
        <v>20</v>
      </c>
      <c r="M36" s="4" t="n">
        <v>6</v>
      </c>
      <c r="N36" s="5" t="n">
        <v>4.5</v>
      </c>
      <c r="O36" s="3" t="inlineStr">
        <is>
          <t>L 역2분.도배 등 수리중.풀옵션</t>
        </is>
      </c>
      <c r="P36" s="6">
        <f>HYPERLINK("https://fin.land.naver.com/articles/2649038402", "매물Link")</f>
        <v/>
      </c>
      <c r="Q36" t="inlineStr">
        <is>
          <t>정보 없음</t>
        </is>
      </c>
      <c r="R36" t="inlineStr">
        <is>
          <t>정보 없음</t>
        </is>
      </c>
      <c r="S36" s="3" t="inlineStr">
        <is>
          <t>바다</t>
        </is>
      </c>
      <c r="T36" s="4" t="n">
        <v>1</v>
      </c>
      <c r="U36" s="5" t="n">
        <v>0</v>
      </c>
      <c r="V36" s="3" t="inlineStr"/>
      <c r="W36" s="3" t="inlineStr"/>
      <c r="X36" s="3" t="inlineStr">
        <is>
          <t>정보 없음</t>
        </is>
      </c>
      <c r="Y36" s="3" t="inlineStr"/>
      <c r="Z36" s="3" t="inlineStr"/>
      <c r="AA36" s="3" t="inlineStr">
        <is>
          <t>정보 없음</t>
        </is>
      </c>
    </row>
    <row r="37">
      <c r="A37" s="3" t="inlineStr">
        <is>
          <t>조치원읍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1</t>
        </is>
      </c>
      <c r="E37" s="3" t="inlineStr">
        <is>
          <t>다가구</t>
        </is>
      </c>
      <c r="F37" s="3" t="inlineStr">
        <is>
          <t>월세</t>
        </is>
      </c>
      <c r="G37" s="4" t="n">
        <v>100</v>
      </c>
      <c r="H37" s="4" t="n">
        <v>28</v>
      </c>
      <c r="I37" s="4" t="n">
        <v>0</v>
      </c>
      <c r="J37" s="4" t="n">
        <v>0</v>
      </c>
      <c r="K37" s="5" t="n">
        <v>0</v>
      </c>
      <c r="L37" s="4" t="n">
        <v>19</v>
      </c>
      <c r="M37" s="4" t="n">
        <v>6</v>
      </c>
      <c r="N37" s="5" t="n">
        <v>4.7</v>
      </c>
      <c r="O37" s="3" t="inlineStr">
        <is>
          <t>L월28만. 즉시입주가능. 고려대학교 앞 연세,반연세가능</t>
        </is>
      </c>
      <c r="P37" s="6">
        <f>HYPERLINK("https://fin.land.naver.com/articles/2651114498", "매물Link")</f>
        <v/>
      </c>
      <c r="Q37" t="inlineStr">
        <is>
          <t>정보 없음</t>
        </is>
      </c>
      <c r="R37" t="inlineStr">
        <is>
          <t>정보 없음</t>
        </is>
      </c>
      <c r="S37" s="3" t="inlineStr">
        <is>
          <t>바다</t>
        </is>
      </c>
      <c r="T37" s="4" t="n">
        <v>1</v>
      </c>
      <c r="U37" s="5" t="n">
        <v>0</v>
      </c>
      <c r="V37" s="3" t="inlineStr"/>
      <c r="W37" s="3" t="inlineStr"/>
      <c r="X37" s="3" t="inlineStr">
        <is>
          <t>정보 없음</t>
        </is>
      </c>
      <c r="Y37" s="3" t="inlineStr"/>
      <c r="Z37" s="3" t="inlineStr"/>
      <c r="AA37" s="3" t="inlineStr">
        <is>
          <t>정보 없음</t>
        </is>
      </c>
    </row>
    <row r="38">
      <c r="A38" s="3" t="inlineStr">
        <is>
          <t>조치원읍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200</v>
      </c>
      <c r="H38" s="4" t="n">
        <v>32</v>
      </c>
      <c r="I38" s="4" t="n">
        <v>0</v>
      </c>
      <c r="J38" s="4" t="n">
        <v>0</v>
      </c>
      <c r="K38" s="5" t="n">
        <v>0</v>
      </c>
      <c r="L38" s="4" t="n">
        <v>20</v>
      </c>
      <c r="M38" s="4" t="n">
        <v>6</v>
      </c>
      <c r="N38" s="5" t="n">
        <v>5.3</v>
      </c>
      <c r="O38" s="3" t="inlineStr">
        <is>
          <t>L 즉시입주가능 O호텔식1룸 O깔끔</t>
        </is>
      </c>
      <c r="P38" s="6">
        <f>HYPERLINK("https://fin.land.naver.com/articles/2650107743", "매물Link")</f>
        <v/>
      </c>
      <c r="Q38" t="inlineStr">
        <is>
          <t>정보 없음</t>
        </is>
      </c>
      <c r="R38" t="inlineStr">
        <is>
          <t>정보 없음</t>
        </is>
      </c>
      <c r="S38" s="3" t="inlineStr">
        <is>
          <t>바다</t>
        </is>
      </c>
      <c r="T38" s="4" t="n">
        <v>1</v>
      </c>
      <c r="U38" s="5" t="n">
        <v>0</v>
      </c>
      <c r="V38" s="3" t="inlineStr"/>
      <c r="W38" s="3" t="inlineStr"/>
      <c r="X38" s="3" t="inlineStr">
        <is>
          <t>정보 없음</t>
        </is>
      </c>
      <c r="Y38" s="3" t="inlineStr"/>
      <c r="Z38" s="3" t="inlineStr"/>
      <c r="AA38" s="3" t="inlineStr">
        <is>
          <t>정보 없음</t>
        </is>
      </c>
    </row>
    <row r="39">
      <c r="A39" s="3" t="inlineStr">
        <is>
          <t>조치원읍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월세</t>
        </is>
      </c>
      <c r="G39" s="4" t="n">
        <v>300</v>
      </c>
      <c r="H39" s="4" t="n">
        <v>47</v>
      </c>
      <c r="I39" s="4" t="n">
        <v>0</v>
      </c>
      <c r="J39" s="4" t="n">
        <v>0</v>
      </c>
      <c r="K39" s="5" t="n">
        <v>0</v>
      </c>
      <c r="L39" s="4" t="n">
        <v>35</v>
      </c>
      <c r="M39" s="4" t="n">
        <v>11</v>
      </c>
      <c r="N39" s="5" t="n">
        <v>4.3</v>
      </c>
      <c r="O39" s="3" t="inlineStr">
        <is>
          <t>L 즉시입주가능.귀한2룸</t>
        </is>
      </c>
      <c r="P39" s="6">
        <f>HYPERLINK("https://fin.land.naver.com/articles/2652598700", "매물Link")</f>
        <v/>
      </c>
      <c r="Q39" t="inlineStr">
        <is>
          <t>정보 없음</t>
        </is>
      </c>
      <c r="R39" t="inlineStr">
        <is>
          <t>정보 없음</t>
        </is>
      </c>
      <c r="S39" s="3" t="inlineStr">
        <is>
          <t>바다</t>
        </is>
      </c>
      <c r="T39" s="4" t="n">
        <v>1</v>
      </c>
      <c r="U39" s="5" t="n">
        <v>0</v>
      </c>
      <c r="V39" s="3" t="inlineStr"/>
      <c r="W39" s="3" t="inlineStr"/>
      <c r="X39" s="3" t="inlineStr">
        <is>
          <t>정보 없음</t>
        </is>
      </c>
      <c r="Y39" s="3" t="inlineStr"/>
      <c r="Z39" s="3" t="inlineStr"/>
      <c r="AA39" s="3" t="inlineStr">
        <is>
          <t>정보 없음</t>
        </is>
      </c>
    </row>
    <row r="40">
      <c r="A40" s="3" t="inlineStr">
        <is>
          <t>조치원읍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10000</v>
      </c>
      <c r="H40" s="4" t="n">
        <v>0</v>
      </c>
      <c r="I40" s="4" t="n">
        <v>96</v>
      </c>
      <c r="J40" s="4" t="n">
        <v>29</v>
      </c>
      <c r="K40" s="5" t="n">
        <v>344.8</v>
      </c>
      <c r="L40" s="4" t="n">
        <v>55</v>
      </c>
      <c r="M40" s="4" t="n">
        <v>17</v>
      </c>
      <c r="N40" s="5" t="n">
        <v>588.2</v>
      </c>
      <c r="O40" s="3" t="inlineStr">
        <is>
          <t>도로에 접했습니다</t>
        </is>
      </c>
      <c r="P40" s="6">
        <f>HYPERLINK("https://fin.land.naver.com/articles/2652899406", "매물Link")</f>
        <v/>
      </c>
      <c r="Q40" t="inlineStr">
        <is>
          <t>정보 없음</t>
        </is>
      </c>
      <c r="R40" t="inlineStr">
        <is>
          <t>정보 없음</t>
        </is>
      </c>
      <c r="S40" s="3" t="inlineStr">
        <is>
          <t>명성</t>
        </is>
      </c>
      <c r="T40" s="4" t="n">
        <v>1</v>
      </c>
      <c r="U40" s="5" t="n">
        <v>0</v>
      </c>
      <c r="V40" s="3" t="inlineStr"/>
      <c r="W40" s="3" t="inlineStr"/>
      <c r="X40" s="3" t="inlineStr">
        <is>
          <t>정보 없음</t>
        </is>
      </c>
      <c r="Y40" s="3" t="inlineStr"/>
      <c r="Z40" s="3" t="inlineStr"/>
      <c r="AA40" s="3" t="inlineStr">
        <is>
          <t>정보 없음</t>
        </is>
      </c>
    </row>
    <row r="41">
      <c r="A41" s="3" t="inlineStr">
        <is>
          <t>조치원읍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0</t>
        </is>
      </c>
      <c r="E41" s="3" t="inlineStr">
        <is>
          <t>도시형생활주택</t>
        </is>
      </c>
      <c r="F41" s="3" t="inlineStr">
        <is>
          <t>월세</t>
        </is>
      </c>
      <c r="G41" s="4" t="n">
        <v>200</v>
      </c>
      <c r="H41" s="4" t="n">
        <v>27</v>
      </c>
      <c r="I41" s="4" t="n">
        <v>0</v>
      </c>
      <c r="J41" s="4" t="n">
        <v>0</v>
      </c>
      <c r="K41" s="5" t="n">
        <v>0</v>
      </c>
      <c r="L41" s="4" t="n">
        <v>20</v>
      </c>
      <c r="M41" s="4" t="n">
        <v>6</v>
      </c>
      <c r="N41" s="5" t="n">
        <v>4.5</v>
      </c>
      <c r="O41" s="3" t="inlineStr">
        <is>
          <t>L 역3분 O풀옵션 O발코니 O천변뷰.뻥뷰</t>
        </is>
      </c>
      <c r="P41" s="6">
        <f>HYPERLINK("https://fin.land.naver.com/articles/2651053836", "매물Link")</f>
        <v/>
      </c>
      <c r="Q41" t="inlineStr">
        <is>
          <t>정보 없음</t>
        </is>
      </c>
      <c r="R41" t="inlineStr">
        <is>
          <t>정보 없음</t>
        </is>
      </c>
      <c r="S41" s="3" t="inlineStr">
        <is>
          <t>바다</t>
        </is>
      </c>
      <c r="T41" s="4" t="n">
        <v>1</v>
      </c>
      <c r="U41" s="5" t="n">
        <v>0</v>
      </c>
      <c r="V41" s="3" t="inlineStr"/>
      <c r="W41" s="3" t="inlineStr"/>
      <c r="X41" s="3" t="inlineStr">
        <is>
          <t>정보 없음</t>
        </is>
      </c>
      <c r="Y41" s="3" t="inlineStr"/>
      <c r="Z41" s="3" t="inlineStr"/>
      <c r="AA41" s="3" t="inlineStr">
        <is>
          <t>정보 없음</t>
        </is>
      </c>
    </row>
    <row r="42">
      <c r="A42" s="3" t="inlineStr">
        <is>
          <t>조치원읍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95000</v>
      </c>
      <c r="H42" s="4" t="n">
        <v>0</v>
      </c>
      <c r="I42" s="4" t="n">
        <v>233</v>
      </c>
      <c r="J42" s="4" t="n">
        <v>70</v>
      </c>
      <c r="K42" s="5" t="n">
        <v>1357.1</v>
      </c>
      <c r="L42" s="4" t="n">
        <v>328</v>
      </c>
      <c r="M42" s="4" t="n">
        <v>99</v>
      </c>
      <c r="N42" s="5" t="n">
        <v>959.6</v>
      </c>
      <c r="O42" s="3" t="inlineStr">
        <is>
          <t>nan</t>
        </is>
      </c>
      <c r="P42" s="6">
        <f>HYPERLINK("https://fin.land.naver.com/articles/2649790246", "매물Link")</f>
        <v/>
      </c>
      <c r="Q42" t="inlineStr">
        <is>
          <t>정보 없음</t>
        </is>
      </c>
      <c r="R42" t="inlineStr">
        <is>
          <t>정보 없음</t>
        </is>
      </c>
      <c r="S42" s="3" t="inlineStr">
        <is>
          <t>세종새빛</t>
        </is>
      </c>
      <c r="T42" s="4" t="n">
        <v>1</v>
      </c>
      <c r="U42" s="5" t="n">
        <v>0</v>
      </c>
      <c r="V42" s="3" t="inlineStr"/>
      <c r="W42" s="3" t="inlineStr"/>
      <c r="X42" s="3" t="inlineStr">
        <is>
          <t>정보 없음</t>
        </is>
      </c>
      <c r="Y42" s="3" t="inlineStr"/>
      <c r="Z42" s="3" t="inlineStr"/>
      <c r="AA42" s="3" t="inlineStr">
        <is>
          <t>정보 없음</t>
        </is>
      </c>
    </row>
    <row r="43">
      <c r="A43" s="3" t="inlineStr">
        <is>
          <t>조치원읍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4</t>
        </is>
      </c>
      <c r="E43" s="3" t="inlineStr">
        <is>
          <t>빌라</t>
        </is>
      </c>
      <c r="F43" s="3" t="inlineStr">
        <is>
          <t>매매</t>
        </is>
      </c>
      <c r="G43" s="4" t="n">
        <v>16500</v>
      </c>
      <c r="H43" s="4" t="n">
        <v>0</v>
      </c>
      <c r="I43" s="4" t="n">
        <v>93</v>
      </c>
      <c r="J43" s="4" t="n">
        <v>28</v>
      </c>
      <c r="K43" s="5" t="n">
        <v>589.3</v>
      </c>
      <c r="L43" s="4" t="n">
        <v>80</v>
      </c>
      <c r="M43" s="4" t="n">
        <v>24</v>
      </c>
      <c r="N43" s="5" t="n">
        <v>687.5</v>
      </c>
      <c r="O43" s="3" t="inlineStr">
        <is>
          <t>홍익대인근 올리모델링 천안세종청주교통팔달 전원형주거지</t>
        </is>
      </c>
      <c r="P43" s="6">
        <f>HYPERLINK("https://fin.land.naver.com/articles/2651799404", "매물Link")</f>
        <v/>
      </c>
      <c r="Q43" t="inlineStr">
        <is>
          <t>정보 없음</t>
        </is>
      </c>
      <c r="R43" t="inlineStr">
        <is>
          <t>정보 없음</t>
        </is>
      </c>
      <c r="S43" s="3" t="inlineStr">
        <is>
          <t>세종OK</t>
        </is>
      </c>
      <c r="T43" s="4" t="n">
        <v>1</v>
      </c>
      <c r="U43" s="5" t="n">
        <v>0</v>
      </c>
      <c r="V43" s="3" t="inlineStr"/>
      <c r="W43" s="3" t="inlineStr"/>
      <c r="X43" s="3" t="inlineStr">
        <is>
          <t>정보 없음</t>
        </is>
      </c>
      <c r="Y43" s="3" t="inlineStr"/>
      <c r="Z43" s="3" t="inlineStr"/>
      <c r="AA43" s="3" t="inlineStr">
        <is>
          <t>정보 없음</t>
        </is>
      </c>
    </row>
    <row r="44">
      <c r="A44" s="3" t="inlineStr">
        <is>
          <t>조치원읍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3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311</v>
      </c>
      <c r="J44" s="4" t="n">
        <v>94</v>
      </c>
      <c r="K44" s="5" t="n">
        <v>957.4</v>
      </c>
      <c r="L44" s="4" t="n">
        <v>328</v>
      </c>
      <c r="M44" s="4" t="n">
        <v>99</v>
      </c>
      <c r="N44" s="5" t="n">
        <v>909.1</v>
      </c>
      <c r="O44" s="3" t="inlineStr">
        <is>
          <t>고려대와 홍익대사이의 인기 좋은 원룸</t>
        </is>
      </c>
      <c r="P44" s="6">
        <f>HYPERLINK("https://fin.land.naver.com/articles/2650305236", "매물Link")</f>
        <v/>
      </c>
      <c r="Q44" t="inlineStr">
        <is>
          <t>정보 없음</t>
        </is>
      </c>
      <c r="R44" t="inlineStr">
        <is>
          <t>정보 없음</t>
        </is>
      </c>
      <c r="S44" s="3" t="inlineStr">
        <is>
          <t>세종공감</t>
        </is>
      </c>
      <c r="T44" s="4" t="n">
        <v>1</v>
      </c>
      <c r="U44" s="5" t="n">
        <v>0</v>
      </c>
      <c r="V44" s="3" t="inlineStr"/>
      <c r="W44" s="3" t="inlineStr"/>
      <c r="X44" s="3" t="inlineStr">
        <is>
          <t>정보 없음</t>
        </is>
      </c>
      <c r="Y44" s="3" t="inlineStr"/>
      <c r="Z44" s="3" t="inlineStr"/>
      <c r="AA44" s="3" t="inlineStr">
        <is>
          <t>정보 없음</t>
        </is>
      </c>
    </row>
    <row r="45">
      <c r="A45" s="3" t="inlineStr">
        <is>
          <t>조치원읍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150</v>
      </c>
      <c r="H45" s="4" t="n">
        <v>31</v>
      </c>
      <c r="I45" s="4" t="n">
        <v>0</v>
      </c>
      <c r="J45" s="4" t="n">
        <v>0</v>
      </c>
      <c r="K45" s="5" t="n">
        <v>0</v>
      </c>
      <c r="L45" s="4" t="n">
        <v>16</v>
      </c>
      <c r="M45" s="4" t="n">
        <v>5</v>
      </c>
      <c r="N45" s="5" t="n">
        <v>6.2</v>
      </c>
      <c r="O45" s="3" t="inlineStr">
        <is>
          <t>L월세,연세,반연세가능 O깔끔 풀옵션 O고려대,홍익대 도보가능</t>
        </is>
      </c>
      <c r="P45" s="6">
        <f>HYPERLINK("https://fin.land.naver.com/articles/2651114547", "매물Link")</f>
        <v/>
      </c>
      <c r="Q45" t="inlineStr">
        <is>
          <t>정보 없음</t>
        </is>
      </c>
      <c r="R45" t="inlineStr">
        <is>
          <t>정보 없음</t>
        </is>
      </c>
      <c r="S45" s="3" t="inlineStr">
        <is>
          <t>바다</t>
        </is>
      </c>
      <c r="T45" s="4" t="n">
        <v>1</v>
      </c>
      <c r="U45" s="5" t="n">
        <v>0</v>
      </c>
      <c r="V45" s="3" t="inlineStr"/>
      <c r="W45" s="3" t="inlineStr"/>
      <c r="X45" s="3" t="inlineStr">
        <is>
          <t>정보 없음</t>
        </is>
      </c>
      <c r="Y45" s="3" t="inlineStr"/>
      <c r="Z45" s="3" t="inlineStr"/>
      <c r="AA45" s="3" t="inlineStr">
        <is>
          <t>정보 없음</t>
        </is>
      </c>
    </row>
    <row r="46">
      <c r="A46" s="3" t="inlineStr">
        <is>
          <t>조치원읍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2</t>
        </is>
      </c>
      <c r="E46" s="3" t="inlineStr">
        <is>
          <t>다가구</t>
        </is>
      </c>
      <c r="F46" s="3" t="inlineStr">
        <is>
          <t>월세</t>
        </is>
      </c>
      <c r="G46" s="4" t="n">
        <v>30</v>
      </c>
      <c r="H46" s="4" t="n">
        <v>500</v>
      </c>
      <c r="I46" s="4" t="n">
        <v>0</v>
      </c>
      <c r="J46" s="4" t="n">
        <v>0</v>
      </c>
      <c r="K46" s="5" t="n">
        <v>0</v>
      </c>
      <c r="L46" s="4" t="n">
        <v>16</v>
      </c>
      <c r="M46" s="4" t="n">
        <v>5</v>
      </c>
      <c r="N46" s="5" t="n">
        <v>100</v>
      </c>
      <c r="O46" s="3" t="inlineStr">
        <is>
          <t>L 신축.엘베 O즉시입주가능 O정문3분</t>
        </is>
      </c>
      <c r="P46" s="6">
        <f>HYPERLINK("https://fin.land.naver.com/articles/2651114535", "매물Link")</f>
        <v/>
      </c>
      <c r="Q46" t="inlineStr">
        <is>
          <t>정보 없음</t>
        </is>
      </c>
      <c r="R46" t="inlineStr">
        <is>
          <t>정보 없음</t>
        </is>
      </c>
      <c r="S46" s="3" t="inlineStr">
        <is>
          <t>바다</t>
        </is>
      </c>
      <c r="T46" s="4" t="n">
        <v>1</v>
      </c>
      <c r="U46" s="5" t="n">
        <v>0</v>
      </c>
      <c r="V46" s="3" t="inlineStr"/>
      <c r="W46" s="3" t="inlineStr"/>
      <c r="X46" s="3" t="inlineStr">
        <is>
          <t>정보 없음</t>
        </is>
      </c>
      <c r="Y46" s="3" t="inlineStr"/>
      <c r="Z46" s="3" t="inlineStr"/>
      <c r="AA46" s="3" t="inlineStr">
        <is>
          <t>정보 없음</t>
        </is>
      </c>
    </row>
    <row r="47">
      <c r="A47" s="3" t="inlineStr">
        <is>
          <t>조치원읍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2</t>
        </is>
      </c>
      <c r="E47" s="3" t="inlineStr">
        <is>
          <t>다가구</t>
        </is>
      </c>
      <c r="F47" s="3" t="inlineStr">
        <is>
          <t>월세</t>
        </is>
      </c>
      <c r="G47" s="4" t="n">
        <v>30</v>
      </c>
      <c r="H47" s="4" t="n">
        <v>450</v>
      </c>
      <c r="I47" s="4" t="n">
        <v>0</v>
      </c>
      <c r="J47" s="4" t="n">
        <v>0</v>
      </c>
      <c r="K47" s="5" t="n">
        <v>0</v>
      </c>
      <c r="L47" s="4" t="n">
        <v>19</v>
      </c>
      <c r="M47" s="4" t="n">
        <v>6</v>
      </c>
      <c r="N47" s="5" t="n">
        <v>75</v>
      </c>
      <c r="O47" s="3" t="inlineStr">
        <is>
          <t>L 리모델링 O하나남은룸 O고려대정문4분</t>
        </is>
      </c>
      <c r="P47" s="6">
        <f>HYPERLINK("https://fin.land.naver.com/articles/2651114527", "매물Link")</f>
        <v/>
      </c>
      <c r="Q47" t="inlineStr">
        <is>
          <t>정보 없음</t>
        </is>
      </c>
      <c r="R47" t="inlineStr">
        <is>
          <t>정보 없음</t>
        </is>
      </c>
      <c r="S47" s="3" t="inlineStr">
        <is>
          <t>바다</t>
        </is>
      </c>
      <c r="T47" s="4" t="n">
        <v>1</v>
      </c>
      <c r="U47" s="5" t="n">
        <v>0</v>
      </c>
      <c r="V47" s="3" t="inlineStr"/>
      <c r="W47" s="3" t="inlineStr"/>
      <c r="X47" s="3" t="inlineStr">
        <is>
          <t>정보 없음</t>
        </is>
      </c>
      <c r="Y47" s="3" t="inlineStr"/>
      <c r="Z47" s="3" t="inlineStr"/>
      <c r="AA47" s="3" t="inlineStr">
        <is>
          <t>정보 없음</t>
        </is>
      </c>
    </row>
    <row r="48">
      <c r="A48" s="3" t="inlineStr">
        <is>
          <t>조치원읍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2</t>
        </is>
      </c>
      <c r="E48" s="3" t="inlineStr">
        <is>
          <t>다가구</t>
        </is>
      </c>
      <c r="F48" s="3" t="inlineStr">
        <is>
          <t>월세</t>
        </is>
      </c>
      <c r="G48" s="4" t="n">
        <v>50</v>
      </c>
      <c r="H48" s="4" t="n">
        <v>280</v>
      </c>
      <c r="I48" s="4" t="n">
        <v>0</v>
      </c>
      <c r="J48" s="4" t="n">
        <v>0</v>
      </c>
      <c r="K48" s="5" t="n">
        <v>0</v>
      </c>
      <c r="L48" s="4" t="n">
        <v>16</v>
      </c>
      <c r="M48" s="4" t="n">
        <v>5</v>
      </c>
      <c r="N48" s="5" t="n">
        <v>56</v>
      </c>
      <c r="O48" s="3" t="inlineStr">
        <is>
          <t>L연세,월세가능 O즉시입주가능 O풀옵션</t>
        </is>
      </c>
      <c r="P48" s="6">
        <f>HYPERLINK("https://fin.land.naver.com/articles/2651114512", "매물Link")</f>
        <v/>
      </c>
      <c r="Q48" t="inlineStr">
        <is>
          <t>정보 없음</t>
        </is>
      </c>
      <c r="R48" t="inlineStr">
        <is>
          <t>정보 없음</t>
        </is>
      </c>
      <c r="S48" s="3" t="inlineStr">
        <is>
          <t>바다</t>
        </is>
      </c>
      <c r="T48" s="4" t="n">
        <v>1</v>
      </c>
      <c r="U48" s="5" t="n">
        <v>0</v>
      </c>
      <c r="V48" s="3" t="inlineStr"/>
      <c r="W48" s="3" t="inlineStr"/>
      <c r="X48" s="3" t="inlineStr">
        <is>
          <t>정보 없음</t>
        </is>
      </c>
      <c r="Y48" s="3" t="inlineStr"/>
      <c r="Z48" s="3" t="inlineStr"/>
      <c r="AA48" s="3" t="inlineStr">
        <is>
          <t>정보 없음</t>
        </is>
      </c>
    </row>
    <row r="49">
      <c r="A49" s="3" t="inlineStr">
        <is>
          <t>조치원읍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2</t>
        </is>
      </c>
      <c r="E49" s="3" t="inlineStr">
        <is>
          <t>일반원룸</t>
        </is>
      </c>
      <c r="F49" s="3" t="inlineStr">
        <is>
          <t>월세</t>
        </is>
      </c>
      <c r="G49" s="4" t="n">
        <v>150</v>
      </c>
      <c r="H49" s="4" t="n">
        <v>28</v>
      </c>
      <c r="I49" s="4" t="n">
        <v>0</v>
      </c>
      <c r="J49" s="4" t="n">
        <v>0</v>
      </c>
      <c r="K49" s="5" t="n">
        <v>0</v>
      </c>
      <c r="L49" s="4" t="n">
        <v>26</v>
      </c>
      <c r="M49" s="4" t="n">
        <v>8</v>
      </c>
      <c r="N49" s="5" t="n">
        <v>3.5</v>
      </c>
      <c r="O49" s="3" t="inlineStr">
        <is>
          <t>L 넓은1룸 O단기가능O홍대학생.직장인 가능 O완전 풀옵션</t>
        </is>
      </c>
      <c r="P49" s="6">
        <f>HYPERLINK("https://fin.land.naver.com/articles/2651052080", "매물Link")</f>
        <v/>
      </c>
      <c r="Q49" t="inlineStr">
        <is>
          <t>정보 없음</t>
        </is>
      </c>
      <c r="R49" t="inlineStr">
        <is>
          <t>정보 없음</t>
        </is>
      </c>
      <c r="S49" s="3" t="inlineStr">
        <is>
          <t>바다</t>
        </is>
      </c>
      <c r="T49" s="4" t="n">
        <v>1</v>
      </c>
      <c r="U49" s="5" t="n">
        <v>0</v>
      </c>
      <c r="V49" s="3" t="inlineStr"/>
      <c r="W49" s="3" t="inlineStr"/>
      <c r="X49" s="3" t="inlineStr">
        <is>
          <t>정보 없음</t>
        </is>
      </c>
      <c r="Y49" s="3" t="inlineStr"/>
      <c r="Z49" s="3" t="inlineStr"/>
      <c r="AA49" s="3" t="inlineStr">
        <is>
          <t>정보 없음</t>
        </is>
      </c>
    </row>
    <row r="50">
      <c r="A50" s="3" t="inlineStr">
        <is>
          <t>조치원읍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2</t>
        </is>
      </c>
      <c r="E50" s="3" t="inlineStr">
        <is>
          <t>일반원룸</t>
        </is>
      </c>
      <c r="F50" s="3" t="inlineStr">
        <is>
          <t>월세</t>
        </is>
      </c>
      <c r="G50" s="4" t="n">
        <v>300</v>
      </c>
      <c r="H50" s="4" t="n">
        <v>30</v>
      </c>
      <c r="I50" s="4" t="n">
        <v>0</v>
      </c>
      <c r="J50" s="4" t="n">
        <v>0</v>
      </c>
      <c r="K50" s="5" t="n">
        <v>0</v>
      </c>
      <c r="L50" s="4" t="n">
        <v>23</v>
      </c>
      <c r="M50" s="4" t="n">
        <v>7</v>
      </c>
      <c r="N50" s="5" t="n">
        <v>4.3</v>
      </c>
      <c r="O50" s="3" t="inlineStr">
        <is>
          <t>nan</t>
        </is>
      </c>
      <c r="P50" s="6">
        <f>HYPERLINK("https://fin.land.naver.com/articles/2650757978", "매물Link")</f>
        <v/>
      </c>
      <c r="Q50" t="inlineStr">
        <is>
          <t>정보 없음</t>
        </is>
      </c>
      <c r="R50" t="inlineStr">
        <is>
          <t>정보 없음</t>
        </is>
      </c>
      <c r="S50" s="3" t="inlineStr">
        <is>
          <t>바다</t>
        </is>
      </c>
      <c r="T50" s="4" t="n">
        <v>1</v>
      </c>
      <c r="U50" s="5" t="n">
        <v>0</v>
      </c>
      <c r="V50" s="3" t="inlineStr"/>
      <c r="W50" s="3" t="inlineStr"/>
      <c r="X50" s="3" t="inlineStr">
        <is>
          <t>정보 없음</t>
        </is>
      </c>
      <c r="Y50" s="3" t="inlineStr"/>
      <c r="Z50" s="3" t="inlineStr"/>
      <c r="AA50" s="3" t="inlineStr">
        <is>
          <t>정보 없음</t>
        </is>
      </c>
    </row>
    <row r="51">
      <c r="A51" s="3" t="inlineStr">
        <is>
          <t>조치원읍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매매</t>
        </is>
      </c>
      <c r="G51" s="4" t="n">
        <v>60000</v>
      </c>
      <c r="H51" s="4" t="n">
        <v>0</v>
      </c>
      <c r="I51" s="4" t="n">
        <v>274</v>
      </c>
      <c r="J51" s="4" t="n">
        <v>83</v>
      </c>
      <c r="K51" s="5" t="n">
        <v>722.9</v>
      </c>
      <c r="L51" s="4" t="n">
        <v>469</v>
      </c>
      <c r="M51" s="4" t="n">
        <v>142</v>
      </c>
      <c r="N51" s="5" t="n">
        <v>422.5</v>
      </c>
      <c r="O51" s="3" t="inlineStr">
        <is>
          <t>18호수. 후문앞. 공실없는곳</t>
        </is>
      </c>
      <c r="P51" s="6">
        <f>HYPERLINK("https://fin.land.naver.com/articles/2650552297", "매물Link")</f>
        <v/>
      </c>
      <c r="Q51" t="inlineStr">
        <is>
          <t>정보 없음</t>
        </is>
      </c>
      <c r="R51" t="inlineStr">
        <is>
          <t>정보 없음</t>
        </is>
      </c>
      <c r="S51" s="3" t="inlineStr">
        <is>
          <t>바다</t>
        </is>
      </c>
      <c r="T51" s="4" t="n">
        <v>1</v>
      </c>
      <c r="U51" s="5" t="n">
        <v>0</v>
      </c>
      <c r="V51" s="3" t="inlineStr"/>
      <c r="W51" s="3" t="inlineStr"/>
      <c r="X51" s="3" t="inlineStr">
        <is>
          <t>정보 없음</t>
        </is>
      </c>
      <c r="Y51" s="3" t="inlineStr"/>
      <c r="Z51" s="3" t="inlineStr"/>
      <c r="AA51" s="3" t="inlineStr">
        <is>
          <t>정보 없음</t>
        </is>
      </c>
    </row>
    <row r="52">
      <c r="A52" s="3" t="inlineStr">
        <is>
          <t>조치원읍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매매</t>
        </is>
      </c>
      <c r="G52" s="4" t="n">
        <v>88000</v>
      </c>
      <c r="H52" s="4" t="n">
        <v>0</v>
      </c>
      <c r="I52" s="4" t="n">
        <v>463</v>
      </c>
      <c r="J52" s="4" t="n">
        <v>140</v>
      </c>
      <c r="K52" s="5" t="n">
        <v>628.6</v>
      </c>
      <c r="L52" s="4" t="n">
        <v>567</v>
      </c>
      <c r="M52" s="4" t="n">
        <v>172</v>
      </c>
      <c r="N52" s="5" t="n">
        <v>511.6</v>
      </c>
      <c r="O52" s="3" t="inlineStr">
        <is>
          <t>O학교앞 공실없는 원룸 O주인세대 O수익률잘나와요</t>
        </is>
      </c>
      <c r="P52" s="6">
        <f>HYPERLINK("https://fin.land.naver.com/articles/2650552265", "매물Link")</f>
        <v/>
      </c>
      <c r="Q52" t="inlineStr">
        <is>
          <t>정보 없음</t>
        </is>
      </c>
      <c r="R52" t="inlineStr">
        <is>
          <t>정보 없음</t>
        </is>
      </c>
      <c r="S52" s="3" t="inlineStr">
        <is>
          <t>바다</t>
        </is>
      </c>
      <c r="T52" s="4" t="n">
        <v>1</v>
      </c>
      <c r="U52" s="5" t="n">
        <v>0</v>
      </c>
      <c r="V52" s="3" t="inlineStr"/>
      <c r="W52" s="3" t="inlineStr"/>
      <c r="X52" s="3" t="inlineStr">
        <is>
          <t>정보 없음</t>
        </is>
      </c>
      <c r="Y52" s="3" t="inlineStr"/>
      <c r="Z52" s="3" t="inlineStr"/>
      <c r="AA52" s="3" t="inlineStr">
        <is>
          <t>정보 없음</t>
        </is>
      </c>
    </row>
    <row r="53">
      <c r="A53" s="3" t="inlineStr">
        <is>
          <t>조치원읍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90000</v>
      </c>
      <c r="H53" s="4" t="n">
        <v>0</v>
      </c>
      <c r="I53" s="4" t="n">
        <v>336</v>
      </c>
      <c r="J53" s="4" t="n">
        <v>102</v>
      </c>
      <c r="K53" s="5" t="n">
        <v>882.4</v>
      </c>
      <c r="L53" s="4" t="n">
        <v>535</v>
      </c>
      <c r="M53" s="4" t="n">
        <v>162</v>
      </c>
      <c r="N53" s="5" t="n">
        <v>555.6</v>
      </c>
      <c r="O53" s="3" t="inlineStr">
        <is>
          <t>홍대생 인기원룸, 공실없음, 수익률 최고</t>
        </is>
      </c>
      <c r="P53" s="6">
        <f>HYPERLINK("https://fin.land.naver.com/articles/2650470242", "매물Link")</f>
        <v/>
      </c>
      <c r="Q53" t="inlineStr">
        <is>
          <t>정보 없음</t>
        </is>
      </c>
      <c r="R53" t="inlineStr">
        <is>
          <t>정보 없음</t>
        </is>
      </c>
      <c r="S53" s="3" t="inlineStr">
        <is>
          <t>세종공감</t>
        </is>
      </c>
      <c r="T53" s="4" t="n">
        <v>1</v>
      </c>
      <c r="U53" s="5" t="n">
        <v>0</v>
      </c>
      <c r="V53" s="3" t="inlineStr"/>
      <c r="W53" s="3" t="inlineStr"/>
      <c r="X53" s="3" t="inlineStr">
        <is>
          <t>정보 없음</t>
        </is>
      </c>
      <c r="Y53" s="3" t="inlineStr"/>
      <c r="Z53" s="3" t="inlineStr"/>
      <c r="AA53" s="3" t="inlineStr">
        <is>
          <t>정보 없음</t>
        </is>
      </c>
    </row>
    <row r="54">
      <c r="A54" s="3" t="inlineStr">
        <is>
          <t>조치원읍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49000</v>
      </c>
      <c r="H54" s="4" t="n">
        <v>0</v>
      </c>
      <c r="I54" s="4" t="n">
        <v>268</v>
      </c>
      <c r="J54" s="4" t="n">
        <v>81</v>
      </c>
      <c r="K54" s="5" t="n">
        <v>604.9</v>
      </c>
      <c r="L54" s="4" t="n">
        <v>397</v>
      </c>
      <c r="M54" s="4" t="n">
        <v>120</v>
      </c>
      <c r="N54" s="5" t="n">
        <v>408.3</v>
      </c>
      <c r="O54" s="3" t="inlineStr">
        <is>
          <t>홍대 후문 1분 거리로 선호하는 위치,수익률 좋고 투자 비용 낮음</t>
        </is>
      </c>
      <c r="P54" s="6">
        <f>HYPERLINK("https://fin.land.naver.com/articles/2651744509", "매물Link")</f>
        <v/>
      </c>
      <c r="Q54" t="inlineStr">
        <is>
          <t>정보 없음</t>
        </is>
      </c>
      <c r="R54" t="inlineStr">
        <is>
          <t>정보 없음</t>
        </is>
      </c>
      <c r="S54" s="3" t="inlineStr">
        <is>
          <t>유정희</t>
        </is>
      </c>
      <c r="T54" s="4" t="n">
        <v>1</v>
      </c>
      <c r="U54" s="5" t="n">
        <v>0</v>
      </c>
      <c r="V54" s="3" t="inlineStr"/>
      <c r="W54" s="3" t="inlineStr"/>
      <c r="X54" s="3" t="inlineStr">
        <is>
          <t>정보 없음</t>
        </is>
      </c>
      <c r="Y54" s="3" t="inlineStr"/>
      <c r="Z54" s="3" t="inlineStr"/>
      <c r="AA54" s="3" t="inlineStr">
        <is>
          <t>정보 없음</t>
        </is>
      </c>
    </row>
  </sheetData>
  <autoFilter ref="A1:AA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전</t>
        </is>
      </c>
      <c r="E2" s="3" t="inlineStr">
        <is>
          <t>매매</t>
        </is>
      </c>
      <c r="F2" s="4" t="n">
        <v>73000</v>
      </c>
      <c r="G2" s="4" t="n">
        <v>1334</v>
      </c>
      <c r="H2" s="4" t="n">
        <v>404</v>
      </c>
      <c r="I2" s="5" t="n">
        <v>180.7</v>
      </c>
      <c r="J2" s="5" t="n">
        <v>0</v>
      </c>
      <c r="K2" s="3" t="inlineStr">
        <is>
          <t>도로변 계획관리지역</t>
        </is>
      </c>
      <c r="L2" s="6">
        <f>HYPERLINK("https://fin.land.naver.com/articles/2651782735",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수풀림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160000</v>
      </c>
      <c r="G3" s="4" t="n">
        <v>4075</v>
      </c>
      <c r="H3" s="4" t="n">
        <v>1233</v>
      </c>
      <c r="I3" s="5" t="n">
        <v>129.8</v>
      </c>
      <c r="J3" s="5" t="n">
        <v>0</v>
      </c>
      <c r="K3" s="3" t="inlineStr">
        <is>
          <t>청주 강내면 오송 인근 토지 공장 ,  창고  전원주택 등 투자용 추천</t>
        </is>
      </c>
      <c r="L3" s="6">
        <f>HYPERLINK("https://fin.land.naver.com/articles/2650347202",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더원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대</t>
        </is>
      </c>
      <c r="E4" s="3" t="inlineStr">
        <is>
          <t>매매</t>
        </is>
      </c>
      <c r="F4" s="4" t="n">
        <v>27000</v>
      </c>
      <c r="G4" s="4" t="n">
        <v>678</v>
      </c>
      <c r="H4" s="4" t="n">
        <v>205</v>
      </c>
      <c r="I4" s="5" t="n">
        <v>131.7</v>
      </c>
      <c r="J4" s="5" t="n">
        <v>0</v>
      </c>
      <c r="K4" s="3" t="inlineStr">
        <is>
          <t>대지 계획관리 소액투자적합 대토 추천</t>
        </is>
      </c>
      <c r="L4" s="6">
        <f>HYPERLINK("https://fin.land.naver.com/articles/2649583774",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수풀림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임야</t>
        </is>
      </c>
      <c r="E5" s="3" t="inlineStr">
        <is>
          <t>매매</t>
        </is>
      </c>
      <c r="F5" s="4" t="n">
        <v>230000</v>
      </c>
      <c r="G5" s="4" t="n">
        <v>24711</v>
      </c>
      <c r="H5" s="4" t="n">
        <v>7475</v>
      </c>
      <c r="I5" s="5" t="n">
        <v>30.8</v>
      </c>
      <c r="J5" s="5" t="n">
        <v>0</v>
      </c>
      <c r="K5" s="3" t="inlineStr">
        <is>
          <t>강내면 토지매매</t>
        </is>
      </c>
      <c r="L5" s="6">
        <f>HYPERLINK("https://fin.land.naver.com/articles/2651348313",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민들레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임야</t>
        </is>
      </c>
      <c r="E6" s="3" t="inlineStr">
        <is>
          <t>매매</t>
        </is>
      </c>
      <c r="F6" s="4" t="n">
        <v>23000</v>
      </c>
      <c r="G6" s="4" t="n">
        <v>513</v>
      </c>
      <c r="H6" s="4" t="n">
        <v>155</v>
      </c>
      <c r="I6" s="5" t="n">
        <v>148.4</v>
      </c>
      <c r="J6" s="5" t="n">
        <v>0</v>
      </c>
      <c r="K6" s="3" t="inlineStr">
        <is>
          <t>저산리 단독 주택 지 매매</t>
        </is>
      </c>
      <c r="L6" s="6">
        <f>HYPERLINK("https://fin.land.naver.com/articles/2650992518",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사거리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임야</t>
        </is>
      </c>
      <c r="E7" s="3" t="inlineStr">
        <is>
          <t>매매</t>
        </is>
      </c>
      <c r="F7" s="4" t="n">
        <v>36600</v>
      </c>
      <c r="G7" s="4" t="n">
        <v>338</v>
      </c>
      <c r="H7" s="4" t="n">
        <v>102</v>
      </c>
      <c r="I7" s="5" t="n">
        <v>358.8</v>
      </c>
      <c r="J7" s="5" t="n">
        <v>0</v>
      </c>
      <c r="K7" s="3" t="inlineStr">
        <is>
          <t>진입도로 10미터   2차선접</t>
        </is>
      </c>
      <c r="L7" s="6">
        <f>HYPERLINK("https://fin.land.naver.com/articles/2650902734",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하니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답</t>
        </is>
      </c>
      <c r="E8" s="3" t="inlineStr">
        <is>
          <t>매매</t>
        </is>
      </c>
      <c r="F8" s="4" t="n">
        <v>72000</v>
      </c>
      <c r="G8" s="4" t="n">
        <v>3187</v>
      </c>
      <c r="H8" s="4" t="n">
        <v>964</v>
      </c>
      <c r="I8" s="5" t="n">
        <v>74.7</v>
      </c>
      <c r="J8" s="5" t="n">
        <v>0</v>
      </c>
      <c r="K8" s="3" t="inlineStr">
        <is>
          <t>하이테크밸리 산업단지 인근 청주도심 접근성 좋음</t>
        </is>
      </c>
      <c r="L8" s="6">
        <f>HYPERLINK("https://fin.land.naver.com/articles/2649038832",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더원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전</t>
        </is>
      </c>
      <c r="E9" s="3" t="inlineStr">
        <is>
          <t>매매</t>
        </is>
      </c>
      <c r="F9" s="4" t="n">
        <v>67800</v>
      </c>
      <c r="G9" s="4" t="n">
        <v>2466</v>
      </c>
      <c r="H9" s="4" t="n">
        <v>746</v>
      </c>
      <c r="I9" s="5" t="n">
        <v>90.90000000000001</v>
      </c>
      <c r="J9" s="5" t="n">
        <v>0</v>
      </c>
      <c r="K9" s="3" t="inlineStr">
        <is>
          <t>물류창고 등으로 사용하기에 좋은 토지</t>
        </is>
      </c>
      <c r="L9" s="6">
        <f>HYPERLINK("https://fin.land.naver.com/articles/2650654010",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바로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전</t>
        </is>
      </c>
      <c r="E10" s="3" t="inlineStr">
        <is>
          <t>매매</t>
        </is>
      </c>
      <c r="F10" s="4" t="n">
        <v>350000</v>
      </c>
      <c r="G10" s="4" t="n">
        <v>11570</v>
      </c>
      <c r="H10" s="4" t="n">
        <v>3500</v>
      </c>
      <c r="I10" s="5" t="n">
        <v>100</v>
      </c>
      <c r="J10" s="5" t="n">
        <v>0</v>
      </c>
      <c r="K10" s="3" t="inlineStr">
        <is>
          <t>2차선도로접 성토완료 태성삼거리 부근</t>
        </is>
      </c>
      <c r="L10" s="6">
        <f>HYPERLINK("https://fin.land.naver.com/articles/2650498461",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플러스태양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임야</t>
        </is>
      </c>
      <c r="E11" s="3" t="inlineStr">
        <is>
          <t>매매</t>
        </is>
      </c>
      <c r="F11" s="4" t="n">
        <v>29600</v>
      </c>
      <c r="G11" s="4" t="n">
        <v>632</v>
      </c>
      <c r="H11" s="4" t="n">
        <v>191</v>
      </c>
      <c r="I11" s="5" t="n">
        <v>155</v>
      </c>
      <c r="J11" s="5" t="n">
        <v>0</v>
      </c>
      <c r="K11" s="3" t="inlineStr">
        <is>
          <t>금액조율가능</t>
        </is>
      </c>
      <c r="L11" s="6">
        <f>HYPERLINK("https://fin.land.naver.com/articles/2648043178",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미소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답</t>
        </is>
      </c>
      <c r="E12" s="3" t="inlineStr">
        <is>
          <t>매매</t>
        </is>
      </c>
      <c r="F12" s="4" t="n">
        <v>36530</v>
      </c>
      <c r="G12" s="4" t="n">
        <v>1858</v>
      </c>
      <c r="H12" s="4" t="n">
        <v>562</v>
      </c>
      <c r="I12" s="5" t="n">
        <v>65</v>
      </c>
      <c r="J12" s="5" t="n">
        <v>0</v>
      </c>
      <c r="K12" s="3" t="inlineStr">
        <is>
          <t>흥덕구청 600미터거리 투자가치 상당함 맹지임</t>
        </is>
      </c>
      <c r="L12" s="6">
        <f>HYPERLINK("https://fin.land.naver.com/articles/2649923524",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바로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답</t>
        </is>
      </c>
      <c r="E13" s="3" t="inlineStr">
        <is>
          <t>매매</t>
        </is>
      </c>
      <c r="F13" s="4" t="n">
        <v>24900</v>
      </c>
      <c r="G13" s="4" t="n">
        <v>1392</v>
      </c>
      <c r="H13" s="4" t="n">
        <v>421</v>
      </c>
      <c r="I13" s="5" t="n">
        <v>59.1</v>
      </c>
      <c r="J13" s="5" t="n">
        <v>0</v>
      </c>
      <c r="K13" s="3" t="inlineStr">
        <is>
          <t>nan</t>
        </is>
      </c>
      <c r="L13" s="6">
        <f>HYPERLINK("https://fin.land.naver.com/articles/2649918515",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바로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답</t>
        </is>
      </c>
      <c r="E14" s="3" t="inlineStr">
        <is>
          <t>매매</t>
        </is>
      </c>
      <c r="F14" s="4" t="n">
        <v>33000</v>
      </c>
      <c r="G14" s="4" t="n">
        <v>1874</v>
      </c>
      <c r="H14" s="4" t="n">
        <v>567</v>
      </c>
      <c r="I14" s="5" t="n">
        <v>58.2</v>
      </c>
      <c r="J14" s="5" t="n">
        <v>0</v>
      </c>
      <c r="K14" s="3" t="inlineStr">
        <is>
          <t>nan</t>
        </is>
      </c>
      <c r="L14" s="6">
        <f>HYPERLINK("https://fin.land.naver.com/articles/2649792825",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바로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전</t>
        </is>
      </c>
      <c r="E15" s="3" t="inlineStr">
        <is>
          <t>매매</t>
        </is>
      </c>
      <c r="F15" s="4" t="n">
        <v>227000</v>
      </c>
      <c r="G15" s="4" t="n">
        <v>2686</v>
      </c>
      <c r="H15" s="4" t="n">
        <v>813</v>
      </c>
      <c r="I15" s="5" t="n">
        <v>279.2</v>
      </c>
      <c r="J15" s="5" t="n">
        <v>0</v>
      </c>
      <c r="K15" s="3" t="inlineStr">
        <is>
          <t>nan</t>
        </is>
      </c>
      <c r="L15" s="6">
        <f>HYPERLINK("https://fin.land.naver.com/articles/2649790269",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바로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답</t>
        </is>
      </c>
      <c r="E16" s="3" t="inlineStr">
        <is>
          <t>매매</t>
        </is>
      </c>
      <c r="F16" s="4" t="n">
        <v>150000</v>
      </c>
      <c r="G16" s="4" t="n">
        <v>3434</v>
      </c>
      <c r="H16" s="4" t="n">
        <v>1039</v>
      </c>
      <c r="I16" s="5" t="n">
        <v>144.4</v>
      </c>
      <c r="J16" s="5" t="n">
        <v>0</v>
      </c>
      <c r="K16" s="3" t="inlineStr">
        <is>
          <t>공장.창고부지</t>
        </is>
      </c>
      <c r="L16" s="6">
        <f>HYPERLINK("https://fin.land.naver.com/articles/2651866811",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케이투(k2)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대</t>
        </is>
      </c>
      <c r="E17" s="3" t="inlineStr">
        <is>
          <t>매매</t>
        </is>
      </c>
      <c r="F17" s="4" t="n">
        <v>89500</v>
      </c>
      <c r="G17" s="4" t="n">
        <v>2368</v>
      </c>
      <c r="H17" s="4" t="n">
        <v>716</v>
      </c>
      <c r="I17" s="5" t="n">
        <v>125</v>
      </c>
      <c r="J17" s="5" t="n">
        <v>0</v>
      </c>
      <c r="K17" s="3" t="inlineStr">
        <is>
          <t>은적산 자락에 위치한 2차선에 접한 토지</t>
        </is>
      </c>
      <c r="L17" s="6">
        <f>HYPERLINK("https://fin.land.naver.com/articles/2652107712",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교차로</t>
        </is>
      </c>
      <c r="P17" s="4" t="n">
        <v>2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전</t>
        </is>
      </c>
      <c r="E18" s="3" t="inlineStr">
        <is>
          <t>매매</t>
        </is>
      </c>
      <c r="F18" s="4" t="n">
        <v>57200</v>
      </c>
      <c r="G18" s="4" t="n">
        <v>1575</v>
      </c>
      <c r="H18" s="4" t="n">
        <v>476</v>
      </c>
      <c r="I18" s="5" t="n">
        <v>120.2</v>
      </c>
      <c r="J18" s="5" t="n">
        <v>0</v>
      </c>
      <c r="K18" s="3" t="inlineStr">
        <is>
          <t>한국교원대인근 단독 다가구주택용으로 최적 분할매매가능</t>
        </is>
      </c>
      <c r="L18" s="6">
        <f>HYPERLINK("https://fin.land.naver.com/articles/2652973514",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더원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전</t>
        </is>
      </c>
      <c r="E19" s="3" t="inlineStr">
        <is>
          <t>매매</t>
        </is>
      </c>
      <c r="F19" s="4" t="n">
        <v>139000</v>
      </c>
      <c r="G19" s="4" t="n">
        <v>5114</v>
      </c>
      <c r="H19" s="4" t="n">
        <v>1547</v>
      </c>
      <c r="I19" s="5" t="n">
        <v>89.90000000000001</v>
      </c>
      <c r="J19" s="5" t="n">
        <v>0</v>
      </c>
      <c r="K19" s="3" t="inlineStr">
        <is>
          <t>강내 하이테크밸리산업단지 인접 땅모양 좋음</t>
        </is>
      </c>
      <c r="L19" s="6">
        <f>HYPERLINK("https://fin.land.naver.com/articles/2652969087",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더원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전</t>
        </is>
      </c>
      <c r="E20" s="3" t="inlineStr">
        <is>
          <t>매매</t>
        </is>
      </c>
      <c r="F20" s="4" t="n">
        <v>99000</v>
      </c>
      <c r="G20" s="4" t="n">
        <v>4095</v>
      </c>
      <c r="H20" s="4" t="n">
        <v>1239</v>
      </c>
      <c r="I20" s="5" t="n">
        <v>79.90000000000001</v>
      </c>
      <c r="J20" s="5" t="n">
        <v>0</v>
      </c>
      <c r="K20" s="3" t="inlineStr">
        <is>
          <t>강내하이테크밸리 접근성 좋고 청주시내권10분거리</t>
        </is>
      </c>
      <c r="L20" s="6">
        <f>HYPERLINK("https://fin.land.naver.com/articles/2652968087",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더원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전</t>
        </is>
      </c>
      <c r="E21" s="3" t="inlineStr">
        <is>
          <t>매매</t>
        </is>
      </c>
      <c r="F21" s="4" t="n">
        <v>99000</v>
      </c>
      <c r="G21" s="4" t="n">
        <v>2162</v>
      </c>
      <c r="H21" s="4" t="n">
        <v>654</v>
      </c>
      <c r="I21" s="5" t="n">
        <v>151.4</v>
      </c>
      <c r="J21" s="5" t="n">
        <v>0</v>
      </c>
      <c r="K21" s="3" t="inlineStr">
        <is>
          <t>절충가능 성토완료 도로접</t>
        </is>
      </c>
      <c r="L21" s="6">
        <f>HYPERLINK("https://fin.land.naver.com/articles/2651782913",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수풀림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전</t>
        </is>
      </c>
      <c r="E22" s="3" t="inlineStr">
        <is>
          <t>매매</t>
        </is>
      </c>
      <c r="F22" s="4" t="n">
        <v>85000</v>
      </c>
      <c r="G22" s="4" t="n">
        <v>1409</v>
      </c>
      <c r="H22" s="4" t="n">
        <v>426</v>
      </c>
      <c r="I22" s="5" t="n">
        <v>199.5</v>
      </c>
      <c r="J22" s="5" t="n">
        <v>0</v>
      </c>
      <c r="K22" s="3" t="inlineStr">
        <is>
          <t>도시지역 자연녹지지역</t>
        </is>
      </c>
      <c r="L22" s="6">
        <f>HYPERLINK("https://fin.land.naver.com/articles/2651291110",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오송퍼스트영웅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공장용지</t>
        </is>
      </c>
      <c r="E23" s="3" t="inlineStr">
        <is>
          <t>월세</t>
        </is>
      </c>
      <c r="F23" s="4" t="n">
        <v>30000</v>
      </c>
      <c r="G23" s="4" t="n">
        <v>20968</v>
      </c>
      <c r="H23" s="4" t="n">
        <v>6343</v>
      </c>
      <c r="I23" s="5" t="n">
        <v>0.5</v>
      </c>
      <c r="J23" s="5" t="n">
        <v>0</v>
      </c>
      <c r="K23" s="3" t="inlineStr">
        <is>
          <t>대형 토지  야적장등으로 임대합니다</t>
        </is>
      </c>
      <c r="L23" s="6">
        <f>HYPERLINK("https://fin.land.naver.com/articles/2652016959",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더행복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공장용지</t>
        </is>
      </c>
      <c r="E24" s="3" t="inlineStr">
        <is>
          <t>매매</t>
        </is>
      </c>
      <c r="F24" s="4" t="n">
        <v>73000</v>
      </c>
      <c r="G24" s="4" t="n">
        <v>2182</v>
      </c>
      <c r="H24" s="4" t="n">
        <v>660</v>
      </c>
      <c r="I24" s="5" t="n">
        <v>110.6</v>
      </c>
      <c r="J24" s="5" t="n">
        <v>0</v>
      </c>
      <c r="K24" s="3" t="inlineStr">
        <is>
          <t>강내면 공장용지 도로지분포함  바로 건축가능</t>
        </is>
      </c>
      <c r="L24" s="6">
        <f>HYPERLINK("https://fin.land.naver.com/articles/2652625467",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더원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임야</t>
        </is>
      </c>
      <c r="E25" s="3" t="inlineStr">
        <is>
          <t>매매</t>
        </is>
      </c>
      <c r="F25" s="4" t="n">
        <v>250000</v>
      </c>
      <c r="G25" s="4" t="n">
        <v>8264</v>
      </c>
      <c r="H25" s="4" t="n">
        <v>2500</v>
      </c>
      <c r="I25" s="5" t="n">
        <v>100</v>
      </c>
      <c r="J25" s="5" t="n">
        <v>0</v>
      </c>
      <c r="K25" s="3" t="inlineStr">
        <is>
          <t>세종청주로 인접 석곡사거리 10분  토목공사 완료조건</t>
        </is>
      </c>
      <c r="L25" s="6">
        <f>HYPERLINK("https://fin.land.naver.com/articles/2652625458",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더원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임야</t>
        </is>
      </c>
      <c r="E26" s="3" t="inlineStr">
        <is>
          <t>매매</t>
        </is>
      </c>
      <c r="F26" s="4" t="n">
        <v>926000</v>
      </c>
      <c r="G26" s="4" t="n">
        <v>27838</v>
      </c>
      <c r="H26" s="4" t="n">
        <v>8421</v>
      </c>
      <c r="I26" s="5" t="n">
        <v>110</v>
      </c>
      <c r="J26" s="5" t="n">
        <v>0</v>
      </c>
      <c r="K26" s="3" t="inlineStr">
        <is>
          <t>강내 하이테크밸리산업단지 인접한 위치의 토목공사 완료된 대형부지</t>
        </is>
      </c>
      <c r="L26" s="6">
        <f>HYPERLINK("https://fin.land.naver.com/articles/2652625323",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더원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답</t>
        </is>
      </c>
      <c r="E27" s="3" t="inlineStr">
        <is>
          <t>매매</t>
        </is>
      </c>
      <c r="F27" s="4" t="n">
        <v>208500</v>
      </c>
      <c r="G27" s="4" t="n">
        <v>2297</v>
      </c>
      <c r="H27" s="4" t="n">
        <v>695</v>
      </c>
      <c r="I27" s="5" t="n">
        <v>300</v>
      </c>
      <c r="J27" s="5" t="n">
        <v>0</v>
      </c>
      <c r="K27" s="3" t="inlineStr">
        <is>
          <t>강내면 도로변 토지 매매</t>
        </is>
      </c>
      <c r="L27" s="6">
        <f>HYPERLINK("https://fin.land.naver.com/articles/2652289152",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사거리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대</t>
        </is>
      </c>
      <c r="E28" s="3" t="inlineStr">
        <is>
          <t>매매</t>
        </is>
      </c>
      <c r="F28" s="4" t="n">
        <v>94000</v>
      </c>
      <c r="G28" s="4" t="n">
        <v>412</v>
      </c>
      <c r="H28" s="4" t="n">
        <v>125</v>
      </c>
      <c r="I28" s="5" t="n">
        <v>752</v>
      </c>
      <c r="J28" s="5" t="n">
        <v>0</v>
      </c>
      <c r="K28" s="3" t="inlineStr">
        <is>
          <t>월곡리 대로변 광고효과 좋은 토지</t>
        </is>
      </c>
      <c r="L28" s="6">
        <f>HYPERLINK("https://fin.land.naver.com/articles/2652281558",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노블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전</t>
        </is>
      </c>
      <c r="E29" s="3" t="inlineStr">
        <is>
          <t>매매</t>
        </is>
      </c>
      <c r="F29" s="4" t="n">
        <v>92800</v>
      </c>
      <c r="G29" s="4" t="n">
        <v>2191</v>
      </c>
      <c r="H29" s="4" t="n">
        <v>663</v>
      </c>
      <c r="I29" s="5" t="n">
        <v>140</v>
      </c>
      <c r="J29" s="5" t="n">
        <v>0</v>
      </c>
      <c r="K29" s="3" t="inlineStr">
        <is>
          <t>충북 청주시 흥덕구 토지 매매</t>
        </is>
      </c>
      <c r="L29" s="6">
        <f>HYPERLINK("https://fin.land.naver.com/articles/2650577411",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연성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임야</t>
        </is>
      </c>
      <c r="E30" s="3" t="inlineStr">
        <is>
          <t>매매</t>
        </is>
      </c>
      <c r="F30" s="4" t="n">
        <v>350000</v>
      </c>
      <c r="G30" s="4" t="n">
        <v>11570</v>
      </c>
      <c r="H30" s="4" t="n">
        <v>3500</v>
      </c>
      <c r="I30" s="5" t="n">
        <v>100</v>
      </c>
      <c r="J30" s="5" t="n">
        <v>0</v>
      </c>
      <c r="K30" s="3" t="inlineStr">
        <is>
          <t>세종청주로 인접  석곡사거리 10분 공장허가득  토목공사완료조건</t>
        </is>
      </c>
      <c r="L30" s="6">
        <f>HYPERLINK("https://fin.land.naver.com/articles/2652625459",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더원</t>
        </is>
      </c>
      <c r="P30" s="4" t="n">
        <v>1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전</t>
        </is>
      </c>
      <c r="E31" s="3" t="inlineStr">
        <is>
          <t>매매</t>
        </is>
      </c>
      <c r="F31" s="4" t="n">
        <v>14500</v>
      </c>
      <c r="G31" s="4" t="n">
        <v>959</v>
      </c>
      <c r="H31" s="4" t="n">
        <v>290</v>
      </c>
      <c r="I31" s="5" t="n">
        <v>50</v>
      </c>
      <c r="J31" s="5" t="n">
        <v>0</v>
      </c>
      <c r="K31" s="3" t="inlineStr">
        <is>
          <t>nan</t>
        </is>
      </c>
      <c r="L31" s="6">
        <f>HYPERLINK("https://fin.land.naver.com/articles/2650654406",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바로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공장용지</t>
        </is>
      </c>
      <c r="E32" s="3" t="inlineStr">
        <is>
          <t>매매</t>
        </is>
      </c>
      <c r="F32" s="4" t="n">
        <v>225540</v>
      </c>
      <c r="G32" s="4" t="n">
        <v>4142</v>
      </c>
      <c r="H32" s="4" t="n">
        <v>1253</v>
      </c>
      <c r="I32" s="5" t="n">
        <v>180</v>
      </c>
      <c r="J32" s="5" t="n">
        <v>0</v>
      </c>
      <c r="K32" s="3" t="inlineStr">
        <is>
          <t>2차선에 접해있는 나대지 상태의 공장용지입니다</t>
        </is>
      </c>
      <c r="L32" s="6">
        <f>HYPERLINK("https://fin.land.naver.com/articles/2649905501",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복댕이무소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답</t>
        </is>
      </c>
      <c r="E33" s="3" t="inlineStr">
        <is>
          <t>매매</t>
        </is>
      </c>
      <c r="F33" s="4" t="n">
        <v>183500</v>
      </c>
      <c r="G33" s="4" t="n">
        <v>2430</v>
      </c>
      <c r="H33" s="4" t="n">
        <v>735</v>
      </c>
      <c r="I33" s="5" t="n">
        <v>249.7</v>
      </c>
      <c r="J33" s="5" t="n">
        <v>0</v>
      </c>
      <c r="K33" s="3" t="inlineStr">
        <is>
          <t>nan</t>
        </is>
      </c>
      <c r="L33" s="6">
        <f>HYPERLINK("https://fin.land.naver.com/articles/2649554409",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좋은터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전</t>
        </is>
      </c>
      <c r="E34" s="3" t="inlineStr">
        <is>
          <t>매매</t>
        </is>
      </c>
      <c r="F34" s="4" t="n">
        <v>86000</v>
      </c>
      <c r="G34" s="4" t="n">
        <v>2368</v>
      </c>
      <c r="H34" s="4" t="n">
        <v>716</v>
      </c>
      <c r="I34" s="5" t="n">
        <v>120.1</v>
      </c>
      <c r="J34" s="5" t="n">
        <v>0</v>
      </c>
      <c r="K34" s="3" t="inlineStr">
        <is>
          <t>은적산 자락애 위치한 직사각형 형태의 토지임</t>
        </is>
      </c>
      <c r="L34" s="6">
        <f>HYPERLINK("https://fin.land.naver.com/articles/2648670435",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교차로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답</t>
        </is>
      </c>
      <c r="E35" s="3" t="inlineStr">
        <is>
          <t>매매</t>
        </is>
      </c>
      <c r="F35" s="4" t="n">
        <v>10000</v>
      </c>
      <c r="G35" s="4" t="n">
        <v>394</v>
      </c>
      <c r="H35" s="4" t="n">
        <v>119</v>
      </c>
      <c r="I35" s="5" t="n">
        <v>84</v>
      </c>
      <c r="J35" s="5" t="n">
        <v>0</v>
      </c>
      <c r="K35" s="3" t="inlineStr">
        <is>
          <t>복토해서 전으로 사용중,세컨하우스로 활용하기 좋은 위치</t>
        </is>
      </c>
      <c r="L35" s="6">
        <f>HYPERLINK("https://fin.land.naver.com/articles/2648664177",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필 무소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답</t>
        </is>
      </c>
      <c r="E36" s="3" t="inlineStr">
        <is>
          <t>매매</t>
        </is>
      </c>
      <c r="F36" s="4" t="n">
        <v>110000</v>
      </c>
      <c r="G36" s="4" t="n">
        <v>3500</v>
      </c>
      <c r="H36" s="4" t="n">
        <v>1059</v>
      </c>
      <c r="I36" s="5" t="n">
        <v>103.9</v>
      </c>
      <c r="J36" s="5" t="n">
        <v>0</v>
      </c>
      <c r="K36" s="3" t="inlineStr">
        <is>
          <t>nan</t>
        </is>
      </c>
      <c r="L36" s="6">
        <f>HYPERLINK("https://fin.land.naver.com/articles/2648572452",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청주더존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대</t>
        </is>
      </c>
      <c r="E37" s="3" t="inlineStr">
        <is>
          <t>매매</t>
        </is>
      </c>
      <c r="F37" s="4" t="n">
        <v>24000</v>
      </c>
      <c r="G37" s="4" t="n">
        <v>787</v>
      </c>
      <c r="H37" s="4" t="n">
        <v>238</v>
      </c>
      <c r="I37" s="5" t="n">
        <v>100.8</v>
      </c>
      <c r="J37" s="5" t="n">
        <v>0</v>
      </c>
      <c r="K37" s="3" t="inlineStr">
        <is>
          <t>대지이면서 가격이 저렴함</t>
        </is>
      </c>
      <c r="L37" s="6">
        <f>HYPERLINK("https://fin.land.naver.com/articles/2648191559",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이은숙</t>
        </is>
      </c>
      <c r="P37" s="4" t="n">
        <v>2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답</t>
        </is>
      </c>
      <c r="E38" s="3" t="inlineStr">
        <is>
          <t>매매</t>
        </is>
      </c>
      <c r="F38" s="4" t="n">
        <v>20000</v>
      </c>
      <c r="G38" s="4" t="n">
        <v>473</v>
      </c>
      <c r="H38" s="4" t="n">
        <v>143</v>
      </c>
      <c r="I38" s="5" t="n">
        <v>139.9</v>
      </c>
      <c r="J38" s="5" t="n">
        <v>0</v>
      </c>
      <c r="K38" s="3" t="inlineStr">
        <is>
          <t>nan</t>
        </is>
      </c>
      <c r="L38" s="6">
        <f>HYPERLINK("https://fin.land.naver.com/articles/2648148713",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G세계로무소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전</t>
        </is>
      </c>
      <c r="E39" s="3" t="inlineStr">
        <is>
          <t>매매</t>
        </is>
      </c>
      <c r="F39" s="4" t="n">
        <v>45000</v>
      </c>
      <c r="G39" s="4" t="n">
        <v>987</v>
      </c>
      <c r="H39" s="4" t="n">
        <v>299</v>
      </c>
      <c r="I39" s="5" t="n">
        <v>150.5</v>
      </c>
      <c r="J39" s="5" t="n">
        <v>0</v>
      </c>
      <c r="K39" s="3" t="inlineStr">
        <is>
          <t>nan</t>
        </is>
      </c>
      <c r="L39" s="6">
        <f>HYPERLINK("https://fin.land.naver.com/articles/2648147142",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G세계로무소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110000</v>
      </c>
      <c r="G40" s="4" t="n">
        <v>2135</v>
      </c>
      <c r="H40" s="4" t="n">
        <v>646</v>
      </c>
      <c r="I40" s="5" t="n">
        <v>170.3</v>
      </c>
      <c r="J40" s="5" t="n">
        <v>0</v>
      </c>
      <c r="K40" s="3" t="inlineStr">
        <is>
          <t>nan</t>
        </is>
      </c>
      <c r="L40" s="6">
        <f>HYPERLINK("https://fin.land.naver.com/articles/2648143894",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G세계로무소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전</t>
        </is>
      </c>
      <c r="E41" s="3" t="inlineStr">
        <is>
          <t>매매</t>
        </is>
      </c>
      <c r="F41" s="4" t="n">
        <v>50000</v>
      </c>
      <c r="G41" s="4" t="n">
        <v>2678</v>
      </c>
      <c r="H41" s="4" t="n">
        <v>810</v>
      </c>
      <c r="I41" s="5" t="n">
        <v>61.7</v>
      </c>
      <c r="J41" s="5" t="n">
        <v>0</v>
      </c>
      <c r="K41" s="3" t="inlineStr">
        <is>
          <t>분할매매 가능</t>
        </is>
      </c>
      <c r="L41" s="6">
        <f>HYPERLINK("https://fin.land.naver.com/articles/2648143265",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G세계로무소</t>
        </is>
      </c>
      <c r="P41" s="4" t="n">
        <v>1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68000</v>
      </c>
      <c r="G42" s="4" t="n">
        <v>1125</v>
      </c>
      <c r="H42" s="4" t="n">
        <v>340</v>
      </c>
      <c r="I42" s="5" t="n">
        <v>200</v>
      </c>
      <c r="J42" s="5" t="n">
        <v>0</v>
      </c>
      <c r="K42" s="3" t="inlineStr">
        <is>
          <t>nan</t>
        </is>
      </c>
      <c r="L42" s="6">
        <f>HYPERLINK("https://fin.land.naver.com/articles/2648142756",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G세계로무소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임야</t>
        </is>
      </c>
      <c r="E43" s="3" t="inlineStr">
        <is>
          <t>매매</t>
        </is>
      </c>
      <c r="F43" s="4" t="n">
        <v>385000</v>
      </c>
      <c r="G43" s="4" t="n">
        <v>11570</v>
      </c>
      <c r="H43" s="4" t="n">
        <v>3500</v>
      </c>
      <c r="I43" s="5" t="n">
        <v>110</v>
      </c>
      <c r="J43" s="5" t="n">
        <v>0</v>
      </c>
      <c r="K43" s="3" t="inlineStr">
        <is>
          <t>강내 산업단지 인근 급매 토목공사 공장허가득 즉시 건축가능</t>
        </is>
      </c>
      <c r="L43" s="6">
        <f>HYPERLINK("https://fin.land.naver.com/articles/2649684509",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더원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12000</v>
      </c>
      <c r="G44" s="4" t="n">
        <v>1058</v>
      </c>
      <c r="H44" s="4" t="n">
        <v>320</v>
      </c>
      <c r="I44" s="5" t="n">
        <v>37.5</v>
      </c>
      <c r="J44" s="5" t="n">
        <v>0</v>
      </c>
      <c r="K44" s="3" t="inlineStr">
        <is>
          <t>농업 및 창고 또는 주택가능</t>
        </is>
      </c>
      <c r="L44" s="6">
        <f>HYPERLINK("https://fin.land.naver.com/articles/2648139329",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G세계로무소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대</t>
        </is>
      </c>
      <c r="E45" s="3" t="inlineStr">
        <is>
          <t>매매</t>
        </is>
      </c>
      <c r="F45" s="4" t="n">
        <v>14000</v>
      </c>
      <c r="G45" s="4" t="n">
        <v>493</v>
      </c>
      <c r="H45" s="4" t="n">
        <v>149</v>
      </c>
      <c r="I45" s="5" t="n">
        <v>94</v>
      </c>
      <c r="J45" s="5" t="n">
        <v>0</v>
      </c>
      <c r="K45" s="3" t="inlineStr">
        <is>
          <t>청주에서 가까워 접근성 좋은 주말농장, 전원주택 적합</t>
        </is>
      </c>
      <c r="L45" s="6">
        <f>HYPERLINK("https://fin.land.naver.com/articles/2648136263",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개신푸르지오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답</t>
        </is>
      </c>
      <c r="E46" s="3" t="inlineStr">
        <is>
          <t>매매</t>
        </is>
      </c>
      <c r="F46" s="4" t="n">
        <v>19700</v>
      </c>
      <c r="G46" s="4" t="n">
        <v>465</v>
      </c>
      <c r="H46" s="4" t="n">
        <v>141</v>
      </c>
      <c r="I46" s="5" t="n">
        <v>139.7</v>
      </c>
      <c r="J46" s="5" t="n">
        <v>0</v>
      </c>
      <c r="K46" s="3" t="inlineStr">
        <is>
          <t>계획관리지역, 성장관리지역, 세종시와 직선거리 3.5km, 투자가치기대</t>
        </is>
      </c>
      <c r="L46" s="6">
        <f>HYPERLINK("https://fin.land.naver.com/articles/2648047436",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대화탑</t>
        </is>
      </c>
      <c r="P46" s="4" t="n">
        <v>1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임야</t>
        </is>
      </c>
      <c r="E47" s="3" t="inlineStr">
        <is>
          <t>매매</t>
        </is>
      </c>
      <c r="F47" s="4" t="n">
        <v>1031900</v>
      </c>
      <c r="G47" s="4" t="n">
        <v>40136</v>
      </c>
      <c r="H47" s="4" t="n">
        <v>12141</v>
      </c>
      <c r="I47" s="5" t="n">
        <v>85</v>
      </c>
      <c r="J47" s="5" t="n">
        <v>0</v>
      </c>
      <c r="K47" s="3" t="inlineStr">
        <is>
          <t>접근성좋은 매물입니다</t>
        </is>
      </c>
      <c r="L47" s="6">
        <f>HYPERLINK("https://fin.land.naver.com/articles/2649907687",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복댕이무소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전</t>
        </is>
      </c>
      <c r="E48" s="3" t="inlineStr">
        <is>
          <t>매매</t>
        </is>
      </c>
      <c r="F48" s="4" t="n">
        <v>96000</v>
      </c>
      <c r="G48" s="4" t="n">
        <v>2450</v>
      </c>
      <c r="H48" s="4" t="n">
        <v>741</v>
      </c>
      <c r="I48" s="5" t="n">
        <v>129.6</v>
      </c>
      <c r="J48" s="5" t="n">
        <v>0</v>
      </c>
      <c r="K48" s="3" t="inlineStr">
        <is>
          <t>2차선 도로접</t>
        </is>
      </c>
      <c r="L48" s="6">
        <f>HYPERLINK("https://fin.land.naver.com/articles/2650278124",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복대더샵센트럴 사무소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전</t>
        </is>
      </c>
      <c r="E49" s="3" t="inlineStr">
        <is>
          <t>매매</t>
        </is>
      </c>
      <c r="F49" s="4" t="n">
        <v>50000</v>
      </c>
      <c r="G49" s="4" t="n">
        <v>1530</v>
      </c>
      <c r="H49" s="4" t="n">
        <v>463</v>
      </c>
      <c r="I49" s="5" t="n">
        <v>108</v>
      </c>
      <c r="J49" s="5" t="n">
        <v>0</v>
      </c>
      <c r="K49" s="3" t="inlineStr">
        <is>
          <t>흥덕구청 뒷편
흥덕구청뒷편</t>
        </is>
      </c>
      <c r="L49" s="6">
        <f>HYPERLINK("https://fin.land.naver.com/articles/2648141618",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G세계로무소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2304</v>
      </c>
      <c r="H50" s="4" t="n">
        <v>697</v>
      </c>
      <c r="I50" s="5" t="n">
        <v>43</v>
      </c>
      <c r="J50" s="5" t="n">
        <v>0</v>
      </c>
      <c r="K50" s="3" t="inlineStr">
        <is>
          <t>생산녹지지역</t>
        </is>
      </c>
      <c r="L50" s="6">
        <f>HYPERLINK("https://fin.land.naver.com/articles/2651942440",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신나라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임야</t>
        </is>
      </c>
      <c r="E51" s="3" t="inlineStr">
        <is>
          <t>매매</t>
        </is>
      </c>
      <c r="F51" s="4" t="n">
        <v>19000</v>
      </c>
      <c r="G51" s="4" t="n">
        <v>631</v>
      </c>
      <c r="H51" s="4" t="n">
        <v>191</v>
      </c>
      <c r="I51" s="5" t="n">
        <v>99.5</v>
      </c>
      <c r="J51" s="5" t="n">
        <v>0</v>
      </c>
      <c r="K51" s="3" t="inlineStr">
        <is>
          <t>소형 창고 공장부지, 2종근생 허가득한 토지,</t>
        </is>
      </c>
      <c r="L51" s="6">
        <f>HYPERLINK("https://fin.land.naver.com/articles/2651056237",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대학합동사무소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임야</t>
        </is>
      </c>
      <c r="E52" s="3" t="inlineStr">
        <is>
          <t>매매</t>
        </is>
      </c>
      <c r="F52" s="4" t="n">
        <v>996500</v>
      </c>
      <c r="G52" s="4" t="n">
        <v>13179</v>
      </c>
      <c r="H52" s="4" t="n">
        <v>3987</v>
      </c>
      <c r="I52" s="5" t="n">
        <v>249.9</v>
      </c>
      <c r="J52" s="5" t="n">
        <v>0</v>
      </c>
      <c r="K52" s="3" t="inlineStr">
        <is>
          <t>강내면 토지 매매</t>
        </is>
      </c>
      <c r="L52" s="6">
        <f>HYPERLINK("https://fin.land.naver.com/articles/2649560783",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사거리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전</t>
        </is>
      </c>
      <c r="E53" s="3" t="inlineStr">
        <is>
          <t>매매</t>
        </is>
      </c>
      <c r="F53" s="4" t="n">
        <v>10000</v>
      </c>
      <c r="G53" s="4" t="n">
        <v>440</v>
      </c>
      <c r="H53" s="4" t="n">
        <v>133</v>
      </c>
      <c r="I53" s="5" t="n">
        <v>75.2</v>
      </c>
      <c r="J53" s="5" t="n">
        <v>0</v>
      </c>
      <c r="K53" s="3" t="inlineStr">
        <is>
          <t>당곡리 소형 토지</t>
        </is>
      </c>
      <c r="L53" s="6">
        <f>HYPERLINK("https://fin.land.naver.com/articles/2649559797",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사거리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대</t>
        </is>
      </c>
      <c r="E54" s="3" t="inlineStr">
        <is>
          <t>매매</t>
        </is>
      </c>
      <c r="F54" s="4" t="n">
        <v>29550</v>
      </c>
      <c r="G54" s="4" t="n">
        <v>651</v>
      </c>
      <c r="H54" s="4" t="n">
        <v>197</v>
      </c>
      <c r="I54" s="5" t="n">
        <v>150</v>
      </c>
      <c r="J54" s="5" t="n">
        <v>0</v>
      </c>
      <c r="K54" s="3" t="inlineStr">
        <is>
          <t>태성리 구 주택있는 토지 매매</t>
        </is>
      </c>
      <c r="L54" s="6">
        <f>HYPERLINK("https://fin.land.naver.com/articles/2649221363",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사거리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대</t>
        </is>
      </c>
      <c r="E55" s="3" t="inlineStr">
        <is>
          <t>매매</t>
        </is>
      </c>
      <c r="F55" s="4" t="n">
        <v>150000</v>
      </c>
      <c r="G55" s="4" t="n">
        <v>1653</v>
      </c>
      <c r="H55" s="4" t="n">
        <v>500</v>
      </c>
      <c r="I55" s="5" t="n">
        <v>300</v>
      </c>
      <c r="J55" s="5" t="n">
        <v>0</v>
      </c>
      <c r="K55" s="3" t="inlineStr">
        <is>
          <t>nan</t>
        </is>
      </c>
      <c r="L55" s="6">
        <f>HYPERLINK("https://fin.land.naver.com/articles/2649158229",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동남명품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대</t>
        </is>
      </c>
      <c r="E56" s="3" t="inlineStr">
        <is>
          <t>매매</t>
        </is>
      </c>
      <c r="F56" s="4" t="n">
        <v>50000</v>
      </c>
      <c r="G56" s="4" t="n">
        <v>522</v>
      </c>
      <c r="H56" s="4" t="n">
        <v>158</v>
      </c>
      <c r="I56" s="5" t="n">
        <v>316.5</v>
      </c>
      <c r="J56" s="5" t="n">
        <v>0</v>
      </c>
      <c r="K56" s="3" t="inlineStr">
        <is>
          <t>8미터도로접, 개인주택용지로 추천  충청대사거리인근</t>
        </is>
      </c>
      <c r="L56" s="6">
        <f>HYPERLINK("https://fin.land.naver.com/articles/2648907831",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금빛힐스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전</t>
        </is>
      </c>
      <c r="E57" s="3" t="inlineStr">
        <is>
          <t>매매</t>
        </is>
      </c>
      <c r="F57" s="4" t="n">
        <v>114800</v>
      </c>
      <c r="G57" s="4" t="n">
        <v>2815</v>
      </c>
      <c r="H57" s="4" t="n">
        <v>852</v>
      </c>
      <c r="I57" s="5" t="n">
        <v>134.7</v>
      </c>
      <c r="J57" s="5" t="n">
        <v>0</v>
      </c>
      <c r="K57" s="3" t="inlineStr">
        <is>
          <t>연정리 도로 접 토지 매매</t>
        </is>
      </c>
      <c r="L57" s="6">
        <f>HYPERLINK("https://fin.land.naver.com/articles/2648218241",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사거리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대</t>
        </is>
      </c>
      <c r="E58" s="3" t="inlineStr">
        <is>
          <t>매매</t>
        </is>
      </c>
      <c r="F58" s="4" t="n">
        <v>132700</v>
      </c>
      <c r="G58" s="4" t="n">
        <v>1933</v>
      </c>
      <c r="H58" s="4" t="n">
        <v>585</v>
      </c>
      <c r="I58" s="5" t="n">
        <v>226.8</v>
      </c>
      <c r="J58" s="5" t="n">
        <v>0</v>
      </c>
      <c r="K58" s="3" t="inlineStr">
        <is>
          <t>흥덕구청도보5분거리,오송역인근지역,기존주택있음</t>
        </is>
      </c>
      <c r="L58" s="6">
        <f>HYPERLINK("https://fin.land.naver.com/articles/2652139818",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신한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임야</t>
        </is>
      </c>
      <c r="E59" s="3" t="inlineStr">
        <is>
          <t>매매</t>
        </is>
      </c>
      <c r="F59" s="4" t="n">
        <v>325611</v>
      </c>
      <c r="G59" s="4" t="n">
        <v>14352</v>
      </c>
      <c r="H59" s="4" t="n">
        <v>4341</v>
      </c>
      <c r="I59" s="5" t="n">
        <v>75</v>
      </c>
      <c r="J59" s="5" t="n">
        <v>0</v>
      </c>
      <c r="K59" s="3" t="inlineStr">
        <is>
          <t>nan</t>
        </is>
      </c>
      <c r="L59" s="6">
        <f>HYPERLINK("https://fin.land.naver.com/articles/2653221176",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교차로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전</t>
        </is>
      </c>
      <c r="E60" s="3" t="inlineStr">
        <is>
          <t>매매</t>
        </is>
      </c>
      <c r="F60" s="4" t="n">
        <v>21000</v>
      </c>
      <c r="G60" s="4" t="n">
        <v>495</v>
      </c>
      <c r="H60" s="4" t="n">
        <v>150</v>
      </c>
      <c r="I60" s="5" t="n">
        <v>140</v>
      </c>
      <c r="J60" s="5" t="n">
        <v>0</v>
      </c>
      <c r="K60" s="3" t="inlineStr">
        <is>
          <t>대지조성된 전원주택지</t>
        </is>
      </c>
      <c r="L60" s="6">
        <f>HYPERLINK("https://fin.land.naver.com/articles/2652185265",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사랑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고운동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대</t>
        </is>
      </c>
      <c r="E61" s="3" t="inlineStr">
        <is>
          <t>매매</t>
        </is>
      </c>
      <c r="F61" s="4" t="n">
        <v>80000</v>
      </c>
      <c r="G61" s="4" t="n">
        <v>386</v>
      </c>
      <c r="H61" s="4" t="n">
        <v>117</v>
      </c>
      <c r="I61" s="5" t="n">
        <v>683.8</v>
      </c>
      <c r="J61" s="5" t="n">
        <v>0</v>
      </c>
      <c r="K61" s="3" t="inlineStr">
        <is>
          <t>타운하우스 내 토지. 공원 산책로 상업지역 인접</t>
        </is>
      </c>
      <c r="L61" s="6">
        <f>HYPERLINK("https://fin.land.naver.com/articles/2651303265",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세종해비치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고운동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대</t>
        </is>
      </c>
      <c r="E62" s="3" t="inlineStr">
        <is>
          <t>매매</t>
        </is>
      </c>
      <c r="F62" s="4" t="n">
        <v>100000</v>
      </c>
      <c r="G62" s="4" t="n">
        <v>409</v>
      </c>
      <c r="H62" s="4" t="n">
        <v>124</v>
      </c>
      <c r="I62" s="5" t="n">
        <v>806.5</v>
      </c>
      <c r="J62" s="5" t="n">
        <v>0</v>
      </c>
      <c r="K62" s="3" t="inlineStr">
        <is>
          <t>15m접 근린생활 상가건물 가능</t>
        </is>
      </c>
      <c r="L62" s="6">
        <f>HYPERLINK("https://fin.land.naver.com/articles/2649139560",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평원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남이면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임야</t>
        </is>
      </c>
      <c r="E63" s="3" t="inlineStr">
        <is>
          <t>매매</t>
        </is>
      </c>
      <c r="F63" s="4" t="n">
        <v>6000000</v>
      </c>
      <c r="G63" s="4" t="n">
        <v>109090</v>
      </c>
      <c r="H63" s="4" t="n">
        <v>33000</v>
      </c>
      <c r="I63" s="5" t="n">
        <v>181.8</v>
      </c>
      <c r="J63" s="5" t="n">
        <v>0</v>
      </c>
      <c r="K63" s="3" t="inlineStr">
        <is>
          <t>남청주IC와 가까우며 물류센터, 공장으로 추천, 계획관리지역</t>
        </is>
      </c>
      <c r="L63" s="6">
        <f>HYPERLINK("https://fin.land.naver.com/articles/2649085194",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(주)미르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남이면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전</t>
        </is>
      </c>
      <c r="E64" s="3" t="inlineStr">
        <is>
          <t>매매</t>
        </is>
      </c>
      <c r="F64" s="4" t="n">
        <v>83000</v>
      </c>
      <c r="G64" s="4" t="n">
        <v>2256</v>
      </c>
      <c r="H64" s="4" t="n">
        <v>682</v>
      </c>
      <c r="I64" s="5" t="n">
        <v>121.7</v>
      </c>
      <c r="J64" s="5" t="n">
        <v>0</v>
      </c>
      <c r="K64" s="3" t="inlineStr">
        <is>
          <t>가좌삼거리 인접 토목공사완료 제조업인허가완료</t>
        </is>
      </c>
      <c r="L64" s="6">
        <f>HYPERLINK("https://fin.land.naver.com/articles/2649038884",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더원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남이면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임야</t>
        </is>
      </c>
      <c r="E65" s="3" t="inlineStr">
        <is>
          <t>매매</t>
        </is>
      </c>
      <c r="F65" s="4" t="n">
        <v>6000000</v>
      </c>
      <c r="G65" s="4" t="n">
        <v>109090</v>
      </c>
      <c r="H65" s="4" t="n">
        <v>33000</v>
      </c>
      <c r="I65" s="5" t="n">
        <v>181.8</v>
      </c>
      <c r="J65" s="5" t="n">
        <v>0</v>
      </c>
      <c r="K65" s="3" t="inlineStr">
        <is>
          <t>남청주ic 3분거리입지최상 대형물류창고 허가득 토목공사조건분할가능</t>
        </is>
      </c>
      <c r="L65" s="6">
        <f>HYPERLINK("https://fin.land.naver.com/articles/2649015949",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더원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남이면 [노출거부]</t>
        </is>
      </c>
      <c r="B66" s="3" t="inlineStr">
        <is>
          <t>정보 없음</t>
        </is>
      </c>
      <c r="C66" s="3" t="inlineStr">
        <is>
          <t>정보 없음</t>
        </is>
      </c>
      <c r="D66" s="3" t="inlineStr">
        <is>
          <t>대</t>
        </is>
      </c>
      <c r="E66" s="3" t="inlineStr">
        <is>
          <t>매매</t>
        </is>
      </c>
      <c r="F66" s="4" t="n">
        <v>26000</v>
      </c>
      <c r="G66" s="4" t="n">
        <v>532</v>
      </c>
      <c r="H66" s="4" t="n">
        <v>161</v>
      </c>
      <c r="I66" s="5" t="n">
        <v>161.5</v>
      </c>
      <c r="J66" s="5" t="n">
        <v>0</v>
      </c>
      <c r="K66" s="3" t="inlineStr">
        <is>
          <t>대전 청주간 대로변에 위치,세종 인접지역,제2근생,계획관리,광고효과최상</t>
        </is>
      </c>
      <c r="L66" s="6">
        <f>HYPERLINK("https://fin.land.naver.com/articles/2648869992", "매물Link")</f>
        <v/>
      </c>
      <c r="M66" t="inlineStr">
        <is>
          <t>정보 없음</t>
        </is>
      </c>
      <c r="N66" t="inlineStr">
        <is>
          <t>정보 없음</t>
        </is>
      </c>
      <c r="O66" s="3" t="inlineStr">
        <is>
          <t>세종연동탑</t>
        </is>
      </c>
      <c r="P66" s="4" t="n">
        <v>1</v>
      </c>
      <c r="Q66" s="3" t="inlineStr"/>
      <c r="R66" s="3" t="inlineStr"/>
      <c r="S66" s="3" t="inlineStr">
        <is>
          <t>정보 없음</t>
        </is>
      </c>
      <c r="T66" s="3" t="inlineStr"/>
      <c r="U66" s="3" t="inlineStr"/>
      <c r="V66" s="3" t="inlineStr">
        <is>
          <t>정보 없음</t>
        </is>
      </c>
    </row>
    <row r="67">
      <c r="A67" s="3" t="inlineStr">
        <is>
          <t>남이면 [노출거부]</t>
        </is>
      </c>
      <c r="B67" s="3" t="inlineStr">
        <is>
          <t>정보 없음</t>
        </is>
      </c>
      <c r="C67" s="3" t="inlineStr">
        <is>
          <t>정보 없음</t>
        </is>
      </c>
      <c r="D67" s="3" t="inlineStr">
        <is>
          <t>답</t>
        </is>
      </c>
      <c r="E67" s="3" t="inlineStr">
        <is>
          <t>매매</t>
        </is>
      </c>
      <c r="F67" s="4" t="n">
        <v>48300</v>
      </c>
      <c r="G67" s="4" t="n">
        <v>531</v>
      </c>
      <c r="H67" s="4" t="n">
        <v>161</v>
      </c>
      <c r="I67" s="5" t="n">
        <v>300</v>
      </c>
      <c r="J67" s="5" t="n">
        <v>0</v>
      </c>
      <c r="K67" s="3" t="inlineStr">
        <is>
          <t>석판리 소형 토지 매매</t>
        </is>
      </c>
      <c r="L67" s="6">
        <f>HYPERLINK("https://fin.land.naver.com/articles/2648216416", "매물Link")</f>
        <v/>
      </c>
      <c r="M67" t="inlineStr">
        <is>
          <t>정보 없음</t>
        </is>
      </c>
      <c r="N67" t="inlineStr">
        <is>
          <t>정보 없음</t>
        </is>
      </c>
      <c r="O67" s="3" t="inlineStr">
        <is>
          <t>사거리</t>
        </is>
      </c>
      <c r="P67" s="4" t="n">
        <v>1</v>
      </c>
      <c r="Q67" s="3" t="inlineStr"/>
      <c r="R67" s="3" t="inlineStr"/>
      <c r="S67" s="3" t="inlineStr">
        <is>
          <t>정보 없음</t>
        </is>
      </c>
      <c r="T67" s="3" t="inlineStr"/>
      <c r="U67" s="3" t="inlineStr"/>
      <c r="V67" s="3" t="inlineStr">
        <is>
          <t>정보 없음</t>
        </is>
      </c>
    </row>
    <row r="68">
      <c r="A68" s="3" t="inlineStr">
        <is>
          <t>남이면 [노출거부]</t>
        </is>
      </c>
      <c r="B68" s="3" t="inlineStr">
        <is>
          <t>정보 없음</t>
        </is>
      </c>
      <c r="C68" s="3" t="inlineStr">
        <is>
          <t>정보 없음</t>
        </is>
      </c>
      <c r="D68" s="3" t="inlineStr">
        <is>
          <t>전</t>
        </is>
      </c>
      <c r="E68" s="3" t="inlineStr">
        <is>
          <t>매매</t>
        </is>
      </c>
      <c r="F68" s="4" t="n">
        <v>54000</v>
      </c>
      <c r="G68" s="4" t="n">
        <v>1974</v>
      </c>
      <c r="H68" s="4" t="n">
        <v>597</v>
      </c>
      <c r="I68" s="5" t="n">
        <v>90.5</v>
      </c>
      <c r="J68" s="5" t="n">
        <v>0</v>
      </c>
      <c r="K68" s="3" t="inlineStr">
        <is>
          <t>대련리 토지 매매</t>
        </is>
      </c>
      <c r="L68" s="6">
        <f>HYPERLINK("https://fin.land.naver.com/articles/2648219852", "매물Link")</f>
        <v/>
      </c>
      <c r="M68" t="inlineStr">
        <is>
          <t>정보 없음</t>
        </is>
      </c>
      <c r="N68" t="inlineStr">
        <is>
          <t>정보 없음</t>
        </is>
      </c>
      <c r="O68" s="3" t="inlineStr">
        <is>
          <t>사거리</t>
        </is>
      </c>
      <c r="P68" s="4" t="n">
        <v>1</v>
      </c>
      <c r="Q68" s="3" t="inlineStr"/>
      <c r="R68" s="3" t="inlineStr"/>
      <c r="S68" s="3" t="inlineStr">
        <is>
          <t>정보 없음</t>
        </is>
      </c>
      <c r="T68" s="3" t="inlineStr"/>
      <c r="U68" s="3" t="inlineStr"/>
      <c r="V68" s="3" t="inlineStr">
        <is>
          <t>정보 없음</t>
        </is>
      </c>
    </row>
    <row r="69">
      <c r="A69" s="3" t="inlineStr">
        <is>
          <t>남이면 [노출거부]</t>
        </is>
      </c>
      <c r="B69" s="3" t="inlineStr">
        <is>
          <t>정보 없음</t>
        </is>
      </c>
      <c r="C69" s="3" t="inlineStr">
        <is>
          <t>정보 없음</t>
        </is>
      </c>
      <c r="D69" s="3" t="inlineStr">
        <is>
          <t>답</t>
        </is>
      </c>
      <c r="E69" s="3" t="inlineStr">
        <is>
          <t>매매</t>
        </is>
      </c>
      <c r="F69" s="4" t="n">
        <v>39200</v>
      </c>
      <c r="G69" s="4" t="n">
        <v>2357</v>
      </c>
      <c r="H69" s="4" t="n">
        <v>713</v>
      </c>
      <c r="I69" s="5" t="n">
        <v>55</v>
      </c>
      <c r="J69" s="5" t="n">
        <v>0</v>
      </c>
      <c r="K69" s="3" t="inlineStr">
        <is>
          <t>남이면 토지 매매</t>
        </is>
      </c>
      <c r="L69" s="6">
        <f>HYPERLINK("https://fin.land.naver.com/articles/2648217450", "매물Link")</f>
        <v/>
      </c>
      <c r="M69" t="inlineStr">
        <is>
          <t>정보 없음</t>
        </is>
      </c>
      <c r="N69" t="inlineStr">
        <is>
          <t>정보 없음</t>
        </is>
      </c>
      <c r="O69" s="3" t="inlineStr">
        <is>
          <t>사거리</t>
        </is>
      </c>
      <c r="P69" s="4" t="n">
        <v>1</v>
      </c>
      <c r="Q69" s="3" t="inlineStr"/>
      <c r="R69" s="3" t="inlineStr"/>
      <c r="S69" s="3" t="inlineStr">
        <is>
          <t>정보 없음</t>
        </is>
      </c>
      <c r="T69" s="3" t="inlineStr"/>
      <c r="U69" s="3" t="inlineStr"/>
      <c r="V69" s="3" t="inlineStr">
        <is>
          <t>정보 없음</t>
        </is>
      </c>
    </row>
    <row r="70">
      <c r="A70" s="3" t="inlineStr">
        <is>
          <t>남이면 [노출거부]</t>
        </is>
      </c>
      <c r="B70" s="3" t="inlineStr">
        <is>
          <t>정보 없음</t>
        </is>
      </c>
      <c r="C70" s="3" t="inlineStr">
        <is>
          <t>정보 없음</t>
        </is>
      </c>
      <c r="D70" s="3" t="inlineStr">
        <is>
          <t>대</t>
        </is>
      </c>
      <c r="E70" s="3" t="inlineStr">
        <is>
          <t>매매</t>
        </is>
      </c>
      <c r="F70" s="4" t="n">
        <v>350000</v>
      </c>
      <c r="G70" s="4" t="n">
        <v>3710</v>
      </c>
      <c r="H70" s="4" t="n">
        <v>1122</v>
      </c>
      <c r="I70" s="5" t="n">
        <v>311.9</v>
      </c>
      <c r="J70" s="5" t="n">
        <v>0</v>
      </c>
      <c r="K70" s="3" t="inlineStr">
        <is>
          <t>3차우회도로 인근 주차장 넓은 대형 음식점</t>
        </is>
      </c>
      <c r="L70" s="6">
        <f>HYPERLINK("https://fin.land.naver.com/articles/2648082361", "매물Link")</f>
        <v/>
      </c>
      <c r="M70" t="inlineStr">
        <is>
          <t>정보 없음</t>
        </is>
      </c>
      <c r="N70" t="inlineStr">
        <is>
          <t>정보 없음</t>
        </is>
      </c>
      <c r="O70" s="3" t="inlineStr">
        <is>
          <t>좋은터</t>
        </is>
      </c>
      <c r="P70" s="4" t="n">
        <v>1</v>
      </c>
      <c r="Q70" s="3" t="inlineStr"/>
      <c r="R70" s="3" t="inlineStr"/>
      <c r="S70" s="3" t="inlineStr">
        <is>
          <t>정보 없음</t>
        </is>
      </c>
      <c r="T70" s="3" t="inlineStr"/>
      <c r="U70" s="3" t="inlineStr"/>
      <c r="V70" s="3" t="inlineStr">
        <is>
          <t>정보 없음</t>
        </is>
      </c>
    </row>
    <row r="71">
      <c r="A71" s="3" t="inlineStr">
        <is>
          <t>남이면 [노출거부]</t>
        </is>
      </c>
      <c r="B71" s="3" t="inlineStr">
        <is>
          <t>정보 없음</t>
        </is>
      </c>
      <c r="C71" s="3" t="inlineStr">
        <is>
          <t>정보 없음</t>
        </is>
      </c>
      <c r="D71" s="3" t="inlineStr">
        <is>
          <t>전</t>
        </is>
      </c>
      <c r="E71" s="3" t="inlineStr">
        <is>
          <t>매매</t>
        </is>
      </c>
      <c r="F71" s="4" t="n">
        <v>20000</v>
      </c>
      <c r="G71" s="4" t="n">
        <v>484</v>
      </c>
      <c r="H71" s="4" t="n">
        <v>146</v>
      </c>
      <c r="I71" s="5" t="n">
        <v>137</v>
      </c>
      <c r="J71" s="5" t="n">
        <v>0</v>
      </c>
      <c r="K71" s="3" t="inlineStr">
        <is>
          <t>Point 계획관리, 남청주IC 약 3분 이내, 접근성 좋음, 도로 접함</t>
        </is>
      </c>
      <c r="L71" s="6">
        <f>HYPERLINK("https://fin.land.naver.com/articles/2648115138", "매물Link")</f>
        <v/>
      </c>
      <c r="M71" t="inlineStr">
        <is>
          <t>정보 없음</t>
        </is>
      </c>
      <c r="N71" t="inlineStr">
        <is>
          <t>정보 없음</t>
        </is>
      </c>
      <c r="O71" s="3" t="inlineStr">
        <is>
          <t>도마호반</t>
        </is>
      </c>
      <c r="P71" s="4" t="n">
        <v>1</v>
      </c>
      <c r="Q71" s="3" t="inlineStr"/>
      <c r="R71" s="3" t="inlineStr"/>
      <c r="S71" s="3" t="inlineStr">
        <is>
          <t>정보 없음</t>
        </is>
      </c>
      <c r="T71" s="3" t="inlineStr"/>
      <c r="U71" s="3" t="inlineStr"/>
      <c r="V71" s="3" t="inlineStr">
        <is>
          <t>정보 없음</t>
        </is>
      </c>
    </row>
    <row r="72">
      <c r="A72" s="3" t="inlineStr">
        <is>
          <t>남이면 [노출거부]</t>
        </is>
      </c>
      <c r="B72" s="3" t="inlineStr">
        <is>
          <t>정보 없음</t>
        </is>
      </c>
      <c r="C72" s="3" t="inlineStr">
        <is>
          <t>정보 없음</t>
        </is>
      </c>
      <c r="D72" s="3" t="inlineStr">
        <is>
          <t>전</t>
        </is>
      </c>
      <c r="E72" s="3" t="inlineStr">
        <is>
          <t>매매</t>
        </is>
      </c>
      <c r="F72" s="4" t="n">
        <v>27000</v>
      </c>
      <c r="G72" s="4" t="n">
        <v>1017</v>
      </c>
      <c r="H72" s="4" t="n">
        <v>308</v>
      </c>
      <c r="I72" s="5" t="n">
        <v>87.7</v>
      </c>
      <c r="J72" s="5" t="n">
        <v>0</v>
      </c>
      <c r="K72" s="3" t="inlineStr">
        <is>
          <t>반듯한 사각형 모양의 토지임</t>
        </is>
      </c>
      <c r="L72" s="6">
        <f>HYPERLINK("https://fin.land.naver.com/articles/2649775613", "매물Link")</f>
        <v/>
      </c>
      <c r="M72" t="inlineStr">
        <is>
          <t>정보 없음</t>
        </is>
      </c>
      <c r="N72" t="inlineStr">
        <is>
          <t>정보 없음</t>
        </is>
      </c>
      <c r="O72" s="3" t="inlineStr">
        <is>
          <t>교차로</t>
        </is>
      </c>
      <c r="P72" s="4" t="n">
        <v>1</v>
      </c>
      <c r="Q72" s="3" t="inlineStr"/>
      <c r="R72" s="3" t="inlineStr"/>
      <c r="S72" s="3" t="inlineStr">
        <is>
          <t>정보 없음</t>
        </is>
      </c>
      <c r="T72" s="3" t="inlineStr"/>
      <c r="U72" s="3" t="inlineStr"/>
      <c r="V72" s="3" t="inlineStr">
        <is>
          <t>정보 없음</t>
        </is>
      </c>
    </row>
    <row r="73">
      <c r="A73" s="3" t="inlineStr">
        <is>
          <t>남이면 [노출거부]</t>
        </is>
      </c>
      <c r="B73" s="3" t="inlineStr">
        <is>
          <t>정보 없음</t>
        </is>
      </c>
      <c r="C73" s="3" t="inlineStr">
        <is>
          <t>정보 없음</t>
        </is>
      </c>
      <c r="D73" s="3" t="inlineStr">
        <is>
          <t>답</t>
        </is>
      </c>
      <c r="E73" s="3" t="inlineStr">
        <is>
          <t>매매</t>
        </is>
      </c>
      <c r="F73" s="4" t="n">
        <v>50290</v>
      </c>
      <c r="G73" s="4" t="n">
        <v>4750</v>
      </c>
      <c r="H73" s="4" t="n">
        <v>1437</v>
      </c>
      <c r="I73" s="5" t="n">
        <v>35</v>
      </c>
      <c r="J73" s="5" t="n">
        <v>0</v>
      </c>
      <c r="K73" s="3" t="inlineStr">
        <is>
          <t>nan</t>
        </is>
      </c>
      <c r="L73" s="6">
        <f>HYPERLINK("https://fin.land.naver.com/articles/2653224760", "매물Link")</f>
        <v/>
      </c>
      <c r="M73" t="inlineStr">
        <is>
          <t>정보 없음</t>
        </is>
      </c>
      <c r="N73" t="inlineStr">
        <is>
          <t>정보 없음</t>
        </is>
      </c>
      <c r="O73" s="3" t="inlineStr">
        <is>
          <t>교차로</t>
        </is>
      </c>
      <c r="P73" s="4" t="n">
        <v>1</v>
      </c>
      <c r="Q73" s="3" t="inlineStr"/>
      <c r="R73" s="3" t="inlineStr"/>
      <c r="S73" s="3" t="inlineStr">
        <is>
          <t>정보 없음</t>
        </is>
      </c>
      <c r="T73" s="3" t="inlineStr"/>
      <c r="U73" s="3" t="inlineStr"/>
      <c r="V73" s="3" t="inlineStr">
        <is>
          <t>정보 없음</t>
        </is>
      </c>
    </row>
    <row r="74">
      <c r="A74" s="3" t="inlineStr">
        <is>
          <t>남이면 [노출거부]</t>
        </is>
      </c>
      <c r="B74" s="3" t="inlineStr">
        <is>
          <t>정보 없음</t>
        </is>
      </c>
      <c r="C74" s="3" t="inlineStr">
        <is>
          <t>정보 없음</t>
        </is>
      </c>
      <c r="D74" s="3" t="inlineStr">
        <is>
          <t>전</t>
        </is>
      </c>
      <c r="E74" s="3" t="inlineStr">
        <is>
          <t>매매</t>
        </is>
      </c>
      <c r="F74" s="4" t="n">
        <v>70700</v>
      </c>
      <c r="G74" s="4" t="n">
        <v>2337</v>
      </c>
      <c r="H74" s="4" t="n">
        <v>707</v>
      </c>
      <c r="I74" s="5" t="n">
        <v>100</v>
      </c>
      <c r="J74" s="5" t="n">
        <v>0</v>
      </c>
      <c r="K74" s="3" t="inlineStr">
        <is>
          <t>nan</t>
        </is>
      </c>
      <c r="L74" s="6">
        <f>HYPERLINK("https://fin.land.naver.com/articles/2649794531", "매물Link")</f>
        <v/>
      </c>
      <c r="M74" t="inlineStr">
        <is>
          <t>정보 없음</t>
        </is>
      </c>
      <c r="N74" t="inlineStr">
        <is>
          <t>정보 없음</t>
        </is>
      </c>
      <c r="O74" s="3" t="inlineStr">
        <is>
          <t>바로</t>
        </is>
      </c>
      <c r="P74" s="4" t="n">
        <v>1</v>
      </c>
      <c r="Q74" s="3" t="inlineStr"/>
      <c r="R74" s="3" t="inlineStr"/>
      <c r="S74" s="3" t="inlineStr">
        <is>
          <t>정보 없음</t>
        </is>
      </c>
      <c r="T74" s="3" t="inlineStr"/>
      <c r="U74" s="3" t="inlineStr"/>
      <c r="V74" s="3" t="inlineStr">
        <is>
          <t>정보 없음</t>
        </is>
      </c>
    </row>
    <row r="75">
      <c r="A75" s="3" t="inlineStr">
        <is>
          <t>남이면 [노출거부]</t>
        </is>
      </c>
      <c r="B75" s="3" t="inlineStr">
        <is>
          <t>정보 없음</t>
        </is>
      </c>
      <c r="C75" s="3" t="inlineStr">
        <is>
          <t>정보 없음</t>
        </is>
      </c>
      <c r="D75" s="3" t="inlineStr">
        <is>
          <t>대</t>
        </is>
      </c>
      <c r="E75" s="3" t="inlineStr">
        <is>
          <t>매매</t>
        </is>
      </c>
      <c r="F75" s="4" t="n">
        <v>210000</v>
      </c>
      <c r="G75" s="4" t="n">
        <v>2534</v>
      </c>
      <c r="H75" s="4" t="n">
        <v>767</v>
      </c>
      <c r="I75" s="5" t="n">
        <v>273.8</v>
      </c>
      <c r="J75" s="5" t="n">
        <v>0</v>
      </c>
      <c r="K75" s="3" t="inlineStr">
        <is>
          <t>현재 브런치카페 운영중, 다양한업종 가능</t>
        </is>
      </c>
      <c r="L75" s="6">
        <f>HYPERLINK("https://fin.land.naver.com/articles/2649849680", "매물Link")</f>
        <v/>
      </c>
      <c r="M75" t="inlineStr">
        <is>
          <t>정보 없음</t>
        </is>
      </c>
      <c r="N75" t="inlineStr">
        <is>
          <t>정보 없음</t>
        </is>
      </c>
      <c r="O75" s="3" t="inlineStr">
        <is>
          <t>뉴스타</t>
        </is>
      </c>
      <c r="P75" s="4" t="n">
        <v>1</v>
      </c>
      <c r="Q75" s="3" t="inlineStr"/>
      <c r="R75" s="3" t="inlineStr"/>
      <c r="S75" s="3" t="inlineStr">
        <is>
          <t>정보 없음</t>
        </is>
      </c>
      <c r="T75" s="3" t="inlineStr"/>
      <c r="U75" s="3" t="inlineStr"/>
      <c r="V75" s="3" t="inlineStr">
        <is>
          <t>정보 없음</t>
        </is>
      </c>
    </row>
    <row r="76">
      <c r="A76" s="3" t="inlineStr">
        <is>
          <t>남이면 [노출거부]</t>
        </is>
      </c>
      <c r="B76" s="3" t="inlineStr">
        <is>
          <t>정보 없음</t>
        </is>
      </c>
      <c r="C76" s="3" t="inlineStr">
        <is>
          <t>정보 없음</t>
        </is>
      </c>
      <c r="D76" s="3" t="inlineStr">
        <is>
          <t>전</t>
        </is>
      </c>
      <c r="E76" s="3" t="inlineStr">
        <is>
          <t>매매</t>
        </is>
      </c>
      <c r="F76" s="4" t="n">
        <v>25000</v>
      </c>
      <c r="G76" s="4" t="n">
        <v>1474</v>
      </c>
      <c r="H76" s="4" t="n">
        <v>446</v>
      </c>
      <c r="I76" s="5" t="n">
        <v>56.1</v>
      </c>
      <c r="J76" s="5" t="n">
        <v>0</v>
      </c>
      <c r="K76" s="3" t="inlineStr">
        <is>
          <t>진입도로 있어 접근성 우수, 도로 옆 부지로 전원주택, 주말농장 추천</t>
        </is>
      </c>
      <c r="L76" s="6">
        <f>HYPERLINK("https://fin.land.naver.com/articles/2649561226", "매물Link")</f>
        <v/>
      </c>
      <c r="M76" t="inlineStr">
        <is>
          <t>정보 없음</t>
        </is>
      </c>
      <c r="N76" t="inlineStr">
        <is>
          <t>정보 없음</t>
        </is>
      </c>
      <c r="O76" s="3" t="inlineStr">
        <is>
          <t>하경</t>
        </is>
      </c>
      <c r="P76" s="4" t="n">
        <v>1</v>
      </c>
      <c r="Q76" s="3" t="inlineStr"/>
      <c r="R76" s="3" t="inlineStr"/>
      <c r="S76" s="3" t="inlineStr">
        <is>
          <t>정보 없음</t>
        </is>
      </c>
      <c r="T76" s="3" t="inlineStr"/>
      <c r="U76" s="3" t="inlineStr"/>
      <c r="V76" s="3" t="inlineStr">
        <is>
          <t>정보 없음</t>
        </is>
      </c>
    </row>
    <row r="77">
      <c r="A77" s="3" t="inlineStr">
        <is>
          <t>남이면 [노출거부]</t>
        </is>
      </c>
      <c r="B77" s="3" t="inlineStr">
        <is>
          <t>정보 없음</t>
        </is>
      </c>
      <c r="C77" s="3" t="inlineStr">
        <is>
          <t>정보 없음</t>
        </is>
      </c>
      <c r="D77" s="3" t="inlineStr">
        <is>
          <t>대</t>
        </is>
      </c>
      <c r="E77" s="3" t="inlineStr">
        <is>
          <t>매매</t>
        </is>
      </c>
      <c r="F77" s="4" t="n">
        <v>224960</v>
      </c>
      <c r="G77" s="4" t="n">
        <v>4647</v>
      </c>
      <c r="H77" s="4" t="n">
        <v>1406</v>
      </c>
      <c r="I77" s="5" t="n">
        <v>160</v>
      </c>
      <c r="J77" s="5" t="n">
        <v>0</v>
      </c>
      <c r="K77" s="3" t="inlineStr">
        <is>
          <t>2차선도로변 2종근린생활시설로 허가득 제조업 근생가능 식품업종가능</t>
        </is>
      </c>
      <c r="L77" s="6">
        <f>HYPERLINK("https://fin.land.naver.com/articles/2649682979", "매물Link")</f>
        <v/>
      </c>
      <c r="M77" t="inlineStr">
        <is>
          <t>정보 없음</t>
        </is>
      </c>
      <c r="N77" t="inlineStr">
        <is>
          <t>정보 없음</t>
        </is>
      </c>
      <c r="O77" s="3" t="inlineStr">
        <is>
          <t>더원</t>
        </is>
      </c>
      <c r="P77" s="4" t="n">
        <v>1</v>
      </c>
      <c r="Q77" s="3" t="inlineStr"/>
      <c r="R77" s="3" t="inlineStr"/>
      <c r="S77" s="3" t="inlineStr">
        <is>
          <t>정보 없음</t>
        </is>
      </c>
      <c r="T77" s="3" t="inlineStr"/>
      <c r="U77" s="3" t="inlineStr"/>
      <c r="V77" s="3" t="inlineStr">
        <is>
          <t>정보 없음</t>
        </is>
      </c>
    </row>
    <row r="78">
      <c r="A78" s="3" t="inlineStr">
        <is>
          <t>남이면 [노출거부]</t>
        </is>
      </c>
      <c r="B78" s="3" t="inlineStr">
        <is>
          <t>정보 없음</t>
        </is>
      </c>
      <c r="C78" s="3" t="inlineStr">
        <is>
          <t>정보 없음</t>
        </is>
      </c>
      <c r="D78" s="3" t="inlineStr">
        <is>
          <t>임야</t>
        </is>
      </c>
      <c r="E78" s="3" t="inlineStr">
        <is>
          <t>매매</t>
        </is>
      </c>
      <c r="F78" s="4" t="n">
        <v>18300</v>
      </c>
      <c r="G78" s="4" t="n">
        <v>473</v>
      </c>
      <c r="H78" s="4" t="n">
        <v>143</v>
      </c>
      <c r="I78" s="5" t="n">
        <v>128</v>
      </c>
      <c r="J78" s="5" t="n">
        <v>0</v>
      </c>
      <c r="K78" s="3" t="inlineStr">
        <is>
          <t>가좌리 단독 주택 토지 매매</t>
        </is>
      </c>
      <c r="L78" s="6">
        <f>HYPERLINK("https://fin.land.naver.com/articles/2649584175", "매물Link")</f>
        <v/>
      </c>
      <c r="M78" t="inlineStr">
        <is>
          <t>정보 없음</t>
        </is>
      </c>
      <c r="N78" t="inlineStr">
        <is>
          <t>정보 없음</t>
        </is>
      </c>
      <c r="O78" s="3" t="inlineStr">
        <is>
          <t>사거리</t>
        </is>
      </c>
      <c r="P78" s="4" t="n">
        <v>1</v>
      </c>
      <c r="Q78" s="3" t="inlineStr"/>
      <c r="R78" s="3" t="inlineStr"/>
      <c r="S78" s="3" t="inlineStr">
        <is>
          <t>정보 없음</t>
        </is>
      </c>
      <c r="T78" s="3" t="inlineStr"/>
      <c r="U78" s="3" t="inlineStr"/>
      <c r="V78" s="3" t="inlineStr">
        <is>
          <t>정보 없음</t>
        </is>
      </c>
    </row>
    <row r="79">
      <c r="A79" s="3" t="inlineStr">
        <is>
          <t>남이면 [노출거부]</t>
        </is>
      </c>
      <c r="B79" s="3" t="inlineStr">
        <is>
          <t>정보 없음</t>
        </is>
      </c>
      <c r="C79" s="3" t="inlineStr">
        <is>
          <t>정보 없음</t>
        </is>
      </c>
      <c r="D79" s="3" t="inlineStr">
        <is>
          <t>답</t>
        </is>
      </c>
      <c r="E79" s="3" t="inlineStr">
        <is>
          <t>매매</t>
        </is>
      </c>
      <c r="F79" s="4" t="n">
        <v>6400</v>
      </c>
      <c r="G79" s="4" t="n">
        <v>1048</v>
      </c>
      <c r="H79" s="4" t="n">
        <v>317</v>
      </c>
      <c r="I79" s="5" t="n">
        <v>20.2</v>
      </c>
      <c r="J79" s="5" t="n">
        <v>0</v>
      </c>
      <c r="K79" s="3" t="inlineStr">
        <is>
          <t>남향의 산자락에 붙어 있는 토지임</t>
        </is>
      </c>
      <c r="L79" s="6">
        <f>HYPERLINK("https://fin.land.naver.com/articles/2653224432", "매물Link")</f>
        <v/>
      </c>
      <c r="M79" t="inlineStr">
        <is>
          <t>정보 없음</t>
        </is>
      </c>
      <c r="N79" t="inlineStr">
        <is>
          <t>정보 없음</t>
        </is>
      </c>
      <c r="O79" s="3" t="inlineStr">
        <is>
          <t>교차로</t>
        </is>
      </c>
      <c r="P79" s="4" t="n">
        <v>1</v>
      </c>
      <c r="Q79" s="3" t="inlineStr"/>
      <c r="R79" s="3" t="inlineStr"/>
      <c r="S79" s="3" t="inlineStr">
        <is>
          <t>정보 없음</t>
        </is>
      </c>
      <c r="T79" s="3" t="inlineStr"/>
      <c r="U79" s="3" t="inlineStr"/>
      <c r="V79" s="3" t="inlineStr">
        <is>
          <t>정보 없음</t>
        </is>
      </c>
    </row>
    <row r="80">
      <c r="A80" s="3" t="inlineStr">
        <is>
          <t>남이면 [노출거부]</t>
        </is>
      </c>
      <c r="B80" s="3" t="inlineStr">
        <is>
          <t>정보 없음</t>
        </is>
      </c>
      <c r="C80" s="3" t="inlineStr">
        <is>
          <t>정보 없음</t>
        </is>
      </c>
      <c r="D80" s="3" t="inlineStr">
        <is>
          <t>전</t>
        </is>
      </c>
      <c r="E80" s="3" t="inlineStr">
        <is>
          <t>매매</t>
        </is>
      </c>
      <c r="F80" s="4" t="n">
        <v>23500</v>
      </c>
      <c r="G80" s="4" t="n">
        <v>1189</v>
      </c>
      <c r="H80" s="4" t="n">
        <v>360</v>
      </c>
      <c r="I80" s="5" t="n">
        <v>65.3</v>
      </c>
      <c r="J80" s="5" t="n">
        <v>0</v>
      </c>
      <c r="K80" s="3" t="inlineStr">
        <is>
          <t>갈원리 마을 뒷편 전원주택지입니다. 취락지구(건폐율높음)</t>
        </is>
      </c>
      <c r="L80" s="6">
        <f>HYPERLINK("https://fin.land.naver.com/articles/2652186011", "매물Link")</f>
        <v/>
      </c>
      <c r="M80" t="inlineStr">
        <is>
          <t>정보 없음</t>
        </is>
      </c>
      <c r="N80" t="inlineStr">
        <is>
          <t>정보 없음</t>
        </is>
      </c>
      <c r="O80" s="3" t="inlineStr">
        <is>
          <t>사랑</t>
        </is>
      </c>
      <c r="P80" s="4" t="n">
        <v>1</v>
      </c>
      <c r="Q80" s="3" t="inlineStr"/>
      <c r="R80" s="3" t="inlineStr"/>
      <c r="S80" s="3" t="inlineStr">
        <is>
          <t>정보 없음</t>
        </is>
      </c>
      <c r="T80" s="3" t="inlineStr"/>
      <c r="U80" s="3" t="inlineStr"/>
      <c r="V80" s="3" t="inlineStr">
        <is>
          <t>정보 없음</t>
        </is>
      </c>
    </row>
    <row r="81">
      <c r="A81" s="3" t="inlineStr">
        <is>
          <t>남이면 [노출거부]</t>
        </is>
      </c>
      <c r="B81" s="3" t="inlineStr">
        <is>
          <t>정보 없음</t>
        </is>
      </c>
      <c r="C81" s="3" t="inlineStr">
        <is>
          <t>정보 없음</t>
        </is>
      </c>
      <c r="D81" s="3" t="inlineStr">
        <is>
          <t>답</t>
        </is>
      </c>
      <c r="E81" s="3" t="inlineStr">
        <is>
          <t>매매</t>
        </is>
      </c>
      <c r="F81" s="4" t="n">
        <v>286000</v>
      </c>
      <c r="G81" s="4" t="n">
        <v>4720</v>
      </c>
      <c r="H81" s="4" t="n">
        <v>1428</v>
      </c>
      <c r="I81" s="5" t="n">
        <v>200.3</v>
      </c>
      <c r="J81" s="5" t="n">
        <v>0</v>
      </c>
      <c r="K81" s="3" t="inlineStr">
        <is>
          <t>분필 도 가능합니다</t>
        </is>
      </c>
      <c r="L81" s="6">
        <f>HYPERLINK("https://fin.land.naver.com/articles/2653204562", "매물Link")</f>
        <v/>
      </c>
      <c r="M81" t="inlineStr">
        <is>
          <t>정보 없음</t>
        </is>
      </c>
      <c r="N81" t="inlineStr">
        <is>
          <t>정보 없음</t>
        </is>
      </c>
      <c r="O81" s="3" t="inlineStr">
        <is>
          <t>황금</t>
        </is>
      </c>
      <c r="P81" s="4" t="n">
        <v>1</v>
      </c>
      <c r="Q81" s="3" t="inlineStr"/>
      <c r="R81" s="3" t="inlineStr"/>
      <c r="S81" s="3" t="inlineStr">
        <is>
          <t>정보 없음</t>
        </is>
      </c>
      <c r="T81" s="3" t="inlineStr"/>
      <c r="U81" s="3" t="inlineStr"/>
      <c r="V81" s="3" t="inlineStr">
        <is>
          <t>정보 없음</t>
        </is>
      </c>
    </row>
    <row r="82">
      <c r="A82" s="3" t="inlineStr">
        <is>
          <t>남이면 [노출거부]</t>
        </is>
      </c>
      <c r="B82" s="3" t="inlineStr">
        <is>
          <t>정보 없음</t>
        </is>
      </c>
      <c r="C82" s="3" t="inlineStr">
        <is>
          <t>정보 없음</t>
        </is>
      </c>
      <c r="D82" s="3" t="inlineStr">
        <is>
          <t>답</t>
        </is>
      </c>
      <c r="E82" s="3" t="inlineStr">
        <is>
          <t>매매</t>
        </is>
      </c>
      <c r="F82" s="4" t="n">
        <v>28500</v>
      </c>
      <c r="G82" s="4" t="n">
        <v>1709</v>
      </c>
      <c r="H82" s="4" t="n">
        <v>517</v>
      </c>
      <c r="I82" s="5" t="n">
        <v>55.1</v>
      </c>
      <c r="J82" s="5" t="n">
        <v>0</v>
      </c>
      <c r="K82" s="3" t="inlineStr">
        <is>
          <t>마을앞,자연취락지구,전원생활,다용도 추천</t>
        </is>
      </c>
      <c r="L82" s="6">
        <f>HYPERLINK("https://fin.land.naver.com/articles/2651909407", "매물Link")</f>
        <v/>
      </c>
      <c r="M82" t="inlineStr">
        <is>
          <t>정보 없음</t>
        </is>
      </c>
      <c r="N82" t="inlineStr">
        <is>
          <t>정보 없음</t>
        </is>
      </c>
      <c r="O82" s="3" t="inlineStr">
        <is>
          <t>대학합동사무소</t>
        </is>
      </c>
      <c r="P82" s="4" t="n">
        <v>1</v>
      </c>
      <c r="Q82" s="3" t="inlineStr"/>
      <c r="R82" s="3" t="inlineStr"/>
      <c r="S82" s="3" t="inlineStr">
        <is>
          <t>정보 없음</t>
        </is>
      </c>
      <c r="T82" s="3" t="inlineStr"/>
      <c r="U82" s="3" t="inlineStr"/>
      <c r="V82" s="3" t="inlineStr">
        <is>
          <t>정보 없음</t>
        </is>
      </c>
    </row>
    <row r="83">
      <c r="A83" s="3" t="inlineStr">
        <is>
          <t>남이면 [노출거부]</t>
        </is>
      </c>
      <c r="B83" s="3" t="inlineStr">
        <is>
          <t>정보 없음</t>
        </is>
      </c>
      <c r="C83" s="3" t="inlineStr">
        <is>
          <t>정보 없음</t>
        </is>
      </c>
      <c r="D83" s="3" t="inlineStr">
        <is>
          <t>답</t>
        </is>
      </c>
      <c r="E83" s="3" t="inlineStr">
        <is>
          <t>매매</t>
        </is>
      </c>
      <c r="F83" s="4" t="n">
        <v>100000</v>
      </c>
      <c r="G83" s="4" t="n">
        <v>3199</v>
      </c>
      <c r="H83" s="4" t="n">
        <v>968</v>
      </c>
      <c r="I83" s="5" t="n">
        <v>103.3</v>
      </c>
      <c r="J83" s="5" t="n">
        <v>0</v>
      </c>
      <c r="K83" s="3" t="inlineStr">
        <is>
          <t>가마리 길성이백숙옆 답으로구성 두필지,가격조절가능</t>
        </is>
      </c>
      <c r="L83" s="6">
        <f>HYPERLINK("https://fin.land.naver.com/articles/2651778489", "매물Link")</f>
        <v/>
      </c>
      <c r="M83" t="inlineStr">
        <is>
          <t>정보 없음</t>
        </is>
      </c>
      <c r="N83" t="inlineStr">
        <is>
          <t>정보 없음</t>
        </is>
      </c>
      <c r="O83" s="3" t="inlineStr">
        <is>
          <t>남양휴튼합동무소</t>
        </is>
      </c>
      <c r="P83" s="4" t="n">
        <v>1</v>
      </c>
      <c r="Q83" s="3" t="inlineStr"/>
      <c r="R83" s="3" t="inlineStr"/>
      <c r="S83" s="3" t="inlineStr">
        <is>
          <t>정보 없음</t>
        </is>
      </c>
      <c r="T83" s="3" t="inlineStr"/>
      <c r="U83" s="3" t="inlineStr"/>
      <c r="V83" s="3" t="inlineStr">
        <is>
          <t>정보 없음</t>
        </is>
      </c>
    </row>
    <row r="84">
      <c r="A84" s="3" t="inlineStr">
        <is>
          <t>남이면 [노출거부]</t>
        </is>
      </c>
      <c r="B84" s="3" t="inlineStr">
        <is>
          <t>정보 없음</t>
        </is>
      </c>
      <c r="C84" s="3" t="inlineStr">
        <is>
          <t>정보 없음</t>
        </is>
      </c>
      <c r="D84" s="3" t="inlineStr">
        <is>
          <t>대</t>
        </is>
      </c>
      <c r="E84" s="3" t="inlineStr">
        <is>
          <t>매매</t>
        </is>
      </c>
      <c r="F84" s="4" t="n">
        <v>10500</v>
      </c>
      <c r="G84" s="4" t="n">
        <v>824</v>
      </c>
      <c r="H84" s="4" t="n">
        <v>249</v>
      </c>
      <c r="I84" s="5" t="n">
        <v>42.2</v>
      </c>
      <c r="J84" s="5" t="n">
        <v>0</v>
      </c>
      <c r="K84" s="3" t="inlineStr">
        <is>
          <t>3m도로에 접한 대지(계획관리) 주택허가 득한 나대지</t>
        </is>
      </c>
      <c r="L84" s="6">
        <f>HYPERLINK("https://fin.land.naver.com/articles/2651758039", "매물Link")</f>
        <v/>
      </c>
      <c r="M84" t="inlineStr">
        <is>
          <t>정보 없음</t>
        </is>
      </c>
      <c r="N84" t="inlineStr">
        <is>
          <t>정보 없음</t>
        </is>
      </c>
      <c r="O84" s="3" t="inlineStr">
        <is>
          <t>새온누리</t>
        </is>
      </c>
      <c r="P84" s="4" t="n">
        <v>1</v>
      </c>
      <c r="Q84" s="3" t="inlineStr"/>
      <c r="R84" s="3" t="inlineStr"/>
      <c r="S84" s="3" t="inlineStr">
        <is>
          <t>정보 없음</t>
        </is>
      </c>
      <c r="T84" s="3" t="inlineStr"/>
      <c r="U84" s="3" t="inlineStr"/>
      <c r="V84" s="3" t="inlineStr">
        <is>
          <t>정보 없음</t>
        </is>
      </c>
    </row>
    <row r="85">
      <c r="A85" s="3" t="inlineStr">
        <is>
          <t>남이면 [노출거부]</t>
        </is>
      </c>
      <c r="B85" s="3" t="inlineStr">
        <is>
          <t>정보 없음</t>
        </is>
      </c>
      <c r="C85" s="3" t="inlineStr">
        <is>
          <t>정보 없음</t>
        </is>
      </c>
      <c r="D85" s="3" t="inlineStr">
        <is>
          <t>전</t>
        </is>
      </c>
      <c r="E85" s="3" t="inlineStr">
        <is>
          <t>매매</t>
        </is>
      </c>
      <c r="F85" s="4" t="n">
        <v>35000</v>
      </c>
      <c r="G85" s="4" t="n">
        <v>2585</v>
      </c>
      <c r="H85" s="4" t="n">
        <v>782</v>
      </c>
      <c r="I85" s="5" t="n">
        <v>44.8</v>
      </c>
      <c r="J85" s="5" t="n">
        <v>0</v>
      </c>
      <c r="K85" s="3" t="inlineStr">
        <is>
          <t>수도.전기,농막설치됨</t>
        </is>
      </c>
      <c r="L85" s="6">
        <f>HYPERLINK("https://fin.land.naver.com/articles/2652026089", "매물Link")</f>
        <v/>
      </c>
      <c r="M85" t="inlineStr">
        <is>
          <t>정보 없음</t>
        </is>
      </c>
      <c r="N85" t="inlineStr">
        <is>
          <t>정보 없음</t>
        </is>
      </c>
      <c r="O85" s="3" t="inlineStr">
        <is>
          <t>남청주ic합동무소</t>
        </is>
      </c>
      <c r="P85" s="4" t="n">
        <v>1</v>
      </c>
      <c r="Q85" s="3" t="inlineStr"/>
      <c r="R85" s="3" t="inlineStr"/>
      <c r="S85" s="3" t="inlineStr">
        <is>
          <t>정보 없음</t>
        </is>
      </c>
      <c r="T85" s="3" t="inlineStr"/>
      <c r="U85" s="3" t="inlineStr"/>
      <c r="V85" s="3" t="inlineStr">
        <is>
          <t>정보 없음</t>
        </is>
      </c>
    </row>
    <row r="86">
      <c r="A86" s="3" t="inlineStr">
        <is>
          <t>남이면 [노출거부]</t>
        </is>
      </c>
      <c r="B86" s="3" t="inlineStr">
        <is>
          <t>정보 없음</t>
        </is>
      </c>
      <c r="C86" s="3" t="inlineStr">
        <is>
          <t>정보 없음</t>
        </is>
      </c>
      <c r="D86" s="3" t="inlineStr">
        <is>
          <t>답</t>
        </is>
      </c>
      <c r="E86" s="3" t="inlineStr">
        <is>
          <t>매매</t>
        </is>
      </c>
      <c r="F86" s="4" t="n">
        <v>38000</v>
      </c>
      <c r="G86" s="4" t="n">
        <v>2324</v>
      </c>
      <c r="H86" s="4" t="n">
        <v>703</v>
      </c>
      <c r="I86" s="5" t="n">
        <v>54.1</v>
      </c>
      <c r="J86" s="5" t="n">
        <v>0</v>
      </c>
      <c r="K86" s="3" t="inlineStr">
        <is>
          <t>남이초 인근 전으로 사용 중 창고나 근생욜지로 추천</t>
        </is>
      </c>
      <c r="L86" s="6">
        <f>HYPERLINK("https://fin.land.naver.com/articles/2651568872", "매물Link")</f>
        <v/>
      </c>
      <c r="M86" t="inlineStr">
        <is>
          <t>정보 없음</t>
        </is>
      </c>
      <c r="N86" t="inlineStr">
        <is>
          <t>정보 없음</t>
        </is>
      </c>
      <c r="O86" s="3" t="inlineStr">
        <is>
          <t>태평</t>
        </is>
      </c>
      <c r="P86" s="4" t="n">
        <v>1</v>
      </c>
      <c r="Q86" s="3" t="inlineStr"/>
      <c r="R86" s="3" t="inlineStr"/>
      <c r="S86" s="3" t="inlineStr">
        <is>
          <t>정보 없음</t>
        </is>
      </c>
      <c r="T86" s="3" t="inlineStr"/>
      <c r="U86" s="3" t="inlineStr"/>
      <c r="V86" s="3" t="inlineStr">
        <is>
          <t>정보 없음</t>
        </is>
      </c>
    </row>
    <row r="87">
      <c r="A87" s="3" t="inlineStr">
        <is>
          <t>남이면 [노출거부]</t>
        </is>
      </c>
      <c r="B87" s="3" t="inlineStr">
        <is>
          <t>정보 없음</t>
        </is>
      </c>
      <c r="C87" s="3" t="inlineStr">
        <is>
          <t>정보 없음</t>
        </is>
      </c>
      <c r="D87" s="3" t="inlineStr">
        <is>
          <t>전</t>
        </is>
      </c>
      <c r="E87" s="3" t="inlineStr">
        <is>
          <t>매매</t>
        </is>
      </c>
      <c r="F87" s="4" t="n">
        <v>66000</v>
      </c>
      <c r="G87" s="4" t="n">
        <v>2177</v>
      </c>
      <c r="H87" s="4" t="n">
        <v>659</v>
      </c>
      <c r="I87" s="5" t="n">
        <v>100.2</v>
      </c>
      <c r="J87" s="5" t="n">
        <v>0</v>
      </c>
      <c r="K87" s="3" t="inlineStr">
        <is>
          <t>시내와 가까운 전원주택지</t>
        </is>
      </c>
      <c r="L87" s="6">
        <f>HYPERLINK("https://fin.land.naver.com/articles/2651242881", "매물Link")</f>
        <v/>
      </c>
      <c r="M87" t="inlineStr">
        <is>
          <t>정보 없음</t>
        </is>
      </c>
      <c r="N87" t="inlineStr">
        <is>
          <t>정보 없음</t>
        </is>
      </c>
      <c r="O87" s="3" t="inlineStr">
        <is>
          <t>문화</t>
        </is>
      </c>
      <c r="P87" s="4" t="n">
        <v>1</v>
      </c>
      <c r="Q87" s="3" t="inlineStr"/>
      <c r="R87" s="3" t="inlineStr"/>
      <c r="S87" s="3" t="inlineStr">
        <is>
          <t>정보 없음</t>
        </is>
      </c>
      <c r="T87" s="3" t="inlineStr"/>
      <c r="U87" s="3" t="inlineStr"/>
      <c r="V87" s="3" t="inlineStr">
        <is>
          <t>정보 없음</t>
        </is>
      </c>
    </row>
    <row r="88">
      <c r="A88" s="3" t="inlineStr">
        <is>
          <t>남이면 [노출거부]</t>
        </is>
      </c>
      <c r="B88" s="3" t="inlineStr">
        <is>
          <t>정보 없음</t>
        </is>
      </c>
      <c r="C88" s="3" t="inlineStr">
        <is>
          <t>정보 없음</t>
        </is>
      </c>
      <c r="D88" s="3" t="inlineStr">
        <is>
          <t>전</t>
        </is>
      </c>
      <c r="E88" s="3" t="inlineStr">
        <is>
          <t>매매</t>
        </is>
      </c>
      <c r="F88" s="4" t="n">
        <v>23000</v>
      </c>
      <c r="G88" s="4" t="n">
        <v>1061</v>
      </c>
      <c r="H88" s="4" t="n">
        <v>321</v>
      </c>
      <c r="I88" s="5" t="n">
        <v>71.7</v>
      </c>
      <c r="J88" s="5" t="n">
        <v>0</v>
      </c>
      <c r="K88" s="3" t="inlineStr">
        <is>
          <t>시세보다 저렴한 다용도로 이용이 가능한 토지</t>
        </is>
      </c>
      <c r="L88" s="6">
        <f>HYPERLINK("https://fin.land.naver.com/articles/2651138160", "매물Link")</f>
        <v/>
      </c>
      <c r="M88" t="inlineStr">
        <is>
          <t>정보 없음</t>
        </is>
      </c>
      <c r="N88" t="inlineStr">
        <is>
          <t>정보 없음</t>
        </is>
      </c>
      <c r="O88" s="3" t="inlineStr">
        <is>
          <t>문화</t>
        </is>
      </c>
      <c r="P88" s="4" t="n">
        <v>1</v>
      </c>
      <c r="Q88" s="3" t="inlineStr"/>
      <c r="R88" s="3" t="inlineStr"/>
      <c r="S88" s="3" t="inlineStr">
        <is>
          <t>정보 없음</t>
        </is>
      </c>
      <c r="T88" s="3" t="inlineStr"/>
      <c r="U88" s="3" t="inlineStr"/>
      <c r="V88" s="3" t="inlineStr">
        <is>
          <t>정보 없음</t>
        </is>
      </c>
    </row>
    <row r="89">
      <c r="A89" s="3" t="inlineStr">
        <is>
          <t>남이면 [노출거부]</t>
        </is>
      </c>
      <c r="B89" s="3" t="inlineStr">
        <is>
          <t>정보 없음</t>
        </is>
      </c>
      <c r="C89" s="3" t="inlineStr">
        <is>
          <t>정보 없음</t>
        </is>
      </c>
      <c r="D89" s="3" t="inlineStr">
        <is>
          <t>전</t>
        </is>
      </c>
      <c r="E89" s="3" t="inlineStr">
        <is>
          <t>매매</t>
        </is>
      </c>
      <c r="F89" s="4" t="n">
        <v>129500</v>
      </c>
      <c r="G89" s="4" t="n">
        <v>4281</v>
      </c>
      <c r="H89" s="4" t="n">
        <v>1295</v>
      </c>
      <c r="I89" s="5" t="n">
        <v>100</v>
      </c>
      <c r="J89" s="5" t="n">
        <v>0</v>
      </c>
      <c r="K89" s="3" t="inlineStr">
        <is>
          <t>강서테크노시티인근 투자용</t>
        </is>
      </c>
      <c r="L89" s="6">
        <f>HYPERLINK("https://fin.land.naver.com/articles/2650609770", "매물Link")</f>
        <v/>
      </c>
      <c r="M89" t="inlineStr">
        <is>
          <t>정보 없음</t>
        </is>
      </c>
      <c r="N89" t="inlineStr">
        <is>
          <t>정보 없음</t>
        </is>
      </c>
      <c r="O89" s="3" t="inlineStr">
        <is>
          <t>온나라</t>
        </is>
      </c>
      <c r="P89" s="4" t="n">
        <v>1</v>
      </c>
      <c r="Q89" s="3" t="inlineStr"/>
      <c r="R89" s="3" t="inlineStr"/>
      <c r="S89" s="3" t="inlineStr">
        <is>
          <t>정보 없음</t>
        </is>
      </c>
      <c r="T89" s="3" t="inlineStr"/>
      <c r="U89" s="3" t="inlineStr"/>
      <c r="V89" s="3" t="inlineStr">
        <is>
          <t>정보 없음</t>
        </is>
      </c>
    </row>
    <row r="90">
      <c r="A90" s="3" t="inlineStr">
        <is>
          <t>남이면 [노출거부]</t>
        </is>
      </c>
      <c r="B90" s="3" t="inlineStr">
        <is>
          <t>정보 없음</t>
        </is>
      </c>
      <c r="C90" s="3" t="inlineStr">
        <is>
          <t>정보 없음</t>
        </is>
      </c>
      <c r="D90" s="3" t="inlineStr">
        <is>
          <t>전</t>
        </is>
      </c>
      <c r="E90" s="3" t="inlineStr">
        <is>
          <t>매매</t>
        </is>
      </c>
      <c r="F90" s="4" t="n">
        <v>29400</v>
      </c>
      <c r="G90" s="4" t="n">
        <v>486</v>
      </c>
      <c r="H90" s="4" t="n">
        <v>147</v>
      </c>
      <c r="I90" s="5" t="n">
        <v>200</v>
      </c>
      <c r="J90" s="5" t="n">
        <v>0</v>
      </c>
      <c r="K90" s="3" t="inlineStr">
        <is>
          <t>도로 접한 땅</t>
        </is>
      </c>
      <c r="L90" s="6">
        <f>HYPERLINK("https://fin.land.naver.com/articles/2650375686", "매물Link")</f>
        <v/>
      </c>
      <c r="M90" t="inlineStr">
        <is>
          <t>정보 없음</t>
        </is>
      </c>
      <c r="N90" t="inlineStr">
        <is>
          <t>정보 없음</t>
        </is>
      </c>
      <c r="O90" s="3" t="inlineStr">
        <is>
          <t>다정삼성</t>
        </is>
      </c>
      <c r="P90" s="4" t="n">
        <v>1</v>
      </c>
      <c r="Q90" s="3" t="inlineStr"/>
      <c r="R90" s="3" t="inlineStr"/>
      <c r="S90" s="3" t="inlineStr">
        <is>
          <t>정보 없음</t>
        </is>
      </c>
      <c r="T90" s="3" t="inlineStr"/>
      <c r="U90" s="3" t="inlineStr"/>
      <c r="V90" s="3" t="inlineStr">
        <is>
          <t>정보 없음</t>
        </is>
      </c>
    </row>
    <row r="91">
      <c r="A91" s="3" t="inlineStr">
        <is>
          <t>남이면 [노출거부]</t>
        </is>
      </c>
      <c r="B91" s="3" t="inlineStr">
        <is>
          <t>정보 없음</t>
        </is>
      </c>
      <c r="C91" s="3" t="inlineStr">
        <is>
          <t>정보 없음</t>
        </is>
      </c>
      <c r="D91" s="3" t="inlineStr">
        <is>
          <t>답</t>
        </is>
      </c>
      <c r="E91" s="3" t="inlineStr">
        <is>
          <t>매매</t>
        </is>
      </c>
      <c r="F91" s="4" t="n">
        <v>140000</v>
      </c>
      <c r="G91" s="4" t="n">
        <v>2099</v>
      </c>
      <c r="H91" s="4" t="n">
        <v>635</v>
      </c>
      <c r="I91" s="5" t="n">
        <v>220.5</v>
      </c>
      <c r="J91" s="5" t="n">
        <v>0</v>
      </c>
      <c r="K91" s="3" t="inlineStr">
        <is>
          <t>양촌분기점 부근 가치있는 자연녹지  현재  밭으로 경작중</t>
        </is>
      </c>
      <c r="L91" s="6">
        <f>HYPERLINK("https://fin.land.naver.com/articles/2651610870", "매물Link")</f>
        <v/>
      </c>
      <c r="M91" t="inlineStr">
        <is>
          <t>정보 없음</t>
        </is>
      </c>
      <c r="N91" t="inlineStr">
        <is>
          <t>정보 없음</t>
        </is>
      </c>
      <c r="O91" s="3" t="inlineStr">
        <is>
          <t>산남현진에버빌</t>
        </is>
      </c>
      <c r="P91" s="4" t="n">
        <v>1</v>
      </c>
      <c r="Q91" s="3" t="inlineStr"/>
      <c r="R91" s="3" t="inlineStr"/>
      <c r="S91" s="3" t="inlineStr">
        <is>
          <t>정보 없음</t>
        </is>
      </c>
      <c r="T91" s="3" t="inlineStr"/>
      <c r="U91" s="3" t="inlineStr"/>
      <c r="V91" s="3" t="inlineStr">
        <is>
          <t>정보 없음</t>
        </is>
      </c>
    </row>
    <row r="92">
      <c r="A92" s="3" t="inlineStr">
        <is>
          <t>남이면 [노출거부]</t>
        </is>
      </c>
      <c r="B92" s="3" t="inlineStr">
        <is>
          <t>정보 없음</t>
        </is>
      </c>
      <c r="C92" s="3" t="inlineStr">
        <is>
          <t>정보 없음</t>
        </is>
      </c>
      <c r="D92" s="3" t="inlineStr">
        <is>
          <t>답</t>
        </is>
      </c>
      <c r="E92" s="3" t="inlineStr">
        <is>
          <t>매매</t>
        </is>
      </c>
      <c r="F92" s="4" t="n">
        <v>17000</v>
      </c>
      <c r="G92" s="4" t="n">
        <v>1780</v>
      </c>
      <c r="H92" s="4" t="n">
        <v>538</v>
      </c>
      <c r="I92" s="5" t="n">
        <v>31.6</v>
      </c>
      <c r="J92" s="5" t="n">
        <v>0</v>
      </c>
      <c r="K92" s="3" t="inlineStr">
        <is>
          <t>농막컨테이너 지하수전기있습니다</t>
        </is>
      </c>
      <c r="L92" s="6">
        <f>HYPERLINK("https://fin.land.naver.com/articles/2652027047", "매물Link")</f>
        <v/>
      </c>
      <c r="M92" t="inlineStr">
        <is>
          <t>정보 없음</t>
        </is>
      </c>
      <c r="N92" t="inlineStr">
        <is>
          <t>정보 없음</t>
        </is>
      </c>
      <c r="O92" s="3" t="inlineStr">
        <is>
          <t>남청주ic합동무소</t>
        </is>
      </c>
      <c r="P92" s="4" t="n">
        <v>2</v>
      </c>
      <c r="Q92" s="3" t="inlineStr"/>
      <c r="R92" s="3" t="inlineStr"/>
      <c r="S92" s="3" t="inlineStr">
        <is>
          <t>정보 없음</t>
        </is>
      </c>
      <c r="T92" s="3" t="inlineStr"/>
      <c r="U92" s="3" t="inlineStr"/>
      <c r="V92" s="3" t="inlineStr">
        <is>
          <t>정보 없음</t>
        </is>
      </c>
    </row>
    <row r="93">
      <c r="A93" s="3" t="inlineStr">
        <is>
          <t>남이면 [노출거부]</t>
        </is>
      </c>
      <c r="B93" s="3" t="inlineStr">
        <is>
          <t>정보 없음</t>
        </is>
      </c>
      <c r="C93" s="3" t="inlineStr">
        <is>
          <t>정보 없음</t>
        </is>
      </c>
      <c r="D93" s="3" t="inlineStr">
        <is>
          <t>전</t>
        </is>
      </c>
      <c r="E93" s="3" t="inlineStr">
        <is>
          <t>매매</t>
        </is>
      </c>
      <c r="F93" s="4" t="n">
        <v>39000</v>
      </c>
      <c r="G93" s="4" t="n">
        <v>2013</v>
      </c>
      <c r="H93" s="4" t="n">
        <v>609</v>
      </c>
      <c r="I93" s="5" t="n">
        <v>64</v>
      </c>
      <c r="J93" s="5" t="n">
        <v>0</v>
      </c>
      <c r="K93" s="3" t="inlineStr">
        <is>
          <t>남청주ic,남이면사무소앞,인근,교통 접근성우수</t>
        </is>
      </c>
      <c r="L93" s="6">
        <f>HYPERLINK("https://fin.land.naver.com/articles/2652789562", "매물Link")</f>
        <v/>
      </c>
      <c r="M93" t="inlineStr">
        <is>
          <t>정보 없음</t>
        </is>
      </c>
      <c r="N93" t="inlineStr">
        <is>
          <t>정보 없음</t>
        </is>
      </c>
      <c r="O93" s="3" t="inlineStr">
        <is>
          <t>대학합동사무소</t>
        </is>
      </c>
      <c r="P93" s="4" t="n">
        <v>1</v>
      </c>
      <c r="Q93" s="3" t="inlineStr"/>
      <c r="R93" s="3" t="inlineStr"/>
      <c r="S93" s="3" t="inlineStr">
        <is>
          <t>정보 없음</t>
        </is>
      </c>
      <c r="T93" s="3" t="inlineStr"/>
      <c r="U93" s="3" t="inlineStr"/>
      <c r="V93" s="3" t="inlineStr">
        <is>
          <t>정보 없음</t>
        </is>
      </c>
    </row>
    <row r="94">
      <c r="A94" s="3" t="inlineStr">
        <is>
          <t>남이면 [노출거부]</t>
        </is>
      </c>
      <c r="B94" s="3" t="inlineStr">
        <is>
          <t>정보 없음</t>
        </is>
      </c>
      <c r="C94" s="3" t="inlineStr">
        <is>
          <t>정보 없음</t>
        </is>
      </c>
      <c r="D94" s="3" t="inlineStr">
        <is>
          <t>임야</t>
        </is>
      </c>
      <c r="E94" s="3" t="inlineStr">
        <is>
          <t>매매</t>
        </is>
      </c>
      <c r="F94" s="4" t="n">
        <v>320000</v>
      </c>
      <c r="G94" s="4" t="n">
        <v>83047</v>
      </c>
      <c r="H94" s="4" t="n">
        <v>25122</v>
      </c>
      <c r="I94" s="5" t="n">
        <v>12.7</v>
      </c>
      <c r="J94" s="5" t="n">
        <v>0</v>
      </c>
      <c r="K94" s="3" t="inlineStr">
        <is>
          <t>남청주IC5분거리 급매물입니다</t>
        </is>
      </c>
      <c r="L94" s="6">
        <f>HYPERLINK("https://fin.land.naver.com/articles/2652675914", "매물Link")</f>
        <v/>
      </c>
      <c r="M94" t="inlineStr">
        <is>
          <t>정보 없음</t>
        </is>
      </c>
      <c r="N94" t="inlineStr">
        <is>
          <t>정보 없음</t>
        </is>
      </c>
      <c r="O94" s="3" t="inlineStr">
        <is>
          <t>대일</t>
        </is>
      </c>
      <c r="P94" s="4" t="n">
        <v>1</v>
      </c>
      <c r="Q94" s="3" t="inlineStr"/>
      <c r="R94" s="3" t="inlineStr"/>
      <c r="S94" s="3" t="inlineStr">
        <is>
          <t>정보 없음</t>
        </is>
      </c>
      <c r="T94" s="3" t="inlineStr"/>
      <c r="U94" s="3" t="inlineStr"/>
      <c r="V94" s="3" t="inlineStr">
        <is>
          <t>정보 없음</t>
        </is>
      </c>
    </row>
    <row r="95">
      <c r="A95" s="3" t="inlineStr">
        <is>
          <t>남이면 [노출거부]</t>
        </is>
      </c>
      <c r="B95" s="3" t="inlineStr">
        <is>
          <t>정보 없음</t>
        </is>
      </c>
      <c r="C95" s="3" t="inlineStr">
        <is>
          <t>정보 없음</t>
        </is>
      </c>
      <c r="D95" s="3" t="inlineStr">
        <is>
          <t>잡종지</t>
        </is>
      </c>
      <c r="E95" s="3" t="inlineStr">
        <is>
          <t>매매</t>
        </is>
      </c>
      <c r="F95" s="4" t="n">
        <v>270000</v>
      </c>
      <c r="G95" s="4" t="n">
        <v>2062</v>
      </c>
      <c r="H95" s="4" t="n">
        <v>624</v>
      </c>
      <c r="I95" s="5" t="n">
        <v>432.7</v>
      </c>
      <c r="J95" s="5" t="n">
        <v>0</v>
      </c>
      <c r="K95" s="3" t="inlineStr">
        <is>
          <t>nan</t>
        </is>
      </c>
      <c r="L95" s="6">
        <f>HYPERLINK("https://fin.land.naver.com/articles/2652460784", "매물Link")</f>
        <v/>
      </c>
      <c r="M95" t="inlineStr">
        <is>
          <t>정보 없음</t>
        </is>
      </c>
      <c r="N95" t="inlineStr">
        <is>
          <t>정보 없음</t>
        </is>
      </c>
      <c r="O95" s="3" t="inlineStr">
        <is>
          <t>두진하트</t>
        </is>
      </c>
      <c r="P95" s="4" t="n">
        <v>1</v>
      </c>
      <c r="Q95" s="3" t="inlineStr"/>
      <c r="R95" s="3" t="inlineStr"/>
      <c r="S95" s="3" t="inlineStr">
        <is>
          <t>정보 없음</t>
        </is>
      </c>
      <c r="T95" s="3" t="inlineStr"/>
      <c r="U95" s="3" t="inlineStr"/>
      <c r="V95" s="3" t="inlineStr">
        <is>
          <t>정보 없음</t>
        </is>
      </c>
    </row>
    <row r="96">
      <c r="A96" s="3" t="inlineStr">
        <is>
          <t>남이면 [노출거부]</t>
        </is>
      </c>
      <c r="B96" s="3" t="inlineStr">
        <is>
          <t>정보 없음</t>
        </is>
      </c>
      <c r="C96" s="3" t="inlineStr">
        <is>
          <t>정보 없음</t>
        </is>
      </c>
      <c r="D96" s="3" t="inlineStr">
        <is>
          <t>답</t>
        </is>
      </c>
      <c r="E96" s="3" t="inlineStr">
        <is>
          <t>매매</t>
        </is>
      </c>
      <c r="F96" s="4" t="n">
        <v>136000</v>
      </c>
      <c r="G96" s="4" t="n">
        <v>3466</v>
      </c>
      <c r="H96" s="4" t="n">
        <v>1048</v>
      </c>
      <c r="I96" s="5" t="n">
        <v>129.8</v>
      </c>
      <c r="J96" s="5" t="n">
        <v>0</v>
      </c>
      <c r="K96" s="3" t="inlineStr">
        <is>
          <t>nan</t>
        </is>
      </c>
      <c r="L96" s="6">
        <f>HYPERLINK("https://fin.land.naver.com/articles/2652436673", "매물Link")</f>
        <v/>
      </c>
      <c r="M96" t="inlineStr">
        <is>
          <t>정보 없음</t>
        </is>
      </c>
      <c r="N96" t="inlineStr">
        <is>
          <t>정보 없음</t>
        </is>
      </c>
      <c r="O96" s="3" t="inlineStr">
        <is>
          <t>개신푸르지오</t>
        </is>
      </c>
      <c r="P96" s="4" t="n">
        <v>1</v>
      </c>
      <c r="Q96" s="3" t="inlineStr"/>
      <c r="R96" s="3" t="inlineStr"/>
      <c r="S96" s="3" t="inlineStr">
        <is>
          <t>정보 없음</t>
        </is>
      </c>
      <c r="T96" s="3" t="inlineStr"/>
      <c r="U96" s="3" t="inlineStr"/>
      <c r="V96" s="3" t="inlineStr">
        <is>
          <t>정보 없음</t>
        </is>
      </c>
    </row>
    <row r="97">
      <c r="A97" s="3" t="inlineStr">
        <is>
          <t>남이면 [노출거부]</t>
        </is>
      </c>
      <c r="B97" s="3" t="inlineStr">
        <is>
          <t>정보 없음</t>
        </is>
      </c>
      <c r="C97" s="3" t="inlineStr">
        <is>
          <t>정보 없음</t>
        </is>
      </c>
      <c r="D97" s="3" t="inlineStr">
        <is>
          <t>답</t>
        </is>
      </c>
      <c r="E97" s="3" t="inlineStr">
        <is>
          <t>매매</t>
        </is>
      </c>
      <c r="F97" s="4" t="n">
        <v>97000</v>
      </c>
      <c r="G97" s="4" t="n">
        <v>1652</v>
      </c>
      <c r="H97" s="4" t="n">
        <v>500</v>
      </c>
      <c r="I97" s="5" t="n">
        <v>194</v>
      </c>
      <c r="J97" s="5" t="n">
        <v>0</v>
      </c>
      <c r="K97" s="3" t="inlineStr">
        <is>
          <t>석곡JC까지 5분거리, 물류, 창고, 공장신축 최적지</t>
        </is>
      </c>
      <c r="L97" s="6">
        <f>HYPERLINK("https://fin.land.naver.com/articles/2652334565", "매물Link")</f>
        <v/>
      </c>
      <c r="M97" t="inlineStr">
        <is>
          <t>정보 없음</t>
        </is>
      </c>
      <c r="N97" t="inlineStr">
        <is>
          <t>정보 없음</t>
        </is>
      </c>
      <c r="O97" s="3" t="inlineStr">
        <is>
          <t>청주부부</t>
        </is>
      </c>
      <c r="P97" s="4" t="n">
        <v>1</v>
      </c>
      <c r="Q97" s="3" t="inlineStr"/>
      <c r="R97" s="3" t="inlineStr"/>
      <c r="S97" s="3" t="inlineStr">
        <is>
          <t>정보 없음</t>
        </is>
      </c>
      <c r="T97" s="3" t="inlineStr"/>
      <c r="U97" s="3" t="inlineStr"/>
      <c r="V97" s="3" t="inlineStr">
        <is>
          <t>정보 없음</t>
        </is>
      </c>
    </row>
    <row r="98">
      <c r="A98" s="3" t="inlineStr">
        <is>
          <t>남이면 [노출거부]</t>
        </is>
      </c>
      <c r="B98" s="3" t="inlineStr">
        <is>
          <t>정보 없음</t>
        </is>
      </c>
      <c r="C98" s="3" t="inlineStr">
        <is>
          <t>정보 없음</t>
        </is>
      </c>
      <c r="D98" s="3" t="inlineStr">
        <is>
          <t>전</t>
        </is>
      </c>
      <c r="E98" s="3" t="inlineStr">
        <is>
          <t>매매</t>
        </is>
      </c>
      <c r="F98" s="4" t="n">
        <v>116000</v>
      </c>
      <c r="G98" s="4" t="n">
        <v>6408</v>
      </c>
      <c r="H98" s="4" t="n">
        <v>1938</v>
      </c>
      <c r="I98" s="5" t="n">
        <v>59.9</v>
      </c>
      <c r="J98" s="5" t="n">
        <v>0</v>
      </c>
      <c r="K98" s="3" t="inlineStr">
        <is>
          <t>nan</t>
        </is>
      </c>
      <c r="L98" s="6">
        <f>HYPERLINK("https://fin.land.naver.com/articles/2652187009", "매물Link")</f>
        <v/>
      </c>
      <c r="M98" t="inlineStr">
        <is>
          <t>정보 없음</t>
        </is>
      </c>
      <c r="N98" t="inlineStr">
        <is>
          <t>정보 없음</t>
        </is>
      </c>
      <c r="O98" s="3" t="inlineStr">
        <is>
          <t>사랑</t>
        </is>
      </c>
      <c r="P98" s="4" t="n">
        <v>1</v>
      </c>
      <c r="Q98" s="3" t="inlineStr"/>
      <c r="R98" s="3" t="inlineStr"/>
      <c r="S98" s="3" t="inlineStr">
        <is>
          <t>정보 없음</t>
        </is>
      </c>
      <c r="T98" s="3" t="inlineStr"/>
      <c r="U98" s="3" t="inlineStr"/>
      <c r="V98" s="3" t="inlineStr">
        <is>
          <t>정보 없음</t>
        </is>
      </c>
    </row>
    <row r="99">
      <c r="A99" s="3" t="inlineStr">
        <is>
          <t>남이면 [노출거부]</t>
        </is>
      </c>
      <c r="B99" s="3" t="inlineStr">
        <is>
          <t>정보 없음</t>
        </is>
      </c>
      <c r="C99" s="3" t="inlineStr">
        <is>
          <t>정보 없음</t>
        </is>
      </c>
      <c r="D99" s="3" t="inlineStr">
        <is>
          <t>전</t>
        </is>
      </c>
      <c r="E99" s="3" t="inlineStr">
        <is>
          <t>매매</t>
        </is>
      </c>
      <c r="F99" s="4" t="n">
        <v>168000</v>
      </c>
      <c r="G99" s="4" t="n">
        <v>6177</v>
      </c>
      <c r="H99" s="4" t="n">
        <v>1869</v>
      </c>
      <c r="I99" s="5" t="n">
        <v>89.90000000000001</v>
      </c>
      <c r="J99" s="5" t="n">
        <v>0</v>
      </c>
      <c r="K99" s="3" t="inlineStr">
        <is>
          <t>총 5필지로 구성된 자연녹지.공장 창고가능. 창고 밀집지역</t>
        </is>
      </c>
      <c r="L99" s="6">
        <f>HYPERLINK("https://fin.land.naver.com/articles/2652186346", "매물Link")</f>
        <v/>
      </c>
      <c r="M99" t="inlineStr">
        <is>
          <t>정보 없음</t>
        </is>
      </c>
      <c r="N99" t="inlineStr">
        <is>
          <t>정보 없음</t>
        </is>
      </c>
      <c r="O99" s="3" t="inlineStr">
        <is>
          <t>사랑</t>
        </is>
      </c>
      <c r="P99" s="4" t="n">
        <v>1</v>
      </c>
      <c r="Q99" s="3" t="inlineStr"/>
      <c r="R99" s="3" t="inlineStr"/>
      <c r="S99" s="3" t="inlineStr">
        <is>
          <t>정보 없음</t>
        </is>
      </c>
      <c r="T99" s="3" t="inlineStr"/>
      <c r="U99" s="3" t="inlineStr"/>
      <c r="V99" s="3" t="inlineStr">
        <is>
          <t>정보 없음</t>
        </is>
      </c>
    </row>
    <row r="100">
      <c r="A100" s="3" t="inlineStr">
        <is>
          <t>남이면 [노출거부]</t>
        </is>
      </c>
      <c r="B100" s="3" t="inlineStr">
        <is>
          <t>정보 없음</t>
        </is>
      </c>
      <c r="C100" s="3" t="inlineStr">
        <is>
          <t>정보 없음</t>
        </is>
      </c>
      <c r="D100" s="3" t="inlineStr">
        <is>
          <t>답</t>
        </is>
      </c>
      <c r="E100" s="3" t="inlineStr">
        <is>
          <t>매매</t>
        </is>
      </c>
      <c r="F100" s="4" t="n">
        <v>105000</v>
      </c>
      <c r="G100" s="4" t="n">
        <v>866</v>
      </c>
      <c r="H100" s="4" t="n">
        <v>262</v>
      </c>
      <c r="I100" s="5" t="n">
        <v>400.8</v>
      </c>
      <c r="J100" s="5" t="n">
        <v>0</v>
      </c>
      <c r="K100" s="3" t="inlineStr">
        <is>
          <t>nan</t>
        </is>
      </c>
      <c r="L100" s="6">
        <f>HYPERLINK("https://fin.land.naver.com/articles/2650241615", "매물Link")</f>
        <v/>
      </c>
      <c r="M100" t="inlineStr">
        <is>
          <t>정보 없음</t>
        </is>
      </c>
      <c r="N100" t="inlineStr">
        <is>
          <t>정보 없음</t>
        </is>
      </c>
      <c r="O100" s="3" t="inlineStr">
        <is>
          <t>공상배</t>
        </is>
      </c>
      <c r="P100" s="4" t="n">
        <v>1</v>
      </c>
      <c r="Q100" s="3" t="inlineStr"/>
      <c r="R100" s="3" t="inlineStr"/>
      <c r="S100" s="3" t="inlineStr">
        <is>
          <t>정보 없음</t>
        </is>
      </c>
      <c r="T100" s="3" t="inlineStr"/>
      <c r="U100" s="3" t="inlineStr"/>
      <c r="V100" s="3" t="inlineStr">
        <is>
          <t>정보 없음</t>
        </is>
      </c>
    </row>
    <row r="101">
      <c r="A101" s="3" t="inlineStr">
        <is>
          <t>남이면 [노출거부]</t>
        </is>
      </c>
      <c r="B101" s="3" t="inlineStr">
        <is>
          <t>정보 없음</t>
        </is>
      </c>
      <c r="C101" s="3" t="inlineStr">
        <is>
          <t>정보 없음</t>
        </is>
      </c>
      <c r="D101" s="3" t="inlineStr">
        <is>
          <t>전</t>
        </is>
      </c>
      <c r="E101" s="3" t="inlineStr">
        <is>
          <t>매매</t>
        </is>
      </c>
      <c r="F101" s="4" t="n">
        <v>42000</v>
      </c>
      <c r="G101" s="4" t="n">
        <v>2307</v>
      </c>
      <c r="H101" s="4" t="n">
        <v>698</v>
      </c>
      <c r="I101" s="5" t="n">
        <v>60.2</v>
      </c>
      <c r="J101" s="5" t="n">
        <v>0</v>
      </c>
      <c r="K101" s="3" t="inlineStr">
        <is>
          <t>분할가능 전원택지 최적 자연취락지구.2~3필지로 분할 사용가능</t>
        </is>
      </c>
      <c r="L101" s="6">
        <f>HYPERLINK("https://fin.land.naver.com/articles/2652185742", "매물Link")</f>
        <v/>
      </c>
      <c r="M101" t="inlineStr">
        <is>
          <t>정보 없음</t>
        </is>
      </c>
      <c r="N101" t="inlineStr">
        <is>
          <t>정보 없음</t>
        </is>
      </c>
      <c r="O101" s="3" t="inlineStr">
        <is>
          <t>사랑</t>
        </is>
      </c>
      <c r="P101" s="4" t="n">
        <v>1</v>
      </c>
      <c r="Q101" s="3" t="inlineStr"/>
      <c r="R101" s="3" t="inlineStr"/>
      <c r="S101" s="3" t="inlineStr">
        <is>
          <t>정보 없음</t>
        </is>
      </c>
      <c r="T101" s="3" t="inlineStr"/>
      <c r="U101" s="3" t="inlineStr"/>
      <c r="V101" s="3" t="inlineStr">
        <is>
          <t>정보 없음</t>
        </is>
      </c>
    </row>
    <row r="102">
      <c r="A102" s="3" t="inlineStr">
        <is>
          <t>남이면 [노출거부]</t>
        </is>
      </c>
      <c r="B102" s="3" t="inlineStr">
        <is>
          <t>정보 없음</t>
        </is>
      </c>
      <c r="C102" s="3" t="inlineStr">
        <is>
          <t>정보 없음</t>
        </is>
      </c>
      <c r="D102" s="3" t="inlineStr">
        <is>
          <t>전</t>
        </is>
      </c>
      <c r="E102" s="3" t="inlineStr">
        <is>
          <t>매매</t>
        </is>
      </c>
      <c r="F102" s="4" t="n">
        <v>28000</v>
      </c>
      <c r="G102" s="4" t="n">
        <v>683</v>
      </c>
      <c r="H102" s="4" t="n">
        <v>207</v>
      </c>
      <c r="I102" s="5" t="n">
        <v>135.3</v>
      </c>
      <c r="J102" s="5" t="n">
        <v>0</v>
      </c>
      <c r="K102" s="3" t="inlineStr">
        <is>
          <t>4m 도로접한 주택이나 창고용지</t>
        </is>
      </c>
      <c r="L102" s="6">
        <f>HYPERLINK("https://fin.land.naver.com/articles/2652185076", "매물Link")</f>
        <v/>
      </c>
      <c r="M102" t="inlineStr">
        <is>
          <t>정보 없음</t>
        </is>
      </c>
      <c r="N102" t="inlineStr">
        <is>
          <t>정보 없음</t>
        </is>
      </c>
      <c r="O102" s="3" t="inlineStr">
        <is>
          <t>사랑</t>
        </is>
      </c>
      <c r="P102" s="4" t="n">
        <v>1</v>
      </c>
      <c r="Q102" s="3" t="inlineStr"/>
      <c r="R102" s="3" t="inlineStr"/>
      <c r="S102" s="3" t="inlineStr">
        <is>
          <t>정보 없음</t>
        </is>
      </c>
      <c r="T102" s="3" t="inlineStr"/>
      <c r="U102" s="3" t="inlineStr"/>
      <c r="V102" s="3" t="inlineStr">
        <is>
          <t>정보 없음</t>
        </is>
      </c>
    </row>
    <row r="103">
      <c r="A103" s="3" t="inlineStr">
        <is>
          <t>남이면 [노출거부]</t>
        </is>
      </c>
      <c r="B103" s="3" t="inlineStr">
        <is>
          <t>정보 없음</t>
        </is>
      </c>
      <c r="C103" s="3" t="inlineStr">
        <is>
          <t>정보 없음</t>
        </is>
      </c>
      <c r="D103" s="3" t="inlineStr">
        <is>
          <t>전</t>
        </is>
      </c>
      <c r="E103" s="3" t="inlineStr">
        <is>
          <t>매매</t>
        </is>
      </c>
      <c r="F103" s="4" t="n">
        <v>14000</v>
      </c>
      <c r="G103" s="4" t="n">
        <v>660</v>
      </c>
      <c r="H103" s="4" t="n">
        <v>200</v>
      </c>
      <c r="I103" s="5" t="n">
        <v>70</v>
      </c>
      <c r="J103" s="5" t="n">
        <v>0</v>
      </c>
      <c r="K103" s="3" t="inlineStr">
        <is>
          <t>포장도로접 전망좋음 땅모양 네모반듯 농막설치하고 주말농장 하실분 추천</t>
        </is>
      </c>
      <c r="L103" s="6">
        <f>HYPERLINK("https://fin.land.naver.com/articles/2652097973", "매물Link")</f>
        <v/>
      </c>
      <c r="M103" t="inlineStr">
        <is>
          <t>정보 없음</t>
        </is>
      </c>
      <c r="N103" t="inlineStr">
        <is>
          <t>정보 없음</t>
        </is>
      </c>
      <c r="O103" s="3" t="inlineStr">
        <is>
          <t>신두꺼비</t>
        </is>
      </c>
      <c r="P103" s="4" t="n">
        <v>1</v>
      </c>
      <c r="Q103" s="3" t="inlineStr"/>
      <c r="R103" s="3" t="inlineStr"/>
      <c r="S103" s="3" t="inlineStr">
        <is>
          <t>정보 없음</t>
        </is>
      </c>
      <c r="T103" s="3" t="inlineStr"/>
      <c r="U103" s="3" t="inlineStr"/>
      <c r="V103" s="3" t="inlineStr">
        <is>
          <t>정보 없음</t>
        </is>
      </c>
    </row>
    <row r="104">
      <c r="A104" s="3" t="inlineStr">
        <is>
          <t>남이면 [노출거부]</t>
        </is>
      </c>
      <c r="B104" s="3" t="inlineStr">
        <is>
          <t>정보 없음</t>
        </is>
      </c>
      <c r="C104" s="3" t="inlineStr">
        <is>
          <t>정보 없음</t>
        </is>
      </c>
      <c r="D104" s="3" t="inlineStr">
        <is>
          <t>공장용지</t>
        </is>
      </c>
      <c r="E104" s="3" t="inlineStr">
        <is>
          <t>매매</t>
        </is>
      </c>
      <c r="F104" s="4" t="n">
        <v>550000</v>
      </c>
      <c r="G104" s="4" t="n">
        <v>18456</v>
      </c>
      <c r="H104" s="4" t="n">
        <v>5583</v>
      </c>
      <c r="I104" s="5" t="n">
        <v>98.5</v>
      </c>
      <c r="J104" s="5" t="n">
        <v>0</v>
      </c>
      <c r="K104" s="3" t="inlineStr">
        <is>
          <t>급매물공장용지허가완료</t>
        </is>
      </c>
      <c r="L104" s="6">
        <f>HYPERLINK("https://fin.land.naver.com/articles/2652027785", "매물Link")</f>
        <v/>
      </c>
      <c r="M104" t="inlineStr">
        <is>
          <t>정보 없음</t>
        </is>
      </c>
      <c r="N104" t="inlineStr">
        <is>
          <t>정보 없음</t>
        </is>
      </c>
      <c r="O104" s="3" t="inlineStr">
        <is>
          <t>남청주ic합동무소</t>
        </is>
      </c>
      <c r="P104" s="4" t="n">
        <v>1</v>
      </c>
      <c r="Q104" s="3" t="inlineStr"/>
      <c r="R104" s="3" t="inlineStr"/>
      <c r="S104" s="3" t="inlineStr">
        <is>
          <t>정보 없음</t>
        </is>
      </c>
      <c r="T104" s="3" t="inlineStr"/>
      <c r="U104" s="3" t="inlineStr"/>
      <c r="V104" s="3" t="inlineStr">
        <is>
          <t>정보 없음</t>
        </is>
      </c>
    </row>
    <row r="105">
      <c r="A105" s="3" t="inlineStr">
        <is>
          <t>남이면 [노출거부]</t>
        </is>
      </c>
      <c r="B105" s="3" t="inlineStr">
        <is>
          <t>정보 없음</t>
        </is>
      </c>
      <c r="C105" s="3" t="inlineStr">
        <is>
          <t>정보 없음</t>
        </is>
      </c>
      <c r="D105" s="3" t="inlineStr">
        <is>
          <t>전</t>
        </is>
      </c>
      <c r="E105" s="3" t="inlineStr">
        <is>
          <t>매매</t>
        </is>
      </c>
      <c r="F105" s="4" t="n">
        <v>19900</v>
      </c>
      <c r="G105" s="4" t="n">
        <v>659</v>
      </c>
      <c r="H105" s="4" t="n">
        <v>199</v>
      </c>
      <c r="I105" s="5" t="n">
        <v>100</v>
      </c>
      <c r="J105" s="5" t="n">
        <v>0</v>
      </c>
      <c r="K105" s="3" t="inlineStr">
        <is>
          <t>남청주ic5분,남이면사무소인근,소형창고 공장,전원주택등 추천</t>
        </is>
      </c>
      <c r="L105" s="6">
        <f>HYPERLINK("https://fin.land.naver.com/articles/2653216715", "매물Link")</f>
        <v/>
      </c>
      <c r="M105" t="inlineStr">
        <is>
          <t>정보 없음</t>
        </is>
      </c>
      <c r="N105" t="inlineStr">
        <is>
          <t>정보 없음</t>
        </is>
      </c>
      <c r="O105" s="3" t="inlineStr">
        <is>
          <t>대학합동사무소</t>
        </is>
      </c>
      <c r="P105" s="4" t="n">
        <v>1</v>
      </c>
      <c r="Q105" s="3" t="inlineStr"/>
      <c r="R105" s="3" t="inlineStr"/>
      <c r="S105" s="3" t="inlineStr">
        <is>
          <t>정보 없음</t>
        </is>
      </c>
      <c r="T105" s="3" t="inlineStr"/>
      <c r="U105" s="3" t="inlineStr"/>
      <c r="V105" s="3" t="inlineStr">
        <is>
          <t>정보 없음</t>
        </is>
      </c>
    </row>
    <row r="106">
      <c r="A106" s="3" t="inlineStr">
        <is>
          <t>남이면 [노출거부]</t>
        </is>
      </c>
      <c r="B106" s="3" t="inlineStr">
        <is>
          <t>정보 없음</t>
        </is>
      </c>
      <c r="C106" s="3" t="inlineStr">
        <is>
          <t>정보 없음</t>
        </is>
      </c>
      <c r="D106" s="3" t="inlineStr">
        <is>
          <t>임야</t>
        </is>
      </c>
      <c r="E106" s="3" t="inlineStr">
        <is>
          <t>매매</t>
        </is>
      </c>
      <c r="F106" s="4" t="n">
        <v>18000</v>
      </c>
      <c r="G106" s="4" t="n">
        <v>526</v>
      </c>
      <c r="H106" s="4" t="n">
        <v>159</v>
      </c>
      <c r="I106" s="5" t="n">
        <v>113.2</v>
      </c>
      <c r="J106" s="5" t="n">
        <v>0</v>
      </c>
      <c r="K106" s="3" t="inlineStr">
        <is>
          <t>팔봉리 주택지 매매</t>
        </is>
      </c>
      <c r="L106" s="6">
        <f>HYPERLINK("https://fin.land.naver.com/articles/2650994453", "매물Link")</f>
        <v/>
      </c>
      <c r="M106" t="inlineStr">
        <is>
          <t>정보 없음</t>
        </is>
      </c>
      <c r="N106" t="inlineStr">
        <is>
          <t>정보 없음</t>
        </is>
      </c>
      <c r="O106" s="3" t="inlineStr">
        <is>
          <t>사거리</t>
        </is>
      </c>
      <c r="P106" s="4" t="n">
        <v>1</v>
      </c>
      <c r="Q106" s="3" t="inlineStr"/>
      <c r="R106" s="3" t="inlineStr"/>
      <c r="S106" s="3" t="inlineStr">
        <is>
          <t>정보 없음</t>
        </is>
      </c>
      <c r="T106" s="3" t="inlineStr"/>
      <c r="U106" s="3" t="inlineStr"/>
      <c r="V106" s="3" t="inlineStr">
        <is>
          <t>정보 없음</t>
        </is>
      </c>
    </row>
    <row r="107">
      <c r="A107" s="3" t="inlineStr">
        <is>
          <t>남이면 [노출거부]</t>
        </is>
      </c>
      <c r="B107" s="3" t="inlineStr">
        <is>
          <t>정보 없음</t>
        </is>
      </c>
      <c r="C107" s="3" t="inlineStr">
        <is>
          <t>정보 없음</t>
        </is>
      </c>
      <c r="D107" s="3" t="inlineStr">
        <is>
          <t>임야</t>
        </is>
      </c>
      <c r="E107" s="3" t="inlineStr">
        <is>
          <t>매매</t>
        </is>
      </c>
      <c r="F107" s="4" t="n">
        <v>17000</v>
      </c>
      <c r="G107" s="4" t="n">
        <v>396</v>
      </c>
      <c r="H107" s="4" t="n">
        <v>120</v>
      </c>
      <c r="I107" s="5" t="n">
        <v>141.7</v>
      </c>
      <c r="J107" s="5" t="n">
        <v>0</v>
      </c>
      <c r="K107" s="3" t="inlineStr">
        <is>
          <t>도심지에서 가까운 조성완료된 전원주택지</t>
        </is>
      </c>
      <c r="L107" s="6">
        <f>HYPERLINK("https://fin.land.naver.com/articles/2648363453", "매물Link")</f>
        <v/>
      </c>
      <c r="M107" t="inlineStr">
        <is>
          <t>정보 없음</t>
        </is>
      </c>
      <c r="N107" t="inlineStr">
        <is>
          <t>정보 없음</t>
        </is>
      </c>
      <c r="O107" s="3" t="inlineStr">
        <is>
          <t>명진</t>
        </is>
      </c>
      <c r="P107" s="4" t="n">
        <v>1</v>
      </c>
      <c r="Q107" s="3" t="inlineStr"/>
      <c r="R107" s="3" t="inlineStr"/>
      <c r="S107" s="3" t="inlineStr">
        <is>
          <t>정보 없음</t>
        </is>
      </c>
      <c r="T107" s="3" t="inlineStr"/>
      <c r="U107" s="3" t="inlineStr"/>
      <c r="V107" s="3" t="inlineStr">
        <is>
          <t>정보 없음</t>
        </is>
      </c>
    </row>
    <row r="108">
      <c r="A108" s="3" t="inlineStr">
        <is>
          <t>남이면 [노출거부]</t>
        </is>
      </c>
      <c r="B108" s="3" t="inlineStr">
        <is>
          <t>정보 없음</t>
        </is>
      </c>
      <c r="C108" s="3" t="inlineStr">
        <is>
          <t>정보 없음</t>
        </is>
      </c>
      <c r="D108" s="3" t="inlineStr">
        <is>
          <t>전</t>
        </is>
      </c>
      <c r="E108" s="3" t="inlineStr">
        <is>
          <t>매매</t>
        </is>
      </c>
      <c r="F108" s="4" t="n">
        <v>12500</v>
      </c>
      <c r="G108" s="4" t="n">
        <v>1289</v>
      </c>
      <c r="H108" s="4" t="n">
        <v>390</v>
      </c>
      <c r="I108" s="5" t="n">
        <v>32.1</v>
      </c>
      <c r="J108" s="5" t="n">
        <v>0</v>
      </c>
      <c r="K108" s="3" t="inlineStr">
        <is>
          <t>투자 및 주말농장으로 활용하실 분 추천, 맹지지만 이동 통로 있음</t>
        </is>
      </c>
      <c r="L108" s="6">
        <f>HYPERLINK("https://fin.land.naver.com/articles/2651438311", "매물Link")</f>
        <v/>
      </c>
      <c r="M108" t="inlineStr">
        <is>
          <t>정보 없음</t>
        </is>
      </c>
      <c r="N108" t="inlineStr">
        <is>
          <t>정보 없음</t>
        </is>
      </c>
      <c r="O108" s="3" t="inlineStr">
        <is>
          <t>하경</t>
        </is>
      </c>
      <c r="P108" s="4" t="n">
        <v>1</v>
      </c>
      <c r="Q108" s="3" t="inlineStr"/>
      <c r="R108" s="3" t="inlineStr"/>
      <c r="S108" s="3" t="inlineStr">
        <is>
          <t>정보 없음</t>
        </is>
      </c>
      <c r="T108" s="3" t="inlineStr"/>
      <c r="U108" s="3" t="inlineStr"/>
      <c r="V108" s="3" t="inlineStr">
        <is>
          <t>정보 없음</t>
        </is>
      </c>
    </row>
    <row r="109">
      <c r="A109" s="3" t="inlineStr">
        <is>
          <t>남이면 [노출거부]</t>
        </is>
      </c>
      <c r="B109" s="3" t="inlineStr">
        <is>
          <t>정보 없음</t>
        </is>
      </c>
      <c r="C109" s="3" t="inlineStr">
        <is>
          <t>정보 없음</t>
        </is>
      </c>
      <c r="D109" s="3" t="inlineStr">
        <is>
          <t>임야</t>
        </is>
      </c>
      <c r="E109" s="3" t="inlineStr">
        <is>
          <t>매매</t>
        </is>
      </c>
      <c r="F109" s="4" t="n">
        <v>8500</v>
      </c>
      <c r="G109" s="4" t="n">
        <v>1968</v>
      </c>
      <c r="H109" s="4" t="n">
        <v>595</v>
      </c>
      <c r="I109" s="5" t="n">
        <v>14.3</v>
      </c>
      <c r="J109" s="5" t="n">
        <v>0</v>
      </c>
      <c r="K109" s="3" t="inlineStr">
        <is>
          <t>산소자리로  무진장 좋은곳 입니다</t>
        </is>
      </c>
      <c r="L109" s="6">
        <f>HYPERLINK("https://fin.land.naver.com/articles/2651131484", "매물Link")</f>
        <v/>
      </c>
      <c r="M109" t="inlineStr">
        <is>
          <t>정보 없음</t>
        </is>
      </c>
      <c r="N109" t="inlineStr">
        <is>
          <t>정보 없음</t>
        </is>
      </c>
      <c r="O109" s="3" t="inlineStr">
        <is>
          <t>비타민</t>
        </is>
      </c>
      <c r="P109" s="4" t="n">
        <v>1</v>
      </c>
      <c r="Q109" s="3" t="inlineStr"/>
      <c r="R109" s="3" t="inlineStr"/>
      <c r="S109" s="3" t="inlineStr">
        <is>
          <t>정보 없음</t>
        </is>
      </c>
      <c r="T109" s="3" t="inlineStr"/>
      <c r="U109" s="3" t="inlineStr"/>
      <c r="V109" s="3" t="inlineStr">
        <is>
          <t>정보 없음</t>
        </is>
      </c>
    </row>
    <row r="110">
      <c r="A110" s="3" t="inlineStr">
        <is>
          <t>남이면 [노출거부]</t>
        </is>
      </c>
      <c r="B110" s="3" t="inlineStr">
        <is>
          <t>정보 없음</t>
        </is>
      </c>
      <c r="C110" s="3" t="inlineStr">
        <is>
          <t>정보 없음</t>
        </is>
      </c>
      <c r="D110" s="3" t="inlineStr">
        <is>
          <t>답</t>
        </is>
      </c>
      <c r="E110" s="3" t="inlineStr">
        <is>
          <t>매매</t>
        </is>
      </c>
      <c r="F110" s="4" t="n">
        <v>82000</v>
      </c>
      <c r="G110" s="4" t="n">
        <v>2707</v>
      </c>
      <c r="H110" s="4" t="n">
        <v>819</v>
      </c>
      <c r="I110" s="5" t="n">
        <v>100.1</v>
      </c>
      <c r="J110" s="5" t="n">
        <v>0</v>
      </c>
      <c r="K110" s="3" t="inlineStr">
        <is>
          <t>2차선접함,세종,청주 20분거리,물류 공장 창고등 추천</t>
        </is>
      </c>
      <c r="L110" s="6">
        <f>HYPERLINK("https://fin.land.naver.com/articles/2652711776", "매물Link")</f>
        <v/>
      </c>
      <c r="M110" t="inlineStr">
        <is>
          <t>정보 없음</t>
        </is>
      </c>
      <c r="N110" t="inlineStr">
        <is>
          <t>정보 없음</t>
        </is>
      </c>
      <c r="O110" s="3" t="inlineStr">
        <is>
          <t>대학합동사무소</t>
        </is>
      </c>
      <c r="P110" s="4" t="n">
        <v>1</v>
      </c>
      <c r="Q110" s="3" t="inlineStr"/>
      <c r="R110" s="3" t="inlineStr"/>
      <c r="S110" s="3" t="inlineStr">
        <is>
          <t>정보 없음</t>
        </is>
      </c>
      <c r="T110" s="3" t="inlineStr"/>
      <c r="U110" s="3" t="inlineStr"/>
      <c r="V110" s="3" t="inlineStr">
        <is>
          <t>정보 없음</t>
        </is>
      </c>
    </row>
    <row r="111">
      <c r="A111" s="3" t="inlineStr">
        <is>
          <t>남이면 [노출거부]</t>
        </is>
      </c>
      <c r="B111" s="3" t="inlineStr">
        <is>
          <t>정보 없음</t>
        </is>
      </c>
      <c r="C111" s="3" t="inlineStr">
        <is>
          <t>정보 없음</t>
        </is>
      </c>
      <c r="D111" s="3" t="inlineStr">
        <is>
          <t>대</t>
        </is>
      </c>
      <c r="E111" s="3" t="inlineStr">
        <is>
          <t>매매</t>
        </is>
      </c>
      <c r="F111" s="4" t="n">
        <v>12700</v>
      </c>
      <c r="G111" s="4" t="n">
        <v>768</v>
      </c>
      <c r="H111" s="4" t="n">
        <v>232</v>
      </c>
      <c r="I111" s="5" t="n">
        <v>54.7</v>
      </c>
      <c r="J111" s="5" t="n">
        <v>0</v>
      </c>
      <c r="K111" s="3" t="inlineStr">
        <is>
          <t>문동리 토지 매매</t>
        </is>
      </c>
      <c r="L111" s="6">
        <f>HYPERLINK("https://fin.land.naver.com/articles/2652873262", "매물Link")</f>
        <v/>
      </c>
      <c r="M111" t="inlineStr">
        <is>
          <t>정보 없음</t>
        </is>
      </c>
      <c r="N111" t="inlineStr">
        <is>
          <t>정보 없음</t>
        </is>
      </c>
      <c r="O111" s="3" t="inlineStr">
        <is>
          <t>사거리</t>
        </is>
      </c>
      <c r="P111" s="4" t="n">
        <v>1</v>
      </c>
      <c r="Q111" s="3" t="inlineStr"/>
      <c r="R111" s="3" t="inlineStr"/>
      <c r="S111" s="3" t="inlineStr">
        <is>
          <t>정보 없음</t>
        </is>
      </c>
      <c r="T111" s="3" t="inlineStr"/>
      <c r="U111" s="3" t="inlineStr"/>
      <c r="V111" s="3" t="inlineStr">
        <is>
          <t>정보 없음</t>
        </is>
      </c>
    </row>
    <row r="112">
      <c r="A112" s="3" t="inlineStr">
        <is>
          <t>남이면 [노출거부]</t>
        </is>
      </c>
      <c r="B112" s="3" t="inlineStr">
        <is>
          <t>정보 없음</t>
        </is>
      </c>
      <c r="C112" s="3" t="inlineStr">
        <is>
          <t>정보 없음</t>
        </is>
      </c>
      <c r="D112" s="3" t="inlineStr">
        <is>
          <t>답</t>
        </is>
      </c>
      <c r="E112" s="3" t="inlineStr">
        <is>
          <t>매매</t>
        </is>
      </c>
      <c r="F112" s="4" t="n">
        <v>18000</v>
      </c>
      <c r="G112" s="4" t="n">
        <v>1448</v>
      </c>
      <c r="H112" s="4" t="n">
        <v>438</v>
      </c>
      <c r="I112" s="5" t="n">
        <v>41.1</v>
      </c>
      <c r="J112" s="5" t="n">
        <v>0</v>
      </c>
      <c r="K112" s="3" t="inlineStr">
        <is>
          <t>도시지역, 자연녹지지역, 지적도상 도로 있음</t>
        </is>
      </c>
      <c r="L112" s="6">
        <f>HYPERLINK("https://fin.land.naver.com/articles/2653050176", "매물Link")</f>
        <v/>
      </c>
      <c r="M112" t="inlineStr">
        <is>
          <t>정보 없음</t>
        </is>
      </c>
      <c r="N112" t="inlineStr">
        <is>
          <t>정보 없음</t>
        </is>
      </c>
      <c r="O112" s="3" t="inlineStr">
        <is>
          <t>하경</t>
        </is>
      </c>
      <c r="P112" s="4" t="n">
        <v>1</v>
      </c>
      <c r="Q112" s="3" t="inlineStr"/>
      <c r="R112" s="3" t="inlineStr"/>
      <c r="S112" s="3" t="inlineStr">
        <is>
          <t>정보 없음</t>
        </is>
      </c>
      <c r="T112" s="3" t="inlineStr"/>
      <c r="U112" s="3" t="inlineStr"/>
      <c r="V112" s="3" t="inlineStr">
        <is>
          <t>정보 없음</t>
        </is>
      </c>
    </row>
    <row r="113">
      <c r="A113" s="3" t="inlineStr">
        <is>
          <t>남이면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답</t>
        </is>
      </c>
      <c r="E113" s="3" t="inlineStr">
        <is>
          <t>매매</t>
        </is>
      </c>
      <c r="F113" s="4" t="n">
        <v>168000</v>
      </c>
      <c r="G113" s="4" t="n">
        <v>6188</v>
      </c>
      <c r="H113" s="4" t="n">
        <v>1872</v>
      </c>
      <c r="I113" s="5" t="n">
        <v>89.7</v>
      </c>
      <c r="J113" s="5" t="n">
        <v>0</v>
      </c>
      <c r="K113" s="3" t="inlineStr">
        <is>
          <t>남이면 척북리 소재.6미터도로확보.공장 창고 적합지</t>
        </is>
      </c>
      <c r="L113" s="6">
        <f>HYPERLINK("https://fin.land.naver.com/articles/2651771231", "매물Link")</f>
        <v/>
      </c>
      <c r="M113" t="inlineStr">
        <is>
          <t>정보 없음</t>
        </is>
      </c>
      <c r="N113" t="inlineStr">
        <is>
          <t>정보 없음</t>
        </is>
      </c>
      <c r="O113" s="3" t="inlineStr">
        <is>
          <t>사랑</t>
        </is>
      </c>
      <c r="P113" s="4" t="n">
        <v>1</v>
      </c>
      <c r="Q113" s="3" t="inlineStr"/>
      <c r="R113" s="3" t="inlineStr"/>
      <c r="S113" s="3" t="inlineStr">
        <is>
          <t>정보 없음</t>
        </is>
      </c>
      <c r="T113" s="3" t="inlineStr"/>
      <c r="U113" s="3" t="inlineStr"/>
      <c r="V113" s="3" t="inlineStr">
        <is>
          <t>정보 없음</t>
        </is>
      </c>
    </row>
    <row r="114">
      <c r="A114" s="3" t="inlineStr">
        <is>
          <t>남이면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공장용지</t>
        </is>
      </c>
      <c r="E114" s="3" t="inlineStr">
        <is>
          <t>매매</t>
        </is>
      </c>
      <c r="F114" s="4" t="n">
        <v>145000</v>
      </c>
      <c r="G114" s="4" t="n">
        <v>2886</v>
      </c>
      <c r="H114" s="4" t="n">
        <v>873</v>
      </c>
      <c r="I114" s="5" t="n">
        <v>166.1</v>
      </c>
      <c r="J114" s="5" t="n">
        <v>0</v>
      </c>
      <c r="K114" s="3" t="inlineStr">
        <is>
          <t>식품공장, 제조공장 부지</t>
        </is>
      </c>
      <c r="L114" s="6">
        <f>HYPERLINK("https://fin.land.naver.com/articles/2650191620", "매물Link")</f>
        <v/>
      </c>
      <c r="M114" t="inlineStr">
        <is>
          <t>정보 없음</t>
        </is>
      </c>
      <c r="N114" t="inlineStr">
        <is>
          <t>정보 없음</t>
        </is>
      </c>
      <c r="O114" s="3" t="inlineStr">
        <is>
          <t>온나라</t>
        </is>
      </c>
      <c r="P114" s="4" t="n">
        <v>1</v>
      </c>
      <c r="Q114" s="3" t="inlineStr"/>
      <c r="R114" s="3" t="inlineStr"/>
      <c r="S114" s="3" t="inlineStr">
        <is>
          <t>정보 없음</t>
        </is>
      </c>
      <c r="T114" s="3" t="inlineStr"/>
      <c r="U114" s="3" t="inlineStr"/>
      <c r="V114" s="3" t="inlineStr">
        <is>
          <t>정보 없음</t>
        </is>
      </c>
    </row>
    <row r="115">
      <c r="A115" s="3" t="inlineStr">
        <is>
          <t>남이면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대</t>
        </is>
      </c>
      <c r="E115" s="3" t="inlineStr">
        <is>
          <t>매매</t>
        </is>
      </c>
      <c r="F115" s="4" t="n">
        <v>208800</v>
      </c>
      <c r="G115" s="4" t="n">
        <v>2300</v>
      </c>
      <c r="H115" s="4" t="n">
        <v>696</v>
      </c>
      <c r="I115" s="5" t="n">
        <v>300</v>
      </c>
      <c r="J115" s="5" t="n">
        <v>0</v>
      </c>
      <c r="K115" s="3" t="inlineStr">
        <is>
          <t>무인모텔허가필</t>
        </is>
      </c>
      <c r="L115" s="6">
        <f>HYPERLINK("https://fin.land.naver.com/articles/2650042501", "매물Link")</f>
        <v/>
      </c>
      <c r="M115" t="inlineStr">
        <is>
          <t>정보 없음</t>
        </is>
      </c>
      <c r="N115" t="inlineStr">
        <is>
          <t>정보 없음</t>
        </is>
      </c>
      <c r="O115" s="3" t="inlineStr">
        <is>
          <t>드림사무소</t>
        </is>
      </c>
      <c r="P115" s="4" t="n">
        <v>1</v>
      </c>
      <c r="Q115" s="3" t="inlineStr"/>
      <c r="R115" s="3" t="inlineStr"/>
      <c r="S115" s="3" t="inlineStr">
        <is>
          <t>정보 없음</t>
        </is>
      </c>
      <c r="T115" s="3" t="inlineStr"/>
      <c r="U115" s="3" t="inlineStr"/>
      <c r="V115" s="3" t="inlineStr">
        <is>
          <t>정보 없음</t>
        </is>
      </c>
    </row>
    <row r="116">
      <c r="A116" s="3" t="inlineStr">
        <is>
          <t>남이면 [노출거부]</t>
        </is>
      </c>
      <c r="B116" s="3" t="inlineStr">
        <is>
          <t>정보 없음</t>
        </is>
      </c>
      <c r="C116" s="3" t="inlineStr">
        <is>
          <t>정보 없음</t>
        </is>
      </c>
      <c r="D116" s="3" t="inlineStr">
        <is>
          <t>전</t>
        </is>
      </c>
      <c r="E116" s="3" t="inlineStr">
        <is>
          <t>매매</t>
        </is>
      </c>
      <c r="F116" s="4" t="n">
        <v>322740</v>
      </c>
      <c r="G116" s="4" t="n">
        <v>5927</v>
      </c>
      <c r="H116" s="4" t="n">
        <v>1793</v>
      </c>
      <c r="I116" s="5" t="n">
        <v>180</v>
      </c>
      <c r="J116" s="5" t="n">
        <v>0</v>
      </c>
      <c r="K116" s="3" t="inlineStr">
        <is>
          <t>남청주ic 3분정도 소요되는 토지입니다</t>
        </is>
      </c>
      <c r="L116" s="6">
        <f>HYPERLINK("https://fin.land.naver.com/articles/2649905761", "매물Link")</f>
        <v/>
      </c>
      <c r="M116" t="inlineStr">
        <is>
          <t>정보 없음</t>
        </is>
      </c>
      <c r="N116" t="inlineStr">
        <is>
          <t>정보 없음</t>
        </is>
      </c>
      <c r="O116" s="3" t="inlineStr">
        <is>
          <t>복댕이무소</t>
        </is>
      </c>
      <c r="P116" s="4" t="n">
        <v>1</v>
      </c>
      <c r="Q116" s="3" t="inlineStr"/>
      <c r="R116" s="3" t="inlineStr"/>
      <c r="S116" s="3" t="inlineStr">
        <is>
          <t>정보 없음</t>
        </is>
      </c>
      <c r="T116" s="3" t="inlineStr"/>
      <c r="U116" s="3" t="inlineStr"/>
      <c r="V116" s="3" t="inlineStr">
        <is>
          <t>정보 없음</t>
        </is>
      </c>
    </row>
    <row r="117">
      <c r="A117" s="3" t="inlineStr">
        <is>
          <t>남이면 [노출거부]</t>
        </is>
      </c>
      <c r="B117" s="3" t="inlineStr">
        <is>
          <t>정보 없음</t>
        </is>
      </c>
      <c r="C117" s="3" t="inlineStr">
        <is>
          <t>정보 없음</t>
        </is>
      </c>
      <c r="D117" s="3" t="inlineStr">
        <is>
          <t>전</t>
        </is>
      </c>
      <c r="E117" s="3" t="inlineStr">
        <is>
          <t>매매</t>
        </is>
      </c>
      <c r="F117" s="4" t="n">
        <v>42000</v>
      </c>
      <c r="G117" s="4" t="n">
        <v>1903</v>
      </c>
      <c r="H117" s="4" t="n">
        <v>576</v>
      </c>
      <c r="I117" s="5" t="n">
        <v>72.90000000000001</v>
      </c>
      <c r="J117" s="5" t="n">
        <v>0</v>
      </c>
      <c r="K117" s="3" t="inlineStr">
        <is>
          <t>nan</t>
        </is>
      </c>
      <c r="L117" s="6">
        <f>HYPERLINK("https://fin.land.naver.com/articles/2649578327", "매물Link")</f>
        <v/>
      </c>
      <c r="M117" t="inlineStr">
        <is>
          <t>정보 없음</t>
        </is>
      </c>
      <c r="N117" t="inlineStr">
        <is>
          <t>정보 없음</t>
        </is>
      </c>
      <c r="O117" s="3" t="inlineStr">
        <is>
          <t>덕성</t>
        </is>
      </c>
      <c r="P117" s="4" t="n">
        <v>1</v>
      </c>
      <c r="Q117" s="3" t="inlineStr"/>
      <c r="R117" s="3" t="inlineStr"/>
      <c r="S117" s="3" t="inlineStr">
        <is>
          <t>정보 없음</t>
        </is>
      </c>
      <c r="T117" s="3" t="inlineStr"/>
      <c r="U117" s="3" t="inlineStr"/>
      <c r="V117" s="3" t="inlineStr">
        <is>
          <t>정보 없음</t>
        </is>
      </c>
    </row>
    <row r="118">
      <c r="A118" s="3" t="inlineStr">
        <is>
          <t>남이면 [노출거부]</t>
        </is>
      </c>
      <c r="B118" s="3" t="inlineStr">
        <is>
          <t>정보 없음</t>
        </is>
      </c>
      <c r="C118" s="3" t="inlineStr">
        <is>
          <t>정보 없음</t>
        </is>
      </c>
      <c r="D118" s="3" t="inlineStr">
        <is>
          <t>대</t>
        </is>
      </c>
      <c r="E118" s="3" t="inlineStr">
        <is>
          <t>매매</t>
        </is>
      </c>
      <c r="F118" s="4" t="n">
        <v>21200</v>
      </c>
      <c r="G118" s="4" t="n">
        <v>670</v>
      </c>
      <c r="H118" s="4" t="n">
        <v>203</v>
      </c>
      <c r="I118" s="5" t="n">
        <v>104.4</v>
      </c>
      <c r="J118" s="5" t="n">
        <v>0</v>
      </c>
      <c r="K118" s="3" t="inlineStr">
        <is>
          <t>nan</t>
        </is>
      </c>
      <c r="L118" s="6">
        <f>HYPERLINK("https://fin.land.naver.com/articles/2649240235", "매물Link")</f>
        <v/>
      </c>
      <c r="M118" t="inlineStr">
        <is>
          <t>정보 없음</t>
        </is>
      </c>
      <c r="N118" t="inlineStr">
        <is>
          <t>정보 없음</t>
        </is>
      </c>
      <c r="O118" s="3" t="inlineStr">
        <is>
          <t>사랑</t>
        </is>
      </c>
      <c r="P118" s="4" t="n">
        <v>1</v>
      </c>
      <c r="Q118" s="3" t="inlineStr"/>
      <c r="R118" s="3" t="inlineStr"/>
      <c r="S118" s="3" t="inlineStr">
        <is>
          <t>정보 없음</t>
        </is>
      </c>
      <c r="T118" s="3" t="inlineStr"/>
      <c r="U118" s="3" t="inlineStr"/>
      <c r="V118" s="3" t="inlineStr">
        <is>
          <t>정보 없음</t>
        </is>
      </c>
    </row>
    <row r="119">
      <c r="A119" s="3" t="inlineStr">
        <is>
          <t>남이면 [노출거부]</t>
        </is>
      </c>
      <c r="B119" s="3" t="inlineStr">
        <is>
          <t>정보 없음</t>
        </is>
      </c>
      <c r="C119" s="3" t="inlineStr">
        <is>
          <t>정보 없음</t>
        </is>
      </c>
      <c r="D119" s="3" t="inlineStr">
        <is>
          <t>임야</t>
        </is>
      </c>
      <c r="E119" s="3" t="inlineStr">
        <is>
          <t>매매</t>
        </is>
      </c>
      <c r="F119" s="4" t="n">
        <v>23000</v>
      </c>
      <c r="G119" s="4" t="n">
        <v>479</v>
      </c>
      <c r="H119" s="4" t="n">
        <v>145</v>
      </c>
      <c r="I119" s="5" t="n">
        <v>158.6</v>
      </c>
      <c r="J119" s="5" t="n">
        <v>0</v>
      </c>
      <c r="K119" s="3" t="inlineStr">
        <is>
          <t>주택지을실 분이나 소형창고 지으실분 좋아요</t>
        </is>
      </c>
      <c r="L119" s="6">
        <f>HYPERLINK("https://fin.land.naver.com/articles/2648705779", "매물Link")</f>
        <v/>
      </c>
      <c r="M119" t="inlineStr">
        <is>
          <t>정보 없음</t>
        </is>
      </c>
      <c r="N119" t="inlineStr">
        <is>
          <t>정보 없음</t>
        </is>
      </c>
      <c r="O119" s="3" t="inlineStr">
        <is>
          <t>해뜨는  사무소</t>
        </is>
      </c>
      <c r="P119" s="4" t="n">
        <v>1</v>
      </c>
      <c r="Q119" s="3" t="inlineStr"/>
      <c r="R119" s="3" t="inlineStr"/>
      <c r="S119" s="3" t="inlineStr">
        <is>
          <t>정보 없음</t>
        </is>
      </c>
      <c r="T119" s="3" t="inlineStr"/>
      <c r="U119" s="3" t="inlineStr"/>
      <c r="V119" s="3" t="inlineStr">
        <is>
          <t>정보 없음</t>
        </is>
      </c>
    </row>
    <row r="120">
      <c r="A120" s="3" t="inlineStr">
        <is>
          <t>남이면 [노출거부]</t>
        </is>
      </c>
      <c r="B120" s="3" t="inlineStr">
        <is>
          <t>정보 없음</t>
        </is>
      </c>
      <c r="C120" s="3" t="inlineStr">
        <is>
          <t>정보 없음</t>
        </is>
      </c>
      <c r="D120" s="3" t="inlineStr">
        <is>
          <t>대</t>
        </is>
      </c>
      <c r="E120" s="3" t="inlineStr">
        <is>
          <t>매매</t>
        </is>
      </c>
      <c r="F120" s="4" t="n">
        <v>35000</v>
      </c>
      <c r="G120" s="4" t="n">
        <v>655</v>
      </c>
      <c r="H120" s="4" t="n">
        <v>198</v>
      </c>
      <c r="I120" s="5" t="n">
        <v>176.8</v>
      </c>
      <c r="J120" s="5" t="n">
        <v>0</v>
      </c>
      <c r="K120" s="3" t="inlineStr">
        <is>
          <t>nan</t>
        </is>
      </c>
      <c r="L120" s="6">
        <f>HYPERLINK("https://fin.land.naver.com/articles/2648694768", "매물Link")</f>
        <v/>
      </c>
      <c r="M120" t="inlineStr">
        <is>
          <t>정보 없음</t>
        </is>
      </c>
      <c r="N120" t="inlineStr">
        <is>
          <t>정보 없음</t>
        </is>
      </c>
      <c r="O120" s="3" t="inlineStr">
        <is>
          <t>상생</t>
        </is>
      </c>
      <c r="P120" s="4" t="n">
        <v>1</v>
      </c>
      <c r="Q120" s="3" t="inlineStr"/>
      <c r="R120" s="3" t="inlineStr"/>
      <c r="S120" s="3" t="inlineStr">
        <is>
          <t>정보 없음</t>
        </is>
      </c>
      <c r="T120" s="3" t="inlineStr"/>
      <c r="U120" s="3" t="inlineStr"/>
      <c r="V120" s="3" t="inlineStr">
        <is>
          <t>정보 없음</t>
        </is>
      </c>
    </row>
    <row r="121">
      <c r="A121" s="3" t="inlineStr">
        <is>
          <t>남이면 [노출거부]</t>
        </is>
      </c>
      <c r="B121" s="3" t="inlineStr">
        <is>
          <t>정보 없음</t>
        </is>
      </c>
      <c r="C121" s="3" t="inlineStr">
        <is>
          <t>정보 없음</t>
        </is>
      </c>
      <c r="D121" s="3" t="inlineStr">
        <is>
          <t>답</t>
        </is>
      </c>
      <c r="E121" s="3" t="inlineStr">
        <is>
          <t>매매</t>
        </is>
      </c>
      <c r="F121" s="4" t="n">
        <v>193000</v>
      </c>
      <c r="G121" s="4" t="n">
        <v>4553</v>
      </c>
      <c r="H121" s="4" t="n">
        <v>1377</v>
      </c>
      <c r="I121" s="5" t="n">
        <v>140.2</v>
      </c>
      <c r="J121" s="5" t="n">
        <v>0</v>
      </c>
      <c r="K121" s="3" t="inlineStr">
        <is>
          <t>nan</t>
        </is>
      </c>
      <c r="L121" s="6">
        <f>HYPERLINK("https://fin.land.naver.com/articles/2648669404", "매물Link")</f>
        <v/>
      </c>
      <c r="M121" t="inlineStr">
        <is>
          <t>정보 없음</t>
        </is>
      </c>
      <c r="N121" t="inlineStr">
        <is>
          <t>정보 없음</t>
        </is>
      </c>
      <c r="O121" s="3" t="inlineStr">
        <is>
          <t>교차로</t>
        </is>
      </c>
      <c r="P121" s="4" t="n">
        <v>1</v>
      </c>
      <c r="Q121" s="3" t="inlineStr"/>
      <c r="R121" s="3" t="inlineStr"/>
      <c r="S121" s="3" t="inlineStr">
        <is>
          <t>정보 없음</t>
        </is>
      </c>
      <c r="T121" s="3" t="inlineStr"/>
      <c r="U121" s="3" t="inlineStr"/>
      <c r="V121" s="3" t="inlineStr">
        <is>
          <t>정보 없음</t>
        </is>
      </c>
    </row>
    <row r="122">
      <c r="A122" s="3" t="inlineStr">
        <is>
          <t>남이면 [노출거부]</t>
        </is>
      </c>
      <c r="B122" s="3" t="inlineStr">
        <is>
          <t>정보 없음</t>
        </is>
      </c>
      <c r="C122" s="3" t="inlineStr">
        <is>
          <t>정보 없음</t>
        </is>
      </c>
      <c r="D122" s="3" t="inlineStr">
        <is>
          <t>대</t>
        </is>
      </c>
      <c r="E122" s="3" t="inlineStr">
        <is>
          <t>매매</t>
        </is>
      </c>
      <c r="F122" s="4" t="n">
        <v>19000</v>
      </c>
      <c r="G122" s="4" t="n">
        <v>912</v>
      </c>
      <c r="H122" s="4" t="n">
        <v>276</v>
      </c>
      <c r="I122" s="5" t="n">
        <v>68.8</v>
      </c>
      <c r="J122" s="5" t="n">
        <v>0</v>
      </c>
      <c r="K122" s="3" t="inlineStr">
        <is>
          <t>청주에서 10분, 전원주택지, 푸근하고 아늑한 남향</t>
        </is>
      </c>
      <c r="L122" s="6">
        <f>HYPERLINK("https://fin.land.naver.com/articles/2650243026", "매물Link")</f>
        <v/>
      </c>
      <c r="M122" t="inlineStr">
        <is>
          <t>정보 없음</t>
        </is>
      </c>
      <c r="N122" t="inlineStr">
        <is>
          <t>정보 없음</t>
        </is>
      </c>
      <c r="O122" s="3" t="inlineStr">
        <is>
          <t>개신푸르지오</t>
        </is>
      </c>
      <c r="P122" s="4" t="n">
        <v>1</v>
      </c>
      <c r="Q122" s="3" t="inlineStr"/>
      <c r="R122" s="3" t="inlineStr"/>
      <c r="S122" s="3" t="inlineStr">
        <is>
          <t>정보 없음</t>
        </is>
      </c>
      <c r="T122" s="3" t="inlineStr"/>
      <c r="U122" s="3" t="inlineStr"/>
      <c r="V122" s="3" t="inlineStr">
        <is>
          <t>정보 없음</t>
        </is>
      </c>
    </row>
    <row r="123">
      <c r="A123" s="3" t="inlineStr">
        <is>
          <t>남이면 [노출거부]</t>
        </is>
      </c>
      <c r="B123" s="3" t="inlineStr">
        <is>
          <t>정보 없음</t>
        </is>
      </c>
      <c r="C123" s="3" t="inlineStr">
        <is>
          <t>정보 없음</t>
        </is>
      </c>
      <c r="D123" s="3" t="inlineStr">
        <is>
          <t>답</t>
        </is>
      </c>
      <c r="E123" s="3" t="inlineStr">
        <is>
          <t>매매</t>
        </is>
      </c>
      <c r="F123" s="4" t="n">
        <v>21800</v>
      </c>
      <c r="G123" s="4" t="n">
        <v>2059</v>
      </c>
      <c r="H123" s="4" t="n">
        <v>623</v>
      </c>
      <c r="I123" s="5" t="n">
        <v>35</v>
      </c>
      <c r="J123" s="5" t="n">
        <v>0</v>
      </c>
      <c r="K123" s="3" t="inlineStr">
        <is>
          <t>nan</t>
        </is>
      </c>
      <c r="L123" s="6">
        <f>HYPERLINK("https://fin.land.naver.com/articles/2648270720", "매물Link")</f>
        <v/>
      </c>
      <c r="M123" t="inlineStr">
        <is>
          <t>정보 없음</t>
        </is>
      </c>
      <c r="N123" t="inlineStr">
        <is>
          <t>정보 없음</t>
        </is>
      </c>
      <c r="O123" s="3" t="inlineStr">
        <is>
          <t>신영</t>
        </is>
      </c>
      <c r="P123" s="4" t="n">
        <v>1</v>
      </c>
      <c r="Q123" s="3" t="inlineStr"/>
      <c r="R123" s="3" t="inlineStr"/>
      <c r="S123" s="3" t="inlineStr">
        <is>
          <t>정보 없음</t>
        </is>
      </c>
      <c r="T123" s="3" t="inlineStr"/>
      <c r="U123" s="3" t="inlineStr"/>
      <c r="V123" s="3" t="inlineStr">
        <is>
          <t>정보 없음</t>
        </is>
      </c>
    </row>
    <row r="124">
      <c r="A124" s="3" t="inlineStr">
        <is>
          <t>남이면 [노출거부]</t>
        </is>
      </c>
      <c r="B124" s="3" t="inlineStr">
        <is>
          <t>정보 없음</t>
        </is>
      </c>
      <c r="C124" s="3" t="inlineStr">
        <is>
          <t>정보 없음</t>
        </is>
      </c>
      <c r="D124" s="3" t="inlineStr">
        <is>
          <t>대</t>
        </is>
      </c>
      <c r="E124" s="3" t="inlineStr">
        <is>
          <t>매매</t>
        </is>
      </c>
      <c r="F124" s="4" t="n">
        <v>11500</v>
      </c>
      <c r="G124" s="4" t="n">
        <v>760</v>
      </c>
      <c r="H124" s="4" t="n">
        <v>230</v>
      </c>
      <c r="I124" s="5" t="n">
        <v>50</v>
      </c>
      <c r="J124" s="5" t="n">
        <v>0</v>
      </c>
      <c r="K124" s="3" t="inlineStr">
        <is>
          <t>건축허가,토목공사 완료상태.토지 옆에 조그만 도랑 있음.</t>
        </is>
      </c>
      <c r="L124" s="6">
        <f>HYPERLINK("https://fin.land.naver.com/articles/2648234032", "매물Link")</f>
        <v/>
      </c>
      <c r="M124" t="inlineStr">
        <is>
          <t>정보 없음</t>
        </is>
      </c>
      <c r="N124" t="inlineStr">
        <is>
          <t>정보 없음</t>
        </is>
      </c>
      <c r="O124" s="3" t="inlineStr">
        <is>
          <t>청와대합동사무소</t>
        </is>
      </c>
      <c r="P124" s="4" t="n">
        <v>1</v>
      </c>
      <c r="Q124" s="3" t="inlineStr"/>
      <c r="R124" s="3" t="inlineStr"/>
      <c r="S124" s="3" t="inlineStr">
        <is>
          <t>정보 없음</t>
        </is>
      </c>
      <c r="T124" s="3" t="inlineStr"/>
      <c r="U124" s="3" t="inlineStr"/>
      <c r="V124" s="3" t="inlineStr">
        <is>
          <t>정보 없음</t>
        </is>
      </c>
    </row>
    <row r="125">
      <c r="A125" s="3" t="inlineStr">
        <is>
          <t>남이면 [노출거부]</t>
        </is>
      </c>
      <c r="B125" s="3" t="inlineStr">
        <is>
          <t>정보 없음</t>
        </is>
      </c>
      <c r="C125" s="3" t="inlineStr">
        <is>
          <t>정보 없음</t>
        </is>
      </c>
      <c r="D125" s="3" t="inlineStr">
        <is>
          <t>답</t>
        </is>
      </c>
      <c r="E125" s="3" t="inlineStr">
        <is>
          <t>매매</t>
        </is>
      </c>
      <c r="F125" s="4" t="n">
        <v>374000</v>
      </c>
      <c r="G125" s="4" t="n">
        <v>7291</v>
      </c>
      <c r="H125" s="4" t="n">
        <v>2206</v>
      </c>
      <c r="I125" s="5" t="n">
        <v>169.5</v>
      </c>
      <c r="J125" s="5" t="n">
        <v>0</v>
      </c>
      <c r="K125" s="3" t="inlineStr">
        <is>
          <t>nan</t>
        </is>
      </c>
      <c r="L125" s="6">
        <f>HYPERLINK("https://fin.land.naver.com/articles/2648228201", "매물Link")</f>
        <v/>
      </c>
      <c r="M125" t="inlineStr">
        <is>
          <t>정보 없음</t>
        </is>
      </c>
      <c r="N125" t="inlineStr">
        <is>
          <t>정보 없음</t>
        </is>
      </c>
      <c r="O125" s="3" t="inlineStr">
        <is>
          <t>좋은터</t>
        </is>
      </c>
      <c r="P125" s="4" t="n">
        <v>1</v>
      </c>
      <c r="Q125" s="3" t="inlineStr"/>
      <c r="R125" s="3" t="inlineStr"/>
      <c r="S125" s="3" t="inlineStr">
        <is>
          <t>정보 없음</t>
        </is>
      </c>
      <c r="T125" s="3" t="inlineStr"/>
      <c r="U125" s="3" t="inlineStr"/>
      <c r="V125" s="3" t="inlineStr">
        <is>
          <t>정보 없음</t>
        </is>
      </c>
    </row>
    <row r="126">
      <c r="A126" s="3" t="inlineStr">
        <is>
          <t>남이면 [노출거부]</t>
        </is>
      </c>
      <c r="B126" s="3" t="inlineStr">
        <is>
          <t>정보 없음</t>
        </is>
      </c>
      <c r="C126" s="3" t="inlineStr">
        <is>
          <t>정보 없음</t>
        </is>
      </c>
      <c r="D126" s="3" t="inlineStr">
        <is>
          <t>대</t>
        </is>
      </c>
      <c r="E126" s="3" t="inlineStr">
        <is>
          <t>매매</t>
        </is>
      </c>
      <c r="F126" s="4" t="n">
        <v>350000</v>
      </c>
      <c r="G126" s="4" t="n">
        <v>3710</v>
      </c>
      <c r="H126" s="4" t="n">
        <v>1122</v>
      </c>
      <c r="I126" s="5" t="n">
        <v>311.9</v>
      </c>
      <c r="J126" s="5" t="n">
        <v>0</v>
      </c>
      <c r="K126" s="3" t="inlineStr">
        <is>
          <t>nan</t>
        </is>
      </c>
      <c r="L126" s="6">
        <f>HYPERLINK("https://fin.land.naver.com/articles/2648227980", "매물Link")</f>
        <v/>
      </c>
      <c r="M126" t="inlineStr">
        <is>
          <t>정보 없음</t>
        </is>
      </c>
      <c r="N126" t="inlineStr">
        <is>
          <t>정보 없음</t>
        </is>
      </c>
      <c r="O126" s="3" t="inlineStr">
        <is>
          <t>좋은터</t>
        </is>
      </c>
      <c r="P126" s="4" t="n">
        <v>1</v>
      </c>
      <c r="Q126" s="3" t="inlineStr"/>
      <c r="R126" s="3" t="inlineStr"/>
      <c r="S126" s="3" t="inlineStr">
        <is>
          <t>정보 없음</t>
        </is>
      </c>
      <c r="T126" s="3" t="inlineStr"/>
      <c r="U126" s="3" t="inlineStr"/>
      <c r="V126" s="3" t="inlineStr">
        <is>
          <t>정보 없음</t>
        </is>
      </c>
    </row>
    <row r="127">
      <c r="A127" s="3" t="inlineStr">
        <is>
          <t>남이면 [노출거부]</t>
        </is>
      </c>
      <c r="B127" s="3" t="inlineStr">
        <is>
          <t>정보 없음</t>
        </is>
      </c>
      <c r="C127" s="3" t="inlineStr">
        <is>
          <t>정보 없음</t>
        </is>
      </c>
      <c r="D127" s="3" t="inlineStr">
        <is>
          <t>답</t>
        </is>
      </c>
      <c r="E127" s="3" t="inlineStr">
        <is>
          <t>매매</t>
        </is>
      </c>
      <c r="F127" s="4" t="n">
        <v>42000</v>
      </c>
      <c r="G127" s="4" t="n">
        <v>1884</v>
      </c>
      <c r="H127" s="4" t="n">
        <v>570</v>
      </c>
      <c r="I127" s="5" t="n">
        <v>73.7</v>
      </c>
      <c r="J127" s="5" t="n">
        <v>0</v>
      </c>
      <c r="K127" s="3" t="inlineStr">
        <is>
          <t>nan</t>
        </is>
      </c>
      <c r="L127" s="6">
        <f>HYPERLINK("https://fin.land.naver.com/articles/2649775100", "매물Link")</f>
        <v/>
      </c>
      <c r="M127" t="inlineStr">
        <is>
          <t>정보 없음</t>
        </is>
      </c>
      <c r="N127" t="inlineStr">
        <is>
          <t>정보 없음</t>
        </is>
      </c>
      <c r="O127" s="3" t="inlineStr">
        <is>
          <t>길</t>
        </is>
      </c>
      <c r="P127" s="4" t="n">
        <v>1</v>
      </c>
      <c r="Q127" s="3" t="inlineStr"/>
      <c r="R127" s="3" t="inlineStr"/>
      <c r="S127" s="3" t="inlineStr">
        <is>
          <t>정보 없음</t>
        </is>
      </c>
      <c r="T127" s="3" t="inlineStr"/>
      <c r="U127" s="3" t="inlineStr"/>
      <c r="V127" s="3" t="inlineStr">
        <is>
          <t>정보 없음</t>
        </is>
      </c>
    </row>
    <row r="128">
      <c r="A128" s="3" t="inlineStr">
        <is>
          <t>남이면 [노출거부]</t>
        </is>
      </c>
      <c r="B128" s="3" t="inlineStr">
        <is>
          <t>정보 없음</t>
        </is>
      </c>
      <c r="C128" s="3" t="inlineStr">
        <is>
          <t>정보 없음</t>
        </is>
      </c>
      <c r="D128" s="3" t="inlineStr">
        <is>
          <t>전</t>
        </is>
      </c>
      <c r="E128" s="3" t="inlineStr">
        <is>
          <t>매매</t>
        </is>
      </c>
      <c r="F128" s="4" t="n">
        <v>71000</v>
      </c>
      <c r="G128" s="4" t="n">
        <v>1234</v>
      </c>
      <c r="H128" s="4" t="n">
        <v>373</v>
      </c>
      <c r="I128" s="5" t="n">
        <v>190.3</v>
      </c>
      <c r="J128" s="5" t="n">
        <v>0</v>
      </c>
      <c r="K128" s="3" t="inlineStr">
        <is>
          <t>인허가 완료 산업용지 , I.C 신설 수혜지 ,공장창고 신축 가능</t>
        </is>
      </c>
      <c r="L128" s="6">
        <f>HYPERLINK("https://fin.land.naver.com/articles/2651734172", "매물Link")</f>
        <v/>
      </c>
      <c r="M128" t="inlineStr">
        <is>
          <t>정보 없음</t>
        </is>
      </c>
      <c r="N128" t="inlineStr">
        <is>
          <t>정보 없음</t>
        </is>
      </c>
      <c r="O128" s="3" t="inlineStr">
        <is>
          <t>타임합동사무소</t>
        </is>
      </c>
      <c r="P128" s="4" t="n">
        <v>1</v>
      </c>
      <c r="Q128" s="3" t="inlineStr"/>
      <c r="R128" s="3" t="inlineStr"/>
      <c r="S128" s="3" t="inlineStr">
        <is>
          <t>정보 없음</t>
        </is>
      </c>
      <c r="T128" s="3" t="inlineStr"/>
      <c r="U128" s="3" t="inlineStr"/>
      <c r="V128" s="3" t="inlineStr">
        <is>
          <t>정보 없음</t>
        </is>
      </c>
    </row>
    <row r="129">
      <c r="A129" s="3" t="inlineStr">
        <is>
          <t>남이면 [노출거부]</t>
        </is>
      </c>
      <c r="B129" s="3" t="inlineStr">
        <is>
          <t>정보 없음</t>
        </is>
      </c>
      <c r="C129" s="3" t="inlineStr">
        <is>
          <t>정보 없음</t>
        </is>
      </c>
      <c r="D129" s="3" t="inlineStr">
        <is>
          <t>답</t>
        </is>
      </c>
      <c r="E129" s="3" t="inlineStr">
        <is>
          <t>매매</t>
        </is>
      </c>
      <c r="F129" s="4" t="n">
        <v>72500</v>
      </c>
      <c r="G129" s="4" t="n">
        <v>4791</v>
      </c>
      <c r="H129" s="4" t="n">
        <v>1449</v>
      </c>
      <c r="I129" s="5" t="n">
        <v>50</v>
      </c>
      <c r="J129" s="5" t="n">
        <v>0</v>
      </c>
      <c r="K129" s="3" t="inlineStr">
        <is>
          <t>땅모양이 좋고 전망이 좋은 위치의 토지임</t>
        </is>
      </c>
      <c r="L129" s="6">
        <f>HYPERLINK("https://fin.land.naver.com/articles/2652107277", "매물Link")</f>
        <v/>
      </c>
      <c r="M129" t="inlineStr">
        <is>
          <t>정보 없음</t>
        </is>
      </c>
      <c r="N129" t="inlineStr">
        <is>
          <t>정보 없음</t>
        </is>
      </c>
      <c r="O129" s="3" t="inlineStr">
        <is>
          <t>교차로</t>
        </is>
      </c>
      <c r="P129" s="4" t="n">
        <v>1</v>
      </c>
      <c r="Q129" s="3" t="inlineStr"/>
      <c r="R129" s="3" t="inlineStr"/>
      <c r="S129" s="3" t="inlineStr">
        <is>
          <t>정보 없음</t>
        </is>
      </c>
      <c r="T129" s="3" t="inlineStr"/>
      <c r="U129" s="3" t="inlineStr"/>
      <c r="V129" s="3" t="inlineStr">
        <is>
          <t>정보 없음</t>
        </is>
      </c>
    </row>
    <row r="130">
      <c r="A130" s="3" t="inlineStr">
        <is>
          <t>남이면 [노출거부]</t>
        </is>
      </c>
      <c r="B130" s="3" t="inlineStr">
        <is>
          <t>정보 없음</t>
        </is>
      </c>
      <c r="C130" s="3" t="inlineStr">
        <is>
          <t>정보 없음</t>
        </is>
      </c>
      <c r="D130" s="3" t="inlineStr">
        <is>
          <t>임야</t>
        </is>
      </c>
      <c r="E130" s="3" t="inlineStr">
        <is>
          <t>매매</t>
        </is>
      </c>
      <c r="F130" s="4" t="n">
        <v>6000000</v>
      </c>
      <c r="G130" s="4" t="n">
        <v>110067</v>
      </c>
      <c r="H130" s="4" t="n">
        <v>33295</v>
      </c>
      <c r="I130" s="5" t="n">
        <v>180.2</v>
      </c>
      <c r="J130" s="5" t="n">
        <v>0</v>
      </c>
      <c r="K130" s="3" t="inlineStr">
        <is>
          <t>남청주IC 2분거리위치, 토목공사 완료로 매매, 대형물류창고 인,허가</t>
        </is>
      </c>
      <c r="L130" s="6">
        <f>HYPERLINK("https://fin.land.naver.com/articles/2651925306", "매물Link")</f>
        <v/>
      </c>
      <c r="M130" t="inlineStr">
        <is>
          <t>정보 없음</t>
        </is>
      </c>
      <c r="N130" t="inlineStr">
        <is>
          <t>정보 없음</t>
        </is>
      </c>
      <c r="O130" s="3" t="inlineStr">
        <is>
          <t>금화랜드</t>
        </is>
      </c>
      <c r="P130" s="4" t="n">
        <v>1</v>
      </c>
      <c r="Q130" s="3" t="inlineStr"/>
      <c r="R130" s="3" t="inlineStr"/>
      <c r="S130" s="3" t="inlineStr">
        <is>
          <t>정보 없음</t>
        </is>
      </c>
      <c r="T130" s="3" t="inlineStr"/>
      <c r="U130" s="3" t="inlineStr"/>
      <c r="V130" s="3" t="inlineStr">
        <is>
          <t>정보 없음</t>
        </is>
      </c>
    </row>
    <row r="131">
      <c r="A131" s="3" t="inlineStr">
        <is>
          <t>남이면 [노출거부]</t>
        </is>
      </c>
      <c r="B131" s="3" t="inlineStr">
        <is>
          <t>정보 없음</t>
        </is>
      </c>
      <c r="C131" s="3" t="inlineStr">
        <is>
          <t>정보 없음</t>
        </is>
      </c>
      <c r="D131" s="3" t="inlineStr">
        <is>
          <t>대</t>
        </is>
      </c>
      <c r="E131" s="3" t="inlineStr">
        <is>
          <t>매매</t>
        </is>
      </c>
      <c r="F131" s="4" t="n">
        <v>13000</v>
      </c>
      <c r="G131" s="4" t="n">
        <v>768</v>
      </c>
      <c r="H131" s="4" t="n">
        <v>232</v>
      </c>
      <c r="I131" s="5" t="n">
        <v>56</v>
      </c>
      <c r="J131" s="5" t="n">
        <v>0</v>
      </c>
      <c r="K131" s="3" t="inlineStr">
        <is>
          <t>청주에서 가까운 전원주택지, 자연환경 깨끗함, 전원주택 주변 있음</t>
        </is>
      </c>
      <c r="L131" s="6">
        <f>HYPERLINK("https://fin.land.naver.com/articles/2650242853", "매물Link")</f>
        <v/>
      </c>
      <c r="M131" t="inlineStr">
        <is>
          <t>정보 없음</t>
        </is>
      </c>
      <c r="N131" t="inlineStr">
        <is>
          <t>정보 없음</t>
        </is>
      </c>
      <c r="O131" s="3" t="inlineStr">
        <is>
          <t>개신푸르지오</t>
        </is>
      </c>
      <c r="P131" s="4" t="n">
        <v>1</v>
      </c>
      <c r="Q131" s="3" t="inlineStr"/>
      <c r="R131" s="3" t="inlineStr"/>
      <c r="S131" s="3" t="inlineStr">
        <is>
          <t>정보 없음</t>
        </is>
      </c>
      <c r="T131" s="3" t="inlineStr"/>
      <c r="U131" s="3" t="inlineStr"/>
      <c r="V131" s="3" t="inlineStr">
        <is>
          <t>정보 없음</t>
        </is>
      </c>
    </row>
    <row r="132">
      <c r="A132" s="3" t="inlineStr">
        <is>
          <t>남이면 [노출거부]</t>
        </is>
      </c>
      <c r="B132" s="3" t="inlineStr">
        <is>
          <t>정보 없음</t>
        </is>
      </c>
      <c r="C132" s="3" t="inlineStr">
        <is>
          <t>정보 없음</t>
        </is>
      </c>
      <c r="D132" s="3" t="inlineStr">
        <is>
          <t>답</t>
        </is>
      </c>
      <c r="E132" s="3" t="inlineStr">
        <is>
          <t>매매</t>
        </is>
      </c>
      <c r="F132" s="4" t="n">
        <v>6300</v>
      </c>
      <c r="G132" s="4" t="n">
        <v>1048</v>
      </c>
      <c r="H132" s="4" t="n">
        <v>317</v>
      </c>
      <c r="I132" s="5" t="n">
        <v>19.9</v>
      </c>
      <c r="J132" s="5" t="n">
        <v>0</v>
      </c>
      <c r="K132" s="3" t="inlineStr">
        <is>
          <t>숲속에 위치한 남향의 토지</t>
        </is>
      </c>
      <c r="L132" s="6">
        <f>HYPERLINK("https://fin.land.naver.com/articles/2652109712", "매물Link")</f>
        <v/>
      </c>
      <c r="M132" t="inlineStr">
        <is>
          <t>정보 없음</t>
        </is>
      </c>
      <c r="N132" t="inlineStr">
        <is>
          <t>정보 없음</t>
        </is>
      </c>
      <c r="O132" s="3" t="inlineStr">
        <is>
          <t>교차로</t>
        </is>
      </c>
      <c r="P132" s="4" t="n">
        <v>1</v>
      </c>
      <c r="Q132" s="3" t="inlineStr"/>
      <c r="R132" s="3" t="inlineStr"/>
      <c r="S132" s="3" t="inlineStr">
        <is>
          <t>정보 없음</t>
        </is>
      </c>
      <c r="T132" s="3" t="inlineStr"/>
      <c r="U132" s="3" t="inlineStr"/>
      <c r="V132" s="3" t="inlineStr">
        <is>
          <t>정보 없음</t>
        </is>
      </c>
    </row>
    <row r="133">
      <c r="A133" s="3" t="inlineStr">
        <is>
          <t>남이면 [노출거부]</t>
        </is>
      </c>
      <c r="B133" s="3" t="inlineStr">
        <is>
          <t>정보 없음</t>
        </is>
      </c>
      <c r="C133" s="3" t="inlineStr">
        <is>
          <t>정보 없음</t>
        </is>
      </c>
      <c r="D133" s="3" t="inlineStr">
        <is>
          <t>임야</t>
        </is>
      </c>
      <c r="E133" s="3" t="inlineStr">
        <is>
          <t>매매</t>
        </is>
      </c>
      <c r="F133" s="4" t="n">
        <v>105000</v>
      </c>
      <c r="G133" s="4" t="n">
        <v>9914</v>
      </c>
      <c r="H133" s="4" t="n">
        <v>2999</v>
      </c>
      <c r="I133" s="5" t="n">
        <v>35</v>
      </c>
      <c r="J133" s="5" t="n">
        <v>0</v>
      </c>
      <c r="K133" s="3" t="inlineStr">
        <is>
          <t>청주시에서 접근성이 좋은 위치에 있는 토지임</t>
        </is>
      </c>
      <c r="L133" s="6">
        <f>HYPERLINK("https://fin.land.naver.com/articles/2652109384", "매물Link")</f>
        <v/>
      </c>
      <c r="M133" t="inlineStr">
        <is>
          <t>정보 없음</t>
        </is>
      </c>
      <c r="N133" t="inlineStr">
        <is>
          <t>정보 없음</t>
        </is>
      </c>
      <c r="O133" s="3" t="inlineStr">
        <is>
          <t>교차로</t>
        </is>
      </c>
      <c r="P133" s="4" t="n">
        <v>1</v>
      </c>
      <c r="Q133" s="3" t="inlineStr"/>
      <c r="R133" s="3" t="inlineStr"/>
      <c r="S133" s="3" t="inlineStr">
        <is>
          <t>정보 없음</t>
        </is>
      </c>
      <c r="T133" s="3" t="inlineStr"/>
      <c r="U133" s="3" t="inlineStr"/>
      <c r="V133" s="3" t="inlineStr">
        <is>
          <t>정보 없음</t>
        </is>
      </c>
    </row>
    <row r="134">
      <c r="A134" s="3" t="inlineStr">
        <is>
          <t>다정동 [노출거부]</t>
        </is>
      </c>
      <c r="B134" s="3" t="inlineStr">
        <is>
          <t>정보 없음</t>
        </is>
      </c>
      <c r="C134" s="3" t="inlineStr">
        <is>
          <t>정보 없음</t>
        </is>
      </c>
      <c r="D134" s="3" t="inlineStr">
        <is>
          <t>대</t>
        </is>
      </c>
      <c r="E134" s="3" t="inlineStr">
        <is>
          <t>매매</t>
        </is>
      </c>
      <c r="F134" s="4" t="n">
        <v>55000</v>
      </c>
      <c r="G134" s="4" t="n">
        <v>397</v>
      </c>
      <c r="H134" s="4" t="n">
        <v>120</v>
      </c>
      <c r="I134" s="5" t="n">
        <v>458.3</v>
      </c>
      <c r="J134" s="5" t="n">
        <v>0</v>
      </c>
      <c r="K134" s="3" t="inlineStr">
        <is>
          <t>nan</t>
        </is>
      </c>
      <c r="L134" s="6">
        <f>HYPERLINK("https://fin.land.naver.com/articles/2652140902", "매물Link")</f>
        <v/>
      </c>
      <c r="M134" t="inlineStr">
        <is>
          <t>정보 없음</t>
        </is>
      </c>
      <c r="N134" t="inlineStr">
        <is>
          <t>정보 없음</t>
        </is>
      </c>
      <c r="O134" s="3" t="inlineStr">
        <is>
          <t>문화</t>
        </is>
      </c>
      <c r="P134" s="4" t="n">
        <v>1</v>
      </c>
      <c r="Q134" s="3" t="inlineStr"/>
      <c r="R134" s="3" t="inlineStr"/>
      <c r="S134" s="3" t="inlineStr">
        <is>
          <t>정보 없음</t>
        </is>
      </c>
      <c r="T134" s="3" t="inlineStr"/>
      <c r="U134" s="3" t="inlineStr"/>
      <c r="V134" s="3" t="inlineStr">
        <is>
          <t>정보 없음</t>
        </is>
      </c>
    </row>
    <row r="135">
      <c r="A135" s="3" t="inlineStr">
        <is>
          <t>도담동 [노출거부]</t>
        </is>
      </c>
      <c r="B135" s="3" t="inlineStr">
        <is>
          <t>정보 없음</t>
        </is>
      </c>
      <c r="C135" s="3" t="inlineStr">
        <is>
          <t>정보 없음</t>
        </is>
      </c>
      <c r="D135" s="3" t="inlineStr">
        <is>
          <t>대</t>
        </is>
      </c>
      <c r="E135" s="3" t="inlineStr">
        <is>
          <t>매매</t>
        </is>
      </c>
      <c r="F135" s="4" t="n">
        <v>84000</v>
      </c>
      <c r="G135" s="4" t="n">
        <v>273</v>
      </c>
      <c r="H135" s="4" t="n">
        <v>83</v>
      </c>
      <c r="I135" s="5" t="n">
        <v>1012</v>
      </c>
      <c r="J135" s="5" t="n">
        <v>0</v>
      </c>
      <c r="K135" s="3" t="inlineStr">
        <is>
          <t>nan</t>
        </is>
      </c>
      <c r="L135" s="6">
        <f>HYPERLINK("https://fin.land.naver.com/articles/2652395369", "매물Link")</f>
        <v/>
      </c>
      <c r="M135" t="inlineStr">
        <is>
          <t>정보 없음</t>
        </is>
      </c>
      <c r="N135" t="inlineStr">
        <is>
          <t>정보 없음</t>
        </is>
      </c>
      <c r="O135" s="3" t="inlineStr">
        <is>
          <t>대양</t>
        </is>
      </c>
      <c r="P135" s="4" t="n">
        <v>1</v>
      </c>
      <c r="Q135" s="3" t="inlineStr"/>
      <c r="R135" s="3" t="inlineStr"/>
      <c r="S135" s="3" t="inlineStr">
        <is>
          <t>정보 없음</t>
        </is>
      </c>
      <c r="T135" s="3" t="inlineStr"/>
      <c r="U135" s="3" t="inlineStr"/>
      <c r="V135" s="3" t="inlineStr">
        <is>
          <t>정보 없음</t>
        </is>
      </c>
    </row>
    <row r="136">
      <c r="A136" s="3" t="inlineStr">
        <is>
          <t>도담동 [노출거부]</t>
        </is>
      </c>
      <c r="B136" s="3" t="inlineStr">
        <is>
          <t>정보 없음</t>
        </is>
      </c>
      <c r="C136" s="3" t="inlineStr">
        <is>
          <t>정보 없음</t>
        </is>
      </c>
      <c r="D136" s="3" t="inlineStr">
        <is>
          <t>대</t>
        </is>
      </c>
      <c r="E136" s="3" t="inlineStr">
        <is>
          <t>매매</t>
        </is>
      </c>
      <c r="F136" s="4" t="n">
        <v>85000</v>
      </c>
      <c r="G136" s="4" t="n">
        <v>348</v>
      </c>
      <c r="H136" s="4" t="n">
        <v>105</v>
      </c>
      <c r="I136" s="5" t="n">
        <v>809.5</v>
      </c>
      <c r="J136" s="5" t="n">
        <v>0</v>
      </c>
      <c r="K136" s="3" t="inlineStr">
        <is>
          <t>충남대병원 인접, 교통 편리, 위치 좋은 도담동 주택지</t>
        </is>
      </c>
      <c r="L136" s="6">
        <f>HYPERLINK("https://fin.land.naver.com/articles/2652578171", "매물Link")</f>
        <v/>
      </c>
      <c r="M136" t="inlineStr">
        <is>
          <t>정보 없음</t>
        </is>
      </c>
      <c r="N136" t="inlineStr">
        <is>
          <t>정보 없음</t>
        </is>
      </c>
      <c r="O136" s="3" t="inlineStr">
        <is>
          <t>OK세종 사무소</t>
        </is>
      </c>
      <c r="P136" s="4" t="n">
        <v>1</v>
      </c>
      <c r="Q136" s="3" t="inlineStr"/>
      <c r="R136" s="3" t="inlineStr"/>
      <c r="S136" s="3" t="inlineStr">
        <is>
          <t>정보 없음</t>
        </is>
      </c>
      <c r="T136" s="3" t="inlineStr"/>
      <c r="U136" s="3" t="inlineStr"/>
      <c r="V136" s="3" t="inlineStr">
        <is>
          <t>정보 없음</t>
        </is>
      </c>
    </row>
    <row r="137">
      <c r="A137" s="3" t="inlineStr">
        <is>
          <t>도담동 [노출거부]</t>
        </is>
      </c>
      <c r="B137" s="3" t="inlineStr">
        <is>
          <t>정보 없음</t>
        </is>
      </c>
      <c r="C137" s="3" t="inlineStr">
        <is>
          <t>정보 없음</t>
        </is>
      </c>
      <c r="D137" s="3" t="inlineStr">
        <is>
          <t>대</t>
        </is>
      </c>
      <c r="E137" s="3" t="inlineStr">
        <is>
          <t>매매</t>
        </is>
      </c>
      <c r="F137" s="4" t="n">
        <v>100000</v>
      </c>
      <c r="G137" s="4" t="n">
        <v>327</v>
      </c>
      <c r="H137" s="4" t="n">
        <v>99</v>
      </c>
      <c r="I137" s="5" t="n">
        <v>1010.1</v>
      </c>
      <c r="J137" s="5" t="n">
        <v>0</v>
      </c>
      <c r="K137" s="3" t="inlineStr">
        <is>
          <t>nan</t>
        </is>
      </c>
      <c r="L137" s="6">
        <f>HYPERLINK("https://fin.land.naver.com/articles/2652834212", "매물Link")</f>
        <v/>
      </c>
      <c r="M137" t="inlineStr">
        <is>
          <t>정보 없음</t>
        </is>
      </c>
      <c r="N137" t="inlineStr">
        <is>
          <t>정보 없음</t>
        </is>
      </c>
      <c r="O137" s="3" t="inlineStr">
        <is>
          <t>최프로</t>
        </is>
      </c>
      <c r="P137" s="4" t="n">
        <v>1</v>
      </c>
      <c r="Q137" s="3" t="inlineStr"/>
      <c r="R137" s="3" t="inlineStr"/>
      <c r="S137" s="3" t="inlineStr">
        <is>
          <t>정보 없음</t>
        </is>
      </c>
      <c r="T137" s="3" t="inlineStr"/>
      <c r="U137" s="3" t="inlineStr"/>
      <c r="V137" s="3" t="inlineStr">
        <is>
          <t>정보 없음</t>
        </is>
      </c>
    </row>
    <row r="138">
      <c r="A138" s="3" t="inlineStr">
        <is>
          <t>도담동 [노출거부]</t>
        </is>
      </c>
      <c r="B138" s="3" t="inlineStr">
        <is>
          <t>정보 없음</t>
        </is>
      </c>
      <c r="C138" s="3" t="inlineStr">
        <is>
          <t>정보 없음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326</v>
      </c>
      <c r="H138" s="4" t="n">
        <v>99</v>
      </c>
      <c r="I138" s="5" t="n">
        <v>858.6</v>
      </c>
      <c r="J138" s="5" t="n">
        <v>0</v>
      </c>
      <c r="K138" s="3" t="inlineStr">
        <is>
          <t>토지급매, 가격 잘 맞춰보겠습니다,</t>
        </is>
      </c>
      <c r="L138" s="6">
        <f>HYPERLINK("https://fin.land.naver.com/articles/2653001176", "매물Link")</f>
        <v/>
      </c>
      <c r="M138" t="inlineStr">
        <is>
          <t>정보 없음</t>
        </is>
      </c>
      <c r="N138" t="inlineStr">
        <is>
          <t>정보 없음</t>
        </is>
      </c>
      <c r="O138" s="3" t="inlineStr">
        <is>
          <t>OK세종 사무소</t>
        </is>
      </c>
      <c r="P138" s="4" t="n">
        <v>1</v>
      </c>
      <c r="Q138" s="3" t="inlineStr"/>
      <c r="R138" s="3" t="inlineStr"/>
      <c r="S138" s="3" t="inlineStr">
        <is>
          <t>정보 없음</t>
        </is>
      </c>
      <c r="T138" s="3" t="inlineStr"/>
      <c r="U138" s="3" t="inlineStr"/>
      <c r="V138" s="3" t="inlineStr">
        <is>
          <t>정보 없음</t>
        </is>
      </c>
    </row>
    <row r="139">
      <c r="A139" s="3" t="inlineStr">
        <is>
          <t>도담동 [노출거부]</t>
        </is>
      </c>
      <c r="B139" s="3" t="inlineStr">
        <is>
          <t>정보 없음</t>
        </is>
      </c>
      <c r="C139" s="3" t="inlineStr">
        <is>
          <t>정보 없음</t>
        </is>
      </c>
      <c r="D139" s="3" t="inlineStr">
        <is>
          <t>대</t>
        </is>
      </c>
      <c r="E139" s="3" t="inlineStr">
        <is>
          <t>매매</t>
        </is>
      </c>
      <c r="F139" s="4" t="n">
        <v>115000</v>
      </c>
      <c r="G139" s="4" t="n">
        <v>305</v>
      </c>
      <c r="H139" s="4" t="n">
        <v>92</v>
      </c>
      <c r="I139" s="5" t="n">
        <v>1250</v>
      </c>
      <c r="J139" s="5" t="n">
        <v>0</v>
      </c>
      <c r="K139" s="3" t="inlineStr">
        <is>
          <t>도담동 말발굽 택지</t>
        </is>
      </c>
      <c r="L139" s="6">
        <f>HYPERLINK("https://fin.land.naver.com/articles/2652373920", "매물Link")</f>
        <v/>
      </c>
      <c r="M139" t="inlineStr">
        <is>
          <t>정보 없음</t>
        </is>
      </c>
      <c r="N139" t="inlineStr">
        <is>
          <t>정보 없음</t>
        </is>
      </c>
      <c r="O139" s="3" t="inlineStr">
        <is>
          <t>강아지풀</t>
        </is>
      </c>
      <c r="P139" s="4" t="n">
        <v>1</v>
      </c>
      <c r="Q139" s="3" t="inlineStr"/>
      <c r="R139" s="3" t="inlineStr"/>
      <c r="S139" s="3" t="inlineStr">
        <is>
          <t>정보 없음</t>
        </is>
      </c>
      <c r="T139" s="3" t="inlineStr"/>
      <c r="U139" s="3" t="inlineStr"/>
      <c r="V139" s="3" t="inlineStr">
        <is>
          <t>정보 없음</t>
        </is>
      </c>
    </row>
    <row r="140">
      <c r="A140" s="3" t="inlineStr">
        <is>
          <t>반곡동 [노출거부]</t>
        </is>
      </c>
      <c r="B140" s="3" t="inlineStr">
        <is>
          <t>정보 없음</t>
        </is>
      </c>
      <c r="C140" s="3" t="inlineStr">
        <is>
          <t>정보 없음</t>
        </is>
      </c>
      <c r="D140" s="3" t="inlineStr">
        <is>
          <t>대</t>
        </is>
      </c>
      <c r="E140" s="3" t="inlineStr">
        <is>
          <t>매매</t>
        </is>
      </c>
      <c r="F140" s="4" t="n">
        <v>88500</v>
      </c>
      <c r="G140" s="4" t="n">
        <v>488</v>
      </c>
      <c r="H140" s="4" t="n">
        <v>148</v>
      </c>
      <c r="I140" s="5" t="n">
        <v>598</v>
      </c>
      <c r="J140" s="5" t="n">
        <v>0</v>
      </c>
      <c r="K140" s="3" t="inlineStr">
        <is>
          <t>넓은 평수 청주대전 세종 교통이 편리 조용하고 앞으로 부촌이 될자리</t>
        </is>
      </c>
      <c r="L140" s="6">
        <f>HYPERLINK("https://fin.land.naver.com/articles/2653021505", "매물Link")</f>
        <v/>
      </c>
      <c r="M140" t="inlineStr">
        <is>
          <t>정보 없음</t>
        </is>
      </c>
      <c r="N140" t="inlineStr">
        <is>
          <t>정보 없음</t>
        </is>
      </c>
      <c r="O140" s="3" t="inlineStr">
        <is>
          <t>세종OK</t>
        </is>
      </c>
      <c r="P140" s="4" t="n">
        <v>1</v>
      </c>
      <c r="Q140" s="3" t="inlineStr"/>
      <c r="R140" s="3" t="inlineStr"/>
      <c r="S140" s="3" t="inlineStr">
        <is>
          <t>정보 없음</t>
        </is>
      </c>
      <c r="T140" s="3" t="inlineStr"/>
      <c r="U140" s="3" t="inlineStr"/>
      <c r="V140" s="3" t="inlineStr">
        <is>
          <t>정보 없음</t>
        </is>
      </c>
    </row>
    <row r="141">
      <c r="A141" s="3" t="inlineStr">
        <is>
          <t>부강면 [노출거부]</t>
        </is>
      </c>
      <c r="B141" s="3" t="inlineStr">
        <is>
          <t>정보 없음</t>
        </is>
      </c>
      <c r="C141" s="3" t="inlineStr">
        <is>
          <t>정보 없음</t>
        </is>
      </c>
      <c r="D141" s="3" t="inlineStr">
        <is>
          <t>답</t>
        </is>
      </c>
      <c r="E141" s="3" t="inlineStr">
        <is>
          <t>매매</t>
        </is>
      </c>
      <c r="F141" s="4" t="n">
        <v>173000</v>
      </c>
      <c r="G141" s="4" t="n">
        <v>816</v>
      </c>
      <c r="H141" s="4" t="n">
        <v>247</v>
      </c>
      <c r="I141" s="5" t="n">
        <v>700.4</v>
      </c>
      <c r="J141" s="5" t="n">
        <v>0</v>
      </c>
      <c r="K141" s="3" t="inlineStr">
        <is>
          <t>높은 건폐율용적률의 일반상업지 매물</t>
        </is>
      </c>
      <c r="L141" s="6">
        <f>HYPERLINK("https://fin.land.naver.com/articles/2650349446", "매물Link")</f>
        <v/>
      </c>
      <c r="M141" t="inlineStr">
        <is>
          <t>정보 없음</t>
        </is>
      </c>
      <c r="N141" t="inlineStr">
        <is>
          <t>정보 없음</t>
        </is>
      </c>
      <c r="O141" s="3" t="inlineStr">
        <is>
          <t>엄지척</t>
        </is>
      </c>
      <c r="P141" s="4" t="n">
        <v>1</v>
      </c>
      <c r="Q141" s="3" t="inlineStr"/>
      <c r="R141" s="3" t="inlineStr"/>
      <c r="S141" s="3" t="inlineStr">
        <is>
          <t>정보 없음</t>
        </is>
      </c>
      <c r="T141" s="3" t="inlineStr"/>
      <c r="U141" s="3" t="inlineStr"/>
      <c r="V141" s="3" t="inlineStr">
        <is>
          <t>정보 없음</t>
        </is>
      </c>
    </row>
    <row r="142">
      <c r="A142" s="3" t="inlineStr">
        <is>
          <t>부강면 [노출거부]</t>
        </is>
      </c>
      <c r="B142" s="3" t="inlineStr">
        <is>
          <t>정보 없음</t>
        </is>
      </c>
      <c r="C142" s="3" t="inlineStr">
        <is>
          <t>정보 없음</t>
        </is>
      </c>
      <c r="D142" s="3" t="inlineStr">
        <is>
          <t>전</t>
        </is>
      </c>
      <c r="E142" s="3" t="inlineStr">
        <is>
          <t>매매</t>
        </is>
      </c>
      <c r="F142" s="4" t="n">
        <v>63750</v>
      </c>
      <c r="G142" s="4" t="n">
        <v>1404</v>
      </c>
      <c r="H142" s="4" t="n">
        <v>425</v>
      </c>
      <c r="I142" s="5" t="n">
        <v>150</v>
      </c>
      <c r="J142" s="5" t="n">
        <v>0</v>
      </c>
      <c r="K142" s="3" t="inlineStr">
        <is>
          <t>교통최상4차2차선도로인접.남청주ic6분.공장창고용지.소형물류용지추천</t>
        </is>
      </c>
      <c r="L142" s="6">
        <f>HYPERLINK("https://fin.land.naver.com/articles/2650478567", "매물Link")</f>
        <v/>
      </c>
      <c r="M142" t="inlineStr">
        <is>
          <t>정보 없음</t>
        </is>
      </c>
      <c r="N142" t="inlineStr">
        <is>
          <t>정보 없음</t>
        </is>
      </c>
      <c r="O142" s="3" t="inlineStr">
        <is>
          <t>세종연동탑</t>
        </is>
      </c>
      <c r="P142" s="4" t="n">
        <v>1</v>
      </c>
      <c r="Q142" s="3" t="inlineStr"/>
      <c r="R142" s="3" t="inlineStr"/>
      <c r="S142" s="3" t="inlineStr">
        <is>
          <t>정보 없음</t>
        </is>
      </c>
      <c r="T142" s="3" t="inlineStr"/>
      <c r="U142" s="3" t="inlineStr"/>
      <c r="V142" s="3" t="inlineStr">
        <is>
          <t>정보 없음</t>
        </is>
      </c>
    </row>
    <row r="143">
      <c r="A143" s="3" t="inlineStr">
        <is>
          <t>부강면 [노출거부]</t>
        </is>
      </c>
      <c r="B143" s="3" t="inlineStr">
        <is>
          <t>정보 없음</t>
        </is>
      </c>
      <c r="C143" s="3" t="inlineStr">
        <is>
          <t>정보 없음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95000</v>
      </c>
      <c r="G143" s="4" t="n">
        <v>1652</v>
      </c>
      <c r="H143" s="4" t="n">
        <v>500</v>
      </c>
      <c r="I143" s="5" t="n">
        <v>190</v>
      </c>
      <c r="J143" s="5" t="n">
        <v>0</v>
      </c>
      <c r="K143" s="3" t="inlineStr">
        <is>
          <t>남청주IC5분거리,공장용지,진입도로있음</t>
        </is>
      </c>
      <c r="L143" s="6">
        <f>HYPERLINK("https://fin.land.naver.com/articles/2650969491", "매물Link")</f>
        <v/>
      </c>
      <c r="M143" t="inlineStr">
        <is>
          <t>정보 없음</t>
        </is>
      </c>
      <c r="N143" t="inlineStr">
        <is>
          <t>정보 없음</t>
        </is>
      </c>
      <c r="O143" s="3" t="inlineStr">
        <is>
          <t>OK허니</t>
        </is>
      </c>
      <c r="P143" s="4" t="n">
        <v>1</v>
      </c>
      <c r="Q143" s="3" t="inlineStr"/>
      <c r="R143" s="3" t="inlineStr"/>
      <c r="S143" s="3" t="inlineStr">
        <is>
          <t>정보 없음</t>
        </is>
      </c>
      <c r="T143" s="3" t="inlineStr"/>
      <c r="U143" s="3" t="inlineStr"/>
      <c r="V143" s="3" t="inlineStr">
        <is>
          <t>정보 없음</t>
        </is>
      </c>
    </row>
    <row r="144">
      <c r="A144" s="3" t="inlineStr">
        <is>
          <t>부강면 [노출거부]</t>
        </is>
      </c>
      <c r="B144" s="3" t="inlineStr">
        <is>
          <t>정보 없음</t>
        </is>
      </c>
      <c r="C144" s="3" t="inlineStr">
        <is>
          <t>정보 없음</t>
        </is>
      </c>
      <c r="D144" s="3" t="inlineStr">
        <is>
          <t>잡종지</t>
        </is>
      </c>
      <c r="E144" s="3" t="inlineStr">
        <is>
          <t>월세</t>
        </is>
      </c>
      <c r="F144" s="4" t="n">
        <v>2000</v>
      </c>
      <c r="G144" s="4" t="n">
        <v>2345</v>
      </c>
      <c r="H144" s="4" t="n">
        <v>709</v>
      </c>
      <c r="I144" s="5" t="n">
        <v>0.5</v>
      </c>
      <c r="J144" s="5" t="n">
        <v>0</v>
      </c>
      <c r="K144" s="3" t="inlineStr">
        <is>
          <t>2차선접.대형차량출입.야적장추천.정사각형토지로활용도최상.</t>
        </is>
      </c>
      <c r="L144" s="6">
        <f>HYPERLINK("https://fin.land.naver.com/articles/2651576051", "매물Link")</f>
        <v/>
      </c>
      <c r="M144" t="inlineStr">
        <is>
          <t>정보 없음</t>
        </is>
      </c>
      <c r="N144" t="inlineStr">
        <is>
          <t>정보 없음</t>
        </is>
      </c>
      <c r="O144" s="3" t="inlineStr">
        <is>
          <t>세종연동탑</t>
        </is>
      </c>
      <c r="P144" s="4" t="n">
        <v>1</v>
      </c>
      <c r="Q144" s="3" t="inlineStr"/>
      <c r="R144" s="3" t="inlineStr"/>
      <c r="S144" s="3" t="inlineStr">
        <is>
          <t>정보 없음</t>
        </is>
      </c>
      <c r="T144" s="3" t="inlineStr"/>
      <c r="U144" s="3" t="inlineStr"/>
      <c r="V144" s="3" t="inlineStr">
        <is>
          <t>정보 없음</t>
        </is>
      </c>
    </row>
    <row r="145">
      <c r="A145" s="3" t="inlineStr">
        <is>
          <t>부강면 [노출거부]</t>
        </is>
      </c>
      <c r="B145" s="3" t="inlineStr">
        <is>
          <t>정보 없음</t>
        </is>
      </c>
      <c r="C145" s="3" t="inlineStr">
        <is>
          <t>정보 없음</t>
        </is>
      </c>
      <c r="D145" s="3" t="inlineStr">
        <is>
          <t>대</t>
        </is>
      </c>
      <c r="E145" s="3" t="inlineStr">
        <is>
          <t>매매</t>
        </is>
      </c>
      <c r="F145" s="4" t="n">
        <v>21870</v>
      </c>
      <c r="G145" s="4" t="n">
        <v>1607</v>
      </c>
      <c r="H145" s="4" t="n">
        <v>486</v>
      </c>
      <c r="I145" s="5" t="n">
        <v>45</v>
      </c>
      <c r="J145" s="5" t="n">
        <v>0</v>
      </c>
      <c r="K145" s="3" t="inlineStr">
        <is>
          <t>세종시 계획관리지역 농지임</t>
        </is>
      </c>
      <c r="L145" s="6">
        <f>HYPERLINK("https://fin.land.naver.com/articles/2652106352", "매물Link")</f>
        <v/>
      </c>
      <c r="M145" t="inlineStr">
        <is>
          <t>정보 없음</t>
        </is>
      </c>
      <c r="N145" t="inlineStr">
        <is>
          <t>정보 없음</t>
        </is>
      </c>
      <c r="O145" s="3" t="inlineStr">
        <is>
          <t>교차로</t>
        </is>
      </c>
      <c r="P145" s="4" t="n">
        <v>1</v>
      </c>
      <c r="Q145" s="3" t="inlineStr"/>
      <c r="R145" s="3" t="inlineStr"/>
      <c r="S145" s="3" t="inlineStr">
        <is>
          <t>정보 없음</t>
        </is>
      </c>
      <c r="T145" s="3" t="inlineStr"/>
      <c r="U145" s="3" t="inlineStr"/>
      <c r="V145" s="3" t="inlineStr">
        <is>
          <t>정보 없음</t>
        </is>
      </c>
    </row>
    <row r="146">
      <c r="A146" s="3" t="inlineStr">
        <is>
          <t>부강면 [노출거부]</t>
        </is>
      </c>
      <c r="B146" s="3" t="inlineStr">
        <is>
          <t>정보 없음</t>
        </is>
      </c>
      <c r="C146" s="3" t="inlineStr">
        <is>
          <t>정보 없음</t>
        </is>
      </c>
      <c r="D146" s="3" t="inlineStr">
        <is>
          <t>대</t>
        </is>
      </c>
      <c r="E146" s="3" t="inlineStr">
        <is>
          <t>매매</t>
        </is>
      </c>
      <c r="F146" s="4" t="n">
        <v>62000</v>
      </c>
      <c r="G146" s="4" t="n">
        <v>1350</v>
      </c>
      <c r="H146" s="4" t="n">
        <v>408</v>
      </c>
      <c r="I146" s="5" t="n">
        <v>152</v>
      </c>
      <c r="J146" s="5" t="n">
        <v>0</v>
      </c>
      <c r="K146" s="3" t="inlineStr">
        <is>
          <t>민원없는 공장 밀집지역 공장 창고 신축부지로 추천, 대형차량 진출입 좋음</t>
        </is>
      </c>
      <c r="L146" s="6">
        <f>HYPERLINK("https://fin.land.naver.com/articles/2649636993", "매물Link")</f>
        <v/>
      </c>
      <c r="M146" t="inlineStr">
        <is>
          <t>정보 없음</t>
        </is>
      </c>
      <c r="N146" t="inlineStr">
        <is>
          <t>정보 없음</t>
        </is>
      </c>
      <c r="O146" s="3" t="inlineStr">
        <is>
          <t>대전토지로무소</t>
        </is>
      </c>
      <c r="P146" s="4" t="n">
        <v>1</v>
      </c>
      <c r="Q146" s="3" t="inlineStr"/>
      <c r="R146" s="3" t="inlineStr"/>
      <c r="S146" s="3" t="inlineStr">
        <is>
          <t>정보 없음</t>
        </is>
      </c>
      <c r="T146" s="3" t="inlineStr"/>
      <c r="U146" s="3" t="inlineStr"/>
      <c r="V146" s="3" t="inlineStr">
        <is>
          <t>정보 없음</t>
        </is>
      </c>
    </row>
    <row r="147">
      <c r="A147" s="3" t="inlineStr">
        <is>
          <t>부강면 [노출거부]</t>
        </is>
      </c>
      <c r="B147" s="3" t="inlineStr">
        <is>
          <t>정보 없음</t>
        </is>
      </c>
      <c r="C147" s="3" t="inlineStr">
        <is>
          <t>정보 없음</t>
        </is>
      </c>
      <c r="D147" s="3" t="inlineStr">
        <is>
          <t>대</t>
        </is>
      </c>
      <c r="E147" s="3" t="inlineStr">
        <is>
          <t>매매</t>
        </is>
      </c>
      <c r="F147" s="4" t="n">
        <v>24000</v>
      </c>
      <c r="G147" s="4" t="n">
        <v>607</v>
      </c>
      <c r="H147" s="4" t="n">
        <v>184</v>
      </c>
      <c r="I147" s="5" t="n">
        <v>130.4</v>
      </c>
      <c r="J147" s="5" t="n">
        <v>0</v>
      </c>
      <c r="K147" s="3" t="inlineStr">
        <is>
          <t>추천매물 전원주택지 급매 시세저렴  개발분담금 및 전용비 전부 납부완료</t>
        </is>
      </c>
      <c r="L147" s="6">
        <f>HYPERLINK("https://fin.land.naver.com/articles/2649231813", "매물Link")</f>
        <v/>
      </c>
      <c r="M147" t="inlineStr">
        <is>
          <t>정보 없음</t>
        </is>
      </c>
      <c r="N147" t="inlineStr">
        <is>
          <t>정보 없음</t>
        </is>
      </c>
      <c r="O147" s="3" t="inlineStr">
        <is>
          <t>큰복</t>
        </is>
      </c>
      <c r="P147" s="4" t="n">
        <v>1</v>
      </c>
      <c r="Q147" s="3" t="inlineStr"/>
      <c r="R147" s="3" t="inlineStr"/>
      <c r="S147" s="3" t="inlineStr">
        <is>
          <t>정보 없음</t>
        </is>
      </c>
      <c r="T147" s="3" t="inlineStr"/>
      <c r="U147" s="3" t="inlineStr"/>
      <c r="V147" s="3" t="inlineStr">
        <is>
          <t>정보 없음</t>
        </is>
      </c>
    </row>
    <row r="148">
      <c r="A148" s="3" t="inlineStr">
        <is>
          <t>부강면 [노출거부]</t>
        </is>
      </c>
      <c r="B148" s="3" t="inlineStr">
        <is>
          <t>정보 없음</t>
        </is>
      </c>
      <c r="C148" s="3" t="inlineStr">
        <is>
          <t>정보 없음</t>
        </is>
      </c>
      <c r="D148" s="3" t="inlineStr">
        <is>
          <t>답</t>
        </is>
      </c>
      <c r="E148" s="3" t="inlineStr">
        <is>
          <t>매매</t>
        </is>
      </c>
      <c r="F148" s="4" t="n">
        <v>9500</v>
      </c>
      <c r="G148" s="4" t="n">
        <v>395</v>
      </c>
      <c r="H148" s="4" t="n">
        <v>119</v>
      </c>
      <c r="I148" s="5" t="n">
        <v>79.8</v>
      </c>
      <c r="J148" s="5" t="n">
        <v>0</v>
      </c>
      <c r="K148" s="3" t="inlineStr">
        <is>
          <t>포장도로접 농업보호구역으로 다용도가능 현재 밭으로 사용하고 있어요</t>
        </is>
      </c>
      <c r="L148" s="6">
        <f>HYPERLINK("https://fin.land.naver.com/articles/2651254746", "매물Link")</f>
        <v/>
      </c>
      <c r="M148" t="inlineStr">
        <is>
          <t>정보 없음</t>
        </is>
      </c>
      <c r="N148" t="inlineStr">
        <is>
          <t>정보 없음</t>
        </is>
      </c>
      <c r="O148" s="3" t="inlineStr">
        <is>
          <t>신두꺼비</t>
        </is>
      </c>
      <c r="P148" s="4" t="n">
        <v>1</v>
      </c>
      <c r="Q148" s="3" t="inlineStr"/>
      <c r="R148" s="3" t="inlineStr"/>
      <c r="S148" s="3" t="inlineStr">
        <is>
          <t>정보 없음</t>
        </is>
      </c>
      <c r="T148" s="3" t="inlineStr"/>
      <c r="U148" s="3" t="inlineStr"/>
      <c r="V148" s="3" t="inlineStr">
        <is>
          <t>정보 없음</t>
        </is>
      </c>
    </row>
    <row r="149">
      <c r="A149" s="3" t="inlineStr">
        <is>
          <t>부강면 [노출거부]</t>
        </is>
      </c>
      <c r="B149" s="3" t="inlineStr">
        <is>
          <t>정보 없음</t>
        </is>
      </c>
      <c r="C149" s="3" t="inlineStr">
        <is>
          <t>정보 없음</t>
        </is>
      </c>
      <c r="D149" s="3" t="inlineStr">
        <is>
          <t>임야</t>
        </is>
      </c>
      <c r="E149" s="3" t="inlineStr">
        <is>
          <t>매매</t>
        </is>
      </c>
      <c r="F149" s="4" t="n">
        <v>130000</v>
      </c>
      <c r="G149" s="4" t="n">
        <v>21342</v>
      </c>
      <c r="H149" s="4" t="n">
        <v>6456</v>
      </c>
      <c r="I149" s="5" t="n">
        <v>20.1</v>
      </c>
      <c r="J149" s="5" t="n">
        <v>0</v>
      </c>
      <c r="K149" s="3" t="inlineStr">
        <is>
          <t>성장관리계획구역, 계획관리지역접함, 도로구역접함.</t>
        </is>
      </c>
      <c r="L149" s="6">
        <f>HYPERLINK("https://fin.land.naver.com/articles/2650742462", "매물Link")</f>
        <v/>
      </c>
      <c r="M149" t="inlineStr">
        <is>
          <t>정보 없음</t>
        </is>
      </c>
      <c r="N149" t="inlineStr">
        <is>
          <t>정보 없음</t>
        </is>
      </c>
      <c r="O149" s="3" t="inlineStr">
        <is>
          <t>성실</t>
        </is>
      </c>
      <c r="P149" s="4" t="n">
        <v>1</v>
      </c>
      <c r="Q149" s="3" t="inlineStr"/>
      <c r="R149" s="3" t="inlineStr"/>
      <c r="S149" s="3" t="inlineStr">
        <is>
          <t>정보 없음</t>
        </is>
      </c>
      <c r="T149" s="3" t="inlineStr"/>
      <c r="U149" s="3" t="inlineStr"/>
      <c r="V149" s="3" t="inlineStr">
        <is>
          <t>정보 없음</t>
        </is>
      </c>
    </row>
    <row r="150">
      <c r="A150" s="3" t="inlineStr">
        <is>
          <t>부강면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전</t>
        </is>
      </c>
      <c r="E150" s="3" t="inlineStr">
        <is>
          <t>매매</t>
        </is>
      </c>
      <c r="F150" s="4" t="n">
        <v>32000</v>
      </c>
      <c r="G150" s="4" t="n">
        <v>748</v>
      </c>
      <c r="H150" s="4" t="n">
        <v>226</v>
      </c>
      <c r="I150" s="5" t="n">
        <v>141.6</v>
      </c>
      <c r="J150" s="5" t="n">
        <v>0</v>
      </c>
      <c r="K150" s="3" t="inlineStr">
        <is>
          <t>전원주택지</t>
        </is>
      </c>
      <c r="L150" s="6">
        <f>HYPERLINK("https://fin.land.naver.com/articles/2650204530", "매물Link")</f>
        <v/>
      </c>
      <c r="M150" t="inlineStr">
        <is>
          <t>정보 없음</t>
        </is>
      </c>
      <c r="N150" t="inlineStr">
        <is>
          <t>정보 없음</t>
        </is>
      </c>
      <c r="O150" s="3" t="inlineStr">
        <is>
          <t>세종힐데스</t>
        </is>
      </c>
      <c r="P150" s="4" t="n">
        <v>1</v>
      </c>
      <c r="Q150" s="3" t="inlineStr"/>
      <c r="R150" s="3" t="inlineStr"/>
      <c r="S150" s="3" t="inlineStr">
        <is>
          <t>정보 없음</t>
        </is>
      </c>
      <c r="T150" s="3" t="inlineStr"/>
      <c r="U150" s="3" t="inlineStr"/>
      <c r="V150" s="3" t="inlineStr">
        <is>
          <t>정보 없음</t>
        </is>
      </c>
    </row>
    <row r="151">
      <c r="A151" s="3" t="inlineStr">
        <is>
          <t>부강면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답</t>
        </is>
      </c>
      <c r="E151" s="3" t="inlineStr">
        <is>
          <t>매매</t>
        </is>
      </c>
      <c r="F151" s="4" t="n">
        <v>92400</v>
      </c>
      <c r="G151" s="4" t="n">
        <v>4363</v>
      </c>
      <c r="H151" s="4" t="n">
        <v>1320</v>
      </c>
      <c r="I151" s="5" t="n">
        <v>70</v>
      </c>
      <c r="J151" s="5" t="n">
        <v>0</v>
      </c>
      <c r="K151" s="3" t="inlineStr">
        <is>
          <t>계획관리 투자용땅 면적 좋고 민원소지 없어요</t>
        </is>
      </c>
      <c r="L151" s="6">
        <f>HYPERLINK("https://fin.land.naver.com/articles/2650030339", "매물Link")</f>
        <v/>
      </c>
      <c r="M151" t="inlineStr">
        <is>
          <t>정보 없음</t>
        </is>
      </c>
      <c r="N151" t="inlineStr">
        <is>
          <t>정보 없음</t>
        </is>
      </c>
      <c r="O151" s="3" t="inlineStr">
        <is>
          <t>대영이편한</t>
        </is>
      </c>
      <c r="P151" s="4" t="n">
        <v>1</v>
      </c>
      <c r="Q151" s="3" t="inlineStr"/>
      <c r="R151" s="3" t="inlineStr"/>
      <c r="S151" s="3" t="inlineStr">
        <is>
          <t>정보 없음</t>
        </is>
      </c>
      <c r="T151" s="3" t="inlineStr"/>
      <c r="U151" s="3" t="inlineStr"/>
      <c r="V151" s="3" t="inlineStr">
        <is>
          <t>정보 없음</t>
        </is>
      </c>
    </row>
    <row r="152">
      <c r="A152" s="3" t="inlineStr">
        <is>
          <t>부강면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전</t>
        </is>
      </c>
      <c r="E152" s="3" t="inlineStr">
        <is>
          <t>매매</t>
        </is>
      </c>
      <c r="F152" s="4" t="n">
        <v>25000</v>
      </c>
      <c r="G152" s="4" t="n">
        <v>1401</v>
      </c>
      <c r="H152" s="4" t="n">
        <v>424</v>
      </c>
      <c r="I152" s="5" t="n">
        <v>59</v>
      </c>
      <c r="J152" s="5" t="n">
        <v>0</v>
      </c>
      <c r="K152" s="3" t="inlineStr">
        <is>
          <t>생산관리지역내 도로2면 접한 토지 밭으로 사용하고 있고 투자가치있음</t>
        </is>
      </c>
      <c r="L152" s="6">
        <f>HYPERLINK("https://fin.land.naver.com/articles/2650030320", "매물Link")</f>
        <v/>
      </c>
      <c r="M152" t="inlineStr">
        <is>
          <t>정보 없음</t>
        </is>
      </c>
      <c r="N152" t="inlineStr">
        <is>
          <t>정보 없음</t>
        </is>
      </c>
      <c r="O152" s="3" t="inlineStr">
        <is>
          <t>대영이편한</t>
        </is>
      </c>
      <c r="P152" s="4" t="n">
        <v>1</v>
      </c>
      <c r="Q152" s="3" t="inlineStr"/>
      <c r="R152" s="3" t="inlineStr"/>
      <c r="S152" s="3" t="inlineStr">
        <is>
          <t>정보 없음</t>
        </is>
      </c>
      <c r="T152" s="3" t="inlineStr"/>
      <c r="U152" s="3" t="inlineStr"/>
      <c r="V152" s="3" t="inlineStr">
        <is>
          <t>정보 없음</t>
        </is>
      </c>
    </row>
    <row r="153">
      <c r="A153" s="3" t="inlineStr">
        <is>
          <t>부강면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전</t>
        </is>
      </c>
      <c r="E153" s="3" t="inlineStr">
        <is>
          <t>매매</t>
        </is>
      </c>
      <c r="F153" s="4" t="n">
        <v>79000</v>
      </c>
      <c r="G153" s="4" t="n">
        <v>2611</v>
      </c>
      <c r="H153" s="4" t="n">
        <v>790</v>
      </c>
      <c r="I153" s="5" t="n">
        <v>100</v>
      </c>
      <c r="J153" s="5" t="n">
        <v>0</v>
      </c>
      <c r="K153" s="3" t="inlineStr">
        <is>
          <t>nan</t>
        </is>
      </c>
      <c r="L153" s="6">
        <f>HYPERLINK("https://fin.land.naver.com/articles/2649906989", "매물Link")</f>
        <v/>
      </c>
      <c r="M153" t="inlineStr">
        <is>
          <t>정보 없음</t>
        </is>
      </c>
      <c r="N153" t="inlineStr">
        <is>
          <t>정보 없음</t>
        </is>
      </c>
      <c r="O153" s="3" t="inlineStr">
        <is>
          <t>복댕이무소</t>
        </is>
      </c>
      <c r="P153" s="4" t="n">
        <v>1</v>
      </c>
      <c r="Q153" s="3" t="inlineStr"/>
      <c r="R153" s="3" t="inlineStr"/>
      <c r="S153" s="3" t="inlineStr">
        <is>
          <t>정보 없음</t>
        </is>
      </c>
      <c r="T153" s="3" t="inlineStr"/>
      <c r="U153" s="3" t="inlineStr"/>
      <c r="V153" s="3" t="inlineStr">
        <is>
          <t>정보 없음</t>
        </is>
      </c>
    </row>
    <row r="154">
      <c r="A154" s="3" t="inlineStr">
        <is>
          <t>부강면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임야</t>
        </is>
      </c>
      <c r="E154" s="3" t="inlineStr">
        <is>
          <t>매매</t>
        </is>
      </c>
      <c r="F154" s="4" t="n">
        <v>110000</v>
      </c>
      <c r="G154" s="4" t="n">
        <v>3636</v>
      </c>
      <c r="H154" s="4" t="n">
        <v>1100</v>
      </c>
      <c r="I154" s="5" t="n">
        <v>100</v>
      </c>
      <c r="J154" s="5" t="n">
        <v>0</v>
      </c>
      <c r="K154" s="3" t="inlineStr">
        <is>
          <t>6개 부지중 1개만 평당100만원에 급매매합니다</t>
        </is>
      </c>
      <c r="L154" s="6">
        <f>HYPERLINK("https://fin.land.naver.com/articles/2649895464", "매물Link")</f>
        <v/>
      </c>
      <c r="M154" t="inlineStr">
        <is>
          <t>정보 없음</t>
        </is>
      </c>
      <c r="N154" t="inlineStr">
        <is>
          <t>정보 없음</t>
        </is>
      </c>
      <c r="O154" s="3" t="inlineStr">
        <is>
          <t>복댕이무소</t>
        </is>
      </c>
      <c r="P154" s="4" t="n">
        <v>1</v>
      </c>
      <c r="Q154" s="3" t="inlineStr"/>
      <c r="R154" s="3" t="inlineStr"/>
      <c r="S154" s="3" t="inlineStr">
        <is>
          <t>정보 없음</t>
        </is>
      </c>
      <c r="T154" s="3" t="inlineStr"/>
      <c r="U154" s="3" t="inlineStr"/>
      <c r="V154" s="3" t="inlineStr">
        <is>
          <t>정보 없음</t>
        </is>
      </c>
    </row>
    <row r="155">
      <c r="A155" s="3" t="inlineStr">
        <is>
          <t>부강면 [노출거부]</t>
        </is>
      </c>
      <c r="B155" s="3" t="inlineStr">
        <is>
          <t>정보 없음</t>
        </is>
      </c>
      <c r="C155" s="3" t="inlineStr">
        <is>
          <t>정보 없음</t>
        </is>
      </c>
      <c r="D155" s="3" t="inlineStr">
        <is>
          <t>답</t>
        </is>
      </c>
      <c r="E155" s="3" t="inlineStr">
        <is>
          <t>매매</t>
        </is>
      </c>
      <c r="F155" s="4" t="n">
        <v>15000</v>
      </c>
      <c r="G155" s="4" t="n">
        <v>607</v>
      </c>
      <c r="H155" s="4" t="n">
        <v>184</v>
      </c>
      <c r="I155" s="5" t="n">
        <v>81.5</v>
      </c>
      <c r="J155" s="5" t="n">
        <v>0</v>
      </c>
      <c r="K155" s="3" t="inlineStr">
        <is>
          <t>흙체워놓음.계획관리.성장관리지역</t>
        </is>
      </c>
      <c r="L155" s="6">
        <f>HYPERLINK("https://fin.land.naver.com/articles/2648930252", "매물Link")</f>
        <v/>
      </c>
      <c r="M155" t="inlineStr">
        <is>
          <t>정보 없음</t>
        </is>
      </c>
      <c r="N155" t="inlineStr">
        <is>
          <t>정보 없음</t>
        </is>
      </c>
      <c r="O155" s="3" t="inlineStr">
        <is>
          <t>명진</t>
        </is>
      </c>
      <c r="P155" s="4" t="n">
        <v>1</v>
      </c>
      <c r="Q155" s="3" t="inlineStr"/>
      <c r="R155" s="3" t="inlineStr"/>
      <c r="S155" s="3" t="inlineStr">
        <is>
          <t>정보 없음</t>
        </is>
      </c>
      <c r="T155" s="3" t="inlineStr"/>
      <c r="U155" s="3" t="inlineStr"/>
      <c r="V155" s="3" t="inlineStr">
        <is>
          <t>정보 없음</t>
        </is>
      </c>
    </row>
    <row r="156">
      <c r="A156" s="3" t="inlineStr">
        <is>
          <t>부강면 [노출거부]</t>
        </is>
      </c>
      <c r="B156" s="3" t="inlineStr">
        <is>
          <t>정보 없음</t>
        </is>
      </c>
      <c r="C156" s="3" t="inlineStr">
        <is>
          <t>정보 없음</t>
        </is>
      </c>
      <c r="D156" s="3" t="inlineStr">
        <is>
          <t>대</t>
        </is>
      </c>
      <c r="E156" s="3" t="inlineStr">
        <is>
          <t>매매</t>
        </is>
      </c>
      <c r="F156" s="4" t="n">
        <v>17600</v>
      </c>
      <c r="G156" s="4" t="n">
        <v>530</v>
      </c>
      <c r="H156" s="4" t="n">
        <v>160</v>
      </c>
      <c r="I156" s="5" t="n">
        <v>110</v>
      </c>
      <c r="J156" s="5" t="n">
        <v>0</v>
      </c>
      <c r="K156" s="3" t="inlineStr">
        <is>
          <t>추천매물 전원주택지 급매 시세저렴  개발분담금 및 전용비 전부 납부완료</t>
        </is>
      </c>
      <c r="L156" s="6">
        <f>HYPERLINK("https://fin.land.naver.com/articles/2649232069", "매물Link")</f>
        <v/>
      </c>
      <c r="M156" t="inlineStr">
        <is>
          <t>정보 없음</t>
        </is>
      </c>
      <c r="N156" t="inlineStr">
        <is>
          <t>정보 없음</t>
        </is>
      </c>
      <c r="O156" s="3" t="inlineStr">
        <is>
          <t>큰복</t>
        </is>
      </c>
      <c r="P156" s="4" t="n">
        <v>1</v>
      </c>
      <c r="Q156" s="3" t="inlineStr"/>
      <c r="R156" s="3" t="inlineStr"/>
      <c r="S156" s="3" t="inlineStr">
        <is>
          <t>정보 없음</t>
        </is>
      </c>
      <c r="T156" s="3" t="inlineStr"/>
      <c r="U156" s="3" t="inlineStr"/>
      <c r="V156" s="3" t="inlineStr">
        <is>
          <t>정보 없음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답</t>
        </is>
      </c>
      <c r="E157" s="3" t="inlineStr">
        <is>
          <t>매매</t>
        </is>
      </c>
      <c r="F157" s="4" t="n">
        <v>120000</v>
      </c>
      <c r="G157" s="4" t="n">
        <v>1058</v>
      </c>
      <c r="H157" s="4" t="n">
        <v>320</v>
      </c>
      <c r="I157" s="5" t="n">
        <v>375</v>
      </c>
      <c r="J157" s="5" t="n">
        <v>0</v>
      </c>
      <c r="K157" s="3" t="inlineStr">
        <is>
          <t>남향이며금강주변으로 투자가치가 있음.2필지로1필지매매가능</t>
        </is>
      </c>
      <c r="L157" s="6">
        <f>HYPERLINK("https://fin.land.naver.com/articles/2648191167", "매물Link")</f>
        <v/>
      </c>
      <c r="M157" t="inlineStr">
        <is>
          <t>정보 없음</t>
        </is>
      </c>
      <c r="N157" t="inlineStr">
        <is>
          <t>정보 없음</t>
        </is>
      </c>
      <c r="O157" s="3" t="inlineStr">
        <is>
          <t>이은숙</t>
        </is>
      </c>
      <c r="P157" s="4" t="n">
        <v>1</v>
      </c>
      <c r="Q157" s="3" t="inlineStr"/>
      <c r="R157" s="3" t="inlineStr"/>
      <c r="S157" s="3" t="inlineStr">
        <is>
          <t>정보 없음</t>
        </is>
      </c>
      <c r="T157" s="3" t="inlineStr"/>
      <c r="U157" s="3" t="inlineStr"/>
      <c r="V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대</t>
        </is>
      </c>
      <c r="E158" s="3" t="inlineStr">
        <is>
          <t>매매</t>
        </is>
      </c>
      <c r="F158" s="4" t="n">
        <v>20000</v>
      </c>
      <c r="G158" s="4" t="n">
        <v>273</v>
      </c>
      <c r="H158" s="4" t="n">
        <v>83</v>
      </c>
      <c r="I158" s="5" t="n">
        <v>241</v>
      </c>
      <c r="J158" s="5" t="n">
        <v>0</v>
      </c>
      <c r="K158" s="3" t="inlineStr">
        <is>
          <t>부강면 시골주택</t>
        </is>
      </c>
      <c r="L158" s="6">
        <f>HYPERLINK("https://fin.land.naver.com/articles/2652373170", "매물Link")</f>
        <v/>
      </c>
      <c r="M158" t="inlineStr">
        <is>
          <t>정보 없음</t>
        </is>
      </c>
      <c r="N158" t="inlineStr">
        <is>
          <t>정보 없음</t>
        </is>
      </c>
      <c r="O158" s="3" t="inlineStr">
        <is>
          <t>강아지풀</t>
        </is>
      </c>
      <c r="P158" s="4" t="n">
        <v>1</v>
      </c>
      <c r="Q158" s="3" t="inlineStr"/>
      <c r="R158" s="3" t="inlineStr"/>
      <c r="S158" s="3" t="inlineStr">
        <is>
          <t>정보 없음</t>
        </is>
      </c>
      <c r="T158" s="3" t="inlineStr"/>
      <c r="U158" s="3" t="inlineStr"/>
      <c r="V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3256</v>
      </c>
      <c r="H159" s="4" t="n">
        <v>985</v>
      </c>
      <c r="I159" s="5" t="n">
        <v>101.5</v>
      </c>
      <c r="J159" s="5" t="n">
        <v>0</v>
      </c>
      <c r="K159" s="3" t="inlineStr">
        <is>
          <t>급매. 노호리 평수 큰 계획관리</t>
        </is>
      </c>
      <c r="L159" s="6">
        <f>HYPERLINK("https://fin.land.naver.com/articles/2652374330", "매물Link")</f>
        <v/>
      </c>
      <c r="M159" t="inlineStr">
        <is>
          <t>정보 없음</t>
        </is>
      </c>
      <c r="N159" t="inlineStr">
        <is>
          <t>정보 없음</t>
        </is>
      </c>
      <c r="O159" s="3" t="inlineStr">
        <is>
          <t>강아지풀</t>
        </is>
      </c>
      <c r="P159" s="4" t="n">
        <v>1</v>
      </c>
      <c r="Q159" s="3" t="inlineStr"/>
      <c r="R159" s="3" t="inlineStr"/>
      <c r="S159" s="3" t="inlineStr">
        <is>
          <t>정보 없음</t>
        </is>
      </c>
      <c r="T159" s="3" t="inlineStr"/>
      <c r="U159" s="3" t="inlineStr"/>
      <c r="V159" s="3" t="inlineStr">
        <is>
          <t>정보 없음</t>
        </is>
      </c>
    </row>
    <row r="160">
      <c r="A160" s="3" t="inlineStr">
        <is>
          <t>부강면 [노출거부]</t>
        </is>
      </c>
      <c r="B160" s="3" t="inlineStr">
        <is>
          <t>정보 없음</t>
        </is>
      </c>
      <c r="C160" s="3" t="inlineStr">
        <is>
          <t>정보 없음</t>
        </is>
      </c>
      <c r="D160" s="3" t="inlineStr">
        <is>
          <t>대</t>
        </is>
      </c>
      <c r="E160" s="3" t="inlineStr">
        <is>
          <t>매매</t>
        </is>
      </c>
      <c r="F160" s="4" t="n">
        <v>310400</v>
      </c>
      <c r="G160" s="4" t="n">
        <v>1282</v>
      </c>
      <c r="H160" s="4" t="n">
        <v>388</v>
      </c>
      <c r="I160" s="5" t="n">
        <v>800</v>
      </c>
      <c r="J160" s="5" t="n">
        <v>0</v>
      </c>
      <c r="K160" s="3" t="inlineStr">
        <is>
          <t>급. 부강 부강농협 부지</t>
        </is>
      </c>
      <c r="L160" s="6">
        <f>HYPERLINK("https://fin.land.naver.com/articles/2652375437", "매물Link")</f>
        <v/>
      </c>
      <c r="M160" t="inlineStr">
        <is>
          <t>정보 없음</t>
        </is>
      </c>
      <c r="N160" t="inlineStr">
        <is>
          <t>정보 없음</t>
        </is>
      </c>
      <c r="O160" s="3" t="inlineStr">
        <is>
          <t>강아지풀</t>
        </is>
      </c>
      <c r="P160" s="4" t="n">
        <v>1</v>
      </c>
      <c r="Q160" s="3" t="inlineStr"/>
      <c r="R160" s="3" t="inlineStr"/>
      <c r="S160" s="3" t="inlineStr">
        <is>
          <t>정보 없음</t>
        </is>
      </c>
      <c r="T160" s="3" t="inlineStr"/>
      <c r="U160" s="3" t="inlineStr"/>
      <c r="V160" s="3" t="inlineStr">
        <is>
          <t>정보 없음</t>
        </is>
      </c>
    </row>
    <row r="161">
      <c r="A161" s="3" t="inlineStr">
        <is>
          <t>부강면 [노출거부]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대</t>
        </is>
      </c>
      <c r="E161" s="3" t="inlineStr">
        <is>
          <t>매매</t>
        </is>
      </c>
      <c r="F161" s="4" t="n">
        <v>68000</v>
      </c>
      <c r="G161" s="4" t="n">
        <v>545</v>
      </c>
      <c r="H161" s="4" t="n">
        <v>165</v>
      </c>
      <c r="I161" s="5" t="n">
        <v>412.1</v>
      </c>
      <c r="J161" s="5" t="n">
        <v>0</v>
      </c>
      <c r="K161" s="3" t="inlineStr">
        <is>
          <t>제2종일반주거지역</t>
        </is>
      </c>
      <c r="L161" s="6">
        <f>HYPERLINK("https://fin.land.naver.com/articles/2652569658", "매물Link")</f>
        <v/>
      </c>
      <c r="M161" t="inlineStr">
        <is>
          <t>정보 없음</t>
        </is>
      </c>
      <c r="N161" t="inlineStr">
        <is>
          <t>정보 없음</t>
        </is>
      </c>
      <c r="O161" s="3" t="inlineStr">
        <is>
          <t>베스트</t>
        </is>
      </c>
      <c r="P161" s="4" t="n">
        <v>1</v>
      </c>
      <c r="Q161" s="3" t="inlineStr"/>
      <c r="R161" s="3" t="inlineStr"/>
      <c r="S161" s="3" t="inlineStr">
        <is>
          <t>정보 없음</t>
        </is>
      </c>
      <c r="T161" s="3" t="inlineStr"/>
      <c r="U161" s="3" t="inlineStr"/>
      <c r="V161" s="3" t="inlineStr">
        <is>
          <t>정보 없음</t>
        </is>
      </c>
    </row>
    <row r="162">
      <c r="A162" s="3" t="inlineStr">
        <is>
          <t>부강면 [노출거부]</t>
        </is>
      </c>
      <c r="B162" s="3" t="inlineStr">
        <is>
          <t>정보 없음</t>
        </is>
      </c>
      <c r="C162" s="3" t="inlineStr">
        <is>
          <t>정보 없음</t>
        </is>
      </c>
      <c r="D162" s="3" t="inlineStr">
        <is>
          <t>전</t>
        </is>
      </c>
      <c r="E162" s="3" t="inlineStr">
        <is>
          <t>매매</t>
        </is>
      </c>
      <c r="F162" s="4" t="n">
        <v>60000</v>
      </c>
      <c r="G162" s="4" t="n">
        <v>2430</v>
      </c>
      <c r="H162" s="4" t="n">
        <v>735</v>
      </c>
      <c r="I162" s="5" t="n">
        <v>81.59999999999999</v>
      </c>
      <c r="J162" s="5" t="n">
        <v>0</v>
      </c>
      <c r="K162" s="3" t="inlineStr">
        <is>
          <t>구거에 접한 토지를 저렴한 매매가</t>
        </is>
      </c>
      <c r="L162" s="6">
        <f>HYPERLINK("https://fin.land.naver.com/articles/2652985043", "매물Link")</f>
        <v/>
      </c>
      <c r="M162" t="inlineStr">
        <is>
          <t>정보 없음</t>
        </is>
      </c>
      <c r="N162" t="inlineStr">
        <is>
          <t>정보 없음</t>
        </is>
      </c>
      <c r="O162" s="3" t="inlineStr">
        <is>
          <t>가야</t>
        </is>
      </c>
      <c r="P162" s="4" t="n">
        <v>1</v>
      </c>
      <c r="Q162" s="3" t="inlineStr"/>
      <c r="R162" s="3" t="inlineStr"/>
      <c r="S162" s="3" t="inlineStr">
        <is>
          <t>정보 없음</t>
        </is>
      </c>
      <c r="T162" s="3" t="inlineStr"/>
      <c r="U162" s="3" t="inlineStr"/>
      <c r="V162" s="3" t="inlineStr">
        <is>
          <t>정보 없음</t>
        </is>
      </c>
    </row>
    <row r="163">
      <c r="A163" s="3" t="inlineStr">
        <is>
          <t>부강면 [노출거부]</t>
        </is>
      </c>
      <c r="B163" s="3" t="inlineStr">
        <is>
          <t>정보 없음</t>
        </is>
      </c>
      <c r="C163" s="3" t="inlineStr">
        <is>
          <t>정보 없음</t>
        </is>
      </c>
      <c r="D163" s="3" t="inlineStr">
        <is>
          <t>임야</t>
        </is>
      </c>
      <c r="E163" s="3" t="inlineStr">
        <is>
          <t>매매</t>
        </is>
      </c>
      <c r="F163" s="4" t="n">
        <v>700000</v>
      </c>
      <c r="G163" s="4" t="n">
        <v>61643</v>
      </c>
      <c r="H163" s="4" t="n">
        <v>18647</v>
      </c>
      <c r="I163" s="5" t="n">
        <v>37.5</v>
      </c>
      <c r="J163" s="5" t="n">
        <v>0</v>
      </c>
      <c r="K163" s="3" t="inlineStr">
        <is>
          <t>nan</t>
        </is>
      </c>
      <c r="L163" s="6">
        <f>HYPERLINK("https://fin.land.naver.com/articles/2647920855", "매물Link")</f>
        <v/>
      </c>
      <c r="M163" t="inlineStr">
        <is>
          <t>정보 없음</t>
        </is>
      </c>
      <c r="N163" t="inlineStr">
        <is>
          <t>정보 없음</t>
        </is>
      </c>
      <c r="O163" s="3" t="inlineStr">
        <is>
          <t>운산</t>
        </is>
      </c>
      <c r="P163" s="4" t="n">
        <v>1</v>
      </c>
      <c r="Q163" s="3" t="inlineStr"/>
      <c r="R163" s="3" t="inlineStr"/>
      <c r="S163" s="3" t="inlineStr">
        <is>
          <t>정보 없음</t>
        </is>
      </c>
      <c r="T163" s="3" t="inlineStr"/>
      <c r="U163" s="3" t="inlineStr"/>
      <c r="V163" s="3" t="inlineStr">
        <is>
          <t>정보 없음</t>
        </is>
      </c>
    </row>
    <row r="164">
      <c r="A164" s="3" t="inlineStr">
        <is>
          <t>아름동 [노출거부]</t>
        </is>
      </c>
      <c r="B164" s="3" t="inlineStr">
        <is>
          <t>정보 없음</t>
        </is>
      </c>
      <c r="C164" s="3" t="inlineStr">
        <is>
          <t>정보 없음</t>
        </is>
      </c>
      <c r="D164" s="3" t="inlineStr">
        <is>
          <t>대</t>
        </is>
      </c>
      <c r="E164" s="3" t="inlineStr">
        <is>
          <t>매매</t>
        </is>
      </c>
      <c r="F164" s="4" t="n">
        <v>52000</v>
      </c>
      <c r="G164" s="4" t="n">
        <v>342</v>
      </c>
      <c r="H164" s="4" t="n">
        <v>103</v>
      </c>
      <c r="I164" s="5" t="n">
        <v>504.9</v>
      </c>
      <c r="J164" s="5" t="n">
        <v>0</v>
      </c>
      <c r="K164" s="3" t="inlineStr">
        <is>
          <t>편의시설 가까운 주택용지 조율가능</t>
        </is>
      </c>
      <c r="L164" s="6">
        <f>HYPERLINK("https://fin.land.naver.com/articles/2653126806", "매물Link")</f>
        <v/>
      </c>
      <c r="M164" t="inlineStr">
        <is>
          <t>정보 없음</t>
        </is>
      </c>
      <c r="N164" t="inlineStr">
        <is>
          <t>정보 없음</t>
        </is>
      </c>
      <c r="O164" s="3" t="inlineStr">
        <is>
          <t>킹</t>
        </is>
      </c>
      <c r="P164" s="4" t="n">
        <v>1</v>
      </c>
      <c r="Q164" s="3" t="inlineStr"/>
      <c r="R164" s="3" t="inlineStr"/>
      <c r="S164" s="3" t="inlineStr">
        <is>
          <t>정보 없음</t>
        </is>
      </c>
      <c r="T164" s="3" t="inlineStr"/>
      <c r="U164" s="3" t="inlineStr"/>
      <c r="V164" s="3" t="inlineStr">
        <is>
          <t>정보 없음</t>
        </is>
      </c>
    </row>
    <row r="165">
      <c r="A165" s="3" t="inlineStr">
        <is>
          <t>연동면 [노출거부]</t>
        </is>
      </c>
      <c r="B165" s="3" t="inlineStr">
        <is>
          <t>정보 없음</t>
        </is>
      </c>
      <c r="C165" s="3" t="inlineStr">
        <is>
          <t>정보 없음</t>
        </is>
      </c>
      <c r="D165" s="3" t="inlineStr">
        <is>
          <t>대</t>
        </is>
      </c>
      <c r="E165" s="3" t="inlineStr">
        <is>
          <t>매매</t>
        </is>
      </c>
      <c r="F165" s="4" t="n">
        <v>30000</v>
      </c>
      <c r="G165" s="4" t="n">
        <v>357</v>
      </c>
      <c r="H165" s="4" t="n">
        <v>108</v>
      </c>
      <c r="I165" s="5" t="n">
        <v>277.8</v>
      </c>
      <c r="J165" s="5" t="n">
        <v>0</v>
      </c>
      <c r="K165" s="3" t="inlineStr">
        <is>
          <t>대지 앞 도로, 초등학교인근,카페,주거용 추천, 조율가능</t>
        </is>
      </c>
      <c r="L165" s="6">
        <f>HYPERLINK("https://fin.land.naver.com/articles/2651489037", "매물Link")</f>
        <v/>
      </c>
      <c r="M165" t="inlineStr">
        <is>
          <t>정보 없음</t>
        </is>
      </c>
      <c r="N165" t="inlineStr">
        <is>
          <t>정보 없음</t>
        </is>
      </c>
      <c r="O165" s="3" t="inlineStr">
        <is>
          <t>금돼지</t>
        </is>
      </c>
      <c r="P165" s="4" t="n">
        <v>1</v>
      </c>
      <c r="Q165" s="3" t="inlineStr"/>
      <c r="R165" s="3" t="inlineStr"/>
      <c r="S165" s="3" t="inlineStr">
        <is>
          <t>정보 없음</t>
        </is>
      </c>
      <c r="T165" s="3" t="inlineStr"/>
      <c r="U165" s="3" t="inlineStr"/>
      <c r="V165" s="3" t="inlineStr">
        <is>
          <t>정보 없음</t>
        </is>
      </c>
    </row>
    <row r="166">
      <c r="A166" s="3" t="inlineStr">
        <is>
          <t>연동면 [노출거부]</t>
        </is>
      </c>
      <c r="B166" s="3" t="inlineStr">
        <is>
          <t>정보 없음</t>
        </is>
      </c>
      <c r="C166" s="3" t="inlineStr">
        <is>
          <t>정보 없음</t>
        </is>
      </c>
      <c r="D166" s="3" t="inlineStr">
        <is>
          <t>답</t>
        </is>
      </c>
      <c r="E166" s="3" t="inlineStr">
        <is>
          <t>매매</t>
        </is>
      </c>
      <c r="F166" s="4" t="n">
        <v>48000</v>
      </c>
      <c r="G166" s="4" t="n">
        <v>2621</v>
      </c>
      <c r="H166" s="4" t="n">
        <v>793</v>
      </c>
      <c r="I166" s="5" t="n">
        <v>60.5</v>
      </c>
      <c r="J166" s="5" t="n">
        <v>0</v>
      </c>
      <c r="K166" s="3" t="inlineStr">
        <is>
          <t>행복도시 5생활권 인근 농림지역 투자용이나 농업용 토지</t>
        </is>
      </c>
      <c r="L166" s="6">
        <f>HYPERLINK("https://fin.land.naver.com/articles/2650934328", "매물Link")</f>
        <v/>
      </c>
      <c r="M166" t="inlineStr">
        <is>
          <t>정보 없음</t>
        </is>
      </c>
      <c r="N166" t="inlineStr">
        <is>
          <t>정보 없음</t>
        </is>
      </c>
      <c r="O166" s="3" t="inlineStr">
        <is>
          <t>더원</t>
        </is>
      </c>
      <c r="P166" s="4" t="n">
        <v>1</v>
      </c>
      <c r="Q166" s="3" t="inlineStr"/>
      <c r="R166" s="3" t="inlineStr"/>
      <c r="S166" s="3" t="inlineStr">
        <is>
          <t>정보 없음</t>
        </is>
      </c>
      <c r="T166" s="3" t="inlineStr"/>
      <c r="U166" s="3" t="inlineStr"/>
      <c r="V166" s="3" t="inlineStr">
        <is>
          <t>정보 없음</t>
        </is>
      </c>
    </row>
    <row r="167">
      <c r="A167" s="3" t="inlineStr">
        <is>
          <t>연동면 [노출거부]</t>
        </is>
      </c>
      <c r="B167" s="3" t="inlineStr">
        <is>
          <t>정보 없음</t>
        </is>
      </c>
      <c r="C167" s="3" t="inlineStr">
        <is>
          <t>정보 없음</t>
        </is>
      </c>
      <c r="D167" s="3" t="inlineStr">
        <is>
          <t>전</t>
        </is>
      </c>
      <c r="E167" s="3" t="inlineStr">
        <is>
          <t>매매</t>
        </is>
      </c>
      <c r="F167" s="4" t="n">
        <v>155000</v>
      </c>
      <c r="G167" s="4" t="n">
        <v>1982</v>
      </c>
      <c r="H167" s="4" t="n">
        <v>600</v>
      </c>
      <c r="I167" s="5" t="n">
        <v>258.3</v>
      </c>
      <c r="J167" s="5" t="n">
        <v>0</v>
      </c>
      <c r="K167" s="3" t="inlineStr">
        <is>
          <t>계확관리 2차선변 4거리 인접,산단인근,투자 또는 실제사용</t>
        </is>
      </c>
      <c r="L167" s="6">
        <f>HYPERLINK("https://fin.land.naver.com/articles/2651872482", "매물Link")</f>
        <v/>
      </c>
      <c r="M167" t="inlineStr">
        <is>
          <t>정보 없음</t>
        </is>
      </c>
      <c r="N167" t="inlineStr">
        <is>
          <t>정보 없음</t>
        </is>
      </c>
      <c r="O167" s="3" t="inlineStr">
        <is>
          <t>샘물힐스테이트</t>
        </is>
      </c>
      <c r="P167" s="4" t="n">
        <v>1</v>
      </c>
      <c r="Q167" s="3" t="inlineStr"/>
      <c r="R167" s="3" t="inlineStr"/>
      <c r="S167" s="3" t="inlineStr">
        <is>
          <t>정보 없음</t>
        </is>
      </c>
      <c r="T167" s="3" t="inlineStr"/>
      <c r="U167" s="3" t="inlineStr"/>
      <c r="V167" s="3" t="inlineStr">
        <is>
          <t>정보 없음</t>
        </is>
      </c>
    </row>
    <row r="168">
      <c r="A168" s="3" t="inlineStr">
        <is>
          <t>연동면 [노출거부]</t>
        </is>
      </c>
      <c r="B168" s="3" t="inlineStr">
        <is>
          <t>정보 없음</t>
        </is>
      </c>
      <c r="C168" s="3" t="inlineStr">
        <is>
          <t>정보 없음</t>
        </is>
      </c>
      <c r="D168" s="3" t="inlineStr">
        <is>
          <t>전</t>
        </is>
      </c>
      <c r="E168" s="3" t="inlineStr">
        <is>
          <t>매매</t>
        </is>
      </c>
      <c r="F168" s="4" t="n">
        <v>137000</v>
      </c>
      <c r="G168" s="4" t="n">
        <v>2059</v>
      </c>
      <c r="H168" s="4" t="n">
        <v>623</v>
      </c>
      <c r="I168" s="5" t="n">
        <v>219.9</v>
      </c>
      <c r="J168" s="5" t="n">
        <v>0</v>
      </c>
      <c r="K168" s="3" t="inlineStr">
        <is>
          <t>진입로 좋으며 2차선 근접한 공장,창고 용지입니다</t>
        </is>
      </c>
      <c r="L168" s="6">
        <f>HYPERLINK("https://fin.land.naver.com/articles/2649906580", "매물Link")</f>
        <v/>
      </c>
      <c r="M168" t="inlineStr">
        <is>
          <t>정보 없음</t>
        </is>
      </c>
      <c r="N168" t="inlineStr">
        <is>
          <t>정보 없음</t>
        </is>
      </c>
      <c r="O168" s="3" t="inlineStr">
        <is>
          <t>복댕이무소</t>
        </is>
      </c>
      <c r="P168" s="4" t="n">
        <v>1</v>
      </c>
      <c r="Q168" s="3" t="inlineStr"/>
      <c r="R168" s="3" t="inlineStr"/>
      <c r="S168" s="3" t="inlineStr">
        <is>
          <t>정보 없음</t>
        </is>
      </c>
      <c r="T168" s="3" t="inlineStr"/>
      <c r="U168" s="3" t="inlineStr"/>
      <c r="V168" s="3" t="inlineStr">
        <is>
          <t>정보 없음</t>
        </is>
      </c>
    </row>
    <row r="169">
      <c r="A169" s="3" t="inlineStr">
        <is>
          <t>연동면 [노출거부]</t>
        </is>
      </c>
      <c r="B169" s="3" t="inlineStr">
        <is>
          <t>정보 없음</t>
        </is>
      </c>
      <c r="C169" s="3" t="inlineStr">
        <is>
          <t>정보 없음</t>
        </is>
      </c>
      <c r="D169" s="3" t="inlineStr">
        <is>
          <t>임야</t>
        </is>
      </c>
      <c r="E169" s="3" t="inlineStr">
        <is>
          <t>매매</t>
        </is>
      </c>
      <c r="F169" s="4" t="n">
        <v>500000</v>
      </c>
      <c r="G169" s="4" t="n">
        <v>9480</v>
      </c>
      <c r="H169" s="4" t="n">
        <v>2868</v>
      </c>
      <c r="I169" s="5" t="n">
        <v>174.3</v>
      </c>
      <c r="J169" s="5" t="n">
        <v>0</v>
      </c>
      <c r="K169" s="3" t="inlineStr">
        <is>
          <t>nan</t>
        </is>
      </c>
      <c r="L169" s="6">
        <f>HYPERLINK("https://fin.land.naver.com/articles/2649169140", "매물Link")</f>
        <v/>
      </c>
      <c r="M169" t="inlineStr">
        <is>
          <t>정보 없음</t>
        </is>
      </c>
      <c r="N169" t="inlineStr">
        <is>
          <t>정보 없음</t>
        </is>
      </c>
      <c r="O169" s="3" t="inlineStr">
        <is>
          <t>오송k랜드</t>
        </is>
      </c>
      <c r="P169" s="4" t="n">
        <v>1</v>
      </c>
      <c r="Q169" s="3" t="inlineStr"/>
      <c r="R169" s="3" t="inlineStr"/>
      <c r="S169" s="3" t="inlineStr">
        <is>
          <t>정보 없음</t>
        </is>
      </c>
      <c r="T169" s="3" t="inlineStr"/>
      <c r="U169" s="3" t="inlineStr"/>
      <c r="V169" s="3" t="inlineStr">
        <is>
          <t>정보 없음</t>
        </is>
      </c>
    </row>
    <row r="170">
      <c r="A170" s="3" t="inlineStr">
        <is>
          <t>연동면 [노출거부]</t>
        </is>
      </c>
      <c r="B170" s="3" t="inlineStr">
        <is>
          <t>정보 없음</t>
        </is>
      </c>
      <c r="C170" s="3" t="inlineStr">
        <is>
          <t>정보 없음</t>
        </is>
      </c>
      <c r="D170" s="3" t="inlineStr">
        <is>
          <t>전</t>
        </is>
      </c>
      <c r="E170" s="3" t="inlineStr">
        <is>
          <t>매매</t>
        </is>
      </c>
      <c r="F170" s="4" t="n">
        <v>270000</v>
      </c>
      <c r="G170" s="4" t="n">
        <v>7500</v>
      </c>
      <c r="H170" s="4" t="n">
        <v>2269</v>
      </c>
      <c r="I170" s="5" t="n">
        <v>119</v>
      </c>
      <c r="J170" s="5" t="n">
        <v>0</v>
      </c>
      <c r="K170" s="3" t="inlineStr">
        <is>
          <t>nan</t>
        </is>
      </c>
      <c r="L170" s="6">
        <f>HYPERLINK("https://fin.land.naver.com/articles/2647969833", "매물Link")</f>
        <v/>
      </c>
      <c r="M170" t="inlineStr">
        <is>
          <t>정보 없음</t>
        </is>
      </c>
      <c r="N170" t="inlineStr">
        <is>
          <t>정보 없음</t>
        </is>
      </c>
      <c r="O170" s="3" t="inlineStr">
        <is>
          <t>공상배</t>
        </is>
      </c>
      <c r="P170" s="4" t="n">
        <v>1</v>
      </c>
      <c r="Q170" s="3" t="inlineStr"/>
      <c r="R170" s="3" t="inlineStr"/>
      <c r="S170" s="3" t="inlineStr">
        <is>
          <t>정보 없음</t>
        </is>
      </c>
      <c r="T170" s="3" t="inlineStr"/>
      <c r="U170" s="3" t="inlineStr"/>
      <c r="V170" s="3" t="inlineStr">
        <is>
          <t>정보 없음</t>
        </is>
      </c>
    </row>
    <row r="171">
      <c r="A171" s="3" t="inlineStr">
        <is>
          <t>연동면 [노출거부]</t>
        </is>
      </c>
      <c r="B171" s="3" t="inlineStr">
        <is>
          <t>정보 없음</t>
        </is>
      </c>
      <c r="C171" s="3" t="inlineStr">
        <is>
          <t>정보 없음</t>
        </is>
      </c>
      <c r="D171" s="3" t="inlineStr">
        <is>
          <t>임야</t>
        </is>
      </c>
      <c r="E171" s="3" t="inlineStr">
        <is>
          <t>매매</t>
        </is>
      </c>
      <c r="F171" s="4" t="n">
        <v>98880</v>
      </c>
      <c r="G171" s="4" t="n">
        <v>682</v>
      </c>
      <c r="H171" s="4" t="n">
        <v>206</v>
      </c>
      <c r="I171" s="5" t="n">
        <v>480</v>
      </c>
      <c r="J171" s="5" t="n">
        <v>0</v>
      </c>
      <c r="K171" s="3" t="inlineStr">
        <is>
          <t>합강을 바라보고있는 최고의 주택지입니다</t>
        </is>
      </c>
      <c r="L171" s="6">
        <f>HYPERLINK("https://fin.land.naver.com/articles/2649896085", "매물Link")</f>
        <v/>
      </c>
      <c r="M171" t="inlineStr">
        <is>
          <t>정보 없음</t>
        </is>
      </c>
      <c r="N171" t="inlineStr">
        <is>
          <t>정보 없음</t>
        </is>
      </c>
      <c r="O171" s="3" t="inlineStr">
        <is>
          <t>복댕이무소</t>
        </is>
      </c>
      <c r="P171" s="4" t="n">
        <v>1</v>
      </c>
      <c r="Q171" s="3" t="inlineStr"/>
      <c r="R171" s="3" t="inlineStr"/>
      <c r="S171" s="3" t="inlineStr">
        <is>
          <t>정보 없음</t>
        </is>
      </c>
      <c r="T171" s="3" t="inlineStr"/>
      <c r="U171" s="3" t="inlineStr"/>
      <c r="V171" s="3" t="inlineStr">
        <is>
          <t>정보 없음</t>
        </is>
      </c>
    </row>
    <row r="172">
      <c r="A172" s="3" t="inlineStr">
        <is>
          <t>연동면 [노출거부]</t>
        </is>
      </c>
      <c r="B172" s="3" t="inlineStr">
        <is>
          <t>정보 없음</t>
        </is>
      </c>
      <c r="C172" s="3" t="inlineStr">
        <is>
          <t>정보 없음</t>
        </is>
      </c>
      <c r="D172" s="3" t="inlineStr">
        <is>
          <t>답</t>
        </is>
      </c>
      <c r="E172" s="3" t="inlineStr">
        <is>
          <t>매매</t>
        </is>
      </c>
      <c r="F172" s="4" t="n">
        <v>39500</v>
      </c>
      <c r="G172" s="4" t="n">
        <v>2404</v>
      </c>
      <c r="H172" s="4" t="n">
        <v>727</v>
      </c>
      <c r="I172" s="5" t="n">
        <v>54.3</v>
      </c>
      <c r="J172" s="5" t="n">
        <v>0</v>
      </c>
      <c r="K172" s="3" t="inlineStr">
        <is>
          <t>송용리 가장 저렴한 농림지역 토지</t>
        </is>
      </c>
      <c r="L172" s="6">
        <f>HYPERLINK("https://fin.land.naver.com/articles/2651240238", "매물Link")</f>
        <v/>
      </c>
      <c r="M172" t="inlineStr">
        <is>
          <t>정보 없음</t>
        </is>
      </c>
      <c r="N172" t="inlineStr">
        <is>
          <t>정보 없음</t>
        </is>
      </c>
      <c r="O172" s="3" t="inlineStr">
        <is>
          <t>세종땅사랑</t>
        </is>
      </c>
      <c r="P172" s="4" t="n">
        <v>1</v>
      </c>
      <c r="Q172" s="3" t="inlineStr"/>
      <c r="R172" s="3" t="inlineStr"/>
      <c r="S172" s="3" t="inlineStr">
        <is>
          <t>정보 없음</t>
        </is>
      </c>
      <c r="T172" s="3" t="inlineStr"/>
      <c r="U172" s="3" t="inlineStr"/>
      <c r="V172" s="3" t="inlineStr">
        <is>
          <t>정보 없음</t>
        </is>
      </c>
    </row>
    <row r="173">
      <c r="A173" s="3" t="inlineStr">
        <is>
          <t>연동면 [노출거부]</t>
        </is>
      </c>
      <c r="B173" s="3" t="inlineStr">
        <is>
          <t>정보 없음</t>
        </is>
      </c>
      <c r="C173" s="3" t="inlineStr">
        <is>
          <t>정보 없음</t>
        </is>
      </c>
      <c r="D173" s="3" t="inlineStr">
        <is>
          <t>답</t>
        </is>
      </c>
      <c r="E173" s="3" t="inlineStr">
        <is>
          <t>매매</t>
        </is>
      </c>
      <c r="F173" s="4" t="n">
        <v>250000</v>
      </c>
      <c r="G173" s="4" t="n">
        <v>2986</v>
      </c>
      <c r="H173" s="4" t="n">
        <v>903</v>
      </c>
      <c r="I173" s="5" t="n">
        <v>276.9</v>
      </c>
      <c r="J173" s="5" t="n">
        <v>0</v>
      </c>
      <c r="K173" s="3" t="inlineStr">
        <is>
          <t>nan</t>
        </is>
      </c>
      <c r="L173" s="6">
        <f>HYPERLINK("https://fin.land.naver.com/articles/2649564869", "매물Link")</f>
        <v/>
      </c>
      <c r="M173" t="inlineStr">
        <is>
          <t>정보 없음</t>
        </is>
      </c>
      <c r="N173" t="inlineStr">
        <is>
          <t>정보 없음</t>
        </is>
      </c>
      <c r="O173" s="3" t="inlineStr">
        <is>
          <t>좋은터</t>
        </is>
      </c>
      <c r="P173" s="4" t="n">
        <v>1</v>
      </c>
      <c r="Q173" s="3" t="inlineStr"/>
      <c r="R173" s="3" t="inlineStr"/>
      <c r="S173" s="3" t="inlineStr">
        <is>
          <t>정보 없음</t>
        </is>
      </c>
      <c r="T173" s="3" t="inlineStr"/>
      <c r="U173" s="3" t="inlineStr"/>
      <c r="V173" s="3" t="inlineStr">
        <is>
          <t>정보 없음</t>
        </is>
      </c>
    </row>
    <row r="174">
      <c r="A174" s="3" t="inlineStr">
        <is>
          <t>연동면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답</t>
        </is>
      </c>
      <c r="E174" s="3" t="inlineStr">
        <is>
          <t>매매</t>
        </is>
      </c>
      <c r="F174" s="4" t="n">
        <v>554200</v>
      </c>
      <c r="G174" s="4" t="n">
        <v>2443</v>
      </c>
      <c r="H174" s="4" t="n">
        <v>739</v>
      </c>
      <c r="I174" s="5" t="n">
        <v>749.9</v>
      </c>
      <c r="J174" s="5" t="n">
        <v>0</v>
      </c>
      <c r="K174" s="3" t="inlineStr">
        <is>
          <t>추천. 연동면 대로변접한 토지</t>
        </is>
      </c>
      <c r="L174" s="6">
        <f>HYPERLINK("https://fin.land.naver.com/articles/2652373805", "매물Link")</f>
        <v/>
      </c>
      <c r="M174" t="inlineStr">
        <is>
          <t>정보 없음</t>
        </is>
      </c>
      <c r="N174" t="inlineStr">
        <is>
          <t>정보 없음</t>
        </is>
      </c>
      <c r="O174" s="3" t="inlineStr">
        <is>
          <t>강아지풀</t>
        </is>
      </c>
      <c r="P174" s="4" t="n">
        <v>1</v>
      </c>
      <c r="Q174" s="3" t="inlineStr"/>
      <c r="R174" s="3" t="inlineStr"/>
      <c r="S174" s="3" t="inlineStr">
        <is>
          <t>정보 없음</t>
        </is>
      </c>
      <c r="T174" s="3" t="inlineStr"/>
      <c r="U174" s="3" t="inlineStr"/>
      <c r="V174" s="3" t="inlineStr">
        <is>
          <t>정보 없음</t>
        </is>
      </c>
    </row>
    <row r="175">
      <c r="A175" s="3" t="inlineStr">
        <is>
          <t>연동면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답</t>
        </is>
      </c>
      <c r="E175" s="3" t="inlineStr">
        <is>
          <t>매매</t>
        </is>
      </c>
      <c r="F175" s="4" t="n">
        <v>172200</v>
      </c>
      <c r="G175" s="4" t="n">
        <v>10165</v>
      </c>
      <c r="H175" s="4" t="n">
        <v>3075</v>
      </c>
      <c r="I175" s="5" t="n">
        <v>56</v>
      </c>
      <c r="J175" s="5" t="n">
        <v>0</v>
      </c>
      <c r="K175" s="3" t="inlineStr">
        <is>
          <t>농사짓기편리한땅.세종시5생인접지역.가격저렴.대토지.향후지가상승최대수혜지.</t>
        </is>
      </c>
      <c r="L175" s="6">
        <f>HYPERLINK("https://fin.land.naver.com/articles/2648563825", "매물Link")</f>
        <v/>
      </c>
      <c r="M175" t="inlineStr">
        <is>
          <t>정보 없음</t>
        </is>
      </c>
      <c r="N175" t="inlineStr">
        <is>
          <t>정보 없음</t>
        </is>
      </c>
      <c r="O175" s="3" t="inlineStr">
        <is>
          <t>세종연동탑</t>
        </is>
      </c>
      <c r="P175" s="4" t="n">
        <v>1</v>
      </c>
      <c r="Q175" s="3" t="inlineStr"/>
      <c r="R175" s="3" t="inlineStr"/>
      <c r="S175" s="3" t="inlineStr">
        <is>
          <t>정보 없음</t>
        </is>
      </c>
      <c r="T175" s="3" t="inlineStr"/>
      <c r="U175" s="3" t="inlineStr"/>
      <c r="V175" s="3" t="inlineStr">
        <is>
          <t>정보 없음</t>
        </is>
      </c>
    </row>
    <row r="176">
      <c r="A176" s="3" t="inlineStr">
        <is>
          <t>연동면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답</t>
        </is>
      </c>
      <c r="E176" s="3" t="inlineStr">
        <is>
          <t>매매</t>
        </is>
      </c>
      <c r="F176" s="4" t="n">
        <v>23000</v>
      </c>
      <c r="G176" s="4" t="n">
        <v>330</v>
      </c>
      <c r="H176" s="4" t="n">
        <v>100</v>
      </c>
      <c r="I176" s="5" t="n">
        <v>230</v>
      </c>
      <c r="J176" s="5" t="n">
        <v>0</v>
      </c>
      <c r="K176" s="3" t="inlineStr">
        <is>
          <t>2차선접.소형사무실.상가.소형창고.광고효과최상.세종5생활권초인접.</t>
        </is>
      </c>
      <c r="L176" s="6">
        <f>HYPERLINK("https://fin.land.naver.com/articles/2647920758", "매물Link")</f>
        <v/>
      </c>
      <c r="M176" t="inlineStr">
        <is>
          <t>정보 없음</t>
        </is>
      </c>
      <c r="N176" t="inlineStr">
        <is>
          <t>정보 없음</t>
        </is>
      </c>
      <c r="O176" s="3" t="inlineStr">
        <is>
          <t>세종연동탑</t>
        </is>
      </c>
      <c r="P176" s="4" t="n">
        <v>1</v>
      </c>
      <c r="Q176" s="3" t="inlineStr"/>
      <c r="R176" s="3" t="inlineStr"/>
      <c r="S176" s="3" t="inlineStr">
        <is>
          <t>정보 없음</t>
        </is>
      </c>
      <c r="T176" s="3" t="inlineStr"/>
      <c r="U176" s="3" t="inlineStr"/>
      <c r="V176" s="3" t="inlineStr">
        <is>
          <t>정보 없음</t>
        </is>
      </c>
    </row>
    <row r="177">
      <c r="A177" s="3" t="inlineStr">
        <is>
          <t>연동면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답</t>
        </is>
      </c>
      <c r="E177" s="3" t="inlineStr">
        <is>
          <t>매매</t>
        </is>
      </c>
      <c r="F177" s="4" t="n">
        <v>21500</v>
      </c>
      <c r="G177" s="4" t="n">
        <v>1430</v>
      </c>
      <c r="H177" s="4" t="n">
        <v>433</v>
      </c>
      <c r="I177" s="5" t="n">
        <v>49.7</v>
      </c>
      <c r="J177" s="5" t="n">
        <v>0</v>
      </c>
      <c r="K177" s="3" t="inlineStr">
        <is>
          <t>급매물. 세종5생활권인접.4차선2차선도로접.시세저렴.지가상승기대지역</t>
        </is>
      </c>
      <c r="L177" s="6">
        <f>HYPERLINK("https://fin.land.naver.com/articles/2648569467", "매물Link")</f>
        <v/>
      </c>
      <c r="M177" t="inlineStr">
        <is>
          <t>정보 없음</t>
        </is>
      </c>
      <c r="N177" t="inlineStr">
        <is>
          <t>정보 없음</t>
        </is>
      </c>
      <c r="O177" s="3" t="inlineStr">
        <is>
          <t>세종연동탑</t>
        </is>
      </c>
      <c r="P177" s="4" t="n">
        <v>1</v>
      </c>
      <c r="Q177" s="3" t="inlineStr"/>
      <c r="R177" s="3" t="inlineStr"/>
      <c r="S177" s="3" t="inlineStr">
        <is>
          <t>정보 없음</t>
        </is>
      </c>
      <c r="T177" s="3" t="inlineStr"/>
      <c r="U177" s="3" t="inlineStr"/>
      <c r="V177" s="3" t="inlineStr">
        <is>
          <t>정보 없음</t>
        </is>
      </c>
    </row>
    <row r="178">
      <c r="A178" s="3" t="inlineStr">
        <is>
          <t>연동면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답</t>
        </is>
      </c>
      <c r="E178" s="3" t="inlineStr">
        <is>
          <t>매매</t>
        </is>
      </c>
      <c r="F178" s="4" t="n">
        <v>55400</v>
      </c>
      <c r="G178" s="4" t="n">
        <v>2617</v>
      </c>
      <c r="H178" s="4" t="n">
        <v>792</v>
      </c>
      <c r="I178" s="5" t="n">
        <v>69.90000000000001</v>
      </c>
      <c r="J178" s="5" t="n">
        <v>0</v>
      </c>
      <c r="K178" s="3" t="inlineStr">
        <is>
          <t>향후 시세차익을 바라볼 수 있는 투자용 토지</t>
        </is>
      </c>
      <c r="L178" s="6">
        <f>HYPERLINK("https://fin.land.naver.com/articles/2649006230", "매물Link")</f>
        <v/>
      </c>
      <c r="M178" t="inlineStr">
        <is>
          <t>정보 없음</t>
        </is>
      </c>
      <c r="N178" t="inlineStr">
        <is>
          <t>정보 없음</t>
        </is>
      </c>
      <c r="O178" s="3" t="inlineStr">
        <is>
          <t>세종푸르지오</t>
        </is>
      </c>
      <c r="P178" s="4" t="n">
        <v>1</v>
      </c>
      <c r="Q178" s="3" t="inlineStr"/>
      <c r="R178" s="3" t="inlineStr"/>
      <c r="S178" s="3" t="inlineStr">
        <is>
          <t>정보 없음</t>
        </is>
      </c>
      <c r="T178" s="3" t="inlineStr"/>
      <c r="U178" s="3" t="inlineStr"/>
      <c r="V178" s="3" t="inlineStr">
        <is>
          <t>정보 없음</t>
        </is>
      </c>
    </row>
    <row r="179">
      <c r="A179" s="3" t="inlineStr">
        <is>
          <t>연동면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전</t>
        </is>
      </c>
      <c r="E179" s="3" t="inlineStr">
        <is>
          <t>매매</t>
        </is>
      </c>
      <c r="F179" s="4" t="n">
        <v>75000</v>
      </c>
      <c r="G179" s="4" t="n">
        <v>1000</v>
      </c>
      <c r="H179" s="4" t="n">
        <v>302</v>
      </c>
      <c r="I179" s="5" t="n">
        <v>248.3</v>
      </c>
      <c r="J179" s="5" t="n">
        <v>0</v>
      </c>
      <c r="K179" s="3" t="inlineStr">
        <is>
          <t>도로인접 접근편리 향후 지가상승 기대됩니다</t>
        </is>
      </c>
      <c r="L179" s="6">
        <f>HYPERLINK("https://fin.land.naver.com/articles/2649794842", "매물Link")</f>
        <v/>
      </c>
      <c r="M179" t="inlineStr">
        <is>
          <t>정보 없음</t>
        </is>
      </c>
      <c r="N179" t="inlineStr">
        <is>
          <t>정보 없음</t>
        </is>
      </c>
      <c r="O179" s="3" t="inlineStr">
        <is>
          <t>도램마을</t>
        </is>
      </c>
      <c r="P179" s="4" t="n">
        <v>1</v>
      </c>
      <c r="Q179" s="3" t="inlineStr"/>
      <c r="R179" s="3" t="inlineStr"/>
      <c r="S179" s="3" t="inlineStr">
        <is>
          <t>정보 없음</t>
        </is>
      </c>
      <c r="T179" s="3" t="inlineStr"/>
      <c r="U179" s="3" t="inlineStr"/>
      <c r="V179" s="3" t="inlineStr">
        <is>
          <t>정보 없음</t>
        </is>
      </c>
    </row>
    <row r="180">
      <c r="A180" s="3" t="inlineStr">
        <is>
          <t>연동면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전</t>
        </is>
      </c>
      <c r="E180" s="3" t="inlineStr">
        <is>
          <t>매매</t>
        </is>
      </c>
      <c r="F180" s="4" t="n">
        <v>80000</v>
      </c>
      <c r="G180" s="4" t="n">
        <v>1060</v>
      </c>
      <c r="H180" s="4" t="n">
        <v>321</v>
      </c>
      <c r="I180" s="5" t="n">
        <v>249.2</v>
      </c>
      <c r="J180" s="5" t="n">
        <v>0</v>
      </c>
      <c r="K180" s="3" t="inlineStr">
        <is>
          <t>도로인접 접근편리 향후 지가상승 기대됩니다</t>
        </is>
      </c>
      <c r="L180" s="6">
        <f>HYPERLINK("https://fin.land.naver.com/articles/2649804885", "매물Link")</f>
        <v/>
      </c>
      <c r="M180" t="inlineStr">
        <is>
          <t>정보 없음</t>
        </is>
      </c>
      <c r="N180" t="inlineStr">
        <is>
          <t>정보 없음</t>
        </is>
      </c>
      <c r="O180" s="3" t="inlineStr">
        <is>
          <t>도램마을</t>
        </is>
      </c>
      <c r="P180" s="4" t="n">
        <v>1</v>
      </c>
      <c r="Q180" s="3" t="inlineStr"/>
      <c r="R180" s="3" t="inlineStr"/>
      <c r="S180" s="3" t="inlineStr">
        <is>
          <t>정보 없음</t>
        </is>
      </c>
      <c r="T180" s="3" t="inlineStr"/>
      <c r="U180" s="3" t="inlineStr"/>
      <c r="V180" s="3" t="inlineStr">
        <is>
          <t>정보 없음</t>
        </is>
      </c>
    </row>
    <row r="181">
      <c r="A181" s="3" t="inlineStr">
        <is>
          <t>연동면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임야</t>
        </is>
      </c>
      <c r="E181" s="3" t="inlineStr">
        <is>
          <t>매매</t>
        </is>
      </c>
      <c r="F181" s="4" t="n">
        <v>50000</v>
      </c>
      <c r="G181" s="4" t="n">
        <v>925</v>
      </c>
      <c r="H181" s="4" t="n">
        <v>280</v>
      </c>
      <c r="I181" s="5" t="n">
        <v>178.6</v>
      </c>
      <c r="J181" s="5" t="n">
        <v>0</v>
      </c>
      <c r="K181" s="3" t="inlineStr">
        <is>
          <t>조망 잘나오는 전원주택,카페 추천, 도로 접해있습니다. 조율가능</t>
        </is>
      </c>
      <c r="L181" s="6">
        <f>HYPERLINK("https://fin.land.naver.com/articles/2650293299", "매물Link")</f>
        <v/>
      </c>
      <c r="M181" t="inlineStr">
        <is>
          <t>정보 없음</t>
        </is>
      </c>
      <c r="N181" t="inlineStr">
        <is>
          <t>정보 없음</t>
        </is>
      </c>
      <c r="O181" s="3" t="inlineStr">
        <is>
          <t>금돼지</t>
        </is>
      </c>
      <c r="P181" s="4" t="n">
        <v>1</v>
      </c>
      <c r="Q181" s="3" t="inlineStr"/>
      <c r="R181" s="3" t="inlineStr"/>
      <c r="S181" s="3" t="inlineStr">
        <is>
          <t>정보 없음</t>
        </is>
      </c>
      <c r="T181" s="3" t="inlineStr"/>
      <c r="U181" s="3" t="inlineStr"/>
      <c r="V181" s="3" t="inlineStr">
        <is>
          <t>정보 없음</t>
        </is>
      </c>
    </row>
    <row r="182">
      <c r="A182" s="3" t="inlineStr">
        <is>
          <t>연동면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답</t>
        </is>
      </c>
      <c r="E182" s="3" t="inlineStr">
        <is>
          <t>매매</t>
        </is>
      </c>
      <c r="F182" s="4" t="n">
        <v>103200</v>
      </c>
      <c r="G182" s="4" t="n">
        <v>7112</v>
      </c>
      <c r="H182" s="4" t="n">
        <v>2151</v>
      </c>
      <c r="I182" s="5" t="n">
        <v>48</v>
      </c>
      <c r="J182" s="5" t="n">
        <v>0</v>
      </c>
      <c r="K182" s="3" t="inlineStr">
        <is>
          <t>농사짓기편리한땅.가격저렴.향후지가상승기대지역.대토지.</t>
        </is>
      </c>
      <c r="L182" s="6">
        <f>HYPERLINK("https://fin.land.naver.com/articles/2648568686", "매물Link")</f>
        <v/>
      </c>
      <c r="M182" t="inlineStr">
        <is>
          <t>정보 없음</t>
        </is>
      </c>
      <c r="N182" t="inlineStr">
        <is>
          <t>정보 없음</t>
        </is>
      </c>
      <c r="O182" s="3" t="inlineStr">
        <is>
          <t>세종연동탑</t>
        </is>
      </c>
      <c r="P182" s="4" t="n">
        <v>1</v>
      </c>
      <c r="Q182" s="3" t="inlineStr"/>
      <c r="R182" s="3" t="inlineStr"/>
      <c r="S182" s="3" t="inlineStr">
        <is>
          <t>정보 없음</t>
        </is>
      </c>
      <c r="T182" s="3" t="inlineStr"/>
      <c r="U182" s="3" t="inlineStr"/>
      <c r="V182" s="3" t="inlineStr">
        <is>
          <t>정보 없음</t>
        </is>
      </c>
    </row>
    <row r="183">
      <c r="A183" s="3" t="inlineStr">
        <is>
          <t>연동면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전</t>
        </is>
      </c>
      <c r="E183" s="3" t="inlineStr">
        <is>
          <t>매매</t>
        </is>
      </c>
      <c r="F183" s="4" t="n">
        <v>107400</v>
      </c>
      <c r="G183" s="4" t="n">
        <v>1184</v>
      </c>
      <c r="H183" s="4" t="n">
        <v>358</v>
      </c>
      <c r="I183" s="5" t="n">
        <v>300</v>
      </c>
      <c r="J183" s="5" t="n">
        <v>0</v>
      </c>
      <c r="K183" s="3" t="inlineStr">
        <is>
          <t>3필지연접.도로접.계획관리.향후상승요인높은토지.투자용.</t>
        </is>
      </c>
      <c r="L183" s="6">
        <f>HYPERLINK("https://fin.land.naver.com/articles/2648908733", "매물Link")</f>
        <v/>
      </c>
      <c r="M183" t="inlineStr">
        <is>
          <t>정보 없음</t>
        </is>
      </c>
      <c r="N183" t="inlineStr">
        <is>
          <t>정보 없음</t>
        </is>
      </c>
      <c r="O183" s="3" t="inlineStr">
        <is>
          <t>소담베스트</t>
        </is>
      </c>
      <c r="P183" s="4" t="n">
        <v>1</v>
      </c>
      <c r="Q183" s="3" t="inlineStr"/>
      <c r="R183" s="3" t="inlineStr"/>
      <c r="S183" s="3" t="inlineStr">
        <is>
          <t>정보 없음</t>
        </is>
      </c>
      <c r="T183" s="3" t="inlineStr"/>
      <c r="U183" s="3" t="inlineStr"/>
      <c r="V183" s="3" t="inlineStr">
        <is>
          <t>정보 없음</t>
        </is>
      </c>
    </row>
    <row r="184">
      <c r="A184" s="3" t="inlineStr">
        <is>
          <t>연서면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답</t>
        </is>
      </c>
      <c r="E184" s="3" t="inlineStr">
        <is>
          <t>매매</t>
        </is>
      </c>
      <c r="F184" s="4" t="n">
        <v>2500</v>
      </c>
      <c r="G184" s="4" t="n">
        <v>942</v>
      </c>
      <c r="H184" s="4" t="n">
        <v>285</v>
      </c>
      <c r="I184" s="5" t="n">
        <v>8.800000000000001</v>
      </c>
      <c r="J184" s="5" t="n">
        <v>0</v>
      </c>
      <c r="K184" s="3" t="inlineStr">
        <is>
          <t>급매.공시지가이하인 매물 전원·세컨·주말농장 등</t>
        </is>
      </c>
      <c r="L184" s="6">
        <f>HYPERLINK("https://fin.land.naver.com/articles/2648353178", "매물Link")</f>
        <v/>
      </c>
      <c r="M184" t="inlineStr">
        <is>
          <t>정보 없음</t>
        </is>
      </c>
      <c r="N184" t="inlineStr">
        <is>
          <t>정보 없음</t>
        </is>
      </c>
      <c r="O184" s="3" t="inlineStr">
        <is>
          <t>세종OK</t>
        </is>
      </c>
      <c r="P184" s="4" t="n">
        <v>1</v>
      </c>
      <c r="Q184" s="3" t="inlineStr"/>
      <c r="R184" s="3" t="inlineStr"/>
      <c r="S184" s="3" t="inlineStr">
        <is>
          <t>정보 없음</t>
        </is>
      </c>
      <c r="T184" s="3" t="inlineStr"/>
      <c r="U184" s="3" t="inlineStr"/>
      <c r="V184" s="3" t="inlineStr">
        <is>
          <t>정보 없음</t>
        </is>
      </c>
    </row>
    <row r="185">
      <c r="A185" s="3" t="inlineStr">
        <is>
          <t>연서면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답</t>
        </is>
      </c>
      <c r="E185" s="3" t="inlineStr">
        <is>
          <t>매매</t>
        </is>
      </c>
      <c r="F185" s="4" t="n">
        <v>330000</v>
      </c>
      <c r="G185" s="4" t="n">
        <v>3712</v>
      </c>
      <c r="H185" s="4" t="n">
        <v>1123</v>
      </c>
      <c r="I185" s="5" t="n">
        <v>293.9</v>
      </c>
      <c r="J185" s="5" t="n">
        <v>0</v>
      </c>
      <c r="K185" s="3" t="inlineStr">
        <is>
          <t>인근 대단지 아파트 예정지 향후 투자가치굿</t>
        </is>
      </c>
      <c r="L185" s="6">
        <f>HYPERLINK("https://fin.land.naver.com/articles/2653023872", "매물Link")</f>
        <v/>
      </c>
      <c r="M185" t="inlineStr">
        <is>
          <t>정보 없음</t>
        </is>
      </c>
      <c r="N185" t="inlineStr">
        <is>
          <t>정보 없음</t>
        </is>
      </c>
      <c r="O185" s="3" t="inlineStr">
        <is>
          <t>세종OK</t>
        </is>
      </c>
      <c r="P185" s="4" t="n">
        <v>1</v>
      </c>
      <c r="Q185" s="3" t="inlineStr"/>
      <c r="R185" s="3" t="inlineStr"/>
      <c r="S185" s="3" t="inlineStr">
        <is>
          <t>정보 없음</t>
        </is>
      </c>
      <c r="T185" s="3" t="inlineStr"/>
      <c r="U185" s="3" t="inlineStr"/>
      <c r="V185" s="3" t="inlineStr">
        <is>
          <t>정보 없음</t>
        </is>
      </c>
    </row>
    <row r="186">
      <c r="A186" s="3" t="inlineStr">
        <is>
          <t>연서면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전</t>
        </is>
      </c>
      <c r="E186" s="3" t="inlineStr">
        <is>
          <t>매매</t>
        </is>
      </c>
      <c r="F186" s="4" t="n">
        <v>40000</v>
      </c>
      <c r="G186" s="4" t="n">
        <v>1553</v>
      </c>
      <c r="H186" s="4" t="n">
        <v>470</v>
      </c>
      <c r="I186" s="5" t="n">
        <v>85.09999999999999</v>
      </c>
      <c r="J186" s="5" t="n">
        <v>0</v>
      </c>
      <c r="K186" s="3" t="inlineStr">
        <is>
          <t>급. 연서면 투자용 전</t>
        </is>
      </c>
      <c r="L186" s="6">
        <f>HYPERLINK("https://fin.land.naver.com/articles/2652375736", "매물Link")</f>
        <v/>
      </c>
      <c r="M186" t="inlineStr">
        <is>
          <t>정보 없음</t>
        </is>
      </c>
      <c r="N186" t="inlineStr">
        <is>
          <t>정보 없음</t>
        </is>
      </c>
      <c r="O186" s="3" t="inlineStr">
        <is>
          <t>강아지풀</t>
        </is>
      </c>
      <c r="P186" s="4" t="n">
        <v>1</v>
      </c>
      <c r="Q186" s="3" t="inlineStr"/>
      <c r="R186" s="3" t="inlineStr"/>
      <c r="S186" s="3" t="inlineStr">
        <is>
          <t>정보 없음</t>
        </is>
      </c>
      <c r="T186" s="3" t="inlineStr"/>
      <c r="U186" s="3" t="inlineStr"/>
      <c r="V186" s="3" t="inlineStr">
        <is>
          <t>정보 없음</t>
        </is>
      </c>
    </row>
    <row r="187">
      <c r="A187" s="3" t="inlineStr">
        <is>
          <t>연서면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대</t>
        </is>
      </c>
      <c r="E187" s="3" t="inlineStr">
        <is>
          <t>매매</t>
        </is>
      </c>
      <c r="F187" s="4" t="n">
        <v>58000</v>
      </c>
      <c r="G187" s="4" t="n">
        <v>1059</v>
      </c>
      <c r="H187" s="4" t="n">
        <v>320</v>
      </c>
      <c r="I187" s="5" t="n">
        <v>181.2</v>
      </c>
      <c r="J187" s="5" t="n">
        <v>0</v>
      </c>
      <c r="K187" s="3" t="inlineStr">
        <is>
          <t>급매. 고복저수지 인근 건축가능한 토지</t>
        </is>
      </c>
      <c r="L187" s="6">
        <f>HYPERLINK("https://fin.land.naver.com/articles/2652375374", "매물Link")</f>
        <v/>
      </c>
      <c r="M187" t="inlineStr">
        <is>
          <t>정보 없음</t>
        </is>
      </c>
      <c r="N187" t="inlineStr">
        <is>
          <t>정보 없음</t>
        </is>
      </c>
      <c r="O187" s="3" t="inlineStr">
        <is>
          <t>강아지풀</t>
        </is>
      </c>
      <c r="P187" s="4" t="n">
        <v>1</v>
      </c>
      <c r="Q187" s="3" t="inlineStr"/>
      <c r="R187" s="3" t="inlineStr"/>
      <c r="S187" s="3" t="inlineStr">
        <is>
          <t>정보 없음</t>
        </is>
      </c>
      <c r="T187" s="3" t="inlineStr"/>
      <c r="U187" s="3" t="inlineStr"/>
      <c r="V187" s="3" t="inlineStr">
        <is>
          <t>정보 없음</t>
        </is>
      </c>
    </row>
    <row r="188">
      <c r="A188" s="3" t="inlineStr">
        <is>
          <t>연서면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전</t>
        </is>
      </c>
      <c r="E188" s="3" t="inlineStr">
        <is>
          <t>매매</t>
        </is>
      </c>
      <c r="F188" s="4" t="n">
        <v>7000</v>
      </c>
      <c r="G188" s="4" t="n">
        <v>496</v>
      </c>
      <c r="H188" s="4" t="n">
        <v>150</v>
      </c>
      <c r="I188" s="5" t="n">
        <v>46.7</v>
      </c>
      <c r="J188" s="5" t="n">
        <v>0</v>
      </c>
      <c r="K188" s="3" t="inlineStr">
        <is>
          <t>전원세컨주말농장 최적지 투자가치도굿</t>
        </is>
      </c>
      <c r="L188" s="6">
        <f>HYPERLINK("https://fin.land.naver.com/articles/2653025617", "매물Link")</f>
        <v/>
      </c>
      <c r="M188" t="inlineStr">
        <is>
          <t>정보 없음</t>
        </is>
      </c>
      <c r="N188" t="inlineStr">
        <is>
          <t>정보 없음</t>
        </is>
      </c>
      <c r="O188" s="3" t="inlineStr">
        <is>
          <t>세종OK</t>
        </is>
      </c>
      <c r="P188" s="4" t="n">
        <v>1</v>
      </c>
      <c r="Q188" s="3" t="inlineStr"/>
      <c r="R188" s="3" t="inlineStr"/>
      <c r="S188" s="3" t="inlineStr">
        <is>
          <t>정보 없음</t>
        </is>
      </c>
      <c r="T188" s="3" t="inlineStr"/>
      <c r="U188" s="3" t="inlineStr"/>
      <c r="V188" s="3" t="inlineStr">
        <is>
          <t>정보 없음</t>
        </is>
      </c>
    </row>
    <row r="189">
      <c r="A189" s="3" t="inlineStr">
        <is>
          <t>연서면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전</t>
        </is>
      </c>
      <c r="E189" s="3" t="inlineStr">
        <is>
          <t>매매</t>
        </is>
      </c>
      <c r="F189" s="4" t="n">
        <v>38500</v>
      </c>
      <c r="G189" s="4" t="n">
        <v>1590</v>
      </c>
      <c r="H189" s="4" t="n">
        <v>481</v>
      </c>
      <c r="I189" s="5" t="n">
        <v>80</v>
      </c>
      <c r="J189" s="5" t="n">
        <v>0</v>
      </c>
      <c r="K189" s="3" t="inlineStr">
        <is>
          <t>추천. 주말 농장용 토지</t>
        </is>
      </c>
      <c r="L189" s="6">
        <f>HYPERLINK("https://fin.land.naver.com/articles/2652373621", "매물Link")</f>
        <v/>
      </c>
      <c r="M189" t="inlineStr">
        <is>
          <t>정보 없음</t>
        </is>
      </c>
      <c r="N189" t="inlineStr">
        <is>
          <t>정보 없음</t>
        </is>
      </c>
      <c r="O189" s="3" t="inlineStr">
        <is>
          <t>강아지풀</t>
        </is>
      </c>
      <c r="P189" s="4" t="n">
        <v>1</v>
      </c>
      <c r="Q189" s="3" t="inlineStr"/>
      <c r="R189" s="3" t="inlineStr"/>
      <c r="S189" s="3" t="inlineStr">
        <is>
          <t>정보 없음</t>
        </is>
      </c>
      <c r="T189" s="3" t="inlineStr"/>
      <c r="U189" s="3" t="inlineStr"/>
      <c r="V189" s="3" t="inlineStr">
        <is>
          <t>정보 없음</t>
        </is>
      </c>
    </row>
    <row r="190">
      <c r="A190" s="3" t="inlineStr">
        <is>
          <t>연서면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전</t>
        </is>
      </c>
      <c r="E190" s="3" t="inlineStr">
        <is>
          <t>매매</t>
        </is>
      </c>
      <c r="F190" s="4" t="n">
        <v>209550</v>
      </c>
      <c r="G190" s="4" t="n">
        <v>2566</v>
      </c>
      <c r="H190" s="4" t="n">
        <v>776</v>
      </c>
      <c r="I190" s="5" t="n">
        <v>270</v>
      </c>
      <c r="J190" s="5" t="n">
        <v>0</v>
      </c>
      <c r="K190" s="3" t="inlineStr">
        <is>
          <t>고복저수지로 향하는 2차선도 양면에 접한 최상 토지로 7천세대 토지 근접</t>
        </is>
      </c>
      <c r="L190" s="6">
        <f>HYPERLINK("https://fin.land.naver.com/articles/2652353605", "매물Link")</f>
        <v/>
      </c>
      <c r="M190" t="inlineStr">
        <is>
          <t>정보 없음</t>
        </is>
      </c>
      <c r="N190" t="inlineStr">
        <is>
          <t>정보 없음</t>
        </is>
      </c>
      <c r="O190" s="3" t="inlineStr">
        <is>
          <t>온누리</t>
        </is>
      </c>
      <c r="P190" s="4" t="n">
        <v>1</v>
      </c>
      <c r="Q190" s="3" t="inlineStr"/>
      <c r="R190" s="3" t="inlineStr"/>
      <c r="S190" s="3" t="inlineStr">
        <is>
          <t>정보 없음</t>
        </is>
      </c>
      <c r="T190" s="3" t="inlineStr"/>
      <c r="U190" s="3" t="inlineStr"/>
      <c r="V190" s="3" t="inlineStr">
        <is>
          <t>정보 없음</t>
        </is>
      </c>
    </row>
    <row r="191">
      <c r="A191" s="3" t="inlineStr">
        <is>
          <t>연서면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전</t>
        </is>
      </c>
      <c r="E191" s="3" t="inlineStr">
        <is>
          <t>매매</t>
        </is>
      </c>
      <c r="F191" s="4" t="n">
        <v>173400</v>
      </c>
      <c r="G191" s="4" t="n">
        <v>2205</v>
      </c>
      <c r="H191" s="4" t="n">
        <v>667</v>
      </c>
      <c r="I191" s="5" t="n">
        <v>260</v>
      </c>
      <c r="J191" s="5" t="n">
        <v>0</v>
      </c>
      <c r="K191" s="3" t="inlineStr">
        <is>
          <t>월하리 개발예정지로 호재 산재되어 음식점, 카페, 주거지 등 장기투자최상</t>
        </is>
      </c>
      <c r="L191" s="6">
        <f>HYPERLINK("https://fin.land.naver.com/articles/2652344747", "매물Link")</f>
        <v/>
      </c>
      <c r="M191" t="inlineStr">
        <is>
          <t>정보 없음</t>
        </is>
      </c>
      <c r="N191" t="inlineStr">
        <is>
          <t>정보 없음</t>
        </is>
      </c>
      <c r="O191" s="3" t="inlineStr">
        <is>
          <t>온누리</t>
        </is>
      </c>
      <c r="P191" s="4" t="n">
        <v>1</v>
      </c>
      <c r="Q191" s="3" t="inlineStr"/>
      <c r="R191" s="3" t="inlineStr"/>
      <c r="S191" s="3" t="inlineStr">
        <is>
          <t>정보 없음</t>
        </is>
      </c>
      <c r="T191" s="3" t="inlineStr"/>
      <c r="U191" s="3" t="inlineStr"/>
      <c r="V191" s="3" t="inlineStr">
        <is>
          <t>정보 없음</t>
        </is>
      </c>
    </row>
    <row r="192">
      <c r="A192" s="3" t="inlineStr">
        <is>
          <t>연서면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과수원</t>
        </is>
      </c>
      <c r="E192" s="3" t="inlineStr">
        <is>
          <t>매매</t>
        </is>
      </c>
      <c r="F192" s="4" t="n">
        <v>304000</v>
      </c>
      <c r="G192" s="4" t="n">
        <v>6280</v>
      </c>
      <c r="H192" s="4" t="n">
        <v>1900</v>
      </c>
      <c r="I192" s="5" t="n">
        <v>160</v>
      </c>
      <c r="J192" s="5" t="n">
        <v>0</v>
      </c>
      <c r="K192" s="3" t="inlineStr">
        <is>
          <t>분할 매매 가능,도로 접함,생산관리지역</t>
        </is>
      </c>
      <c r="L192" s="6">
        <f>HYPERLINK("https://fin.land.naver.com/articles/2651945912", "매물Link")</f>
        <v/>
      </c>
      <c r="M192" t="inlineStr">
        <is>
          <t>정보 없음</t>
        </is>
      </c>
      <c r="N192" t="inlineStr">
        <is>
          <t>정보 없음</t>
        </is>
      </c>
      <c r="O192" s="3" t="inlineStr">
        <is>
          <t>신나라</t>
        </is>
      </c>
      <c r="P192" s="4" t="n">
        <v>1</v>
      </c>
      <c r="Q192" s="3" t="inlineStr"/>
      <c r="R192" s="3" t="inlineStr"/>
      <c r="S192" s="3" t="inlineStr">
        <is>
          <t>정보 없음</t>
        </is>
      </c>
      <c r="T192" s="3" t="inlineStr"/>
      <c r="U192" s="3" t="inlineStr"/>
      <c r="V192" s="3" t="inlineStr">
        <is>
          <t>정보 없음</t>
        </is>
      </c>
    </row>
    <row r="193">
      <c r="A193" s="3" t="inlineStr">
        <is>
          <t>연서면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전</t>
        </is>
      </c>
      <c r="E193" s="3" t="inlineStr">
        <is>
          <t>매매</t>
        </is>
      </c>
      <c r="F193" s="4" t="n">
        <v>121270</v>
      </c>
      <c r="G193" s="4" t="n">
        <v>3084</v>
      </c>
      <c r="H193" s="4" t="n">
        <v>933</v>
      </c>
      <c r="I193" s="5" t="n">
        <v>130</v>
      </c>
      <c r="J193" s="5" t="n">
        <v>0</v>
      </c>
      <c r="K193" s="3" t="inlineStr">
        <is>
          <t>위치좋음</t>
        </is>
      </c>
      <c r="L193" s="6">
        <f>HYPERLINK("https://fin.land.naver.com/articles/2650694274", "매물Link")</f>
        <v/>
      </c>
      <c r="M193" t="inlineStr">
        <is>
          <t>정보 없음</t>
        </is>
      </c>
      <c r="N193" t="inlineStr">
        <is>
          <t>정보 없음</t>
        </is>
      </c>
      <c r="O193" s="3" t="inlineStr">
        <is>
          <t>운산</t>
        </is>
      </c>
      <c r="P193" s="4" t="n">
        <v>1</v>
      </c>
      <c r="Q193" s="3" t="inlineStr"/>
      <c r="R193" s="3" t="inlineStr"/>
      <c r="S193" s="3" t="inlineStr">
        <is>
          <t>정보 없음</t>
        </is>
      </c>
      <c r="T193" s="3" t="inlineStr"/>
      <c r="U193" s="3" t="inlineStr"/>
      <c r="V193" s="3" t="inlineStr">
        <is>
          <t>정보 없음</t>
        </is>
      </c>
    </row>
    <row r="194">
      <c r="A194" s="3" t="inlineStr">
        <is>
          <t>연서면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답</t>
        </is>
      </c>
      <c r="E194" s="3" t="inlineStr">
        <is>
          <t>매매</t>
        </is>
      </c>
      <c r="F194" s="4" t="n">
        <v>150000</v>
      </c>
      <c r="G194" s="4" t="n">
        <v>1524</v>
      </c>
      <c r="H194" s="4" t="n">
        <v>461</v>
      </c>
      <c r="I194" s="5" t="n">
        <v>325.4</v>
      </c>
      <c r="J194" s="5" t="n">
        <v>0</v>
      </c>
      <c r="K194" s="3" t="inlineStr">
        <is>
          <t>2차선 최근접(약12미터) 계획관리 지역</t>
        </is>
      </c>
      <c r="L194" s="6">
        <f>HYPERLINK("https://fin.land.naver.com/articles/2650428478", "매물Link")</f>
        <v/>
      </c>
      <c r="M194" t="inlineStr">
        <is>
          <t>정보 없음</t>
        </is>
      </c>
      <c r="N194" t="inlineStr">
        <is>
          <t>정보 없음</t>
        </is>
      </c>
      <c r="O194" s="3" t="inlineStr">
        <is>
          <t>신안</t>
        </is>
      </c>
      <c r="P194" s="4" t="n">
        <v>1</v>
      </c>
      <c r="Q194" s="3" t="inlineStr"/>
      <c r="R194" s="3" t="inlineStr"/>
      <c r="S194" s="3" t="inlineStr">
        <is>
          <t>정보 없음</t>
        </is>
      </c>
      <c r="T194" s="3" t="inlineStr"/>
      <c r="U194" s="3" t="inlineStr"/>
      <c r="V194" s="3" t="inlineStr">
        <is>
          <t>정보 없음</t>
        </is>
      </c>
    </row>
    <row r="195">
      <c r="A195" s="3" t="inlineStr">
        <is>
          <t>연서면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전</t>
        </is>
      </c>
      <c r="E195" s="3" t="inlineStr">
        <is>
          <t>매매</t>
        </is>
      </c>
      <c r="F195" s="4" t="n">
        <v>350000</v>
      </c>
      <c r="G195" s="4" t="n">
        <v>9387</v>
      </c>
      <c r="H195" s="4" t="n">
        <v>2840</v>
      </c>
      <c r="I195" s="5" t="n">
        <v>123.2</v>
      </c>
      <c r="J195" s="5" t="n">
        <v>0</v>
      </c>
      <c r="K195" s="3" t="inlineStr">
        <is>
          <t>2차선도로접,생산,계획관리혼재</t>
        </is>
      </c>
      <c r="L195" s="6">
        <f>HYPERLINK("https://fin.land.naver.com/articles/2650206206", "매물Link")</f>
        <v/>
      </c>
      <c r="M195" t="inlineStr">
        <is>
          <t>정보 없음</t>
        </is>
      </c>
      <c r="N195" t="inlineStr">
        <is>
          <t>정보 없음</t>
        </is>
      </c>
      <c r="O195" s="3" t="inlineStr">
        <is>
          <t>세종힐데스</t>
        </is>
      </c>
      <c r="P195" s="4" t="n">
        <v>1</v>
      </c>
      <c r="Q195" s="3" t="inlineStr"/>
      <c r="R195" s="3" t="inlineStr"/>
      <c r="S195" s="3" t="inlineStr">
        <is>
          <t>정보 없음</t>
        </is>
      </c>
      <c r="T195" s="3" t="inlineStr"/>
      <c r="U195" s="3" t="inlineStr"/>
      <c r="V195" s="3" t="inlineStr">
        <is>
          <t>정보 없음</t>
        </is>
      </c>
    </row>
    <row r="196">
      <c r="A196" s="3" t="inlineStr">
        <is>
          <t>연서면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과수원</t>
        </is>
      </c>
      <c r="E196" s="3" t="inlineStr">
        <is>
          <t>매매</t>
        </is>
      </c>
      <c r="F196" s="4" t="n">
        <v>60000</v>
      </c>
      <c r="G196" s="4" t="n">
        <v>892</v>
      </c>
      <c r="H196" s="4" t="n">
        <v>270</v>
      </c>
      <c r="I196" s="5" t="n">
        <v>222.2</v>
      </c>
      <c r="J196" s="5" t="n">
        <v>0</v>
      </c>
      <c r="K196" s="3" t="inlineStr">
        <is>
          <t>상업용건물,주택지등</t>
        </is>
      </c>
      <c r="L196" s="6">
        <f>HYPERLINK("https://fin.land.naver.com/articles/2650204849", "매물Link")</f>
        <v/>
      </c>
      <c r="M196" t="inlineStr">
        <is>
          <t>정보 없음</t>
        </is>
      </c>
      <c r="N196" t="inlineStr">
        <is>
          <t>정보 없음</t>
        </is>
      </c>
      <c r="O196" s="3" t="inlineStr">
        <is>
          <t>세종힐데스</t>
        </is>
      </c>
      <c r="P196" s="4" t="n">
        <v>1</v>
      </c>
      <c r="Q196" s="3" t="inlineStr"/>
      <c r="R196" s="3" t="inlineStr"/>
      <c r="S196" s="3" t="inlineStr">
        <is>
          <t>정보 없음</t>
        </is>
      </c>
      <c r="T196" s="3" t="inlineStr"/>
      <c r="U196" s="3" t="inlineStr"/>
      <c r="V196" s="3" t="inlineStr">
        <is>
          <t>정보 없음</t>
        </is>
      </c>
    </row>
    <row r="197">
      <c r="A197" s="3" t="inlineStr">
        <is>
          <t>연서면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임야</t>
        </is>
      </c>
      <c r="E197" s="3" t="inlineStr">
        <is>
          <t>매매</t>
        </is>
      </c>
      <c r="F197" s="4" t="n">
        <v>75825</v>
      </c>
      <c r="G197" s="4" t="n">
        <v>25066</v>
      </c>
      <c r="H197" s="4" t="n">
        <v>7582</v>
      </c>
      <c r="I197" s="5" t="n">
        <v>10</v>
      </c>
      <c r="J197" s="5" t="n">
        <v>0</v>
      </c>
      <c r="K197" s="3" t="inlineStr">
        <is>
          <t>전원주택단지부지.전기,수도설비 가능,투자굿</t>
        </is>
      </c>
      <c r="L197" s="6">
        <f>HYPERLINK("https://fin.land.naver.com/articles/2650041893", "매물Link")</f>
        <v/>
      </c>
      <c r="M197" t="inlineStr">
        <is>
          <t>정보 없음</t>
        </is>
      </c>
      <c r="N197" t="inlineStr">
        <is>
          <t>정보 없음</t>
        </is>
      </c>
      <c r="O197" s="3" t="inlineStr">
        <is>
          <t>모두</t>
        </is>
      </c>
      <c r="P197" s="4" t="n">
        <v>1</v>
      </c>
      <c r="Q197" s="3" t="inlineStr"/>
      <c r="R197" s="3" t="inlineStr"/>
      <c r="S197" s="3" t="inlineStr">
        <is>
          <t>정보 없음</t>
        </is>
      </c>
      <c r="T197" s="3" t="inlineStr"/>
      <c r="U197" s="3" t="inlineStr"/>
      <c r="V197" s="3" t="inlineStr">
        <is>
          <t>정보 없음</t>
        </is>
      </c>
    </row>
    <row r="198">
      <c r="A198" s="3" t="inlineStr">
        <is>
          <t>연서면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과수원</t>
        </is>
      </c>
      <c r="E198" s="3" t="inlineStr">
        <is>
          <t>매매</t>
        </is>
      </c>
      <c r="F198" s="4" t="n">
        <v>8370</v>
      </c>
      <c r="G198" s="4" t="n">
        <v>615</v>
      </c>
      <c r="H198" s="4" t="n">
        <v>186</v>
      </c>
      <c r="I198" s="5" t="n">
        <v>45</v>
      </c>
      <c r="J198" s="5" t="n">
        <v>0</v>
      </c>
      <c r="K198" s="3" t="inlineStr">
        <is>
          <t>고복저수지, 과수원매매, 수목포함, 186P</t>
        </is>
      </c>
      <c r="L198" s="6">
        <f>HYPERLINK("https://fin.land.naver.com/articles/2649770212", "매물Link")</f>
        <v/>
      </c>
      <c r="M198" t="inlineStr">
        <is>
          <t>정보 없음</t>
        </is>
      </c>
      <c r="N198" t="inlineStr">
        <is>
          <t>정보 없음</t>
        </is>
      </c>
      <c r="O198" s="3" t="inlineStr">
        <is>
          <t>엄마와 딸  사무소</t>
        </is>
      </c>
      <c r="P198" s="4" t="n">
        <v>1</v>
      </c>
      <c r="Q198" s="3" t="inlineStr"/>
      <c r="R198" s="3" t="inlineStr"/>
      <c r="S198" s="3" t="inlineStr">
        <is>
          <t>정보 없음</t>
        </is>
      </c>
      <c r="T198" s="3" t="inlineStr"/>
      <c r="U198" s="3" t="inlineStr"/>
      <c r="V198" s="3" t="inlineStr">
        <is>
          <t>정보 없음</t>
        </is>
      </c>
    </row>
    <row r="199">
      <c r="A199" s="3" t="inlineStr">
        <is>
          <t>연서면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대</t>
        </is>
      </c>
      <c r="E199" s="3" t="inlineStr">
        <is>
          <t>매매</t>
        </is>
      </c>
      <c r="F199" s="4" t="n">
        <v>75000</v>
      </c>
      <c r="G199" s="4" t="n">
        <v>648</v>
      </c>
      <c r="H199" s="4" t="n">
        <v>196</v>
      </c>
      <c r="I199" s="5" t="n">
        <v>382.7</v>
      </c>
      <c r="J199" s="5" t="n">
        <v>0</v>
      </c>
      <c r="K199" s="3" t="inlineStr">
        <is>
          <t>nan</t>
        </is>
      </c>
      <c r="L199" s="6">
        <f>HYPERLINK("https://fin.land.naver.com/articles/2649636931", "매물Link")</f>
        <v/>
      </c>
      <c r="M199" t="inlineStr">
        <is>
          <t>정보 없음</t>
        </is>
      </c>
      <c r="N199" t="inlineStr">
        <is>
          <t>정보 없음</t>
        </is>
      </c>
      <c r="O199" s="3" t="inlineStr">
        <is>
          <t>부자세종</t>
        </is>
      </c>
      <c r="P199" s="4" t="n">
        <v>1</v>
      </c>
      <c r="Q199" s="3" t="inlineStr"/>
      <c r="R199" s="3" t="inlineStr"/>
      <c r="S199" s="3" t="inlineStr">
        <is>
          <t>정보 없음</t>
        </is>
      </c>
      <c r="T199" s="3" t="inlineStr"/>
      <c r="U199" s="3" t="inlineStr"/>
      <c r="V199" s="3" t="inlineStr">
        <is>
          <t>정보 없음</t>
        </is>
      </c>
    </row>
    <row r="200">
      <c r="A200" s="3" t="inlineStr">
        <is>
          <t>연서면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전</t>
        </is>
      </c>
      <c r="E200" s="3" t="inlineStr">
        <is>
          <t>매매</t>
        </is>
      </c>
      <c r="F200" s="4" t="n">
        <v>17850</v>
      </c>
      <c r="G200" s="4" t="n">
        <v>251</v>
      </c>
      <c r="H200" s="4" t="n">
        <v>76</v>
      </c>
      <c r="I200" s="5" t="n">
        <v>234.9</v>
      </c>
      <c r="J200" s="5" t="n">
        <v>0</v>
      </c>
      <c r="K200" s="3" t="inlineStr">
        <is>
          <t>와촌국가산업단지조성과 연계된 4차선개발에 근접거리로 발전성 최상</t>
        </is>
      </c>
      <c r="L200" s="6">
        <f>HYPERLINK("https://fin.land.naver.com/articles/2649503523", "매물Link")</f>
        <v/>
      </c>
      <c r="M200" t="inlineStr">
        <is>
          <t>정보 없음</t>
        </is>
      </c>
      <c r="N200" t="inlineStr">
        <is>
          <t>정보 없음</t>
        </is>
      </c>
      <c r="O200" s="3" t="inlineStr">
        <is>
          <t>온누리</t>
        </is>
      </c>
      <c r="P200" s="4" t="n">
        <v>1</v>
      </c>
      <c r="Q200" s="3" t="inlineStr"/>
      <c r="R200" s="3" t="inlineStr"/>
      <c r="S200" s="3" t="inlineStr">
        <is>
          <t>정보 없음</t>
        </is>
      </c>
      <c r="T200" s="3" t="inlineStr"/>
      <c r="U200" s="3" t="inlineStr"/>
      <c r="V200" s="3" t="inlineStr">
        <is>
          <t>정보 없음</t>
        </is>
      </c>
    </row>
    <row r="201">
      <c r="A201" s="3" t="inlineStr">
        <is>
          <t>연서면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대</t>
        </is>
      </c>
      <c r="E201" s="3" t="inlineStr">
        <is>
          <t>매매</t>
        </is>
      </c>
      <c r="F201" s="4" t="n">
        <v>29000</v>
      </c>
      <c r="G201" s="4" t="n">
        <v>631</v>
      </c>
      <c r="H201" s="4" t="n">
        <v>191</v>
      </c>
      <c r="I201" s="5" t="n">
        <v>151.8</v>
      </c>
      <c r="J201" s="5" t="n">
        <v>0</v>
      </c>
      <c r="K201" s="3" t="inlineStr">
        <is>
          <t>현 나대지 저렴한 매매, 투자도 좋아요</t>
        </is>
      </c>
      <c r="L201" s="6">
        <f>HYPERLINK("https://fin.land.naver.com/articles/2649398912", "매물Link")</f>
        <v/>
      </c>
      <c r="M201" t="inlineStr">
        <is>
          <t>정보 없음</t>
        </is>
      </c>
      <c r="N201" t="inlineStr">
        <is>
          <t>정보 없음</t>
        </is>
      </c>
      <c r="O201" s="3" t="inlineStr">
        <is>
          <t>세종해비치</t>
        </is>
      </c>
      <c r="P201" s="4" t="n">
        <v>1</v>
      </c>
      <c r="Q201" s="3" t="inlineStr"/>
      <c r="R201" s="3" t="inlineStr"/>
      <c r="S201" s="3" t="inlineStr">
        <is>
          <t>정보 없음</t>
        </is>
      </c>
      <c r="T201" s="3" t="inlineStr"/>
      <c r="U201" s="3" t="inlineStr"/>
      <c r="V201" s="3" t="inlineStr">
        <is>
          <t>정보 없음</t>
        </is>
      </c>
    </row>
    <row r="202">
      <c r="A202" s="3" t="inlineStr">
        <is>
          <t>연서면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전</t>
        </is>
      </c>
      <c r="E202" s="3" t="inlineStr">
        <is>
          <t>매매</t>
        </is>
      </c>
      <c r="F202" s="4" t="n">
        <v>209000</v>
      </c>
      <c r="G202" s="4" t="n">
        <v>1977</v>
      </c>
      <c r="H202" s="4" t="n">
        <v>598</v>
      </c>
      <c r="I202" s="5" t="n">
        <v>349.5</v>
      </c>
      <c r="J202" s="5" t="n">
        <v>0</v>
      </c>
      <c r="K202" s="3" t="inlineStr">
        <is>
          <t>위치좋음</t>
        </is>
      </c>
      <c r="L202" s="6">
        <f>HYPERLINK("https://fin.land.naver.com/articles/2649115870", "매물Link")</f>
        <v/>
      </c>
      <c r="M202" t="inlineStr">
        <is>
          <t>정보 없음</t>
        </is>
      </c>
      <c r="N202" t="inlineStr">
        <is>
          <t>정보 없음</t>
        </is>
      </c>
      <c r="O202" s="3" t="inlineStr">
        <is>
          <t>운산</t>
        </is>
      </c>
      <c r="P202" s="4" t="n">
        <v>1</v>
      </c>
      <c r="Q202" s="3" t="inlineStr"/>
      <c r="R202" s="3" t="inlineStr"/>
      <c r="S202" s="3" t="inlineStr">
        <is>
          <t>정보 없음</t>
        </is>
      </c>
      <c r="T202" s="3" t="inlineStr"/>
      <c r="U202" s="3" t="inlineStr"/>
      <c r="V202" s="3" t="inlineStr">
        <is>
          <t>정보 없음</t>
        </is>
      </c>
    </row>
    <row r="203">
      <c r="A203" s="3" t="inlineStr">
        <is>
          <t>연서면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대</t>
        </is>
      </c>
      <c r="E203" s="3" t="inlineStr">
        <is>
          <t>매매</t>
        </is>
      </c>
      <c r="F203" s="4" t="n">
        <v>112000</v>
      </c>
      <c r="G203" s="4" t="n">
        <v>1204</v>
      </c>
      <c r="H203" s="4" t="n">
        <v>364</v>
      </c>
      <c r="I203" s="5" t="n">
        <v>307.7</v>
      </c>
      <c r="J203" s="5" t="n">
        <v>0</v>
      </c>
      <c r="K203" s="3" t="inlineStr">
        <is>
          <t>상가건물있음,  성제네거리코너10m도로접합 계획관리지역 3필지일괄매매</t>
        </is>
      </c>
      <c r="L203" s="6">
        <f>HYPERLINK("https://fin.land.naver.com/articles/2649008249", "매물Link")</f>
        <v/>
      </c>
      <c r="M203" t="inlineStr">
        <is>
          <t>정보 없음</t>
        </is>
      </c>
      <c r="N203" t="inlineStr">
        <is>
          <t>정보 없음</t>
        </is>
      </c>
      <c r="O203" s="3" t="inlineStr">
        <is>
          <t>길음(02-983-0110)</t>
        </is>
      </c>
      <c r="P203" s="4" t="n">
        <v>1</v>
      </c>
      <c r="Q203" s="3" t="inlineStr"/>
      <c r="R203" s="3" t="inlineStr"/>
      <c r="S203" s="3" t="inlineStr">
        <is>
          <t>정보 없음</t>
        </is>
      </c>
      <c r="T203" s="3" t="inlineStr"/>
      <c r="U203" s="3" t="inlineStr"/>
      <c r="V203" s="3" t="inlineStr">
        <is>
          <t>정보 없음</t>
        </is>
      </c>
    </row>
    <row r="204">
      <c r="A204" s="3" t="inlineStr">
        <is>
          <t>연서면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답</t>
        </is>
      </c>
      <c r="E204" s="3" t="inlineStr">
        <is>
          <t>매매</t>
        </is>
      </c>
      <c r="F204" s="4" t="n">
        <v>145800</v>
      </c>
      <c r="G204" s="4" t="n">
        <v>2410</v>
      </c>
      <c r="H204" s="4" t="n">
        <v>729</v>
      </c>
      <c r="I204" s="5" t="n">
        <v>200</v>
      </c>
      <c r="J204" s="5" t="n">
        <v>0</v>
      </c>
      <c r="K204" s="3" t="inlineStr">
        <is>
          <t>nan</t>
        </is>
      </c>
      <c r="L204" s="6">
        <f>HYPERLINK("https://fin.land.naver.com/articles/2652404193", "매물Link")</f>
        <v/>
      </c>
      <c r="M204" t="inlineStr">
        <is>
          <t>정보 없음</t>
        </is>
      </c>
      <c r="N204" t="inlineStr">
        <is>
          <t>정보 없음</t>
        </is>
      </c>
      <c r="O204" s="3" t="inlineStr">
        <is>
          <t>세종</t>
        </is>
      </c>
      <c r="P204" s="4" t="n">
        <v>1</v>
      </c>
      <c r="Q204" s="3" t="inlineStr"/>
      <c r="R204" s="3" t="inlineStr"/>
      <c r="S204" s="3" t="inlineStr">
        <is>
          <t>정보 없음</t>
        </is>
      </c>
      <c r="T204" s="3" t="inlineStr"/>
      <c r="U204" s="3" t="inlineStr"/>
      <c r="V204" s="3" t="inlineStr">
        <is>
          <t>정보 없음</t>
        </is>
      </c>
    </row>
    <row r="205">
      <c r="A205" s="3" t="inlineStr">
        <is>
          <t>연서면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답</t>
        </is>
      </c>
      <c r="E205" s="3" t="inlineStr">
        <is>
          <t>매매</t>
        </is>
      </c>
      <c r="F205" s="4" t="n">
        <v>336000</v>
      </c>
      <c r="G205" s="4" t="n">
        <v>3712</v>
      </c>
      <c r="H205" s="4" t="n">
        <v>1123</v>
      </c>
      <c r="I205" s="5" t="n">
        <v>299.2</v>
      </c>
      <c r="J205" s="5" t="n">
        <v>0</v>
      </c>
      <c r="K205" s="3" t="inlineStr">
        <is>
          <t>7,000세대 공동택지 예정지 부근</t>
        </is>
      </c>
      <c r="L205" s="6">
        <f>HYPERLINK("https://fin.land.naver.com/articles/2652767444", "매물Link")</f>
        <v/>
      </c>
      <c r="M205" t="inlineStr">
        <is>
          <t>정보 없음</t>
        </is>
      </c>
      <c r="N205" t="inlineStr">
        <is>
          <t>정보 없음</t>
        </is>
      </c>
      <c r="O205" s="3" t="inlineStr">
        <is>
          <t>새터전</t>
        </is>
      </c>
      <c r="P205" s="4" t="n">
        <v>1</v>
      </c>
      <c r="Q205" s="3" t="inlineStr"/>
      <c r="R205" s="3" t="inlineStr"/>
      <c r="S205" s="3" t="inlineStr">
        <is>
          <t>정보 없음</t>
        </is>
      </c>
      <c r="T205" s="3" t="inlineStr"/>
      <c r="U205" s="3" t="inlineStr"/>
      <c r="V205" s="3" t="inlineStr">
        <is>
          <t>정보 없음</t>
        </is>
      </c>
    </row>
    <row r="206">
      <c r="A206" s="3" t="inlineStr">
        <is>
          <t>연서면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답</t>
        </is>
      </c>
      <c r="E206" s="3" t="inlineStr">
        <is>
          <t>매매</t>
        </is>
      </c>
      <c r="F206" s="4" t="n">
        <v>2500</v>
      </c>
      <c r="G206" s="4" t="n">
        <v>942</v>
      </c>
      <c r="H206" s="4" t="n">
        <v>285</v>
      </c>
      <c r="I206" s="5" t="n">
        <v>8.800000000000001</v>
      </c>
      <c r="J206" s="5" t="n">
        <v>0</v>
      </c>
      <c r="K206" s="3" t="inlineStr">
        <is>
          <t>급매.공시지가이하인 매물 전원세컨주말농장 등</t>
        </is>
      </c>
      <c r="L206" s="6">
        <f>HYPERLINK("https://fin.land.naver.com/articles/2648342132", "매물Link")</f>
        <v/>
      </c>
      <c r="M206" t="inlineStr">
        <is>
          <t>정보 없음</t>
        </is>
      </c>
      <c r="N206" t="inlineStr">
        <is>
          <t>정보 없음</t>
        </is>
      </c>
      <c r="O206" s="3" t="inlineStr">
        <is>
          <t>세종OK</t>
        </is>
      </c>
      <c r="P206" s="4" t="n">
        <v>1</v>
      </c>
      <c r="Q206" s="3" t="inlineStr"/>
      <c r="R206" s="3" t="inlineStr"/>
      <c r="S206" s="3" t="inlineStr">
        <is>
          <t>정보 없음</t>
        </is>
      </c>
      <c r="T206" s="3" t="inlineStr"/>
      <c r="U206" s="3" t="inlineStr"/>
      <c r="V206" s="3" t="inlineStr">
        <is>
          <t>정보 없음</t>
        </is>
      </c>
    </row>
    <row r="207">
      <c r="A207" s="3" t="inlineStr">
        <is>
          <t>연서면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전</t>
        </is>
      </c>
      <c r="E207" s="3" t="inlineStr">
        <is>
          <t>매매</t>
        </is>
      </c>
      <c r="F207" s="4" t="n">
        <v>3250000</v>
      </c>
      <c r="G207" s="4" t="n">
        <v>53820</v>
      </c>
      <c r="H207" s="4" t="n">
        <v>16281</v>
      </c>
      <c r="I207" s="5" t="n">
        <v>199.6</v>
      </c>
      <c r="J207" s="5" t="n">
        <v>0</v>
      </c>
      <c r="K207" s="3" t="inlineStr">
        <is>
          <t>2차선도로접,규모있는 개발부지,연수 종교 업무 교육 노인용 등 다용도</t>
        </is>
      </c>
      <c r="L207" s="6">
        <f>HYPERLINK("https://fin.land.naver.com/articles/2648983666", "매물Link")</f>
        <v/>
      </c>
      <c r="M207" t="inlineStr">
        <is>
          <t>정보 없음</t>
        </is>
      </c>
      <c r="N207" t="inlineStr">
        <is>
          <t>정보 없음</t>
        </is>
      </c>
      <c r="O207" s="3" t="inlineStr">
        <is>
          <t>무한주식회사</t>
        </is>
      </c>
      <c r="P207" s="4" t="n">
        <v>1</v>
      </c>
      <c r="Q207" s="3" t="inlineStr"/>
      <c r="R207" s="3" t="inlineStr"/>
      <c r="S207" s="3" t="inlineStr">
        <is>
          <t>정보 없음</t>
        </is>
      </c>
      <c r="T207" s="3" t="inlineStr"/>
      <c r="U207" s="3" t="inlineStr"/>
      <c r="V207" s="3" t="inlineStr">
        <is>
          <t>정보 없음</t>
        </is>
      </c>
    </row>
    <row r="208">
      <c r="A208" s="3" t="inlineStr">
        <is>
          <t>연서면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답</t>
        </is>
      </c>
      <c r="E208" s="3" t="inlineStr">
        <is>
          <t>매매</t>
        </is>
      </c>
      <c r="F208" s="4" t="n">
        <v>59300</v>
      </c>
      <c r="G208" s="4" t="n">
        <v>1785</v>
      </c>
      <c r="H208" s="4" t="n">
        <v>540</v>
      </c>
      <c r="I208" s="5" t="n">
        <v>109.8</v>
      </c>
      <c r="J208" s="5" t="n">
        <v>0</v>
      </c>
      <c r="K208" s="3" t="inlineStr">
        <is>
          <t>투자용</t>
        </is>
      </c>
      <c r="L208" s="6">
        <f>HYPERLINK("https://fin.land.naver.com/articles/2649006734", "매물Link")</f>
        <v/>
      </c>
      <c r="M208" t="inlineStr">
        <is>
          <t>정보 없음</t>
        </is>
      </c>
      <c r="N208" t="inlineStr">
        <is>
          <t>정보 없음</t>
        </is>
      </c>
      <c r="O208" s="3" t="inlineStr">
        <is>
          <t>세종푸르지오</t>
        </is>
      </c>
      <c r="P208" s="4" t="n">
        <v>1</v>
      </c>
      <c r="Q208" s="3" t="inlineStr"/>
      <c r="R208" s="3" t="inlineStr"/>
      <c r="S208" s="3" t="inlineStr">
        <is>
          <t>정보 없음</t>
        </is>
      </c>
      <c r="T208" s="3" t="inlineStr"/>
      <c r="U208" s="3" t="inlineStr"/>
      <c r="V208" s="3" t="inlineStr">
        <is>
          <t>정보 없음</t>
        </is>
      </c>
    </row>
    <row r="209">
      <c r="A209" s="3" t="inlineStr">
        <is>
          <t>연서면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답</t>
        </is>
      </c>
      <c r="E209" s="3" t="inlineStr">
        <is>
          <t>매매</t>
        </is>
      </c>
      <c r="F209" s="4" t="n">
        <v>54000</v>
      </c>
      <c r="G209" s="4" t="n">
        <v>1983</v>
      </c>
      <c r="H209" s="4" t="n">
        <v>600</v>
      </c>
      <c r="I209" s="5" t="n">
        <v>90</v>
      </c>
      <c r="J209" s="5" t="n">
        <v>0</v>
      </c>
      <c r="K209" s="3" t="inlineStr">
        <is>
          <t>급매</t>
        </is>
      </c>
      <c r="L209" s="6">
        <f>HYPERLINK("https://fin.land.naver.com/articles/2649006837", "매물Link")</f>
        <v/>
      </c>
      <c r="M209" t="inlineStr">
        <is>
          <t>정보 없음</t>
        </is>
      </c>
      <c r="N209" t="inlineStr">
        <is>
          <t>정보 없음</t>
        </is>
      </c>
      <c r="O209" s="3" t="inlineStr">
        <is>
          <t>세종푸르지오</t>
        </is>
      </c>
      <c r="P209" s="4" t="n">
        <v>1</v>
      </c>
      <c r="Q209" s="3" t="inlineStr"/>
      <c r="R209" s="3" t="inlineStr"/>
      <c r="S209" s="3" t="inlineStr">
        <is>
          <t>정보 없음</t>
        </is>
      </c>
      <c r="T209" s="3" t="inlineStr"/>
      <c r="U209" s="3" t="inlineStr"/>
      <c r="V209" s="3" t="inlineStr">
        <is>
          <t>정보 없음</t>
        </is>
      </c>
    </row>
    <row r="210">
      <c r="A210" s="3" t="inlineStr">
        <is>
          <t>연서면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과수원</t>
        </is>
      </c>
      <c r="E210" s="3" t="inlineStr">
        <is>
          <t>매매</t>
        </is>
      </c>
      <c r="F210" s="4" t="n">
        <v>49000</v>
      </c>
      <c r="G210" s="4" t="n">
        <v>1146</v>
      </c>
      <c r="H210" s="4" t="n">
        <v>347</v>
      </c>
      <c r="I210" s="5" t="n">
        <v>141.2</v>
      </c>
      <c r="J210" s="5" t="n">
        <v>0</v>
      </c>
      <c r="K210" s="3" t="inlineStr">
        <is>
          <t>도로접해있으며 농막설치  현 밭으로경작중</t>
        </is>
      </c>
      <c r="L210" s="6">
        <f>HYPERLINK("https://fin.land.naver.com/articles/2649051840", "매물Link")</f>
        <v/>
      </c>
      <c r="M210" t="inlineStr">
        <is>
          <t>정보 없음</t>
        </is>
      </c>
      <c r="N210" t="inlineStr">
        <is>
          <t>정보 없음</t>
        </is>
      </c>
      <c r="O210" s="3" t="inlineStr">
        <is>
          <t>조은</t>
        </is>
      </c>
      <c r="P210" s="4" t="n">
        <v>1</v>
      </c>
      <c r="Q210" s="3" t="inlineStr"/>
      <c r="R210" s="3" t="inlineStr"/>
      <c r="S210" s="3" t="inlineStr">
        <is>
          <t>정보 없음</t>
        </is>
      </c>
      <c r="T210" s="3" t="inlineStr"/>
      <c r="U210" s="3" t="inlineStr"/>
      <c r="V210" s="3" t="inlineStr">
        <is>
          <t>정보 없음</t>
        </is>
      </c>
    </row>
    <row r="211">
      <c r="A211" s="3" t="inlineStr">
        <is>
          <t>연서면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과수원</t>
        </is>
      </c>
      <c r="E211" s="3" t="inlineStr">
        <is>
          <t>매매</t>
        </is>
      </c>
      <c r="F211" s="4" t="n">
        <v>18000</v>
      </c>
      <c r="G211" s="4" t="n">
        <v>833</v>
      </c>
      <c r="H211" s="4" t="n">
        <v>252</v>
      </c>
      <c r="I211" s="5" t="n">
        <v>71.40000000000001</v>
      </c>
      <c r="J211" s="5" t="n">
        <v>0</v>
      </c>
      <c r="K211" s="3" t="inlineStr">
        <is>
          <t>생산관리지역 ,세종인접</t>
        </is>
      </c>
      <c r="L211" s="6">
        <f>HYPERLINK("https://fin.land.naver.com/articles/2649195013", "매물Link")</f>
        <v/>
      </c>
      <c r="M211" t="inlineStr">
        <is>
          <t>정보 없음</t>
        </is>
      </c>
      <c r="N211" t="inlineStr">
        <is>
          <t>정보 없음</t>
        </is>
      </c>
      <c r="O211" s="3" t="inlineStr">
        <is>
          <t>세종금주</t>
        </is>
      </c>
      <c r="P211" s="4" t="n">
        <v>1</v>
      </c>
      <c r="Q211" s="3" t="inlineStr"/>
      <c r="R211" s="3" t="inlineStr"/>
      <c r="S211" s="3" t="inlineStr">
        <is>
          <t>정보 없음</t>
        </is>
      </c>
      <c r="T211" s="3" t="inlineStr"/>
      <c r="U211" s="3" t="inlineStr"/>
      <c r="V211" s="3" t="inlineStr">
        <is>
          <t>정보 없음</t>
        </is>
      </c>
    </row>
    <row r="212">
      <c r="A212" s="3" t="inlineStr">
        <is>
          <t>연서면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과수원</t>
        </is>
      </c>
      <c r="E212" s="3" t="inlineStr">
        <is>
          <t>매매</t>
        </is>
      </c>
      <c r="F212" s="4" t="n">
        <v>54000</v>
      </c>
      <c r="G212" s="4" t="n">
        <v>892</v>
      </c>
      <c r="H212" s="4" t="n">
        <v>270</v>
      </c>
      <c r="I212" s="5" t="n">
        <v>200</v>
      </c>
      <c r="J212" s="5" t="n">
        <v>0</v>
      </c>
      <c r="K212" s="3" t="inlineStr">
        <is>
          <t>연서면 쌍전리,지대높고 풍광좋은 토지 매매.</t>
        </is>
      </c>
      <c r="L212" s="6">
        <f>HYPERLINK("https://fin.land.naver.com/articles/2649477159", "매물Link")</f>
        <v/>
      </c>
      <c r="M212" t="inlineStr">
        <is>
          <t>정보 없음</t>
        </is>
      </c>
      <c r="N212" t="inlineStr">
        <is>
          <t>정보 없음</t>
        </is>
      </c>
      <c r="O212" s="3" t="inlineStr">
        <is>
          <t>세종강산</t>
        </is>
      </c>
      <c r="P212" s="4" t="n">
        <v>1</v>
      </c>
      <c r="Q212" s="3" t="inlineStr"/>
      <c r="R212" s="3" t="inlineStr"/>
      <c r="S212" s="3" t="inlineStr">
        <is>
          <t>정보 없음</t>
        </is>
      </c>
      <c r="T212" s="3" t="inlineStr"/>
      <c r="U212" s="3" t="inlineStr"/>
      <c r="V212" s="3" t="inlineStr">
        <is>
          <t>정보 없음</t>
        </is>
      </c>
    </row>
    <row r="213">
      <c r="A213" s="3" t="inlineStr">
        <is>
          <t>연서면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임야</t>
        </is>
      </c>
      <c r="E213" s="3" t="inlineStr">
        <is>
          <t>매매</t>
        </is>
      </c>
      <c r="F213" s="4" t="n">
        <v>22000</v>
      </c>
      <c r="G213" s="4" t="n">
        <v>1000</v>
      </c>
      <c r="H213" s="4" t="n">
        <v>302</v>
      </c>
      <c r="I213" s="5" t="n">
        <v>72.8</v>
      </c>
      <c r="J213" s="5" t="n">
        <v>0</v>
      </c>
      <c r="K213" s="3" t="inlineStr">
        <is>
          <t>최고의 별장지</t>
        </is>
      </c>
      <c r="L213" s="6">
        <f>HYPERLINK("https://fin.land.naver.com/articles/2652606627", "매물Link")</f>
        <v/>
      </c>
      <c r="M213" t="inlineStr">
        <is>
          <t>정보 없음</t>
        </is>
      </c>
      <c r="N213" t="inlineStr">
        <is>
          <t>정보 없음</t>
        </is>
      </c>
      <c r="O213" s="3" t="inlineStr">
        <is>
          <t>가람</t>
        </is>
      </c>
      <c r="P213" s="4" t="n">
        <v>1</v>
      </c>
      <c r="Q213" s="3" t="inlineStr"/>
      <c r="R213" s="3" t="inlineStr"/>
      <c r="S213" s="3" t="inlineStr">
        <is>
          <t>정보 없음</t>
        </is>
      </c>
      <c r="T213" s="3" t="inlineStr"/>
      <c r="U213" s="3" t="inlineStr"/>
      <c r="V213" s="3" t="inlineStr">
        <is>
          <t>정보 없음</t>
        </is>
      </c>
    </row>
    <row r="214">
      <c r="A214" s="3" t="inlineStr">
        <is>
          <t>연서면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전</t>
        </is>
      </c>
      <c r="E214" s="3" t="inlineStr">
        <is>
          <t>매매</t>
        </is>
      </c>
      <c r="F214" s="4" t="n">
        <v>55000</v>
      </c>
      <c r="G214" s="4" t="n">
        <v>2580</v>
      </c>
      <c r="H214" s="4" t="n">
        <v>780</v>
      </c>
      <c r="I214" s="5" t="n">
        <v>70.5</v>
      </c>
      <c r="J214" s="5" t="n">
        <v>0</v>
      </c>
      <c r="K214" s="3" t="inlineStr">
        <is>
          <t>연서면 기룡리,뒷편 야산과 앞 구거가 있는 소중한 토지매매.</t>
        </is>
      </c>
      <c r="L214" s="6">
        <f>HYPERLINK("https://fin.land.naver.com/articles/2649477632", "매물Link")</f>
        <v/>
      </c>
      <c r="M214" t="inlineStr">
        <is>
          <t>정보 없음</t>
        </is>
      </c>
      <c r="N214" t="inlineStr">
        <is>
          <t>정보 없음</t>
        </is>
      </c>
      <c r="O214" s="3" t="inlineStr">
        <is>
          <t>세종강산</t>
        </is>
      </c>
      <c r="P214" s="4" t="n">
        <v>1</v>
      </c>
      <c r="Q214" s="3" t="inlineStr"/>
      <c r="R214" s="3" t="inlineStr"/>
      <c r="S214" s="3" t="inlineStr">
        <is>
          <t>정보 없음</t>
        </is>
      </c>
      <c r="T214" s="3" t="inlineStr"/>
      <c r="U214" s="3" t="inlineStr"/>
      <c r="V214" s="3" t="inlineStr">
        <is>
          <t>정보 없음</t>
        </is>
      </c>
    </row>
    <row r="215">
      <c r="A215" s="3" t="inlineStr">
        <is>
          <t>연서면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전</t>
        </is>
      </c>
      <c r="E215" s="3" t="inlineStr">
        <is>
          <t>매매</t>
        </is>
      </c>
      <c r="F215" s="4" t="n">
        <v>105000</v>
      </c>
      <c r="G215" s="4" t="n">
        <v>1571</v>
      </c>
      <c r="H215" s="4" t="n">
        <v>475</v>
      </c>
      <c r="I215" s="5" t="n">
        <v>221.1</v>
      </c>
      <c r="J215" s="5" t="n">
        <v>0</v>
      </c>
      <c r="K215" s="3" t="inlineStr">
        <is>
          <t>월하리 자연녹지 토지매매.</t>
        </is>
      </c>
      <c r="L215" s="6">
        <f>HYPERLINK("https://fin.land.naver.com/articles/2650633811", "매물Link")</f>
        <v/>
      </c>
      <c r="M215" t="inlineStr">
        <is>
          <t>정보 없음</t>
        </is>
      </c>
      <c r="N215" t="inlineStr">
        <is>
          <t>정보 없음</t>
        </is>
      </c>
      <c r="O215" s="3" t="inlineStr">
        <is>
          <t>세종강산</t>
        </is>
      </c>
      <c r="P215" s="4" t="n">
        <v>1</v>
      </c>
      <c r="Q215" s="3" t="inlineStr"/>
      <c r="R215" s="3" t="inlineStr"/>
      <c r="S215" s="3" t="inlineStr">
        <is>
          <t>정보 없음</t>
        </is>
      </c>
      <c r="T215" s="3" t="inlineStr"/>
      <c r="U215" s="3" t="inlineStr"/>
      <c r="V215" s="3" t="inlineStr">
        <is>
          <t>정보 없음</t>
        </is>
      </c>
    </row>
    <row r="216">
      <c r="A216" s="3" t="inlineStr">
        <is>
          <t>연서면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임야</t>
        </is>
      </c>
      <c r="E216" s="3" t="inlineStr">
        <is>
          <t>매매</t>
        </is>
      </c>
      <c r="F216" s="4" t="n">
        <v>54000</v>
      </c>
      <c r="G216" s="4" t="n">
        <v>857</v>
      </c>
      <c r="H216" s="4" t="n">
        <v>259</v>
      </c>
      <c r="I216" s="5" t="n">
        <v>208.5</v>
      </c>
      <c r="J216" s="5" t="n">
        <v>0</v>
      </c>
      <c r="K216" s="3" t="inlineStr">
        <is>
          <t>연서면 쌍전리,지대높고 풍광좋은 근셍부지 허가된 토지 매매.</t>
        </is>
      </c>
      <c r="L216" s="6">
        <f>HYPERLINK("https://fin.land.naver.com/articles/2649477509", "매물Link")</f>
        <v/>
      </c>
      <c r="M216" t="inlineStr">
        <is>
          <t>정보 없음</t>
        </is>
      </c>
      <c r="N216" t="inlineStr">
        <is>
          <t>정보 없음</t>
        </is>
      </c>
      <c r="O216" s="3" t="inlineStr">
        <is>
          <t>세종강산</t>
        </is>
      </c>
      <c r="P216" s="4" t="n">
        <v>1</v>
      </c>
      <c r="Q216" s="3" t="inlineStr"/>
      <c r="R216" s="3" t="inlineStr"/>
      <c r="S216" s="3" t="inlineStr">
        <is>
          <t>정보 없음</t>
        </is>
      </c>
      <c r="T216" s="3" t="inlineStr"/>
      <c r="U216" s="3" t="inlineStr"/>
      <c r="V216" s="3" t="inlineStr">
        <is>
          <t>정보 없음</t>
        </is>
      </c>
    </row>
    <row r="217">
      <c r="A217" s="3" t="inlineStr">
        <is>
          <t>연서면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답</t>
        </is>
      </c>
      <c r="E217" s="3" t="inlineStr">
        <is>
          <t>매매</t>
        </is>
      </c>
      <c r="F217" s="4" t="n">
        <v>60000</v>
      </c>
      <c r="G217" s="4" t="n">
        <v>1964</v>
      </c>
      <c r="H217" s="4" t="n">
        <v>594</v>
      </c>
      <c r="I217" s="5" t="n">
        <v>101</v>
      </c>
      <c r="J217" s="5" t="n">
        <v>0</v>
      </c>
      <c r="K217" s="3" t="inlineStr">
        <is>
          <t>국가산업단지 인근,  추천매매</t>
        </is>
      </c>
      <c r="L217" s="6">
        <f>HYPERLINK("https://fin.land.naver.com/articles/2650559642", "매물Link")</f>
        <v/>
      </c>
      <c r="M217" t="inlineStr">
        <is>
          <t>정보 없음</t>
        </is>
      </c>
      <c r="N217" t="inlineStr">
        <is>
          <t>정보 없음</t>
        </is>
      </c>
      <c r="O217" s="3" t="inlineStr">
        <is>
          <t>Home</t>
        </is>
      </c>
      <c r="P217" s="4" t="n">
        <v>2</v>
      </c>
      <c r="Q217" s="3" t="inlineStr"/>
      <c r="R217" s="3" t="inlineStr"/>
      <c r="S217" s="3" t="inlineStr">
        <is>
          <t>정보 없음</t>
        </is>
      </c>
      <c r="T217" s="3" t="inlineStr"/>
      <c r="U217" s="3" t="inlineStr"/>
      <c r="V217" s="3" t="inlineStr">
        <is>
          <t>정보 없음</t>
        </is>
      </c>
    </row>
    <row r="218">
      <c r="A218" s="3" t="inlineStr">
        <is>
          <t>연서면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전</t>
        </is>
      </c>
      <c r="E218" s="3" t="inlineStr">
        <is>
          <t>매매</t>
        </is>
      </c>
      <c r="F218" s="4" t="n">
        <v>230000</v>
      </c>
      <c r="G218" s="4" t="n">
        <v>6791</v>
      </c>
      <c r="H218" s="4" t="n">
        <v>2054</v>
      </c>
      <c r="I218" s="5" t="n">
        <v>112</v>
      </c>
      <c r="J218" s="5" t="n">
        <v>0</v>
      </c>
      <c r="K218" s="3" t="inlineStr">
        <is>
          <t>추천,급매,토지거래허가구역,주변지역개발호재로투자성최고</t>
        </is>
      </c>
      <c r="L218" s="6">
        <f>HYPERLINK("https://fin.land.naver.com/articles/2652353467", "매물Link")</f>
        <v/>
      </c>
      <c r="M218" t="inlineStr">
        <is>
          <t>정보 없음</t>
        </is>
      </c>
      <c r="N218" t="inlineStr">
        <is>
          <t>정보 없음</t>
        </is>
      </c>
      <c r="O218" s="3" t="inlineStr">
        <is>
          <t>따뜻한</t>
        </is>
      </c>
      <c r="P218" s="4" t="n">
        <v>1</v>
      </c>
      <c r="Q218" s="3" t="inlineStr"/>
      <c r="R218" s="3" t="inlineStr"/>
      <c r="S218" s="3" t="inlineStr">
        <is>
          <t>정보 없음</t>
        </is>
      </c>
      <c r="T218" s="3" t="inlineStr"/>
      <c r="U218" s="3" t="inlineStr"/>
      <c r="V218" s="3" t="inlineStr">
        <is>
          <t>정보 없음</t>
        </is>
      </c>
    </row>
    <row r="219">
      <c r="A219" s="3" t="inlineStr">
        <is>
          <t>연서면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대</t>
        </is>
      </c>
      <c r="E219" s="3" t="inlineStr">
        <is>
          <t>매매</t>
        </is>
      </c>
      <c r="F219" s="4" t="n">
        <v>19500</v>
      </c>
      <c r="G219" s="4" t="n">
        <v>483</v>
      </c>
      <c r="H219" s="4" t="n">
        <v>146</v>
      </c>
      <c r="I219" s="5" t="n">
        <v>133.6</v>
      </c>
      <c r="J219" s="5" t="n">
        <v>0</v>
      </c>
      <c r="K219" s="3" t="inlineStr">
        <is>
          <t>급매물,  계획관리지역 투자로 추천</t>
        </is>
      </c>
      <c r="L219" s="6">
        <f>HYPERLINK("https://fin.land.naver.com/articles/2652738348", "매물Link")</f>
        <v/>
      </c>
      <c r="M219" t="inlineStr">
        <is>
          <t>정보 없음</t>
        </is>
      </c>
      <c r="N219" t="inlineStr">
        <is>
          <t>정보 없음</t>
        </is>
      </c>
      <c r="O219" s="3" t="inlineStr">
        <is>
          <t>세종대평</t>
        </is>
      </c>
      <c r="P219" s="4" t="n">
        <v>1</v>
      </c>
      <c r="Q219" s="3" t="inlineStr"/>
      <c r="R219" s="3" t="inlineStr"/>
      <c r="S219" s="3" t="inlineStr">
        <is>
          <t>정보 없음</t>
        </is>
      </c>
      <c r="T219" s="3" t="inlineStr"/>
      <c r="U219" s="3" t="inlineStr"/>
      <c r="V219" s="3" t="inlineStr">
        <is>
          <t>정보 없음</t>
        </is>
      </c>
    </row>
    <row r="220">
      <c r="A220" s="3" t="inlineStr">
        <is>
          <t>연서면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전</t>
        </is>
      </c>
      <c r="E220" s="3" t="inlineStr">
        <is>
          <t>매매</t>
        </is>
      </c>
      <c r="F220" s="4" t="n">
        <v>58000</v>
      </c>
      <c r="G220" s="4" t="n">
        <v>2948</v>
      </c>
      <c r="H220" s="4" t="n">
        <v>892</v>
      </c>
      <c r="I220" s="5" t="n">
        <v>65</v>
      </c>
      <c r="J220" s="5" t="n">
        <v>0</v>
      </c>
      <c r="K220" s="3" t="inlineStr">
        <is>
          <t>nan</t>
        </is>
      </c>
      <c r="L220" s="6">
        <f>HYPERLINK("https://fin.land.naver.com/articles/2653009110", "매물Link")</f>
        <v/>
      </c>
      <c r="M220" t="inlineStr">
        <is>
          <t>정보 없음</t>
        </is>
      </c>
      <c r="N220" t="inlineStr">
        <is>
          <t>정보 없음</t>
        </is>
      </c>
      <c r="O220" s="3" t="inlineStr">
        <is>
          <t>엄지척</t>
        </is>
      </c>
      <c r="P220" s="4" t="n">
        <v>1</v>
      </c>
      <c r="Q220" s="3" t="inlineStr"/>
      <c r="R220" s="3" t="inlineStr"/>
      <c r="S220" s="3" t="inlineStr">
        <is>
          <t>정보 없음</t>
        </is>
      </c>
      <c r="T220" s="3" t="inlineStr"/>
      <c r="U220" s="3" t="inlineStr"/>
      <c r="V220" s="3" t="inlineStr">
        <is>
          <t>정보 없음</t>
        </is>
      </c>
    </row>
    <row r="221">
      <c r="A221" s="3" t="inlineStr">
        <is>
          <t>연서면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과수원</t>
        </is>
      </c>
      <c r="E221" s="3" t="inlineStr">
        <is>
          <t>매매</t>
        </is>
      </c>
      <c r="F221" s="4" t="n">
        <v>85000</v>
      </c>
      <c r="G221" s="4" t="n">
        <v>1984</v>
      </c>
      <c r="H221" s="4" t="n">
        <v>600</v>
      </c>
      <c r="I221" s="5" t="n">
        <v>141.7</v>
      </c>
      <c r="J221" s="5" t="n">
        <v>0</v>
      </c>
      <c r="K221" s="3" t="inlineStr">
        <is>
          <t>연서면 성제리 과수원, 전, 투자용  알짜 토지 추천</t>
        </is>
      </c>
      <c r="L221" s="6">
        <f>HYPERLINK("https://fin.land.naver.com/articles/2652969134", "매물Link")</f>
        <v/>
      </c>
      <c r="M221" t="inlineStr">
        <is>
          <t>정보 없음</t>
        </is>
      </c>
      <c r="N221" t="inlineStr">
        <is>
          <t>정보 없음</t>
        </is>
      </c>
      <c r="O221" s="3" t="inlineStr">
        <is>
          <t>세종해온</t>
        </is>
      </c>
      <c r="P221" s="4" t="n">
        <v>1</v>
      </c>
      <c r="Q221" s="3" t="inlineStr"/>
      <c r="R221" s="3" t="inlineStr"/>
      <c r="S221" s="3" t="inlineStr">
        <is>
          <t>정보 없음</t>
        </is>
      </c>
      <c r="T221" s="3" t="inlineStr"/>
      <c r="U221" s="3" t="inlineStr"/>
      <c r="V221" s="3" t="inlineStr">
        <is>
          <t>정보 없음</t>
        </is>
      </c>
    </row>
    <row r="222">
      <c r="A222" s="3" t="inlineStr">
        <is>
          <t>연서면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답</t>
        </is>
      </c>
      <c r="E222" s="3" t="inlineStr">
        <is>
          <t>매매</t>
        </is>
      </c>
      <c r="F222" s="4" t="n">
        <v>126500</v>
      </c>
      <c r="G222" s="4" t="n">
        <v>5295</v>
      </c>
      <c r="H222" s="4" t="n">
        <v>1602</v>
      </c>
      <c r="I222" s="5" t="n">
        <v>79</v>
      </c>
      <c r="J222" s="5" t="n">
        <v>0</v>
      </c>
      <c r="K222" s="3" t="inlineStr">
        <is>
          <t>주변의 생활근거지가 풍부하여 앞으로 동반 상승요인이 있어 장기투자로 최상</t>
        </is>
      </c>
      <c r="L222" s="6">
        <f>HYPERLINK("https://fin.land.naver.com/articles/2653338999", "매물Link")</f>
        <v/>
      </c>
      <c r="M222" t="inlineStr">
        <is>
          <t>정보 없음</t>
        </is>
      </c>
      <c r="N222" t="inlineStr">
        <is>
          <t>정보 없음</t>
        </is>
      </c>
      <c r="O222" s="3" t="inlineStr">
        <is>
          <t>온누리</t>
        </is>
      </c>
      <c r="P222" s="4" t="n">
        <v>1</v>
      </c>
      <c r="Q222" s="3" t="inlineStr"/>
      <c r="R222" s="3" t="inlineStr"/>
      <c r="S222" s="3" t="inlineStr">
        <is>
          <t>정보 없음</t>
        </is>
      </c>
      <c r="T222" s="3" t="inlineStr"/>
      <c r="U222" s="3" t="inlineStr"/>
      <c r="V222" s="3" t="inlineStr">
        <is>
          <t>정보 없음</t>
        </is>
      </c>
    </row>
    <row r="223">
      <c r="A223" s="3" t="inlineStr">
        <is>
          <t>연서면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전</t>
        </is>
      </c>
      <c r="E223" s="3" t="inlineStr">
        <is>
          <t>매매</t>
        </is>
      </c>
      <c r="F223" s="4" t="n">
        <v>550800</v>
      </c>
      <c r="G223" s="4" t="n">
        <v>2428</v>
      </c>
      <c r="H223" s="4" t="n">
        <v>734</v>
      </c>
      <c r="I223" s="5" t="n">
        <v>750.4</v>
      </c>
      <c r="J223" s="5" t="n">
        <v>0</v>
      </c>
      <c r="K223" s="3" t="inlineStr">
        <is>
          <t>세종로(폭40m)6차선 도로에 접하며 도시지역으로 건물신축으로 최상.</t>
        </is>
      </c>
      <c r="L223" s="6">
        <f>HYPERLINK("https://fin.land.naver.com/articles/2653014628", "매물Link")</f>
        <v/>
      </c>
      <c r="M223" t="inlineStr">
        <is>
          <t>정보 없음</t>
        </is>
      </c>
      <c r="N223" t="inlineStr">
        <is>
          <t>정보 없음</t>
        </is>
      </c>
      <c r="O223" s="3" t="inlineStr">
        <is>
          <t>온누리</t>
        </is>
      </c>
      <c r="P223" s="4" t="n">
        <v>1</v>
      </c>
      <c r="Q223" s="3" t="inlineStr"/>
      <c r="R223" s="3" t="inlineStr"/>
      <c r="S223" s="3" t="inlineStr">
        <is>
          <t>정보 없음</t>
        </is>
      </c>
      <c r="T223" s="3" t="inlineStr"/>
      <c r="U223" s="3" t="inlineStr"/>
      <c r="V223" s="3" t="inlineStr">
        <is>
          <t>정보 없음</t>
        </is>
      </c>
    </row>
    <row r="224">
      <c r="A224" s="3" t="inlineStr">
        <is>
          <t>연서면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대</t>
        </is>
      </c>
      <c r="E224" s="3" t="inlineStr">
        <is>
          <t>매매</t>
        </is>
      </c>
      <c r="F224" s="4" t="n">
        <v>123420</v>
      </c>
      <c r="G224" s="4" t="n">
        <v>1854</v>
      </c>
      <c r="H224" s="4" t="n">
        <v>561</v>
      </c>
      <c r="I224" s="5" t="n">
        <v>220</v>
      </c>
      <c r="J224" s="5" t="n">
        <v>0</v>
      </c>
      <c r="K224" s="3" t="inlineStr">
        <is>
          <t>nan</t>
        </is>
      </c>
      <c r="L224" s="6">
        <f>HYPERLINK("https://fin.land.naver.com/articles/2652972559", "매물Link")</f>
        <v/>
      </c>
      <c r="M224" t="inlineStr">
        <is>
          <t>정보 없음</t>
        </is>
      </c>
      <c r="N224" t="inlineStr">
        <is>
          <t>정보 없음</t>
        </is>
      </c>
      <c r="O224" s="3" t="inlineStr">
        <is>
          <t>믿음</t>
        </is>
      </c>
      <c r="P224" s="4" t="n">
        <v>1</v>
      </c>
      <c r="Q224" s="3" t="inlineStr"/>
      <c r="R224" s="3" t="inlineStr"/>
      <c r="S224" s="3" t="inlineStr">
        <is>
          <t>정보 없음</t>
        </is>
      </c>
      <c r="T224" s="3" t="inlineStr"/>
      <c r="U224" s="3" t="inlineStr"/>
      <c r="V224" s="3" t="inlineStr">
        <is>
          <t>정보 없음</t>
        </is>
      </c>
    </row>
    <row r="225">
      <c r="A225" s="3" t="inlineStr">
        <is>
          <t>연서면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임야</t>
        </is>
      </c>
      <c r="E225" s="3" t="inlineStr">
        <is>
          <t>매매</t>
        </is>
      </c>
      <c r="F225" s="4" t="n">
        <v>90000</v>
      </c>
      <c r="G225" s="4" t="n">
        <v>924</v>
      </c>
      <c r="H225" s="4" t="n">
        <v>280</v>
      </c>
      <c r="I225" s="5" t="n">
        <v>321.4</v>
      </c>
      <c r="J225" s="5" t="n">
        <v>0</v>
      </c>
      <c r="K225" s="3" t="inlineStr">
        <is>
          <t>nan</t>
        </is>
      </c>
      <c r="L225" s="6">
        <f>HYPERLINK("https://fin.land.naver.com/articles/2650507816", "매물Link")</f>
        <v/>
      </c>
      <c r="M225" t="inlineStr">
        <is>
          <t>정보 없음</t>
        </is>
      </c>
      <c r="N225" t="inlineStr">
        <is>
          <t>정보 없음</t>
        </is>
      </c>
      <c r="O225" s="3" t="inlineStr">
        <is>
          <t>세종올리브</t>
        </is>
      </c>
      <c r="P225" s="4" t="n">
        <v>1</v>
      </c>
      <c r="Q225" s="3" t="inlineStr"/>
      <c r="R225" s="3" t="inlineStr"/>
      <c r="S225" s="3" t="inlineStr">
        <is>
          <t>정보 없음</t>
        </is>
      </c>
      <c r="T225" s="3" t="inlineStr"/>
      <c r="U225" s="3" t="inlineStr"/>
      <c r="V225" s="3" t="inlineStr">
        <is>
          <t>정보 없음</t>
        </is>
      </c>
    </row>
    <row r="226">
      <c r="A226" s="3" t="inlineStr">
        <is>
          <t>오송읍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답</t>
        </is>
      </c>
      <c r="E226" s="3" t="inlineStr">
        <is>
          <t>매매</t>
        </is>
      </c>
      <c r="F226" s="4" t="n">
        <v>86000</v>
      </c>
      <c r="G226" s="4" t="n">
        <v>3570</v>
      </c>
      <c r="H226" s="4" t="n">
        <v>1080</v>
      </c>
      <c r="I226" s="5" t="n">
        <v>79.59999999999999</v>
      </c>
      <c r="J226" s="5" t="n">
        <v>0</v>
      </c>
      <c r="K226" s="3" t="inlineStr">
        <is>
          <t>투자용으로 적극추천 3공단예정인접지역으로 투자용</t>
        </is>
      </c>
      <c r="L226" s="6">
        <f>HYPERLINK("https://fin.land.naver.com/articles/2651386599", "매물Link")</f>
        <v/>
      </c>
      <c r="M226" t="inlineStr">
        <is>
          <t>정보 없음</t>
        </is>
      </c>
      <c r="N226" t="inlineStr">
        <is>
          <t>정보 없음</t>
        </is>
      </c>
      <c r="O226" s="3" t="inlineStr">
        <is>
          <t>명지</t>
        </is>
      </c>
      <c r="P226" s="4" t="n">
        <v>1</v>
      </c>
      <c r="Q226" s="3" t="inlineStr"/>
      <c r="R226" s="3" t="inlineStr"/>
      <c r="S226" s="3" t="inlineStr">
        <is>
          <t>정보 없음</t>
        </is>
      </c>
      <c r="T226" s="3" t="inlineStr"/>
      <c r="U226" s="3" t="inlineStr"/>
      <c r="V226" s="3" t="inlineStr">
        <is>
          <t>정보 없음</t>
        </is>
      </c>
    </row>
    <row r="227">
      <c r="A227" s="3" t="inlineStr">
        <is>
          <t>오송읍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답</t>
        </is>
      </c>
      <c r="E227" s="3" t="inlineStr">
        <is>
          <t>매매</t>
        </is>
      </c>
      <c r="F227" s="4" t="n">
        <v>27500</v>
      </c>
      <c r="G227" s="4" t="n">
        <v>1289</v>
      </c>
      <c r="H227" s="4" t="n">
        <v>390</v>
      </c>
      <c r="I227" s="5" t="n">
        <v>70.5</v>
      </c>
      <c r="J227" s="5" t="n">
        <v>0</v>
      </c>
      <c r="K227" s="3" t="inlineStr">
        <is>
          <t>도심에 가까운 농지입니다</t>
        </is>
      </c>
      <c r="L227" s="6">
        <f>HYPERLINK("https://fin.land.naver.com/articles/2652263821", "매물Link")</f>
        <v/>
      </c>
      <c r="M227" t="inlineStr">
        <is>
          <t>정보 없음</t>
        </is>
      </c>
      <c r="N227" t="inlineStr">
        <is>
          <t>정보 없음</t>
        </is>
      </c>
      <c r="O227" s="3" t="inlineStr">
        <is>
          <t>오송2단지창조</t>
        </is>
      </c>
      <c r="P227" s="4" t="n">
        <v>1</v>
      </c>
      <c r="Q227" s="3" t="inlineStr"/>
      <c r="R227" s="3" t="inlineStr"/>
      <c r="S227" s="3" t="inlineStr">
        <is>
          <t>정보 없음</t>
        </is>
      </c>
      <c r="T227" s="3" t="inlineStr"/>
      <c r="U227" s="3" t="inlineStr"/>
      <c r="V227" s="3" t="inlineStr">
        <is>
          <t>정보 없음</t>
        </is>
      </c>
    </row>
    <row r="228">
      <c r="A228" s="3" t="inlineStr">
        <is>
          <t>오송읍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전</t>
        </is>
      </c>
      <c r="E228" s="3" t="inlineStr">
        <is>
          <t>매매</t>
        </is>
      </c>
      <c r="F228" s="4" t="n">
        <v>31500</v>
      </c>
      <c r="G228" s="4" t="n">
        <v>1604</v>
      </c>
      <c r="H228" s="4" t="n">
        <v>485</v>
      </c>
      <c r="I228" s="5" t="n">
        <v>64.90000000000001</v>
      </c>
      <c r="J228" s="5" t="n">
        <v>0</v>
      </c>
      <c r="K228" s="3" t="inlineStr">
        <is>
          <t>오송평야지에 위치한 토지임</t>
        </is>
      </c>
      <c r="L228" s="6">
        <f>HYPERLINK("https://fin.land.naver.com/articles/2652108125", "매물Link")</f>
        <v/>
      </c>
      <c r="M228" t="inlineStr">
        <is>
          <t>정보 없음</t>
        </is>
      </c>
      <c r="N228" t="inlineStr">
        <is>
          <t>정보 없음</t>
        </is>
      </c>
      <c r="O228" s="3" t="inlineStr">
        <is>
          <t>교차로</t>
        </is>
      </c>
      <c r="P228" s="4" t="n">
        <v>1</v>
      </c>
      <c r="Q228" s="3" t="inlineStr"/>
      <c r="R228" s="3" t="inlineStr"/>
      <c r="S228" s="3" t="inlineStr">
        <is>
          <t>정보 없음</t>
        </is>
      </c>
      <c r="T228" s="3" t="inlineStr"/>
      <c r="U228" s="3" t="inlineStr"/>
      <c r="V228" s="3" t="inlineStr">
        <is>
          <t>정보 없음</t>
        </is>
      </c>
    </row>
    <row r="229">
      <c r="A229" s="3" t="inlineStr">
        <is>
          <t>오송읍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대</t>
        </is>
      </c>
      <c r="E229" s="3" t="inlineStr">
        <is>
          <t>매매</t>
        </is>
      </c>
      <c r="F229" s="4" t="n">
        <v>141250</v>
      </c>
      <c r="G229" s="4" t="n">
        <v>667</v>
      </c>
      <c r="H229" s="4" t="n">
        <v>202</v>
      </c>
      <c r="I229" s="5" t="n">
        <v>699.3</v>
      </c>
      <c r="J229" s="5" t="n">
        <v>0</v>
      </c>
      <c r="K229" s="3" t="inlineStr">
        <is>
          <t>계획관리지역 , 주거개발진흥지구강외오송지구 , 성장관리계획구역</t>
        </is>
      </c>
      <c r="L229" s="6">
        <f>HYPERLINK("https://fin.land.naver.com/articles/2651984743", "매물Link")</f>
        <v/>
      </c>
      <c r="M229" t="inlineStr">
        <is>
          <t>정보 없음</t>
        </is>
      </c>
      <c r="N229" t="inlineStr">
        <is>
          <t>정보 없음</t>
        </is>
      </c>
      <c r="O229" s="3" t="inlineStr">
        <is>
          <t>오송퍼스트영웅</t>
        </is>
      </c>
      <c r="P229" s="4" t="n">
        <v>1</v>
      </c>
      <c r="Q229" s="3" t="inlineStr"/>
      <c r="R229" s="3" t="inlineStr"/>
      <c r="S229" s="3" t="inlineStr">
        <is>
          <t>정보 없음</t>
        </is>
      </c>
      <c r="T229" s="3" t="inlineStr"/>
      <c r="U229" s="3" t="inlineStr"/>
      <c r="V229" s="3" t="inlineStr">
        <is>
          <t>정보 없음</t>
        </is>
      </c>
    </row>
    <row r="230">
      <c r="A230" s="3" t="inlineStr">
        <is>
          <t>오송읍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552</v>
      </c>
      <c r="H230" s="4" t="n">
        <v>167</v>
      </c>
      <c r="I230" s="5" t="n">
        <v>449.1</v>
      </c>
      <c r="J230" s="5" t="n">
        <v>0</v>
      </c>
      <c r="K230" s="3" t="inlineStr">
        <is>
          <t>오송 역세권 인근 장기 투자가치 우수한 토지</t>
        </is>
      </c>
      <c r="L230" s="6">
        <f>HYPERLINK("https://fin.land.naver.com/articles/2649662885", "매물Link")</f>
        <v/>
      </c>
      <c r="M230" t="inlineStr">
        <is>
          <t>정보 없음</t>
        </is>
      </c>
      <c r="N230" t="inlineStr">
        <is>
          <t>정보 없음</t>
        </is>
      </c>
      <c r="O230" s="3" t="inlineStr">
        <is>
          <t>더원</t>
        </is>
      </c>
      <c r="P230" s="4" t="n">
        <v>1</v>
      </c>
      <c r="Q230" s="3" t="inlineStr"/>
      <c r="R230" s="3" t="inlineStr"/>
      <c r="S230" s="3" t="inlineStr">
        <is>
          <t>정보 없음</t>
        </is>
      </c>
      <c r="T230" s="3" t="inlineStr"/>
      <c r="U230" s="3" t="inlineStr"/>
      <c r="V230" s="3" t="inlineStr">
        <is>
          <t>정보 없음</t>
        </is>
      </c>
    </row>
    <row r="231">
      <c r="A231" s="3" t="inlineStr">
        <is>
          <t>오송읍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답</t>
        </is>
      </c>
      <c r="E231" s="3" t="inlineStr">
        <is>
          <t>매매</t>
        </is>
      </c>
      <c r="F231" s="4" t="n">
        <v>82500</v>
      </c>
      <c r="G231" s="4" t="n">
        <v>2265</v>
      </c>
      <c r="H231" s="4" t="n">
        <v>685</v>
      </c>
      <c r="I231" s="5" t="n">
        <v>120.4</v>
      </c>
      <c r="J231" s="5" t="n">
        <v>0</v>
      </c>
      <c r="K231" s="3" t="inlineStr">
        <is>
          <t>이쁜 토지 모양 안정적인 투자처 찾는 분께 추천 드립니다.</t>
        </is>
      </c>
      <c r="L231" s="6">
        <f>HYPERLINK("https://fin.land.naver.com/articles/2651290732", "매물Link")</f>
        <v/>
      </c>
      <c r="M231" t="inlineStr">
        <is>
          <t>정보 없음</t>
        </is>
      </c>
      <c r="N231" t="inlineStr">
        <is>
          <t>정보 없음</t>
        </is>
      </c>
      <c r="O231" s="3" t="inlineStr">
        <is>
          <t>오송퍼스트영웅</t>
        </is>
      </c>
      <c r="P231" s="4" t="n">
        <v>1</v>
      </c>
      <c r="Q231" s="3" t="inlineStr"/>
      <c r="R231" s="3" t="inlineStr"/>
      <c r="S231" s="3" t="inlineStr">
        <is>
          <t>정보 없음</t>
        </is>
      </c>
      <c r="T231" s="3" t="inlineStr"/>
      <c r="U231" s="3" t="inlineStr"/>
      <c r="V231" s="3" t="inlineStr">
        <is>
          <t>정보 없음</t>
        </is>
      </c>
    </row>
    <row r="232">
      <c r="A232" s="3" t="inlineStr">
        <is>
          <t>오송읍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전</t>
        </is>
      </c>
      <c r="E232" s="3" t="inlineStr">
        <is>
          <t>매매</t>
        </is>
      </c>
      <c r="F232" s="4" t="n">
        <v>115000</v>
      </c>
      <c r="G232" s="4" t="n">
        <v>9444</v>
      </c>
      <c r="H232" s="4" t="n">
        <v>2857</v>
      </c>
      <c r="I232" s="5" t="n">
        <v>40.3</v>
      </c>
      <c r="J232" s="5" t="n">
        <v>0</v>
      </c>
      <c r="K232" s="3" t="inlineStr">
        <is>
          <t>보전 관리 지역 지목 전</t>
        </is>
      </c>
      <c r="L232" s="6">
        <f>HYPERLINK("https://fin.land.naver.com/articles/2651290460", "매물Link")</f>
        <v/>
      </c>
      <c r="M232" t="inlineStr">
        <is>
          <t>정보 없음</t>
        </is>
      </c>
      <c r="N232" t="inlineStr">
        <is>
          <t>정보 없음</t>
        </is>
      </c>
      <c r="O232" s="3" t="inlineStr">
        <is>
          <t>오송퍼스트영웅</t>
        </is>
      </c>
      <c r="P232" s="4" t="n">
        <v>1</v>
      </c>
      <c r="Q232" s="3" t="inlineStr"/>
      <c r="R232" s="3" t="inlineStr"/>
      <c r="S232" s="3" t="inlineStr">
        <is>
          <t>정보 없음</t>
        </is>
      </c>
      <c r="T232" s="3" t="inlineStr"/>
      <c r="U232" s="3" t="inlineStr"/>
      <c r="V232" s="3" t="inlineStr">
        <is>
          <t>정보 없음</t>
        </is>
      </c>
    </row>
    <row r="233">
      <c r="A233" s="3" t="inlineStr">
        <is>
          <t>오송읍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과수원</t>
        </is>
      </c>
      <c r="E233" s="3" t="inlineStr">
        <is>
          <t>매매</t>
        </is>
      </c>
      <c r="F233" s="4" t="n">
        <v>100000</v>
      </c>
      <c r="G233" s="4" t="n">
        <v>1226</v>
      </c>
      <c r="H233" s="4" t="n">
        <v>371</v>
      </c>
      <c r="I233" s="5" t="n">
        <v>269.5</v>
      </c>
      <c r="J233" s="5" t="n">
        <v>0</v>
      </c>
      <c r="K233" s="3" t="inlineStr">
        <is>
          <t>nan</t>
        </is>
      </c>
      <c r="L233" s="6">
        <f>HYPERLINK("https://fin.land.naver.com/articles/2652668127", "매물Link")</f>
        <v/>
      </c>
      <c r="M233" t="inlineStr">
        <is>
          <t>정보 없음</t>
        </is>
      </c>
      <c r="N233" t="inlineStr">
        <is>
          <t>정보 없음</t>
        </is>
      </c>
      <c r="O233" s="3" t="inlineStr">
        <is>
          <t>삼성사무소</t>
        </is>
      </c>
      <c r="P233" s="4" t="n">
        <v>1</v>
      </c>
      <c r="Q233" s="3" t="inlineStr"/>
      <c r="R233" s="3" t="inlineStr"/>
      <c r="S233" s="3" t="inlineStr">
        <is>
          <t>정보 없음</t>
        </is>
      </c>
      <c r="T233" s="3" t="inlineStr"/>
      <c r="U233" s="3" t="inlineStr"/>
      <c r="V233" s="3" t="inlineStr">
        <is>
          <t>정보 없음</t>
        </is>
      </c>
    </row>
    <row r="234">
      <c r="A234" s="3" t="inlineStr">
        <is>
          <t>오송읍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대</t>
        </is>
      </c>
      <c r="E234" s="3" t="inlineStr">
        <is>
          <t>매매</t>
        </is>
      </c>
      <c r="F234" s="4" t="n">
        <v>135000</v>
      </c>
      <c r="G234" s="4" t="n">
        <v>667</v>
      </c>
      <c r="H234" s="4" t="n">
        <v>202</v>
      </c>
      <c r="I234" s="5" t="n">
        <v>668.3</v>
      </c>
      <c r="J234" s="5" t="n">
        <v>0</v>
      </c>
      <c r="K234" s="3" t="inlineStr">
        <is>
          <t>오송역세권과 대형아파트단지및 국가산단 사이로 둘러싸인 오송의 최상 지역</t>
        </is>
      </c>
      <c r="L234" s="6">
        <f>HYPERLINK("https://fin.land.naver.com/articles/2651120026", "매물Link")</f>
        <v/>
      </c>
      <c r="M234" t="inlineStr">
        <is>
          <t>정보 없음</t>
        </is>
      </c>
      <c r="N234" t="inlineStr">
        <is>
          <t>정보 없음</t>
        </is>
      </c>
      <c r="O234" s="3" t="inlineStr">
        <is>
          <t>온누리</t>
        </is>
      </c>
      <c r="P234" s="4" t="n">
        <v>1</v>
      </c>
      <c r="Q234" s="3" t="inlineStr"/>
      <c r="R234" s="3" t="inlineStr"/>
      <c r="S234" s="3" t="inlineStr">
        <is>
          <t>정보 없음</t>
        </is>
      </c>
      <c r="T234" s="3" t="inlineStr"/>
      <c r="U234" s="3" t="inlineStr"/>
      <c r="V234" s="3" t="inlineStr">
        <is>
          <t>정보 없음</t>
        </is>
      </c>
    </row>
    <row r="235">
      <c r="A235" s="3" t="inlineStr">
        <is>
          <t>오송읍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대</t>
        </is>
      </c>
      <c r="E235" s="3" t="inlineStr">
        <is>
          <t>매매</t>
        </is>
      </c>
      <c r="F235" s="4" t="n">
        <v>22000</v>
      </c>
      <c r="G235" s="4" t="n">
        <v>271</v>
      </c>
      <c r="H235" s="4" t="n">
        <v>82</v>
      </c>
      <c r="I235" s="5" t="n">
        <v>268.3</v>
      </c>
      <c r="J235" s="5" t="n">
        <v>0</v>
      </c>
      <c r="K235" s="3" t="inlineStr">
        <is>
          <t>오송 제3생명과학 국가산업단지 인근 대지로 무허가건축물 2동 존재함.</t>
        </is>
      </c>
      <c r="L235" s="6">
        <f>HYPERLINK("https://fin.land.naver.com/articles/2653159335", "매물Link")</f>
        <v/>
      </c>
      <c r="M235" t="inlineStr">
        <is>
          <t>정보 없음</t>
        </is>
      </c>
      <c r="N235" t="inlineStr">
        <is>
          <t>정보 없음</t>
        </is>
      </c>
      <c r="O235" s="3" t="inlineStr">
        <is>
          <t>스마트 사무소</t>
        </is>
      </c>
      <c r="P235" s="4" t="n">
        <v>1</v>
      </c>
      <c r="Q235" s="3" t="inlineStr"/>
      <c r="R235" s="3" t="inlineStr"/>
      <c r="S235" s="3" t="inlineStr">
        <is>
          <t>정보 없음</t>
        </is>
      </c>
      <c r="T235" s="3" t="inlineStr"/>
      <c r="U235" s="3" t="inlineStr"/>
      <c r="V235" s="3" t="inlineStr">
        <is>
          <t>정보 없음</t>
        </is>
      </c>
    </row>
    <row r="236">
      <c r="A236" s="3" t="inlineStr">
        <is>
          <t>오송읍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임야</t>
        </is>
      </c>
      <c r="E236" s="3" t="inlineStr">
        <is>
          <t>매매</t>
        </is>
      </c>
      <c r="F236" s="4" t="n">
        <v>16000</v>
      </c>
      <c r="G236" s="4" t="n">
        <v>1653</v>
      </c>
      <c r="H236" s="4" t="n">
        <v>500</v>
      </c>
      <c r="I236" s="5" t="n">
        <v>32</v>
      </c>
      <c r="J236" s="5" t="n">
        <v>0</v>
      </c>
      <c r="K236" s="3" t="inlineStr">
        <is>
          <t>제2오송바이오산단 인근. 공장지대 인근.</t>
        </is>
      </c>
      <c r="L236" s="6">
        <f>HYPERLINK("https://fin.land.naver.com/articles/2650595695", "매물Link")</f>
        <v/>
      </c>
      <c r="M236" t="inlineStr">
        <is>
          <t>정보 없음</t>
        </is>
      </c>
      <c r="N236" t="inlineStr">
        <is>
          <t>정보 없음</t>
        </is>
      </c>
      <c r="O236" s="3" t="inlineStr">
        <is>
          <t>벽산</t>
        </is>
      </c>
      <c r="P236" s="4" t="n">
        <v>1</v>
      </c>
      <c r="Q236" s="3" t="inlineStr"/>
      <c r="R236" s="3" t="inlineStr"/>
      <c r="S236" s="3" t="inlineStr">
        <is>
          <t>정보 없음</t>
        </is>
      </c>
      <c r="T236" s="3" t="inlineStr"/>
      <c r="U236" s="3" t="inlineStr"/>
      <c r="V236" s="3" t="inlineStr">
        <is>
          <t>정보 없음</t>
        </is>
      </c>
    </row>
    <row r="237">
      <c r="A237" s="3" t="inlineStr">
        <is>
          <t>오송읍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임야</t>
        </is>
      </c>
      <c r="E237" s="3" t="inlineStr">
        <is>
          <t>매매</t>
        </is>
      </c>
      <c r="F237" s="4" t="n">
        <v>31500</v>
      </c>
      <c r="G237" s="4" t="n">
        <v>3471</v>
      </c>
      <c r="H237" s="4" t="n">
        <v>1050</v>
      </c>
      <c r="I237" s="5" t="n">
        <v>30</v>
      </c>
      <c r="J237" s="5" t="n">
        <v>0</v>
      </c>
      <c r="K237" s="3" t="inlineStr">
        <is>
          <t>OK. 오송읍 임야 매매</t>
        </is>
      </c>
      <c r="L237" s="6">
        <f>HYPERLINK("https://fin.land.naver.com/articles/2653246934", "매물Link")</f>
        <v/>
      </c>
      <c r="M237" t="inlineStr">
        <is>
          <t>정보 없음</t>
        </is>
      </c>
      <c r="N237" t="inlineStr">
        <is>
          <t>정보 없음</t>
        </is>
      </c>
      <c r="O237" s="3" t="inlineStr">
        <is>
          <t>OK</t>
        </is>
      </c>
      <c r="P237" s="4" t="n">
        <v>1</v>
      </c>
      <c r="Q237" s="3" t="inlineStr"/>
      <c r="R237" s="3" t="inlineStr"/>
      <c r="S237" s="3" t="inlineStr">
        <is>
          <t>정보 없음</t>
        </is>
      </c>
      <c r="T237" s="3" t="inlineStr"/>
      <c r="U237" s="3" t="inlineStr"/>
      <c r="V237" s="3" t="inlineStr">
        <is>
          <t>정보 없음</t>
        </is>
      </c>
    </row>
    <row r="238">
      <c r="A238" s="3" t="inlineStr">
        <is>
          <t>오송읍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창고용지</t>
        </is>
      </c>
      <c r="E238" s="3" t="inlineStr">
        <is>
          <t>매매</t>
        </is>
      </c>
      <c r="F238" s="4" t="n">
        <v>40200</v>
      </c>
      <c r="G238" s="4" t="n">
        <v>666</v>
      </c>
      <c r="H238" s="4" t="n">
        <v>201</v>
      </c>
      <c r="I238" s="5" t="n">
        <v>200</v>
      </c>
      <c r="J238" s="5" t="n">
        <v>0</v>
      </c>
      <c r="K238" s="3" t="inlineStr">
        <is>
          <t>오송화장품단지 인근이며 전원주택조성된곳</t>
        </is>
      </c>
      <c r="L238" s="6">
        <f>HYPERLINK("https://fin.land.naver.com/articles/2648090058", "매물Link")</f>
        <v/>
      </c>
      <c r="M238" t="inlineStr">
        <is>
          <t>정보 없음</t>
        </is>
      </c>
      <c r="N238" t="inlineStr">
        <is>
          <t>정보 없음</t>
        </is>
      </c>
      <c r="O238" s="3" t="inlineStr">
        <is>
          <t>더원</t>
        </is>
      </c>
      <c r="P238" s="4" t="n">
        <v>1</v>
      </c>
      <c r="Q238" s="3" t="inlineStr"/>
      <c r="R238" s="3" t="inlineStr"/>
      <c r="S238" s="3" t="inlineStr">
        <is>
          <t>정보 없음</t>
        </is>
      </c>
      <c r="T238" s="3" t="inlineStr"/>
      <c r="U238" s="3" t="inlineStr"/>
      <c r="V238" s="3" t="inlineStr">
        <is>
          <t>정보 없음</t>
        </is>
      </c>
    </row>
    <row r="239">
      <c r="A239" s="3" t="inlineStr">
        <is>
          <t>오송읍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대</t>
        </is>
      </c>
      <c r="E239" s="3" t="inlineStr">
        <is>
          <t>매매</t>
        </is>
      </c>
      <c r="F239" s="4" t="n">
        <v>1060000</v>
      </c>
      <c r="G239" s="4" t="n">
        <v>1949</v>
      </c>
      <c r="H239" s="4" t="n">
        <v>590</v>
      </c>
      <c r="I239" s="5" t="n">
        <v>1796.6</v>
      </c>
      <c r="J239" s="5" t="n">
        <v>0</v>
      </c>
      <c r="K239" s="3" t="inlineStr">
        <is>
          <t>오송읍 역세권 일반상업지 토지, 오송역 배후지역, 오송생명 산업단지</t>
        </is>
      </c>
      <c r="L239" s="6">
        <f>HYPERLINK("https://fin.land.naver.com/articles/2648395193", "매물Link")</f>
        <v/>
      </c>
      <c r="M239" t="inlineStr">
        <is>
          <t>정보 없음</t>
        </is>
      </c>
      <c r="N239" t="inlineStr">
        <is>
          <t>정보 없음</t>
        </is>
      </c>
      <c r="O239" s="3" t="inlineStr">
        <is>
          <t>스카이</t>
        </is>
      </c>
      <c r="P239" s="4" t="n">
        <v>1</v>
      </c>
      <c r="Q239" s="3" t="inlineStr"/>
      <c r="R239" s="3" t="inlineStr"/>
      <c r="S239" s="3" t="inlineStr">
        <is>
          <t>정보 없음</t>
        </is>
      </c>
      <c r="T239" s="3" t="inlineStr"/>
      <c r="U239" s="3" t="inlineStr"/>
      <c r="V239" s="3" t="inlineStr">
        <is>
          <t>정보 없음</t>
        </is>
      </c>
    </row>
    <row r="240">
      <c r="A240" s="3" t="inlineStr">
        <is>
          <t>오송읍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전</t>
        </is>
      </c>
      <c r="E240" s="3" t="inlineStr">
        <is>
          <t>매매</t>
        </is>
      </c>
      <c r="F240" s="4" t="n">
        <v>30000</v>
      </c>
      <c r="G240" s="4" t="n">
        <v>1438</v>
      </c>
      <c r="H240" s="4" t="n">
        <v>435</v>
      </c>
      <c r="I240" s="5" t="n">
        <v>69</v>
      </c>
      <c r="J240" s="5" t="n">
        <v>0</v>
      </c>
      <c r="K240" s="3" t="inlineStr">
        <is>
          <t>4m 도로 접, 3산단 수용지 인접 개발호재, 성토 완료, 마을 인근지</t>
        </is>
      </c>
      <c r="L240" s="6">
        <f>HYPERLINK("https://fin.land.naver.com/articles/2648620491", "매물Link")</f>
        <v/>
      </c>
      <c r="M240" t="inlineStr">
        <is>
          <t>정보 없음</t>
        </is>
      </c>
      <c r="N240" t="inlineStr">
        <is>
          <t>정보 없음</t>
        </is>
      </c>
      <c r="O240" s="3" t="inlineStr">
        <is>
          <t>오송3산단  사무소</t>
        </is>
      </c>
      <c r="P240" s="4" t="n">
        <v>1</v>
      </c>
      <c r="Q240" s="3" t="inlineStr"/>
      <c r="R240" s="3" t="inlineStr"/>
      <c r="S240" s="3" t="inlineStr">
        <is>
          <t>정보 없음</t>
        </is>
      </c>
      <c r="T240" s="3" t="inlineStr"/>
      <c r="U240" s="3" t="inlineStr"/>
      <c r="V240" s="3" t="inlineStr">
        <is>
          <t>정보 없음</t>
        </is>
      </c>
    </row>
    <row r="241">
      <c r="A241" s="3" t="inlineStr">
        <is>
          <t>오송읍 [노출거부]</t>
        </is>
      </c>
      <c r="B241" s="3" t="inlineStr">
        <is>
          <t>정보 없음</t>
        </is>
      </c>
      <c r="C241" s="3" t="inlineStr">
        <is>
          <t>정보 없음</t>
        </is>
      </c>
      <c r="D241" s="3" t="inlineStr">
        <is>
          <t>임야</t>
        </is>
      </c>
      <c r="E241" s="3" t="inlineStr">
        <is>
          <t>매매</t>
        </is>
      </c>
      <c r="F241" s="4" t="n">
        <v>20000</v>
      </c>
      <c r="G241" s="4" t="n">
        <v>26432</v>
      </c>
      <c r="H241" s="4" t="n">
        <v>7996</v>
      </c>
      <c r="I241" s="5" t="n">
        <v>2.5</v>
      </c>
      <c r="J241" s="5" t="n">
        <v>0</v>
      </c>
      <c r="K241" s="3" t="inlineStr">
        <is>
          <t>nan</t>
        </is>
      </c>
      <c r="L241" s="6">
        <f>HYPERLINK("https://fin.land.naver.com/articles/2648991095", "매물Link")</f>
        <v/>
      </c>
      <c r="M241" t="inlineStr">
        <is>
          <t>정보 없음</t>
        </is>
      </c>
      <c r="N241" t="inlineStr">
        <is>
          <t>정보 없음</t>
        </is>
      </c>
      <c r="O241" s="3" t="inlineStr">
        <is>
          <t>오송랜드</t>
        </is>
      </c>
      <c r="P241" s="4" t="n">
        <v>1</v>
      </c>
      <c r="Q241" s="3" t="inlineStr"/>
      <c r="R241" s="3" t="inlineStr"/>
      <c r="S241" s="3" t="inlineStr">
        <is>
          <t>정보 없음</t>
        </is>
      </c>
      <c r="T241" s="3" t="inlineStr"/>
      <c r="U241" s="3" t="inlineStr"/>
      <c r="V241" s="3" t="inlineStr">
        <is>
          <t>정보 없음</t>
        </is>
      </c>
    </row>
    <row r="242">
      <c r="A242" s="3" t="inlineStr">
        <is>
          <t>오송읍 [노출거부]</t>
        </is>
      </c>
      <c r="B242" s="3" t="inlineStr">
        <is>
          <t>정보 없음</t>
        </is>
      </c>
      <c r="C242" s="3" t="inlineStr">
        <is>
          <t>정보 없음</t>
        </is>
      </c>
      <c r="D242" s="3" t="inlineStr">
        <is>
          <t>대</t>
        </is>
      </c>
      <c r="E242" s="3" t="inlineStr">
        <is>
          <t>매매</t>
        </is>
      </c>
      <c r="F242" s="4" t="n">
        <v>27000</v>
      </c>
      <c r="G242" s="4" t="n">
        <v>245</v>
      </c>
      <c r="H242" s="4" t="n">
        <v>74</v>
      </c>
      <c r="I242" s="5" t="n">
        <v>364.9</v>
      </c>
      <c r="J242" s="5" t="n">
        <v>0</v>
      </c>
      <c r="K242" s="3" t="inlineStr">
        <is>
          <t>다가구주택(원투룸) 건축 토지</t>
        </is>
      </c>
      <c r="L242" s="6">
        <f>HYPERLINK("https://fin.land.naver.com/articles/2648290252", "매물Link")</f>
        <v/>
      </c>
      <c r="M242" t="inlineStr">
        <is>
          <t>정보 없음</t>
        </is>
      </c>
      <c r="N242" t="inlineStr">
        <is>
          <t>정보 없음</t>
        </is>
      </c>
      <c r="O242" s="3" t="inlineStr">
        <is>
          <t>연주영</t>
        </is>
      </c>
      <c r="P242" s="4" t="n">
        <v>1</v>
      </c>
      <c r="Q242" s="3" t="inlineStr"/>
      <c r="R242" s="3" t="inlineStr"/>
      <c r="S242" s="3" t="inlineStr">
        <is>
          <t>정보 없음</t>
        </is>
      </c>
      <c r="T242" s="3" t="inlineStr"/>
      <c r="U242" s="3" t="inlineStr"/>
      <c r="V242" s="3" t="inlineStr">
        <is>
          <t>정보 없음</t>
        </is>
      </c>
    </row>
    <row r="243">
      <c r="A243" s="3" t="inlineStr">
        <is>
          <t>오송읍 [노출거부]</t>
        </is>
      </c>
      <c r="B243" s="3" t="inlineStr">
        <is>
          <t>정보 없음</t>
        </is>
      </c>
      <c r="C243" s="3" t="inlineStr">
        <is>
          <t>정보 없음</t>
        </is>
      </c>
      <c r="D243" s="3" t="inlineStr">
        <is>
          <t>답</t>
        </is>
      </c>
      <c r="E243" s="3" t="inlineStr">
        <is>
          <t>매매</t>
        </is>
      </c>
      <c r="F243" s="4" t="n">
        <v>80000</v>
      </c>
      <c r="G243" s="4" t="n">
        <v>3272</v>
      </c>
      <c r="H243" s="4" t="n">
        <v>990</v>
      </c>
      <c r="I243" s="5" t="n">
        <v>80.8</v>
      </c>
      <c r="J243" s="5" t="n">
        <v>0</v>
      </c>
      <c r="K243" s="3" t="inlineStr">
        <is>
          <t>쌍청리 농업용 및 투자용토지</t>
        </is>
      </c>
      <c r="L243" s="6">
        <f>HYPERLINK("https://fin.land.naver.com/articles/2648038216", "매물Link")</f>
        <v/>
      </c>
      <c r="M243" t="inlineStr">
        <is>
          <t>정보 없음</t>
        </is>
      </c>
      <c r="N243" t="inlineStr">
        <is>
          <t>정보 없음</t>
        </is>
      </c>
      <c r="O243" s="3" t="inlineStr">
        <is>
          <t>굿리치합동사무소</t>
        </is>
      </c>
      <c r="P243" s="4" t="n">
        <v>1</v>
      </c>
      <c r="Q243" s="3" t="inlineStr"/>
      <c r="R243" s="3" t="inlineStr"/>
      <c r="S243" s="3" t="inlineStr">
        <is>
          <t>정보 없음</t>
        </is>
      </c>
      <c r="T243" s="3" t="inlineStr"/>
      <c r="U243" s="3" t="inlineStr"/>
      <c r="V243" s="3" t="inlineStr">
        <is>
          <t>정보 없음</t>
        </is>
      </c>
    </row>
    <row r="244">
      <c r="A244" s="3" t="inlineStr">
        <is>
          <t>오송읍 [노출거부]</t>
        </is>
      </c>
      <c r="B244" s="3" t="inlineStr">
        <is>
          <t>정보 없음</t>
        </is>
      </c>
      <c r="C244" s="3" t="inlineStr">
        <is>
          <t>정보 없음</t>
        </is>
      </c>
      <c r="D244" s="3" t="inlineStr">
        <is>
          <t>주차장</t>
        </is>
      </c>
      <c r="E244" s="3" t="inlineStr">
        <is>
          <t>매매</t>
        </is>
      </c>
      <c r="F244" s="4" t="n">
        <v>555000</v>
      </c>
      <c r="G244" s="4" t="n">
        <v>2435</v>
      </c>
      <c r="H244" s="4" t="n">
        <v>737</v>
      </c>
      <c r="I244" s="5" t="n">
        <v>753.1</v>
      </c>
      <c r="J244" s="5" t="n">
        <v>0</v>
      </c>
      <c r="K244" s="3" t="inlineStr">
        <is>
          <t>오송2산단 아파트 11,000세대 및 주택밀집지역 일반상업지역 주차장부지</t>
        </is>
      </c>
      <c r="L244" s="6">
        <f>HYPERLINK("https://fin.land.naver.com/articles/2649677149", "매물Link")</f>
        <v/>
      </c>
      <c r="M244" t="inlineStr">
        <is>
          <t>정보 없음</t>
        </is>
      </c>
      <c r="N244" t="inlineStr">
        <is>
          <t>정보 없음</t>
        </is>
      </c>
      <c r="O244" s="3" t="inlineStr">
        <is>
          <t>더원</t>
        </is>
      </c>
      <c r="P244" s="4" t="n">
        <v>1</v>
      </c>
      <c r="Q244" s="3" t="inlineStr"/>
      <c r="R244" s="3" t="inlineStr"/>
      <c r="S244" s="3" t="inlineStr">
        <is>
          <t>정보 없음</t>
        </is>
      </c>
      <c r="T244" s="3" t="inlineStr"/>
      <c r="U244" s="3" t="inlineStr"/>
      <c r="V244" s="3" t="inlineStr">
        <is>
          <t>정보 없음</t>
        </is>
      </c>
    </row>
    <row r="245">
      <c r="A245" s="3" t="inlineStr">
        <is>
          <t>오송읍 [노출거부]</t>
        </is>
      </c>
      <c r="B245" s="3" t="inlineStr">
        <is>
          <t>정보 없음</t>
        </is>
      </c>
      <c r="C245" s="3" t="inlineStr">
        <is>
          <t>정보 없음</t>
        </is>
      </c>
      <c r="D245" s="3" t="inlineStr">
        <is>
          <t>답</t>
        </is>
      </c>
      <c r="E245" s="3" t="inlineStr">
        <is>
          <t>매매</t>
        </is>
      </c>
      <c r="F245" s="4" t="n">
        <v>170000</v>
      </c>
      <c r="G245" s="4" t="n">
        <v>5088</v>
      </c>
      <c r="H245" s="4" t="n">
        <v>1539</v>
      </c>
      <c r="I245" s="5" t="n">
        <v>110.5</v>
      </c>
      <c r="J245" s="5" t="n">
        <v>0</v>
      </c>
      <c r="K245" s="3" t="inlineStr">
        <is>
          <t>2차선도로접함  오송국가산업단지 개발됨 가격조율가능</t>
        </is>
      </c>
      <c r="L245" s="6">
        <f>HYPERLINK("https://fin.land.naver.com/articles/2650668626", "매물Link")</f>
        <v/>
      </c>
      <c r="M245" t="inlineStr">
        <is>
          <t>정보 없음</t>
        </is>
      </c>
      <c r="N245" t="inlineStr">
        <is>
          <t>정보 없음</t>
        </is>
      </c>
      <c r="O245" s="3" t="inlineStr">
        <is>
          <t>지웰시티합동</t>
        </is>
      </c>
      <c r="P245" s="4" t="n">
        <v>1</v>
      </c>
      <c r="Q245" s="3" t="inlineStr"/>
      <c r="R245" s="3" t="inlineStr"/>
      <c r="S245" s="3" t="inlineStr">
        <is>
          <t>정보 없음</t>
        </is>
      </c>
      <c r="T245" s="3" t="inlineStr"/>
      <c r="U245" s="3" t="inlineStr"/>
      <c r="V245" s="3" t="inlineStr">
        <is>
          <t>정보 없음</t>
        </is>
      </c>
    </row>
    <row r="246">
      <c r="A246" s="3" t="inlineStr">
        <is>
          <t>오송읍 [노출거부]</t>
        </is>
      </c>
      <c r="B246" s="3" t="inlineStr">
        <is>
          <t>정보 없음</t>
        </is>
      </c>
      <c r="C246" s="3" t="inlineStr">
        <is>
          <t>정보 없음</t>
        </is>
      </c>
      <c r="D246" s="3" t="inlineStr">
        <is>
          <t>전</t>
        </is>
      </c>
      <c r="E246" s="3" t="inlineStr">
        <is>
          <t>매매</t>
        </is>
      </c>
      <c r="F246" s="4" t="n">
        <v>23000</v>
      </c>
      <c r="G246" s="4" t="n">
        <v>602</v>
      </c>
      <c r="H246" s="4" t="n">
        <v>182</v>
      </c>
      <c r="I246" s="5" t="n">
        <v>126.4</v>
      </c>
      <c r="J246" s="5" t="n">
        <v>0</v>
      </c>
      <c r="K246" s="3" t="inlineStr">
        <is>
          <t>주말농장,주말쉼터, 전원주택부지로 추천</t>
        </is>
      </c>
      <c r="L246" s="6">
        <f>HYPERLINK("https://fin.land.naver.com/articles/2650719581", "매물Link")</f>
        <v/>
      </c>
      <c r="M246" t="inlineStr">
        <is>
          <t>정보 없음</t>
        </is>
      </c>
      <c r="N246" t="inlineStr">
        <is>
          <t>정보 없음</t>
        </is>
      </c>
      <c r="O246" s="3" t="inlineStr">
        <is>
          <t>신안무소</t>
        </is>
      </c>
      <c r="P246" s="4" t="n">
        <v>1</v>
      </c>
      <c r="Q246" s="3" t="inlineStr"/>
      <c r="R246" s="3" t="inlineStr"/>
      <c r="S246" s="3" t="inlineStr">
        <is>
          <t>정보 없음</t>
        </is>
      </c>
      <c r="T246" s="3" t="inlineStr"/>
      <c r="U246" s="3" t="inlineStr"/>
      <c r="V246" s="3" t="inlineStr">
        <is>
          <t>정보 없음</t>
        </is>
      </c>
    </row>
    <row r="247">
      <c r="A247" s="3" t="inlineStr">
        <is>
          <t>오송읍 [노출거부]</t>
        </is>
      </c>
      <c r="B247" s="3" t="inlineStr">
        <is>
          <t>정보 없음</t>
        </is>
      </c>
      <c r="C247" s="3" t="inlineStr">
        <is>
          <t>정보 없음</t>
        </is>
      </c>
      <c r="D247" s="3" t="inlineStr">
        <is>
          <t>답</t>
        </is>
      </c>
      <c r="E247" s="3" t="inlineStr">
        <is>
          <t>매매</t>
        </is>
      </c>
      <c r="F247" s="4" t="n">
        <v>40000</v>
      </c>
      <c r="G247" s="4" t="n">
        <v>1938</v>
      </c>
      <c r="H247" s="4" t="n">
        <v>586</v>
      </c>
      <c r="I247" s="5" t="n">
        <v>68.3</v>
      </c>
      <c r="J247" s="5" t="n">
        <v>0</v>
      </c>
      <c r="K247" s="3" t="inlineStr">
        <is>
          <t>세종로와 오송생명로 로 연결된 교통중심지 4차선에 연결된 8m도로에 접함</t>
        </is>
      </c>
      <c r="L247" s="6">
        <f>HYPERLINK("https://fin.land.naver.com/articles/2648321911", "매물Link")</f>
        <v/>
      </c>
      <c r="M247" t="inlineStr">
        <is>
          <t>정보 없음</t>
        </is>
      </c>
      <c r="N247" t="inlineStr">
        <is>
          <t>정보 없음</t>
        </is>
      </c>
      <c r="O247" s="3" t="inlineStr">
        <is>
          <t>온누리</t>
        </is>
      </c>
      <c r="P247" s="4" t="n">
        <v>1</v>
      </c>
      <c r="Q247" s="3" t="inlineStr"/>
      <c r="R247" s="3" t="inlineStr"/>
      <c r="S247" s="3" t="inlineStr">
        <is>
          <t>정보 없음</t>
        </is>
      </c>
      <c r="T247" s="3" t="inlineStr"/>
      <c r="U247" s="3" t="inlineStr"/>
      <c r="V247" s="3" t="inlineStr">
        <is>
          <t>정보 없음</t>
        </is>
      </c>
    </row>
    <row r="248">
      <c r="A248" s="3" t="inlineStr">
        <is>
          <t>조치원읍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대</t>
        </is>
      </c>
      <c r="E248" s="3" t="inlineStr">
        <is>
          <t>매매</t>
        </is>
      </c>
      <c r="F248" s="4" t="n">
        <v>30000</v>
      </c>
      <c r="G248" s="4" t="n">
        <v>396</v>
      </c>
      <c r="H248" s="4" t="n">
        <v>120</v>
      </c>
      <c r="I248" s="5" t="n">
        <v>250</v>
      </c>
      <c r="J248" s="5" t="n">
        <v>0</v>
      </c>
      <c r="K248" s="3" t="inlineStr">
        <is>
          <t>남리 나대지 급매입니다</t>
        </is>
      </c>
      <c r="L248" s="6">
        <f>HYPERLINK("https://fin.land.naver.com/articles/2648099694", "매물Link")</f>
        <v/>
      </c>
      <c r="M248" t="inlineStr">
        <is>
          <t>정보 없음</t>
        </is>
      </c>
      <c r="N248" t="inlineStr">
        <is>
          <t>정보 없음</t>
        </is>
      </c>
      <c r="O248" s="3" t="inlineStr">
        <is>
          <t>다원</t>
        </is>
      </c>
      <c r="P248" s="4" t="n">
        <v>1</v>
      </c>
      <c r="Q248" s="3" t="inlineStr"/>
      <c r="R248" s="3" t="inlineStr"/>
      <c r="S248" s="3" t="inlineStr">
        <is>
          <t>정보 없음</t>
        </is>
      </c>
      <c r="T248" s="3" t="inlineStr"/>
      <c r="U248" s="3" t="inlineStr"/>
      <c r="V248" s="3" t="inlineStr">
        <is>
          <t>정보 없음</t>
        </is>
      </c>
    </row>
    <row r="249">
      <c r="A249" s="3" t="inlineStr">
        <is>
          <t>조치원읍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과수원</t>
        </is>
      </c>
      <c r="E249" s="3" t="inlineStr">
        <is>
          <t>매매</t>
        </is>
      </c>
      <c r="F249" s="4" t="n">
        <v>140000</v>
      </c>
      <c r="G249" s="4" t="n">
        <v>1170</v>
      </c>
      <c r="H249" s="4" t="n">
        <v>354</v>
      </c>
      <c r="I249" s="5" t="n">
        <v>395.5</v>
      </c>
      <c r="J249" s="5" t="n">
        <v>0</v>
      </c>
      <c r="K249" s="3" t="inlineStr">
        <is>
          <t>조치원 신흥사거리에 근접하며 세종로에 근접한 토지 제1종일반주거지역.</t>
        </is>
      </c>
      <c r="L249" s="6">
        <f>HYPERLINK("https://fin.land.naver.com/articles/2651116634", "매물Link")</f>
        <v/>
      </c>
      <c r="M249" t="inlineStr">
        <is>
          <t>정보 없음</t>
        </is>
      </c>
      <c r="N249" t="inlineStr">
        <is>
          <t>정보 없음</t>
        </is>
      </c>
      <c r="O249" s="3" t="inlineStr">
        <is>
          <t>온누리</t>
        </is>
      </c>
      <c r="P249" s="4" t="n">
        <v>1</v>
      </c>
      <c r="Q249" s="3" t="inlineStr"/>
      <c r="R249" s="3" t="inlineStr"/>
      <c r="S249" s="3" t="inlineStr">
        <is>
          <t>정보 없음</t>
        </is>
      </c>
      <c r="T249" s="3" t="inlineStr"/>
      <c r="U249" s="3" t="inlineStr"/>
      <c r="V249" s="3" t="inlineStr">
        <is>
          <t>정보 없음</t>
        </is>
      </c>
    </row>
    <row r="250">
      <c r="A250" s="3" t="inlineStr">
        <is>
          <t>조치원읍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전</t>
        </is>
      </c>
      <c r="E250" s="3" t="inlineStr">
        <is>
          <t>매매</t>
        </is>
      </c>
      <c r="F250" s="4" t="n">
        <v>420000</v>
      </c>
      <c r="G250" s="4" t="n">
        <v>2245</v>
      </c>
      <c r="H250" s="4" t="n">
        <v>679</v>
      </c>
      <c r="I250" s="5" t="n">
        <v>618.6</v>
      </c>
      <c r="J250" s="5" t="n">
        <v>0</v>
      </c>
      <c r="K250" s="3" t="inlineStr">
        <is>
          <t>조치원청사뒤,주변아파트단지</t>
        </is>
      </c>
      <c r="L250" s="6">
        <f>HYPERLINK("https://fin.land.naver.com/articles/2652650954", "매물Link")</f>
        <v/>
      </c>
      <c r="M250" t="inlineStr">
        <is>
          <t>정보 없음</t>
        </is>
      </c>
      <c r="N250" t="inlineStr">
        <is>
          <t>정보 없음</t>
        </is>
      </c>
      <c r="O250" s="3" t="inlineStr">
        <is>
          <t>아름다운</t>
        </is>
      </c>
      <c r="P250" s="4" t="n">
        <v>1</v>
      </c>
      <c r="Q250" s="3" t="inlineStr"/>
      <c r="R250" s="3" t="inlineStr"/>
      <c r="S250" s="3" t="inlineStr">
        <is>
          <t>정보 없음</t>
        </is>
      </c>
      <c r="T250" s="3" t="inlineStr"/>
      <c r="U250" s="3" t="inlineStr"/>
      <c r="V250" s="3" t="inlineStr">
        <is>
          <t>정보 없음</t>
        </is>
      </c>
    </row>
    <row r="251">
      <c r="A251" s="3" t="inlineStr">
        <is>
          <t>조치원읍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대</t>
        </is>
      </c>
      <c r="E251" s="3" t="inlineStr">
        <is>
          <t>매매</t>
        </is>
      </c>
      <c r="F251" s="4" t="n">
        <v>32000</v>
      </c>
      <c r="G251" s="4" t="n">
        <v>70</v>
      </c>
      <c r="H251" s="4" t="n">
        <v>21</v>
      </c>
      <c r="I251" s="5" t="n">
        <v>1523.8</v>
      </c>
      <c r="J251" s="5" t="n">
        <v>0</v>
      </c>
      <c r="K251" s="3" t="inlineStr">
        <is>
          <t>현 나대지</t>
        </is>
      </c>
      <c r="L251" s="6">
        <f>HYPERLINK("https://fin.land.naver.com/articles/2653191464", "매물Link")</f>
        <v/>
      </c>
      <c r="M251" t="inlineStr">
        <is>
          <t>정보 없음</t>
        </is>
      </c>
      <c r="N251" t="inlineStr">
        <is>
          <t>정보 없음</t>
        </is>
      </c>
      <c r="O251" s="3" t="inlineStr">
        <is>
          <t>영화</t>
        </is>
      </c>
      <c r="P251" s="4" t="n">
        <v>1</v>
      </c>
      <c r="Q251" s="3" t="inlineStr"/>
      <c r="R251" s="3" t="inlineStr"/>
      <c r="S251" s="3" t="inlineStr">
        <is>
          <t>정보 없음</t>
        </is>
      </c>
      <c r="T251" s="3" t="inlineStr"/>
      <c r="U251" s="3" t="inlineStr"/>
      <c r="V251" s="3" t="inlineStr">
        <is>
          <t>정보 없음</t>
        </is>
      </c>
    </row>
    <row r="252">
      <c r="A252" s="3" t="inlineStr">
        <is>
          <t>조치원읍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공장용지</t>
        </is>
      </c>
      <c r="E252" s="3" t="inlineStr">
        <is>
          <t>매매</t>
        </is>
      </c>
      <c r="F252" s="4" t="n">
        <v>300000</v>
      </c>
      <c r="G252" s="4" t="n">
        <v>2144</v>
      </c>
      <c r="H252" s="4" t="n">
        <v>649</v>
      </c>
      <c r="I252" s="5" t="n">
        <v>462.2</v>
      </c>
      <c r="J252" s="5" t="n">
        <v>0</v>
      </c>
      <c r="K252" s="3" t="inlineStr">
        <is>
          <t>근생추천,조율가,대도로,소방포장도로접,광고효과 좋음.</t>
        </is>
      </c>
      <c r="L252" s="6">
        <f>HYPERLINK("https://fin.land.naver.com/articles/2652130446", "매물Link")</f>
        <v/>
      </c>
      <c r="M252" t="inlineStr">
        <is>
          <t>정보 없음</t>
        </is>
      </c>
      <c r="N252" t="inlineStr">
        <is>
          <t>정보 없음</t>
        </is>
      </c>
      <c r="O252" s="3" t="inlineStr">
        <is>
          <t>세종지원</t>
        </is>
      </c>
      <c r="P252" s="4" t="n">
        <v>1</v>
      </c>
      <c r="Q252" s="3" t="inlineStr"/>
      <c r="R252" s="3" t="inlineStr"/>
      <c r="S252" s="3" t="inlineStr">
        <is>
          <t>정보 없음</t>
        </is>
      </c>
      <c r="T252" s="3" t="inlineStr"/>
      <c r="U252" s="3" t="inlineStr"/>
      <c r="V252" s="3" t="inlineStr">
        <is>
          <t>정보 없음</t>
        </is>
      </c>
    </row>
    <row r="253">
      <c r="A253" s="3" t="inlineStr">
        <is>
          <t>조치원읍 [노출거부]</t>
        </is>
      </c>
      <c r="B253" s="3" t="inlineStr">
        <is>
          <t>정보 없음</t>
        </is>
      </c>
      <c r="C253" s="3" t="inlineStr">
        <is>
          <t>정보 없음</t>
        </is>
      </c>
      <c r="D253" s="3" t="inlineStr">
        <is>
          <t>대</t>
        </is>
      </c>
      <c r="E253" s="3" t="inlineStr">
        <is>
          <t>매매</t>
        </is>
      </c>
      <c r="F253" s="4" t="n">
        <v>70000</v>
      </c>
      <c r="G253" s="4" t="n">
        <v>472</v>
      </c>
      <c r="H253" s="4" t="n">
        <v>143</v>
      </c>
      <c r="I253" s="5" t="n">
        <v>489.5</v>
      </c>
      <c r="J253" s="5" t="n">
        <v>0</v>
      </c>
      <c r="K253" s="3" t="inlineStr">
        <is>
          <t>다가구 주택이나 다중 주택 신축 부지로 적합한 나대지,인기 있는  지역임</t>
        </is>
      </c>
      <c r="L253" s="6">
        <f>HYPERLINK("https://fin.land.naver.com/articles/2651659796", "매물Link")</f>
        <v/>
      </c>
      <c r="M253" t="inlineStr">
        <is>
          <t>정보 없음</t>
        </is>
      </c>
      <c r="N253" t="inlineStr">
        <is>
          <t>정보 없음</t>
        </is>
      </c>
      <c r="O253" s="3" t="inlineStr">
        <is>
          <t>유정희</t>
        </is>
      </c>
      <c r="P253" s="4" t="n">
        <v>1</v>
      </c>
      <c r="Q253" s="3" t="inlineStr"/>
      <c r="R253" s="3" t="inlineStr"/>
      <c r="S253" s="3" t="inlineStr">
        <is>
          <t>정보 없음</t>
        </is>
      </c>
      <c r="T253" s="3" t="inlineStr"/>
      <c r="U253" s="3" t="inlineStr"/>
      <c r="V253" s="3" t="inlineStr">
        <is>
          <t>정보 없음</t>
        </is>
      </c>
    </row>
    <row r="254">
      <c r="A254" s="3" t="inlineStr">
        <is>
          <t>해밀동 [노출거부]</t>
        </is>
      </c>
      <c r="B254" s="3" t="inlineStr">
        <is>
          <t>정보 없음</t>
        </is>
      </c>
      <c r="C254" s="3" t="inlineStr">
        <is>
          <t>정보 없음</t>
        </is>
      </c>
      <c r="D254" s="3" t="inlineStr">
        <is>
          <t>대</t>
        </is>
      </c>
      <c r="E254" s="3" t="inlineStr">
        <is>
          <t>매매</t>
        </is>
      </c>
      <c r="F254" s="4" t="n">
        <v>115000</v>
      </c>
      <c r="G254" s="4" t="n">
        <v>493</v>
      </c>
      <c r="H254" s="4" t="n">
        <v>149</v>
      </c>
      <c r="I254" s="5" t="n">
        <v>771.8</v>
      </c>
      <c r="J254" s="5" t="n">
        <v>0</v>
      </c>
      <c r="K254" s="3" t="inlineStr">
        <is>
          <t>세종시 소형 토지 매매</t>
        </is>
      </c>
      <c r="L254" s="6">
        <f>HYPERLINK("https://fin.land.naver.com/articles/2648729865", "매물Link")</f>
        <v/>
      </c>
      <c r="M254" t="inlineStr">
        <is>
          <t>정보 없음</t>
        </is>
      </c>
      <c r="N254" t="inlineStr">
        <is>
          <t>정보 없음</t>
        </is>
      </c>
      <c r="O254" s="3" t="inlineStr">
        <is>
          <t>사거리</t>
        </is>
      </c>
      <c r="P254" s="4" t="n">
        <v>1</v>
      </c>
      <c r="Q254" s="3" t="inlineStr"/>
      <c r="R254" s="3" t="inlineStr"/>
      <c r="S254" s="3" t="inlineStr">
        <is>
          <t>정보 없음</t>
        </is>
      </c>
      <c r="T254" s="3" t="inlineStr"/>
      <c r="U254" s="3" t="inlineStr"/>
      <c r="V254" s="3" t="inlineStr">
        <is>
          <t>정보 없음</t>
        </is>
      </c>
    </row>
  </sheetData>
  <autoFilter ref="A1:V2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2026-10-05T00:48:07Z</dcterms:created>
  <dcterms:modified xsi:type="dcterms:W3CDTF">2026-10-05T00:48:12Z</dcterms:modified>
</cp:coreProperties>
</file>