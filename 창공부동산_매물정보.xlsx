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주택매물" sheetId="3" state="visible" r:id="rId3"/>
    <sheet name="국토부_실거래원본" sheetId="4" state="visible" r:id="rId4"/>
  </sheets>
  <definedNames>
    <definedName name="_xlnm._FilterDatabase" localSheetId="0" hidden="1">'공장창고매물'!$A$1:$AD$158</definedName>
    <definedName name="_xlnm._FilterDatabase" localSheetId="1" hidden="1">'토지매물'!$A$1:$V$361</definedName>
    <definedName name="_xlnm._FilterDatabase" localSheetId="2" hidden="1">'주택매물'!$A$1:$Z$1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HYPERLINK("https://fin.land.naver.com/articles/2645080416",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HYPERLINK("https://fin.land.naver.com/articles/2644946385",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480</v>
      </c>
      <c r="L19" s="4" t="n">
        <v>145</v>
      </c>
      <c r="M19" s="5" t="n">
        <v>1.4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대형평수,저렴하게 나온 공장 매물 월세,바닥 에폭시 새로 예정</t>
        </is>
      </c>
      <c r="Q19" s="6">
        <f>HYPERLINK("https://fin.land.naver.com/articles/2649113039",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편리한 층고 높고 관리 잘 된 공장,청주IC인근</t>
        </is>
      </c>
      <c r="Q26" s="6">
        <f>HYPERLINK("https://fin.land.naver.com/articles/2650584809",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 인근 공장 밀집지 민원 소지없는 위치</t>
        </is>
      </c>
      <c r="Q32" s="6">
        <f>HYPERLINK("https://fin.land.naver.com/articles/2645311214",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더원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48085</v>
      </c>
      <c r="I38" s="4" t="n">
        <v>14546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즉시입주가능 대형공장, 3층차량지입가능, 2차선도로접,남청주ic인근</t>
        </is>
      </c>
      <c r="Q38" s="6">
        <f>HYPERLINK("https://fin.land.naver.com/articles/2648519656",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세종로또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48084</v>
      </c>
      <c r="I39" s="4" t="n">
        <v>14545</v>
      </c>
      <c r="J39" s="5" t="n">
        <v>137.5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남청주ic인근, 대형차 진출입이 용이한 곳,대형공장,물류센터 추천</t>
        </is>
      </c>
      <c r="Q39" s="6">
        <f>HYPERLINK("https://fin.land.naver.com/articles/2647866435",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2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15000</v>
      </c>
      <c r="H40" s="4" t="n">
        <v>48084</v>
      </c>
      <c r="I40" s="4" t="n">
        <v>14545</v>
      </c>
      <c r="J40" s="5" t="n">
        <v>1</v>
      </c>
      <c r="K40" s="4" t="n">
        <v>19784</v>
      </c>
      <c r="L40" s="4" t="n">
        <v>5985</v>
      </c>
      <c r="M40" s="5" t="n">
        <v>2.5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 좋고대형차진출입용이한대형공장및물류창고</t>
        </is>
      </c>
      <c r="Q40" s="6">
        <f>HYPERLINK("https://fin.land.naver.com/articles/2646668834",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9623</v>
      </c>
      <c r="I59" s="4" t="n">
        <v>2911</v>
      </c>
      <c r="J59" s="5" t="n">
        <v>412.2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청주IC와 오송역 인근 4차선 대로변, 예식장,대형카페,요양원 추천</t>
        </is>
      </c>
      <c r="Q59" s="6">
        <f>HYPERLINK("https://fin.land.naver.com/articles/2650624649",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 7분, 왕복 4차선 진출입 가능한 금형 사출 압출 공장 매매</t>
        </is>
      </c>
      <c r="Q60" s="6">
        <f>HYPERLINK("https://fin.land.naver.com/articles/2645609298",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청담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HYPERLINK("https://fin.land.naver.com/articles/2644909816",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위치. 입출입 편하고 대지 넓음</t>
        </is>
      </c>
      <c r="Q67" s="6">
        <f>HYPERLINK("https://fin.land.naver.com/articles/2648710367",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청주1등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HYPERLINK("https://fin.land.naver.com/articles/2649038611",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HYPERLINK("https://fin.land.naver.com/articles/2650344940",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3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HYPERLINK("https://fin.land.naver.com/articles/2646668651",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2400</v>
      </c>
      <c r="H78" s="4" t="n">
        <v>3801</v>
      </c>
      <c r="I78" s="4" t="n">
        <v>1150</v>
      </c>
      <c r="J78" s="5" t="n">
        <v>2.1</v>
      </c>
      <c r="K78" s="4" t="n">
        <v>3801</v>
      </c>
      <c r="L78" s="4" t="n">
        <v>1150</v>
      </c>
      <c r="M78" s="5" t="n">
        <v>2.1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일반창고구조와 튼튼한 가설건축물로 이루어진 저렴한 대형창고임대</t>
        </is>
      </c>
      <c r="Q78" s="6">
        <f>HYPERLINK("https://fin.land.naver.com/articles/2646424896",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주2동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8.3m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HYPERLINK("https://fin.land.naver.com/articles/2645944351",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18000</v>
      </c>
      <c r="G81" s="4" t="n">
        <v>1750</v>
      </c>
      <c r="H81" s="4" t="n">
        <v>9200</v>
      </c>
      <c r="I81" s="4" t="n">
        <v>2783</v>
      </c>
      <c r="J81" s="5" t="n">
        <v>0.6</v>
      </c>
      <c r="K81" s="4" t="n">
        <v>2217</v>
      </c>
      <c r="L81" s="4" t="n">
        <v>671</v>
      </c>
      <c r="M81" s="5" t="n">
        <v>2.6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 진출입용이 사무실 갖추어진 공장 넓은 마당사용</t>
        </is>
      </c>
      <c r="Q81" s="6">
        <f>HYPERLINK("https://fin.land.naver.com/articles/2646668810",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9917</v>
      </c>
      <c r="I82" s="4" t="n">
        <v>3000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HYPERLINK("https://fin.land.naver.com/articles/2648089900",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주6동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7.15m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9917</v>
      </c>
      <c r="I84" s="4" t="n">
        <v>3000</v>
      </c>
      <c r="J84" s="5" t="n">
        <v>0.8</v>
      </c>
      <c r="K84" s="4" t="n">
        <v>3765</v>
      </c>
      <c r="L84" s="4" t="n">
        <v>1139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2차선진입대형차진출입용이 공장및 창고적합  야드면적 별도임대가능</t>
        </is>
      </c>
      <c r="Q84" s="6">
        <f>HYPERLINK("https://fin.land.naver.com/articles/2646668003",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HYPERLINK("https://fin.land.naver.com/articles/2645402972",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HYPERLINK("https://fin.land.naver.com/articles/2645643870",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410</v>
      </c>
      <c r="H99" s="4" t="n">
        <v>3500</v>
      </c>
      <c r="I99" s="4" t="n">
        <v>1059</v>
      </c>
      <c r="J99" s="5" t="n">
        <v>0.4</v>
      </c>
      <c r="K99" s="4" t="n">
        <v>671</v>
      </c>
      <c r="L99" s="4" t="n">
        <v>203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대형차량 진출입 편리, 청주ic 13분</t>
        </is>
      </c>
      <c r="Q99" s="6">
        <f>HYPERLINK("https://fin.land.naver.com/articles/2645434181",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나는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HYPERLINK("https://fin.land.naver.com/articles/2645311318",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2000</v>
      </c>
      <c r="G106" s="4" t="n">
        <v>130</v>
      </c>
      <c r="H106" s="4" t="n">
        <v>1434</v>
      </c>
      <c r="I106" s="4" t="n">
        <v>434</v>
      </c>
      <c r="J106" s="5" t="n">
        <v>0.3</v>
      </c>
      <c r="K106" s="4" t="n">
        <v>192</v>
      </c>
      <c r="L106" s="4" t="n">
        <v>58</v>
      </c>
      <c r="M106" s="5" t="n">
        <v>2.2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HYPERLINK("https://fin.land.naver.com/articles/2649399140",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1</v>
      </c>
      <c r="V106" s="5" t="n">
        <v>61.1</v>
      </c>
      <c r="W106" s="4" t="n">
        <v>1434</v>
      </c>
      <c r="X106" s="3" t="inlineStr">
        <is>
          <t>주건축물제2동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HYPERLINK("https://fin.land.naver.com/articles/2645486598",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HYPERLINK("https://fin.land.naver.com/articles/2647035364",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총8동으로 전체임대중 입니다</t>
        </is>
      </c>
      <c r="Q113" s="6">
        <f>HYPERLINK("https://fin.land.naver.com/articles/2649923305",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건축물 전체임대중입니다 입주는 협의하시면됩니다</t>
        </is>
      </c>
      <c r="Q114" s="6">
        <f>HYPERLINK("https://fin.land.naver.com/articles/2649724567",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8000</v>
      </c>
      <c r="G118" s="4" t="n">
        <v>800</v>
      </c>
      <c r="H118" s="4" t="n">
        <v>5013</v>
      </c>
      <c r="I118" s="4" t="n">
        <v>1516</v>
      </c>
      <c r="J118" s="5" t="n">
        <v>0.5</v>
      </c>
      <c r="K118" s="4" t="n">
        <v>1535</v>
      </c>
      <c r="L118" s="4" t="n">
        <v>464</v>
      </c>
      <c r="M118" s="5" t="n">
        <v>1.7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HYPERLINK("https://fin.land.naver.com/articles/2649991282",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280000</v>
      </c>
      <c r="G119" s="4" t="n">
        <v>0</v>
      </c>
      <c r="H119" s="4" t="n">
        <v>5013</v>
      </c>
      <c r="I119" s="4" t="n">
        <v>1516</v>
      </c>
      <c r="J119" s="5" t="n">
        <v>184.7</v>
      </c>
      <c r="K119" s="4" t="n">
        <v>1535</v>
      </c>
      <c r="L119" s="4" t="n">
        <v>464</v>
      </c>
      <c r="M119" s="5" t="n">
        <v>603.4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HYPERLINK("https://fin.land.naver.com/articles/2649085167",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오송읍 공북리 271-4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창고</t>
        </is>
      </c>
      <c r="E121" s="3" t="inlineStr">
        <is>
          <t>월세</t>
        </is>
      </c>
      <c r="F121" s="4" t="n">
        <v>1000</v>
      </c>
      <c r="G121" s="4" t="n">
        <v>150</v>
      </c>
      <c r="H121" s="4" t="n">
        <v>660</v>
      </c>
      <c r="I121" s="4" t="n">
        <v>200</v>
      </c>
      <c r="J121" s="5" t="n">
        <v>0.8</v>
      </c>
      <c r="K121" s="4" t="n">
        <v>330</v>
      </c>
      <c r="L121" s="4" t="n">
        <v>100</v>
      </c>
      <c r="M121" s="5" t="n">
        <v>1.5</v>
      </c>
      <c r="N121" s="3" t="inlineStr">
        <is>
          <t>1</t>
        </is>
      </c>
      <c r="O121" s="3" t="inlineStr">
        <is>
          <t>B1</t>
        </is>
      </c>
      <c r="P121" s="3" t="inlineStr">
        <is>
          <t>층고 높고 넓은 창고전용,2차선도로옆</t>
        </is>
      </c>
      <c r="Q121" s="6">
        <f>HYPERLINK("https://fin.land.naver.com/articles/2645585592", "매물Link")</f>
        <v/>
      </c>
      <c r="R121" s="6">
        <f>HYPERLINK("https://map.naver.com/p/search/오송읍 공북리 271-4", "지도Link")</f>
        <v/>
      </c>
      <c r="S121" s="6">
        <f>HYPERLINK("http://www.eum.go.kr/web/ar/lu/luLandDet.jsp?pnu=4311325023102710004&amp;isNoScr=script&amp;mode=search", "토지이음")</f>
        <v/>
      </c>
      <c r="T121" s="3" t="inlineStr">
        <is>
          <t>오송올래</t>
        </is>
      </c>
      <c r="U121" s="4" t="n">
        <v>2</v>
      </c>
      <c r="V121" s="5" t="n">
        <v>77</v>
      </c>
      <c r="W121" s="4" t="n">
        <v>660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철근콘크리트구조</t>
        </is>
      </c>
      <c r="AA121" s="3" t="inlineStr">
        <is>
          <t>창고시설</t>
        </is>
      </c>
      <c r="AB121" s="3" t="inlineStr">
        <is>
          <t>-</t>
        </is>
      </c>
      <c r="AC121" s="3" t="inlineStr">
        <is>
          <t>1979</t>
        </is>
      </c>
      <c r="AD121" s="3" t="inlineStr">
        <is>
          <t>세로한면(가)</t>
        </is>
      </c>
    </row>
    <row r="122">
      <c r="A122" s="3" t="inlineStr">
        <is>
          <t>오송읍 공북리 271-4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창고</t>
        </is>
      </c>
      <c r="E122" s="3" t="inlineStr">
        <is>
          <t>월세</t>
        </is>
      </c>
      <c r="F122" s="4" t="n">
        <v>1000</v>
      </c>
      <c r="G122" s="4" t="n">
        <v>150</v>
      </c>
      <c r="H122" s="4" t="n">
        <v>660</v>
      </c>
      <c r="I122" s="4" t="n">
        <v>200</v>
      </c>
      <c r="J122" s="5" t="n">
        <v>0.8</v>
      </c>
      <c r="K122" s="4" t="n">
        <v>330</v>
      </c>
      <c r="L122" s="4" t="n">
        <v>100</v>
      </c>
      <c r="M122" s="5" t="n">
        <v>1.5</v>
      </c>
      <c r="N122" s="3" t="inlineStr">
        <is>
          <t>1</t>
        </is>
      </c>
      <c r="O122" s="3" t="inlineStr">
        <is>
          <t>-</t>
        </is>
      </c>
      <c r="P122" s="3" t="inlineStr">
        <is>
          <t>저렴한 금액으로 대형 창고를 사용할수 있는 기회를 잡으세요</t>
        </is>
      </c>
      <c r="Q122" s="6">
        <f>HYPERLINK("https://fin.land.naver.com/articles/2645027148", "매물Link")</f>
        <v/>
      </c>
      <c r="R122" s="6">
        <f>HYPERLINK("https://map.naver.com/p/search/오송읍 공북리 271-4", "지도Link")</f>
        <v/>
      </c>
      <c r="S122" s="6">
        <f>HYPERLINK("http://www.eum.go.kr/web/ar/lu/luLandDet.jsp?pnu=4311325023102710004&amp;isNoScr=script&amp;mode=search", "토지이음")</f>
        <v/>
      </c>
      <c r="T122" s="3" t="inlineStr">
        <is>
          <t>오송2단지창조</t>
        </is>
      </c>
      <c r="U122" s="4" t="n">
        <v>1</v>
      </c>
      <c r="V122" s="5" t="n">
        <v>77</v>
      </c>
      <c r="W122" s="4" t="n">
        <v>660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철근콘크리트구조</t>
        </is>
      </c>
      <c r="AA122" s="3" t="inlineStr">
        <is>
          <t>창고시설</t>
        </is>
      </c>
      <c r="AB122" s="3" t="inlineStr">
        <is>
          <t>-</t>
        </is>
      </c>
      <c r="AC122" s="3" t="inlineStr">
        <is>
          <t>1979</t>
        </is>
      </c>
      <c r="AD122" s="3" t="inlineStr">
        <is>
          <t>세로한면(가)</t>
        </is>
      </c>
    </row>
    <row r="123">
      <c r="A123" s="3" t="inlineStr">
        <is>
          <t>오송읍 쌍청리 108-11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140000</v>
      </c>
      <c r="G123" s="4" t="n">
        <v>0</v>
      </c>
      <c r="H123" s="4" t="n">
        <v>2382</v>
      </c>
      <c r="I123" s="4" t="n">
        <v>721</v>
      </c>
      <c r="J123" s="5" t="n">
        <v>194.2</v>
      </c>
      <c r="K123" s="4" t="n">
        <v>696</v>
      </c>
      <c r="L123" s="4" t="n">
        <v>211</v>
      </c>
      <c r="M123" s="5" t="n">
        <v>663.5</v>
      </c>
      <c r="N123" s="3" t="inlineStr">
        <is>
          <t>1</t>
        </is>
      </c>
      <c r="O123" s="3" t="inlineStr">
        <is>
          <t>B1</t>
        </is>
      </c>
      <c r="P123" s="3" t="inlineStr">
        <is>
          <t>진입로6미터도로.주택,빌라,연립주택적합,투자적지</t>
        </is>
      </c>
      <c r="Q123" s="6">
        <f>HYPERLINK("https://fin.land.naver.com/articles/2649051237", "매물Link")</f>
        <v/>
      </c>
      <c r="R123" s="6">
        <f>HYPERLINK("https://map.naver.com/p/search/오송읍 쌍청리 108-11", "지도Link")</f>
        <v/>
      </c>
      <c r="S123" s="6">
        <f>HYPERLINK("http://www.eum.go.kr/web/ar/lu/luLandDet.jsp?pnu=4311325024101080011&amp;isNoScr=script&amp;mode=search", "토지이음")</f>
        <v/>
      </c>
      <c r="T123" s="3" t="inlineStr">
        <is>
          <t>이박사</t>
        </is>
      </c>
      <c r="U123" s="4" t="n">
        <v>1</v>
      </c>
      <c r="V123" s="5" t="n">
        <v>70.09999999999999</v>
      </c>
      <c r="W123" s="4" t="n">
        <v>68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세로한면(가)</t>
        </is>
      </c>
    </row>
    <row r="124">
      <c r="A124" s="3" t="inlineStr">
        <is>
          <t>오송읍 연제리 610-1</t>
        </is>
      </c>
      <c r="B124" s="3" t="inlineStr">
        <is>
          <t>일반공업지역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200000</v>
      </c>
      <c r="G124" s="4" t="n">
        <v>0</v>
      </c>
      <c r="H124" s="4" t="n">
        <v>2307</v>
      </c>
      <c r="I124" s="4" t="n">
        <v>698</v>
      </c>
      <c r="J124" s="5" t="n">
        <v>286.5</v>
      </c>
      <c r="K124" s="4" t="n">
        <v>410</v>
      </c>
      <c r="L124" s="4" t="n">
        <v>124</v>
      </c>
      <c r="M124" s="5" t="n">
        <v>1612.9</v>
      </c>
      <c r="N124" s="3" t="inlineStr">
        <is>
          <t>1</t>
        </is>
      </c>
      <c r="O124" s="3" t="inlineStr">
        <is>
          <t>-</t>
        </is>
      </c>
      <c r="P124" s="3" t="inlineStr">
        <is>
          <t>오송역인근 산업단지의 층고 10m. 증축 가능한 야드 넓은 공장매매</t>
        </is>
      </c>
      <c r="Q124" s="6">
        <f>HYPERLINK("https://fin.land.naver.com/articles/2647859718", "매물Link")</f>
        <v/>
      </c>
      <c r="R124" s="6">
        <f>HYPERLINK("https://map.naver.com/p/search/오송읍 연제리 610-1", "지도Link")</f>
        <v/>
      </c>
      <c r="S124" s="6">
        <f>HYPERLINK("http://www.eum.go.kr/web/ar/lu/luLandDet.jsp?pnu=4311325026106100001&amp;isNoScr=script&amp;mode=search",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70.3</v>
      </c>
      <c r="W124" s="4" t="n">
        <v>2307.9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10.15m</t>
        </is>
      </c>
      <c r="AC124" s="3" t="inlineStr">
        <is>
          <t>2013-10</t>
        </is>
      </c>
      <c r="AD124" s="3" t="inlineStr">
        <is>
          <t>중로한면</t>
        </is>
      </c>
    </row>
    <row r="125">
      <c r="A125" s="3" t="inlineStr">
        <is>
          <t>오송읍 연제리 610-1</t>
        </is>
      </c>
      <c r="B125" s="3" t="inlineStr">
        <is>
          <t>일반공업지역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199000</v>
      </c>
      <c r="G125" s="4" t="n">
        <v>0</v>
      </c>
      <c r="H125" s="4" t="n">
        <v>2307</v>
      </c>
      <c r="I125" s="4" t="n">
        <v>698</v>
      </c>
      <c r="J125" s="5" t="n">
        <v>285.1</v>
      </c>
      <c r="K125" s="4" t="n">
        <v>410</v>
      </c>
      <c r="L125" s="4" t="n">
        <v>124</v>
      </c>
      <c r="M125" s="5" t="n">
        <v>1604.8</v>
      </c>
      <c r="N125" s="3" t="inlineStr">
        <is>
          <t>1</t>
        </is>
      </c>
      <c r="O125" s="3" t="inlineStr">
        <is>
          <t>-</t>
        </is>
      </c>
      <c r="P125" s="3" t="inlineStr">
        <is>
          <t>오송제1생명과학단지내 저렴한 공장 급매</t>
        </is>
      </c>
      <c r="Q125" s="6">
        <f>HYPERLINK("https://fin.land.naver.com/articles/2648395242", "매물Link")</f>
        <v/>
      </c>
      <c r="R125" s="6">
        <f>HYPERLINK("https://map.naver.com/p/search/오송읍 연제리 610-1", "지도Link")</f>
        <v/>
      </c>
      <c r="S125" s="6">
        <f>HYPERLINK("http://www.eum.go.kr/web/ar/lu/luLandDet.jsp?pnu=4311325026106100001&amp;isNoScr=script&amp;mode=search", "토지이음")</f>
        <v/>
      </c>
      <c r="T125" s="3" t="inlineStr">
        <is>
          <t>청담</t>
        </is>
      </c>
      <c r="U125" s="4" t="n">
        <v>2</v>
      </c>
      <c r="V125" s="5" t="n">
        <v>70.3</v>
      </c>
      <c r="W125" s="4" t="n">
        <v>2307.9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10.15m</t>
        </is>
      </c>
      <c r="AC125" s="3" t="inlineStr">
        <is>
          <t>2013-10</t>
        </is>
      </c>
      <c r="AD125" s="3" t="inlineStr">
        <is>
          <t>중로한면</t>
        </is>
      </c>
    </row>
    <row r="126">
      <c r="A126" s="3" t="inlineStr">
        <is>
          <t>오송읍 연제리 610-2</t>
        </is>
      </c>
      <c r="B126" s="3" t="inlineStr">
        <is>
          <t>일반공업지역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550000</v>
      </c>
      <c r="G126" s="4" t="n">
        <v>0</v>
      </c>
      <c r="H126" s="4" t="n">
        <v>6481</v>
      </c>
      <c r="I126" s="4" t="n">
        <v>1961</v>
      </c>
      <c r="J126" s="5" t="n">
        <v>280.5</v>
      </c>
      <c r="K126" s="4" t="n">
        <v>996</v>
      </c>
      <c r="L126" s="4" t="n">
        <v>301</v>
      </c>
      <c r="M126" s="5" t="n">
        <v>1827.2</v>
      </c>
      <c r="N126" s="3" t="inlineStr">
        <is>
          <t>1</t>
        </is>
      </c>
      <c r="O126" s="3" t="inlineStr">
        <is>
          <t>-</t>
        </is>
      </c>
      <c r="P126" s="3" t="inlineStr">
        <is>
          <t>옥산IC인근, 화학코드, 화장품, 바이오, 첨단업종 가능, 야드 넓음</t>
        </is>
      </c>
      <c r="Q126" s="6">
        <f>HYPERLINK("https://fin.land.naver.com/articles/2649948345", "매물Link")</f>
        <v/>
      </c>
      <c r="R126" s="6">
        <f>HYPERLINK("https://map.naver.com/p/search/오송읍 연제리 610-2", "지도Link")</f>
        <v/>
      </c>
      <c r="S126" s="6">
        <f>HYPERLINK("http://www.eum.go.kr/web/ar/lu/luLandDet.jsp?pnu=4311325026106100002&amp;isNoScr=script&amp;mode=search",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70.40000000000001</v>
      </c>
      <c r="W126" s="4" t="n">
        <v>2165.9</v>
      </c>
      <c r="X126" s="3" t="inlineStr">
        <is>
          <t>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10.15m</t>
        </is>
      </c>
      <c r="AC126" s="3" t="inlineStr">
        <is>
          <t>2016-11</t>
        </is>
      </c>
      <c r="AD126" s="3" t="inlineStr">
        <is>
          <t>중로각지</t>
        </is>
      </c>
    </row>
    <row r="127">
      <c r="A127" s="3" t="inlineStr">
        <is>
          <t>오송읍 오송리 115-11</t>
        </is>
      </c>
      <c r="B127" s="3" t="inlineStr">
        <is>
          <t>농림지역</t>
        </is>
      </c>
      <c r="C127" s="3" t="inlineStr">
        <is>
          <t>창고용지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2000</v>
      </c>
      <c r="G127" s="4" t="n">
        <v>80</v>
      </c>
      <c r="H127" s="4" t="n">
        <v>780</v>
      </c>
      <c r="I127" s="4" t="n">
        <v>236</v>
      </c>
      <c r="J127" s="5" t="n">
        <v>0.3</v>
      </c>
      <c r="K127" s="4" t="n">
        <v>171</v>
      </c>
      <c r="L127" s="4" t="n">
        <v>52</v>
      </c>
      <c r="M127" s="5" t="n">
        <v>1.5</v>
      </c>
      <c r="N127" s="3" t="inlineStr">
        <is>
          <t>1</t>
        </is>
      </c>
      <c r="O127" s="3" t="inlineStr">
        <is>
          <t>B1</t>
        </is>
      </c>
      <c r="P127" s="3" t="inlineStr">
        <is>
          <t>171㎡창고 오송역세권 주차 교통편리</t>
        </is>
      </c>
      <c r="Q127" s="6">
        <f>HYPERLINK("https://fin.land.naver.com/articles/2647027276", "매물Link")</f>
        <v/>
      </c>
      <c r="R127" s="6">
        <f>HYPERLINK("https://map.naver.com/p/search/오송읍 오송리 115-11", "지도Link")</f>
        <v/>
      </c>
      <c r="S127" s="6">
        <f>HYPERLINK("http://www.eum.go.kr/web/ar/lu/luLandDet.jsp?pnu=4311325028101150011&amp;isNoScr=script&amp;mode=search", "토지이음")</f>
        <v/>
      </c>
      <c r="T127" s="3" t="inlineStr">
        <is>
          <t>하림</t>
        </is>
      </c>
      <c r="U127" s="4" t="n">
        <v>1</v>
      </c>
      <c r="V127" s="5" t="n">
        <v>82.2</v>
      </c>
      <c r="W127" s="4" t="n">
        <v>780</v>
      </c>
      <c r="X127" s="3" t="inlineStr">
        <is>
          <t>주건축물제2동</t>
        </is>
      </c>
      <c r="Y127" s="7" t="inlineStr">
        <is>
          <t>1층</t>
        </is>
      </c>
      <c r="Z127" s="3" t="inlineStr">
        <is>
          <t>경량철골구조</t>
        </is>
      </c>
      <c r="AA127" s="3" t="inlineStr">
        <is>
          <t>창고시설</t>
        </is>
      </c>
      <c r="AB127" s="3" t="inlineStr">
        <is>
          <t>3.6m</t>
        </is>
      </c>
      <c r="AC127" s="3" t="inlineStr">
        <is>
          <t>2011-12</t>
        </is>
      </c>
      <c r="AD127" s="3" t="inlineStr">
        <is>
          <t>세로한면(가)</t>
        </is>
      </c>
    </row>
    <row r="128">
      <c r="A128" s="3" t="inlineStr">
        <is>
          <t>오송읍 오송리 242-18</t>
        </is>
      </c>
      <c r="B128" s="3" t="inlineStr">
        <is>
          <t>계획관리지역</t>
        </is>
      </c>
      <c r="C128" s="3" t="inlineStr">
        <is>
          <t>창고용지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10000</v>
      </c>
      <c r="G128" s="4" t="n">
        <v>1500</v>
      </c>
      <c r="H128" s="4" t="n">
        <v>1807</v>
      </c>
      <c r="I128" s="4" t="n">
        <v>547</v>
      </c>
      <c r="J128" s="5" t="n">
        <v>2.7</v>
      </c>
      <c r="K128" s="4" t="n">
        <v>825</v>
      </c>
      <c r="L128" s="4" t="n">
        <v>250</v>
      </c>
      <c r="M128" s="5" t="n">
        <v>6</v>
      </c>
      <c r="N128" s="3" t="inlineStr">
        <is>
          <t>2</t>
        </is>
      </c>
      <c r="O128" s="3" t="inlineStr">
        <is>
          <t>-</t>
        </is>
      </c>
      <c r="P128" s="3" t="inlineStr">
        <is>
          <t>대지 1180. 기존 택배자리. 물류 창고 적합</t>
        </is>
      </c>
      <c r="Q128" s="6">
        <f>HYPERLINK("https://fin.land.naver.com/articles/2648710674", "매물Link")</f>
        <v/>
      </c>
      <c r="R128" s="6">
        <f>HYPERLINK("https://map.naver.com/p/search/오송읍 오송리 242-18", "지도Link")</f>
        <v/>
      </c>
      <c r="S128" s="6">
        <f>HYPERLINK("http://www.eum.go.kr/web/ar/lu/luLandDet.jsp?pnu=4311325028102420018&amp;isNoScr=script&amp;mode=search", "토지이음")</f>
        <v/>
      </c>
      <c r="T128" s="3" t="inlineStr">
        <is>
          <t>청주1등</t>
        </is>
      </c>
      <c r="U128" s="4" t="n">
        <v>1</v>
      </c>
      <c r="V128" s="5" t="n">
        <v>129.4</v>
      </c>
      <c r="W128" s="4" t="n">
        <v>1807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창고시설</t>
        </is>
      </c>
      <c r="AB128" s="3" t="inlineStr">
        <is>
          <t>9.2m</t>
        </is>
      </c>
      <c r="AC128" s="3" t="inlineStr">
        <is>
          <t>2013-08</t>
        </is>
      </c>
      <c r="AD128" s="3" t="inlineStr">
        <is>
          <t>세로한면(가)</t>
        </is>
      </c>
    </row>
    <row r="129">
      <c r="A129" s="3" t="inlineStr">
        <is>
          <t>오송읍 오송리 242-18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10000</v>
      </c>
      <c r="G129" s="4" t="n">
        <v>1500</v>
      </c>
      <c r="H129" s="4" t="n">
        <v>1807</v>
      </c>
      <c r="I129" s="4" t="n">
        <v>547</v>
      </c>
      <c r="J129" s="5" t="n">
        <v>2.7</v>
      </c>
      <c r="K129" s="4" t="n">
        <v>825</v>
      </c>
      <c r="L129" s="4" t="n">
        <v>250</v>
      </c>
      <c r="M129" s="5" t="n">
        <v>6</v>
      </c>
      <c r="N129" s="3" t="inlineStr">
        <is>
          <t>2</t>
        </is>
      </c>
      <c r="O129" s="3" t="inlineStr">
        <is>
          <t>-</t>
        </is>
      </c>
      <c r="P129" s="3" t="inlineStr">
        <is>
          <t>건물1층206형 2층 44형 대지1180형 택배하던자리</t>
        </is>
      </c>
      <c r="Q129" s="6">
        <f>HYPERLINK("https://fin.land.naver.com/articles/2649343320", "매물Link")</f>
        <v/>
      </c>
      <c r="R129" s="6">
        <f>HYPERLINK("https://map.naver.com/p/search/오송읍 오송리 242-18", "지도Link")</f>
        <v/>
      </c>
      <c r="S129" s="6">
        <f>HYPERLINK("http://www.eum.go.kr/web/ar/lu/luLandDet.jsp?pnu=4311325028102420018&amp;isNoScr=script&amp;mode=search",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129.4</v>
      </c>
      <c r="W129" s="4" t="n">
        <v>1807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9.2m</t>
        </is>
      </c>
      <c r="AC129" s="3" t="inlineStr">
        <is>
          <t>2013-08</t>
        </is>
      </c>
      <c r="AD129" s="3" t="inlineStr">
        <is>
          <t>세로한면(가)</t>
        </is>
      </c>
    </row>
    <row r="130">
      <c r="A130" s="3" t="inlineStr">
        <is>
          <t>오송읍 오송리 242-18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10000</v>
      </c>
      <c r="G130" s="4" t="n">
        <v>1500</v>
      </c>
      <c r="H130" s="4" t="n">
        <v>3888</v>
      </c>
      <c r="I130" s="4" t="n">
        <v>1176</v>
      </c>
      <c r="J130" s="5" t="n">
        <v>1.3</v>
      </c>
      <c r="K130" s="4" t="n">
        <v>825</v>
      </c>
      <c r="L130" s="4" t="n">
        <v>250</v>
      </c>
      <c r="M130" s="5" t="n">
        <v>6</v>
      </c>
      <c r="N130" s="3" t="inlineStr">
        <is>
          <t>2</t>
        </is>
      </c>
      <c r="O130" s="3" t="inlineStr">
        <is>
          <t>-</t>
        </is>
      </c>
      <c r="P130" s="3" t="inlineStr">
        <is>
          <t>오송생명과학단지 인근 대형 야드 완비된 물류창고 임대</t>
        </is>
      </c>
      <c r="Q130" s="6">
        <f>HYPERLINK("https://fin.land.naver.com/articles/2645609316", "매물Link")</f>
        <v/>
      </c>
      <c r="R130" s="6">
        <f>HYPERLINK("https://map.naver.com/p/search/오송읍 오송리 242-18", "지도Link")</f>
        <v/>
      </c>
      <c r="S130" s="6">
        <f>HYPERLINK("http://www.eum.go.kr/web/ar/lu/luLandDet.jsp?pnu=4311325028102420018&amp;isNoScr=script&amp;mode=search", "토지이음")</f>
        <v/>
      </c>
      <c r="T130" s="3" t="inlineStr">
        <is>
          <t>청담</t>
        </is>
      </c>
      <c r="U130" s="4" t="n">
        <v>1</v>
      </c>
      <c r="V130" s="5" t="n">
        <v>129.4</v>
      </c>
      <c r="W130" s="4" t="n">
        <v>1807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9.2m</t>
        </is>
      </c>
      <c r="AC130" s="3" t="inlineStr">
        <is>
          <t>2013-08</t>
        </is>
      </c>
      <c r="AD130" s="3" t="inlineStr">
        <is>
          <t>세로한면(가)</t>
        </is>
      </c>
    </row>
    <row r="131">
      <c r="A131" s="3" t="inlineStr">
        <is>
          <t>오송읍 오송리 246-45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300</v>
      </c>
      <c r="H131" s="4" t="n">
        <v>1739</v>
      </c>
      <c r="I131" s="4" t="n">
        <v>526</v>
      </c>
      <c r="J131" s="5" t="n">
        <v>0.6</v>
      </c>
      <c r="K131" s="4" t="n">
        <v>440</v>
      </c>
      <c r="L131" s="4" t="n">
        <v>133</v>
      </c>
      <c r="M131" s="5" t="n">
        <v>2.3</v>
      </c>
      <c r="N131" s="3" t="inlineStr">
        <is>
          <t>2</t>
        </is>
      </c>
      <c r="O131" s="3" t="inlineStr">
        <is>
          <t>-</t>
        </is>
      </c>
      <c r="P131" s="3" t="inlineStr">
        <is>
          <t>오송 교차로 인근 공장.</t>
        </is>
      </c>
      <c r="Q131" s="6">
        <f>HYPERLINK("https://fin.land.naver.com/articles/2648710493", "매물Link")</f>
        <v/>
      </c>
      <c r="R131" s="6">
        <f>HYPERLINK("https://map.naver.com/p/search/오송읍 오송리 246-45", "지도Link")</f>
        <v/>
      </c>
      <c r="S131" s="6">
        <f>HYPERLINK("http://www.eum.go.kr/web/ar/lu/luLandDet.jsp?pnu=4311325028102460045&amp;isNoScr=script&amp;mode=search", "토지이음")</f>
        <v/>
      </c>
      <c r="T131" s="3" t="inlineStr">
        <is>
          <t>청주1등</t>
        </is>
      </c>
      <c r="U131" s="4" t="n">
        <v>1</v>
      </c>
      <c r="V131" s="5" t="n">
        <v>152.1</v>
      </c>
      <c r="W131" s="4" t="n">
        <v>1739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벽돌구조</t>
        </is>
      </c>
      <c r="AA131" s="3" t="inlineStr">
        <is>
          <t>공장</t>
        </is>
      </c>
      <c r="AB131" s="3" t="inlineStr">
        <is>
          <t>-</t>
        </is>
      </c>
      <c r="AC131" s="3" t="inlineStr">
        <is>
          <t>1980</t>
        </is>
      </c>
      <c r="AD131" s="3" t="inlineStr">
        <is>
          <t>세로한면(가)</t>
        </is>
      </c>
    </row>
    <row r="132">
      <c r="A132" s="3" t="inlineStr">
        <is>
          <t>오송읍 오송리 246-45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250</v>
      </c>
      <c r="H132" s="4" t="n">
        <v>1739</v>
      </c>
      <c r="I132" s="4" t="n">
        <v>526</v>
      </c>
      <c r="J132" s="5" t="n">
        <v>0.5</v>
      </c>
      <c r="K132" s="4" t="n">
        <v>440</v>
      </c>
      <c r="L132" s="4" t="n">
        <v>133</v>
      </c>
      <c r="M132" s="5" t="n">
        <v>1.9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공장, 창고 l 교통 편리 l 6개동 일괄 임대</t>
        </is>
      </c>
      <c r="Q132" s="6">
        <f>HYPERLINK("https://fin.land.naver.com/articles/2650437203", "매물Link")</f>
        <v/>
      </c>
      <c r="R132" s="6">
        <f>HYPERLINK("https://map.naver.com/p/search/오송읍 오송리 246-45", "지도Link")</f>
        <v/>
      </c>
      <c r="S132" s="6">
        <f>HYPERLINK("http://www.eum.go.kr/web/ar/lu/luLandDet.jsp?pnu=4311325028102460045&amp;isNoScr=script&amp;mode=search", "토지이음")</f>
        <v/>
      </c>
      <c r="T132" s="3" t="inlineStr">
        <is>
          <t>에이스</t>
        </is>
      </c>
      <c r="U132" s="4" t="n">
        <v>1</v>
      </c>
      <c r="V132" s="5" t="n">
        <v>152.1</v>
      </c>
      <c r="W132" s="4" t="n">
        <v>1739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벽돌구조</t>
        </is>
      </c>
      <c r="AA132" s="3" t="inlineStr">
        <is>
          <t>공장</t>
        </is>
      </c>
      <c r="AB132" s="3" t="inlineStr">
        <is>
          <t>-</t>
        </is>
      </c>
      <c r="AC132" s="3" t="inlineStr">
        <is>
          <t>1980</t>
        </is>
      </c>
      <c r="AD132" s="3" t="inlineStr">
        <is>
          <t>세로한면(가)</t>
        </is>
      </c>
    </row>
    <row r="133">
      <c r="A133" s="3" t="inlineStr">
        <is>
          <t>오송읍 오송리 246-51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180</v>
      </c>
      <c r="H133" s="4" t="n">
        <v>1524</v>
      </c>
      <c r="I133" s="4" t="n">
        <v>461</v>
      </c>
      <c r="J133" s="5" t="n">
        <v>0.4</v>
      </c>
      <c r="K133" s="4" t="n">
        <v>536</v>
      </c>
      <c r="L133" s="4" t="n">
        <v>162</v>
      </c>
      <c r="M133" s="5" t="n">
        <v>1.1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HYPERLINK("https://fin.land.naver.com/articles/2645321144", "매물Link")</f>
        <v/>
      </c>
      <c r="R133" s="6">
        <f>HYPERLINK("https://map.naver.com/p/search/오송읍 오송리 246-51", "지도Link")</f>
        <v/>
      </c>
      <c r="S133" s="6">
        <f>HYPERLINK("http://www.eum.go.kr/web/ar/lu/luLandDet.jsp?pnu=4311325028102460051&amp;isNoScr=script&amp;mode=search", "토지이음")</f>
        <v/>
      </c>
      <c r="T133" s="3" t="inlineStr">
        <is>
          <t>365</t>
        </is>
      </c>
      <c r="U133" s="4" t="n">
        <v>2</v>
      </c>
      <c r="V133" s="5" t="n">
        <v>163.6</v>
      </c>
      <c r="W133" s="4" t="n">
        <v>1447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블록구조</t>
        </is>
      </c>
      <c r="AA133" s="3" t="inlineStr">
        <is>
          <t>공장</t>
        </is>
      </c>
      <c r="AB133" s="3" t="inlineStr">
        <is>
          <t>-</t>
        </is>
      </c>
      <c r="AC133" s="3" t="inlineStr">
        <is>
          <t>1981-11</t>
        </is>
      </c>
      <c r="AD133" s="3" t="inlineStr">
        <is>
          <t>세로한면(가)</t>
        </is>
      </c>
    </row>
    <row r="134">
      <c r="A134" s="3" t="inlineStr">
        <is>
          <t>오송읍 오송리 246-71</t>
        </is>
      </c>
      <c r="B134" s="3" t="inlineStr">
        <is>
          <t>계획관리지역</t>
        </is>
      </c>
      <c r="C134" s="3" t="inlineStr">
        <is>
          <t>잡종지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100</v>
      </c>
      <c r="H134" s="4" t="n">
        <v>565</v>
      </c>
      <c r="I134" s="4" t="n">
        <v>171</v>
      </c>
      <c r="J134" s="5" t="n">
        <v>0.6</v>
      </c>
      <c r="K134" s="4" t="n">
        <v>227</v>
      </c>
      <c r="L134" s="4" t="n">
        <v>69</v>
      </c>
      <c r="M134" s="5" t="n">
        <v>1.4</v>
      </c>
      <c r="N134" s="3" t="inlineStr">
        <is>
          <t>1</t>
        </is>
      </c>
      <c r="O134" s="3" t="inlineStr">
        <is>
          <t>-</t>
        </is>
      </c>
      <c r="P134" s="3" t="inlineStr">
        <is>
          <t>창고와 별도 사무실이 있음</t>
        </is>
      </c>
      <c r="Q134" s="6">
        <f>HYPERLINK("https://fin.land.naver.com/articles/2649702312", "매물Link")</f>
        <v/>
      </c>
      <c r="R134" s="6">
        <f>HYPERLINK("https://map.naver.com/p/search/오송읍 오송리 246-71", "지도Link")</f>
        <v/>
      </c>
      <c r="S134" s="6">
        <f>HYPERLINK("http://www.eum.go.kr/web/ar/lu/luLandDet.jsp?pnu=4311325028102460071&amp;isNoScr=script&amp;mode=search", "토지이음")</f>
        <v/>
      </c>
      <c r="T134" s="3" t="inlineStr">
        <is>
          <t>금송</t>
        </is>
      </c>
      <c r="U134" s="4" t="n">
        <v>1</v>
      </c>
      <c r="V134" s="5" t="n">
        <v>152.1</v>
      </c>
      <c r="W134" s="4" t="n">
        <v>320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세로한면(불)</t>
        </is>
      </c>
    </row>
    <row r="135">
      <c r="A135" s="3" t="inlineStr">
        <is>
          <t>오송읍 오송리 63-8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공장</t>
        </is>
      </c>
      <c r="E135" s="3" t="inlineStr">
        <is>
          <t>매매</t>
        </is>
      </c>
      <c r="F135" s="4" t="n">
        <v>155000</v>
      </c>
      <c r="G135" s="4" t="n">
        <v>0</v>
      </c>
      <c r="H135" s="4" t="n">
        <v>1100</v>
      </c>
      <c r="I135" s="4" t="n">
        <v>333</v>
      </c>
      <c r="J135" s="5" t="n">
        <v>465.5</v>
      </c>
      <c r="K135" s="4" t="n">
        <v>464</v>
      </c>
      <c r="L135" s="4" t="n">
        <v>140</v>
      </c>
      <c r="M135" s="5" t="n">
        <v>1107.1</v>
      </c>
      <c r="N135" s="3" t="inlineStr">
        <is>
          <t>1</t>
        </is>
      </c>
      <c r="O135" s="3" t="inlineStr">
        <is>
          <t>-</t>
        </is>
      </c>
      <c r="P135" s="3" t="inlineStr">
        <is>
          <t>오송 역세권 위치좋은 창고시설</t>
        </is>
      </c>
      <c r="Q135" s="6">
        <f>HYPERLINK("https://fin.land.naver.com/articles/2648538814", "매물Link")</f>
        <v/>
      </c>
      <c r="R135" s="6">
        <f>HYPERLINK("https://map.naver.com/p/search/오송읍 오송리 63-8", "지도Link")</f>
        <v/>
      </c>
      <c r="S135" s="6">
        <f>HYPERLINK("http://www.eum.go.kr/web/ar/lu/luLandDet.jsp?pnu=4311325028100630008&amp;isNoScr=script&amp;mode=search", "토지이음")</f>
        <v/>
      </c>
      <c r="T135" s="3" t="inlineStr">
        <is>
          <t>동남조은집</t>
        </is>
      </c>
      <c r="U135" s="4" t="n">
        <v>1</v>
      </c>
      <c r="V135" s="5" t="n">
        <v>283.4</v>
      </c>
      <c r="W135" s="4" t="n">
        <v>1041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창고시설</t>
        </is>
      </c>
      <c r="AB135" s="3" t="inlineStr">
        <is>
          <t>7.15m</t>
        </is>
      </c>
      <c r="AC135" s="3" t="inlineStr">
        <is>
          <t>2006-09</t>
        </is>
      </c>
      <c r="AD135" s="3" t="inlineStr">
        <is>
          <t>중로각지</t>
        </is>
      </c>
    </row>
    <row r="136">
      <c r="A136" s="3" t="inlineStr">
        <is>
          <t>오송읍 정중리 636</t>
        </is>
      </c>
      <c r="B136" s="3" t="inlineStr">
        <is>
          <t>일반공업지역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400000</v>
      </c>
      <c r="G136" s="4" t="n">
        <v>0</v>
      </c>
      <c r="H136" s="4" t="n">
        <v>2000</v>
      </c>
      <c r="I136" s="4" t="n">
        <v>605</v>
      </c>
      <c r="J136" s="5" t="n">
        <v>661.2</v>
      </c>
      <c r="K136" s="4" t="n">
        <v>501</v>
      </c>
      <c r="L136" s="4" t="n">
        <v>152</v>
      </c>
      <c r="M136" s="5" t="n">
        <v>2631.6</v>
      </c>
      <c r="N136" s="3" t="inlineStr">
        <is>
          <t>1</t>
        </is>
      </c>
      <c r="O136" s="3" t="inlineStr">
        <is>
          <t>-</t>
        </is>
      </c>
      <c r="P136" s="3" t="inlineStr">
        <is>
          <t>비금속광물,금속,기계,장비,자동차,운송장비 제조업 등 첨단관련 입주가능</t>
        </is>
      </c>
      <c r="Q136" s="6">
        <f>HYPERLINK("https://fin.land.naver.com/articles/2645345120", "매물Link")</f>
        <v/>
      </c>
      <c r="R136" s="6">
        <f>HYPERLINK("https://map.naver.com/p/search/오송읍 정중리 636", "지도Link")</f>
        <v/>
      </c>
      <c r="S136" s="6">
        <f>HYPERLINK("http://www.eum.go.kr/web/ar/lu/luLandDet.jsp?pnu=4311325032106360000&amp;isNoScr=script&amp;mode=search", "토지이음")</f>
        <v/>
      </c>
      <c r="T136" s="3" t="inlineStr">
        <is>
          <t>금화랜드</t>
        </is>
      </c>
      <c r="U136" s="4" t="n">
        <v>1</v>
      </c>
      <c r="V136" s="5" t="n">
        <v>66.90000000000001</v>
      </c>
      <c r="W136" s="4" t="n">
        <v>2000.1</v>
      </c>
      <c r="X136" s="3" t="inlineStr">
        <is>
          <t>주2동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9.1m</t>
        </is>
      </c>
      <c r="AC136" s="3" t="inlineStr">
        <is>
          <t>2021-10</t>
        </is>
      </c>
      <c r="AD136" s="3" t="inlineStr">
        <is>
          <t>중로한면</t>
        </is>
      </c>
    </row>
    <row r="137">
      <c r="A137" s="3" t="inlineStr">
        <is>
          <t>오송읍 정중리 651</t>
        </is>
      </c>
      <c r="B137" s="3" t="inlineStr">
        <is>
          <t>일반공업지역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300</v>
      </c>
      <c r="H137" s="4" t="n">
        <v>16494</v>
      </c>
      <c r="I137" s="4" t="n">
        <v>4989</v>
      </c>
      <c r="J137" s="5" t="n">
        <v>0.1</v>
      </c>
      <c r="K137" s="4" t="n">
        <v>337</v>
      </c>
      <c r="L137" s="4" t="n">
        <v>102</v>
      </c>
      <c r="M137" s="5" t="n">
        <v>2.9</v>
      </c>
      <c r="N137" s="3" t="inlineStr">
        <is>
          <t>2</t>
        </is>
      </c>
      <c r="O137" s="3" t="inlineStr">
        <is>
          <t>-</t>
        </is>
      </c>
      <c r="P137" s="3" t="inlineStr">
        <is>
          <t>오송바이오폴리스지구,식품관련업종,사무실,공장 다 가능</t>
        </is>
      </c>
      <c r="Q137" s="6">
        <f>HYPERLINK("https://fin.land.naver.com/articles/2647583393", "매물Link")</f>
        <v/>
      </c>
      <c r="R137" s="6">
        <f>HYPERLINK("https://map.naver.com/p/search/오송읍 정중리 651", "지도Link")</f>
        <v/>
      </c>
      <c r="S137" s="6">
        <f>HYPERLINK("http://www.eum.go.kr/web/ar/lu/luLandDet.jsp?pnu=4311325032106510000&amp;isNoScr=script&amp;mode=search", "토지이음")</f>
        <v/>
      </c>
      <c r="T137" s="3" t="inlineStr">
        <is>
          <t>오송올래</t>
        </is>
      </c>
      <c r="U137" s="4" t="n">
        <v>1</v>
      </c>
      <c r="V137" s="5" t="n">
        <v>68.40000000000001</v>
      </c>
      <c r="W137" s="4" t="n">
        <v>16494.5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철근콘크리트구조</t>
        </is>
      </c>
      <c r="AA137" s="3" t="inlineStr">
        <is>
          <t>공장</t>
        </is>
      </c>
      <c r="AB137" s="3" t="inlineStr">
        <is>
          <t>3.79m</t>
        </is>
      </c>
      <c r="AC137" s="3" t="inlineStr">
        <is>
          <t>2020-06</t>
        </is>
      </c>
      <c r="AD137" s="3" t="inlineStr">
        <is>
          <t>광대로한면</t>
        </is>
      </c>
    </row>
    <row r="138">
      <c r="A138" s="3" t="inlineStr">
        <is>
          <t>오송읍 정중리 678</t>
        </is>
      </c>
      <c r="B138" s="3" t="inlineStr">
        <is>
          <t>일반공업지역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350000</v>
      </c>
      <c r="G138" s="4" t="n">
        <v>0</v>
      </c>
      <c r="H138" s="4" t="n">
        <v>2169</v>
      </c>
      <c r="I138" s="4" t="n">
        <v>656</v>
      </c>
      <c r="J138" s="5" t="n">
        <v>533.5</v>
      </c>
      <c r="K138" s="4" t="n">
        <v>999</v>
      </c>
      <c r="L138" s="4" t="n">
        <v>302</v>
      </c>
      <c r="M138" s="5" t="n">
        <v>1158.9</v>
      </c>
      <c r="N138" s="3" t="inlineStr">
        <is>
          <t>2</t>
        </is>
      </c>
      <c r="O138" s="3" t="inlineStr">
        <is>
          <t>-</t>
        </is>
      </c>
      <c r="P138" s="3" t="inlineStr">
        <is>
          <t>오송2산단 의료기기업종가능 사옥형 공장으로 추천</t>
        </is>
      </c>
      <c r="Q138" s="6">
        <f>HYPERLINK("https://fin.land.naver.com/articles/2649666291", "매물Link")</f>
        <v/>
      </c>
      <c r="R138" s="6">
        <f>HYPERLINK("https://map.naver.com/p/search/오송읍 정중리 678", "지도Link")</f>
        <v/>
      </c>
      <c r="S138" s="6">
        <f>HYPERLINK("http://www.eum.go.kr/web/ar/lu/luLandDet.jsp?pnu=4311325032106780000&amp;isNoScr=script&amp;mode=search",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67.40000000000001</v>
      </c>
      <c r="W138" s="4" t="n">
        <v>2169.9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6.9m</t>
        </is>
      </c>
      <c r="AC138" s="3" t="inlineStr">
        <is>
          <t>2019-12</t>
        </is>
      </c>
      <c r="AD138" s="3" t="inlineStr">
        <is>
          <t>중로각지</t>
        </is>
      </c>
    </row>
    <row r="139">
      <c r="A139" s="3" t="inlineStr">
        <is>
          <t>오송읍 정중리 678</t>
        </is>
      </c>
      <c r="B139" s="3" t="inlineStr">
        <is>
          <t>일반공업지역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420000</v>
      </c>
      <c r="G139" s="4" t="n">
        <v>0</v>
      </c>
      <c r="H139" s="4" t="n">
        <v>2169</v>
      </c>
      <c r="I139" s="4" t="n">
        <v>656</v>
      </c>
      <c r="J139" s="5" t="n">
        <v>640.2</v>
      </c>
      <c r="K139" s="4" t="n">
        <v>999</v>
      </c>
      <c r="L139" s="4" t="n">
        <v>302</v>
      </c>
      <c r="M139" s="5" t="n">
        <v>1390.7</v>
      </c>
      <c r="N139" s="3" t="inlineStr">
        <is>
          <t>2</t>
        </is>
      </c>
      <c r="O139" s="3" t="inlineStr">
        <is>
          <t>-</t>
        </is>
      </c>
      <c r="P139" s="3" t="inlineStr">
        <is>
          <t>오송2산단 대로접한 코너 공장 상세설명참조</t>
        </is>
      </c>
      <c r="Q139" s="6">
        <f>HYPERLINK("https://fin.land.naver.com/articles/2645201356", "매물Link")</f>
        <v/>
      </c>
      <c r="R139" s="6">
        <f>HYPERLINK("https://map.naver.com/p/search/오송읍 정중리 678", "지도Link")</f>
        <v/>
      </c>
      <c r="S139" s="6">
        <f>HYPERLINK("http://www.eum.go.kr/web/ar/lu/luLandDet.jsp?pnu=4311325032106780000&amp;isNoScr=script&amp;mode=search", "토지이음")</f>
        <v/>
      </c>
      <c r="T139" s="3" t="inlineStr">
        <is>
          <t>오송휴먼캐슬</t>
        </is>
      </c>
      <c r="U139" s="4" t="n">
        <v>1</v>
      </c>
      <c r="V139" s="5" t="n">
        <v>67.40000000000001</v>
      </c>
      <c r="W139" s="4" t="n">
        <v>2169.9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6.9m</t>
        </is>
      </c>
      <c r="AC139" s="3" t="inlineStr">
        <is>
          <t>2019-12</t>
        </is>
      </c>
      <c r="AD139" s="3" t="inlineStr">
        <is>
          <t>중로각지</t>
        </is>
      </c>
    </row>
    <row r="140">
      <c r="A140" s="3" t="inlineStr">
        <is>
          <t>오송읍 정중리 678</t>
        </is>
      </c>
      <c r="B140" s="3" t="inlineStr">
        <is>
          <t>일반공업지역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18000</v>
      </c>
      <c r="G140" s="4" t="n">
        <v>1000</v>
      </c>
      <c r="H140" s="4" t="n">
        <v>2169</v>
      </c>
      <c r="I140" s="4" t="n">
        <v>656</v>
      </c>
      <c r="J140" s="5" t="n">
        <v>1.5</v>
      </c>
      <c r="K140" s="4" t="n">
        <v>999</v>
      </c>
      <c r="L140" s="4" t="n">
        <v>302</v>
      </c>
      <c r="M140" s="5" t="n">
        <v>3.3</v>
      </c>
      <c r="N140" s="3" t="inlineStr">
        <is>
          <t>2</t>
        </is>
      </c>
      <c r="O140" s="3" t="inlineStr">
        <is>
          <t>B1</t>
        </is>
      </c>
      <c r="P140" s="3" t="inlineStr">
        <is>
          <t>오송 2산업단지 대로면 접한 공장으로 의료기기 관련업종 즉시 입주 가능</t>
        </is>
      </c>
      <c r="Q140" s="6">
        <f>HYPERLINK("https://fin.land.naver.com/articles/2650797461", "매물Link")</f>
        <v/>
      </c>
      <c r="R140" s="6">
        <f>HYPERLINK("https://map.naver.com/p/search/오송읍 정중리 678", "지도Link")</f>
        <v/>
      </c>
      <c r="S140" s="6">
        <f>HYPERLINK("http://www.eum.go.kr/web/ar/lu/luLandDet.jsp?pnu=4311325032106780000&amp;isNoScr=script&amp;mode=search", "토지이음")</f>
        <v/>
      </c>
      <c r="T140" s="3" t="inlineStr">
        <is>
          <t>우리</t>
        </is>
      </c>
      <c r="U140" s="4" t="n">
        <v>1</v>
      </c>
      <c r="V140" s="5" t="n">
        <v>67.40000000000001</v>
      </c>
      <c r="W140" s="4" t="n">
        <v>2169.9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6.9m</t>
        </is>
      </c>
      <c r="AC140" s="3" t="inlineStr">
        <is>
          <t>2019-12</t>
        </is>
      </c>
      <c r="AD140" s="3" t="inlineStr">
        <is>
          <t>중로각지</t>
        </is>
      </c>
    </row>
    <row r="141">
      <c r="A141" s="3" t="inlineStr">
        <is>
          <t>오송읍 정중리 678</t>
        </is>
      </c>
      <c r="B141" s="3" t="inlineStr">
        <is>
          <t>일반공업지역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350000</v>
      </c>
      <c r="G141" s="4" t="n">
        <v>0</v>
      </c>
      <c r="H141" s="4" t="n">
        <v>2169</v>
      </c>
      <c r="I141" s="4" t="n">
        <v>656</v>
      </c>
      <c r="J141" s="5" t="n">
        <v>533.5</v>
      </c>
      <c r="K141" s="4" t="n">
        <v>999</v>
      </c>
      <c r="L141" s="4" t="n">
        <v>302</v>
      </c>
      <c r="M141" s="5" t="n">
        <v>1158.9</v>
      </c>
      <c r="N141" s="3" t="inlineStr">
        <is>
          <t>2</t>
        </is>
      </c>
      <c r="O141" s="3" t="inlineStr">
        <is>
          <t>B1</t>
        </is>
      </c>
      <c r="P141" s="3" t="inlineStr">
        <is>
          <t>오송 2산업단지 대로면 접한 공장으로 의료기기 관련업종 즉시 입주 가능</t>
        </is>
      </c>
      <c r="Q141" s="6">
        <f>HYPERLINK("https://fin.land.naver.com/articles/2650796460", "매물Link")</f>
        <v/>
      </c>
      <c r="R141" s="6">
        <f>HYPERLINK("https://map.naver.com/p/search/오송읍 정중리 678", "지도Link")</f>
        <v/>
      </c>
      <c r="S141" s="6">
        <f>HYPERLINK("http://www.eum.go.kr/web/ar/lu/luLandDet.jsp?pnu=4311325032106780000&amp;isNoScr=script&amp;mode=search", "토지이음")</f>
        <v/>
      </c>
      <c r="T141" s="3" t="inlineStr">
        <is>
          <t>우리</t>
        </is>
      </c>
      <c r="U141" s="4" t="n">
        <v>1</v>
      </c>
      <c r="V141" s="5" t="n">
        <v>67.40000000000001</v>
      </c>
      <c r="W141" s="4" t="n">
        <v>2169.9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6.9m</t>
        </is>
      </c>
      <c r="AC141" s="3" t="inlineStr">
        <is>
          <t>2019-12</t>
        </is>
      </c>
      <c r="AD141" s="3" t="inlineStr">
        <is>
          <t>중로각지</t>
        </is>
      </c>
    </row>
    <row r="142">
      <c r="A142" s="3" t="inlineStr">
        <is>
          <t>오송읍 정중리 678</t>
        </is>
      </c>
      <c r="B142" s="3" t="inlineStr">
        <is>
          <t>일반공업지역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18000</v>
      </c>
      <c r="G142" s="4" t="n">
        <v>1000</v>
      </c>
      <c r="H142" s="4" t="n">
        <v>2169</v>
      </c>
      <c r="I142" s="4" t="n">
        <v>656</v>
      </c>
      <c r="J142" s="5" t="n">
        <v>1.5</v>
      </c>
      <c r="K142" s="4" t="n">
        <v>999</v>
      </c>
      <c r="L142" s="4" t="n">
        <v>302</v>
      </c>
      <c r="M142" s="5" t="n">
        <v>3.3</v>
      </c>
      <c r="N142" s="3" t="inlineStr">
        <is>
          <t>2</t>
        </is>
      </c>
      <c r="O142" s="3" t="inlineStr">
        <is>
          <t>-</t>
        </is>
      </c>
      <c r="P142" s="3" t="inlineStr">
        <is>
          <t>산업단지 코너에 위치한 관리 잘 된 준신축급 공장</t>
        </is>
      </c>
      <c r="Q142" s="6">
        <f>HYPERLINK("https://fin.land.naver.com/articles/2650586118", "매물Link")</f>
        <v/>
      </c>
      <c r="R142" s="6">
        <f>HYPERLINK("https://map.naver.com/p/search/오송읍 정중리 678", "지도Link")</f>
        <v/>
      </c>
      <c r="S142" s="6">
        <f>HYPERLINK("http://www.eum.go.kr/web/ar/lu/luLandDet.jsp?pnu=4311325032106780000&amp;isNoScr=script&amp;mode=search", "토지이음")</f>
        <v/>
      </c>
      <c r="T142" s="3" t="inlineStr">
        <is>
          <t>(주)미르</t>
        </is>
      </c>
      <c r="U142" s="4" t="n">
        <v>2</v>
      </c>
      <c r="V142" s="5" t="n">
        <v>67.40000000000001</v>
      </c>
      <c r="W142" s="4" t="n">
        <v>2169.9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6.9m</t>
        </is>
      </c>
      <c r="AC142" s="3" t="inlineStr">
        <is>
          <t>2019-12</t>
        </is>
      </c>
      <c r="AD142" s="3" t="inlineStr">
        <is>
          <t>중로각지</t>
        </is>
      </c>
    </row>
    <row r="143">
      <c r="A143" s="3" t="inlineStr">
        <is>
          <t>오송읍 정중리 678</t>
        </is>
      </c>
      <c r="B143" s="3" t="inlineStr">
        <is>
          <t>일반공업지역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420000</v>
      </c>
      <c r="G143" s="4" t="n">
        <v>0</v>
      </c>
      <c r="H143" s="4" t="n">
        <v>2169</v>
      </c>
      <c r="I143" s="4" t="n">
        <v>656</v>
      </c>
      <c r="J143" s="5" t="n">
        <v>640.2</v>
      </c>
      <c r="K143" s="4" t="n">
        <v>999</v>
      </c>
      <c r="L143" s="4" t="n">
        <v>302</v>
      </c>
      <c r="M143" s="5" t="n">
        <v>1390.7</v>
      </c>
      <c r="N143" s="3" t="inlineStr">
        <is>
          <t>2</t>
        </is>
      </c>
      <c r="O143" s="3" t="inlineStr">
        <is>
          <t>-</t>
        </is>
      </c>
      <c r="P143" s="3" t="inlineStr">
        <is>
          <t>오송2산단 산업단지 코너 대로접한 신축급 공장</t>
        </is>
      </c>
      <c r="Q143" s="6">
        <f>HYPERLINK("https://fin.land.naver.com/articles/2649742642", "매물Link")</f>
        <v/>
      </c>
      <c r="R143" s="6">
        <f>HYPERLINK("https://map.naver.com/p/search/오송읍 정중리 678", "지도Link")</f>
        <v/>
      </c>
      <c r="S143" s="6">
        <f>HYPERLINK("http://www.eum.go.kr/web/ar/lu/luLandDet.jsp?pnu=4311325032106780000&amp;isNoScr=script&amp;mode=search", "토지이음")</f>
        <v/>
      </c>
      <c r="T143" s="3" t="inlineStr">
        <is>
          <t>자이원</t>
        </is>
      </c>
      <c r="U143" s="4" t="n">
        <v>1</v>
      </c>
      <c r="V143" s="5" t="n">
        <v>67.40000000000001</v>
      </c>
      <c r="W143" s="4" t="n">
        <v>2169.9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6.9m</t>
        </is>
      </c>
      <c r="AC143" s="3" t="inlineStr">
        <is>
          <t>2019-12</t>
        </is>
      </c>
      <c r="AD143" s="3" t="inlineStr">
        <is>
          <t>중로각지</t>
        </is>
      </c>
    </row>
    <row r="144">
      <c r="A144" s="3" t="inlineStr">
        <is>
          <t>오송읍 정중리 678</t>
        </is>
      </c>
      <c r="B144" s="3" t="inlineStr">
        <is>
          <t>일반공업지역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350000</v>
      </c>
      <c r="G144" s="4" t="n">
        <v>0</v>
      </c>
      <c r="H144" s="4" t="n">
        <v>2169</v>
      </c>
      <c r="I144" s="4" t="n">
        <v>656</v>
      </c>
      <c r="J144" s="5" t="n">
        <v>533.5</v>
      </c>
      <c r="K144" s="4" t="n">
        <v>999</v>
      </c>
      <c r="L144" s="4" t="n">
        <v>302</v>
      </c>
      <c r="M144" s="5" t="n">
        <v>1158.9</v>
      </c>
      <c r="N144" s="3" t="inlineStr">
        <is>
          <t>2</t>
        </is>
      </c>
      <c r="O144" s="3" t="inlineStr">
        <is>
          <t>-</t>
        </is>
      </c>
      <c r="P144" s="3" t="inlineStr">
        <is>
          <t>산업단지 코너에 위치한 관리 잘 된 준신축급 공장</t>
        </is>
      </c>
      <c r="Q144" s="6">
        <f>HYPERLINK("https://fin.land.naver.com/articles/2649253999", "매물Link")</f>
        <v/>
      </c>
      <c r="R144" s="6">
        <f>HYPERLINK("https://map.naver.com/p/search/오송읍 정중리 678", "지도Link")</f>
        <v/>
      </c>
      <c r="S144" s="6">
        <f>HYPERLINK("http://www.eum.go.kr/web/ar/lu/luLandDet.jsp?pnu=4311325032106780000&amp;isNoScr=script&amp;mode=search", "토지이음")</f>
        <v/>
      </c>
      <c r="T144" s="3" t="inlineStr">
        <is>
          <t>(주)미르</t>
        </is>
      </c>
      <c r="U144" s="4" t="n">
        <v>3</v>
      </c>
      <c r="V144" s="5" t="n">
        <v>67.40000000000001</v>
      </c>
      <c r="W144" s="4" t="n">
        <v>2169.9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6.9m</t>
        </is>
      </c>
      <c r="AC144" s="3" t="inlineStr">
        <is>
          <t>2019-12</t>
        </is>
      </c>
      <c r="AD144" s="3" t="inlineStr">
        <is>
          <t>중로각지</t>
        </is>
      </c>
    </row>
    <row r="145">
      <c r="A145" s="3" t="inlineStr">
        <is>
          <t>오송읍 정중리 718</t>
        </is>
      </c>
      <c r="B145" s="3" t="inlineStr">
        <is>
          <t>일반공업지역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100000</v>
      </c>
      <c r="G145" s="4" t="n">
        <v>10000</v>
      </c>
      <c r="H145" s="4" t="n">
        <v>10798</v>
      </c>
      <c r="I145" s="4" t="n">
        <v>3266</v>
      </c>
      <c r="J145" s="5" t="n">
        <v>3.1</v>
      </c>
      <c r="K145" s="4" t="n">
        <v>15064</v>
      </c>
      <c r="L145" s="4" t="n">
        <v>4557</v>
      </c>
      <c r="M145" s="5" t="n">
        <v>2.2</v>
      </c>
      <c r="N145" s="3" t="inlineStr">
        <is>
          <t>5</t>
        </is>
      </c>
      <c r="O145" s="3" t="inlineStr">
        <is>
          <t>-</t>
        </is>
      </c>
      <c r="P145" s="3" t="inlineStr">
        <is>
          <t>오송산업단지 공장  오송역 ,청주ic 10분이내  분할 임대가능</t>
        </is>
      </c>
      <c r="Q145" s="6">
        <f>HYPERLINK("https://fin.land.naver.com/articles/2649039082", "매물Link")</f>
        <v/>
      </c>
      <c r="R145" s="6">
        <f>HYPERLINK("https://map.naver.com/p/search/오송읍 정중리 718", "지도Link")</f>
        <v/>
      </c>
      <c r="S145" s="6">
        <f>HYPERLINK("http://www.eum.go.kr/web/ar/lu/luLandDet.jsp?pnu=4311325032107180000&amp;isNoScr=script&amp;mode=search",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74.40000000000001</v>
      </c>
      <c r="W145" s="4" t="n">
        <v>10798.4</v>
      </c>
      <c r="X145" s="3" t="inlineStr">
        <is>
          <t>주건축물제1동</t>
        </is>
      </c>
      <c r="Y145" s="7" t="inlineStr">
        <is>
          <t>5층</t>
        </is>
      </c>
      <c r="Z145" s="3" t="inlineStr">
        <is>
          <t>철근콘크리트구조</t>
        </is>
      </c>
      <c r="AA145" s="3" t="inlineStr">
        <is>
          <t>공장</t>
        </is>
      </c>
      <c r="AB145" s="3" t="inlineStr">
        <is>
          <t>26.9m</t>
        </is>
      </c>
      <c r="AC145" s="3" t="inlineStr">
        <is>
          <t>2023-10</t>
        </is>
      </c>
      <c r="AD145" s="3" t="inlineStr">
        <is>
          <t>광대소각</t>
        </is>
      </c>
    </row>
    <row r="146">
      <c r="A146" s="3" t="inlineStr">
        <is>
          <t>오송읍 정중리 718</t>
        </is>
      </c>
      <c r="B146" s="3" t="inlineStr">
        <is>
          <t>일반공업지역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35000</v>
      </c>
      <c r="G146" s="4" t="n">
        <v>3500</v>
      </c>
      <c r="H146" s="4" t="n">
        <v>10798</v>
      </c>
      <c r="I146" s="4" t="n">
        <v>3266</v>
      </c>
      <c r="J146" s="5" t="n">
        <v>1.1</v>
      </c>
      <c r="K146" s="4" t="n">
        <v>3616</v>
      </c>
      <c r="L146" s="4" t="n">
        <v>1094</v>
      </c>
      <c r="M146" s="5" t="n">
        <v>3.2</v>
      </c>
      <c r="N146" s="3" t="inlineStr">
        <is>
          <t>5</t>
        </is>
      </c>
      <c r="O146" s="3" t="inlineStr">
        <is>
          <t>-</t>
        </is>
      </c>
      <c r="P146" s="3" t="inlineStr">
        <is>
          <t>오송산업단지 공장  오송역 ,청주ic 10분이내  분할 임대가능</t>
        </is>
      </c>
      <c r="Q146" s="6">
        <f>HYPERLINK("https://fin.land.naver.com/articles/2649016336", "매물Link")</f>
        <v/>
      </c>
      <c r="R146" s="6">
        <f>HYPERLINK("https://map.naver.com/p/search/오송읍 정중리 718", "지도Link")</f>
        <v/>
      </c>
      <c r="S146" s="6">
        <f>HYPERLINK("http://www.eum.go.kr/web/ar/lu/luLandDet.jsp?pnu=4311325032107180000&amp;isNoScr=script&amp;mode=search",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74.40000000000001</v>
      </c>
      <c r="W146" s="4" t="n">
        <v>10798.4</v>
      </c>
      <c r="X146" s="3" t="inlineStr">
        <is>
          <t>부속건축물제1동</t>
        </is>
      </c>
      <c r="Y146" s="7" t="inlineStr">
        <is>
          <t>1층</t>
        </is>
      </c>
      <c r="Z146" s="3" t="inlineStr">
        <is>
          <t>철근콘크리트구조</t>
        </is>
      </c>
      <c r="AA146" s="3" t="inlineStr">
        <is>
          <t>공장</t>
        </is>
      </c>
      <c r="AB146" s="3" t="inlineStr">
        <is>
          <t>8.0m</t>
        </is>
      </c>
      <c r="AC146" s="3" t="inlineStr">
        <is>
          <t>2023-10</t>
        </is>
      </c>
      <c r="AD146" s="3" t="inlineStr">
        <is>
          <t>광대소각</t>
        </is>
      </c>
    </row>
    <row r="147">
      <c r="A147" s="3" t="inlineStr">
        <is>
          <t>오송읍 정중리 718</t>
        </is>
      </c>
      <c r="B147" s="3" t="inlineStr">
        <is>
          <t>일반공업지역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5000000</v>
      </c>
      <c r="G147" s="4" t="n">
        <v>0</v>
      </c>
      <c r="H147" s="4" t="n">
        <v>10798</v>
      </c>
      <c r="I147" s="4" t="n">
        <v>3266</v>
      </c>
      <c r="J147" s="5" t="n">
        <v>1530.9</v>
      </c>
      <c r="K147" s="4" t="n">
        <v>14761</v>
      </c>
      <c r="L147" s="4" t="n">
        <v>4465</v>
      </c>
      <c r="M147" s="5" t="n">
        <v>1119.8</v>
      </c>
      <c r="N147" s="3" t="inlineStr">
        <is>
          <t>5</t>
        </is>
      </c>
      <c r="O147" s="3" t="inlineStr">
        <is>
          <t>-</t>
        </is>
      </c>
      <c r="P147" s="3" t="inlineStr">
        <is>
          <t>청주ic 오송ktx 10분이내 오송산업단지공장 화학업종 가능</t>
        </is>
      </c>
      <c r="Q147" s="6">
        <f>HYPERLINK("https://fin.land.naver.com/articles/2649015627", "매물Link")</f>
        <v/>
      </c>
      <c r="R147" s="6">
        <f>HYPERLINK("https://map.naver.com/p/search/오송읍 정중리 718", "지도Link")</f>
        <v/>
      </c>
      <c r="S147" s="6">
        <f>HYPERLINK("http://www.eum.go.kr/web/ar/lu/luLandDet.jsp?pnu=4311325032107180000&amp;isNoScr=script&amp;mode=search",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74.40000000000001</v>
      </c>
      <c r="W147" s="4" t="n">
        <v>10798.4</v>
      </c>
      <c r="X147" s="3" t="inlineStr">
        <is>
          <t>주건축물제1동</t>
        </is>
      </c>
      <c r="Y147" s="7" t="inlineStr">
        <is>
          <t>5층</t>
        </is>
      </c>
      <c r="Z147" s="3" t="inlineStr">
        <is>
          <t>철근콘크리트구조</t>
        </is>
      </c>
      <c r="AA147" s="3" t="inlineStr">
        <is>
          <t>공장</t>
        </is>
      </c>
      <c r="AB147" s="3" t="inlineStr">
        <is>
          <t>26.9m</t>
        </is>
      </c>
      <c r="AC147" s="3" t="inlineStr">
        <is>
          <t>2023-10</t>
        </is>
      </c>
      <c r="AD147" s="3" t="inlineStr">
        <is>
          <t>광대소각</t>
        </is>
      </c>
    </row>
    <row r="148">
      <c r="A148" s="3" t="inlineStr">
        <is>
          <t>오송읍 정중리 718</t>
        </is>
      </c>
      <c r="B148" s="3" t="inlineStr">
        <is>
          <t>일반공업지역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100000</v>
      </c>
      <c r="G148" s="4" t="n">
        <v>10000</v>
      </c>
      <c r="H148" s="4" t="n">
        <v>10798</v>
      </c>
      <c r="I148" s="4" t="n">
        <v>3266</v>
      </c>
      <c r="J148" s="5" t="n">
        <v>3.1</v>
      </c>
      <c r="K148" s="4" t="n">
        <v>14761</v>
      </c>
      <c r="L148" s="4" t="n">
        <v>4465</v>
      </c>
      <c r="M148" s="5" t="n">
        <v>2.2</v>
      </c>
      <c r="N148" s="3" t="inlineStr">
        <is>
          <t>5</t>
        </is>
      </c>
      <c r="O148" s="3" t="inlineStr">
        <is>
          <t>-</t>
        </is>
      </c>
      <c r="P148" s="3" t="inlineStr">
        <is>
          <t>공장 매매</t>
        </is>
      </c>
      <c r="Q148" s="6">
        <f>HYPERLINK("https://fin.land.naver.com/articles/2648235904", "매물Link")</f>
        <v/>
      </c>
      <c r="R148" s="6">
        <f>HYPERLINK("https://map.naver.com/p/search/오송읍 정중리 718", "지도Link")</f>
        <v/>
      </c>
      <c r="S148" s="6">
        <f>HYPERLINK("http://www.eum.go.kr/web/ar/lu/luLandDet.jsp?pnu=4311325032107180000&amp;isNoScr=script&amp;mode=search", "토지이음")</f>
        <v/>
      </c>
      <c r="T148" s="3" t="inlineStr">
        <is>
          <t>월드</t>
        </is>
      </c>
      <c r="U148" s="4" t="n">
        <v>1</v>
      </c>
      <c r="V148" s="5" t="n">
        <v>74.40000000000001</v>
      </c>
      <c r="W148" s="4" t="n">
        <v>10798.4</v>
      </c>
      <c r="X148" s="3" t="inlineStr">
        <is>
          <t>주건축물제1동</t>
        </is>
      </c>
      <c r="Y148" s="7" t="inlineStr">
        <is>
          <t>5층</t>
        </is>
      </c>
      <c r="Z148" s="3" t="inlineStr">
        <is>
          <t>철근콘크리트구조</t>
        </is>
      </c>
      <c r="AA148" s="3" t="inlineStr">
        <is>
          <t>공장</t>
        </is>
      </c>
      <c r="AB148" s="3" t="inlineStr">
        <is>
          <t>26.9m</t>
        </is>
      </c>
      <c r="AC148" s="3" t="inlineStr">
        <is>
          <t>2023-10</t>
        </is>
      </c>
      <c r="AD148" s="3" t="inlineStr">
        <is>
          <t>광대소각</t>
        </is>
      </c>
    </row>
    <row r="149">
      <c r="A149" s="3" t="inlineStr">
        <is>
          <t>오송읍 정중리 718</t>
        </is>
      </c>
      <c r="B149" s="3" t="inlineStr">
        <is>
          <t>일반공업지역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100000</v>
      </c>
      <c r="G149" s="4" t="n">
        <v>10000</v>
      </c>
      <c r="H149" s="4" t="n">
        <v>10798</v>
      </c>
      <c r="I149" s="4" t="n">
        <v>3266</v>
      </c>
      <c r="J149" s="5" t="n">
        <v>3.1</v>
      </c>
      <c r="K149" s="4" t="n">
        <v>1476</v>
      </c>
      <c r="L149" s="4" t="n">
        <v>446</v>
      </c>
      <c r="M149" s="5" t="n">
        <v>22.4</v>
      </c>
      <c r="N149" s="3" t="inlineStr">
        <is>
          <t>5</t>
        </is>
      </c>
      <c r="O149" s="3" t="inlineStr">
        <is>
          <t>-</t>
        </is>
      </c>
      <c r="P149" s="3" t="inlineStr">
        <is>
          <t>전층공조시설완비,바닥 크리트마감, 신축공장,건기식,제약,화장품 추천</t>
        </is>
      </c>
      <c r="Q149" s="6">
        <f>HYPERLINK("https://fin.land.naver.com/articles/2650624911", "매물Link")</f>
        <v/>
      </c>
      <c r="R149" s="6">
        <f>HYPERLINK("https://map.naver.com/p/search/오송읍 정중리 718", "지도Link")</f>
        <v/>
      </c>
      <c r="S149" s="6">
        <f>HYPERLINK("http://www.eum.go.kr/web/ar/lu/luLandDet.jsp?pnu=4311325032107180000&amp;isNoScr=script&amp;mode=search", "토지이음")</f>
        <v/>
      </c>
      <c r="T149" s="3" t="inlineStr">
        <is>
          <t>(주)미르</t>
        </is>
      </c>
      <c r="U149" s="4" t="n">
        <v>2</v>
      </c>
      <c r="V149" s="5" t="n">
        <v>74.40000000000001</v>
      </c>
      <c r="W149" s="4" t="n">
        <v>10798.4</v>
      </c>
      <c r="X149" s="3" t="inlineStr">
        <is>
          <t>부속건축물제1동</t>
        </is>
      </c>
      <c r="Y149" s="7" t="inlineStr">
        <is>
          <t>1층</t>
        </is>
      </c>
      <c r="Z149" s="3" t="inlineStr">
        <is>
          <t>철근콘크리트구조</t>
        </is>
      </c>
      <c r="AA149" s="3" t="inlineStr">
        <is>
          <t>공장</t>
        </is>
      </c>
      <c r="AB149" s="3" t="inlineStr">
        <is>
          <t>8.0m</t>
        </is>
      </c>
      <c r="AC149" s="3" t="inlineStr">
        <is>
          <t>2023-10</t>
        </is>
      </c>
      <c r="AD149" s="3" t="inlineStr">
        <is>
          <t>광대소각</t>
        </is>
      </c>
    </row>
    <row r="150">
      <c r="A150" s="3" t="inlineStr">
        <is>
          <t>오송읍 정중리 718</t>
        </is>
      </c>
      <c r="B150" s="3" t="inlineStr">
        <is>
          <t>일반공업지역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5000000</v>
      </c>
      <c r="G150" s="4" t="n">
        <v>0</v>
      </c>
      <c r="H150" s="4" t="n">
        <v>10798</v>
      </c>
      <c r="I150" s="4" t="n">
        <v>3266</v>
      </c>
      <c r="J150" s="5" t="n">
        <v>1530.9</v>
      </c>
      <c r="K150" s="4" t="n">
        <v>14761</v>
      </c>
      <c r="L150" s="4" t="n">
        <v>4465</v>
      </c>
      <c r="M150" s="5" t="n">
        <v>1119.8</v>
      </c>
      <c r="N150" s="3" t="inlineStr">
        <is>
          <t>5</t>
        </is>
      </c>
      <c r="O150" s="3" t="inlineStr">
        <is>
          <t>-</t>
        </is>
      </c>
      <c r="P150" s="3" t="inlineStr">
        <is>
          <t>공장 매매</t>
        </is>
      </c>
      <c r="Q150" s="6">
        <f>HYPERLINK("https://fin.land.naver.com/articles/2648230144", "매물Link")</f>
        <v/>
      </c>
      <c r="R150" s="6">
        <f>HYPERLINK("https://map.naver.com/p/search/오송읍 정중리 718", "지도Link")</f>
        <v/>
      </c>
      <c r="S150" s="6">
        <f>HYPERLINK("http://www.eum.go.kr/web/ar/lu/luLandDet.jsp?pnu=4311325032107180000&amp;isNoScr=script&amp;mode=search", "토지이음")</f>
        <v/>
      </c>
      <c r="T150" s="3" t="inlineStr">
        <is>
          <t>월드</t>
        </is>
      </c>
      <c r="U150" s="4" t="n">
        <v>2</v>
      </c>
      <c r="V150" s="5" t="n">
        <v>74.40000000000001</v>
      </c>
      <c r="W150" s="4" t="n">
        <v>10798.4</v>
      </c>
      <c r="X150" s="3" t="inlineStr">
        <is>
          <t>주건축물제1동</t>
        </is>
      </c>
      <c r="Y150" s="7" t="inlineStr">
        <is>
          <t>5층</t>
        </is>
      </c>
      <c r="Z150" s="3" t="inlineStr">
        <is>
          <t>철근콘크리트구조</t>
        </is>
      </c>
      <c r="AA150" s="3" t="inlineStr">
        <is>
          <t>공장</t>
        </is>
      </c>
      <c r="AB150" s="3" t="inlineStr">
        <is>
          <t>26.9m</t>
        </is>
      </c>
      <c r="AC150" s="3" t="inlineStr">
        <is>
          <t>2023-10</t>
        </is>
      </c>
      <c r="AD150" s="3" t="inlineStr">
        <is>
          <t>광대소각</t>
        </is>
      </c>
    </row>
    <row r="151">
      <c r="A151" s="3" t="inlineStr">
        <is>
          <t>오송읍 정중리 718</t>
        </is>
      </c>
      <c r="B151" s="3" t="inlineStr">
        <is>
          <t>일반공업지역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30000</v>
      </c>
      <c r="G151" s="4" t="n">
        <v>3000</v>
      </c>
      <c r="H151" s="4" t="n">
        <v>10798</v>
      </c>
      <c r="I151" s="4" t="n">
        <v>3266</v>
      </c>
      <c r="J151" s="5" t="n">
        <v>0.9</v>
      </c>
      <c r="K151" s="4" t="n">
        <v>2314</v>
      </c>
      <c r="L151" s="4" t="n">
        <v>700</v>
      </c>
      <c r="M151" s="5" t="n">
        <v>4.3</v>
      </c>
      <c r="N151" s="3" t="inlineStr">
        <is>
          <t>5</t>
        </is>
      </c>
      <c r="O151" s="3" t="inlineStr">
        <is>
          <t>-</t>
        </is>
      </c>
      <c r="P151" s="3" t="inlineStr">
        <is>
          <t>항온항습시설, GMP인증 시설. 신축, 1층 2층 부문임대가능</t>
        </is>
      </c>
      <c r="Q151" s="6">
        <f>HYPERLINK("https://fin.land.naver.com/articles/2648219901", "매물Link")</f>
        <v/>
      </c>
      <c r="R151" s="6">
        <f>HYPERLINK("https://map.naver.com/p/search/오송읍 정중리 718", "지도Link")</f>
        <v/>
      </c>
      <c r="S151" s="6">
        <f>HYPERLINK("http://www.eum.go.kr/web/ar/lu/luLandDet.jsp?pnu=4311325032107180000&amp;isNoScr=script&amp;mode=search",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74.40000000000001</v>
      </c>
      <c r="W151" s="4" t="n">
        <v>10798.4</v>
      </c>
      <c r="X151" s="3" t="inlineStr">
        <is>
          <t>부속건축물제1동</t>
        </is>
      </c>
      <c r="Y151" s="7" t="inlineStr">
        <is>
          <t>1층</t>
        </is>
      </c>
      <c r="Z151" s="3" t="inlineStr">
        <is>
          <t>철근콘크리트구조</t>
        </is>
      </c>
      <c r="AA151" s="3" t="inlineStr">
        <is>
          <t>공장</t>
        </is>
      </c>
      <c r="AB151" s="3" t="inlineStr">
        <is>
          <t>8.0m</t>
        </is>
      </c>
      <c r="AC151" s="3" t="inlineStr">
        <is>
          <t>2023-10</t>
        </is>
      </c>
      <c r="AD151" s="3" t="inlineStr">
        <is>
          <t>광대소각</t>
        </is>
      </c>
    </row>
    <row r="152">
      <c r="A152" s="3" t="inlineStr">
        <is>
          <t>오송읍 정중리 718</t>
        </is>
      </c>
      <c r="B152" s="3" t="inlineStr">
        <is>
          <t>일반공업지역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5000000</v>
      </c>
      <c r="G152" s="4" t="n">
        <v>0</v>
      </c>
      <c r="H152" s="4" t="n">
        <v>10798</v>
      </c>
      <c r="I152" s="4" t="n">
        <v>3266</v>
      </c>
      <c r="J152" s="5" t="n">
        <v>1530.9</v>
      </c>
      <c r="K152" s="4" t="n">
        <v>14761</v>
      </c>
      <c r="L152" s="4" t="n">
        <v>4465</v>
      </c>
      <c r="M152" s="5" t="n">
        <v>1119.8</v>
      </c>
      <c r="N152" s="3" t="inlineStr">
        <is>
          <t>5</t>
        </is>
      </c>
      <c r="O152" s="3" t="inlineStr">
        <is>
          <t>-</t>
        </is>
      </c>
      <c r="P152" s="3" t="inlineStr">
        <is>
          <t>전층공조시설완비,바닥 유크리트마감, 신축공장,건기식,제약,화장품 추천</t>
        </is>
      </c>
      <c r="Q152" s="6">
        <f>HYPERLINK("https://fin.land.naver.com/articles/2650525742", "매물Link")</f>
        <v/>
      </c>
      <c r="R152" s="6">
        <f>HYPERLINK("https://map.naver.com/p/search/오송읍 정중리 718", "지도Link")</f>
        <v/>
      </c>
      <c r="S152" s="6">
        <f>HYPERLINK("http://www.eum.go.kr/web/ar/lu/luLandDet.jsp?pnu=4311325032107180000&amp;isNoScr=script&amp;mode=search",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74.40000000000001</v>
      </c>
      <c r="W152" s="4" t="n">
        <v>10798.4</v>
      </c>
      <c r="X152" s="3" t="inlineStr">
        <is>
          <t>주건축물제1동</t>
        </is>
      </c>
      <c r="Y152" s="7" t="inlineStr">
        <is>
          <t>5층</t>
        </is>
      </c>
      <c r="Z152" s="3" t="inlineStr">
        <is>
          <t>철근콘크리트구조</t>
        </is>
      </c>
      <c r="AA152" s="3" t="inlineStr">
        <is>
          <t>공장</t>
        </is>
      </c>
      <c r="AB152" s="3" t="inlineStr">
        <is>
          <t>26.9m</t>
        </is>
      </c>
      <c r="AC152" s="3" t="inlineStr">
        <is>
          <t>2023-10</t>
        </is>
      </c>
      <c r="AD152" s="3" t="inlineStr">
        <is>
          <t>광대소각</t>
        </is>
      </c>
    </row>
    <row r="153">
      <c r="A153" s="3" t="inlineStr">
        <is>
          <t>오송읍 정중리 718</t>
        </is>
      </c>
      <c r="B153" s="3" t="inlineStr">
        <is>
          <t>일반공업지역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35000</v>
      </c>
      <c r="G153" s="4" t="n">
        <v>3500</v>
      </c>
      <c r="H153" s="4" t="n">
        <v>10798</v>
      </c>
      <c r="I153" s="4" t="n">
        <v>3266</v>
      </c>
      <c r="J153" s="5" t="n">
        <v>1.1</v>
      </c>
      <c r="K153" s="4" t="n">
        <v>3616</v>
      </c>
      <c r="L153" s="4" t="n">
        <v>1094</v>
      </c>
      <c r="M153" s="5" t="n">
        <v>3.2</v>
      </c>
      <c r="N153" s="3" t="inlineStr">
        <is>
          <t>5</t>
        </is>
      </c>
      <c r="O153" s="3" t="inlineStr">
        <is>
          <t>-</t>
        </is>
      </c>
      <c r="P153" s="3" t="inlineStr">
        <is>
          <t>3층,4층 공장, 창고 임대.전층공조시설완비,바닥 콘크리트마감, 신축</t>
        </is>
      </c>
      <c r="Q153" s="6">
        <f>HYPERLINK("https://fin.land.naver.com/articles/2648733525", "매물Link")</f>
        <v/>
      </c>
      <c r="R153" s="6">
        <f>HYPERLINK("https://map.naver.com/p/search/오송읍 정중리 718", "지도Link")</f>
        <v/>
      </c>
      <c r="S153" s="6">
        <f>HYPERLINK("http://www.eum.go.kr/web/ar/lu/luLandDet.jsp?pnu=4311325032107180000&amp;isNoScr=script&amp;mode=search",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74.40000000000001</v>
      </c>
      <c r="W153" s="4" t="n">
        <v>10798.4</v>
      </c>
      <c r="X153" s="3" t="inlineStr">
        <is>
          <t>부속건축물제1동</t>
        </is>
      </c>
      <c r="Y153" s="7" t="inlineStr">
        <is>
          <t>1층</t>
        </is>
      </c>
      <c r="Z153" s="3" t="inlineStr">
        <is>
          <t>철근콘크리트구조</t>
        </is>
      </c>
      <c r="AA153" s="3" t="inlineStr">
        <is>
          <t>공장</t>
        </is>
      </c>
      <c r="AB153" s="3" t="inlineStr">
        <is>
          <t>8.0m</t>
        </is>
      </c>
      <c r="AC153" s="3" t="inlineStr">
        <is>
          <t>2023-10</t>
        </is>
      </c>
      <c r="AD153" s="3" t="inlineStr">
        <is>
          <t>광대소각</t>
        </is>
      </c>
    </row>
    <row r="154">
      <c r="A154" s="3" t="inlineStr">
        <is>
          <t>오송읍 정중리 718</t>
        </is>
      </c>
      <c r="B154" s="3" t="inlineStr">
        <is>
          <t>일반공업지역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35000</v>
      </c>
      <c r="G154" s="4" t="n">
        <v>3500</v>
      </c>
      <c r="H154" s="4" t="n">
        <v>10798</v>
      </c>
      <c r="I154" s="4" t="n">
        <v>3266</v>
      </c>
      <c r="J154" s="5" t="n">
        <v>1.1</v>
      </c>
      <c r="K154" s="4" t="n">
        <v>15064</v>
      </c>
      <c r="L154" s="4" t="n">
        <v>4557</v>
      </c>
      <c r="M154" s="5" t="n">
        <v>0.8</v>
      </c>
      <c r="N154" s="3" t="inlineStr">
        <is>
          <t>5</t>
        </is>
      </c>
      <c r="O154" s="3" t="inlineStr">
        <is>
          <t>-</t>
        </is>
      </c>
      <c r="P154" s="3" t="inlineStr">
        <is>
          <t>크린룸,폐수처리,위험물저장소,전층공조시설,화물엘베 각층3개,신축급 공장</t>
        </is>
      </c>
      <c r="Q154" s="6">
        <f>HYPERLINK("https://fin.land.naver.com/articles/2650398819", "매물Link")</f>
        <v/>
      </c>
      <c r="R154" s="6">
        <f>HYPERLINK("https://map.naver.com/p/search/오송읍 정중리 718", "지도Link")</f>
        <v/>
      </c>
      <c r="S154" s="6">
        <f>HYPERLINK("http://www.eum.go.kr/web/ar/lu/luLandDet.jsp?pnu=4311325032107180000&amp;isNoScr=script&amp;mode=search",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74.40000000000001</v>
      </c>
      <c r="W154" s="4" t="n">
        <v>10798.4</v>
      </c>
      <c r="X154" s="3" t="inlineStr">
        <is>
          <t>주건축물제1동</t>
        </is>
      </c>
      <c r="Y154" s="7" t="inlineStr">
        <is>
          <t>5층</t>
        </is>
      </c>
      <c r="Z154" s="3" t="inlineStr">
        <is>
          <t>철근콘크리트구조</t>
        </is>
      </c>
      <c r="AA154" s="3" t="inlineStr">
        <is>
          <t>공장</t>
        </is>
      </c>
      <c r="AB154" s="3" t="inlineStr">
        <is>
          <t>26.9m</t>
        </is>
      </c>
      <c r="AC154" s="3" t="inlineStr">
        <is>
          <t>2023-10</t>
        </is>
      </c>
      <c r="AD154" s="3" t="inlineStr">
        <is>
          <t>광대소각</t>
        </is>
      </c>
    </row>
    <row r="155">
      <c r="A155" s="3" t="inlineStr">
        <is>
          <t>오송읍 정중리 797</t>
        </is>
      </c>
      <c r="B155" s="3" t="inlineStr">
        <is>
          <t>일반공업지역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30000</v>
      </c>
      <c r="G155" s="4" t="n">
        <v>2800</v>
      </c>
      <c r="H155" s="4" t="n">
        <v>4999</v>
      </c>
      <c r="I155" s="4" t="n">
        <v>1512</v>
      </c>
      <c r="J155" s="5" t="n">
        <v>1.9</v>
      </c>
      <c r="K155" s="4" t="n">
        <v>9796</v>
      </c>
      <c r="L155" s="4" t="n">
        <v>2963</v>
      </c>
      <c r="M155" s="5" t="n">
        <v>0.9</v>
      </c>
      <c r="N155" s="3" t="inlineStr">
        <is>
          <t>3</t>
        </is>
      </c>
      <c r="O155" s="3" t="inlineStr">
        <is>
          <t>-</t>
        </is>
      </c>
      <c r="P155" s="3" t="inlineStr">
        <is>
          <t>신축급,전기,화학,화장품,의약품 등 입주가능,각층별 과 전체 임대가능</t>
        </is>
      </c>
      <c r="Q155" s="6">
        <f>HYPERLINK("https://fin.land.naver.com/articles/2650190812", "매물Link")</f>
        <v/>
      </c>
      <c r="R155" s="6">
        <f>HYPERLINK("https://map.naver.com/p/search/오송읍 정중리 797", "지도Link")</f>
        <v/>
      </c>
      <c r="S155" s="6">
        <f>HYPERLINK("http://www.eum.go.kr/web/ar/lu/luLandDet.jsp?pnu=4311325032107970000&amp;isNoScr=script&amp;mode=search", "토지이음")</f>
        <v/>
      </c>
      <c r="T155" s="3" t="inlineStr">
        <is>
          <t>금화랜드</t>
        </is>
      </c>
      <c r="U155" s="4" t="n">
        <v>1</v>
      </c>
      <c r="V155" s="5" t="n">
        <v>72.90000000000001</v>
      </c>
      <c r="W155" s="4" t="n">
        <v>4999.8</v>
      </c>
      <c r="X155" s="3" t="inlineStr">
        <is>
          <t>주1</t>
        </is>
      </c>
      <c r="Y155" s="7" t="inlineStr">
        <is>
          <t>3층</t>
        </is>
      </c>
      <c r="Z155" s="3" t="inlineStr">
        <is>
          <t>일반철골구조</t>
        </is>
      </c>
      <c r="AA155" s="3" t="inlineStr">
        <is>
          <t>공장</t>
        </is>
      </c>
      <c r="AB155" s="3" t="inlineStr">
        <is>
          <t>16.68m</t>
        </is>
      </c>
      <c r="AC155" s="3" t="inlineStr">
        <is>
          <t>2019-10</t>
        </is>
      </c>
      <c r="AD155" s="3" t="inlineStr">
        <is>
          <t>광대로한면</t>
        </is>
      </c>
    </row>
    <row r="156">
      <c r="A156" s="3" t="inlineStr">
        <is>
          <t>오송읍 정중리 797</t>
        </is>
      </c>
      <c r="B156" s="3" t="inlineStr">
        <is>
          <t>일반공업지역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1150000</v>
      </c>
      <c r="G156" s="4" t="n">
        <v>0</v>
      </c>
      <c r="H156" s="4" t="n">
        <v>4999</v>
      </c>
      <c r="I156" s="4" t="n">
        <v>1512</v>
      </c>
      <c r="J156" s="5" t="n">
        <v>760.6</v>
      </c>
      <c r="K156" s="4" t="n">
        <v>9796</v>
      </c>
      <c r="L156" s="4" t="n">
        <v>2963</v>
      </c>
      <c r="M156" s="5" t="n">
        <v>388.1</v>
      </c>
      <c r="N156" s="3" t="inlineStr">
        <is>
          <t>3</t>
        </is>
      </c>
      <c r="O156" s="3" t="inlineStr">
        <is>
          <t>-</t>
        </is>
      </c>
      <c r="P156" s="3" t="inlineStr">
        <is>
          <t>오송2산업단지 4차선도로변 접한 위치의 신축급공장</t>
        </is>
      </c>
      <c r="Q156" s="6">
        <f>HYPERLINK("https://fin.land.naver.com/articles/2649326357", "매물Link")</f>
        <v/>
      </c>
      <c r="R156" s="6">
        <f>HYPERLINK("https://map.naver.com/p/search/오송읍 정중리 797", "지도Link")</f>
        <v/>
      </c>
      <c r="S156" s="6">
        <f>HYPERLINK("http://www.eum.go.kr/web/ar/lu/luLandDet.jsp?pnu=4311325032107970000&amp;isNoScr=script&amp;mode=search",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72.90000000000001</v>
      </c>
      <c r="W156" s="4" t="n">
        <v>4999.8</v>
      </c>
      <c r="X156" s="3" t="inlineStr">
        <is>
          <t>주1</t>
        </is>
      </c>
      <c r="Y156" s="7" t="inlineStr">
        <is>
          <t>3층</t>
        </is>
      </c>
      <c r="Z156" s="3" t="inlineStr">
        <is>
          <t>일반철골구조</t>
        </is>
      </c>
      <c r="AA156" s="3" t="inlineStr">
        <is>
          <t>공장</t>
        </is>
      </c>
      <c r="AB156" s="3" t="inlineStr">
        <is>
          <t>16.68m</t>
        </is>
      </c>
      <c r="AC156" s="3" t="inlineStr">
        <is>
          <t>2019-10</t>
        </is>
      </c>
      <c r="AD156" s="3" t="inlineStr">
        <is>
          <t>광대로한면</t>
        </is>
      </c>
    </row>
    <row r="157">
      <c r="A157" s="3" t="inlineStr">
        <is>
          <t>오송읍 정중리 797</t>
        </is>
      </c>
      <c r="B157" s="3" t="inlineStr">
        <is>
          <t>일반공업지역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45000</v>
      </c>
      <c r="G157" s="4" t="n">
        <v>4500</v>
      </c>
      <c r="H157" s="4" t="n">
        <v>4999</v>
      </c>
      <c r="I157" s="4" t="n">
        <v>1512</v>
      </c>
      <c r="J157" s="5" t="n">
        <v>3</v>
      </c>
      <c r="K157" s="4" t="n">
        <v>9796</v>
      </c>
      <c r="L157" s="4" t="n">
        <v>2963</v>
      </c>
      <c r="M157" s="5" t="n">
        <v>1.5</v>
      </c>
      <c r="N157" s="3" t="inlineStr">
        <is>
          <t>3</t>
        </is>
      </c>
      <c r="O157" s="3" t="inlineStr">
        <is>
          <t>-</t>
        </is>
      </c>
      <c r="P157" s="3" t="inlineStr">
        <is>
          <t>오송산단에 위치한 도로접한 공장, 사무실 및 공장 임대</t>
        </is>
      </c>
      <c r="Q157" s="6">
        <f>HYPERLINK("https://fin.land.naver.com/articles/2647858439", "매물Link")</f>
        <v/>
      </c>
      <c r="R157" s="6">
        <f>HYPERLINK("https://map.naver.com/p/search/오송읍 정중리 797", "지도Link")</f>
        <v/>
      </c>
      <c r="S157" s="6">
        <f>HYPERLINK("http://www.eum.go.kr/web/ar/lu/luLandDet.jsp?pnu=4311325032107970000&amp;isNoScr=script&amp;mode=search", "토지이음")</f>
        <v/>
      </c>
      <c r="T157" s="3" t="inlineStr">
        <is>
          <t>(주)미르</t>
        </is>
      </c>
      <c r="U157" s="4" t="n">
        <v>1</v>
      </c>
      <c r="V157" s="5" t="n">
        <v>72.90000000000001</v>
      </c>
      <c r="W157" s="4" t="n">
        <v>4999.8</v>
      </c>
      <c r="X157" s="3" t="inlineStr">
        <is>
          <t>주1</t>
        </is>
      </c>
      <c r="Y157" s="7" t="inlineStr">
        <is>
          <t>3층</t>
        </is>
      </c>
      <c r="Z157" s="3" t="inlineStr">
        <is>
          <t>일반철골구조</t>
        </is>
      </c>
      <c r="AA157" s="3" t="inlineStr">
        <is>
          <t>공장</t>
        </is>
      </c>
      <c r="AB157" s="3" t="inlineStr">
        <is>
          <t>16.68m</t>
        </is>
      </c>
      <c r="AC157" s="3" t="inlineStr">
        <is>
          <t>2019-10</t>
        </is>
      </c>
      <c r="AD157" s="3" t="inlineStr">
        <is>
          <t>광대로한면</t>
        </is>
      </c>
    </row>
    <row r="158">
      <c r="A158" s="3" t="inlineStr">
        <is>
          <t>오송읍 정중리 797</t>
        </is>
      </c>
      <c r="B158" s="3" t="inlineStr">
        <is>
          <t>일반공업지역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1150000</v>
      </c>
      <c r="G158" s="4" t="n">
        <v>0</v>
      </c>
      <c r="H158" s="4" t="n">
        <v>4999</v>
      </c>
      <c r="I158" s="4" t="n">
        <v>1512</v>
      </c>
      <c r="J158" s="5" t="n">
        <v>760.6</v>
      </c>
      <c r="K158" s="4" t="n">
        <v>9796</v>
      </c>
      <c r="L158" s="4" t="n">
        <v>2963</v>
      </c>
      <c r="M158" s="5" t="n">
        <v>388.1</v>
      </c>
      <c r="N158" s="3" t="inlineStr">
        <is>
          <t>3</t>
        </is>
      </c>
      <c r="O158" s="3" t="inlineStr">
        <is>
          <t>-</t>
        </is>
      </c>
      <c r="P158" s="3" t="inlineStr">
        <is>
          <t>전기,화학,의약품,의료,화장품코드 입주 가능,신축형 컨디션</t>
        </is>
      </c>
      <c r="Q158" s="6">
        <f>HYPERLINK("https://fin.land.naver.com/articles/2650198939", "매물Link")</f>
        <v/>
      </c>
      <c r="R158" s="6">
        <f>HYPERLINK("https://map.naver.com/p/search/오송읍 정중리 797", "지도Link")</f>
        <v/>
      </c>
      <c r="S158" s="6">
        <f>HYPERLINK("http://www.eum.go.kr/web/ar/lu/luLandDet.jsp?pnu=4311325032107970000&amp;isNoScr=script&amp;mode=search", "토지이음")</f>
        <v/>
      </c>
      <c r="T158" s="3" t="inlineStr">
        <is>
          <t>금화랜드</t>
        </is>
      </c>
      <c r="U158" s="4" t="n">
        <v>3</v>
      </c>
      <c r="V158" s="5" t="n">
        <v>72.90000000000001</v>
      </c>
      <c r="W158" s="4" t="n">
        <v>4999.8</v>
      </c>
      <c r="X158" s="3" t="inlineStr">
        <is>
          <t>주1</t>
        </is>
      </c>
      <c r="Y158" s="7" t="inlineStr">
        <is>
          <t>3층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16.68m</t>
        </is>
      </c>
      <c r="AC158" s="3" t="inlineStr">
        <is>
          <t>2019-10</t>
        </is>
      </c>
      <c r="AD158" s="3" t="inlineStr">
        <is>
          <t>광대로한면</t>
        </is>
      </c>
    </row>
  </sheetData>
  <autoFilter ref="A1:AD15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247400</v>
      </c>
      <c r="G49" s="4" t="n">
        <v>8179</v>
      </c>
      <c r="H49" s="4" t="n">
        <v>2474</v>
      </c>
      <c r="I49" s="5" t="n">
        <v>100</v>
      </c>
      <c r="J49" s="5" t="n">
        <v>20.9</v>
      </c>
      <c r="K49" s="3" t="inlineStr">
        <is>
          <t>흥덕구청, 고속도로 1키로 이내 접한 귀한 매물</t>
        </is>
      </c>
      <c r="L49" s="6">
        <f>HYPERLINK("https://fin.land.naver.com/articles/2645252558",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바로그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HYPERLINK("https://fin.land.naver.com/articles/2645909685",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73000</v>
      </c>
      <c r="G58" s="4" t="n">
        <v>2033</v>
      </c>
      <c r="H58" s="4" t="n">
        <v>615</v>
      </c>
      <c r="I58" s="5" t="n">
        <v>118.7</v>
      </c>
      <c r="J58" s="5" t="n">
        <v>57.8</v>
      </c>
      <c r="K58" s="3" t="inlineStr">
        <is>
          <t>산단리 1355번지 공장 제조업등 허가등</t>
        </is>
      </c>
      <c r="L58" s="6">
        <f>HYPERLINK("https://fin.land.naver.com/articles/2647723025",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4135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오너스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385000</v>
      </c>
      <c r="G72" s="4" t="n">
        <v>11570</v>
      </c>
      <c r="H72" s="4" t="n">
        <v>3500</v>
      </c>
      <c r="I72" s="5" t="n">
        <v>110</v>
      </c>
      <c r="J72" s="5" t="n">
        <v>4.1</v>
      </c>
      <c r="K72" s="3" t="inlineStr">
        <is>
          <t>강내 산업단지 인근 토지 l 급매 l 주변 산업단지보다 저렴한 매물</t>
        </is>
      </c>
      <c r="L72" s="6">
        <f>HYPERLINK("https://fin.land.naver.com/articles/2650437178",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에이스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HYPERLINK("https://fin.land.naver.com/articles/2645566618",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HYPERLINK("https://fin.land.naver.com/articles/2645932689",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마을내 평단가 저렴한 대지</t>
        </is>
      </c>
      <c r="L119" s="6">
        <f>HYPERLINK("https://fin.land.naver.com/articles/2645609155",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청담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22600</v>
      </c>
      <c r="G120" s="4" t="n">
        <v>787</v>
      </c>
      <c r="H120" s="4" t="n">
        <v>238</v>
      </c>
      <c r="I120" s="5" t="n">
        <v>95</v>
      </c>
      <c r="J120" s="5" t="n">
        <v>41.7</v>
      </c>
      <c r="K120" s="3" t="inlineStr">
        <is>
          <t>오송 강내 산업배후 계획관리 대지 승용차 진입 가능</t>
        </is>
      </c>
      <c r="L120" s="6">
        <f>HYPERLINK("https://fin.land.naver.com/articles/2648833818",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세종소담황금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656</v>
      </c>
      <c r="H138" s="4" t="n">
        <v>198</v>
      </c>
      <c r="I138" s="5" t="n">
        <v>111.1</v>
      </c>
      <c r="J138" s="5" t="n">
        <v>22.2</v>
      </c>
      <c r="K138" s="3" t="inlineStr">
        <is>
          <t>부강역 10분, 세종 집현동 15분, 전원주택 건축 추천 건축허가</t>
        </is>
      </c>
      <c r="L138" s="6">
        <f>HYPERLINK("https://fin.land.naver.com/articles/2647457494",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나침반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654</v>
      </c>
      <c r="H139" s="4" t="n">
        <v>198</v>
      </c>
      <c r="I139" s="5" t="n">
        <v>111.1</v>
      </c>
      <c r="J139" s="5" t="n">
        <v>22.2</v>
      </c>
      <c r="K139" s="3" t="inlineStr">
        <is>
          <t>세종10분 청주10분 기반시설완비된 전원주택단지내 저렴한 주택지</t>
        </is>
      </c>
      <c r="L139" s="6">
        <f>HYPERLINK("https://fin.land.naver.com/articles/2648979149",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세종스타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HYPERLINK("https://fin.land.naver.com/articles/2645276286",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오송읍 공북리 163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171000</v>
      </c>
      <c r="G193" s="4" t="n">
        <v>5140</v>
      </c>
      <c r="H193" s="4" t="n">
        <v>1555</v>
      </c>
      <c r="I193" s="5" t="n">
        <v>110</v>
      </c>
      <c r="J193" s="5" t="n">
        <v>28.3</v>
      </c>
      <c r="K193" s="3" t="inlineStr">
        <is>
          <t>공북리토지 투자추천 화장품단지바로인근 2면 농로접함</t>
        </is>
      </c>
      <c r="L193" s="6">
        <f>HYPERLINK("https://fin.land.naver.com/articles/2645269569", "매물Link")</f>
        <v/>
      </c>
      <c r="M193" s="6">
        <f>HYPERLINK("https://map.naver.com/p/search/오송읍 공북리 163", "지도Link")</f>
        <v/>
      </c>
      <c r="N193" s="6">
        <f>HYPERLINK("http://www.eum.go.kr/web/ar/lu/luLandDet.jsp?pnu=4311325023101630000&amp;isNoScr=script&amp;mode=search", "토지이음")</f>
        <v/>
      </c>
      <c r="O193" s="3" t="inlineStr">
        <is>
          <t>오송휴먼캐슬</t>
        </is>
      </c>
      <c r="P193" s="4" t="n">
        <v>2</v>
      </c>
      <c r="Q193" s="4" t="n">
        <v>5140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가로장방</t>
        </is>
      </c>
      <c r="V193" s="3" t="inlineStr">
        <is>
          <t>세로한면(가)</t>
        </is>
      </c>
    </row>
    <row r="194">
      <c r="A194" s="3" t="inlineStr">
        <is>
          <t>오송읍 공북리 184-1</t>
        </is>
      </c>
      <c r="B194" s="3" t="inlineStr">
        <is>
          <t>농림지역</t>
        </is>
      </c>
      <c r="C194" s="3" t="inlineStr">
        <is>
          <t>잡종지</t>
        </is>
      </c>
      <c r="D194" s="3" t="inlineStr">
        <is>
          <t>잡종지</t>
        </is>
      </c>
      <c r="E194" s="3" t="inlineStr">
        <is>
          <t>매매</t>
        </is>
      </c>
      <c r="F194" s="4" t="n">
        <v>130000</v>
      </c>
      <c r="G194" s="4" t="n">
        <v>2146</v>
      </c>
      <c r="H194" s="4" t="n">
        <v>649</v>
      </c>
      <c r="I194" s="5" t="n">
        <v>200.3</v>
      </c>
      <c r="J194" s="5" t="n">
        <v>53.7</v>
      </c>
      <c r="K194" s="3" t="inlineStr">
        <is>
          <t>오송역.산단인접 개발 활용도 좋은 잡종지 토지 매매.2차선 도로접</t>
        </is>
      </c>
      <c r="L194" s="6">
        <f>HYPERLINK("https://fin.land.naver.com/articles/2650636899", "매물Link")</f>
        <v/>
      </c>
      <c r="M194" s="6">
        <f>HYPERLINK("https://map.naver.com/p/search/오송읍 공북리 184-1", "지도Link")</f>
        <v/>
      </c>
      <c r="N194" s="6">
        <f>HYPERLINK("http://www.eum.go.kr/web/ar/lu/luLandDet.jsp?pnu=4311325023101840001&amp;isNoScr=script&amp;mode=search", "토지이음")</f>
        <v/>
      </c>
      <c r="O194" s="3" t="inlineStr">
        <is>
          <t>삼성사무소</t>
        </is>
      </c>
      <c r="P194" s="4" t="n">
        <v>1</v>
      </c>
      <c r="Q194" s="4" t="n">
        <v>746</v>
      </c>
      <c r="R194" s="3" t="inlineStr">
        <is>
          <t>지정되지않음</t>
        </is>
      </c>
      <c r="S194" s="3" t="inlineStr">
        <is>
          <t>단독</t>
        </is>
      </c>
      <c r="T194" s="3" t="inlineStr">
        <is>
          <t>평지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오송읍 공북리 184-2</t>
        </is>
      </c>
      <c r="B195" s="3" t="inlineStr">
        <is>
          <t>농림지역</t>
        </is>
      </c>
      <c r="C195" s="3" t="inlineStr">
        <is>
          <t>잡종지</t>
        </is>
      </c>
      <c r="D195" s="3" t="inlineStr">
        <is>
          <t>잡종지</t>
        </is>
      </c>
      <c r="E195" s="3" t="inlineStr">
        <is>
          <t>매매</t>
        </is>
      </c>
      <c r="F195" s="4" t="n">
        <v>130000</v>
      </c>
      <c r="G195" s="4" t="n">
        <v>2146</v>
      </c>
      <c r="H195" s="4" t="n">
        <v>649</v>
      </c>
      <c r="I195" s="5" t="n">
        <v>200.3</v>
      </c>
      <c r="J195" s="5" t="n">
        <v>53.7</v>
      </c>
      <c r="K195" s="3" t="inlineStr">
        <is>
          <t>2차선 도로 접, 서울 세종간 고속도로 오송진입로 1.3km, 투자 적지</t>
        </is>
      </c>
      <c r="L195" s="6">
        <f>HYPERLINK("https://fin.land.naver.com/articles/2646041698", "매물Link")</f>
        <v/>
      </c>
      <c r="M195" s="6">
        <f>HYPERLINK("https://map.naver.com/p/search/오송읍 공북리 184-2", "지도Link")</f>
        <v/>
      </c>
      <c r="N195" s="6">
        <f>HYPERLINK("http://www.eum.go.kr/web/ar/lu/luLandDet.jsp?pnu=4311325023101840002&amp;isNoScr=script&amp;mode=search", "토지이음")</f>
        <v/>
      </c>
      <c r="O195" s="3" t="inlineStr">
        <is>
          <t>OK파라곤</t>
        </is>
      </c>
      <c r="P195" s="4" t="n">
        <v>1</v>
      </c>
      <c r="Q195" s="4" t="n">
        <v>1400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오송읍 공북리 308-1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전</t>
        </is>
      </c>
      <c r="E196" s="3" t="inlineStr">
        <is>
          <t>매매</t>
        </is>
      </c>
      <c r="F196" s="4" t="n">
        <v>10720</v>
      </c>
      <c r="G196" s="4" t="n">
        <v>222</v>
      </c>
      <c r="H196" s="4" t="n">
        <v>67</v>
      </c>
      <c r="I196" s="5" t="n">
        <v>160</v>
      </c>
      <c r="J196" s="5" t="n">
        <v>75.5</v>
      </c>
      <c r="K196" s="3" t="inlineStr">
        <is>
          <t>공북리 계획관리토지 마을안쪽 국가도로연결됨 저렴소자본 매수가능</t>
        </is>
      </c>
      <c r="L196" s="6">
        <f>HYPERLINK("https://fin.land.naver.com/articles/2647606151", "매물Link")</f>
        <v/>
      </c>
      <c r="M196" s="6">
        <f>HYPERLINK("https://map.naver.com/p/search/오송읍 공북리 308-1", "지도Link")</f>
        <v/>
      </c>
      <c r="N196" s="6">
        <f>HYPERLINK("http://www.eum.go.kr/web/ar/lu/luLandDet.jsp?pnu=4311325023103080001&amp;isNoScr=script&amp;mode=search", "토지이음")</f>
        <v/>
      </c>
      <c r="O196" s="3" t="inlineStr">
        <is>
          <t>자이원</t>
        </is>
      </c>
      <c r="P196" s="4" t="n">
        <v>2</v>
      </c>
      <c r="Q196" s="4" t="n">
        <v>222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세로한면(가)</t>
        </is>
      </c>
    </row>
    <row r="197">
      <c r="A197" s="3" t="inlineStr">
        <is>
          <t>오송읍 공북리 308-2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전</t>
        </is>
      </c>
      <c r="E197" s="3" t="inlineStr">
        <is>
          <t>매매</t>
        </is>
      </c>
      <c r="F197" s="4" t="n">
        <v>108600</v>
      </c>
      <c r="G197" s="4" t="n">
        <v>2244</v>
      </c>
      <c r="H197" s="4" t="n">
        <v>679</v>
      </c>
      <c r="I197" s="5" t="n">
        <v>159.9</v>
      </c>
      <c r="J197" s="5" t="n">
        <v>41.3</v>
      </c>
      <c r="K197" s="3" t="inlineStr">
        <is>
          <t>공북리 계획관리 전 전체 또는 분할 매매 가능</t>
        </is>
      </c>
      <c r="L197" s="6">
        <f>HYPERLINK("https://fin.land.naver.com/articles/2647606366", "매물Link")</f>
        <v/>
      </c>
      <c r="M197" s="6">
        <f>HYPERLINK("https://map.naver.com/p/search/오송읍 공북리 308-2", "지도Link")</f>
        <v/>
      </c>
      <c r="N197" s="6">
        <f>HYPERLINK("http://www.eum.go.kr/web/ar/lu/luLandDet.jsp?pnu=4311325023103080002&amp;isNoScr=script&amp;mode=search", "토지이음")</f>
        <v/>
      </c>
      <c r="O197" s="3" t="inlineStr">
        <is>
          <t>자이원</t>
        </is>
      </c>
      <c r="P197" s="4" t="n">
        <v>2</v>
      </c>
      <c r="Q197" s="4" t="n">
        <v>2244</v>
      </c>
      <c r="R197" s="3" t="inlineStr">
        <is>
          <t>지정되지않음</t>
        </is>
      </c>
      <c r="S197" s="3" t="inlineStr">
        <is>
          <t>전</t>
        </is>
      </c>
      <c r="T197" s="3" t="inlineStr">
        <is>
          <t>평지</t>
        </is>
      </c>
      <c r="U197" s="3" t="inlineStr">
        <is>
          <t>부정형</t>
        </is>
      </c>
      <c r="V197" s="3" t="inlineStr">
        <is>
          <t>세로한면(가)</t>
        </is>
      </c>
    </row>
    <row r="198">
      <c r="A198" s="3" t="inlineStr">
        <is>
          <t>오송읍 공북리 474</t>
        </is>
      </c>
      <c r="B198" s="3" t="inlineStr">
        <is>
          <t>농림지역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586</v>
      </c>
      <c r="H198" s="4" t="n">
        <v>177</v>
      </c>
      <c r="I198" s="5" t="n">
        <v>395.5</v>
      </c>
      <c r="J198" s="5" t="n">
        <v>49.7</v>
      </c>
      <c r="K198" s="3" t="inlineStr">
        <is>
          <t>두필지 매매 미래가치 보고 들어오는 공북리 핵심 토지</t>
        </is>
      </c>
      <c r="L198" s="6">
        <f>HYPERLINK("https://fin.land.naver.com/articles/2646878581", "매물Link")</f>
        <v/>
      </c>
      <c r="M198" s="6">
        <f>HYPERLINK("https://map.naver.com/p/search/오송읍 공북리 474", "지도Link")</f>
        <v/>
      </c>
      <c r="N198" s="6">
        <f>HYPERLINK("http://www.eum.go.kr/web/ar/lu/luLandDet.jsp?pnu=4311325023104740000&amp;isNoScr=script&amp;mode=search", "토지이음")</f>
        <v/>
      </c>
      <c r="O198" s="3" t="inlineStr">
        <is>
          <t>우영</t>
        </is>
      </c>
      <c r="P198" s="4" t="n">
        <v>1</v>
      </c>
      <c r="Q198" s="4" t="n">
        <v>293</v>
      </c>
      <c r="R198" s="3" t="inlineStr">
        <is>
          <t>지정되지않음</t>
        </is>
      </c>
      <c r="S198" s="3" t="inlineStr">
        <is>
          <t>단독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세로한면(가)</t>
        </is>
      </c>
    </row>
    <row r="199">
      <c r="A199" s="3" t="inlineStr">
        <is>
          <t>오송읍 공북리 568-28</t>
        </is>
      </c>
      <c r="B199" s="3" t="inlineStr">
        <is>
          <t>계획관리지역</t>
        </is>
      </c>
      <c r="C199" s="3" t="inlineStr">
        <is>
          <t>잡종지</t>
        </is>
      </c>
      <c r="D199" s="3" t="inlineStr">
        <is>
          <t>대</t>
        </is>
      </c>
      <c r="E199" s="3" t="inlineStr">
        <is>
          <t>매매</t>
        </is>
      </c>
      <c r="F199" s="4" t="n">
        <v>220000</v>
      </c>
      <c r="G199" s="4" t="n">
        <v>2707</v>
      </c>
      <c r="H199" s="4" t="n">
        <v>819</v>
      </c>
      <c r="I199" s="5" t="n">
        <v>268.6</v>
      </c>
      <c r="J199" s="5" t="n">
        <v>72.2</v>
      </c>
      <c r="K199" s="3" t="inlineStr">
        <is>
          <t>오송생명과학단지 바로옆,옥산IC인근,전체 계획관리지역,공장 창고 추천</t>
        </is>
      </c>
      <c r="L199" s="6">
        <f>HYPERLINK("https://fin.land.naver.com/articles/2648182036", "매물Link")</f>
        <v/>
      </c>
      <c r="M199" s="6">
        <f>HYPERLINK("https://map.naver.com/p/search/오송읍 공북리 568-28", "지도Link")</f>
        <v/>
      </c>
      <c r="N199" s="6">
        <f>HYPERLINK("http://www.eum.go.kr/web/ar/lu/luLandDet.jsp?pnu=4311325023105680028&amp;isNoScr=script&amp;mode=search", "토지이음")</f>
        <v/>
      </c>
      <c r="O199" s="3" t="inlineStr">
        <is>
          <t>(주)미르</t>
        </is>
      </c>
      <c r="P199" s="4" t="n">
        <v>1</v>
      </c>
      <c r="Q199" s="4" t="n">
        <v>79</v>
      </c>
      <c r="R199" s="3" t="inlineStr">
        <is>
          <t>지정되지않음</t>
        </is>
      </c>
      <c r="S199" s="3" t="inlineStr">
        <is>
          <t>주거기타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세로한면(가)</t>
        </is>
      </c>
    </row>
    <row r="200">
      <c r="A200" s="3" t="inlineStr">
        <is>
          <t>오송읍 공북리 568-30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220000</v>
      </c>
      <c r="G200" s="4" t="n">
        <v>2707</v>
      </c>
      <c r="H200" s="4" t="n">
        <v>819</v>
      </c>
      <c r="I200" s="5" t="n">
        <v>268.6</v>
      </c>
      <c r="J200" s="5" t="n">
        <v>72.2</v>
      </c>
      <c r="K200" s="3" t="inlineStr">
        <is>
          <t>오송생명과학단지 , 오송 화장품산업단지 인근 공장 창고 추천</t>
        </is>
      </c>
      <c r="L200" s="6">
        <f>HYPERLINK("https://fin.land.naver.com/articles/2646993084", "매물Link")</f>
        <v/>
      </c>
      <c r="M200" s="6">
        <f>HYPERLINK("https://map.naver.com/p/search/오송읍 공북리 568-30", "지도Link")</f>
        <v/>
      </c>
      <c r="N200" s="6">
        <f>HYPERLINK("http://www.eum.go.kr/web/ar/lu/luLandDet.jsp?pnu=4311325023105680030&amp;isNoScr=script&amp;mode=search", "토지이음")</f>
        <v/>
      </c>
      <c r="O200" s="3" t="inlineStr">
        <is>
          <t>더원</t>
        </is>
      </c>
      <c r="P200" s="4" t="n">
        <v>1</v>
      </c>
      <c r="Q200" s="4" t="n">
        <v>144</v>
      </c>
      <c r="R200" s="3" t="inlineStr">
        <is>
          <t>지정되지않음</t>
        </is>
      </c>
      <c r="S200" s="3" t="inlineStr">
        <is>
          <t>주거기타</t>
        </is>
      </c>
      <c r="T200" s="3" t="inlineStr">
        <is>
          <t>평지</t>
        </is>
      </c>
      <c r="U200" s="3" t="inlineStr">
        <is>
          <t>가로장방</t>
        </is>
      </c>
      <c r="V200" s="3" t="inlineStr">
        <is>
          <t>세로한면(가)</t>
        </is>
      </c>
    </row>
    <row r="201">
      <c r="A201" s="3" t="inlineStr">
        <is>
          <t>오송읍 공북리 639-1</t>
        </is>
      </c>
      <c r="B201" s="3" t="inlineStr">
        <is>
          <t>농림지역</t>
        </is>
      </c>
      <c r="C201" s="3" t="inlineStr">
        <is>
          <t>답</t>
        </is>
      </c>
      <c r="D201" s="3" t="inlineStr">
        <is>
          <t>답</t>
        </is>
      </c>
      <c r="E201" s="3" t="inlineStr">
        <is>
          <t>매매</t>
        </is>
      </c>
      <c r="F201" s="4" t="n">
        <v>20600</v>
      </c>
      <c r="G201" s="4" t="n">
        <v>975</v>
      </c>
      <c r="H201" s="4" t="n">
        <v>295</v>
      </c>
      <c r="I201" s="5" t="n">
        <v>69.8</v>
      </c>
      <c r="J201" s="5" t="n">
        <v>21.6</v>
      </c>
      <c r="K201" s="3" t="inlineStr">
        <is>
          <t>오송역 오송철도클러스터단지인근토지 수도 전기 화장실 컨테이너 설치</t>
        </is>
      </c>
      <c r="L201" s="6">
        <f>HYPERLINK("https://fin.land.naver.com/articles/2648195920", "매물Link")</f>
        <v/>
      </c>
      <c r="M201" s="6">
        <f>HYPERLINK("https://map.naver.com/p/search/오송읍 공북리 639-1", "지도Link")</f>
        <v/>
      </c>
      <c r="N201" s="6">
        <f>HYPERLINK("http://www.eum.go.kr/web/ar/lu/luLandDet.jsp?pnu=4311325023106390001&amp;isNoScr=script&amp;mode=search", "토지이음")</f>
        <v/>
      </c>
      <c r="O201" s="3" t="inlineStr">
        <is>
          <t>아임</t>
        </is>
      </c>
      <c r="P201" s="4" t="n">
        <v>2</v>
      </c>
      <c r="Q201" s="4" t="n">
        <v>975</v>
      </c>
      <c r="R201" s="3" t="inlineStr">
        <is>
          <t>생산관리지역</t>
        </is>
      </c>
      <c r="S201" s="3" t="inlineStr">
        <is>
          <t>답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세로한면(가)</t>
        </is>
      </c>
    </row>
    <row r="202">
      <c r="A202" s="3" t="inlineStr">
        <is>
          <t>오송읍 공북리 산 52-7</t>
        </is>
      </c>
      <c r="B202" s="3" t="inlineStr">
        <is>
          <t>보전관리지역</t>
        </is>
      </c>
      <c r="C202" s="3" t="inlineStr">
        <is>
          <t>임야</t>
        </is>
      </c>
      <c r="D202" s="3" t="inlineStr">
        <is>
          <t>임야</t>
        </is>
      </c>
      <c r="E202" s="3" t="inlineStr">
        <is>
          <t>매매</t>
        </is>
      </c>
      <c r="F202" s="4" t="n">
        <v>190000</v>
      </c>
      <c r="G202" s="4" t="n">
        <v>39425</v>
      </c>
      <c r="H202" s="4" t="n">
        <v>11926</v>
      </c>
      <c r="I202" s="5" t="n">
        <v>15.9</v>
      </c>
      <c r="J202" s="5" t="n">
        <v>3.1</v>
      </c>
      <c r="K202" s="3" t="inlineStr">
        <is>
          <t>카폐,전원주택 개발 가능여지 있음</t>
        </is>
      </c>
      <c r="L202" s="6">
        <f>HYPERLINK("https://fin.land.naver.com/articles/2648226259", "매물Link")</f>
        <v/>
      </c>
      <c r="M202" s="6">
        <f>HYPERLINK("https://map.naver.com/p/search/오송읍 공북리 산 52-7", "지도Link")</f>
        <v/>
      </c>
      <c r="N202" s="6">
        <f>HYPERLINK("http://www.eum.go.kr/web/ar/lu/luLandDet.jsp?pnu=4311325023200520007&amp;isNoScr=script&amp;mode=search", "토지이음")</f>
        <v/>
      </c>
      <c r="O202" s="3" t="inlineStr">
        <is>
          <t>조은</t>
        </is>
      </c>
      <c r="P202" s="4" t="n">
        <v>1</v>
      </c>
      <c r="Q202" s="4" t="n">
        <v>2791</v>
      </c>
      <c r="R202" s="3" t="inlineStr">
        <is>
          <t>지정되지않음</t>
        </is>
      </c>
      <c r="S202" s="3" t="inlineStr">
        <is>
          <t>조림</t>
        </is>
      </c>
      <c r="T202" s="3" t="inlineStr">
        <is>
          <t>급경사</t>
        </is>
      </c>
      <c r="U202" s="3" t="inlineStr">
        <is>
          <t>부정형</t>
        </is>
      </c>
      <c r="V202" s="3" t="inlineStr">
        <is>
          <t>맹지</t>
        </is>
      </c>
    </row>
    <row r="203">
      <c r="A203" s="3" t="inlineStr">
        <is>
          <t>오송읍 궁평리 121</t>
        </is>
      </c>
      <c r="B203" s="3" t="inlineStr">
        <is>
          <t>농림지역</t>
        </is>
      </c>
      <c r="C203" s="3" t="inlineStr">
        <is>
          <t>답</t>
        </is>
      </c>
      <c r="D203" s="3" t="inlineStr">
        <is>
          <t>답</t>
        </is>
      </c>
      <c r="E203" s="3" t="inlineStr">
        <is>
          <t>매매</t>
        </is>
      </c>
      <c r="F203" s="4" t="n">
        <v>90000</v>
      </c>
      <c r="G203" s="4" t="n">
        <v>2265</v>
      </c>
      <c r="H203" s="4" t="n">
        <v>685</v>
      </c>
      <c r="I203" s="5" t="n">
        <v>131.4</v>
      </c>
      <c r="J203" s="5" t="n">
        <v>35.7</v>
      </c>
      <c r="K203" s="3" t="inlineStr">
        <is>
          <t>1산단 남측 포장도로접한 하우스 농지</t>
        </is>
      </c>
      <c r="L203" s="6">
        <f>HYPERLINK("https://fin.land.naver.com/articles/2649950672", "매물Link")</f>
        <v/>
      </c>
      <c r="M203" s="6">
        <f>HYPERLINK("https://map.naver.com/p/search/오송읍 궁평리 121", "지도Link")</f>
        <v/>
      </c>
      <c r="N203" s="6">
        <f>HYPERLINK("http://www.eum.go.kr/web/ar/lu/luLandDet.jsp?pnu=4311325027101210000&amp;isNoScr=script&amp;mode=search", "토지이음")</f>
        <v/>
      </c>
      <c r="O203" s="3" t="inlineStr">
        <is>
          <t>오송k랜드</t>
        </is>
      </c>
      <c r="P203" s="4" t="n">
        <v>1</v>
      </c>
      <c r="Q203" s="4" t="n">
        <v>2265</v>
      </c>
      <c r="R203" s="3" t="inlineStr">
        <is>
          <t>지정되지않음</t>
        </is>
      </c>
      <c r="S203" s="3" t="inlineStr">
        <is>
          <t>답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세로한면(가)</t>
        </is>
      </c>
    </row>
    <row r="204">
      <c r="A204" s="3" t="inlineStr">
        <is>
          <t>오송읍 궁평리 204-8</t>
        </is>
      </c>
      <c r="B204" s="3" t="inlineStr">
        <is>
          <t>농림지역</t>
        </is>
      </c>
      <c r="C204" s="3" t="inlineStr">
        <is>
          <t>답</t>
        </is>
      </c>
      <c r="D204" s="3" t="inlineStr">
        <is>
          <t>답</t>
        </is>
      </c>
      <c r="E204" s="3" t="inlineStr">
        <is>
          <t>매매</t>
        </is>
      </c>
      <c r="F204" s="4" t="n">
        <v>95000</v>
      </c>
      <c r="G204" s="4" t="n">
        <v>2036</v>
      </c>
      <c r="H204" s="4" t="n">
        <v>616</v>
      </c>
      <c r="I204" s="5" t="n">
        <v>154.2</v>
      </c>
      <c r="J204" s="5" t="n">
        <v>27.4</v>
      </c>
      <c r="K204" s="3" t="inlineStr">
        <is>
          <t>오송읍 투자가치 높은 토지 매매</t>
        </is>
      </c>
      <c r="L204" s="6">
        <f>HYPERLINK("https://fin.land.naver.com/articles/2647596088", "매물Link")</f>
        <v/>
      </c>
      <c r="M204" s="6">
        <f>HYPERLINK("https://map.naver.com/p/search/오송읍 궁평리 204-8", "지도Link")</f>
        <v/>
      </c>
      <c r="N204" s="6">
        <f>HYPERLINK("http://www.eum.go.kr/web/ar/lu/luLandDet.jsp?pnu=4311325027102040008&amp;isNoScr=script&amp;mode=search", "토지이음")</f>
        <v/>
      </c>
      <c r="O204" s="3" t="inlineStr">
        <is>
          <t>대지</t>
        </is>
      </c>
      <c r="P204" s="4" t="n">
        <v>1</v>
      </c>
      <c r="Q204" s="4" t="n">
        <v>2036</v>
      </c>
      <c r="R204" s="3" t="inlineStr">
        <is>
          <t>지정되지않음</t>
        </is>
      </c>
      <c r="S204" s="3" t="inlineStr">
        <is>
          <t>답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세로한면(가)</t>
        </is>
      </c>
    </row>
    <row r="205">
      <c r="A205" s="3" t="inlineStr">
        <is>
          <t>오송읍 궁평리 213-3</t>
        </is>
      </c>
      <c r="B205" s="3" t="inlineStr">
        <is>
          <t>농림지역</t>
        </is>
      </c>
      <c r="C205" s="3" t="inlineStr">
        <is>
          <t>답</t>
        </is>
      </c>
      <c r="D205" s="3" t="inlineStr">
        <is>
          <t>답</t>
        </is>
      </c>
      <c r="E205" s="3" t="inlineStr">
        <is>
          <t>매매</t>
        </is>
      </c>
      <c r="F205" s="4" t="n">
        <v>47500</v>
      </c>
      <c r="G205" s="4" t="n">
        <v>2093</v>
      </c>
      <c r="H205" s="4" t="n">
        <v>633</v>
      </c>
      <c r="I205" s="5" t="n">
        <v>75</v>
      </c>
      <c r="J205" s="5" t="n">
        <v>30</v>
      </c>
      <c r="K205" s="3" t="inlineStr">
        <is>
          <t>nan</t>
        </is>
      </c>
      <c r="L205" s="6">
        <f>HYPERLINK("https://fin.land.naver.com/articles/2650456829", "매물Link")</f>
        <v/>
      </c>
      <c r="M205" s="6">
        <f>HYPERLINK("https://map.naver.com/p/search/오송읍 궁평리 213-3", "지도Link")</f>
        <v/>
      </c>
      <c r="N205" s="6">
        <f>HYPERLINK("http://www.eum.go.kr/web/ar/lu/luLandDet.jsp?pnu=4311325027102130003&amp;isNoScr=script&amp;mode=search", "토지이음")</f>
        <v/>
      </c>
      <c r="O205" s="3" t="inlineStr">
        <is>
          <t>OK파라곤</t>
        </is>
      </c>
      <c r="P205" s="4" t="n">
        <v>1</v>
      </c>
      <c r="Q205" s="4" t="n">
        <v>2093</v>
      </c>
      <c r="R205" s="3" t="inlineStr">
        <is>
          <t>지정되지않음</t>
        </is>
      </c>
      <c r="S205" s="3" t="inlineStr">
        <is>
          <t>답</t>
        </is>
      </c>
      <c r="T205" s="3" t="inlineStr">
        <is>
          <t>평지</t>
        </is>
      </c>
      <c r="U205" s="3" t="inlineStr">
        <is>
          <t>부정형</t>
        </is>
      </c>
      <c r="V205" s="3" t="inlineStr">
        <is>
          <t>세로한면(가)</t>
        </is>
      </c>
    </row>
    <row r="206">
      <c r="A206" s="3" t="inlineStr">
        <is>
          <t>오송읍 궁평리 216-6</t>
        </is>
      </c>
      <c r="B206" s="3" t="inlineStr">
        <is>
          <t>농림지역</t>
        </is>
      </c>
      <c r="C206" s="3" t="inlineStr">
        <is>
          <t>답</t>
        </is>
      </c>
      <c r="D206" s="3" t="inlineStr">
        <is>
          <t>답</t>
        </is>
      </c>
      <c r="E206" s="3" t="inlineStr">
        <is>
          <t>매매</t>
        </is>
      </c>
      <c r="F206" s="4" t="n">
        <v>90700</v>
      </c>
      <c r="G206" s="4" t="n">
        <v>3740</v>
      </c>
      <c r="H206" s="4" t="n">
        <v>1131</v>
      </c>
      <c r="I206" s="5" t="n">
        <v>80.2</v>
      </c>
      <c r="J206" s="5" t="n">
        <v>27</v>
      </c>
      <c r="K206" s="3" t="inlineStr">
        <is>
          <t>궁평리 청주오스코 인근</t>
        </is>
      </c>
      <c r="L206" s="6">
        <f>HYPERLINK("https://fin.land.naver.com/articles/2647428893", "매물Link")</f>
        <v/>
      </c>
      <c r="M206" s="6">
        <f>HYPERLINK("https://map.naver.com/p/search/오송읍 궁평리 216-6", "지도Link")</f>
        <v/>
      </c>
      <c r="N206" s="6">
        <f>HYPERLINK("http://www.eum.go.kr/web/ar/lu/luLandDet.jsp?pnu=4311325027102160006&amp;isNoScr=script&amp;mode=search", "토지이음")</f>
        <v/>
      </c>
      <c r="O206" s="3" t="inlineStr">
        <is>
          <t>수풀림</t>
        </is>
      </c>
      <c r="P206" s="4" t="n">
        <v>2</v>
      </c>
      <c r="Q206" s="4" t="n">
        <v>3743</v>
      </c>
      <c r="R206" s="3" t="inlineStr">
        <is>
          <t>지정되지않음</t>
        </is>
      </c>
      <c r="S206" s="3" t="inlineStr">
        <is>
          <t>답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세로한면(불)</t>
        </is>
      </c>
    </row>
    <row r="207">
      <c r="A207" s="3" t="inlineStr">
        <is>
          <t>오송읍 궁평리 217-1</t>
        </is>
      </c>
      <c r="B207" s="3" t="inlineStr">
        <is>
          <t>농림지역</t>
        </is>
      </c>
      <c r="C207" s="3" t="inlineStr">
        <is>
          <t>답</t>
        </is>
      </c>
      <c r="D207" s="3" t="inlineStr">
        <is>
          <t>답</t>
        </is>
      </c>
      <c r="E207" s="3" t="inlineStr">
        <is>
          <t>매매</t>
        </is>
      </c>
      <c r="F207" s="4" t="n">
        <v>53500</v>
      </c>
      <c r="G207" s="4" t="n">
        <v>2356</v>
      </c>
      <c r="H207" s="4" t="n">
        <v>713</v>
      </c>
      <c r="I207" s="5" t="n">
        <v>75</v>
      </c>
      <c r="J207" s="5" t="n">
        <v>27</v>
      </c>
      <c r="K207" s="3" t="inlineStr">
        <is>
          <t>오스코 인근, 영농에 종사하면서 지가 상승 기대되는 농지 투자</t>
        </is>
      </c>
      <c r="L207" s="6">
        <f>HYPERLINK("https://fin.land.naver.com/articles/2648152740", "매물Link")</f>
        <v/>
      </c>
      <c r="M207" s="6">
        <f>HYPERLINK("https://map.naver.com/p/search/오송읍 궁평리 217-1", "지도Link")</f>
        <v/>
      </c>
      <c r="N207" s="6">
        <f>HYPERLINK("http://www.eum.go.kr/web/ar/lu/luLandDet.jsp?pnu=4311325027102170001&amp;isNoScr=script&amp;mode=search", "토지이음")</f>
        <v/>
      </c>
      <c r="O207" s="3" t="inlineStr">
        <is>
          <t>제이</t>
        </is>
      </c>
      <c r="P207" s="4" t="n">
        <v>1</v>
      </c>
      <c r="Q207" s="4" t="n">
        <v>2356</v>
      </c>
      <c r="R207" s="3" t="inlineStr">
        <is>
          <t>지정되지않음</t>
        </is>
      </c>
      <c r="S207" s="3" t="inlineStr">
        <is>
          <t>답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세로한면(불)</t>
        </is>
      </c>
    </row>
    <row r="208">
      <c r="A208" s="3" t="inlineStr">
        <is>
          <t>오송읍 궁평리 234-6</t>
        </is>
      </c>
      <c r="B208" s="3" t="inlineStr">
        <is>
          <t>농림지역</t>
        </is>
      </c>
      <c r="C208" s="3" t="inlineStr">
        <is>
          <t>답</t>
        </is>
      </c>
      <c r="D208" s="3" t="inlineStr">
        <is>
          <t>답</t>
        </is>
      </c>
      <c r="E208" s="3" t="inlineStr">
        <is>
          <t>매매</t>
        </is>
      </c>
      <c r="F208" s="4" t="n">
        <v>136000</v>
      </c>
      <c r="G208" s="4" t="n">
        <v>3003</v>
      </c>
      <c r="H208" s="4" t="n">
        <v>908</v>
      </c>
      <c r="I208" s="5" t="n">
        <v>149.8</v>
      </c>
      <c r="J208" s="5" t="n">
        <v>37.1</v>
      </c>
      <c r="K208" s="3" t="inlineStr">
        <is>
          <t>매물특징</t>
        </is>
      </c>
      <c r="L208" s="6">
        <f>HYPERLINK("https://fin.land.naver.com/articles/2648780208", "매물Link")</f>
        <v/>
      </c>
      <c r="M208" s="6">
        <f>HYPERLINK("https://map.naver.com/p/search/오송읍 궁평리 234-6", "지도Link")</f>
        <v/>
      </c>
      <c r="N208" s="6">
        <f>HYPERLINK("http://www.eum.go.kr/web/ar/lu/luLandDet.jsp?pnu=4311325027102340006&amp;isNoScr=script&amp;mode=search", "토지이음")</f>
        <v/>
      </c>
      <c r="O208" s="3" t="inlineStr">
        <is>
          <t>오송궁평마을</t>
        </is>
      </c>
      <c r="P208" s="4" t="n">
        <v>1</v>
      </c>
      <c r="Q208" s="4" t="n">
        <v>3003</v>
      </c>
      <c r="R208" s="3" t="inlineStr">
        <is>
          <t>지정되지않음</t>
        </is>
      </c>
      <c r="S208" s="3" t="inlineStr">
        <is>
          <t>답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세로한면(가)</t>
        </is>
      </c>
    </row>
    <row r="209">
      <c r="A209" s="3" t="inlineStr">
        <is>
          <t>오송읍 궁평리 252-9</t>
        </is>
      </c>
      <c r="B209" s="3" t="inlineStr">
        <is>
          <t>농림지역</t>
        </is>
      </c>
      <c r="C209" s="3" t="inlineStr">
        <is>
          <t>과수원</t>
        </is>
      </c>
      <c r="D209" s="3" t="inlineStr">
        <is>
          <t>과수원</t>
        </is>
      </c>
      <c r="E209" s="3" t="inlineStr">
        <is>
          <t>매매</t>
        </is>
      </c>
      <c r="F209" s="4" t="n">
        <v>160000</v>
      </c>
      <c r="G209" s="4" t="n">
        <v>2951</v>
      </c>
      <c r="H209" s="4" t="n">
        <v>893</v>
      </c>
      <c r="I209" s="5" t="n">
        <v>179.2</v>
      </c>
      <c r="J209" s="5" t="n">
        <v>63</v>
      </c>
      <c r="K209" s="3" t="inlineStr">
        <is>
          <t>오송 2역세권 ,환지 예정지</t>
        </is>
      </c>
      <c r="L209" s="6">
        <f>HYPERLINK("https://fin.land.naver.com/articles/2646725924", "매물Link")</f>
        <v/>
      </c>
      <c r="M209" s="6">
        <f>HYPERLINK("https://map.naver.com/p/search/오송읍 궁평리 252-9", "지도Link")</f>
        <v/>
      </c>
      <c r="N209" s="6">
        <f>HYPERLINK("http://www.eum.go.kr/web/ar/lu/luLandDet.jsp?pnu=4311325027102520009&amp;isNoScr=script&amp;mode=search", "토지이음")</f>
        <v/>
      </c>
      <c r="O209" s="3" t="inlineStr">
        <is>
          <t>오송타운</t>
        </is>
      </c>
      <c r="P209" s="4" t="n">
        <v>1</v>
      </c>
      <c r="Q209" s="4" t="n">
        <v>1874</v>
      </c>
      <c r="R209" s="3" t="inlineStr">
        <is>
          <t>지정되지않음</t>
        </is>
      </c>
      <c r="S209" s="3" t="inlineStr">
        <is>
          <t>과수원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오송읍 궁평리 259-14</t>
        </is>
      </c>
      <c r="B210" s="3" t="inlineStr">
        <is>
          <t>계획관리지역</t>
        </is>
      </c>
      <c r="C210" s="3" t="inlineStr">
        <is>
          <t>전</t>
        </is>
      </c>
      <c r="D210" s="3" t="inlineStr">
        <is>
          <t>전</t>
        </is>
      </c>
      <c r="E210" s="3" t="inlineStr">
        <is>
          <t>매매</t>
        </is>
      </c>
      <c r="F210" s="4" t="n">
        <v>80000</v>
      </c>
      <c r="G210" s="4" t="n">
        <v>1144</v>
      </c>
      <c r="H210" s="4" t="n">
        <v>346</v>
      </c>
      <c r="I210" s="5" t="n">
        <v>231.2</v>
      </c>
      <c r="J210" s="5" t="n">
        <v>93.90000000000001</v>
      </c>
      <c r="K210" s="3" t="inlineStr">
        <is>
          <t>오송역 및 오스코 600m, 6차선 지하차도 예정지에 인접한 계획관리토지</t>
        </is>
      </c>
      <c r="L210" s="6">
        <f>HYPERLINK("https://fin.land.naver.com/articles/2648087819", "매물Link")</f>
        <v/>
      </c>
      <c r="M210" s="6">
        <f>HYPERLINK("https://map.naver.com/p/search/오송읍 궁평리 259-14", "지도Link")</f>
        <v/>
      </c>
      <c r="N210" s="6">
        <f>HYPERLINK("http://www.eum.go.kr/web/ar/lu/luLandDet.jsp?pnu=4311325027102590014&amp;isNoScr=script&amp;mode=search", "토지이음")</f>
        <v/>
      </c>
      <c r="O210" s="3" t="inlineStr">
        <is>
          <t>오송3산단  사무소</t>
        </is>
      </c>
      <c r="P210" s="4" t="n">
        <v>1</v>
      </c>
      <c r="Q210" s="4" t="n">
        <v>1144</v>
      </c>
      <c r="R210" s="3" t="inlineStr">
        <is>
          <t>지정되지않음</t>
        </is>
      </c>
      <c r="S210" s="3" t="inlineStr">
        <is>
          <t>전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세로한면(가)</t>
        </is>
      </c>
    </row>
    <row r="211">
      <c r="A211" s="3" t="inlineStr">
        <is>
          <t>오송읍 궁평리 259-14</t>
        </is>
      </c>
      <c r="B211" s="3" t="inlineStr">
        <is>
          <t>계획관리지역</t>
        </is>
      </c>
      <c r="C211" s="3" t="inlineStr">
        <is>
          <t>전</t>
        </is>
      </c>
      <c r="D211" s="3" t="inlineStr">
        <is>
          <t>전</t>
        </is>
      </c>
      <c r="E211" s="3" t="inlineStr">
        <is>
          <t>매매</t>
        </is>
      </c>
      <c r="F211" s="4" t="n">
        <v>80000</v>
      </c>
      <c r="G211" s="4" t="n">
        <v>1144</v>
      </c>
      <c r="H211" s="4" t="n">
        <v>346</v>
      </c>
      <c r="I211" s="5" t="n">
        <v>231.2</v>
      </c>
      <c r="J211" s="5" t="n">
        <v>93.90000000000001</v>
      </c>
      <c r="K211" s="3" t="inlineStr">
        <is>
          <t>오송역 및 오스코 600m, 6차선 지하차도 예정지에 인접한 계획관리토지</t>
        </is>
      </c>
      <c r="L211" s="6">
        <f>HYPERLINK("https://fin.land.naver.com/articles/2648088525", "매물Link")</f>
        <v/>
      </c>
      <c r="M211" s="6">
        <f>HYPERLINK("https://map.naver.com/p/search/오송읍 궁평리 259-14", "지도Link")</f>
        <v/>
      </c>
      <c r="N211" s="6">
        <f>HYPERLINK("http://www.eum.go.kr/web/ar/lu/luLandDet.jsp?pnu=4311325027102590014&amp;isNoScr=script&amp;mode=search", "토지이음")</f>
        <v/>
      </c>
      <c r="O211" s="3" t="inlineStr">
        <is>
          <t>오송3산단  사무소</t>
        </is>
      </c>
      <c r="P211" s="4" t="n">
        <v>1</v>
      </c>
      <c r="Q211" s="4" t="n">
        <v>1144</v>
      </c>
      <c r="R211" s="3" t="inlineStr">
        <is>
          <t>지정되지않음</t>
        </is>
      </c>
      <c r="S211" s="3" t="inlineStr">
        <is>
          <t>전</t>
        </is>
      </c>
      <c r="T211" s="3" t="inlineStr">
        <is>
          <t>평지</t>
        </is>
      </c>
      <c r="U211" s="3" t="inlineStr">
        <is>
          <t>부정형</t>
        </is>
      </c>
      <c r="V211" s="3" t="inlineStr">
        <is>
          <t>세로한면(가)</t>
        </is>
      </c>
    </row>
    <row r="212">
      <c r="A212" s="3" t="inlineStr">
        <is>
          <t>오송읍 궁평리 272-3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573</v>
      </c>
      <c r="H212" s="4" t="n">
        <v>173</v>
      </c>
      <c r="I212" s="5" t="n">
        <v>462.4</v>
      </c>
      <c r="J212" s="5" t="n">
        <v>161.2</v>
      </c>
      <c r="K212" s="3" t="inlineStr">
        <is>
          <t>173땅 오송역세권 미래투자가치우수한 토지</t>
        </is>
      </c>
      <c r="L212" s="6">
        <f>HYPERLINK("https://fin.land.naver.com/articles/2648360295", "매물Link")</f>
        <v/>
      </c>
      <c r="M212" s="6">
        <f>HYPERLINK("https://map.naver.com/p/search/오송읍 궁평리 272-3", "지도Link")</f>
        <v/>
      </c>
      <c r="N212" s="6">
        <f>HYPERLINK("http://www.eum.go.kr/web/ar/lu/luLandDet.jsp?pnu=4311325027102720003&amp;isNoScr=script&amp;mode=search", "토지이음")</f>
        <v/>
      </c>
      <c r="O212" s="3" t="inlineStr">
        <is>
          <t>하림</t>
        </is>
      </c>
      <c r="P212" s="4" t="n">
        <v>1</v>
      </c>
      <c r="Q212" s="4" t="n">
        <v>573</v>
      </c>
      <c r="R212" s="3" t="inlineStr">
        <is>
          <t>지정되지않음</t>
        </is>
      </c>
      <c r="S212" s="3" t="inlineStr">
        <is>
          <t>단독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세로한면(가)</t>
        </is>
      </c>
    </row>
    <row r="213">
      <c r="A213" s="3" t="inlineStr">
        <is>
          <t>오송읍 궁평리 278-1</t>
        </is>
      </c>
      <c r="B213" s="3" t="inlineStr">
        <is>
          <t>농림지역</t>
        </is>
      </c>
      <c r="C213" s="3" t="inlineStr">
        <is>
          <t>답</t>
        </is>
      </c>
      <c r="D213" s="3" t="inlineStr">
        <is>
          <t>답</t>
        </is>
      </c>
      <c r="E213" s="3" t="inlineStr">
        <is>
          <t>매매</t>
        </is>
      </c>
      <c r="F213" s="4" t="n">
        <v>227000</v>
      </c>
      <c r="G213" s="4" t="n">
        <v>4076</v>
      </c>
      <c r="H213" s="4" t="n">
        <v>1233</v>
      </c>
      <c r="I213" s="5" t="n">
        <v>184.1</v>
      </c>
      <c r="J213" s="5" t="n">
        <v>46.8</v>
      </c>
      <c r="K213" s="3" t="inlineStr">
        <is>
          <t>매물특징</t>
        </is>
      </c>
      <c r="L213" s="6">
        <f>HYPERLINK("https://fin.land.naver.com/articles/2648556391", "매물Link")</f>
        <v/>
      </c>
      <c r="M213" s="6">
        <f>HYPERLINK("https://map.naver.com/p/search/오송읍 궁평리 278-1", "지도Link")</f>
        <v/>
      </c>
      <c r="N213" s="6">
        <f>HYPERLINK("http://www.eum.go.kr/web/ar/lu/luLandDet.jsp?pnu=4311325027102780001&amp;isNoScr=script&amp;mode=search", "토지이음")</f>
        <v/>
      </c>
      <c r="O213" s="3" t="inlineStr">
        <is>
          <t>오송궁평마을</t>
        </is>
      </c>
      <c r="P213" s="4" t="n">
        <v>1</v>
      </c>
      <c r="Q213" s="4" t="n">
        <v>4076</v>
      </c>
      <c r="R213" s="3" t="inlineStr">
        <is>
          <t>지정되지않음</t>
        </is>
      </c>
      <c r="S213" s="3" t="inlineStr">
        <is>
          <t>답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세로한면(불)</t>
        </is>
      </c>
    </row>
    <row r="214">
      <c r="A214" s="3" t="inlineStr">
        <is>
          <t>오송읍 궁평리 296-3</t>
        </is>
      </c>
      <c r="B214" s="3" t="inlineStr">
        <is>
          <t>농림지역</t>
        </is>
      </c>
      <c r="C214" s="3" t="inlineStr">
        <is>
          <t>답</t>
        </is>
      </c>
      <c r="D214" s="3" t="inlineStr">
        <is>
          <t>답</t>
        </is>
      </c>
      <c r="E214" s="3" t="inlineStr">
        <is>
          <t>매매</t>
        </is>
      </c>
      <c r="F214" s="4" t="n">
        <v>150000</v>
      </c>
      <c r="G214" s="4" t="n">
        <v>3967</v>
      </c>
      <c r="H214" s="4" t="n">
        <v>1200</v>
      </c>
      <c r="I214" s="5" t="n">
        <v>125</v>
      </c>
      <c r="J214" s="5" t="n">
        <v>53.7</v>
      </c>
      <c r="K214" s="3" t="inlineStr">
        <is>
          <t>오송역 인근 장래개발 호재지역 투자용 대토용 조경업 농림관련산업</t>
        </is>
      </c>
      <c r="L214" s="6">
        <f>HYPERLINK("https://fin.land.naver.com/articles/2646263708", "매물Link")</f>
        <v/>
      </c>
      <c r="M214" s="6">
        <f>HYPERLINK("https://map.naver.com/p/search/오송읍 궁평리 296-3", "지도Link")</f>
        <v/>
      </c>
      <c r="N214" s="6">
        <f>HYPERLINK("http://www.eum.go.kr/web/ar/lu/luLandDet.jsp?pnu=4311325027102960003&amp;isNoScr=script&amp;mode=search", "토지이음")</f>
        <v/>
      </c>
      <c r="O214" s="3" t="inlineStr">
        <is>
          <t>재일합동사무소</t>
        </is>
      </c>
      <c r="P214" s="4" t="n">
        <v>1</v>
      </c>
      <c r="Q214" s="4" t="n">
        <v>3967</v>
      </c>
      <c r="R214" s="3" t="inlineStr">
        <is>
          <t>지정되지않음</t>
        </is>
      </c>
      <c r="S214" s="3" t="inlineStr">
        <is>
          <t>답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세로한면(가)</t>
        </is>
      </c>
    </row>
    <row r="215">
      <c r="A215" s="3" t="inlineStr">
        <is>
          <t>오송읍 궁평리 303-1</t>
        </is>
      </c>
      <c r="B215" s="3" t="inlineStr">
        <is>
          <t>농림지역</t>
        </is>
      </c>
      <c r="C215" s="3" t="inlineStr">
        <is>
          <t>과수원</t>
        </is>
      </c>
      <c r="D215" s="3" t="inlineStr">
        <is>
          <t>과수원</t>
        </is>
      </c>
      <c r="E215" s="3" t="inlineStr">
        <is>
          <t>매매</t>
        </is>
      </c>
      <c r="F215" s="4" t="n">
        <v>105000</v>
      </c>
      <c r="G215" s="4" t="n">
        <v>1523</v>
      </c>
      <c r="H215" s="4" t="n">
        <v>461</v>
      </c>
      <c r="I215" s="5" t="n">
        <v>227.8</v>
      </c>
      <c r="J215" s="5" t="n">
        <v>63</v>
      </c>
      <c r="K215" s="3" t="inlineStr">
        <is>
          <t>도로 접한 과수원 부지 매도 오송역 인근 장래 개발 호재 지역</t>
        </is>
      </c>
      <c r="L215" s="6">
        <f>HYPERLINK("https://fin.land.naver.com/articles/2649497254", "매물Link")</f>
        <v/>
      </c>
      <c r="M215" s="6">
        <f>HYPERLINK("https://map.naver.com/p/search/오송읍 궁평리 303-1", "지도Link")</f>
        <v/>
      </c>
      <c r="N215" s="6">
        <f>HYPERLINK("http://www.eum.go.kr/web/ar/lu/luLandDet.jsp?pnu=4311325027103030001&amp;isNoScr=script&amp;mode=search", "토지이음")</f>
        <v/>
      </c>
      <c r="O215" s="3" t="inlineStr">
        <is>
          <t>오송퍼스트영웅</t>
        </is>
      </c>
      <c r="P215" s="4" t="n">
        <v>1</v>
      </c>
      <c r="Q215" s="4" t="n">
        <v>1523</v>
      </c>
      <c r="R215" s="3" t="inlineStr">
        <is>
          <t>지정되지않음</t>
        </is>
      </c>
      <c r="S215" s="3" t="inlineStr">
        <is>
          <t>과수원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오송읍 궁평리 61-6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40000</v>
      </c>
      <c r="G216" s="4" t="n">
        <v>347</v>
      </c>
      <c r="H216" s="4" t="n">
        <v>105</v>
      </c>
      <c r="I216" s="5" t="n">
        <v>381</v>
      </c>
      <c r="J216" s="5" t="n">
        <v>103.6</v>
      </c>
      <c r="K216" s="3" t="inlineStr">
        <is>
          <t>궁평리 전원주택 지을 토지 매매.</t>
        </is>
      </c>
      <c r="L216" s="6">
        <f>HYPERLINK("https://fin.land.naver.com/articles/2646658318", "매물Link")</f>
        <v/>
      </c>
      <c r="M216" s="6">
        <f>HYPERLINK("https://map.naver.com/p/search/오송읍 궁평리 61-6", "지도Link")</f>
        <v/>
      </c>
      <c r="N216" s="6">
        <f>HYPERLINK("http://www.eum.go.kr/web/ar/lu/luLandDet.jsp?pnu=4311325027100610006&amp;isNoScr=script&amp;mode=search", "토지이음")</f>
        <v/>
      </c>
      <c r="O216" s="3" t="inlineStr">
        <is>
          <t>대한민국</t>
        </is>
      </c>
      <c r="P216" s="4" t="n">
        <v>1</v>
      </c>
      <c r="Q216" s="4" t="n">
        <v>347</v>
      </c>
      <c r="R216" s="3" t="inlineStr">
        <is>
          <t>지정되지않음</t>
        </is>
      </c>
      <c r="S216" s="3" t="inlineStr">
        <is>
          <t>단독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세로한면(가)</t>
        </is>
      </c>
    </row>
    <row r="217">
      <c r="A217" s="3" t="inlineStr">
        <is>
          <t>오송읍 궁평리 75-1</t>
        </is>
      </c>
      <c r="B217" s="3" t="inlineStr">
        <is>
          <t>농림지역</t>
        </is>
      </c>
      <c r="C217" s="3" t="inlineStr">
        <is>
          <t>전</t>
        </is>
      </c>
      <c r="D217" s="3" t="inlineStr">
        <is>
          <t>답</t>
        </is>
      </c>
      <c r="E217" s="3" t="inlineStr">
        <is>
          <t>매매</t>
        </is>
      </c>
      <c r="F217" s="4" t="n">
        <v>31700</v>
      </c>
      <c r="G217" s="4" t="n">
        <v>614</v>
      </c>
      <c r="H217" s="4" t="n">
        <v>186</v>
      </c>
      <c r="I217" s="5" t="n">
        <v>170.4</v>
      </c>
      <c r="J217" s="5" t="n">
        <v>37.1</v>
      </c>
      <c r="K217" s="3" t="inlineStr">
        <is>
          <t>투자가치로 적극 추천하는 궁평리 중심 토지</t>
        </is>
      </c>
      <c r="L217" s="6">
        <f>HYPERLINK("https://fin.land.naver.com/articles/2650824873", "매물Link")</f>
        <v/>
      </c>
      <c r="M217" s="6">
        <f>HYPERLINK("https://map.naver.com/p/search/오송읍 궁평리 75-1", "지도Link")</f>
        <v/>
      </c>
      <c r="N217" s="6">
        <f>HYPERLINK("http://www.eum.go.kr/web/ar/lu/luLandDet.jsp?pnu=4311325027100750001&amp;isNoScr=script&amp;mode=search", "토지이음")</f>
        <v/>
      </c>
      <c r="O217" s="3" t="inlineStr">
        <is>
          <t>국제</t>
        </is>
      </c>
      <c r="P217" s="4" t="n">
        <v>1</v>
      </c>
      <c r="Q217" s="4" t="n">
        <v>3078</v>
      </c>
      <c r="R217" s="3" t="inlineStr">
        <is>
          <t>지정되지않음</t>
        </is>
      </c>
      <c r="S217" s="3" t="inlineStr">
        <is>
          <t>답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세로각지(가)</t>
        </is>
      </c>
    </row>
    <row r="218">
      <c r="A218" s="3" t="inlineStr">
        <is>
          <t>오송읍 동평리 151-5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23000</v>
      </c>
      <c r="G218" s="4" t="n">
        <v>271</v>
      </c>
      <c r="H218" s="4" t="n">
        <v>82</v>
      </c>
      <c r="I218" s="5" t="n">
        <v>280.5</v>
      </c>
      <c r="J218" s="5" t="n">
        <v>104.2</v>
      </c>
      <c r="K218" s="3" t="inlineStr">
        <is>
          <t>국가산단 수용지에 연접한 계획관리 대지, 착한가격의 투자매물</t>
        </is>
      </c>
      <c r="L218" s="6">
        <f>HYPERLINK("https://fin.land.naver.com/articles/2648088196", "매물Link")</f>
        <v/>
      </c>
      <c r="M218" s="6">
        <f>HYPERLINK("https://map.naver.com/p/search/오송읍 동평리 151-5", "지도Link")</f>
        <v/>
      </c>
      <c r="N218" s="6">
        <f>HYPERLINK("http://www.eum.go.kr/web/ar/lu/luLandDet.jsp?pnu=4311325029101510005&amp;isNoScr=script&amp;mode=search", "토지이음")</f>
        <v/>
      </c>
      <c r="O218" s="3" t="inlineStr">
        <is>
          <t>오송3산단  사무소</t>
        </is>
      </c>
      <c r="P218" s="4" t="n">
        <v>1</v>
      </c>
      <c r="Q218" s="4" t="n">
        <v>271</v>
      </c>
      <c r="R218" s="3" t="inlineStr">
        <is>
          <t>지정되지않음</t>
        </is>
      </c>
      <c r="S218" s="3" t="inlineStr">
        <is>
          <t>단독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세로한면(가)</t>
        </is>
      </c>
    </row>
    <row r="219">
      <c r="A219" s="3" t="inlineStr">
        <is>
          <t>오송읍 동평리 381-13</t>
        </is>
      </c>
      <c r="B219" s="3" t="inlineStr">
        <is>
          <t>농림지역</t>
        </is>
      </c>
      <c r="C219" s="3" t="inlineStr">
        <is>
          <t>답</t>
        </is>
      </c>
      <c r="D219" s="3" t="inlineStr">
        <is>
          <t>답</t>
        </is>
      </c>
      <c r="E219" s="3" t="inlineStr">
        <is>
          <t>매매</t>
        </is>
      </c>
      <c r="F219" s="4" t="n">
        <v>36000</v>
      </c>
      <c r="G219" s="4" t="n">
        <v>2070</v>
      </c>
      <c r="H219" s="4" t="n">
        <v>626</v>
      </c>
      <c r="I219" s="5" t="n">
        <v>57.5</v>
      </c>
      <c r="J219" s="5" t="n">
        <v>26.6</v>
      </c>
      <c r="K219" s="3" t="inlineStr">
        <is>
          <t>오송3산단 수용지에 인접한 추가수용 유력토지, 착한가격의 투자용 매물</t>
        </is>
      </c>
      <c r="L219" s="6">
        <f>HYPERLINK("https://fin.land.naver.com/articles/2648084687", "매물Link")</f>
        <v/>
      </c>
      <c r="M219" s="6">
        <f>HYPERLINK("https://map.naver.com/p/search/오송읍 동평리 381-13", "지도Link")</f>
        <v/>
      </c>
      <c r="N219" s="6">
        <f>HYPERLINK("http://www.eum.go.kr/web/ar/lu/luLandDet.jsp?pnu=4311325029103810013&amp;isNoScr=script&amp;mode=search", "토지이음")</f>
        <v/>
      </c>
      <c r="O219" s="3" t="inlineStr">
        <is>
          <t>오송3산단  사무소</t>
        </is>
      </c>
      <c r="P219" s="4" t="n">
        <v>1</v>
      </c>
      <c r="Q219" s="4" t="n">
        <v>1769</v>
      </c>
      <c r="R219" s="3" t="inlineStr">
        <is>
          <t>지정되지않음</t>
        </is>
      </c>
      <c r="S219" s="3" t="inlineStr">
        <is>
          <t>답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세로한면(불)</t>
        </is>
      </c>
    </row>
    <row r="220">
      <c r="A220" s="3" t="inlineStr">
        <is>
          <t>오송읍 만수리 272-3</t>
        </is>
      </c>
      <c r="B220" s="3" t="inlineStr">
        <is>
          <t>농림지역</t>
        </is>
      </c>
      <c r="C220" s="3" t="inlineStr">
        <is>
          <t>답</t>
        </is>
      </c>
      <c r="D220" s="3" t="inlineStr">
        <is>
          <t>답</t>
        </is>
      </c>
      <c r="E220" s="3" t="inlineStr">
        <is>
          <t>매매</t>
        </is>
      </c>
      <c r="F220" s="4" t="n">
        <v>36000</v>
      </c>
      <c r="G220" s="4" t="n">
        <v>1183</v>
      </c>
      <c r="H220" s="4" t="n">
        <v>358</v>
      </c>
      <c r="I220" s="5" t="n">
        <v>100.6</v>
      </c>
      <c r="J220" s="5" t="n">
        <v>35.7</v>
      </c>
      <c r="K220" s="3" t="inlineStr">
        <is>
          <t>농림지역 답 매도 오송 역세권 ktx  근접  투자 가치 뿜뿜</t>
        </is>
      </c>
      <c r="L220" s="6">
        <f>HYPERLINK("https://fin.land.naver.com/articles/2648939038", "매물Link")</f>
        <v/>
      </c>
      <c r="M220" s="6">
        <f>HYPERLINK("https://map.naver.com/p/search/오송읍 만수리 272-3", "지도Link")</f>
        <v/>
      </c>
      <c r="N220" s="6">
        <f>HYPERLINK("http://www.eum.go.kr/web/ar/lu/luLandDet.jsp?pnu=4311325025102720003&amp;isNoScr=script&amp;mode=search", "토지이음")</f>
        <v/>
      </c>
      <c r="O220" s="3" t="inlineStr">
        <is>
          <t>오송퍼스트영웅</t>
        </is>
      </c>
      <c r="P220" s="4" t="n">
        <v>1</v>
      </c>
      <c r="Q220" s="4" t="n">
        <v>1183</v>
      </c>
      <c r="R220" s="3" t="inlineStr">
        <is>
          <t>지정되지않음</t>
        </is>
      </c>
      <c r="S220" s="3" t="inlineStr">
        <is>
          <t>답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세로한면(가)</t>
        </is>
      </c>
    </row>
    <row r="221">
      <c r="A221" s="3" t="inlineStr">
        <is>
          <t>오송읍 만수리 523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240000</v>
      </c>
      <c r="G221" s="4" t="n">
        <v>590</v>
      </c>
      <c r="H221" s="4" t="n">
        <v>178</v>
      </c>
      <c r="I221" s="5" t="n">
        <v>1348.3</v>
      </c>
      <c r="J221" s="5" t="n">
        <v>728.3</v>
      </c>
      <c r="K221" s="3" t="inlineStr">
        <is>
          <t>nan</t>
        </is>
      </c>
      <c r="L221" s="6">
        <f>HYPERLINK("https://fin.land.naver.com/articles/2646728610", "매물Link")</f>
        <v/>
      </c>
      <c r="M221" s="6">
        <f>HYPERLINK("https://map.naver.com/p/search/오송읍 만수리 523", "지도Link")</f>
        <v/>
      </c>
      <c r="N221" s="6">
        <f>HYPERLINK("http://www.eum.go.kr/web/ar/lu/luLandDet.jsp?pnu=4311325025105230000&amp;isNoScr=script&amp;mode=search", "토지이음")</f>
        <v/>
      </c>
      <c r="O221" s="3" t="inlineStr">
        <is>
          <t>오송타운</t>
        </is>
      </c>
      <c r="P221" s="4" t="n">
        <v>1</v>
      </c>
      <c r="Q221" s="4" t="n">
        <v>590.2</v>
      </c>
      <c r="R221" s="3" t="inlineStr">
        <is>
          <t>지정되지않음</t>
        </is>
      </c>
      <c r="S221" s="3" t="inlineStr">
        <is>
          <t>상업용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광대소각</t>
        </is>
      </c>
    </row>
    <row r="222">
      <c r="A222" s="3" t="inlineStr">
        <is>
          <t>오송읍 만수리 704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263</v>
      </c>
      <c r="H222" s="4" t="n">
        <v>80</v>
      </c>
      <c r="I222" s="5" t="n">
        <v>875</v>
      </c>
      <c r="J222" s="5" t="n">
        <v>229.4</v>
      </c>
      <c r="K222" s="3" t="inlineStr">
        <is>
          <t>오송역300m역세권   최적의단독주택용지   오송생명과학단지인근</t>
        </is>
      </c>
      <c r="L222" s="6">
        <f>HYPERLINK("https://fin.land.naver.com/articles/2648270874", "매물Link")</f>
        <v/>
      </c>
      <c r="M222" s="6">
        <f>HYPERLINK("https://map.naver.com/p/search/오송읍 만수리 704", "지도Link")</f>
        <v/>
      </c>
      <c r="N222" s="6">
        <f>HYPERLINK("http://www.eum.go.kr/web/ar/lu/luLandDet.jsp?pnu=4311325025107040000&amp;isNoScr=script&amp;mode=search", "토지이음")</f>
        <v/>
      </c>
      <c r="O222" s="3" t="inlineStr">
        <is>
          <t>연세</t>
        </is>
      </c>
      <c r="P222" s="4" t="n">
        <v>1</v>
      </c>
      <c r="Q222" s="4" t="n">
        <v>263.6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오송읍 만수리 794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66000</v>
      </c>
      <c r="G223" s="4" t="n">
        <v>352</v>
      </c>
      <c r="H223" s="4" t="n">
        <v>106</v>
      </c>
      <c r="I223" s="5" t="n">
        <v>622.6</v>
      </c>
      <c r="J223" s="5" t="n">
        <v>241.8</v>
      </c>
      <c r="K223" s="3" t="inlineStr">
        <is>
          <t>오송역근접300m거리, 완성된 계획도시에 하나 남은 코너 건부지</t>
        </is>
      </c>
      <c r="L223" s="6">
        <f>HYPERLINK("https://fin.land.naver.com/articles/2647846334", "매물Link")</f>
        <v/>
      </c>
      <c r="M223" s="6">
        <f>HYPERLINK("https://map.naver.com/p/search/오송읍 만수리 794", "지도Link")</f>
        <v/>
      </c>
      <c r="N223" s="6">
        <f>HYPERLINK("http://www.eum.go.kr/web/ar/lu/luLandDet.jsp?pnu=4311325025107940000&amp;isNoScr=script&amp;mode=search", "토지이음")</f>
        <v/>
      </c>
      <c r="O223" s="3" t="inlineStr">
        <is>
          <t>청주더존</t>
        </is>
      </c>
      <c r="P223" s="4" t="n">
        <v>1</v>
      </c>
      <c r="Q223" s="4" t="n">
        <v>352.6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소로각지</t>
        </is>
      </c>
    </row>
    <row r="224">
      <c r="A224" s="3" t="inlineStr">
        <is>
          <t>오송읍 만수리 939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269</v>
      </c>
      <c r="H224" s="4" t="n">
        <v>81</v>
      </c>
      <c r="I224" s="5" t="n">
        <v>555.6</v>
      </c>
      <c r="J224" s="5" t="n">
        <v>209.3</v>
      </c>
      <c r="K224" s="3" t="inlineStr">
        <is>
          <t>대도로변 이면도로 위치 좋은 토지입니다</t>
        </is>
      </c>
      <c r="L224" s="6">
        <f>HYPERLINK("https://fin.land.naver.com/articles/2650305364", "매물Link")</f>
        <v/>
      </c>
      <c r="M224" s="6">
        <f>HYPERLINK("https://map.naver.com/p/search/오송읍 만수리 939", "지도Link")</f>
        <v/>
      </c>
      <c r="N224" s="6">
        <f>HYPERLINK("http://www.eum.go.kr/web/ar/lu/luLandDet.jsp?pnu=4311325025109390000&amp;isNoScr=script&amp;mode=search", "토지이음")</f>
        <v/>
      </c>
      <c r="O224" s="3" t="inlineStr">
        <is>
          <t>스케치</t>
        </is>
      </c>
      <c r="P224" s="4" t="n">
        <v>1</v>
      </c>
      <c r="Q224" s="4" t="n">
        <v>268.2</v>
      </c>
      <c r="R224" s="3" t="inlineStr">
        <is>
          <t>자연녹지지역</t>
        </is>
      </c>
      <c r="S224" s="3" t="inlineStr">
        <is>
          <t>주상나지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소로한면</t>
        </is>
      </c>
    </row>
    <row r="225">
      <c r="A225" s="3" t="inlineStr">
        <is>
          <t>오송읍 봉산리 1124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240</v>
      </c>
      <c r="H225" s="4" t="n">
        <v>73</v>
      </c>
      <c r="I225" s="5" t="n">
        <v>616.4</v>
      </c>
      <c r="J225" s="5" t="n">
        <v>208.1</v>
      </c>
      <c r="K225" s="3" t="inlineStr">
        <is>
          <t>가격조율 최대한 해볼게요 위치좋은 먹자골목 상권 토지</t>
        </is>
      </c>
      <c r="L225" s="6">
        <f>HYPERLINK("https://fin.land.naver.com/articles/2646394067", "매물Link")</f>
        <v/>
      </c>
      <c r="M225" s="6">
        <f>HYPERLINK("https://map.naver.com/p/search/오송읍 봉산리 1124", "지도Link")</f>
        <v/>
      </c>
      <c r="N225" s="6">
        <f>HYPERLINK("http://www.eum.go.kr/web/ar/lu/luLandDet.jsp?pnu=4311325031111240000&amp;isNoScr=script&amp;mode=search", "토지이음")</f>
        <v/>
      </c>
      <c r="O225" s="3" t="inlineStr">
        <is>
          <t>복덩이</t>
        </is>
      </c>
      <c r="P225" s="4" t="n">
        <v>1</v>
      </c>
      <c r="Q225" s="4" t="n">
        <v>240.6</v>
      </c>
      <c r="R225" s="3" t="inlineStr">
        <is>
          <t>지정되지않음</t>
        </is>
      </c>
      <c r="S225" s="3" t="inlineStr">
        <is>
          <t>주거기타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오송읍 봉산리 1179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270</v>
      </c>
      <c r="H226" s="4" t="n">
        <v>82</v>
      </c>
      <c r="I226" s="5" t="n">
        <v>707.3</v>
      </c>
      <c r="J226" s="5" t="n">
        <v>206.3</v>
      </c>
      <c r="K226" s="3" t="inlineStr">
        <is>
          <t>오송2단지 허가득 남향 상가건물 지을 수 있는 토지</t>
        </is>
      </c>
      <c r="L226" s="6">
        <f>HYPERLINK("https://fin.land.naver.com/articles/2650461950", "매물Link")</f>
        <v/>
      </c>
      <c r="M226" s="6">
        <f>HYPERLINK("https://map.naver.com/p/search/오송읍 봉산리 1179", "지도Link")</f>
        <v/>
      </c>
      <c r="N226" s="6">
        <f>HYPERLINK("http://www.eum.go.kr/web/ar/lu/luLandDet.jsp?pnu=4311325031111790000&amp;isNoScr=script&amp;mode=search", "토지이음")</f>
        <v/>
      </c>
      <c r="O226" s="3" t="inlineStr">
        <is>
          <t>세종오송</t>
        </is>
      </c>
      <c r="P226" s="4" t="n">
        <v>1</v>
      </c>
      <c r="Q226" s="4" t="n">
        <v>269.9</v>
      </c>
      <c r="R226" s="3" t="inlineStr">
        <is>
          <t>지정되지않음</t>
        </is>
      </c>
      <c r="S226" s="3" t="inlineStr">
        <is>
          <t>주거기타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오송읍 봉산리 1208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264</v>
      </c>
      <c r="H227" s="4" t="n">
        <v>80</v>
      </c>
      <c r="I227" s="5" t="n">
        <v>625</v>
      </c>
      <c r="J227" s="5" t="n">
        <v>206.3</v>
      </c>
      <c r="K227" s="3" t="inlineStr">
        <is>
          <t>nan</t>
        </is>
      </c>
      <c r="L227" s="6">
        <f>HYPERLINK("https://fin.land.naver.com/articles/2650507610", "매물Link")</f>
        <v/>
      </c>
      <c r="M227" s="6">
        <f>HYPERLINK("https://map.naver.com/p/search/오송읍 봉산리 1208", "지도Link")</f>
        <v/>
      </c>
      <c r="N227" s="6">
        <f>HYPERLINK("http://www.eum.go.kr/web/ar/lu/luLandDet.jsp?pnu=4311325031112080000&amp;isNoScr=script&amp;mode=search", "토지이음")</f>
        <v/>
      </c>
      <c r="O227" s="3" t="inlineStr">
        <is>
          <t>아임</t>
        </is>
      </c>
      <c r="P227" s="4" t="n">
        <v>1</v>
      </c>
      <c r="Q227" s="4" t="n">
        <v>264.6</v>
      </c>
      <c r="R227" s="3" t="inlineStr">
        <is>
          <t>지정되지않음</t>
        </is>
      </c>
      <c r="S227" s="3" t="inlineStr">
        <is>
          <t>주거기타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오송읍 봉산리 1209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264</v>
      </c>
      <c r="H228" s="4" t="n">
        <v>80</v>
      </c>
      <c r="I228" s="5" t="n">
        <v>750</v>
      </c>
      <c r="J228" s="5" t="n">
        <v>206.3</v>
      </c>
      <c r="K228" s="3" t="inlineStr">
        <is>
          <t>오송 2산업단지 준주거지역과 접해있고 상업지역과도 50m정도 떨어져 있음</t>
        </is>
      </c>
      <c r="L228" s="6">
        <f>HYPERLINK("https://fin.land.naver.com/articles/2650022122", "매물Link")</f>
        <v/>
      </c>
      <c r="M228" s="6">
        <f>HYPERLINK("https://map.naver.com/p/search/오송읍 봉산리 1209", "지도Link")</f>
        <v/>
      </c>
      <c r="N228" s="6">
        <f>HYPERLINK("http://www.eum.go.kr/web/ar/lu/luLandDet.jsp?pnu=4311325031112090000&amp;isNoScr=script&amp;mode=search", "토지이음")</f>
        <v/>
      </c>
      <c r="O228" s="3" t="inlineStr">
        <is>
          <t>스마일세종</t>
        </is>
      </c>
      <c r="P228" s="4" t="n">
        <v>1</v>
      </c>
      <c r="Q228" s="4" t="n">
        <v>264.8</v>
      </c>
      <c r="R228" s="3" t="inlineStr">
        <is>
          <t>지정되지않음</t>
        </is>
      </c>
      <c r="S228" s="3" t="inlineStr">
        <is>
          <t>주거기타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오송읍 봉산리 1221</t>
        </is>
      </c>
      <c r="B229" s="3" t="inlineStr">
        <is>
          <t>준주거지역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124630</v>
      </c>
      <c r="G229" s="4" t="n">
        <v>412</v>
      </c>
      <c r="H229" s="4" t="n">
        <v>125</v>
      </c>
      <c r="I229" s="5" t="n">
        <v>997</v>
      </c>
      <c r="J229" s="5" t="n">
        <v>624.1</v>
      </c>
      <c r="K229" s="3" t="inlineStr">
        <is>
          <t>오송2산단 준주거지역</t>
        </is>
      </c>
      <c r="L229" s="6">
        <f>HYPERLINK("https://fin.land.naver.com/articles/2645321108", "매물Link")</f>
        <v/>
      </c>
      <c r="M229" s="6">
        <f>HYPERLINK("https://map.naver.com/p/search/오송읍 봉산리 1221", "지도Link")</f>
        <v/>
      </c>
      <c r="N229" s="6">
        <f>HYPERLINK("http://www.eum.go.kr/web/ar/lu/luLandDet.jsp?pnu=4311325031112210000&amp;isNoScr=script&amp;mode=search", "토지이음")</f>
        <v/>
      </c>
      <c r="O229" s="3" t="inlineStr">
        <is>
          <t>365</t>
        </is>
      </c>
      <c r="P229" s="4" t="n">
        <v>1</v>
      </c>
      <c r="Q229" s="4" t="n">
        <v>412</v>
      </c>
      <c r="R229" s="3" t="inlineStr">
        <is>
          <t>지정되지않음</t>
        </is>
      </c>
      <c r="S229" s="3" t="inlineStr">
        <is>
          <t>상업기타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중로각지</t>
        </is>
      </c>
    </row>
    <row r="230">
      <c r="A230" s="3" t="inlineStr">
        <is>
          <t>오송읍 봉산리 1276</t>
        </is>
      </c>
      <c r="B230" s="3" t="inlineStr">
        <is>
          <t>제1종일반주거지역</t>
        </is>
      </c>
      <c r="C230" s="3" t="inlineStr">
        <is>
          <t>주차장</t>
        </is>
      </c>
      <c r="D230" s="3" t="inlineStr">
        <is>
          <t>주차장</t>
        </is>
      </c>
      <c r="E230" s="3" t="inlineStr">
        <is>
          <t>매매</t>
        </is>
      </c>
      <c r="F230" s="4" t="n">
        <v>165000</v>
      </c>
      <c r="G230" s="4" t="n">
        <v>1091</v>
      </c>
      <c r="H230" s="4" t="n">
        <v>330</v>
      </c>
      <c r="I230" s="5" t="n">
        <v>500</v>
      </c>
      <c r="J230" s="5" t="n">
        <v>220.4</v>
      </c>
      <c r="K230" s="3" t="inlineStr">
        <is>
          <t>오송역세권 주차장용지로 1층 상가, 2,3,4 층 주차타워 추천</t>
        </is>
      </c>
      <c r="L230" s="6">
        <f>HYPERLINK("https://fin.land.naver.com/articles/2650794487", "매물Link")</f>
        <v/>
      </c>
      <c r="M230" s="6">
        <f>HYPERLINK("https://map.naver.com/p/search/오송읍 봉산리 1276", "지도Link")</f>
        <v/>
      </c>
      <c r="N230" s="6">
        <f>HYPERLINK("http://www.eum.go.kr/web/ar/lu/luLandDet.jsp?pnu=4311325031112760000&amp;isNoScr=script&amp;mode=search", "토지이음")</f>
        <v/>
      </c>
      <c r="O230" s="3" t="inlineStr">
        <is>
          <t>우리</t>
        </is>
      </c>
      <c r="P230" s="4" t="n">
        <v>1</v>
      </c>
      <c r="Q230" s="4" t="n">
        <v>1091.4</v>
      </c>
      <c r="R230" s="3" t="inlineStr">
        <is>
          <t>지정되지않음</t>
        </is>
      </c>
      <c r="S230" s="3" t="inlineStr">
        <is>
          <t>주차장등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오송읍 봉산리 1283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62700</v>
      </c>
      <c r="G231" s="4" t="n">
        <v>276</v>
      </c>
      <c r="H231" s="4" t="n">
        <v>83</v>
      </c>
      <c r="I231" s="5" t="n">
        <v>755.4</v>
      </c>
      <c r="J231" s="5" t="n">
        <v>206.3</v>
      </c>
      <c r="K231" s="3" t="inlineStr">
        <is>
          <t>오송2산업단지 준주거용지와 접한 상가주택지</t>
        </is>
      </c>
      <c r="L231" s="6">
        <f>HYPERLINK("https://fin.land.naver.com/articles/2645387734", "매물Link")</f>
        <v/>
      </c>
      <c r="M231" s="6">
        <f>HYPERLINK("https://map.naver.com/p/search/오송읍 봉산리 1283", "지도Link")</f>
        <v/>
      </c>
      <c r="N231" s="6">
        <f>HYPERLINK("http://www.eum.go.kr/web/ar/lu/luLandDet.jsp?pnu=4311325031112830000&amp;isNoScr=script&amp;mode=search", "토지이음")</f>
        <v/>
      </c>
      <c r="O231" s="3" t="inlineStr">
        <is>
          <t>오송랜드</t>
        </is>
      </c>
      <c r="P231" s="4" t="n">
        <v>1</v>
      </c>
      <c r="Q231" s="4" t="n">
        <v>276.6</v>
      </c>
      <c r="R231" s="3" t="inlineStr">
        <is>
          <t>지정되지않음</t>
        </is>
      </c>
      <c r="S231" s="3" t="inlineStr">
        <is>
          <t>주거기타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오송읍 봉산리 1293</t>
        </is>
      </c>
      <c r="B232" s="3" t="inlineStr">
        <is>
          <t>준주거지역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169000</v>
      </c>
      <c r="G232" s="4" t="n">
        <v>414</v>
      </c>
      <c r="H232" s="4" t="n">
        <v>125</v>
      </c>
      <c r="I232" s="5" t="n">
        <v>1352</v>
      </c>
      <c r="J232" s="5" t="n">
        <v>624.1</v>
      </c>
      <c r="K232" s="3" t="inlineStr">
        <is>
          <t>오송2산단으로 배후세력 2만여세대의 준주거지역 근생토지,대로변에 위치</t>
        </is>
      </c>
      <c r="L232" s="6">
        <f>HYPERLINK("https://fin.land.naver.com/articles/2648188611", "매물Link")</f>
        <v/>
      </c>
      <c r="M232" s="6">
        <f>HYPERLINK("https://map.naver.com/p/search/오송읍 봉산리 1293", "지도Link")</f>
        <v/>
      </c>
      <c r="N232" s="6">
        <f>HYPERLINK("http://www.eum.go.kr/web/ar/lu/luLandDet.jsp?pnu=4311325031112930000&amp;isNoScr=script&amp;mode=search", "토지이음")</f>
        <v/>
      </c>
      <c r="O232" s="3" t="inlineStr">
        <is>
          <t>(주)미르</t>
        </is>
      </c>
      <c r="P232" s="4" t="n">
        <v>2</v>
      </c>
      <c r="Q232" s="4" t="n">
        <v>413.5</v>
      </c>
      <c r="R232" s="3" t="inlineStr">
        <is>
          <t>지정되지않음</t>
        </is>
      </c>
      <c r="S232" s="3" t="inlineStr">
        <is>
          <t>상업기타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오송읍 봉산리 1296</t>
        </is>
      </c>
      <c r="B233" s="3" t="inlineStr">
        <is>
          <t>준주거지역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162000</v>
      </c>
      <c r="G233" s="4" t="n">
        <v>411</v>
      </c>
      <c r="H233" s="4" t="n">
        <v>124</v>
      </c>
      <c r="I233" s="5" t="n">
        <v>1306.5</v>
      </c>
      <c r="J233" s="5" t="n">
        <v>624.1</v>
      </c>
      <c r="K233" s="3" t="inlineStr">
        <is>
          <t>오송역 인근 근생용지 매매, 평당 약 1300만원</t>
        </is>
      </c>
      <c r="L233" s="6">
        <f>HYPERLINK("https://fin.land.naver.com/articles/2649842662", "매물Link")</f>
        <v/>
      </c>
      <c r="M233" s="6">
        <f>HYPERLINK("https://map.naver.com/p/search/오송읍 봉산리 1296", "지도Link")</f>
        <v/>
      </c>
      <c r="N233" s="6">
        <f>HYPERLINK("http://www.eum.go.kr/web/ar/lu/luLandDet.jsp?pnu=4311325031112960000&amp;isNoScr=script&amp;mode=search", "토지이음")</f>
        <v/>
      </c>
      <c r="O233" s="3" t="inlineStr">
        <is>
          <t>광장</t>
        </is>
      </c>
      <c r="P233" s="4" t="n">
        <v>1</v>
      </c>
      <c r="Q233" s="4" t="n">
        <v>411.7</v>
      </c>
      <c r="R233" s="3" t="inlineStr">
        <is>
          <t>지정되지않음</t>
        </is>
      </c>
      <c r="S233" s="3" t="inlineStr">
        <is>
          <t>상업기타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오송읍 봉산리 1297</t>
        </is>
      </c>
      <c r="B234" s="3" t="inlineStr">
        <is>
          <t>준주거지역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190000</v>
      </c>
      <c r="G234" s="4" t="n">
        <v>421</v>
      </c>
      <c r="H234" s="4" t="n">
        <v>127</v>
      </c>
      <c r="I234" s="5" t="n">
        <v>1496.1</v>
      </c>
      <c r="J234" s="5" t="n">
        <v>624.1</v>
      </c>
      <c r="K234" s="3" t="inlineStr">
        <is>
          <t>코너 근생용지 매매, 평당 약 1500만원</t>
        </is>
      </c>
      <c r="L234" s="6">
        <f>HYPERLINK("https://fin.land.naver.com/articles/2649842980", "매물Link")</f>
        <v/>
      </c>
      <c r="M234" s="6">
        <f>HYPERLINK("https://map.naver.com/p/search/오송읍 봉산리 1297", "지도Link")</f>
        <v/>
      </c>
      <c r="N234" s="6">
        <f>HYPERLINK("http://www.eum.go.kr/web/ar/lu/luLandDet.jsp?pnu=4311325031112970000&amp;isNoScr=script&amp;mode=search", "토지이음")</f>
        <v/>
      </c>
      <c r="O234" s="3" t="inlineStr">
        <is>
          <t>광장</t>
        </is>
      </c>
      <c r="P234" s="4" t="n">
        <v>1</v>
      </c>
      <c r="Q234" s="4" t="n">
        <v>421.4</v>
      </c>
      <c r="R234" s="3" t="inlineStr">
        <is>
          <t>지정되지않음</t>
        </is>
      </c>
      <c r="S234" s="3" t="inlineStr">
        <is>
          <t>상업기타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오송읍 봉산리 1298</t>
        </is>
      </c>
      <c r="B235" s="3" t="inlineStr">
        <is>
          <t>일반상업지역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420000</v>
      </c>
      <c r="G235" s="4" t="n">
        <v>1164</v>
      </c>
      <c r="H235" s="4" t="n">
        <v>352</v>
      </c>
      <c r="I235" s="5" t="n">
        <v>1193.2</v>
      </c>
      <c r="J235" s="5" t="n">
        <v>585.5</v>
      </c>
      <c r="K235" s="3" t="inlineStr">
        <is>
          <t>삼면코너토지 유흥,위락시설 가능 오송2산단 오송역 인근 위치</t>
        </is>
      </c>
      <c r="L235" s="6">
        <f>HYPERLINK("https://fin.land.naver.com/articles/2650673290", "매물Link")</f>
        <v/>
      </c>
      <c r="M235" s="6">
        <f>HYPERLINK("https://map.naver.com/p/search/오송읍 봉산리 1298", "지도Link")</f>
        <v/>
      </c>
      <c r="N235" s="6">
        <f>HYPERLINK("http://www.eum.go.kr/web/ar/lu/luLandDet.jsp?pnu=4311325031112980000&amp;isNoScr=script&amp;mode=search",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1164.1</v>
      </c>
      <c r="R235" s="3" t="inlineStr">
        <is>
          <t>지정되지않음</t>
        </is>
      </c>
      <c r="S235" s="3" t="inlineStr">
        <is>
          <t>상업기타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오송읍 봉산리 1301</t>
        </is>
      </c>
      <c r="B236" s="3" t="inlineStr">
        <is>
          <t>일반상업지역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456000</v>
      </c>
      <c r="G236" s="4" t="n">
        <v>1115</v>
      </c>
      <c r="H236" s="4" t="n">
        <v>337</v>
      </c>
      <c r="I236" s="5" t="n">
        <v>1353.1</v>
      </c>
      <c r="J236" s="5" t="n">
        <v>618.2</v>
      </c>
      <c r="K236" s="3" t="inlineStr">
        <is>
          <t>연제 저수지 앞 상업용지 호텔 개발 추천부지</t>
        </is>
      </c>
      <c r="L236" s="6">
        <f>HYPERLINK("https://fin.land.naver.com/articles/2648717612", "매물Link")</f>
        <v/>
      </c>
      <c r="M236" s="6">
        <f>HYPERLINK("https://map.naver.com/p/search/오송읍 봉산리 1301", "지도Link")</f>
        <v/>
      </c>
      <c r="N236" s="6">
        <f>HYPERLINK("http://www.eum.go.kr/web/ar/lu/luLandDet.jsp?pnu=4311325031113010000&amp;isNoScr=script&amp;mode=search", "토지이음")</f>
        <v/>
      </c>
      <c r="O236" s="3" t="inlineStr">
        <is>
          <t>(주)마이다스역삼센터</t>
        </is>
      </c>
      <c r="P236" s="4" t="n">
        <v>2</v>
      </c>
      <c r="Q236" s="4" t="n">
        <v>1115.2</v>
      </c>
      <c r="R236" s="3" t="inlineStr">
        <is>
          <t>지정되지않음</t>
        </is>
      </c>
      <c r="S236" s="3" t="inlineStr">
        <is>
          <t>상업기타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오송읍 봉산리 1321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460000</v>
      </c>
      <c r="G237" s="4" t="n">
        <v>1541</v>
      </c>
      <c r="H237" s="4" t="n">
        <v>466</v>
      </c>
      <c r="I237" s="5" t="n">
        <v>987.1</v>
      </c>
      <c r="J237" s="5" t="n">
        <v>550.1</v>
      </c>
      <c r="K237" s="3" t="inlineStr">
        <is>
          <t>오송 2산단 상업지구 상업용 토지로 회사 사옥 및 공공기관 사옥 추천</t>
        </is>
      </c>
      <c r="L237" s="6">
        <f>HYPERLINK("https://fin.land.naver.com/articles/2650794191", "매물Link")</f>
        <v/>
      </c>
      <c r="M237" s="6">
        <f>HYPERLINK("https://map.naver.com/p/search/오송읍 봉산리 1321", "지도Link")</f>
        <v/>
      </c>
      <c r="N237" s="6">
        <f>HYPERLINK("http://www.eum.go.kr/web/ar/lu/luLandDet.jsp?pnu=4311325031113210000&amp;isNoScr=script&amp;mode=search", "토지이음")</f>
        <v/>
      </c>
      <c r="O237" s="3" t="inlineStr">
        <is>
          <t>우리</t>
        </is>
      </c>
      <c r="P237" s="4" t="n">
        <v>2</v>
      </c>
      <c r="Q237" s="4" t="n">
        <v>1541.1</v>
      </c>
      <c r="R237" s="3" t="inlineStr">
        <is>
          <t>지정되지않음</t>
        </is>
      </c>
      <c r="S237" s="3" t="inlineStr">
        <is>
          <t>상업기타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중로한면</t>
        </is>
      </c>
    </row>
    <row r="238">
      <c r="A238" s="3" t="inlineStr">
        <is>
          <t>오송읍 봉산리 1322</t>
        </is>
      </c>
      <c r="B238" s="3" t="inlineStr">
        <is>
          <t>일반상업지역</t>
        </is>
      </c>
      <c r="C238" s="3" t="inlineStr">
        <is>
          <t>주차장</t>
        </is>
      </c>
      <c r="D238" s="3" t="inlineStr">
        <is>
          <t>주차장</t>
        </is>
      </c>
      <c r="E238" s="3" t="inlineStr">
        <is>
          <t>월세</t>
        </is>
      </c>
      <c r="F238" s="4" t="n">
        <v>10000</v>
      </c>
      <c r="G238" s="4" t="n">
        <v>2435</v>
      </c>
      <c r="H238" s="4" t="n">
        <v>737</v>
      </c>
      <c r="I238" s="5" t="n">
        <v>2</v>
      </c>
      <c r="J238" s="5" t="n">
        <v>295.4</v>
      </c>
      <c r="K238" s="3" t="inlineStr">
        <is>
          <t>nan</t>
        </is>
      </c>
      <c r="L238" s="6">
        <f>HYPERLINK("https://fin.land.naver.com/articles/2647590994", "매물Link")</f>
        <v/>
      </c>
      <c r="M238" s="6">
        <f>HYPERLINK("https://map.naver.com/p/search/오송읍 봉산리 1322", "지도Link")</f>
        <v/>
      </c>
      <c r="N238" s="6">
        <f>HYPERLINK("http://www.eum.go.kr/web/ar/lu/luLandDet.jsp?pnu=4311325031113220000&amp;isNoScr=script&amp;mode=search", "토지이음")</f>
        <v/>
      </c>
      <c r="O238" s="3" t="inlineStr">
        <is>
          <t>오송메카</t>
        </is>
      </c>
      <c r="P238" s="4" t="n">
        <v>1</v>
      </c>
      <c r="Q238" s="4" t="n">
        <v>2435.1</v>
      </c>
      <c r="R238" s="3" t="inlineStr">
        <is>
          <t>지정되지않음</t>
        </is>
      </c>
      <c r="S238" s="3" t="inlineStr">
        <is>
          <t>주차장등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오송읍 봉산리 1324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460000</v>
      </c>
      <c r="G239" s="4" t="n">
        <v>1524</v>
      </c>
      <c r="H239" s="4" t="n">
        <v>461</v>
      </c>
      <c r="I239" s="5" t="n">
        <v>997.8</v>
      </c>
      <c r="J239" s="5" t="n">
        <v>573.2</v>
      </c>
      <c r="K239" s="3" t="inlineStr">
        <is>
          <t>nan</t>
        </is>
      </c>
      <c r="L239" s="6">
        <f>HYPERLINK("https://fin.land.naver.com/articles/2645321260", "매물Link")</f>
        <v/>
      </c>
      <c r="M239" s="6">
        <f>HYPERLINK("https://map.naver.com/p/search/오송읍 봉산리 1324", "지도Link")</f>
        <v/>
      </c>
      <c r="N239" s="6">
        <f>HYPERLINK("http://www.eum.go.kr/web/ar/lu/luLandDet.jsp?pnu=4311325031113240000&amp;isNoScr=script&amp;mode=search", "토지이음")</f>
        <v/>
      </c>
      <c r="O239" s="3" t="inlineStr">
        <is>
          <t>365</t>
        </is>
      </c>
      <c r="P239" s="4" t="n">
        <v>1</v>
      </c>
      <c r="Q239" s="4" t="n">
        <v>1524.9</v>
      </c>
      <c r="R239" s="3" t="inlineStr">
        <is>
          <t>지정되지않음</t>
        </is>
      </c>
      <c r="S239" s="3" t="inlineStr">
        <is>
          <t>상업기타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오송읍 봉산리 1326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500000</v>
      </c>
      <c r="G240" s="4" t="n">
        <v>889</v>
      </c>
      <c r="H240" s="4" t="n">
        <v>269</v>
      </c>
      <c r="I240" s="5" t="n">
        <v>1858.7</v>
      </c>
      <c r="J240" s="5" t="n">
        <v>719.3</v>
      </c>
      <c r="K240" s="3" t="inlineStr">
        <is>
          <t>오송역 인근 일반상업지역 숙박업가능 토지매매개발호재 풍부진입도로 완비</t>
        </is>
      </c>
      <c r="L240" s="6">
        <f>HYPERLINK("https://fin.land.naver.com/articles/2647637551", "매물Link")</f>
        <v/>
      </c>
      <c r="M240" s="6">
        <f>HYPERLINK("https://map.naver.com/p/search/오송읍 봉산리 1326", "지도Link")</f>
        <v/>
      </c>
      <c r="N240" s="6">
        <f>HYPERLINK("http://www.eum.go.kr/web/ar/lu/luLandDet.jsp?pnu=4311325031113260000&amp;isNoScr=script&amp;mode=search", "토지이음")</f>
        <v/>
      </c>
      <c r="O240" s="3" t="inlineStr">
        <is>
          <t>엠즈앤프라퍼티주식회사</t>
        </is>
      </c>
      <c r="P240" s="4" t="n">
        <v>1</v>
      </c>
      <c r="Q240" s="4" t="n">
        <v>889.6</v>
      </c>
      <c r="R240" s="3" t="inlineStr">
        <is>
          <t>지정되지않음</t>
        </is>
      </c>
      <c r="S240" s="3" t="inlineStr">
        <is>
          <t>상업기타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광대소각</t>
        </is>
      </c>
    </row>
    <row r="241">
      <c r="A241" s="3" t="inlineStr">
        <is>
          <t>오송읍 봉산리 1328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598000</v>
      </c>
      <c r="G241" s="4" t="n">
        <v>859</v>
      </c>
      <c r="H241" s="4" t="n">
        <v>260</v>
      </c>
      <c r="I241" s="5" t="n">
        <v>2300</v>
      </c>
      <c r="J241" s="5" t="n">
        <v>660.2</v>
      </c>
      <c r="K241" s="3" t="inlineStr">
        <is>
          <t>오송역 초역세권 4거리코너 급매</t>
        </is>
      </c>
      <c r="L241" s="6">
        <f>HYPERLINK("https://fin.land.naver.com/articles/2648986889", "매물Link")</f>
        <v/>
      </c>
      <c r="M241" s="6">
        <f>HYPERLINK("https://map.naver.com/p/search/오송읍 봉산리 1328", "지도Link")</f>
        <v/>
      </c>
      <c r="N241" s="6">
        <f>HYPERLINK("http://www.eum.go.kr/web/ar/lu/luLandDet.jsp?pnu=4311325031113280000&amp;isNoScr=script&amp;mode=search", "토지이음")</f>
        <v/>
      </c>
      <c r="O241" s="3" t="inlineStr">
        <is>
          <t>하나</t>
        </is>
      </c>
      <c r="P241" s="4" t="n">
        <v>1</v>
      </c>
      <c r="Q241" s="4" t="n">
        <v>858.6</v>
      </c>
      <c r="R241" s="3" t="inlineStr">
        <is>
          <t>지정되지않음</t>
        </is>
      </c>
      <c r="S241" s="3" t="inlineStr">
        <is>
          <t>상업기타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광대소각</t>
        </is>
      </c>
    </row>
    <row r="242">
      <c r="A242" s="3" t="inlineStr">
        <is>
          <t>오송읍 봉산리 1344</t>
        </is>
      </c>
      <c r="B242" s="3" t="inlineStr">
        <is>
          <t>준주거지역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136400</v>
      </c>
      <c r="G242" s="4" t="n">
        <v>408</v>
      </c>
      <c r="H242" s="4" t="n">
        <v>123</v>
      </c>
      <c r="I242" s="5" t="n">
        <v>1108.9</v>
      </c>
      <c r="J242" s="5" t="n">
        <v>624.1</v>
      </c>
      <c r="K242" s="3" t="inlineStr">
        <is>
          <t>준주거지역 대지, 상가주택사옥 부지 최적</t>
        </is>
      </c>
      <c r="L242" s="6">
        <f>HYPERLINK("https://fin.land.naver.com/articles/2648857608", "매물Link")</f>
        <v/>
      </c>
      <c r="M242" s="6">
        <f>HYPERLINK("https://map.naver.com/p/search/오송읍 봉산리 1344", "지도Link")</f>
        <v/>
      </c>
      <c r="N242" s="6">
        <f>HYPERLINK("http://www.eum.go.kr/web/ar/lu/luLandDet.jsp?pnu=4311325031113440000&amp;isNoScr=script&amp;mode=search", "토지이음")</f>
        <v/>
      </c>
      <c r="O242" s="3" t="inlineStr">
        <is>
          <t>반석원무소</t>
        </is>
      </c>
      <c r="P242" s="4" t="n">
        <v>1</v>
      </c>
      <c r="Q242" s="4" t="n">
        <v>408.9</v>
      </c>
      <c r="R242" s="3" t="inlineStr">
        <is>
          <t>지정되지않음</t>
        </is>
      </c>
      <c r="S242" s="3" t="inlineStr">
        <is>
          <t>상업기타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오송읍 봉산리 1367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41500</v>
      </c>
      <c r="G243" s="4" t="n">
        <v>244</v>
      </c>
      <c r="H243" s="4" t="n">
        <v>74</v>
      </c>
      <c r="I243" s="5" t="n">
        <v>560.8</v>
      </c>
      <c r="J243" s="5" t="n">
        <v>290</v>
      </c>
      <c r="K243" s="3" t="inlineStr">
        <is>
          <t>급매 오송역 인근 일반주거지역 3거리 코너 각지 위치 좋은 대지입니다</t>
        </is>
      </c>
      <c r="L243" s="6">
        <f>HYPERLINK("https://fin.land.naver.com/articles/2650741530", "매물Link")</f>
        <v/>
      </c>
      <c r="M243" s="6">
        <f>HYPERLINK("https://map.naver.com/p/search/오송읍 봉산리 1367", "지도Link")</f>
        <v/>
      </c>
      <c r="N243" s="6">
        <f>HYPERLINK("http://www.eum.go.kr/web/ar/lu/luLandDet.jsp?pnu=4311325031113670000&amp;isNoScr=script&amp;mode=search", "토지이음")</f>
        <v/>
      </c>
      <c r="O243" s="3" t="inlineStr">
        <is>
          <t>스마일세종</t>
        </is>
      </c>
      <c r="P243" s="4" t="n">
        <v>1</v>
      </c>
      <c r="Q243" s="4" t="n">
        <v>244.4</v>
      </c>
      <c r="R243" s="3" t="inlineStr">
        <is>
          <t>지정되지않음</t>
        </is>
      </c>
      <c r="S243" s="3" t="inlineStr">
        <is>
          <t>주상기타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소로각지</t>
        </is>
      </c>
    </row>
    <row r="244">
      <c r="A244" s="3" t="inlineStr">
        <is>
          <t>오송읍 봉산리 1375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30000</v>
      </c>
      <c r="G244" s="4" t="n">
        <v>239</v>
      </c>
      <c r="H244" s="4" t="n">
        <v>72</v>
      </c>
      <c r="I244" s="5" t="n">
        <v>416.7</v>
      </c>
      <c r="J244" s="5" t="n">
        <v>207.9</v>
      </c>
      <c r="K244" s="3" t="inlineStr">
        <is>
          <t>오송역 도보 가능 KTX,SRT이용 점포주택</t>
        </is>
      </c>
      <c r="L244" s="6">
        <f>HYPERLINK("https://fin.land.naver.com/articles/2644902723", "매물Link")</f>
        <v/>
      </c>
      <c r="M244" s="6">
        <f>HYPERLINK("https://map.naver.com/p/search/오송읍 봉산리 1375", "지도Link")</f>
        <v/>
      </c>
      <c r="N244" s="6">
        <f>HYPERLINK("http://www.eum.go.kr/web/ar/lu/luLandDet.jsp?pnu=4311325031113750000&amp;isNoScr=script&amp;mode=search", "토지이음")</f>
        <v/>
      </c>
      <c r="O244" s="3" t="inlineStr">
        <is>
          <t>훈민정음</t>
        </is>
      </c>
      <c r="P244" s="4" t="n">
        <v>1</v>
      </c>
      <c r="Q244" s="4" t="n">
        <v>239.5</v>
      </c>
      <c r="R244" s="3" t="inlineStr">
        <is>
          <t>지정되지않음</t>
        </is>
      </c>
      <c r="S244" s="3" t="inlineStr">
        <is>
          <t>주거기타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오송읍 봉산리 1375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30000</v>
      </c>
      <c r="G245" s="4" t="n">
        <v>239</v>
      </c>
      <c r="H245" s="4" t="n">
        <v>72</v>
      </c>
      <c r="I245" s="5" t="n">
        <v>416.7</v>
      </c>
      <c r="J245" s="5" t="n">
        <v>207.9</v>
      </c>
      <c r="K245" s="3" t="inlineStr">
        <is>
          <t>오송역 인근 초 급매 단독주택용지</t>
        </is>
      </c>
      <c r="L245" s="6">
        <f>HYPERLINK("https://fin.land.naver.com/articles/2649136086", "매물Link")</f>
        <v/>
      </c>
      <c r="M245" s="6">
        <f>HYPERLINK("https://map.naver.com/p/search/오송읍 봉산리 1375", "지도Link")</f>
        <v/>
      </c>
      <c r="N245" s="6">
        <f>HYPERLINK("http://www.eum.go.kr/web/ar/lu/luLandDet.jsp?pnu=4311325031113750000&amp;isNoScr=script&amp;mode=search", "토지이음")</f>
        <v/>
      </c>
      <c r="O245" s="3" t="inlineStr">
        <is>
          <t>청주원</t>
        </is>
      </c>
      <c r="P245" s="4" t="n">
        <v>3</v>
      </c>
      <c r="Q245" s="4" t="n">
        <v>239.5</v>
      </c>
      <c r="R245" s="3" t="inlineStr">
        <is>
          <t>지정되지않음</t>
        </is>
      </c>
      <c r="S245" s="3" t="inlineStr">
        <is>
          <t>주거기타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오송읍 봉산리 1379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32000</v>
      </c>
      <c r="G246" s="4" t="n">
        <v>239</v>
      </c>
      <c r="H246" s="4" t="n">
        <v>72</v>
      </c>
      <c r="I246" s="5" t="n">
        <v>444.4</v>
      </c>
      <c r="J246" s="5" t="n">
        <v>207.9</v>
      </c>
      <c r="K246" s="3" t="inlineStr">
        <is>
          <t>오송역도보 5분거리내, 원투룸인기좋은위치.신축후 건물주가되세요</t>
        </is>
      </c>
      <c r="L246" s="6">
        <f>HYPERLINK("https://fin.land.naver.com/articles/2645955508", "매물Link")</f>
        <v/>
      </c>
      <c r="M246" s="6">
        <f>HYPERLINK("https://map.naver.com/p/search/오송읍 봉산리 1379", "지도Link")</f>
        <v/>
      </c>
      <c r="N246" s="6">
        <f>HYPERLINK("http://www.eum.go.kr/web/ar/lu/luLandDet.jsp?pnu=4311325031113790000&amp;isNoScr=script&amp;mode=search", "토지이음")</f>
        <v/>
      </c>
      <c r="O246" s="3" t="inlineStr">
        <is>
          <t>오송부자마을</t>
        </is>
      </c>
      <c r="P246" s="4" t="n">
        <v>1</v>
      </c>
      <c r="Q246" s="4" t="n">
        <v>239.4</v>
      </c>
      <c r="R246" s="3" t="inlineStr">
        <is>
          <t>지정되지않음</t>
        </is>
      </c>
      <c r="S246" s="3" t="inlineStr">
        <is>
          <t>주거기타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오송읍 봉산리 1415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42000</v>
      </c>
      <c r="G247" s="4" t="n">
        <v>244</v>
      </c>
      <c r="H247" s="4" t="n">
        <v>74</v>
      </c>
      <c r="I247" s="5" t="n">
        <v>567.6</v>
      </c>
      <c r="J247" s="5" t="n">
        <v>207.9</v>
      </c>
      <c r="K247" s="3" t="inlineStr">
        <is>
          <t>오송2산단 상가 주택부지 입니다 남향</t>
        </is>
      </c>
      <c r="L247" s="6">
        <f>HYPERLINK("https://fin.land.naver.com/articles/2648085242", "매물Link")</f>
        <v/>
      </c>
      <c r="M247" s="6">
        <f>HYPERLINK("https://map.naver.com/p/search/오송읍 봉산리 1415", "지도Link")</f>
        <v/>
      </c>
      <c r="N247" s="6">
        <f>HYPERLINK("http://www.eum.go.kr/web/ar/lu/luLandDet.jsp?pnu=4311325031114150000&amp;isNoScr=script&amp;mode=search", "토지이음")</f>
        <v/>
      </c>
      <c r="O247" s="3" t="inlineStr">
        <is>
          <t>365</t>
        </is>
      </c>
      <c r="P247" s="4" t="n">
        <v>1</v>
      </c>
      <c r="Q247" s="4" t="n">
        <v>244</v>
      </c>
      <c r="R247" s="3" t="inlineStr">
        <is>
          <t>지정되지않음</t>
        </is>
      </c>
      <c r="S247" s="3" t="inlineStr">
        <is>
          <t>주거기타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오송읍 봉산리 1417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39000</v>
      </c>
      <c r="G248" s="4" t="n">
        <v>244</v>
      </c>
      <c r="H248" s="4" t="n">
        <v>74</v>
      </c>
      <c r="I248" s="5" t="n">
        <v>527</v>
      </c>
      <c r="J248" s="5" t="n">
        <v>207.9</v>
      </c>
      <c r="K248" s="3" t="inlineStr">
        <is>
          <t>오송역도보 10여분거리, 오송역대광1차아파트와 근거리, 남향</t>
        </is>
      </c>
      <c r="L248" s="6">
        <f>HYPERLINK("https://fin.land.naver.com/articles/2648561393", "매물Link")</f>
        <v/>
      </c>
      <c r="M248" s="6">
        <f>HYPERLINK("https://map.naver.com/p/search/오송읍 봉산리 1417", "지도Link")</f>
        <v/>
      </c>
      <c r="N248" s="6">
        <f>HYPERLINK("http://www.eum.go.kr/web/ar/lu/luLandDet.jsp?pnu=4311325031114170000&amp;isNoScr=script&amp;mode=search", "토지이음")</f>
        <v/>
      </c>
      <c r="O248" s="3" t="inlineStr">
        <is>
          <t>서한단지내114</t>
        </is>
      </c>
      <c r="P248" s="4" t="n">
        <v>2</v>
      </c>
      <c r="Q248" s="4" t="n">
        <v>244</v>
      </c>
      <c r="R248" s="3" t="inlineStr">
        <is>
          <t>지정되지않음</t>
        </is>
      </c>
      <c r="S248" s="3" t="inlineStr">
        <is>
          <t>주거기타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오송읍 봉산리 1419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45000</v>
      </c>
      <c r="G249" s="4" t="n">
        <v>238</v>
      </c>
      <c r="H249" s="4" t="n">
        <v>72</v>
      </c>
      <c r="I249" s="5" t="n">
        <v>625</v>
      </c>
      <c r="J249" s="5" t="n">
        <v>250.2</v>
      </c>
      <c r="K249" s="3" t="inlineStr">
        <is>
          <t>오송2산단 다가구 건축 용도 삼면 각지 토지</t>
        </is>
      </c>
      <c r="L249" s="6">
        <f>HYPERLINK("https://fin.land.naver.com/articles/2645321056", "매물Link")</f>
        <v/>
      </c>
      <c r="M249" s="6">
        <f>HYPERLINK("https://map.naver.com/p/search/오송읍 봉산리 1419", "지도Link")</f>
        <v/>
      </c>
      <c r="N249" s="6">
        <f>HYPERLINK("http://www.eum.go.kr/web/ar/lu/luLandDet.jsp?pnu=4311325031114190000&amp;isNoScr=script&amp;mode=search", "토지이음")</f>
        <v/>
      </c>
      <c r="O249" s="3" t="inlineStr">
        <is>
          <t>365</t>
        </is>
      </c>
      <c r="P249" s="4" t="n">
        <v>1</v>
      </c>
      <c r="Q249" s="4" t="n">
        <v>238.1</v>
      </c>
      <c r="R249" s="3" t="inlineStr">
        <is>
          <t>지정되지않음</t>
        </is>
      </c>
      <c r="S249" s="3" t="inlineStr">
        <is>
          <t>주상기타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소로각지</t>
        </is>
      </c>
    </row>
    <row r="250">
      <c r="A250" s="3" t="inlineStr">
        <is>
          <t>오송읍 봉산리 796</t>
        </is>
      </c>
      <c r="B250" s="3" t="inlineStr">
        <is>
          <t>제1종일반주거지역</t>
        </is>
      </c>
      <c r="C250" s="3" t="inlineStr">
        <is>
          <t>주차장</t>
        </is>
      </c>
      <c r="D250" s="3" t="inlineStr">
        <is>
          <t>주차장</t>
        </is>
      </c>
      <c r="E250" s="3" t="inlineStr">
        <is>
          <t>매매</t>
        </is>
      </c>
      <c r="F250" s="4" t="n">
        <v>150000</v>
      </c>
      <c r="G250" s="4" t="n">
        <v>1039</v>
      </c>
      <c r="H250" s="4" t="n">
        <v>314</v>
      </c>
      <c r="I250" s="5" t="n">
        <v>477.7</v>
      </c>
      <c r="J250" s="5" t="n">
        <v>207.4</v>
      </c>
      <c r="K250" s="3" t="inlineStr">
        <is>
          <t>아파트 학교옆 인프라좋고 편의시설주변 주차장용지로 모든업종가능</t>
        </is>
      </c>
      <c r="L250" s="6">
        <f>HYPERLINK("https://fin.land.naver.com/articles/2647244026", "매물Link")</f>
        <v/>
      </c>
      <c r="M250" s="6">
        <f>HYPERLINK("https://map.naver.com/p/search/오송읍 봉산리 796", "지도Link")</f>
        <v/>
      </c>
      <c r="N250" s="6">
        <f>HYPERLINK("http://www.eum.go.kr/web/ar/lu/luLandDet.jsp?pnu=4311325031107960000&amp;isNoScr=script&amp;mode=search", "토지이음")</f>
        <v/>
      </c>
      <c r="O250" s="3" t="inlineStr">
        <is>
          <t>하림</t>
        </is>
      </c>
      <c r="P250" s="4" t="n">
        <v>1</v>
      </c>
      <c r="Q250" s="4" t="n">
        <v>1039.2</v>
      </c>
      <c r="R250" s="3" t="inlineStr">
        <is>
          <t>지정되지않음</t>
        </is>
      </c>
      <c r="S250" s="3" t="inlineStr">
        <is>
          <t>주차장등</t>
        </is>
      </c>
      <c r="T250" s="3" t="inlineStr">
        <is>
          <t>평지</t>
        </is>
      </c>
      <c r="U250" s="3" t="inlineStr">
        <is>
          <t>부정형</t>
        </is>
      </c>
      <c r="V250" s="3" t="inlineStr">
        <is>
          <t>중로각지</t>
        </is>
      </c>
    </row>
    <row r="251">
      <c r="A251" s="3" t="inlineStr">
        <is>
          <t>오송읍 봉산리 841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38000</v>
      </c>
      <c r="G251" s="4" t="n">
        <v>249</v>
      </c>
      <c r="H251" s="4" t="n">
        <v>75</v>
      </c>
      <c r="I251" s="5" t="n">
        <v>506.7</v>
      </c>
      <c r="J251" s="5" t="n">
        <v>342.8</v>
      </c>
      <c r="K251" s="3" t="inlineStr">
        <is>
          <t>대도로변 토지,상가 입점하기 좋은 위치</t>
        </is>
      </c>
      <c r="L251" s="6">
        <f>HYPERLINK("https://fin.land.naver.com/articles/2645985092", "매물Link")</f>
        <v/>
      </c>
      <c r="M251" s="6">
        <f>HYPERLINK("https://map.naver.com/p/search/오송읍 봉산리 841", "지도Link")</f>
        <v/>
      </c>
      <c r="N251" s="6">
        <f>HYPERLINK("http://www.eum.go.kr/web/ar/lu/luLandDet.jsp?pnu=4311325031108410000&amp;isNoScr=script&amp;mode=search", "토지이음")</f>
        <v/>
      </c>
      <c r="O251" s="3" t="inlineStr">
        <is>
          <t>오송2단지창조</t>
        </is>
      </c>
      <c r="P251" s="4" t="n">
        <v>1</v>
      </c>
      <c r="Q251" s="4" t="n">
        <v>249.4</v>
      </c>
      <c r="R251" s="3" t="inlineStr">
        <is>
          <t>지정되지않음</t>
        </is>
      </c>
      <c r="S251" s="3" t="inlineStr">
        <is>
          <t>주상기타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중로각지</t>
        </is>
      </c>
    </row>
    <row r="252">
      <c r="A252" s="3" t="inlineStr">
        <is>
          <t>오송읍 봉산리 853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45000</v>
      </c>
      <c r="G252" s="4" t="n">
        <v>276</v>
      </c>
      <c r="H252" s="4" t="n">
        <v>83</v>
      </c>
      <c r="I252" s="5" t="n">
        <v>542.2</v>
      </c>
      <c r="J252" s="5" t="n">
        <v>205.7</v>
      </c>
      <c r="K252" s="3" t="inlineStr">
        <is>
          <t>nan</t>
        </is>
      </c>
      <c r="L252" s="6">
        <f>HYPERLINK("https://fin.land.naver.com/articles/2645321083", "매물Link")</f>
        <v/>
      </c>
      <c r="M252" s="6">
        <f>HYPERLINK("https://map.naver.com/p/search/오송읍 봉산리 853", "지도Link")</f>
        <v/>
      </c>
      <c r="N252" s="6">
        <f>HYPERLINK("http://www.eum.go.kr/web/ar/lu/luLandDet.jsp?pnu=4311325031108530000&amp;isNoScr=script&amp;mode=search", "토지이음")</f>
        <v/>
      </c>
      <c r="O252" s="3" t="inlineStr">
        <is>
          <t>365</t>
        </is>
      </c>
      <c r="P252" s="4" t="n">
        <v>1</v>
      </c>
      <c r="Q252" s="4" t="n">
        <v>276.1</v>
      </c>
      <c r="R252" s="3" t="inlineStr">
        <is>
          <t>지정되지않음</t>
        </is>
      </c>
      <c r="S252" s="3" t="inlineStr">
        <is>
          <t>주거기타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오송읍 봉산리 853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45000</v>
      </c>
      <c r="G253" s="4" t="n">
        <v>276</v>
      </c>
      <c r="H253" s="4" t="n">
        <v>83</v>
      </c>
      <c r="I253" s="5" t="n">
        <v>542.2</v>
      </c>
      <c r="J253" s="5" t="n">
        <v>205.7</v>
      </c>
      <c r="K253" s="3" t="inlineStr">
        <is>
          <t>솔미초 인근 다가구용 토지 매매</t>
        </is>
      </c>
      <c r="L253" s="6">
        <f>HYPERLINK("https://fin.land.naver.com/articles/2650364095", "매물Link")</f>
        <v/>
      </c>
      <c r="M253" s="6">
        <f>HYPERLINK("https://map.naver.com/p/search/오송읍 봉산리 853", "지도Link")</f>
        <v/>
      </c>
      <c r="N253" s="6">
        <f>HYPERLINK("http://www.eum.go.kr/web/ar/lu/luLandDet.jsp?pnu=4311325031108530000&amp;isNoScr=script&amp;mode=search", "토지이음")</f>
        <v/>
      </c>
      <c r="O253" s="3" t="inlineStr">
        <is>
          <t>광장</t>
        </is>
      </c>
      <c r="P253" s="4" t="n">
        <v>1</v>
      </c>
      <c r="Q253" s="4" t="n">
        <v>276.1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오송읍 봉산리 872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49000</v>
      </c>
      <c r="G254" s="4" t="n">
        <v>271</v>
      </c>
      <c r="H254" s="4" t="n">
        <v>82</v>
      </c>
      <c r="I254" s="5" t="n">
        <v>597.6</v>
      </c>
      <c r="J254" s="5" t="n">
        <v>236</v>
      </c>
      <c r="K254" s="3" t="inlineStr">
        <is>
          <t>다가구주택용 대지, 임대세대 구성하기 좋은 면적</t>
        </is>
      </c>
      <c r="L254" s="6">
        <f>HYPERLINK("https://fin.land.naver.com/articles/2645396621", "매물Link")</f>
        <v/>
      </c>
      <c r="M254" s="6">
        <f>HYPERLINK("https://map.naver.com/p/search/오송읍 봉산리 872", "지도Link")</f>
        <v/>
      </c>
      <c r="N254" s="6">
        <f>HYPERLINK("http://www.eum.go.kr/web/ar/lu/luLandDet.jsp?pnu=4311325031108720000&amp;isNoScr=script&amp;mode=search", "토지이음")</f>
        <v/>
      </c>
      <c r="O254" s="3" t="inlineStr">
        <is>
          <t>광장</t>
        </is>
      </c>
      <c r="P254" s="4" t="n">
        <v>1</v>
      </c>
      <c r="Q254" s="4" t="n">
        <v>271.2</v>
      </c>
      <c r="R254" s="3" t="inlineStr">
        <is>
          <t>지정되지않음</t>
        </is>
      </c>
      <c r="S254" s="3" t="inlineStr">
        <is>
          <t>주상기타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오송읍 봉산리 888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252</v>
      </c>
      <c r="H255" s="4" t="n">
        <v>76</v>
      </c>
      <c r="I255" s="5" t="n">
        <v>789.5</v>
      </c>
      <c r="J255" s="5" t="n">
        <v>291</v>
      </c>
      <c r="K255" s="3" t="inlineStr">
        <is>
          <t>오송 철도국가산단 수혜 핵심 입지</t>
        </is>
      </c>
      <c r="L255" s="6">
        <f>HYPERLINK("https://fin.land.naver.com/articles/2648559186", "매물Link")</f>
        <v/>
      </c>
      <c r="M255" s="6">
        <f>HYPERLINK("https://map.naver.com/p/search/오송읍 봉산리 888", "지도Link")</f>
        <v/>
      </c>
      <c r="N255" s="6">
        <f>HYPERLINK("http://www.eum.go.kr/web/ar/lu/luLandDet.jsp?pnu=4311325031108880000&amp;isNoScr=script&amp;mode=search", "토지이음")</f>
        <v/>
      </c>
      <c r="O255" s="3" t="inlineStr">
        <is>
          <t>복덩이</t>
        </is>
      </c>
      <c r="P255" s="4" t="n">
        <v>1</v>
      </c>
      <c r="Q255" s="4" t="n">
        <v>252.1</v>
      </c>
      <c r="R255" s="3" t="inlineStr">
        <is>
          <t>지정되지않음</t>
        </is>
      </c>
      <c r="S255" s="3" t="inlineStr">
        <is>
          <t>주상기타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오송읍 봉산리 954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265</v>
      </c>
      <c r="H256" s="4" t="n">
        <v>80</v>
      </c>
      <c r="I256" s="5" t="n">
        <v>750</v>
      </c>
      <c r="J256" s="5" t="n">
        <v>257.5</v>
      </c>
      <c r="K256" s="3" t="inlineStr">
        <is>
          <t>위치좋은 코너땅 입니다</t>
        </is>
      </c>
      <c r="L256" s="6">
        <f>HYPERLINK("https://fin.land.naver.com/articles/2645987267", "매물Link")</f>
        <v/>
      </c>
      <c r="M256" s="6">
        <f>HYPERLINK("https://map.naver.com/p/search/오송읍 봉산리 954", "지도Link")</f>
        <v/>
      </c>
      <c r="N256" s="6">
        <f>HYPERLINK("http://www.eum.go.kr/web/ar/lu/luLandDet.jsp?pnu=4311325031109540000&amp;isNoScr=script&amp;mode=search", "토지이음")</f>
        <v/>
      </c>
      <c r="O256" s="3" t="inlineStr">
        <is>
          <t>오송2단지창조</t>
        </is>
      </c>
      <c r="P256" s="4" t="n">
        <v>1</v>
      </c>
      <c r="Q256" s="4" t="n">
        <v>265.3</v>
      </c>
      <c r="R256" s="3" t="inlineStr">
        <is>
          <t>지정되지않음</t>
        </is>
      </c>
      <c r="S256" s="3" t="inlineStr">
        <is>
          <t>주상기타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오송읍 봉산리 978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353000</v>
      </c>
      <c r="G257" s="4" t="n">
        <v>1295</v>
      </c>
      <c r="H257" s="4" t="n">
        <v>392</v>
      </c>
      <c r="I257" s="5" t="n">
        <v>900.5</v>
      </c>
      <c r="J257" s="5" t="n">
        <v>585.5</v>
      </c>
      <c r="K257" s="3" t="inlineStr">
        <is>
          <t>오송읍 봉산리 상업용지 매매</t>
        </is>
      </c>
      <c r="L257" s="6">
        <f>HYPERLINK("https://fin.land.naver.com/articles/2650259873", "매물Link")</f>
        <v/>
      </c>
      <c r="M257" s="6">
        <f>HYPERLINK("https://map.naver.com/p/search/오송읍 봉산리 978", "지도Link")</f>
        <v/>
      </c>
      <c r="N257" s="6">
        <f>HYPERLINK("http://www.eum.go.kr/web/ar/lu/luLandDet.jsp?pnu=4311325031109780000&amp;isNoScr=script&amp;mode=search", "토지이음")</f>
        <v/>
      </c>
      <c r="O257" s="3" t="inlineStr">
        <is>
          <t>일등</t>
        </is>
      </c>
      <c r="P257" s="4" t="n">
        <v>1</v>
      </c>
      <c r="Q257" s="4" t="n">
        <v>1295.6</v>
      </c>
      <c r="R257" s="3" t="inlineStr">
        <is>
          <t>지정되지않음</t>
        </is>
      </c>
      <c r="S257" s="3" t="inlineStr">
        <is>
          <t>상업기타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오송읍 봉산리 986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347900</v>
      </c>
      <c r="G258" s="4" t="n">
        <v>821</v>
      </c>
      <c r="H258" s="4" t="n">
        <v>248</v>
      </c>
      <c r="I258" s="5" t="n">
        <v>1402.8</v>
      </c>
      <c r="J258" s="5" t="n">
        <v>585.5</v>
      </c>
      <c r="K258" s="3" t="inlineStr">
        <is>
          <t>상권 형성 초입, 선점 가능한 상업용지 개발수혜가 기대되는 땅</t>
        </is>
      </c>
      <c r="L258" s="6">
        <f>HYPERLINK("https://fin.land.naver.com/articles/2646874573", "매물Link")</f>
        <v/>
      </c>
      <c r="M258" s="6">
        <f>HYPERLINK("https://map.naver.com/p/search/오송읍 봉산리 986", "지도Link")</f>
        <v/>
      </c>
      <c r="N258" s="6">
        <f>HYPERLINK("http://www.eum.go.kr/web/ar/lu/luLandDet.jsp?pnu=4311325031109860000&amp;isNoScr=script&amp;mode=search", "토지이음")</f>
        <v/>
      </c>
      <c r="O258" s="3" t="inlineStr">
        <is>
          <t>우영</t>
        </is>
      </c>
      <c r="P258" s="4" t="n">
        <v>1</v>
      </c>
      <c r="Q258" s="4" t="n">
        <v>821.6</v>
      </c>
      <c r="R258" s="3" t="inlineStr">
        <is>
          <t>지정되지않음</t>
        </is>
      </c>
      <c r="S258" s="3" t="inlineStr">
        <is>
          <t>상업기타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중로각지</t>
        </is>
      </c>
    </row>
    <row r="259">
      <c r="A259" s="3" t="inlineStr">
        <is>
          <t>오송읍 상봉리 114-3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25000</v>
      </c>
      <c r="G259" s="4" t="n">
        <v>602</v>
      </c>
      <c r="H259" s="4" t="n">
        <v>182</v>
      </c>
      <c r="I259" s="5" t="n">
        <v>137.4</v>
      </c>
      <c r="J259" s="5" t="n">
        <v>48.7</v>
      </c>
      <c r="K259" s="3" t="inlineStr">
        <is>
          <t>오송읍 전원주택지 매매</t>
        </is>
      </c>
      <c r="L259" s="6">
        <f>HYPERLINK("https://fin.land.naver.com/articles/2648188603", "매물Link")</f>
        <v/>
      </c>
      <c r="M259" s="6">
        <f>HYPERLINK("https://map.naver.com/p/search/오송읍 상봉리 114-3", "지도Link")</f>
        <v/>
      </c>
      <c r="N259" s="6">
        <f>HYPERLINK("http://www.eum.go.kr/web/ar/lu/luLandDet.jsp?pnu=4311325033101140003&amp;isNoScr=script&amp;mode=search", "토지이음")</f>
        <v/>
      </c>
      <c r="O259" s="3" t="inlineStr">
        <is>
          <t>학사</t>
        </is>
      </c>
      <c r="P259" s="4" t="n">
        <v>1</v>
      </c>
      <c r="Q259" s="4" t="n">
        <v>602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세로한면(가)</t>
        </is>
      </c>
    </row>
    <row r="260">
      <c r="A260" s="3" t="inlineStr">
        <is>
          <t>오송읍 상봉리 210</t>
        </is>
      </c>
      <c r="B260" s="3" t="inlineStr">
        <is>
          <t>계획관리지역</t>
        </is>
      </c>
      <c r="C260" s="3" t="inlineStr">
        <is>
          <t>전</t>
        </is>
      </c>
      <c r="D260" s="3" t="inlineStr">
        <is>
          <t>전</t>
        </is>
      </c>
      <c r="E260" s="3" t="inlineStr">
        <is>
          <t>매매</t>
        </is>
      </c>
      <c r="F260" s="4" t="n">
        <v>100000</v>
      </c>
      <c r="G260" s="4" t="n">
        <v>3298</v>
      </c>
      <c r="H260" s="4" t="n">
        <v>998</v>
      </c>
      <c r="I260" s="5" t="n">
        <v>100.2</v>
      </c>
      <c r="J260" s="5" t="n">
        <v>34.7</v>
      </c>
      <c r="K260" s="3" t="inlineStr">
        <is>
          <t>계획관리토지 역세권중장기 투자계획으로우수한 토지 공장 카페 창고 실버타운</t>
        </is>
      </c>
      <c r="L260" s="6">
        <f>HYPERLINK("https://fin.land.naver.com/articles/2649374986", "매물Link")</f>
        <v/>
      </c>
      <c r="M260" s="6">
        <f>HYPERLINK("https://map.naver.com/p/search/오송읍 상봉리 210", "지도Link")</f>
        <v/>
      </c>
      <c r="N260" s="6">
        <f>HYPERLINK("http://www.eum.go.kr/web/ar/lu/luLandDet.jsp?pnu=4311325033102100000&amp;isNoScr=script&amp;mode=search", "토지이음")</f>
        <v/>
      </c>
      <c r="O260" s="3" t="inlineStr">
        <is>
          <t>하림</t>
        </is>
      </c>
      <c r="P260" s="4" t="n">
        <v>1</v>
      </c>
      <c r="Q260" s="4" t="n">
        <v>3298</v>
      </c>
      <c r="R260" s="3" t="inlineStr">
        <is>
          <t>지정되지않음</t>
        </is>
      </c>
      <c r="S260" s="3" t="inlineStr">
        <is>
          <t>전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세로각지(가)</t>
        </is>
      </c>
    </row>
    <row r="261">
      <c r="A261" s="3" t="inlineStr">
        <is>
          <t>오송읍 상봉리 240-4</t>
        </is>
      </c>
      <c r="B261" s="3" t="inlineStr">
        <is>
          <t>계획관리지역</t>
        </is>
      </c>
      <c r="C261" s="3" t="inlineStr">
        <is>
          <t>전</t>
        </is>
      </c>
      <c r="D261" s="3" t="inlineStr">
        <is>
          <t>전</t>
        </is>
      </c>
      <c r="E261" s="3" t="inlineStr">
        <is>
          <t>매매</t>
        </is>
      </c>
      <c r="F261" s="4" t="n">
        <v>200000</v>
      </c>
      <c r="G261" s="4" t="n">
        <v>1896</v>
      </c>
      <c r="H261" s="4" t="n">
        <v>574</v>
      </c>
      <c r="I261" s="5" t="n">
        <v>348.4</v>
      </c>
      <c r="J261" s="5" t="n">
        <v>45</v>
      </c>
      <c r="K261" s="3" t="inlineStr">
        <is>
          <t>2차선도로 및 3면이 포장도로에 접한 직사각형 모양의 계획관리지역의 전</t>
        </is>
      </c>
      <c r="L261" s="6">
        <f>HYPERLINK("https://fin.land.naver.com/articles/2646618646", "매물Link")</f>
        <v/>
      </c>
      <c r="M261" s="6">
        <f>HYPERLINK("https://map.naver.com/p/search/오송읍 상봉리 240-4", "지도Link")</f>
        <v/>
      </c>
      <c r="N261" s="6">
        <f>HYPERLINK("http://www.eum.go.kr/web/ar/lu/luLandDet.jsp?pnu=4311325033102400004&amp;isNoScr=script&amp;mode=search", "토지이음")</f>
        <v/>
      </c>
      <c r="O261" s="3" t="inlineStr">
        <is>
          <t>스마일세종</t>
        </is>
      </c>
      <c r="P261" s="4" t="n">
        <v>1</v>
      </c>
      <c r="Q261" s="4" t="n">
        <v>1896</v>
      </c>
      <c r="R261" s="3" t="inlineStr">
        <is>
          <t>지정되지않음</t>
        </is>
      </c>
      <c r="S261" s="3" t="inlineStr">
        <is>
          <t>전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오송읍 상봉리 313</t>
        </is>
      </c>
      <c r="B262" s="3" t="inlineStr">
        <is>
          <t>보전관리지역</t>
        </is>
      </c>
      <c r="C262" s="3" t="inlineStr">
        <is>
          <t>답</t>
        </is>
      </c>
      <c r="D262" s="3" t="inlineStr">
        <is>
          <t>답</t>
        </is>
      </c>
      <c r="E262" s="3" t="inlineStr">
        <is>
          <t>매매</t>
        </is>
      </c>
      <c r="F262" s="4" t="n">
        <v>40000</v>
      </c>
      <c r="G262" s="4" t="n">
        <v>2615</v>
      </c>
      <c r="H262" s="4" t="n">
        <v>791</v>
      </c>
      <c r="I262" s="5" t="n">
        <v>50.6</v>
      </c>
      <c r="J262" s="5" t="n">
        <v>10</v>
      </c>
      <c r="K262" s="3" t="inlineStr">
        <is>
          <t>세종시 경계부근에 위치 전원주택 주말농지 추천</t>
        </is>
      </c>
      <c r="L262" s="6">
        <f>HYPERLINK("https://fin.land.naver.com/articles/2645781584", "매물Link")</f>
        <v/>
      </c>
      <c r="M262" s="6">
        <f>HYPERLINK("https://map.naver.com/p/search/오송읍 상봉리 313", "지도Link")</f>
        <v/>
      </c>
      <c r="N262" s="6">
        <f>HYPERLINK("http://www.eum.go.kr/web/ar/lu/luLandDet.jsp?pnu=4311325033103130000&amp;isNoScr=script&amp;mode=search", "토지이음")</f>
        <v/>
      </c>
      <c r="O262" s="3" t="inlineStr">
        <is>
          <t>복수지구</t>
        </is>
      </c>
      <c r="P262" s="4" t="n">
        <v>1</v>
      </c>
      <c r="Q262" s="4" t="n">
        <v>2615</v>
      </c>
      <c r="R262" s="3" t="inlineStr">
        <is>
          <t>지정되지않음</t>
        </is>
      </c>
      <c r="S262" s="3" t="inlineStr">
        <is>
          <t>답</t>
        </is>
      </c>
      <c r="T262" s="3" t="inlineStr">
        <is>
          <t>완경사</t>
        </is>
      </c>
      <c r="U262" s="3" t="inlineStr">
        <is>
          <t>부정형</t>
        </is>
      </c>
      <c r="V262" s="3" t="inlineStr">
        <is>
          <t>세로한면(가)</t>
        </is>
      </c>
    </row>
    <row r="263">
      <c r="A263" s="3" t="inlineStr">
        <is>
          <t>오송읍 상봉리 359-3</t>
        </is>
      </c>
      <c r="B263" s="3" t="inlineStr">
        <is>
          <t>농림지역</t>
        </is>
      </c>
      <c r="C263" s="3" t="inlineStr">
        <is>
          <t>답</t>
        </is>
      </c>
      <c r="D263" s="3" t="inlineStr">
        <is>
          <t>답</t>
        </is>
      </c>
      <c r="E263" s="3" t="inlineStr">
        <is>
          <t>매매</t>
        </is>
      </c>
      <c r="F263" s="4" t="n">
        <v>25000</v>
      </c>
      <c r="G263" s="4" t="n">
        <v>2008</v>
      </c>
      <c r="H263" s="4" t="n">
        <v>607</v>
      </c>
      <c r="I263" s="5" t="n">
        <v>41.2</v>
      </c>
      <c r="J263" s="5" t="n">
        <v>21.5</v>
      </c>
      <c r="K263" s="3" t="inlineStr">
        <is>
          <t>밴처밸리,오송2산단 차량3분 대토 과수원 농가주택 창고등 추천</t>
        </is>
      </c>
      <c r="L263" s="6">
        <f>HYPERLINK("https://fin.land.naver.com/articles/2649259041", "매물Link")</f>
        <v/>
      </c>
      <c r="M263" s="6">
        <f>HYPERLINK("https://map.naver.com/p/search/오송읍 상봉리 359-3", "지도Link")</f>
        <v/>
      </c>
      <c r="N263" s="6">
        <f>HYPERLINK("http://www.eum.go.kr/web/ar/lu/luLandDet.jsp?pnu=4311325033103590003&amp;isNoScr=script&amp;mode=search", "토지이음")</f>
        <v/>
      </c>
      <c r="O263" s="3" t="inlineStr">
        <is>
          <t>신안무소</t>
        </is>
      </c>
      <c r="P263" s="4" t="n">
        <v>1</v>
      </c>
      <c r="Q263" s="4" t="n">
        <v>2008</v>
      </c>
      <c r="R263" s="3" t="inlineStr">
        <is>
          <t>지정되지않음</t>
        </is>
      </c>
      <c r="S263" s="3" t="inlineStr">
        <is>
          <t>답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세로각지(가)</t>
        </is>
      </c>
    </row>
    <row r="264">
      <c r="A264" s="3" t="inlineStr">
        <is>
          <t>오송읍 상봉리 415-1</t>
        </is>
      </c>
      <c r="B264" s="3" t="inlineStr">
        <is>
          <t>농림지역</t>
        </is>
      </c>
      <c r="C264" s="3" t="inlineStr">
        <is>
          <t>답</t>
        </is>
      </c>
      <c r="D264" s="3" t="inlineStr">
        <is>
          <t>답</t>
        </is>
      </c>
      <c r="E264" s="3" t="inlineStr">
        <is>
          <t>매매</t>
        </is>
      </c>
      <c r="F264" s="4" t="n">
        <v>26000</v>
      </c>
      <c r="G264" s="4" t="n">
        <v>1230</v>
      </c>
      <c r="H264" s="4" t="n">
        <v>372</v>
      </c>
      <c r="I264" s="5" t="n">
        <v>69.90000000000001</v>
      </c>
      <c r="J264" s="5" t="n">
        <v>22</v>
      </c>
      <c r="K264" s="3" t="inlineStr">
        <is>
          <t>농림지역, 도로접함, 영농 및 농가주택 가능</t>
        </is>
      </c>
      <c r="L264" s="6">
        <f>HYPERLINK("https://fin.land.naver.com/articles/2650488027", "매물Link")</f>
        <v/>
      </c>
      <c r="M264" s="6">
        <f>HYPERLINK("https://map.naver.com/p/search/오송읍 상봉리 415-1", "지도Link")</f>
        <v/>
      </c>
      <c r="N264" s="6">
        <f>HYPERLINK("http://www.eum.go.kr/web/ar/lu/luLandDet.jsp?pnu=4311325033104150001&amp;isNoScr=script&amp;mode=search", "토지이음")</f>
        <v/>
      </c>
      <c r="O264" s="3" t="inlineStr">
        <is>
          <t>세종나라</t>
        </is>
      </c>
      <c r="P264" s="4" t="n">
        <v>8</v>
      </c>
      <c r="Q264" s="4" t="n">
        <v>1230</v>
      </c>
      <c r="R264" s="3" t="inlineStr">
        <is>
          <t>지정되지않음</t>
        </is>
      </c>
      <c r="S264" s="3" t="inlineStr">
        <is>
          <t>답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세로한면(가)</t>
        </is>
      </c>
    </row>
    <row r="265">
      <c r="A265" s="3" t="inlineStr">
        <is>
          <t>오송읍 상봉리 98-15</t>
        </is>
      </c>
      <c r="B265" s="3" t="inlineStr">
        <is>
          <t>생산관리지역</t>
        </is>
      </c>
      <c r="C265" s="3" t="inlineStr">
        <is>
          <t>답</t>
        </is>
      </c>
      <c r="D265" s="3" t="inlineStr">
        <is>
          <t>답</t>
        </is>
      </c>
      <c r="E265" s="3" t="inlineStr">
        <is>
          <t>매매</t>
        </is>
      </c>
      <c r="F265" s="4" t="n">
        <v>35500</v>
      </c>
      <c r="G265" s="4" t="n">
        <v>1468</v>
      </c>
      <c r="H265" s="4" t="n">
        <v>444</v>
      </c>
      <c r="I265" s="5" t="n">
        <v>80</v>
      </c>
      <c r="J265" s="5" t="n">
        <v>26.4</v>
      </c>
      <c r="K265" s="3" t="inlineStr">
        <is>
          <t>신축, 경작, 투자하기 좋은 토지</t>
        </is>
      </c>
      <c r="L265" s="6">
        <f>HYPERLINK("https://fin.land.naver.com/articles/2650650172", "매물Link")</f>
        <v/>
      </c>
      <c r="M265" s="6">
        <f>HYPERLINK("https://map.naver.com/p/search/오송읍 상봉리 98-15", "지도Link")</f>
        <v/>
      </c>
      <c r="N265" s="6">
        <f>HYPERLINK("http://www.eum.go.kr/web/ar/lu/luLandDet.jsp?pnu=4311325033100980015&amp;isNoScr=script&amp;mode=search", "토지이음")</f>
        <v/>
      </c>
      <c r="O265" s="3" t="inlineStr">
        <is>
          <t>학정</t>
        </is>
      </c>
      <c r="P265" s="4" t="n">
        <v>1</v>
      </c>
      <c r="Q265" s="4" t="n">
        <v>1468</v>
      </c>
      <c r="R265" s="3" t="inlineStr">
        <is>
          <t>지정되지않음</t>
        </is>
      </c>
      <c r="S265" s="3" t="inlineStr">
        <is>
          <t>답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세로한면(가)</t>
        </is>
      </c>
    </row>
    <row r="266">
      <c r="A266" s="3" t="inlineStr">
        <is>
          <t>오송읍 상정리 151-18</t>
        </is>
      </c>
      <c r="B266" s="3" t="inlineStr">
        <is>
          <t>보전관리지역</t>
        </is>
      </c>
      <c r="C266" s="3" t="inlineStr">
        <is>
          <t>창고용지</t>
        </is>
      </c>
      <c r="D266" s="3" t="inlineStr">
        <is>
          <t>창고용지</t>
        </is>
      </c>
      <c r="E266" s="3" t="inlineStr">
        <is>
          <t>매매</t>
        </is>
      </c>
      <c r="F266" s="4" t="n">
        <v>40400</v>
      </c>
      <c r="G266" s="4" t="n">
        <v>666</v>
      </c>
      <c r="H266" s="4" t="n">
        <v>201</v>
      </c>
      <c r="I266" s="5" t="n">
        <v>201</v>
      </c>
      <c r="J266" s="5" t="n">
        <v>70.2</v>
      </c>
      <c r="K266" s="3" t="inlineStr">
        <is>
          <t>전원주택단지조성된곳 바로인근 화장품단지개발호재</t>
        </is>
      </c>
      <c r="L266" s="6">
        <f>HYPERLINK("https://fin.land.naver.com/articles/2647609720", "매물Link")</f>
        <v/>
      </c>
      <c r="M266" s="6">
        <f>HYPERLINK("https://map.naver.com/p/search/오송읍 상정리 151-18", "지도Link")</f>
        <v/>
      </c>
      <c r="N266" s="6">
        <f>HYPERLINK("http://www.eum.go.kr/web/ar/lu/luLandDet.jsp?pnu=4311325022101510018&amp;isNoScr=script&amp;mode=search", "토지이음")</f>
        <v/>
      </c>
      <c r="O266" s="3" t="inlineStr">
        <is>
          <t>자이원</t>
        </is>
      </c>
      <c r="P266" s="4" t="n">
        <v>2</v>
      </c>
      <c r="Q266" s="4" t="n">
        <v>573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완경사</t>
        </is>
      </c>
      <c r="U266" s="3" t="inlineStr">
        <is>
          <t>세로장방</t>
        </is>
      </c>
      <c r="V266" s="3" t="inlineStr">
        <is>
          <t>세로한면(가)</t>
        </is>
      </c>
    </row>
    <row r="267">
      <c r="A267" s="3" t="inlineStr">
        <is>
          <t>오송읍 상정리 151-18</t>
        </is>
      </c>
      <c r="B267" s="3" t="inlineStr">
        <is>
          <t>보전관리지역</t>
        </is>
      </c>
      <c r="C267" s="3" t="inlineStr">
        <is>
          <t>창고용지</t>
        </is>
      </c>
      <c r="D267" s="3" t="inlineStr">
        <is>
          <t>창고용지</t>
        </is>
      </c>
      <c r="E267" s="3" t="inlineStr">
        <is>
          <t>매매</t>
        </is>
      </c>
      <c r="F267" s="4" t="n">
        <v>27000</v>
      </c>
      <c r="G267" s="4" t="n">
        <v>573</v>
      </c>
      <c r="H267" s="4" t="n">
        <v>173</v>
      </c>
      <c r="I267" s="5" t="n">
        <v>156.1</v>
      </c>
      <c r="J267" s="5" t="n">
        <v>70.2</v>
      </c>
      <c r="K267" s="3" t="inlineStr">
        <is>
          <t>전원주택 부지, 도심과 가까운 주택부지</t>
        </is>
      </c>
      <c r="L267" s="6">
        <f>HYPERLINK("https://fin.land.naver.com/articles/2645970707", "매물Link")</f>
        <v/>
      </c>
      <c r="M267" s="6">
        <f>HYPERLINK("https://map.naver.com/p/search/오송읍 상정리 151-18", "지도Link")</f>
        <v/>
      </c>
      <c r="N267" s="6">
        <f>HYPERLINK("http://www.eum.go.kr/web/ar/lu/luLandDet.jsp?pnu=4311325022101510018&amp;isNoScr=script&amp;mode=search", "토지이음")</f>
        <v/>
      </c>
      <c r="O267" s="3" t="inlineStr">
        <is>
          <t>오송2단지창조</t>
        </is>
      </c>
      <c r="P267" s="4" t="n">
        <v>1</v>
      </c>
      <c r="Q267" s="4" t="n">
        <v>573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완경사</t>
        </is>
      </c>
      <c r="U267" s="3" t="inlineStr">
        <is>
          <t>세로장방</t>
        </is>
      </c>
      <c r="V267" s="3" t="inlineStr">
        <is>
          <t>세로한면(가)</t>
        </is>
      </c>
    </row>
    <row r="268">
      <c r="A268" s="3" t="inlineStr">
        <is>
          <t>오송읍 상정리 174-7</t>
        </is>
      </c>
      <c r="B268" s="3" t="inlineStr">
        <is>
          <t>계획관리지역</t>
        </is>
      </c>
      <c r="C268" s="3" t="inlineStr">
        <is>
          <t>전</t>
        </is>
      </c>
      <c r="D268" s="3" t="inlineStr">
        <is>
          <t>전</t>
        </is>
      </c>
      <c r="E268" s="3" t="inlineStr">
        <is>
          <t>매매</t>
        </is>
      </c>
      <c r="F268" s="4" t="n">
        <v>80000</v>
      </c>
      <c r="G268" s="4" t="n">
        <v>982</v>
      </c>
      <c r="H268" s="4" t="n">
        <v>297</v>
      </c>
      <c r="I268" s="5" t="n">
        <v>269.4</v>
      </c>
      <c r="J268" s="5" t="n">
        <v>43.7</v>
      </c>
      <c r="K268" s="3" t="inlineStr">
        <is>
          <t>2차선 지방도로에 접한 오송1산업단지와 인접한 계획관리 농지</t>
        </is>
      </c>
      <c r="L268" s="6">
        <f>HYPERLINK("https://fin.land.naver.com/articles/2645397076", "매물Link")</f>
        <v/>
      </c>
      <c r="M268" s="6">
        <f>HYPERLINK("https://map.naver.com/p/search/오송읍 상정리 174-7", "지도Link")</f>
        <v/>
      </c>
      <c r="N268" s="6">
        <f>HYPERLINK("http://www.eum.go.kr/web/ar/lu/luLandDet.jsp?pnu=4311325022101740007&amp;isNoScr=script&amp;mode=search", "토지이음")</f>
        <v/>
      </c>
      <c r="O268" s="3" t="inlineStr">
        <is>
          <t>오송랜드</t>
        </is>
      </c>
      <c r="P268" s="4" t="n">
        <v>1</v>
      </c>
      <c r="Q268" s="4" t="n">
        <v>982</v>
      </c>
      <c r="R268" s="3" t="inlineStr">
        <is>
          <t>지정되지않음</t>
        </is>
      </c>
      <c r="S268" s="3" t="inlineStr">
        <is>
          <t>전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오송읍 상정리 185-2</t>
        </is>
      </c>
      <c r="B269" s="3" t="inlineStr">
        <is>
          <t>계획관리지역</t>
        </is>
      </c>
      <c r="C269" s="3" t="inlineStr">
        <is>
          <t>전</t>
        </is>
      </c>
      <c r="D269" s="3" t="inlineStr">
        <is>
          <t>전</t>
        </is>
      </c>
      <c r="E269" s="3" t="inlineStr">
        <is>
          <t>매매</t>
        </is>
      </c>
      <c r="F269" s="4" t="n">
        <v>61000</v>
      </c>
      <c r="G269" s="4" t="n">
        <v>1299</v>
      </c>
      <c r="H269" s="4" t="n">
        <v>393</v>
      </c>
      <c r="I269" s="5" t="n">
        <v>155.2</v>
      </c>
      <c r="J269" s="5" t="n">
        <v>38.1</v>
      </c>
      <c r="K269" s="3" t="inlineStr">
        <is>
          <t>계획관리 화장품단지인근 전원주택개발지 추후공시지가상승예정지 투자적합</t>
        </is>
      </c>
      <c r="L269" s="6">
        <f>HYPERLINK("https://fin.land.naver.com/articles/2647626107", "매물Link")</f>
        <v/>
      </c>
      <c r="M269" s="6">
        <f>HYPERLINK("https://map.naver.com/p/search/오송읍 상정리 185-2", "지도Link")</f>
        <v/>
      </c>
      <c r="N269" s="6">
        <f>HYPERLINK("http://www.eum.go.kr/web/ar/lu/luLandDet.jsp?pnu=4311325022101850002&amp;isNoScr=script&amp;mode=search", "토지이음")</f>
        <v/>
      </c>
      <c r="O269" s="3" t="inlineStr">
        <is>
          <t>자이원</t>
        </is>
      </c>
      <c r="P269" s="4" t="n">
        <v>2</v>
      </c>
      <c r="Q269" s="4" t="n">
        <v>1299</v>
      </c>
      <c r="R269" s="3" t="inlineStr">
        <is>
          <t>지정되지않음</t>
        </is>
      </c>
      <c r="S269" s="3" t="inlineStr">
        <is>
          <t>전</t>
        </is>
      </c>
      <c r="T269" s="3" t="inlineStr">
        <is>
          <t>평지</t>
        </is>
      </c>
      <c r="U269" s="3" t="inlineStr">
        <is>
          <t>부정형</t>
        </is>
      </c>
      <c r="V269" s="3" t="inlineStr">
        <is>
          <t>세로한면(가)</t>
        </is>
      </c>
    </row>
    <row r="270">
      <c r="A270" s="3" t="inlineStr">
        <is>
          <t>오송읍 상정리 189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130000</v>
      </c>
      <c r="G270" s="4" t="n">
        <v>1413</v>
      </c>
      <c r="H270" s="4" t="n">
        <v>427</v>
      </c>
      <c r="I270" s="5" t="n">
        <v>304.4</v>
      </c>
      <c r="J270" s="5" t="n">
        <v>84.3</v>
      </c>
      <c r="K270" s="3" t="inlineStr">
        <is>
          <t>오송읍 2차선 도로접한 계획관리 토지매매</t>
        </is>
      </c>
      <c r="L270" s="6">
        <f>HYPERLINK("https://fin.land.naver.com/articles/2647592687", "매물Link")</f>
        <v/>
      </c>
      <c r="M270" s="6">
        <f>HYPERLINK("https://map.naver.com/p/search/오송읍 상정리 189", "지도Link")</f>
        <v/>
      </c>
      <c r="N270" s="6">
        <f>HYPERLINK("http://www.eum.go.kr/web/ar/lu/luLandDet.jsp?pnu=4311325022101890000&amp;isNoScr=script&amp;mode=search", "토지이음")</f>
        <v/>
      </c>
      <c r="O270" s="3" t="inlineStr">
        <is>
          <t>대지</t>
        </is>
      </c>
      <c r="P270" s="4" t="n">
        <v>1</v>
      </c>
      <c r="Q270" s="4" t="n">
        <v>733</v>
      </c>
      <c r="R270" s="3" t="inlineStr">
        <is>
          <t>지정되지않음</t>
        </is>
      </c>
      <c r="S270" s="3" t="inlineStr">
        <is>
          <t>단독</t>
        </is>
      </c>
      <c r="T270" s="3" t="inlineStr">
        <is>
          <t>평지</t>
        </is>
      </c>
      <c r="U270" s="3" t="inlineStr">
        <is>
          <t>자루형</t>
        </is>
      </c>
      <c r="V270" s="3" t="inlineStr">
        <is>
          <t>소로한면</t>
        </is>
      </c>
    </row>
    <row r="271">
      <c r="A271" s="3" t="inlineStr">
        <is>
          <t>오송읍 상정리 191-7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86000</v>
      </c>
      <c r="G271" s="4" t="n">
        <v>1011</v>
      </c>
      <c r="H271" s="4" t="n">
        <v>306</v>
      </c>
      <c r="I271" s="5" t="n">
        <v>281</v>
      </c>
      <c r="J271" s="5" t="n">
        <v>83.59999999999999</v>
      </c>
      <c r="K271" s="3" t="inlineStr">
        <is>
          <t>2차선 지방도 인접한 계획관리지역의 토지로 근생가능용지</t>
        </is>
      </c>
      <c r="L271" s="6">
        <f>HYPERLINK("https://fin.land.naver.com/articles/2646745552", "매물Link")</f>
        <v/>
      </c>
      <c r="M271" s="6">
        <f>HYPERLINK("https://map.naver.com/p/search/오송읍 상정리 191-7", "지도Link")</f>
        <v/>
      </c>
      <c r="N271" s="6">
        <f>HYPERLINK("http://www.eum.go.kr/web/ar/lu/luLandDet.jsp?pnu=4311325022101910007&amp;isNoScr=script&amp;mode=search", "토지이음")</f>
        <v/>
      </c>
      <c r="O271" s="3" t="inlineStr">
        <is>
          <t>오송k랜드</t>
        </is>
      </c>
      <c r="P271" s="4" t="n">
        <v>1</v>
      </c>
      <c r="Q271" s="4" t="n">
        <v>1011</v>
      </c>
      <c r="R271" s="3" t="inlineStr">
        <is>
          <t>지정되지않음</t>
        </is>
      </c>
      <c r="S271" s="3" t="inlineStr">
        <is>
          <t>단독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세로한면(가)</t>
        </is>
      </c>
    </row>
    <row r="272">
      <c r="A272" s="3" t="inlineStr">
        <is>
          <t>오송읍 상정리 261</t>
        </is>
      </c>
      <c r="B272" s="3" t="inlineStr">
        <is>
          <t>농림지역</t>
        </is>
      </c>
      <c r="C272" s="3" t="inlineStr">
        <is>
          <t>답</t>
        </is>
      </c>
      <c r="D272" s="3" t="inlineStr">
        <is>
          <t>답</t>
        </is>
      </c>
      <c r="E272" s="3" t="inlineStr">
        <is>
          <t>매매</t>
        </is>
      </c>
      <c r="F272" s="4" t="n">
        <v>27000</v>
      </c>
      <c r="G272" s="4" t="n">
        <v>1083</v>
      </c>
      <c r="H272" s="4" t="n">
        <v>328</v>
      </c>
      <c r="I272" s="5" t="n">
        <v>82.3</v>
      </c>
      <c r="J272" s="5" t="n">
        <v>23.3</v>
      </c>
      <c r="K272" s="3" t="inlineStr">
        <is>
          <t>농림지역</t>
        </is>
      </c>
      <c r="L272" s="6">
        <f>HYPERLINK("https://fin.land.naver.com/articles/2648107540", "매물Link")</f>
        <v/>
      </c>
      <c r="M272" s="6">
        <f>HYPERLINK("https://map.naver.com/p/search/오송읍 상정리 261", "지도Link")</f>
        <v/>
      </c>
      <c r="N272" s="6">
        <f>HYPERLINK("http://www.eum.go.kr/web/ar/lu/luLandDet.jsp?pnu=4311325022102610000&amp;isNoScr=script&amp;mode=search", "토지이음")</f>
        <v/>
      </c>
      <c r="O272" s="3" t="inlineStr">
        <is>
          <t>수풀림</t>
        </is>
      </c>
      <c r="P272" s="4" t="n">
        <v>1</v>
      </c>
      <c r="Q272" s="4" t="n">
        <v>1083</v>
      </c>
      <c r="R272" s="3" t="inlineStr">
        <is>
          <t>지정되지않음</t>
        </is>
      </c>
      <c r="S272" s="3" t="inlineStr">
        <is>
          <t>답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세로한면(가)</t>
        </is>
      </c>
    </row>
    <row r="273">
      <c r="A273" s="3" t="inlineStr">
        <is>
          <t>오송읍 상정리 306</t>
        </is>
      </c>
      <c r="B273" s="3" t="inlineStr">
        <is>
          <t>농림지역</t>
        </is>
      </c>
      <c r="C273" s="3" t="inlineStr">
        <is>
          <t>답</t>
        </is>
      </c>
      <c r="D273" s="3" t="inlineStr">
        <is>
          <t>답</t>
        </is>
      </c>
      <c r="E273" s="3" t="inlineStr">
        <is>
          <t>매매</t>
        </is>
      </c>
      <c r="F273" s="4" t="n">
        <v>42000</v>
      </c>
      <c r="G273" s="4" t="n">
        <v>1714</v>
      </c>
      <c r="H273" s="4" t="n">
        <v>518</v>
      </c>
      <c r="I273" s="5" t="n">
        <v>81.09999999999999</v>
      </c>
      <c r="J273" s="5" t="n">
        <v>26.1</v>
      </c>
      <c r="K273" s="3" t="inlineStr">
        <is>
          <t>농림지역 대토권 최적의 입지 농가 주택 가능한 토지 투자가치 뿜뿜</t>
        </is>
      </c>
      <c r="L273" s="6">
        <f>HYPERLINK("https://fin.land.naver.com/articles/2648907417", "매물Link")</f>
        <v/>
      </c>
      <c r="M273" s="6">
        <f>HYPERLINK("https://map.naver.com/p/search/오송읍 상정리 306", "지도Link")</f>
        <v/>
      </c>
      <c r="N273" s="6">
        <f>HYPERLINK("http://www.eum.go.kr/web/ar/lu/luLandDet.jsp?pnu=4311325022103060000&amp;isNoScr=script&amp;mode=search", "토지이음")</f>
        <v/>
      </c>
      <c r="O273" s="3" t="inlineStr">
        <is>
          <t>오송퍼스트영웅</t>
        </is>
      </c>
      <c r="P273" s="4" t="n">
        <v>1</v>
      </c>
      <c r="Q273" s="4" t="n">
        <v>1714</v>
      </c>
      <c r="R273" s="3" t="inlineStr">
        <is>
          <t>지정되지않음</t>
        </is>
      </c>
      <c r="S273" s="3" t="inlineStr">
        <is>
          <t>전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세로한면(불)</t>
        </is>
      </c>
    </row>
    <row r="274">
      <c r="A274" s="3" t="inlineStr">
        <is>
          <t>오송읍 상정리 62-2</t>
        </is>
      </c>
      <c r="B274" s="3" t="inlineStr">
        <is>
          <t>농림지역</t>
        </is>
      </c>
      <c r="C274" s="3" t="inlineStr">
        <is>
          <t>전</t>
        </is>
      </c>
      <c r="D274" s="3" t="inlineStr">
        <is>
          <t>전</t>
        </is>
      </c>
      <c r="E274" s="3" t="inlineStr">
        <is>
          <t>매매</t>
        </is>
      </c>
      <c r="F274" s="4" t="n">
        <v>58000</v>
      </c>
      <c r="G274" s="4" t="n">
        <v>647</v>
      </c>
      <c r="H274" s="4" t="n">
        <v>196</v>
      </c>
      <c r="I274" s="5" t="n">
        <v>295.9</v>
      </c>
      <c r="J274" s="5" t="n">
        <v>53.2</v>
      </c>
      <c r="K274" s="3" t="inlineStr">
        <is>
          <t>농업용 주택부설창고</t>
        </is>
      </c>
      <c r="L274" s="6">
        <f>HYPERLINK("https://fin.land.naver.com/articles/2650749483", "매물Link")</f>
        <v/>
      </c>
      <c r="M274" s="6">
        <f>HYPERLINK("https://map.naver.com/p/search/오송읍 상정리 62-2", "지도Link")</f>
        <v/>
      </c>
      <c r="N274" s="6">
        <f>HYPERLINK("http://www.eum.go.kr/web/ar/lu/luLandDet.jsp?pnu=4311325022100620002&amp;isNoScr=script&amp;mode=search", "토지이음")</f>
        <v/>
      </c>
      <c r="O274" s="3" t="inlineStr">
        <is>
          <t>현담</t>
        </is>
      </c>
      <c r="P274" s="4" t="n">
        <v>1</v>
      </c>
      <c r="Q274" s="4" t="n">
        <v>647</v>
      </c>
      <c r="R274" s="3" t="inlineStr">
        <is>
          <t>지정되지않음</t>
        </is>
      </c>
      <c r="S274" s="3" t="inlineStr">
        <is>
          <t>단독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소로한면</t>
        </is>
      </c>
    </row>
    <row r="275">
      <c r="A275" s="3" t="inlineStr">
        <is>
          <t>오송읍 상정리 669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36000</v>
      </c>
      <c r="G275" s="4" t="n">
        <v>507</v>
      </c>
      <c r="H275" s="4" t="n">
        <v>153</v>
      </c>
      <c r="I275" s="5" t="n">
        <v>235.3</v>
      </c>
      <c r="J275" s="5" t="n">
        <v>80.09999999999999</v>
      </c>
      <c r="K275" s="3" t="inlineStr">
        <is>
          <t>작은주택이 있는 전원주택부지</t>
        </is>
      </c>
      <c r="L275" s="6">
        <f>HYPERLINK("https://fin.land.naver.com/articles/2649989115", "매물Link")</f>
        <v/>
      </c>
      <c r="M275" s="6">
        <f>HYPERLINK("https://map.naver.com/p/search/오송읍 상정리 669", "지도Link")</f>
        <v/>
      </c>
      <c r="N275" s="6">
        <f>HYPERLINK("http://www.eum.go.kr/web/ar/lu/luLandDet.jsp?pnu=4311325022106690000&amp;isNoScr=script&amp;mode=search", "토지이음")</f>
        <v/>
      </c>
      <c r="O275" s="3" t="inlineStr">
        <is>
          <t>오송2단지창조</t>
        </is>
      </c>
      <c r="P275" s="4" t="n">
        <v>1</v>
      </c>
      <c r="Q275" s="4" t="n">
        <v>507.1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완경사</t>
        </is>
      </c>
      <c r="U275" s="3" t="inlineStr">
        <is>
          <t>세로장방</t>
        </is>
      </c>
      <c r="V275" s="3" t="inlineStr">
        <is>
          <t>세로한면(가)</t>
        </is>
      </c>
    </row>
    <row r="276">
      <c r="A276" s="3" t="inlineStr">
        <is>
          <t>오송읍 상정리 725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33000</v>
      </c>
      <c r="G276" s="4" t="n">
        <v>541</v>
      </c>
      <c r="H276" s="4" t="n">
        <v>164</v>
      </c>
      <c r="I276" s="5" t="n">
        <v>201.2</v>
      </c>
      <c r="J276" s="5" t="n">
        <v>80.09999999999999</v>
      </c>
      <c r="K276" s="3" t="inlineStr">
        <is>
          <t>고급 전원주택 단지 계획관리지역 건폐율60 지역 화장품단지 호재</t>
        </is>
      </c>
      <c r="L276" s="6">
        <f>HYPERLINK("https://fin.land.naver.com/articles/2649903782", "매물Link")</f>
        <v/>
      </c>
      <c r="M276" s="6">
        <f>HYPERLINK("https://map.naver.com/p/search/오송읍 상정리 725", "지도Link")</f>
        <v/>
      </c>
      <c r="N276" s="6">
        <f>HYPERLINK("http://www.eum.go.kr/web/ar/lu/luLandDet.jsp?pnu=4311325022107250000&amp;isNoScr=script&amp;mode=search", "토지이음")</f>
        <v/>
      </c>
      <c r="O276" s="3" t="inlineStr">
        <is>
          <t>프렌즈</t>
        </is>
      </c>
      <c r="P276" s="4" t="n">
        <v>1</v>
      </c>
      <c r="Q276" s="4" t="n">
        <v>541.1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완경사</t>
        </is>
      </c>
      <c r="U276" s="3" t="inlineStr">
        <is>
          <t>세로장방</t>
        </is>
      </c>
      <c r="V276" s="3" t="inlineStr">
        <is>
          <t>세로한면(가)</t>
        </is>
      </c>
    </row>
    <row r="277">
      <c r="A277" s="3" t="inlineStr">
        <is>
          <t>오송읍 상정리 751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29000</v>
      </c>
      <c r="G277" s="4" t="n">
        <v>535</v>
      </c>
      <c r="H277" s="4" t="n">
        <v>162</v>
      </c>
      <c r="I277" s="5" t="n">
        <v>179</v>
      </c>
      <c r="J277" s="5" t="n">
        <v>80.09999999999999</v>
      </c>
      <c r="K277" s="3" t="inlineStr">
        <is>
          <t>오송의 1산단 인접지.식약처등 국책기관과 바이오 기관 인접지</t>
        </is>
      </c>
      <c r="L277" s="6">
        <f>HYPERLINK("https://fin.land.naver.com/articles/2645083163", "매물Link")</f>
        <v/>
      </c>
      <c r="M277" s="6">
        <f>HYPERLINK("https://map.naver.com/p/search/오송읍 상정리 751", "지도Link")</f>
        <v/>
      </c>
      <c r="N277" s="6">
        <f>HYPERLINK("http://www.eum.go.kr/web/ar/lu/luLandDet.jsp?pnu=4311325022107510000&amp;isNoScr=script&amp;mode=search", "토지이음")</f>
        <v/>
      </c>
      <c r="O277" s="3" t="inlineStr">
        <is>
          <t>하나로</t>
        </is>
      </c>
      <c r="P277" s="4" t="n">
        <v>1</v>
      </c>
      <c r="Q277" s="4" t="n">
        <v>535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완경사</t>
        </is>
      </c>
      <c r="U277" s="3" t="inlineStr">
        <is>
          <t>가로장방</t>
        </is>
      </c>
      <c r="V277" s="3" t="inlineStr">
        <is>
          <t>세로한면(가)</t>
        </is>
      </c>
    </row>
    <row r="278">
      <c r="A278" s="3" t="inlineStr">
        <is>
          <t>오송읍 상정리 751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29000</v>
      </c>
      <c r="G278" s="4" t="n">
        <v>535</v>
      </c>
      <c r="H278" s="4" t="n">
        <v>162</v>
      </c>
      <c r="I278" s="5" t="n">
        <v>179</v>
      </c>
      <c r="J278" s="5" t="n">
        <v>80.09999999999999</v>
      </c>
      <c r="K278" s="3" t="inlineStr">
        <is>
          <t>nan</t>
        </is>
      </c>
      <c r="L278" s="6">
        <f>HYPERLINK("https://fin.land.naver.com/articles/2646062468", "매물Link")</f>
        <v/>
      </c>
      <c r="M278" s="6">
        <f>HYPERLINK("https://map.naver.com/p/search/오송읍 상정리 751", "지도Link")</f>
        <v/>
      </c>
      <c r="N278" s="6">
        <f>HYPERLINK("http://www.eum.go.kr/web/ar/lu/luLandDet.jsp?pnu=4311325022107510000&amp;isNoScr=script&amp;mode=search", "토지이음")</f>
        <v/>
      </c>
      <c r="O278" s="3" t="inlineStr">
        <is>
          <t>OK파라곤</t>
        </is>
      </c>
      <c r="P278" s="4" t="n">
        <v>3</v>
      </c>
      <c r="Q278" s="4" t="n">
        <v>535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완경사</t>
        </is>
      </c>
      <c r="U278" s="3" t="inlineStr">
        <is>
          <t>가로장방</t>
        </is>
      </c>
      <c r="V278" s="3" t="inlineStr">
        <is>
          <t>세로한면(가)</t>
        </is>
      </c>
    </row>
    <row r="279">
      <c r="A279" s="3" t="inlineStr">
        <is>
          <t>오송읍 상정리 79</t>
        </is>
      </c>
      <c r="B279" s="3" t="inlineStr">
        <is>
          <t>생산관리지역</t>
        </is>
      </c>
      <c r="C279" s="3" t="inlineStr">
        <is>
          <t>답</t>
        </is>
      </c>
      <c r="D279" s="3" t="inlineStr">
        <is>
          <t>답</t>
        </is>
      </c>
      <c r="E279" s="3" t="inlineStr">
        <is>
          <t>매매</t>
        </is>
      </c>
      <c r="F279" s="4" t="n">
        <v>32000</v>
      </c>
      <c r="G279" s="4" t="n">
        <v>2383</v>
      </c>
      <c r="H279" s="4" t="n">
        <v>721</v>
      </c>
      <c r="I279" s="5" t="n">
        <v>44.4</v>
      </c>
      <c r="J279" s="5" t="n">
        <v>18</v>
      </c>
      <c r="K279" s="3" t="inlineStr">
        <is>
          <t>여유를 만끽할 수 있는 토지,  인근전원주택지 개발된 오송화장품 산단 옆</t>
        </is>
      </c>
      <c r="L279" s="6">
        <f>HYPERLINK("https://fin.land.naver.com/articles/2649495113", "매물Link")</f>
        <v/>
      </c>
      <c r="M279" s="6">
        <f>HYPERLINK("https://map.naver.com/p/search/오송읍 상정리 79", "지도Link")</f>
        <v/>
      </c>
      <c r="N279" s="6">
        <f>HYPERLINK("http://www.eum.go.kr/web/ar/lu/luLandDet.jsp?pnu=4311325022100790000&amp;isNoScr=script&amp;mode=search", "토지이음")</f>
        <v/>
      </c>
      <c r="O279" s="3" t="inlineStr">
        <is>
          <t>OK파라곤</t>
        </is>
      </c>
      <c r="P279" s="4" t="n">
        <v>1</v>
      </c>
      <c r="Q279" s="4" t="n">
        <v>2383</v>
      </c>
      <c r="R279" s="3" t="inlineStr">
        <is>
          <t>지정되지않음</t>
        </is>
      </c>
      <c r="S279" s="3" t="inlineStr">
        <is>
          <t>전</t>
        </is>
      </c>
      <c r="T279" s="3" t="inlineStr">
        <is>
          <t>완경사</t>
        </is>
      </c>
      <c r="U279" s="3" t="inlineStr">
        <is>
          <t>부정형</t>
        </is>
      </c>
      <c r="V279" s="3" t="inlineStr">
        <is>
          <t>세로한면(불)</t>
        </is>
      </c>
    </row>
    <row r="280">
      <c r="A280" s="3" t="inlineStr">
        <is>
          <t>오송읍 상정리 89-34</t>
        </is>
      </c>
      <c r="B280" s="3" t="inlineStr">
        <is>
          <t>보전관리지역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651</v>
      </c>
      <c r="H280" s="4" t="n">
        <v>197</v>
      </c>
      <c r="I280" s="5" t="n">
        <v>304.6</v>
      </c>
      <c r="J280" s="5" t="n">
        <v>76.09999999999999</v>
      </c>
      <c r="K280" s="3" t="inlineStr">
        <is>
          <t>동물병원</t>
        </is>
      </c>
      <c r="L280" s="6">
        <f>HYPERLINK("https://fin.land.naver.com/articles/2647651688", "매물Link")</f>
        <v/>
      </c>
      <c r="M280" s="6">
        <f>HYPERLINK("https://map.naver.com/p/search/오송읍 상정리 89-34", "지도Link")</f>
        <v/>
      </c>
      <c r="N280" s="6">
        <f>HYPERLINK("http://www.eum.go.kr/web/ar/lu/luLandDet.jsp?pnu=4311325022100890034&amp;isNoScr=script&amp;mode=search", "토지이음")</f>
        <v/>
      </c>
      <c r="O280" s="3" t="inlineStr">
        <is>
          <t>현담</t>
        </is>
      </c>
      <c r="P280" s="4" t="n">
        <v>1</v>
      </c>
      <c r="Q280" s="4" t="n">
        <v>651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완경사</t>
        </is>
      </c>
      <c r="U280" s="3" t="inlineStr">
        <is>
          <t>사다리형</t>
        </is>
      </c>
      <c r="V280" s="3" t="inlineStr">
        <is>
          <t>세로각지(가)</t>
        </is>
      </c>
    </row>
    <row r="281">
      <c r="A281" s="3" t="inlineStr">
        <is>
          <t>오송읍 상정리 산55-2</t>
        </is>
      </c>
      <c r="B281" s="3" t="inlineStr">
        <is>
          <t>보전관리지역</t>
        </is>
      </c>
      <c r="C281" s="3" t="inlineStr">
        <is>
          <t>임야</t>
        </is>
      </c>
      <c r="D281" s="3" t="inlineStr">
        <is>
          <t>임야</t>
        </is>
      </c>
      <c r="E281" s="3" t="inlineStr">
        <is>
          <t>매매</t>
        </is>
      </c>
      <c r="F281" s="4" t="n">
        <v>31845</v>
      </c>
      <c r="G281" s="4" t="n">
        <v>637</v>
      </c>
      <c r="H281" s="4" t="n">
        <v>193</v>
      </c>
      <c r="I281" s="5" t="n">
        <v>165</v>
      </c>
      <c r="J281" s="5" t="n">
        <v>74.90000000000001</v>
      </c>
      <c r="K281" s="3" t="inlineStr">
        <is>
          <t>전원투택용지 화장품단지인근 전원주택마을</t>
        </is>
      </c>
      <c r="L281" s="6">
        <f>HYPERLINK("https://fin.land.naver.com/articles/2647625447", "매물Link")</f>
        <v/>
      </c>
      <c r="M281" s="6">
        <f>HYPERLINK("https://map.naver.com/p/search/오송읍 상정리 산55-2", "지도Link")</f>
        <v/>
      </c>
      <c r="N281" s="6">
        <f>HYPERLINK("http://www.eum.go.kr/web/ar/lu/luLandDet.jsp?pnu=4311325022200550002&amp;isNoScr=script&amp;mode=search", "토지이음")</f>
        <v/>
      </c>
      <c r="O281" s="3" t="inlineStr">
        <is>
          <t>자이원</t>
        </is>
      </c>
      <c r="P281" s="4" t="n">
        <v>2</v>
      </c>
      <c r="Q281" s="4" t="n">
        <v>595</v>
      </c>
      <c r="R281" s="3" t="inlineStr">
        <is>
          <t>계획관리지역</t>
        </is>
      </c>
      <c r="S281" s="3" t="inlineStr">
        <is>
          <t>주거나지</t>
        </is>
      </c>
      <c r="T281" s="3" t="inlineStr">
        <is>
          <t>완경사</t>
        </is>
      </c>
      <c r="U281" s="3" t="inlineStr">
        <is>
          <t>자루형</t>
        </is>
      </c>
      <c r="V281" s="3" t="inlineStr">
        <is>
          <t>세로한면(가)</t>
        </is>
      </c>
    </row>
    <row r="282">
      <c r="A282" s="3" t="inlineStr">
        <is>
          <t>오송읍 상정리 산55-3</t>
        </is>
      </c>
      <c r="B282" s="3" t="inlineStr">
        <is>
          <t>보전관리지역</t>
        </is>
      </c>
      <c r="C282" s="3" t="inlineStr">
        <is>
          <t>임야</t>
        </is>
      </c>
      <c r="D282" s="3" t="inlineStr">
        <is>
          <t>임야</t>
        </is>
      </c>
      <c r="E282" s="3" t="inlineStr">
        <is>
          <t>매매</t>
        </is>
      </c>
      <c r="F282" s="4" t="n">
        <v>30000</v>
      </c>
      <c r="G282" s="4" t="n">
        <v>555</v>
      </c>
      <c r="H282" s="4" t="n">
        <v>168</v>
      </c>
      <c r="I282" s="5" t="n">
        <v>178.6</v>
      </c>
      <c r="J282" s="5" t="n">
        <v>78.3</v>
      </c>
      <c r="K282" s="3" t="inlineStr">
        <is>
          <t>nan</t>
        </is>
      </c>
      <c r="L282" s="6">
        <f>HYPERLINK("https://fin.land.naver.com/articles/2647631044", "매물Link")</f>
        <v/>
      </c>
      <c r="M282" s="6">
        <f>HYPERLINK("https://map.naver.com/p/search/오송읍 상정리 산55-3", "지도Link")</f>
        <v/>
      </c>
      <c r="N282" s="6">
        <f>HYPERLINK("http://www.eum.go.kr/web/ar/lu/luLandDet.jsp?pnu=4311325022200550003&amp;isNoScr=script&amp;mode=search", "토지이음")</f>
        <v/>
      </c>
      <c r="O282" s="3" t="inlineStr">
        <is>
          <t>프로</t>
        </is>
      </c>
      <c r="P282" s="4" t="n">
        <v>2</v>
      </c>
      <c r="Q282" s="4" t="n">
        <v>555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완경사</t>
        </is>
      </c>
      <c r="U282" s="3" t="inlineStr">
        <is>
          <t>사다리형</t>
        </is>
      </c>
      <c r="V282" s="3" t="inlineStr">
        <is>
          <t>세로한면(가)</t>
        </is>
      </c>
    </row>
    <row r="283">
      <c r="A283" s="3" t="inlineStr">
        <is>
          <t>오송읍 서평리 127</t>
        </is>
      </c>
      <c r="B283" s="3" t="inlineStr">
        <is>
          <t>농림지역</t>
        </is>
      </c>
      <c r="C283" s="3" t="inlineStr">
        <is>
          <t>답</t>
        </is>
      </c>
      <c r="D283" s="3" t="inlineStr">
        <is>
          <t>답</t>
        </is>
      </c>
      <c r="E283" s="3" t="inlineStr">
        <is>
          <t>매매</t>
        </is>
      </c>
      <c r="F283" s="4" t="n">
        <v>153000</v>
      </c>
      <c r="G283" s="4" t="n">
        <v>4225</v>
      </c>
      <c r="H283" s="4" t="n">
        <v>1278</v>
      </c>
      <c r="I283" s="5" t="n">
        <v>119.7</v>
      </c>
      <c r="J283" s="5" t="n">
        <v>59.4</v>
      </c>
      <c r="K283" s="3" t="inlineStr">
        <is>
          <t>오송제3국가산업단지 개발예정지 도로에 접한 토지</t>
        </is>
      </c>
      <c r="L283" s="6">
        <f>HYPERLINK("https://fin.land.naver.com/articles/2646007810", "매물Link")</f>
        <v/>
      </c>
      <c r="M283" s="6">
        <f>HYPERLINK("https://map.naver.com/p/search/오송읍 서평리 127", "지도Link")</f>
        <v/>
      </c>
      <c r="N283" s="6">
        <f>HYPERLINK("http://www.eum.go.kr/web/ar/lu/luLandDet.jsp?pnu=4311325030101270000&amp;isNoScr=script&amp;mode=search", "토지이음")</f>
        <v/>
      </c>
      <c r="O283" s="3" t="inlineStr">
        <is>
          <t>세종대박</t>
        </is>
      </c>
      <c r="P283" s="4" t="n">
        <v>1</v>
      </c>
      <c r="Q283" s="4" t="n">
        <v>4225</v>
      </c>
      <c r="R283" s="3" t="inlineStr">
        <is>
          <t>지정되지않음</t>
        </is>
      </c>
      <c r="S283" s="3" t="inlineStr">
        <is>
          <t>답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소로각지</t>
        </is>
      </c>
    </row>
    <row r="284">
      <c r="A284" s="3" t="inlineStr">
        <is>
          <t>오송읍 서평리 128</t>
        </is>
      </c>
      <c r="B284" s="3" t="inlineStr">
        <is>
          <t>농림지역</t>
        </is>
      </c>
      <c r="C284" s="3" t="inlineStr">
        <is>
          <t>답</t>
        </is>
      </c>
      <c r="D284" s="3" t="inlineStr">
        <is>
          <t>답</t>
        </is>
      </c>
      <c r="E284" s="3" t="inlineStr">
        <is>
          <t>매매</t>
        </is>
      </c>
      <c r="F284" s="4" t="n">
        <v>132000</v>
      </c>
      <c r="G284" s="4" t="n">
        <v>3967</v>
      </c>
      <c r="H284" s="4" t="n">
        <v>1200</v>
      </c>
      <c r="I284" s="5" t="n">
        <v>110</v>
      </c>
      <c r="J284" s="5" t="n">
        <v>55.5</v>
      </c>
      <c r="K284" s="3" t="inlineStr">
        <is>
          <t>오송제3국가산업단지 개발예정지 도로에 접한 토지</t>
        </is>
      </c>
      <c r="L284" s="6">
        <f>HYPERLINK("https://fin.land.naver.com/articles/2646008020", "매물Link")</f>
        <v/>
      </c>
      <c r="M284" s="6">
        <f>HYPERLINK("https://map.naver.com/p/search/오송읍 서평리 128", "지도Link")</f>
        <v/>
      </c>
      <c r="N284" s="6">
        <f>HYPERLINK("http://www.eum.go.kr/web/ar/lu/luLandDet.jsp?pnu=4311325030101280000&amp;isNoScr=script&amp;mode=search", "토지이음")</f>
        <v/>
      </c>
      <c r="O284" s="3" t="inlineStr">
        <is>
          <t>세종대박</t>
        </is>
      </c>
      <c r="P284" s="4" t="n">
        <v>1</v>
      </c>
      <c r="Q284" s="4" t="n">
        <v>3967</v>
      </c>
      <c r="R284" s="3" t="inlineStr">
        <is>
          <t>지정되지않음</t>
        </is>
      </c>
      <c r="S284" s="3" t="inlineStr">
        <is>
          <t>답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오송읍 서평리 129</t>
        </is>
      </c>
      <c r="B285" s="3" t="inlineStr">
        <is>
          <t>농림지역</t>
        </is>
      </c>
      <c r="C285" s="3" t="inlineStr">
        <is>
          <t>답</t>
        </is>
      </c>
      <c r="D285" s="3" t="inlineStr">
        <is>
          <t>답</t>
        </is>
      </c>
      <c r="E285" s="3" t="inlineStr">
        <is>
          <t>매매</t>
        </is>
      </c>
      <c r="F285" s="4" t="n">
        <v>170000</v>
      </c>
      <c r="G285" s="4" t="n">
        <v>5088</v>
      </c>
      <c r="H285" s="4" t="n">
        <v>1539</v>
      </c>
      <c r="I285" s="5" t="n">
        <v>110.5</v>
      </c>
      <c r="J285" s="5" t="n">
        <v>55.5</v>
      </c>
      <c r="K285" s="3" t="inlineStr">
        <is>
          <t>오송 제3생명과학 국가산업단지 인근토지, 2차선도로에 접함,두필지,절충</t>
        </is>
      </c>
      <c r="L285" s="6">
        <f>HYPERLINK("https://fin.land.naver.com/articles/2645161336", "매물Link")</f>
        <v/>
      </c>
      <c r="M285" s="6">
        <f>HYPERLINK("https://map.naver.com/p/search/오송읍 서평리 129", "지도Link")</f>
        <v/>
      </c>
      <c r="N285" s="6">
        <f>HYPERLINK("http://www.eum.go.kr/web/ar/lu/luLandDet.jsp?pnu=4311325030101290000&amp;isNoScr=script&amp;mode=search", "토지이음")</f>
        <v/>
      </c>
      <c r="O285" s="3" t="inlineStr">
        <is>
          <t>금호무소</t>
        </is>
      </c>
      <c r="P285" s="4" t="n">
        <v>1</v>
      </c>
      <c r="Q285" s="4" t="n">
        <v>4116</v>
      </c>
      <c r="R285" s="3" t="inlineStr">
        <is>
          <t>지정되지않음</t>
        </is>
      </c>
      <c r="S285" s="3" t="inlineStr">
        <is>
          <t>답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오송읍 서평리 129</t>
        </is>
      </c>
      <c r="B286" s="3" t="inlineStr">
        <is>
          <t>농림지역</t>
        </is>
      </c>
      <c r="C286" s="3" t="inlineStr">
        <is>
          <t>답</t>
        </is>
      </c>
      <c r="D286" s="3" t="inlineStr">
        <is>
          <t>답</t>
        </is>
      </c>
      <c r="E286" s="3" t="inlineStr">
        <is>
          <t>매매</t>
        </is>
      </c>
      <c r="F286" s="4" t="n">
        <v>170000</v>
      </c>
      <c r="G286" s="4" t="n">
        <v>5088</v>
      </c>
      <c r="H286" s="4" t="n">
        <v>1539</v>
      </c>
      <c r="I286" s="5" t="n">
        <v>110.5</v>
      </c>
      <c r="J286" s="5" t="n">
        <v>55.5</v>
      </c>
      <c r="K286" s="3" t="inlineStr">
        <is>
          <t>오송3산단 배후지 및 토지거래허가 해제로 지가 상승중인 유망 투자지역</t>
        </is>
      </c>
      <c r="L286" s="6">
        <f>HYPERLINK("https://fin.land.naver.com/articles/2645068512", "매물Link")</f>
        <v/>
      </c>
      <c r="M286" s="6">
        <f>HYPERLINK("https://map.naver.com/p/search/오송읍 서평리 129", "지도Link")</f>
        <v/>
      </c>
      <c r="N286" s="6">
        <f>HYPERLINK("http://www.eum.go.kr/web/ar/lu/luLandDet.jsp?pnu=4311325030101290000&amp;isNoScr=script&amp;mode=search", "토지이음")</f>
        <v/>
      </c>
      <c r="O286" s="3" t="inlineStr">
        <is>
          <t>청주모충사모1/2LH트릴로채명성</t>
        </is>
      </c>
      <c r="P286" s="4" t="n">
        <v>1</v>
      </c>
      <c r="Q286" s="4" t="n">
        <v>4116</v>
      </c>
      <c r="R286" s="3" t="inlineStr">
        <is>
          <t>지정되지않음</t>
        </is>
      </c>
      <c r="S286" s="3" t="inlineStr">
        <is>
          <t>답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오송읍 서평리 131</t>
        </is>
      </c>
      <c r="B287" s="3" t="inlineStr">
        <is>
          <t>농림지역</t>
        </is>
      </c>
      <c r="C287" s="3" t="inlineStr">
        <is>
          <t>답</t>
        </is>
      </c>
      <c r="D287" s="3" t="inlineStr">
        <is>
          <t>답</t>
        </is>
      </c>
      <c r="E287" s="3" t="inlineStr">
        <is>
          <t>매매</t>
        </is>
      </c>
      <c r="F287" s="4" t="n">
        <v>140000</v>
      </c>
      <c r="G287" s="4" t="n">
        <v>4076</v>
      </c>
      <c r="H287" s="4" t="n">
        <v>1233</v>
      </c>
      <c r="I287" s="5" t="n">
        <v>113.5</v>
      </c>
      <c r="J287" s="5" t="n">
        <v>55.5</v>
      </c>
      <c r="K287" s="3" t="inlineStr">
        <is>
          <t>2차선 지방도변 농지로 오송3산업단지 인접지</t>
        </is>
      </c>
      <c r="L287" s="6">
        <f>HYPERLINK("https://fin.land.naver.com/articles/2646747475", "매물Link")</f>
        <v/>
      </c>
      <c r="M287" s="6">
        <f>HYPERLINK("https://map.naver.com/p/search/오송읍 서평리 131", "지도Link")</f>
        <v/>
      </c>
      <c r="N287" s="6">
        <f>HYPERLINK("http://www.eum.go.kr/web/ar/lu/luLandDet.jsp?pnu=4311325030101310000&amp;isNoScr=script&amp;mode=search", "토지이음")</f>
        <v/>
      </c>
      <c r="O287" s="3" t="inlineStr">
        <is>
          <t>오송k랜드</t>
        </is>
      </c>
      <c r="P287" s="4" t="n">
        <v>1</v>
      </c>
      <c r="Q287" s="4" t="n">
        <v>4076</v>
      </c>
      <c r="R287" s="3" t="inlineStr">
        <is>
          <t>지정되지않음</t>
        </is>
      </c>
      <c r="S287" s="3" t="inlineStr">
        <is>
          <t>답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오송읍 서평리 180-6</t>
        </is>
      </c>
      <c r="B288" s="3" t="inlineStr">
        <is>
          <t>농림지역</t>
        </is>
      </c>
      <c r="C288" s="3" t="inlineStr">
        <is>
          <t>창고용지</t>
        </is>
      </c>
      <c r="D288" s="3" t="inlineStr">
        <is>
          <t>창고용지</t>
        </is>
      </c>
      <c r="E288" s="3" t="inlineStr">
        <is>
          <t>매매</t>
        </is>
      </c>
      <c r="F288" s="4" t="n">
        <v>360000</v>
      </c>
      <c r="G288" s="4" t="n">
        <v>2866</v>
      </c>
      <c r="H288" s="4" t="n">
        <v>867</v>
      </c>
      <c r="I288" s="5" t="n">
        <v>415.2</v>
      </c>
      <c r="J288" s="5" t="n">
        <v>128.3</v>
      </c>
      <c r="K288" s="3" t="inlineStr">
        <is>
          <t>오송제3산업단지 도로변 토지</t>
        </is>
      </c>
      <c r="L288" s="6">
        <f>HYPERLINK("https://fin.land.naver.com/articles/2646007784", "매물Link")</f>
        <v/>
      </c>
      <c r="M288" s="6">
        <f>HYPERLINK("https://map.naver.com/p/search/오송읍 서평리 180-6", "지도Link")</f>
        <v/>
      </c>
      <c r="N288" s="6">
        <f>HYPERLINK("http://www.eum.go.kr/web/ar/lu/luLandDet.jsp?pnu=4311325030101800006&amp;isNoScr=script&amp;mode=search", "토지이음")</f>
        <v/>
      </c>
      <c r="O288" s="3" t="inlineStr">
        <is>
          <t>세종대박</t>
        </is>
      </c>
      <c r="P288" s="4" t="n">
        <v>1</v>
      </c>
      <c r="Q288" s="4" t="n">
        <v>769</v>
      </c>
      <c r="R288" s="3" t="inlineStr">
        <is>
          <t>지정되지않음</t>
        </is>
      </c>
      <c r="S288" s="3" t="inlineStr">
        <is>
          <t>답창고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광대로한면</t>
        </is>
      </c>
    </row>
    <row r="289">
      <c r="A289" s="3" t="inlineStr">
        <is>
          <t>오송읍 서평리 180-6</t>
        </is>
      </c>
      <c r="B289" s="3" t="inlineStr">
        <is>
          <t>농림지역</t>
        </is>
      </c>
      <c r="C289" s="3" t="inlineStr">
        <is>
          <t>창고용지</t>
        </is>
      </c>
      <c r="D289" s="3" t="inlineStr">
        <is>
          <t>답</t>
        </is>
      </c>
      <c r="E289" s="3" t="inlineStr">
        <is>
          <t>매매</t>
        </is>
      </c>
      <c r="F289" s="4" t="n">
        <v>360000</v>
      </c>
      <c r="G289" s="4" t="n">
        <v>2866</v>
      </c>
      <c r="H289" s="4" t="n">
        <v>867</v>
      </c>
      <c r="I289" s="5" t="n">
        <v>415.2</v>
      </c>
      <c r="J289" s="5" t="n">
        <v>128.3</v>
      </c>
      <c r="K289" s="3" t="inlineStr">
        <is>
          <t>매물 특징</t>
        </is>
      </c>
      <c r="L289" s="6">
        <f>HYPERLINK("https://fin.land.naver.com/articles/2647144879", "매물Link")</f>
        <v/>
      </c>
      <c r="M289" s="6">
        <f>HYPERLINK("https://map.naver.com/p/search/오송읍 서평리 180-6", "지도Link")</f>
        <v/>
      </c>
      <c r="N289" s="6">
        <f>HYPERLINK("http://www.eum.go.kr/web/ar/lu/luLandDet.jsp?pnu=4311325030101800006&amp;isNoScr=script&amp;mode=search", "토지이음")</f>
        <v/>
      </c>
      <c r="O289" s="3" t="inlineStr">
        <is>
          <t>오송궁평마을</t>
        </is>
      </c>
      <c r="P289" s="4" t="n">
        <v>1</v>
      </c>
      <c r="Q289" s="4" t="n">
        <v>769</v>
      </c>
      <c r="R289" s="3" t="inlineStr">
        <is>
          <t>지정되지않음</t>
        </is>
      </c>
      <c r="S289" s="3" t="inlineStr">
        <is>
          <t>답창고</t>
        </is>
      </c>
      <c r="T289" s="3" t="inlineStr">
        <is>
          <t>평지</t>
        </is>
      </c>
      <c r="U289" s="3" t="inlineStr">
        <is>
          <t>가로장방</t>
        </is>
      </c>
      <c r="V289" s="3" t="inlineStr">
        <is>
          <t>광대로한면</t>
        </is>
      </c>
    </row>
    <row r="290">
      <c r="A290" s="3" t="inlineStr">
        <is>
          <t>오송읍 서평리 182-5</t>
        </is>
      </c>
      <c r="B290" s="3" t="inlineStr">
        <is>
          <t>농림지역</t>
        </is>
      </c>
      <c r="C290" s="3" t="inlineStr">
        <is>
          <t>답</t>
        </is>
      </c>
      <c r="D290" s="3" t="inlineStr">
        <is>
          <t>답</t>
        </is>
      </c>
      <c r="E290" s="3" t="inlineStr">
        <is>
          <t>매매</t>
        </is>
      </c>
      <c r="F290" s="4" t="n">
        <v>79000</v>
      </c>
      <c r="G290" s="4" t="n">
        <v>3798</v>
      </c>
      <c r="H290" s="4" t="n">
        <v>1149</v>
      </c>
      <c r="I290" s="5" t="n">
        <v>68.8</v>
      </c>
      <c r="J290" s="5" t="n">
        <v>36.9</v>
      </c>
      <c r="K290" s="3" t="inlineStr">
        <is>
          <t>4m 도로 접, 3산단 수용지 인접 개발호재, 5차선대로까지 200m</t>
        </is>
      </c>
      <c r="L290" s="6">
        <f>HYPERLINK("https://fin.land.naver.com/articles/2648617098", "매물Link")</f>
        <v/>
      </c>
      <c r="M290" s="6">
        <f>HYPERLINK("https://map.naver.com/p/search/오송읍 서평리 182-5", "지도Link")</f>
        <v/>
      </c>
      <c r="N290" s="6">
        <f>HYPERLINK("http://www.eum.go.kr/web/ar/lu/luLandDet.jsp?pnu=4311325030101820005&amp;isNoScr=script&amp;mode=search", "토지이음")</f>
        <v/>
      </c>
      <c r="O290" s="3" t="inlineStr">
        <is>
          <t>오송3산단  사무소</t>
        </is>
      </c>
      <c r="P290" s="4" t="n">
        <v>1</v>
      </c>
      <c r="Q290" s="4" t="n">
        <v>3798</v>
      </c>
      <c r="R290" s="3" t="inlineStr">
        <is>
          <t>지정되지않음</t>
        </is>
      </c>
      <c r="S290" s="3" t="inlineStr">
        <is>
          <t>답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세로한면(가)</t>
        </is>
      </c>
    </row>
    <row r="291">
      <c r="A291" s="3" t="inlineStr">
        <is>
          <t>오송읍 서평리 189-4</t>
        </is>
      </c>
      <c r="B291" s="3" t="inlineStr">
        <is>
          <t>농림지역</t>
        </is>
      </c>
      <c r="C291" s="3" t="inlineStr">
        <is>
          <t>답</t>
        </is>
      </c>
      <c r="D291" s="3" t="inlineStr">
        <is>
          <t>답</t>
        </is>
      </c>
      <c r="E291" s="3" t="inlineStr">
        <is>
          <t>매매</t>
        </is>
      </c>
      <c r="F291" s="4" t="n">
        <v>85000</v>
      </c>
      <c r="G291" s="4" t="n">
        <v>2000</v>
      </c>
      <c r="H291" s="4" t="n">
        <v>605</v>
      </c>
      <c r="I291" s="5" t="n">
        <v>140.5</v>
      </c>
      <c r="J291" s="5" t="n">
        <v>37.3</v>
      </c>
      <c r="K291" s="3" t="inlineStr">
        <is>
          <t>제3생명과학 국가산단옆, 진입전면넓음, 7.5m도로,</t>
        </is>
      </c>
      <c r="L291" s="6">
        <f>HYPERLINK("https://fin.land.naver.com/articles/2646638287", "매물Link")</f>
        <v/>
      </c>
      <c r="M291" s="6">
        <f>HYPERLINK("https://map.naver.com/p/search/오송읍 서평리 189-4", "지도Link")</f>
        <v/>
      </c>
      <c r="N291" s="6">
        <f>HYPERLINK("http://www.eum.go.kr/web/ar/lu/luLandDet.jsp?pnu=4311325030101890004&amp;isNoScr=script&amp;mode=search", "토지이음")</f>
        <v/>
      </c>
      <c r="O291" s="3" t="inlineStr">
        <is>
          <t>오송부자마을</t>
        </is>
      </c>
      <c r="P291" s="4" t="n">
        <v>1</v>
      </c>
      <c r="Q291" s="4" t="n">
        <v>2000</v>
      </c>
      <c r="R291" s="3" t="inlineStr">
        <is>
          <t>지정되지않음</t>
        </is>
      </c>
      <c r="S291" s="3" t="inlineStr">
        <is>
          <t>답</t>
        </is>
      </c>
      <c r="T291" s="3" t="inlineStr">
        <is>
          <t>평지</t>
        </is>
      </c>
      <c r="U291" s="3" t="inlineStr">
        <is>
          <t>자루형</t>
        </is>
      </c>
      <c r="V291" s="3" t="inlineStr">
        <is>
          <t>세로한면(가)</t>
        </is>
      </c>
    </row>
    <row r="292">
      <c r="A292" s="3" t="inlineStr">
        <is>
          <t>오송읍 서평리 194-2</t>
        </is>
      </c>
      <c r="B292" s="3" t="inlineStr">
        <is>
          <t>농림지역</t>
        </is>
      </c>
      <c r="C292" s="3" t="inlineStr">
        <is>
          <t>답</t>
        </is>
      </c>
      <c r="D292" s="3" t="inlineStr">
        <is>
          <t>답</t>
        </is>
      </c>
      <c r="E292" s="3" t="inlineStr">
        <is>
          <t>매매</t>
        </is>
      </c>
      <c r="F292" s="4" t="n">
        <v>100000</v>
      </c>
      <c r="G292" s="4" t="n">
        <v>2182</v>
      </c>
      <c r="H292" s="4" t="n">
        <v>660</v>
      </c>
      <c r="I292" s="5" t="n">
        <v>151.5</v>
      </c>
      <c r="J292" s="5" t="n">
        <v>54.7</v>
      </c>
      <c r="K292" s="3" t="inlineStr">
        <is>
          <t>복숭아등 과일 노상 판매장용도 추천</t>
        </is>
      </c>
      <c r="L292" s="6">
        <f>HYPERLINK("https://fin.land.naver.com/articles/2649950268", "매물Link")</f>
        <v/>
      </c>
      <c r="M292" s="6">
        <f>HYPERLINK("https://map.naver.com/p/search/오송읍 서평리 194-2", "지도Link")</f>
        <v/>
      </c>
      <c r="N292" s="6">
        <f>HYPERLINK("http://www.eum.go.kr/web/ar/lu/luLandDet.jsp?pnu=4311325030101940002&amp;isNoScr=script&amp;mode=search", "토지이음")</f>
        <v/>
      </c>
      <c r="O292" s="3" t="inlineStr">
        <is>
          <t>오송k랜드</t>
        </is>
      </c>
      <c r="P292" s="4" t="n">
        <v>1</v>
      </c>
      <c r="Q292" s="4" t="n">
        <v>2182</v>
      </c>
      <c r="R292" s="3" t="inlineStr">
        <is>
          <t>지정되지않음</t>
        </is>
      </c>
      <c r="S292" s="3" t="inlineStr">
        <is>
          <t>답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오송읍 서평리 196-3</t>
        </is>
      </c>
      <c r="B293" s="3" t="inlineStr">
        <is>
          <t>농림지역</t>
        </is>
      </c>
      <c r="C293" s="3" t="inlineStr">
        <is>
          <t>답</t>
        </is>
      </c>
      <c r="D293" s="3" t="inlineStr">
        <is>
          <t>답</t>
        </is>
      </c>
      <c r="E293" s="3" t="inlineStr">
        <is>
          <t>매매</t>
        </is>
      </c>
      <c r="F293" s="4" t="n">
        <v>86000</v>
      </c>
      <c r="G293" s="4" t="n">
        <v>4205</v>
      </c>
      <c r="H293" s="4" t="n">
        <v>1272</v>
      </c>
      <c r="I293" s="5" t="n">
        <v>67.59999999999999</v>
      </c>
      <c r="J293" s="5" t="n">
        <v>54.7</v>
      </c>
      <c r="K293" s="3" t="inlineStr">
        <is>
          <t>오송3산단 배후지, 토지거해허가해제로 지가 상승 유망 투자지역</t>
        </is>
      </c>
      <c r="L293" s="6">
        <f>HYPERLINK("https://fin.land.naver.com/articles/2647661512", "매물Link")</f>
        <v/>
      </c>
      <c r="M293" s="6">
        <f>HYPERLINK("https://map.naver.com/p/search/오송읍 서평리 196-3", "지도Link")</f>
        <v/>
      </c>
      <c r="N293" s="6">
        <f>HYPERLINK("http://www.eum.go.kr/web/ar/lu/luLandDet.jsp?pnu=4311325030101960003&amp;isNoScr=script&amp;mode=search", "토지이음")</f>
        <v/>
      </c>
      <c r="O293" s="3" t="inlineStr">
        <is>
          <t>청주모충사모1/2LH트릴로채명성</t>
        </is>
      </c>
      <c r="P293" s="4" t="n">
        <v>2</v>
      </c>
      <c r="Q293" s="4" t="n">
        <v>2033</v>
      </c>
      <c r="R293" s="3" t="inlineStr">
        <is>
          <t>지정되지않음</t>
        </is>
      </c>
      <c r="S293" s="3" t="inlineStr">
        <is>
          <t>답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오송읍 서평리 210-1</t>
        </is>
      </c>
      <c r="B294" s="3" t="inlineStr">
        <is>
          <t>농림지역</t>
        </is>
      </c>
      <c r="C294" s="3" t="inlineStr">
        <is>
          <t>답</t>
        </is>
      </c>
      <c r="D294" s="3" t="inlineStr">
        <is>
          <t>답</t>
        </is>
      </c>
      <c r="E294" s="3" t="inlineStr">
        <is>
          <t>매매</t>
        </is>
      </c>
      <c r="F294" s="4" t="n">
        <v>44700</v>
      </c>
      <c r="G294" s="4" t="n">
        <v>1477</v>
      </c>
      <c r="H294" s="4" t="n">
        <v>447</v>
      </c>
      <c r="I294" s="5" t="n">
        <v>100</v>
      </c>
      <c r="J294" s="5" t="n">
        <v>54.7</v>
      </c>
      <c r="K294" s="3" t="inlineStr">
        <is>
          <t>nan</t>
        </is>
      </c>
      <c r="L294" s="6">
        <f>HYPERLINK("https://fin.land.naver.com/articles/2646609337", "매물Link")</f>
        <v/>
      </c>
      <c r="M294" s="6">
        <f>HYPERLINK("https://map.naver.com/p/search/오송읍 서평리 210-1", "지도Link")</f>
        <v/>
      </c>
      <c r="N294" s="6">
        <f>HYPERLINK("http://www.eum.go.kr/web/ar/lu/luLandDet.jsp?pnu=4311325030102100001&amp;isNoScr=script&amp;mode=search", "토지이음")</f>
        <v/>
      </c>
      <c r="O294" s="3" t="inlineStr">
        <is>
          <t>세종큰길</t>
        </is>
      </c>
      <c r="P294" s="4" t="n">
        <v>1</v>
      </c>
      <c r="Q294" s="4" t="n">
        <v>1373</v>
      </c>
      <c r="R294" s="3" t="inlineStr">
        <is>
          <t>지정되지않음</t>
        </is>
      </c>
      <c r="S294" s="3" t="inlineStr">
        <is>
          <t>답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오송읍 서평리 214-10</t>
        </is>
      </c>
      <c r="B295" s="3" t="inlineStr">
        <is>
          <t>농림지역</t>
        </is>
      </c>
      <c r="C295" s="3" t="inlineStr">
        <is>
          <t>과수원</t>
        </is>
      </c>
      <c r="D295" s="3" t="inlineStr">
        <is>
          <t>과수원</t>
        </is>
      </c>
      <c r="E295" s="3" t="inlineStr">
        <is>
          <t>매매</t>
        </is>
      </c>
      <c r="F295" s="4" t="n">
        <v>198720</v>
      </c>
      <c r="G295" s="4" t="n">
        <v>4564</v>
      </c>
      <c r="H295" s="4" t="n">
        <v>1381</v>
      </c>
      <c r="I295" s="5" t="n">
        <v>143.9</v>
      </c>
      <c r="J295" s="5" t="n">
        <v>54.7</v>
      </c>
      <c r="K295" s="3" t="inlineStr">
        <is>
          <t>오송3산단 배후지, 토지거래허가 해제로 대토용지로 지가상승 유망 투자지역</t>
        </is>
      </c>
      <c r="L295" s="6">
        <f>HYPERLINK("https://fin.land.naver.com/articles/2650412996", "매물Link")</f>
        <v/>
      </c>
      <c r="M295" s="6">
        <f>HYPERLINK("https://map.naver.com/p/search/오송읍 서평리 214-10", "지도Link")</f>
        <v/>
      </c>
      <c r="N295" s="6">
        <f>HYPERLINK("http://www.eum.go.kr/web/ar/lu/luLandDet.jsp?pnu=4311325030102140010&amp;isNoScr=script&amp;mode=search", "토지이음")</f>
        <v/>
      </c>
      <c r="O295" s="3" t="inlineStr">
        <is>
          <t>청주모충사모1/2LH트릴로채명성</t>
        </is>
      </c>
      <c r="P295" s="4" t="n">
        <v>1</v>
      </c>
      <c r="Q295" s="4" t="n">
        <v>4213</v>
      </c>
      <c r="R295" s="3" t="inlineStr">
        <is>
          <t>지정되지않음</t>
        </is>
      </c>
      <c r="S295" s="3" t="inlineStr">
        <is>
          <t>과수원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소로한면</t>
        </is>
      </c>
    </row>
    <row r="296">
      <c r="A296" s="3" t="inlineStr">
        <is>
          <t>오송읍 서평리 219-30</t>
        </is>
      </c>
      <c r="B296" s="3" t="inlineStr">
        <is>
          <t>농림지역</t>
        </is>
      </c>
      <c r="C296" s="3" t="inlineStr">
        <is>
          <t>전</t>
        </is>
      </c>
      <c r="D296" s="3" t="inlineStr">
        <is>
          <t>전</t>
        </is>
      </c>
      <c r="E296" s="3" t="inlineStr">
        <is>
          <t>매매</t>
        </is>
      </c>
      <c r="F296" s="4" t="n">
        <v>41500</v>
      </c>
      <c r="G296" s="4" t="n">
        <v>2648</v>
      </c>
      <c r="H296" s="4" t="n">
        <v>801</v>
      </c>
      <c r="I296" s="5" t="n">
        <v>51.8</v>
      </c>
      <c r="J296" s="5" t="n">
        <v>35.5</v>
      </c>
      <c r="K296" s="3" t="inlineStr">
        <is>
          <t>파격가 급매물, 오송3산단 호재있는 투자용 물건, 하우스 6동 포함</t>
        </is>
      </c>
      <c r="L296" s="6">
        <f>HYPERLINK("https://fin.land.naver.com/articles/2648088489", "매물Link")</f>
        <v/>
      </c>
      <c r="M296" s="6">
        <f>HYPERLINK("https://map.naver.com/p/search/오송읍 서평리 219-30", "지도Link")</f>
        <v/>
      </c>
      <c r="N296" s="6">
        <f>HYPERLINK("http://www.eum.go.kr/web/ar/lu/luLandDet.jsp?pnu=4311325030102190030&amp;isNoScr=script&amp;mode=search", "토지이음")</f>
        <v/>
      </c>
      <c r="O296" s="3" t="inlineStr">
        <is>
          <t>오송3산단  사무소</t>
        </is>
      </c>
      <c r="P296" s="4" t="n">
        <v>1</v>
      </c>
      <c r="Q296" s="4" t="n">
        <v>2648</v>
      </c>
      <c r="R296" s="3" t="inlineStr">
        <is>
          <t>지정되지않음</t>
        </is>
      </c>
      <c r="S296" s="3" t="inlineStr">
        <is>
          <t>전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세로한면(가)</t>
        </is>
      </c>
    </row>
    <row r="297">
      <c r="A297" s="3" t="inlineStr">
        <is>
          <t>오송읍 서평리 281-1</t>
        </is>
      </c>
      <c r="B297" s="3" t="inlineStr">
        <is>
          <t>농림지역</t>
        </is>
      </c>
      <c r="C297" s="3" t="inlineStr">
        <is>
          <t>답</t>
        </is>
      </c>
      <c r="D297" s="3" t="inlineStr">
        <is>
          <t>답</t>
        </is>
      </c>
      <c r="E297" s="3" t="inlineStr">
        <is>
          <t>매매</t>
        </is>
      </c>
      <c r="F297" s="4" t="n">
        <v>105000</v>
      </c>
      <c r="G297" s="4" t="n">
        <v>2827</v>
      </c>
      <c r="H297" s="4" t="n">
        <v>855</v>
      </c>
      <c r="I297" s="5" t="n">
        <v>122.8</v>
      </c>
      <c r="J297" s="5" t="n">
        <v>29.5</v>
      </c>
      <c r="K297" s="3" t="inlineStr">
        <is>
          <t>하우스시설이 완비된 토지,주변 토지와 일괄 매매</t>
        </is>
      </c>
      <c r="L297" s="6">
        <f>HYPERLINK("https://fin.land.naver.com/articles/2648013053", "매물Link")</f>
        <v/>
      </c>
      <c r="M297" s="6">
        <f>HYPERLINK("https://map.naver.com/p/search/오송읍 서평리 281-1", "지도Link")</f>
        <v/>
      </c>
      <c r="N297" s="6">
        <f>HYPERLINK("http://www.eum.go.kr/web/ar/lu/luLandDet.jsp?pnu=4311325030102810001&amp;isNoScr=script&amp;mode=search", "토지이음")</f>
        <v/>
      </c>
      <c r="O297" s="3" t="inlineStr">
        <is>
          <t>오송2단지창조</t>
        </is>
      </c>
      <c r="P297" s="4" t="n">
        <v>1</v>
      </c>
      <c r="Q297" s="4" t="n">
        <v>2827</v>
      </c>
      <c r="R297" s="3" t="inlineStr">
        <is>
          <t>지정되지않음</t>
        </is>
      </c>
      <c r="S297" s="3" t="inlineStr">
        <is>
          <t>답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세로한면(가)</t>
        </is>
      </c>
    </row>
    <row r="298">
      <c r="A298" s="3" t="inlineStr">
        <is>
          <t>오송읍 서평리 296-4</t>
        </is>
      </c>
      <c r="B298" s="3" t="inlineStr">
        <is>
          <t>농림지역</t>
        </is>
      </c>
      <c r="C298" s="3" t="inlineStr">
        <is>
          <t>답</t>
        </is>
      </c>
      <c r="D298" s="3" t="inlineStr">
        <is>
          <t>답</t>
        </is>
      </c>
      <c r="E298" s="3" t="inlineStr">
        <is>
          <t>매매</t>
        </is>
      </c>
      <c r="F298" s="4" t="n">
        <v>40000</v>
      </c>
      <c r="G298" s="4" t="n">
        <v>2340</v>
      </c>
      <c r="H298" s="4" t="n">
        <v>708</v>
      </c>
      <c r="I298" s="5" t="n">
        <v>56.5</v>
      </c>
      <c r="J298" s="5" t="n">
        <v>29.5</v>
      </c>
      <c r="K298" s="3" t="inlineStr">
        <is>
          <t>오송 3산단 인근, 투자용</t>
        </is>
      </c>
      <c r="L298" s="6">
        <f>HYPERLINK("https://fin.land.naver.com/articles/2646724001", "매물Link")</f>
        <v/>
      </c>
      <c r="M298" s="6">
        <f>HYPERLINK("https://map.naver.com/p/search/오송읍 서평리 296-4", "지도Link")</f>
        <v/>
      </c>
      <c r="N298" s="6">
        <f>HYPERLINK("http://www.eum.go.kr/web/ar/lu/luLandDet.jsp?pnu=4311325030102960004&amp;isNoScr=script&amp;mode=search", "토지이음")</f>
        <v/>
      </c>
      <c r="O298" s="3" t="inlineStr">
        <is>
          <t>오송타운</t>
        </is>
      </c>
      <c r="P298" s="4" t="n">
        <v>1</v>
      </c>
      <c r="Q298" s="4" t="n">
        <v>2340</v>
      </c>
      <c r="R298" s="3" t="inlineStr">
        <is>
          <t>지정되지않음</t>
        </is>
      </c>
      <c r="S298" s="3" t="inlineStr">
        <is>
          <t>답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세로한면(가)</t>
        </is>
      </c>
    </row>
    <row r="299">
      <c r="A299" s="3" t="inlineStr">
        <is>
          <t>오송읍 서평리 296-4</t>
        </is>
      </c>
      <c r="B299" s="3" t="inlineStr">
        <is>
          <t>농림지역</t>
        </is>
      </c>
      <c r="C299" s="3" t="inlineStr">
        <is>
          <t>답</t>
        </is>
      </c>
      <c r="D299" s="3" t="inlineStr">
        <is>
          <t>답</t>
        </is>
      </c>
      <c r="E299" s="3" t="inlineStr">
        <is>
          <t>매매</t>
        </is>
      </c>
      <c r="F299" s="4" t="n">
        <v>43000</v>
      </c>
      <c r="G299" s="4" t="n">
        <v>2340</v>
      </c>
      <c r="H299" s="4" t="n">
        <v>708</v>
      </c>
      <c r="I299" s="5" t="n">
        <v>60.7</v>
      </c>
      <c r="J299" s="5" t="n">
        <v>29.5</v>
      </c>
      <c r="K299" s="3" t="inlineStr">
        <is>
          <t>오송3산업단지 공용수용지 인근가격대비 최적의 대토 투자용 토지임</t>
        </is>
      </c>
      <c r="L299" s="6">
        <f>HYPERLINK("https://fin.land.naver.com/articles/2645221824", "매물Link")</f>
        <v/>
      </c>
      <c r="M299" s="6">
        <f>HYPERLINK("https://map.naver.com/p/search/오송읍 서평리 296-4", "지도Link")</f>
        <v/>
      </c>
      <c r="N299" s="6">
        <f>HYPERLINK("http://www.eum.go.kr/web/ar/lu/luLandDet.jsp?pnu=4311325030102960004&amp;isNoScr=script&amp;mode=search", "토지이음")</f>
        <v/>
      </c>
      <c r="O299" s="3" t="inlineStr">
        <is>
          <t>오송k랜드</t>
        </is>
      </c>
      <c r="P299" s="4" t="n">
        <v>1</v>
      </c>
      <c r="Q299" s="4" t="n">
        <v>2340</v>
      </c>
      <c r="R299" s="3" t="inlineStr">
        <is>
          <t>지정되지않음</t>
        </is>
      </c>
      <c r="S299" s="3" t="inlineStr">
        <is>
          <t>답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세로한면(가)</t>
        </is>
      </c>
    </row>
    <row r="300">
      <c r="A300" s="3" t="inlineStr">
        <is>
          <t>오송읍 서평리 354-1</t>
        </is>
      </c>
      <c r="B300" s="3" t="inlineStr">
        <is>
          <t>농림지역</t>
        </is>
      </c>
      <c r="C300" s="3" t="inlineStr">
        <is>
          <t>답</t>
        </is>
      </c>
      <c r="D300" s="3" t="inlineStr">
        <is>
          <t>답</t>
        </is>
      </c>
      <c r="E300" s="3" t="inlineStr">
        <is>
          <t>매매</t>
        </is>
      </c>
      <c r="F300" s="4" t="n">
        <v>96000</v>
      </c>
      <c r="G300" s="4" t="n">
        <v>3507</v>
      </c>
      <c r="H300" s="4" t="n">
        <v>1061</v>
      </c>
      <c r="I300" s="5" t="n">
        <v>90.5</v>
      </c>
      <c r="J300" s="5" t="n">
        <v>41.7</v>
      </c>
      <c r="K300" s="3" t="inlineStr">
        <is>
          <t>오송3산업단지 수용지 인근 투자</t>
        </is>
      </c>
      <c r="L300" s="6">
        <f>HYPERLINK("https://fin.land.naver.com/articles/2648237005", "매물Link")</f>
        <v/>
      </c>
      <c r="M300" s="6">
        <f>HYPERLINK("https://map.naver.com/p/search/오송읍 서평리 354-1", "지도Link")</f>
        <v/>
      </c>
      <c r="N300" s="6">
        <f>HYPERLINK("http://www.eum.go.kr/web/ar/lu/luLandDet.jsp?pnu=4311325030103540001&amp;isNoScr=script&amp;mode=search", "토지이음")</f>
        <v/>
      </c>
      <c r="O300" s="3" t="inlineStr">
        <is>
          <t>오송k랜드</t>
        </is>
      </c>
      <c r="P300" s="4" t="n">
        <v>1</v>
      </c>
      <c r="Q300" s="4" t="n">
        <v>2466</v>
      </c>
      <c r="R300" s="3" t="inlineStr">
        <is>
          <t>지정되지않음</t>
        </is>
      </c>
      <c r="S300" s="3" t="inlineStr">
        <is>
          <t>답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오송읍 서평리 356</t>
        </is>
      </c>
      <c r="B301" s="3" t="inlineStr">
        <is>
          <t>농림지역</t>
        </is>
      </c>
      <c r="C301" s="3" t="inlineStr">
        <is>
          <t>창고용지</t>
        </is>
      </c>
      <c r="D301" s="3" t="inlineStr">
        <is>
          <t>창고용지</t>
        </is>
      </c>
      <c r="E301" s="3" t="inlineStr">
        <is>
          <t>매매</t>
        </is>
      </c>
      <c r="F301" s="4" t="n">
        <v>120000</v>
      </c>
      <c r="G301" s="4" t="n">
        <v>2423</v>
      </c>
      <c r="H301" s="4" t="n">
        <v>733</v>
      </c>
      <c r="I301" s="5" t="n">
        <v>163.7</v>
      </c>
      <c r="J301" s="5" t="n">
        <v>49.6</v>
      </c>
      <c r="K301" s="3" t="inlineStr">
        <is>
          <t>오송3산단예정지인근 2차선변 농업용창고,부분거래가능</t>
        </is>
      </c>
      <c r="L301" s="6">
        <f>HYPERLINK("https://fin.land.naver.com/articles/2650475978", "매물Link")</f>
        <v/>
      </c>
      <c r="M301" s="6">
        <f>HYPERLINK("https://map.naver.com/p/search/오송읍 서평리 356", "지도Link")</f>
        <v/>
      </c>
      <c r="N301" s="6">
        <f>HYPERLINK("http://www.eum.go.kr/web/ar/lu/luLandDet.jsp?pnu=4311325030103560000&amp;isNoScr=script&amp;mode=search", "토지이음")</f>
        <v/>
      </c>
      <c r="O301" s="3" t="inlineStr">
        <is>
          <t>가치잇는</t>
        </is>
      </c>
      <c r="P301" s="4" t="n">
        <v>3</v>
      </c>
      <c r="Q301" s="4" t="n">
        <v>900</v>
      </c>
      <c r="R301" s="3" t="inlineStr">
        <is>
          <t>지정되지않음</t>
        </is>
      </c>
      <c r="S301" s="3" t="inlineStr">
        <is>
          <t>답창고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소로한면</t>
        </is>
      </c>
    </row>
    <row r="302">
      <c r="A302" s="3" t="inlineStr">
        <is>
          <t>오송읍 서평리 381-8</t>
        </is>
      </c>
      <c r="B302" s="3" t="inlineStr">
        <is>
          <t>생산관리지역</t>
        </is>
      </c>
      <c r="C302" s="3" t="inlineStr">
        <is>
          <t>전</t>
        </is>
      </c>
      <c r="D302" s="3" t="inlineStr">
        <is>
          <t>전</t>
        </is>
      </c>
      <c r="E302" s="3" t="inlineStr">
        <is>
          <t>매매</t>
        </is>
      </c>
      <c r="F302" s="4" t="n">
        <v>124000</v>
      </c>
      <c r="G302" s="4" t="n">
        <v>4100</v>
      </c>
      <c r="H302" s="4" t="n">
        <v>1240</v>
      </c>
      <c r="I302" s="5" t="n">
        <v>100</v>
      </c>
      <c r="J302" s="5" t="n">
        <v>39.1</v>
      </c>
      <c r="K302" s="3" t="inlineStr">
        <is>
          <t>nan</t>
        </is>
      </c>
      <c r="L302" s="6">
        <f>HYPERLINK("https://fin.land.naver.com/articles/2645907513", "매물Link")</f>
        <v/>
      </c>
      <c r="M302" s="6">
        <f>HYPERLINK("https://map.naver.com/p/search/오송읍 서평리 381-8", "지도Link")</f>
        <v/>
      </c>
      <c r="N302" s="6">
        <f>HYPERLINK("http://www.eum.go.kr/web/ar/lu/luLandDet.jsp?pnu=4311325030103810008&amp;isNoScr=script&amp;mode=search", "토지이음")</f>
        <v/>
      </c>
      <c r="O302" s="3" t="inlineStr">
        <is>
          <t>세종땅전문</t>
        </is>
      </c>
      <c r="P302" s="4" t="n">
        <v>1</v>
      </c>
      <c r="Q302" s="4" t="n">
        <v>4100</v>
      </c>
      <c r="R302" s="3" t="inlineStr">
        <is>
          <t>지정되지않음</t>
        </is>
      </c>
      <c r="S302" s="3" t="inlineStr">
        <is>
          <t>전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세로한면(불)</t>
        </is>
      </c>
    </row>
    <row r="303">
      <c r="A303" s="3" t="inlineStr">
        <is>
          <t>오송읍 서평리 56-9</t>
        </is>
      </c>
      <c r="B303" s="3" t="inlineStr">
        <is>
          <t>계획관리지역</t>
        </is>
      </c>
      <c r="C303" s="3" t="inlineStr">
        <is>
          <t>전</t>
        </is>
      </c>
      <c r="D303" s="3" t="inlineStr">
        <is>
          <t>전</t>
        </is>
      </c>
      <c r="E303" s="3" t="inlineStr">
        <is>
          <t>매매</t>
        </is>
      </c>
      <c r="F303" s="4" t="n">
        <v>57400</v>
      </c>
      <c r="G303" s="4" t="n">
        <v>542</v>
      </c>
      <c r="H303" s="4" t="n">
        <v>164</v>
      </c>
      <c r="I303" s="5" t="n">
        <v>350</v>
      </c>
      <c r="J303" s="5" t="n">
        <v>195.9</v>
      </c>
      <c r="K303" s="3" t="inlineStr">
        <is>
          <t>오송읍 서평리 주거개발진흥지구내 다가구 .상가.상가주택등 신축 추천</t>
        </is>
      </c>
      <c r="L303" s="6">
        <f>HYPERLINK("https://fin.land.naver.com/articles/2649339502", "매물Link")</f>
        <v/>
      </c>
      <c r="M303" s="6">
        <f>HYPERLINK("https://map.naver.com/p/search/오송읍 서평리 56-9", "지도Link")</f>
        <v/>
      </c>
      <c r="N303" s="6">
        <f>HYPERLINK("http://www.eum.go.kr/web/ar/lu/luLandDet.jsp?pnu=4311325030100560009&amp;isNoScr=script&amp;mode=search", "토지이음")</f>
        <v/>
      </c>
      <c r="O303" s="3" t="inlineStr">
        <is>
          <t>그린</t>
        </is>
      </c>
      <c r="P303" s="4" t="n">
        <v>1</v>
      </c>
      <c r="Q303" s="4" t="n">
        <v>542</v>
      </c>
      <c r="R303" s="3" t="inlineStr">
        <is>
          <t>지정되지않음</t>
        </is>
      </c>
      <c r="S303" s="3" t="inlineStr">
        <is>
          <t>주상기타</t>
        </is>
      </c>
      <c r="T303" s="3" t="inlineStr">
        <is>
          <t>평지</t>
        </is>
      </c>
      <c r="U303" s="3" t="inlineStr">
        <is>
          <t>부정형</t>
        </is>
      </c>
      <c r="V303" s="3" t="inlineStr">
        <is>
          <t>중로한면</t>
        </is>
      </c>
    </row>
    <row r="304">
      <c r="A304" s="3" t="inlineStr">
        <is>
          <t>오송읍 서평리 664-54</t>
        </is>
      </c>
      <c r="B304" s="3" t="inlineStr">
        <is>
          <t>생산관리지역</t>
        </is>
      </c>
      <c r="C304" s="3" t="inlineStr">
        <is>
          <t>전</t>
        </is>
      </c>
      <c r="D304" s="3" t="inlineStr">
        <is>
          <t>전</t>
        </is>
      </c>
      <c r="E304" s="3" t="inlineStr">
        <is>
          <t>매매</t>
        </is>
      </c>
      <c r="F304" s="4" t="n">
        <v>52000</v>
      </c>
      <c r="G304" s="4" t="n">
        <v>625</v>
      </c>
      <c r="H304" s="4" t="n">
        <v>189</v>
      </c>
      <c r="I304" s="5" t="n">
        <v>275.1</v>
      </c>
      <c r="J304" s="5" t="n">
        <v>49</v>
      </c>
      <c r="K304" s="3" t="inlineStr">
        <is>
          <t>건축중인 토지관리지역</t>
        </is>
      </c>
      <c r="L304" s="6">
        <f>HYPERLINK("https://fin.land.naver.com/articles/2646729509", "매물Link")</f>
        <v/>
      </c>
      <c r="M304" s="6">
        <f>HYPERLINK("https://map.naver.com/p/search/오송읍 서평리 664-54", "지도Link")</f>
        <v/>
      </c>
      <c r="N304" s="6">
        <f>HYPERLINK("http://www.eum.go.kr/web/ar/lu/luLandDet.jsp?pnu=4311325030106640054&amp;isNoScr=script&amp;mode=search", "토지이음")</f>
        <v/>
      </c>
      <c r="O304" s="3" t="inlineStr">
        <is>
          <t>오송타운</t>
        </is>
      </c>
      <c r="P304" s="4" t="n">
        <v>1</v>
      </c>
      <c r="Q304" s="4" t="n">
        <v>625</v>
      </c>
      <c r="R304" s="3" t="inlineStr">
        <is>
          <t>지정되지않음</t>
        </is>
      </c>
      <c r="S304" s="3" t="inlineStr">
        <is>
          <t>전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오송읍 서평리 88-1</t>
        </is>
      </c>
      <c r="B305" s="3" t="inlineStr">
        <is>
          <t>농림지역</t>
        </is>
      </c>
      <c r="C305" s="3" t="inlineStr">
        <is>
          <t>전</t>
        </is>
      </c>
      <c r="D305" s="3" t="inlineStr">
        <is>
          <t>전</t>
        </is>
      </c>
      <c r="E305" s="3" t="inlineStr">
        <is>
          <t>매매</t>
        </is>
      </c>
      <c r="F305" s="4" t="n">
        <v>39000</v>
      </c>
      <c r="G305" s="4" t="n">
        <v>1289</v>
      </c>
      <c r="H305" s="4" t="n">
        <v>390</v>
      </c>
      <c r="I305" s="5" t="n">
        <v>100</v>
      </c>
      <c r="J305" s="5" t="n">
        <v>38.8</v>
      </c>
      <c r="K305" s="3" t="inlineStr">
        <is>
          <t>농사짓기 좋은 우량 농지 매매</t>
        </is>
      </c>
      <c r="L305" s="6">
        <f>HYPERLINK("https://fin.land.naver.com/articles/2648014715", "매물Link")</f>
        <v/>
      </c>
      <c r="M305" s="6">
        <f>HYPERLINK("https://map.naver.com/p/search/오송읍 서평리 88-1", "지도Link")</f>
        <v/>
      </c>
      <c r="N305" s="6">
        <f>HYPERLINK("http://www.eum.go.kr/web/ar/lu/luLandDet.jsp?pnu=4311325030100880001&amp;isNoScr=script&amp;mode=search", "토지이음")</f>
        <v/>
      </c>
      <c r="O305" s="3" t="inlineStr">
        <is>
          <t>오송2단지창조</t>
        </is>
      </c>
      <c r="P305" s="4" t="n">
        <v>1</v>
      </c>
      <c r="Q305" s="4" t="n">
        <v>1289</v>
      </c>
      <c r="R305" s="3" t="inlineStr">
        <is>
          <t>지정되지않음</t>
        </is>
      </c>
      <c r="S305" s="3" t="inlineStr">
        <is>
          <t>답</t>
        </is>
      </c>
      <c r="T305" s="3" t="inlineStr">
        <is>
          <t>평지</t>
        </is>
      </c>
      <c r="U305" s="3" t="inlineStr">
        <is>
          <t>가로장방</t>
        </is>
      </c>
      <c r="V305" s="3" t="inlineStr">
        <is>
          <t>세로각지(가)</t>
        </is>
      </c>
    </row>
    <row r="306">
      <c r="A306" s="3" t="inlineStr">
        <is>
          <t>오송읍 서평리 88-2</t>
        </is>
      </c>
      <c r="B306" s="3" t="inlineStr">
        <is>
          <t>농림지역</t>
        </is>
      </c>
      <c r="C306" s="3" t="inlineStr">
        <is>
          <t>전</t>
        </is>
      </c>
      <c r="D306" s="3" t="inlineStr">
        <is>
          <t>전</t>
        </is>
      </c>
      <c r="E306" s="3" t="inlineStr">
        <is>
          <t>매매</t>
        </is>
      </c>
      <c r="F306" s="4" t="n">
        <v>80700</v>
      </c>
      <c r="G306" s="4" t="n">
        <v>2668</v>
      </c>
      <c r="H306" s="4" t="n">
        <v>807</v>
      </c>
      <c r="I306" s="5" t="n">
        <v>100</v>
      </c>
      <c r="J306" s="5" t="n">
        <v>37.3</v>
      </c>
      <c r="K306" s="3" t="inlineStr">
        <is>
          <t>경지정리 완료 농기계 진입 편리, 바로 농사 가능한 우량 농지 매매</t>
        </is>
      </c>
      <c r="L306" s="6">
        <f>HYPERLINK("https://fin.land.naver.com/articles/2648014585", "매물Link")</f>
        <v/>
      </c>
      <c r="M306" s="6">
        <f>HYPERLINK("https://map.naver.com/p/search/오송읍 서평리 88-2", "지도Link")</f>
        <v/>
      </c>
      <c r="N306" s="6">
        <f>HYPERLINK("http://www.eum.go.kr/web/ar/lu/luLandDet.jsp?pnu=4311325030100880002&amp;isNoScr=script&amp;mode=search", "토지이음")</f>
        <v/>
      </c>
      <c r="O306" s="3" t="inlineStr">
        <is>
          <t>오송2단지창조</t>
        </is>
      </c>
      <c r="P306" s="4" t="n">
        <v>1</v>
      </c>
      <c r="Q306" s="4" t="n">
        <v>2668</v>
      </c>
      <c r="R306" s="3" t="inlineStr">
        <is>
          <t>지정되지않음</t>
        </is>
      </c>
      <c r="S306" s="3" t="inlineStr">
        <is>
          <t>답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세로한면(가)</t>
        </is>
      </c>
    </row>
    <row r="307">
      <c r="A307" s="3" t="inlineStr">
        <is>
          <t>오송읍 서평리 94-2</t>
        </is>
      </c>
      <c r="B307" s="3" t="inlineStr">
        <is>
          <t>농림지역</t>
        </is>
      </c>
      <c r="C307" s="3" t="inlineStr">
        <is>
          <t>답</t>
        </is>
      </c>
      <c r="D307" s="3" t="inlineStr">
        <is>
          <t>답</t>
        </is>
      </c>
      <c r="E307" s="3" t="inlineStr">
        <is>
          <t>매매</t>
        </is>
      </c>
      <c r="F307" s="4" t="n">
        <v>57300</v>
      </c>
      <c r="G307" s="4" t="n">
        <v>1975</v>
      </c>
      <c r="H307" s="4" t="n">
        <v>597</v>
      </c>
      <c r="I307" s="5" t="n">
        <v>96</v>
      </c>
      <c r="J307" s="5" t="n">
        <v>54.7</v>
      </c>
      <c r="K307" s="3" t="inlineStr">
        <is>
          <t>오송제3산업단지(27.하반기 보상예정)인접하고 4차로 확장예정도로접함.</t>
        </is>
      </c>
      <c r="L307" s="6">
        <f>HYPERLINK("https://fin.land.naver.com/articles/2650557460", "매물Link")</f>
        <v/>
      </c>
      <c r="M307" s="6">
        <f>HYPERLINK("https://map.naver.com/p/search/오송읍 서평리 94-2", "지도Link")</f>
        <v/>
      </c>
      <c r="N307" s="6">
        <f>HYPERLINK("http://www.eum.go.kr/web/ar/lu/luLandDet.jsp?pnu=4311325030100940002&amp;isNoScr=script&amp;mode=search", "토지이음")</f>
        <v/>
      </c>
      <c r="O307" s="3" t="inlineStr">
        <is>
          <t>오송k랜드</t>
        </is>
      </c>
      <c r="P307" s="4" t="n">
        <v>1</v>
      </c>
      <c r="Q307" s="4" t="n">
        <v>1975</v>
      </c>
      <c r="R307" s="3" t="inlineStr">
        <is>
          <t>지정되지않음</t>
        </is>
      </c>
      <c r="S307" s="3" t="inlineStr">
        <is>
          <t>답</t>
        </is>
      </c>
      <c r="T307" s="3" t="inlineStr">
        <is>
          <t>평지</t>
        </is>
      </c>
      <c r="U307" s="3" t="inlineStr">
        <is>
          <t>가로장방</t>
        </is>
      </c>
      <c r="V307" s="3" t="inlineStr">
        <is>
          <t>소로한면</t>
        </is>
      </c>
    </row>
    <row r="308">
      <c r="A308" s="3" t="inlineStr">
        <is>
          <t>오송읍 쌍청리 108-1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공장용지</t>
        </is>
      </c>
      <c r="E308" s="3" t="inlineStr">
        <is>
          <t>매매</t>
        </is>
      </c>
      <c r="F308" s="4" t="n">
        <v>145000</v>
      </c>
      <c r="G308" s="4" t="n">
        <v>2382</v>
      </c>
      <c r="H308" s="4" t="n">
        <v>721</v>
      </c>
      <c r="I308" s="5" t="n">
        <v>201.1</v>
      </c>
      <c r="J308" s="5" t="n">
        <v>70.09999999999999</v>
      </c>
      <c r="K308" s="3" t="inlineStr">
        <is>
          <t>nan</t>
        </is>
      </c>
      <c r="L308" s="6">
        <f>HYPERLINK("https://fin.land.naver.com/articles/2645419745", "매물Link")</f>
        <v/>
      </c>
      <c r="M308" s="6">
        <f>HYPERLINK("https://map.naver.com/p/search/오송읍 쌍청리 108-1", "지도Link")</f>
        <v/>
      </c>
      <c r="N308" s="6">
        <f>HYPERLINK("http://www.eum.go.kr/web/ar/lu/luLandDet.jsp?pnu=4311325024101080001&amp;isNoScr=script&amp;mode=search", "토지이음")</f>
        <v/>
      </c>
      <c r="O308" s="3" t="inlineStr">
        <is>
          <t>세종큰길</t>
        </is>
      </c>
      <c r="P308" s="4" t="n">
        <v>1</v>
      </c>
      <c r="Q308" s="4" t="n">
        <v>456</v>
      </c>
      <c r="R308" s="3" t="inlineStr">
        <is>
          <t>지정되지않음</t>
        </is>
      </c>
      <c r="S308" s="3" t="inlineStr">
        <is>
          <t>공업용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세로한면(가)</t>
        </is>
      </c>
    </row>
    <row r="309">
      <c r="A309" s="3" t="inlineStr">
        <is>
          <t>오송읍 쌍청리 108-31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공장용지</t>
        </is>
      </c>
      <c r="E309" s="3" t="inlineStr">
        <is>
          <t>매매</t>
        </is>
      </c>
      <c r="F309" s="4" t="n">
        <v>30800</v>
      </c>
      <c r="G309" s="4" t="n">
        <v>566</v>
      </c>
      <c r="H309" s="4" t="n">
        <v>171</v>
      </c>
      <c r="I309" s="5" t="n">
        <v>180.1</v>
      </c>
      <c r="J309" s="5" t="n">
        <v>61</v>
      </c>
      <c r="K309" s="3" t="inlineStr">
        <is>
          <t>접근성 좋은 토지,활용하기 좋은 토지 입니다</t>
        </is>
      </c>
      <c r="L309" s="6">
        <f>HYPERLINK("https://fin.land.naver.com/articles/2645971921", "매물Link")</f>
        <v/>
      </c>
      <c r="M309" s="6">
        <f>HYPERLINK("https://map.naver.com/p/search/오송읍 쌍청리 108-31", "지도Link")</f>
        <v/>
      </c>
      <c r="N309" s="6">
        <f>HYPERLINK("http://www.eum.go.kr/web/ar/lu/luLandDet.jsp?pnu=4311325024101080031&amp;isNoScr=script&amp;mode=search", "토지이음")</f>
        <v/>
      </c>
      <c r="O309" s="3" t="inlineStr">
        <is>
          <t>오송2단지창조</t>
        </is>
      </c>
      <c r="P309" s="4" t="n">
        <v>1</v>
      </c>
      <c r="Q309" s="4" t="n">
        <v>566</v>
      </c>
      <c r="R309" s="3" t="inlineStr">
        <is>
          <t>지정되지않음</t>
        </is>
      </c>
      <c r="S309" s="3" t="inlineStr">
        <is>
          <t>공업나지</t>
        </is>
      </c>
      <c r="T309" s="3" t="inlineStr">
        <is>
          <t>완경사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오송읍 쌍청리 117-16</t>
        </is>
      </c>
      <c r="B310" s="3" t="inlineStr">
        <is>
          <t>계획관리지역</t>
        </is>
      </c>
      <c r="C310" s="3" t="inlineStr">
        <is>
          <t>임야</t>
        </is>
      </c>
      <c r="D310" s="3" t="inlineStr">
        <is>
          <t>임야</t>
        </is>
      </c>
      <c r="E310" s="3" t="inlineStr">
        <is>
          <t>매매</t>
        </is>
      </c>
      <c r="F310" s="4" t="n">
        <v>100000</v>
      </c>
      <c r="G310" s="4" t="n">
        <v>1701</v>
      </c>
      <c r="H310" s="4" t="n">
        <v>515</v>
      </c>
      <c r="I310" s="5" t="n">
        <v>194.2</v>
      </c>
      <c r="J310" s="5" t="n">
        <v>59.3</v>
      </c>
      <c r="K310" s="3" t="inlineStr">
        <is>
          <t>오송신도시의 계획관리지역으로 투자가치가 좋음</t>
        </is>
      </c>
      <c r="L310" s="6">
        <f>HYPERLINK("https://fin.land.naver.com/articles/2647916765", "매물Link")</f>
        <v/>
      </c>
      <c r="M310" s="6">
        <f>HYPERLINK("https://map.naver.com/p/search/오송읍 쌍청리 117-16", "지도Link")</f>
        <v/>
      </c>
      <c r="N310" s="6">
        <f>HYPERLINK("http://www.eum.go.kr/web/ar/lu/luLandDet.jsp?pnu=4311325024101170016&amp;isNoScr=script&amp;mode=search", "토지이음")</f>
        <v/>
      </c>
      <c r="O310" s="3" t="inlineStr">
        <is>
          <t>가람</t>
        </is>
      </c>
      <c r="P310" s="4" t="n">
        <v>1</v>
      </c>
      <c r="Q310" s="4" t="n">
        <v>1701</v>
      </c>
      <c r="R310" s="3" t="inlineStr">
        <is>
          <t>지정되지않음</t>
        </is>
      </c>
      <c r="S310" s="3" t="inlineStr">
        <is>
          <t>전기타</t>
        </is>
      </c>
      <c r="T310" s="3" t="inlineStr">
        <is>
          <t>완경사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오송읍 쌍청리 117-16</t>
        </is>
      </c>
      <c r="B311" s="3" t="inlineStr">
        <is>
          <t>계획관리지역</t>
        </is>
      </c>
      <c r="C311" s="3" t="inlineStr">
        <is>
          <t>임야</t>
        </is>
      </c>
      <c r="D311" s="3" t="inlineStr">
        <is>
          <t>임야</t>
        </is>
      </c>
      <c r="E311" s="3" t="inlineStr">
        <is>
          <t>매매</t>
        </is>
      </c>
      <c r="F311" s="4" t="n">
        <v>65000</v>
      </c>
      <c r="G311" s="4" t="n">
        <v>1701</v>
      </c>
      <c r="H311" s="4" t="n">
        <v>515</v>
      </c>
      <c r="I311" s="5" t="n">
        <v>126.2</v>
      </c>
      <c r="J311" s="5" t="n">
        <v>59.3</v>
      </c>
      <c r="K311" s="3" t="inlineStr">
        <is>
          <t>오송 생활권 도로접근 계획관리 개발검토 토지</t>
        </is>
      </c>
      <c r="L311" s="6">
        <f>HYPERLINK("https://fin.land.naver.com/articles/2648110924", "매물Link")</f>
        <v/>
      </c>
      <c r="M311" s="6">
        <f>HYPERLINK("https://map.naver.com/p/search/오송읍 쌍청리 117-16", "지도Link")</f>
        <v/>
      </c>
      <c r="N311" s="6">
        <f>HYPERLINK("http://www.eum.go.kr/web/ar/lu/luLandDet.jsp?pnu=4311325024101170016&amp;isNoScr=script&amp;mode=search", "토지이음")</f>
        <v/>
      </c>
      <c r="O311" s="3" t="inlineStr">
        <is>
          <t>세종소담황금</t>
        </is>
      </c>
      <c r="P311" s="4" t="n">
        <v>1</v>
      </c>
      <c r="Q311" s="4" t="n">
        <v>1701</v>
      </c>
      <c r="R311" s="3" t="inlineStr">
        <is>
          <t>지정되지않음</t>
        </is>
      </c>
      <c r="S311" s="3" t="inlineStr">
        <is>
          <t>전기타</t>
        </is>
      </c>
      <c r="T311" s="3" t="inlineStr">
        <is>
          <t>완경사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오송읍 쌍청리 124-3</t>
        </is>
      </c>
      <c r="B312" s="3" t="inlineStr">
        <is>
          <t>계획관리지역</t>
        </is>
      </c>
      <c r="C312" s="3" t="inlineStr">
        <is>
          <t>전</t>
        </is>
      </c>
      <c r="D312" s="3" t="inlineStr">
        <is>
          <t>전</t>
        </is>
      </c>
      <c r="E312" s="3" t="inlineStr">
        <is>
          <t>매매</t>
        </is>
      </c>
      <c r="F312" s="4" t="n">
        <v>23100</v>
      </c>
      <c r="G312" s="4" t="n">
        <v>362</v>
      </c>
      <c r="H312" s="4" t="n">
        <v>110</v>
      </c>
      <c r="I312" s="5" t="n">
        <v>210</v>
      </c>
      <c r="J312" s="5" t="n">
        <v>69</v>
      </c>
      <c r="K312" s="3" t="inlineStr">
        <is>
          <t>오송 제1 생명과학단지 내주변 토지 매매</t>
        </is>
      </c>
      <c r="L312" s="6">
        <f>HYPERLINK("https://fin.land.naver.com/articles/2648085254", "매물Link")</f>
        <v/>
      </c>
      <c r="M312" s="6">
        <f>HYPERLINK("https://map.naver.com/p/search/오송읍 쌍청리 124-3", "지도Link")</f>
        <v/>
      </c>
      <c r="N312" s="6">
        <f>HYPERLINK("http://www.eum.go.kr/web/ar/lu/luLandDet.jsp?pnu=4311325024101240003&amp;isNoScr=script&amp;mode=search", "토지이음")</f>
        <v/>
      </c>
      <c r="O312" s="3" t="inlineStr">
        <is>
          <t>365</t>
        </is>
      </c>
      <c r="P312" s="4" t="n">
        <v>1</v>
      </c>
      <c r="Q312" s="4" t="n">
        <v>362</v>
      </c>
      <c r="R312" s="3" t="inlineStr">
        <is>
          <t>지정되지않음</t>
        </is>
      </c>
      <c r="S312" s="3" t="inlineStr">
        <is>
          <t>전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오송읍 쌍청리 29-1</t>
        </is>
      </c>
      <c r="B313" s="3" t="inlineStr">
        <is>
          <t>농림지역</t>
        </is>
      </c>
      <c r="C313" s="3" t="inlineStr">
        <is>
          <t>답</t>
        </is>
      </c>
      <c r="D313" s="3" t="inlineStr">
        <is>
          <t>답</t>
        </is>
      </c>
      <c r="E313" s="3" t="inlineStr">
        <is>
          <t>매매</t>
        </is>
      </c>
      <c r="F313" s="4" t="n">
        <v>53500</v>
      </c>
      <c r="G313" s="4" t="n">
        <v>2266</v>
      </c>
      <c r="H313" s="4" t="n">
        <v>685</v>
      </c>
      <c r="I313" s="5" t="n">
        <v>78.09999999999999</v>
      </c>
      <c r="J313" s="5" t="n">
        <v>31.9</v>
      </c>
      <c r="K313" s="3" t="inlineStr">
        <is>
          <t>대한제지 인근 오송역 근거리 농림지역 토지 급매  도로접함  대토에 적합</t>
        </is>
      </c>
      <c r="L313" s="6">
        <f>HYPERLINK("https://fin.land.naver.com/articles/2648940181", "매물Link")</f>
        <v/>
      </c>
      <c r="M313" s="6">
        <f>HYPERLINK("https://map.naver.com/p/search/오송읍 쌍청리 29-1", "지도Link")</f>
        <v/>
      </c>
      <c r="N313" s="6">
        <f>HYPERLINK("http://www.eum.go.kr/web/ar/lu/luLandDet.jsp?pnu=4311325024100290001&amp;isNoScr=script&amp;mode=search", "토지이음")</f>
        <v/>
      </c>
      <c r="O313" s="3" t="inlineStr">
        <is>
          <t>오송퍼스트영웅</t>
        </is>
      </c>
      <c r="P313" s="4" t="n">
        <v>1</v>
      </c>
      <c r="Q313" s="4" t="n">
        <v>2266</v>
      </c>
      <c r="R313" s="3" t="inlineStr">
        <is>
          <t>지정되지않음</t>
        </is>
      </c>
      <c r="S313" s="3" t="inlineStr">
        <is>
          <t>전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오송읍 쌍청리 317-5</t>
        </is>
      </c>
      <c r="B314" s="3" t="inlineStr">
        <is>
          <t>계획관리지역</t>
        </is>
      </c>
      <c r="C314" s="3" t="inlineStr">
        <is>
          <t>전</t>
        </is>
      </c>
      <c r="D314" s="3" t="inlineStr">
        <is>
          <t>전</t>
        </is>
      </c>
      <c r="E314" s="3" t="inlineStr">
        <is>
          <t>매매</t>
        </is>
      </c>
      <c r="F314" s="4" t="n">
        <v>110000</v>
      </c>
      <c r="G314" s="4" t="n">
        <v>1297</v>
      </c>
      <c r="H314" s="4" t="n">
        <v>392</v>
      </c>
      <c r="I314" s="5" t="n">
        <v>280.6</v>
      </c>
      <c r="J314" s="5" t="n">
        <v>109.6</v>
      </c>
      <c r="K314" s="3" t="inlineStr">
        <is>
          <t>4차선도로 예정지, 근생시설이나 사옥 적합</t>
        </is>
      </c>
      <c r="L314" s="6">
        <f>HYPERLINK("https://fin.land.naver.com/articles/2646721847", "매물Link")</f>
        <v/>
      </c>
      <c r="M314" s="6">
        <f>HYPERLINK("https://map.naver.com/p/search/오송읍 쌍청리 317-5", "지도Link")</f>
        <v/>
      </c>
      <c r="N314" s="6">
        <f>HYPERLINK("http://www.eum.go.kr/web/ar/lu/luLandDet.jsp?pnu=4311325024103170005&amp;isNoScr=script&amp;mode=search", "토지이음")</f>
        <v/>
      </c>
      <c r="O314" s="3" t="inlineStr">
        <is>
          <t>오송타운</t>
        </is>
      </c>
      <c r="P314" s="4" t="n">
        <v>1</v>
      </c>
      <c r="Q314" s="4" t="n">
        <v>856</v>
      </c>
      <c r="R314" s="3" t="inlineStr">
        <is>
          <t>지정되지않음</t>
        </is>
      </c>
      <c r="S314" s="3" t="inlineStr">
        <is>
          <t>전</t>
        </is>
      </c>
      <c r="T314" s="3" t="inlineStr">
        <is>
          <t>평지</t>
        </is>
      </c>
      <c r="U314" s="3" t="inlineStr">
        <is>
          <t>가로장방</t>
        </is>
      </c>
      <c r="V314" s="3" t="inlineStr">
        <is>
          <t>소로한면</t>
        </is>
      </c>
    </row>
    <row r="315">
      <c r="A315" s="3" t="inlineStr">
        <is>
          <t>오송읍 쌍청리 317-7</t>
        </is>
      </c>
      <c r="B315" s="3" t="inlineStr">
        <is>
          <t>계획관리지역</t>
        </is>
      </c>
      <c r="C315" s="3" t="inlineStr">
        <is>
          <t>전</t>
        </is>
      </c>
      <c r="D315" s="3" t="inlineStr">
        <is>
          <t>전</t>
        </is>
      </c>
      <c r="E315" s="3" t="inlineStr">
        <is>
          <t>매매</t>
        </is>
      </c>
      <c r="F315" s="4" t="n">
        <v>118000</v>
      </c>
      <c r="G315" s="4" t="n">
        <v>1297</v>
      </c>
      <c r="H315" s="4" t="n">
        <v>392</v>
      </c>
      <c r="I315" s="5" t="n">
        <v>301</v>
      </c>
      <c r="J315" s="5" t="n">
        <v>111.3</v>
      </c>
      <c r="K315" s="3" t="inlineStr">
        <is>
          <t>식약청인접한 2차선 지방도접 사옥부지 또는 근생 용지 추천물건</t>
        </is>
      </c>
      <c r="L315" s="6">
        <f>HYPERLINK("https://fin.land.naver.com/articles/2646748950", "매물Link")</f>
        <v/>
      </c>
      <c r="M315" s="6">
        <f>HYPERLINK("https://map.naver.com/p/search/오송읍 쌍청리 317-7", "지도Link")</f>
        <v/>
      </c>
      <c r="N315" s="6">
        <f>HYPERLINK("http://www.eum.go.kr/web/ar/lu/luLandDet.jsp?pnu=4311325024103170007&amp;isNoScr=script&amp;mode=search", "토지이음")</f>
        <v/>
      </c>
      <c r="O315" s="3" t="inlineStr">
        <is>
          <t>오송k랜드</t>
        </is>
      </c>
      <c r="P315" s="4" t="n">
        <v>1</v>
      </c>
      <c r="Q315" s="4" t="n">
        <v>441</v>
      </c>
      <c r="R315" s="3" t="inlineStr">
        <is>
          <t>지정되지않음</t>
        </is>
      </c>
      <c r="S315" s="3" t="inlineStr">
        <is>
          <t>전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소로한면</t>
        </is>
      </c>
    </row>
    <row r="316">
      <c r="A316" s="3" t="inlineStr">
        <is>
          <t>오송읍 쌍청리 463</t>
        </is>
      </c>
      <c r="B316" s="3" t="inlineStr">
        <is>
          <t>농림지역</t>
        </is>
      </c>
      <c r="C316" s="3" t="inlineStr">
        <is>
          <t>과수원</t>
        </is>
      </c>
      <c r="D316" s="3" t="inlineStr">
        <is>
          <t>과수원</t>
        </is>
      </c>
      <c r="E316" s="3" t="inlineStr">
        <is>
          <t>매매</t>
        </is>
      </c>
      <c r="F316" s="4" t="n">
        <v>105000</v>
      </c>
      <c r="G316" s="4" t="n">
        <v>4182</v>
      </c>
      <c r="H316" s="4" t="n">
        <v>1265</v>
      </c>
      <c r="I316" s="5" t="n">
        <v>83</v>
      </c>
      <c r="J316" s="5" t="n">
        <v>35.7</v>
      </c>
      <c r="K316" s="3" t="inlineStr">
        <is>
          <t>nan</t>
        </is>
      </c>
      <c r="L316" s="6">
        <f>HYPERLINK("https://fin.land.naver.com/articles/2648912962", "매물Link")</f>
        <v/>
      </c>
      <c r="M316" s="6">
        <f>HYPERLINK("https://map.naver.com/p/search/오송읍 쌍청리 463", "지도Link")</f>
        <v/>
      </c>
      <c r="N316" s="6">
        <f>HYPERLINK("http://www.eum.go.kr/web/ar/lu/luLandDet.jsp?pnu=4311325024104630000&amp;isNoScr=script&amp;mode=search", "토지이음")</f>
        <v/>
      </c>
      <c r="O316" s="3" t="inlineStr">
        <is>
          <t>오송퍼스트영웅</t>
        </is>
      </c>
      <c r="P316" s="4" t="n">
        <v>1</v>
      </c>
      <c r="Q316" s="4" t="n">
        <v>4182</v>
      </c>
      <c r="R316" s="3" t="inlineStr">
        <is>
          <t>지정되지않음</t>
        </is>
      </c>
      <c r="S316" s="3" t="inlineStr">
        <is>
          <t>과수원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세로한면(가)</t>
        </is>
      </c>
    </row>
    <row r="317">
      <c r="A317" s="3" t="inlineStr">
        <is>
          <t>오송읍 쌍청리 498</t>
        </is>
      </c>
      <c r="B317" s="3" t="inlineStr">
        <is>
          <t>계획관리지역</t>
        </is>
      </c>
      <c r="C317" s="3" t="inlineStr">
        <is>
          <t>답</t>
        </is>
      </c>
      <c r="D317" s="3" t="inlineStr">
        <is>
          <t>답</t>
        </is>
      </c>
      <c r="E317" s="3" t="inlineStr">
        <is>
          <t>매매</t>
        </is>
      </c>
      <c r="F317" s="4" t="n">
        <v>180000</v>
      </c>
      <c r="G317" s="4" t="n">
        <v>2188</v>
      </c>
      <c r="H317" s="4" t="n">
        <v>662</v>
      </c>
      <c r="I317" s="5" t="n">
        <v>271.9</v>
      </c>
      <c r="J317" s="5" t="n">
        <v>67.5</v>
      </c>
      <c r="K317" s="3" t="inlineStr">
        <is>
          <t>오송과학단지 인접하고 2차선도로에 접한 용도 다양성 우위</t>
        </is>
      </c>
      <c r="L317" s="6">
        <f>HYPERLINK("https://fin.land.naver.com/articles/2646750576", "매물Link")</f>
        <v/>
      </c>
      <c r="M317" s="6">
        <f>HYPERLINK("https://map.naver.com/p/search/오송읍 쌍청리 498", "지도Link")</f>
        <v/>
      </c>
      <c r="N317" s="6">
        <f>HYPERLINK("http://www.eum.go.kr/web/ar/lu/luLandDet.jsp?pnu=4311325024104980000&amp;isNoScr=script&amp;mode=search", "토지이음")</f>
        <v/>
      </c>
      <c r="O317" s="3" t="inlineStr">
        <is>
          <t>오송k랜드</t>
        </is>
      </c>
      <c r="P317" s="4" t="n">
        <v>1</v>
      </c>
      <c r="Q317" s="4" t="n">
        <v>2099</v>
      </c>
      <c r="R317" s="3" t="inlineStr">
        <is>
          <t>지정되지않음</t>
        </is>
      </c>
      <c r="S317" s="3" t="inlineStr">
        <is>
          <t>답</t>
        </is>
      </c>
      <c r="T317" s="3" t="inlineStr">
        <is>
          <t>평지</t>
        </is>
      </c>
      <c r="U317" s="3" t="inlineStr">
        <is>
          <t>자루형</t>
        </is>
      </c>
      <c r="V317" s="3" t="inlineStr">
        <is>
          <t>세로한면(불)</t>
        </is>
      </c>
    </row>
    <row r="318">
      <c r="A318" s="3" t="inlineStr">
        <is>
          <t>오송읍 쌍청리 539-2</t>
        </is>
      </c>
      <c r="B318" s="3" t="inlineStr">
        <is>
          <t>농림지역</t>
        </is>
      </c>
      <c r="C318" s="3" t="inlineStr">
        <is>
          <t>답</t>
        </is>
      </c>
      <c r="D318" s="3" t="inlineStr">
        <is>
          <t>답</t>
        </is>
      </c>
      <c r="E318" s="3" t="inlineStr">
        <is>
          <t>매매</t>
        </is>
      </c>
      <c r="F318" s="4" t="n">
        <v>30000</v>
      </c>
      <c r="G318" s="4" t="n">
        <v>4122</v>
      </c>
      <c r="H318" s="4" t="n">
        <v>1247</v>
      </c>
      <c r="I318" s="5" t="n">
        <v>24.1</v>
      </c>
      <c r="J318" s="5" t="n">
        <v>18</v>
      </c>
      <c r="K318" s="3" t="inlineStr">
        <is>
          <t>오송읍 쌍청리 농지 급매 농지원부 대토 투자 장기보유등 추천</t>
        </is>
      </c>
      <c r="L318" s="6">
        <f>HYPERLINK("https://fin.land.naver.com/articles/2645376783", "매물Link")</f>
        <v/>
      </c>
      <c r="M318" s="6">
        <f>HYPERLINK("https://map.naver.com/p/search/오송읍 쌍청리 539-2", "지도Link")</f>
        <v/>
      </c>
      <c r="N318" s="6">
        <f>HYPERLINK("http://www.eum.go.kr/web/ar/lu/luLandDet.jsp?pnu=4311325024105390002&amp;isNoScr=script&amp;mode=search", "토지이음")</f>
        <v/>
      </c>
      <c r="O318" s="3" t="inlineStr">
        <is>
          <t>그린</t>
        </is>
      </c>
      <c r="P318" s="4" t="n">
        <v>1</v>
      </c>
      <c r="Q318" s="4" t="n">
        <v>2208</v>
      </c>
      <c r="R318" s="3" t="inlineStr">
        <is>
          <t>지정되지않음</t>
        </is>
      </c>
      <c r="S318" s="3" t="inlineStr">
        <is>
          <t>답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맹지</t>
        </is>
      </c>
    </row>
    <row r="319">
      <c r="A319" s="3" t="inlineStr">
        <is>
          <t>오송읍 쌍청리 8-1</t>
        </is>
      </c>
      <c r="B319" s="3" t="inlineStr">
        <is>
          <t>생산관리지역</t>
        </is>
      </c>
      <c r="C319" s="3" t="inlineStr">
        <is>
          <t>답</t>
        </is>
      </c>
      <c r="D319" s="3" t="inlineStr">
        <is>
          <t>답</t>
        </is>
      </c>
      <c r="E319" s="3" t="inlineStr">
        <is>
          <t>매매</t>
        </is>
      </c>
      <c r="F319" s="4" t="n">
        <v>61000</v>
      </c>
      <c r="G319" s="4" t="n">
        <v>1613</v>
      </c>
      <c r="H319" s="4" t="n">
        <v>488</v>
      </c>
      <c r="I319" s="5" t="n">
        <v>125</v>
      </c>
      <c r="J319" s="5" t="n">
        <v>46.5</v>
      </c>
      <c r="K319" s="3" t="inlineStr">
        <is>
          <t>2차선 도로접  분할매매 가능</t>
        </is>
      </c>
      <c r="L319" s="6">
        <f>HYPERLINK("https://fin.land.naver.com/articles/2650758461", "매물Link")</f>
        <v/>
      </c>
      <c r="M319" s="6">
        <f>HYPERLINK("https://map.naver.com/p/search/오송읍 쌍청리 8-1", "지도Link")</f>
        <v/>
      </c>
      <c r="N319" s="6">
        <f>HYPERLINK("http://www.eum.go.kr/web/ar/lu/luLandDet.jsp?pnu=4311325024100080001&amp;isNoScr=script&amp;mode=search", "토지이음")</f>
        <v/>
      </c>
      <c r="O319" s="3" t="inlineStr">
        <is>
          <t>김창수</t>
        </is>
      </c>
      <c r="P319" s="4" t="n">
        <v>1</v>
      </c>
      <c r="Q319" s="4" t="n">
        <v>1613</v>
      </c>
      <c r="R319" s="3" t="inlineStr">
        <is>
          <t>지정되지않음</t>
        </is>
      </c>
      <c r="S319" s="3" t="inlineStr">
        <is>
          <t>답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오송읍 연제리 527-1</t>
        </is>
      </c>
      <c r="B320" s="3" t="inlineStr">
        <is>
          <t>계획관리지역</t>
        </is>
      </c>
      <c r="C320" s="3" t="inlineStr">
        <is>
          <t>전</t>
        </is>
      </c>
      <c r="D320" s="3" t="inlineStr">
        <is>
          <t>전</t>
        </is>
      </c>
      <c r="E320" s="3" t="inlineStr">
        <is>
          <t>매매</t>
        </is>
      </c>
      <c r="F320" s="4" t="n">
        <v>88000</v>
      </c>
      <c r="G320" s="4" t="n">
        <v>1825</v>
      </c>
      <c r="H320" s="4" t="n">
        <v>552</v>
      </c>
      <c r="I320" s="5" t="n">
        <v>159.4</v>
      </c>
      <c r="J320" s="5" t="n">
        <v>59.4</v>
      </c>
      <c r="K320" s="3" t="inlineStr">
        <is>
          <t>KTX오송역 인근 계획관리지역 큰평수</t>
        </is>
      </c>
      <c r="L320" s="6">
        <f>HYPERLINK("https://fin.land.naver.com/articles/2649678918", "매물Link")</f>
        <v/>
      </c>
      <c r="M320" s="6">
        <f>HYPERLINK("https://map.naver.com/p/search/오송읍 연제리 527-1", "지도Link")</f>
        <v/>
      </c>
      <c r="N320" s="6">
        <f>HYPERLINK("http://www.eum.go.kr/web/ar/lu/luLandDet.jsp?pnu=4311325026105270001&amp;isNoScr=script&amp;mode=search", "토지이음")</f>
        <v/>
      </c>
      <c r="O320" s="3" t="inlineStr">
        <is>
          <t>굿타임</t>
        </is>
      </c>
      <c r="P320" s="4" t="n">
        <v>1</v>
      </c>
      <c r="Q320" s="4" t="n">
        <v>1825</v>
      </c>
      <c r="R320" s="3" t="inlineStr">
        <is>
          <t>지정되지않음</t>
        </is>
      </c>
      <c r="S320" s="3" t="inlineStr">
        <is>
          <t>전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오송읍 연제리 539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55000</v>
      </c>
      <c r="G321" s="4" t="n">
        <v>493</v>
      </c>
      <c r="H321" s="4" t="n">
        <v>149</v>
      </c>
      <c r="I321" s="5" t="n">
        <v>369.1</v>
      </c>
      <c r="J321" s="5" t="n">
        <v>115.7</v>
      </c>
      <c r="K321" s="3" t="inlineStr">
        <is>
          <t>오송 호수공원 근접, 활용도 높은 토지 매매</t>
        </is>
      </c>
      <c r="L321" s="6">
        <f>HYPERLINK("https://fin.land.naver.com/articles/2650595801", "매물Link")</f>
        <v/>
      </c>
      <c r="M321" s="6">
        <f>HYPERLINK("https://map.naver.com/p/search/오송읍 연제리 539", "지도Link")</f>
        <v/>
      </c>
      <c r="N321" s="6">
        <f>HYPERLINK("http://www.eum.go.kr/web/ar/lu/luLandDet.jsp?pnu=4311325026105390000&amp;isNoScr=script&amp;mode=search", "토지이음")</f>
        <v/>
      </c>
      <c r="O321" s="3" t="inlineStr">
        <is>
          <t>광장</t>
        </is>
      </c>
      <c r="P321" s="4" t="n">
        <v>1</v>
      </c>
      <c r="Q321" s="4" t="n">
        <v>493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부정형</t>
        </is>
      </c>
      <c r="V321" s="3" t="inlineStr">
        <is>
          <t>세로각지(가)</t>
        </is>
      </c>
    </row>
    <row r="322">
      <c r="A322" s="3" t="inlineStr">
        <is>
          <t>오송읍 연제리 664-2</t>
        </is>
      </c>
      <c r="B322" s="3" t="inlineStr">
        <is>
          <t>준공업지역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2000000</v>
      </c>
      <c r="G322" s="4" t="n">
        <v>9917</v>
      </c>
      <c r="H322" s="4" t="n">
        <v>3000</v>
      </c>
      <c r="I322" s="5" t="n">
        <v>666.7</v>
      </c>
      <c r="J322" s="5" t="n">
        <v>199.2</v>
      </c>
      <c r="K322" s="3" t="inlineStr">
        <is>
          <t>현재 가치는 물론 오송 개발과 산업 인프라 확장에 따른 미래가치까지 기대</t>
        </is>
      </c>
      <c r="L322" s="6">
        <f>HYPERLINK("https://fin.land.naver.com/articles/2650115117", "매물Link")</f>
        <v/>
      </c>
      <c r="M322" s="6">
        <f>HYPERLINK("https://map.naver.com/p/search/오송읍 연제리 664-2", "지도Link")</f>
        <v/>
      </c>
      <c r="N322" s="6">
        <f>HYPERLINK("http://www.eum.go.kr/web/ar/lu/luLandDet.jsp?pnu=4311325026106640002&amp;isNoScr=script&amp;mode=search", "토지이음")</f>
        <v/>
      </c>
      <c r="O322" s="3" t="inlineStr">
        <is>
          <t>대한</t>
        </is>
      </c>
      <c r="P322" s="4" t="n">
        <v>1</v>
      </c>
      <c r="Q322" s="4" t="n">
        <v>4958.7</v>
      </c>
      <c r="R322" s="3" t="inlineStr">
        <is>
          <t>지정되지않음</t>
        </is>
      </c>
      <c r="S322" s="3" t="inlineStr">
        <is>
          <t>상업용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오송읍 연제리 668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820000</v>
      </c>
      <c r="G323" s="4" t="n">
        <v>1593</v>
      </c>
      <c r="H323" s="4" t="n">
        <v>482</v>
      </c>
      <c r="I323" s="5" t="n">
        <v>1701.2</v>
      </c>
      <c r="J323" s="5" t="n">
        <v>619.8</v>
      </c>
      <c r="K323" s="3" t="inlineStr">
        <is>
          <t>외1필지 호텔이나 오피스텔로 투자 적합</t>
        </is>
      </c>
      <c r="L323" s="6">
        <f>HYPERLINK("https://fin.land.naver.com/articles/2650139636", "매물Link")</f>
        <v/>
      </c>
      <c r="M323" s="6">
        <f>HYPERLINK("https://map.naver.com/p/search/오송읍 연제리 668", "지도Link")</f>
        <v/>
      </c>
      <c r="N323" s="6">
        <f>HYPERLINK("http://www.eum.go.kr/web/ar/lu/luLandDet.jsp?pnu=4311325026106680000&amp;isNoScr=script&amp;mode=search", "토지이음")</f>
        <v/>
      </c>
      <c r="O323" s="3" t="inlineStr">
        <is>
          <t>옥산하늘채 주식회사</t>
        </is>
      </c>
      <c r="P323" s="4" t="n">
        <v>1</v>
      </c>
      <c r="Q323" s="4" t="n">
        <v>803.1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광대소각</t>
        </is>
      </c>
    </row>
    <row r="324">
      <c r="A324" s="3" t="inlineStr">
        <is>
          <t>오송읍 연제리 668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820000</v>
      </c>
      <c r="G324" s="4" t="n">
        <v>1593</v>
      </c>
      <c r="H324" s="4" t="n">
        <v>482</v>
      </c>
      <c r="I324" s="5" t="n">
        <v>1701.2</v>
      </c>
      <c r="J324" s="5" t="n">
        <v>619.8</v>
      </c>
      <c r="K324" s="3" t="inlineStr">
        <is>
          <t>nan</t>
        </is>
      </c>
      <c r="L324" s="6">
        <f>HYPERLINK("https://fin.land.naver.com/articles/2646041860", "매물Link")</f>
        <v/>
      </c>
      <c r="M324" s="6">
        <f>HYPERLINK("https://map.naver.com/p/search/오송읍 연제리 668", "지도Link")</f>
        <v/>
      </c>
      <c r="N324" s="6">
        <f>HYPERLINK("http://www.eum.go.kr/web/ar/lu/luLandDet.jsp?pnu=4311325026106680000&amp;isNoScr=script&amp;mode=search", "토지이음")</f>
        <v/>
      </c>
      <c r="O324" s="3" t="inlineStr">
        <is>
          <t>바른</t>
        </is>
      </c>
      <c r="P324" s="4" t="n">
        <v>1</v>
      </c>
      <c r="Q324" s="4" t="n">
        <v>803.1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광대소각</t>
        </is>
      </c>
    </row>
    <row r="325">
      <c r="A325" s="3" t="inlineStr">
        <is>
          <t>오송읍 연제리 692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135000</v>
      </c>
      <c r="G325" s="4" t="n">
        <v>593</v>
      </c>
      <c r="H325" s="4" t="n">
        <v>179</v>
      </c>
      <c r="I325" s="5" t="n">
        <v>754.2</v>
      </c>
      <c r="J325" s="5" t="n">
        <v>301.3</v>
      </c>
      <c r="K325" s="3" t="inlineStr">
        <is>
          <t>nan</t>
        </is>
      </c>
      <c r="L325" s="6">
        <f>HYPERLINK("https://fin.land.naver.com/articles/2648135693", "매물Link")</f>
        <v/>
      </c>
      <c r="M325" s="6">
        <f>HYPERLINK("https://map.naver.com/p/search/오송읍 연제리 692", "지도Link")</f>
        <v/>
      </c>
      <c r="N325" s="6">
        <f>HYPERLINK("http://www.eum.go.kr/web/ar/lu/luLandDet.jsp?pnu=4311325026106920000&amp;isNoScr=script&amp;mode=search", "토지이음")</f>
        <v/>
      </c>
      <c r="O325" s="3" t="inlineStr">
        <is>
          <t>오송퍼스트영웅</t>
        </is>
      </c>
      <c r="P325" s="4" t="n">
        <v>1</v>
      </c>
      <c r="Q325" s="4" t="n">
        <v>593.3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광대소각</t>
        </is>
      </c>
    </row>
    <row r="326">
      <c r="A326" s="3" t="inlineStr">
        <is>
          <t>오송읍 연제리 703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270000</v>
      </c>
      <c r="G326" s="4" t="n">
        <v>690</v>
      </c>
      <c r="H326" s="4" t="n">
        <v>209</v>
      </c>
      <c r="I326" s="5" t="n">
        <v>1291.9</v>
      </c>
      <c r="J326" s="5" t="n">
        <v>809.3</v>
      </c>
      <c r="K326" s="3" t="inlineStr">
        <is>
          <t>일반 상업지역, 상업 나지</t>
        </is>
      </c>
      <c r="L326" s="6">
        <f>HYPERLINK("https://fin.land.naver.com/articles/2647673845", "매물Link")</f>
        <v/>
      </c>
      <c r="M326" s="6">
        <f>HYPERLINK("https://map.naver.com/p/search/오송읍 연제리 703", "지도Link")</f>
        <v/>
      </c>
      <c r="N326" s="6">
        <f>HYPERLINK("http://www.eum.go.kr/web/ar/lu/luLandDet.jsp?pnu=4311325026107030000&amp;isNoScr=script&amp;mode=search", "토지이음")</f>
        <v/>
      </c>
      <c r="O326" s="3" t="inlineStr">
        <is>
          <t>딜  중개</t>
        </is>
      </c>
      <c r="P326" s="4" t="n">
        <v>1</v>
      </c>
      <c r="Q326" s="4" t="n">
        <v>690.3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광대소각</t>
        </is>
      </c>
    </row>
    <row r="327">
      <c r="A327" s="3" t="inlineStr">
        <is>
          <t>오송읍 연제리 773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35000</v>
      </c>
      <c r="G327" s="4" t="n">
        <v>260</v>
      </c>
      <c r="H327" s="4" t="n">
        <v>79</v>
      </c>
      <c r="I327" s="5" t="n">
        <v>443</v>
      </c>
      <c r="J327" s="5" t="n">
        <v>227</v>
      </c>
      <c r="K327" s="3" t="inlineStr">
        <is>
          <t>호수공원 인접 오송역 도보 이용 가능</t>
        </is>
      </c>
      <c r="L327" s="6">
        <f>HYPERLINK("https://fin.land.naver.com/articles/2645860009", "매물Link")</f>
        <v/>
      </c>
      <c r="M327" s="6">
        <f>HYPERLINK("https://map.naver.com/p/search/오송읍 연제리 773", "지도Link")</f>
        <v/>
      </c>
      <c r="N327" s="6">
        <f>HYPERLINK("http://www.eum.go.kr/web/ar/lu/luLandDet.jsp?pnu=4311325026107730000&amp;isNoScr=script&amp;mode=search", "토지이음")</f>
        <v/>
      </c>
      <c r="O327" s="3" t="inlineStr">
        <is>
          <t>오송베스트</t>
        </is>
      </c>
      <c r="P327" s="4" t="n">
        <v>1</v>
      </c>
      <c r="Q327" s="4" t="n">
        <v>260.4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오송읍 오송리 206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86000</v>
      </c>
      <c r="G328" s="4" t="n">
        <v>635</v>
      </c>
      <c r="H328" s="4" t="n">
        <v>192</v>
      </c>
      <c r="I328" s="5" t="n">
        <v>447.9</v>
      </c>
      <c r="J328" s="5" t="n">
        <v>168.2</v>
      </c>
      <c r="K328" s="3" t="inlineStr">
        <is>
          <t>대단지 아파트 앞 코너 땅, 8m 도로</t>
        </is>
      </c>
      <c r="L328" s="6">
        <f>HYPERLINK("https://fin.land.naver.com/articles/2645194580", "매물Link")</f>
        <v/>
      </c>
      <c r="M328" s="6">
        <f>HYPERLINK("https://map.naver.com/p/search/오송읍 오송리 206", "지도Link")</f>
        <v/>
      </c>
      <c r="N328" s="6">
        <f>HYPERLINK("http://www.eum.go.kr/web/ar/lu/luLandDet.jsp?pnu=4311325028102060000&amp;isNoScr=script&amp;mode=search", "토지이음")</f>
        <v/>
      </c>
      <c r="O328" s="3" t="inlineStr">
        <is>
          <t>세종큰길</t>
        </is>
      </c>
      <c r="P328" s="4" t="n">
        <v>1</v>
      </c>
      <c r="Q328" s="4" t="n">
        <v>340</v>
      </c>
      <c r="R328" s="3" t="inlineStr">
        <is>
          <t>지정되지않음</t>
        </is>
      </c>
      <c r="S328" s="3" t="inlineStr">
        <is>
          <t>주거기타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세로각지(가)</t>
        </is>
      </c>
    </row>
    <row r="329">
      <c r="A329" s="3" t="inlineStr">
        <is>
          <t>오송읍 오송리 206-3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96000</v>
      </c>
      <c r="G329" s="4" t="n">
        <v>635</v>
      </c>
      <c r="H329" s="4" t="n">
        <v>192</v>
      </c>
      <c r="I329" s="5" t="n">
        <v>500</v>
      </c>
      <c r="J329" s="5" t="n">
        <v>159.6</v>
      </c>
      <c r="K329" s="3" t="inlineStr">
        <is>
          <t>힐스테이트 오송역퍼스트 앞 토지 매매</t>
        </is>
      </c>
      <c r="L329" s="6">
        <f>HYPERLINK("https://fin.land.naver.com/articles/2648085186", "매물Link")</f>
        <v/>
      </c>
      <c r="M329" s="6">
        <f>HYPERLINK("https://map.naver.com/p/search/오송읍 오송리 206-3", "지도Link")</f>
        <v/>
      </c>
      <c r="N329" s="6">
        <f>HYPERLINK("http://www.eum.go.kr/web/ar/lu/luLandDet.jsp?pnu=4311325028102060003&amp;isNoScr=script&amp;mode=search", "토지이음")</f>
        <v/>
      </c>
      <c r="O329" s="3" t="inlineStr">
        <is>
          <t>365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단독</t>
        </is>
      </c>
      <c r="T329" s="3" t="inlineStr">
        <is>
          <t>평지</t>
        </is>
      </c>
      <c r="U329" s="3" t="inlineStr">
        <is>
          <t>부정형</t>
        </is>
      </c>
      <c r="V329" s="3" t="inlineStr">
        <is>
          <t>세로각지(가)</t>
        </is>
      </c>
    </row>
    <row r="330">
      <c r="A330" s="3" t="inlineStr">
        <is>
          <t>오송읍 오송리 224-2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81500</v>
      </c>
      <c r="G330" s="4" t="n">
        <v>538</v>
      </c>
      <c r="H330" s="4" t="n">
        <v>163</v>
      </c>
      <c r="I330" s="5" t="n">
        <v>500</v>
      </c>
      <c r="J330" s="5" t="n">
        <v>136.5</v>
      </c>
      <c r="K330" s="3" t="inlineStr">
        <is>
          <t>3산단초입 투자물건 2필지</t>
        </is>
      </c>
      <c r="L330" s="6">
        <f>HYPERLINK("https://fin.land.naver.com/articles/2649702680", "매물Link")</f>
        <v/>
      </c>
      <c r="M330" s="6">
        <f>HYPERLINK("https://map.naver.com/p/search/오송읍 오송리 224-2", "지도Link")</f>
        <v/>
      </c>
      <c r="N330" s="6">
        <f>HYPERLINK("http://www.eum.go.kr/web/ar/lu/luLandDet.jsp?pnu=4311325028102240002&amp;isNoScr=script&amp;mode=search", "토지이음")</f>
        <v/>
      </c>
      <c r="O330" s="3" t="inlineStr">
        <is>
          <t>금송</t>
        </is>
      </c>
      <c r="P330" s="4" t="n">
        <v>1</v>
      </c>
      <c r="Q330" s="4" t="n">
        <v>182</v>
      </c>
      <c r="R330" s="3" t="inlineStr">
        <is>
          <t>지정되지않음</t>
        </is>
      </c>
      <c r="S330" s="3" t="inlineStr">
        <is>
          <t>단독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오송읍 오송리 242-2</t>
        </is>
      </c>
      <c r="B331" s="3" t="inlineStr">
        <is>
          <t>계획관리지역</t>
        </is>
      </c>
      <c r="C331" s="3" t="inlineStr">
        <is>
          <t>주유소용지</t>
        </is>
      </c>
      <c r="D331" s="3" t="inlineStr">
        <is>
          <t>주유소용지</t>
        </is>
      </c>
      <c r="E331" s="3" t="inlineStr">
        <is>
          <t>매매</t>
        </is>
      </c>
      <c r="F331" s="4" t="n">
        <v>245000</v>
      </c>
      <c r="G331" s="4" t="n">
        <v>810</v>
      </c>
      <c r="H331" s="4" t="n">
        <v>245</v>
      </c>
      <c r="I331" s="5" t="n">
        <v>1000</v>
      </c>
      <c r="J331" s="5" t="n">
        <v>313.2</v>
      </c>
      <c r="K331" s="3" t="inlineStr">
        <is>
          <t>6차선변 주유소현 휴업중 매매</t>
        </is>
      </c>
      <c r="L331" s="6">
        <f>HYPERLINK("https://fin.land.naver.com/articles/2647193813", "매물Link")</f>
        <v/>
      </c>
      <c r="M331" s="6">
        <f>HYPERLINK("https://map.naver.com/p/search/오송읍 오송리 242-2", "지도Link")</f>
        <v/>
      </c>
      <c r="N331" s="6">
        <f>HYPERLINK("http://www.eum.go.kr/web/ar/lu/luLandDet.jsp?pnu=4311325028102420002&amp;isNoScr=script&amp;mode=search", "토지이음")</f>
        <v/>
      </c>
      <c r="O331" s="3" t="inlineStr">
        <is>
          <t>한국토지중개</t>
        </is>
      </c>
      <c r="P331" s="4" t="n">
        <v>1</v>
      </c>
      <c r="Q331" s="4" t="n">
        <v>810</v>
      </c>
      <c r="R331" s="3" t="inlineStr">
        <is>
          <t>지정되지않음</t>
        </is>
      </c>
      <c r="S331" s="3" t="inlineStr">
        <is>
          <t>주상용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광대로한면</t>
        </is>
      </c>
    </row>
    <row r="332">
      <c r="A332" s="3" t="inlineStr">
        <is>
          <t>오송읍 오송리 242-21</t>
        </is>
      </c>
      <c r="B332" s="3" t="inlineStr">
        <is>
          <t>계획관리지역</t>
        </is>
      </c>
      <c r="C332" s="3" t="inlineStr">
        <is>
          <t>전</t>
        </is>
      </c>
      <c r="D332" s="3" t="inlineStr">
        <is>
          <t>전</t>
        </is>
      </c>
      <c r="E332" s="3" t="inlineStr">
        <is>
          <t>매매</t>
        </is>
      </c>
      <c r="F332" s="4" t="n">
        <v>32000</v>
      </c>
      <c r="G332" s="4" t="n">
        <v>300</v>
      </c>
      <c r="H332" s="4" t="n">
        <v>91</v>
      </c>
      <c r="I332" s="5" t="n">
        <v>351.6</v>
      </c>
      <c r="J332" s="5" t="n">
        <v>84.5</v>
      </c>
      <c r="K332" s="3" t="inlineStr">
        <is>
          <t>3산단 예정지 배후, 임대수익형 다가구 자리
3산단 배후지, 임대수익형</t>
        </is>
      </c>
      <c r="L332" s="6">
        <f>HYPERLINK("https://fin.land.naver.com/articles/2649702126", "매물Link")</f>
        <v/>
      </c>
      <c r="M332" s="6">
        <f>HYPERLINK("https://map.naver.com/p/search/오송읍 오송리 242-21", "지도Link")</f>
        <v/>
      </c>
      <c r="N332" s="6">
        <f>HYPERLINK("http://www.eum.go.kr/web/ar/lu/luLandDet.jsp?pnu=4311325028102420021&amp;isNoScr=script&amp;mode=search", "토지이음")</f>
        <v/>
      </c>
      <c r="O332" s="3" t="inlineStr">
        <is>
          <t>금송</t>
        </is>
      </c>
      <c r="P332" s="4" t="n">
        <v>1</v>
      </c>
      <c r="Q332" s="4" t="n">
        <v>165</v>
      </c>
      <c r="R332" s="3" t="inlineStr">
        <is>
          <t>지정되지않음</t>
        </is>
      </c>
      <c r="S332" s="3" t="inlineStr">
        <is>
          <t>전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오송읍 오송리 245-4</t>
        </is>
      </c>
      <c r="B333" s="3" t="inlineStr">
        <is>
          <t>계획관리지역</t>
        </is>
      </c>
      <c r="C333" s="3" t="inlineStr">
        <is>
          <t>답</t>
        </is>
      </c>
      <c r="D333" s="3" t="inlineStr">
        <is>
          <t>답</t>
        </is>
      </c>
      <c r="E333" s="3" t="inlineStr">
        <is>
          <t>매매</t>
        </is>
      </c>
      <c r="F333" s="4" t="n">
        <v>120000</v>
      </c>
      <c r="G333" s="4" t="n">
        <v>976</v>
      </c>
      <c r="H333" s="4" t="n">
        <v>295</v>
      </c>
      <c r="I333" s="5" t="n">
        <v>406.8</v>
      </c>
      <c r="J333" s="5" t="n">
        <v>103.7</v>
      </c>
      <c r="K333" s="3" t="inlineStr">
        <is>
          <t>오송3리 오송천주교회와 3산산단 경계부의 사업용 토지</t>
        </is>
      </c>
      <c r="L333" s="6">
        <f>HYPERLINK("https://fin.land.naver.com/articles/2649169945", "매물Link")</f>
        <v/>
      </c>
      <c r="M333" s="6">
        <f>HYPERLINK("https://map.naver.com/p/search/오송읍 오송리 245-4", "지도Link")</f>
        <v/>
      </c>
      <c r="N333" s="6">
        <f>HYPERLINK("http://www.eum.go.kr/web/ar/lu/luLandDet.jsp?pnu=4311325028102450004&amp;isNoScr=script&amp;mode=search", "토지이음")</f>
        <v/>
      </c>
      <c r="O333" s="3" t="inlineStr">
        <is>
          <t>오송k랜드</t>
        </is>
      </c>
      <c r="P333" s="4" t="n">
        <v>1</v>
      </c>
      <c r="Q333" s="4" t="n">
        <v>700</v>
      </c>
      <c r="R333" s="3" t="inlineStr">
        <is>
          <t>지정되지않음</t>
        </is>
      </c>
      <c r="S333" s="3" t="inlineStr">
        <is>
          <t>답기타</t>
        </is>
      </c>
      <c r="T333" s="3" t="inlineStr">
        <is>
          <t>평지</t>
        </is>
      </c>
      <c r="U333" s="3" t="inlineStr">
        <is>
          <t>부정형</t>
        </is>
      </c>
      <c r="V333" s="3" t="inlineStr">
        <is>
          <t>세로한면(가)</t>
        </is>
      </c>
    </row>
    <row r="334">
      <c r="A334" s="3" t="inlineStr">
        <is>
          <t>오송읍 오송리 246-52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911</v>
      </c>
      <c r="H334" s="4" t="n">
        <v>276</v>
      </c>
      <c r="I334" s="5" t="n">
        <v>543.5</v>
      </c>
      <c r="J334" s="5" t="n">
        <v>163.6</v>
      </c>
      <c r="K334" s="3" t="inlineStr">
        <is>
          <t>현재 나대지 3산단개발 호재로 투자가치 최고의땅</t>
        </is>
      </c>
      <c r="L334" s="6">
        <f>HYPERLINK("https://fin.land.naver.com/articles/2645262563", "매물Link")</f>
        <v/>
      </c>
      <c r="M334" s="6">
        <f>HYPERLINK("https://map.naver.com/p/search/오송읍 오송리 246-52", "지도Link")</f>
        <v/>
      </c>
      <c r="N334" s="6">
        <f>HYPERLINK("http://www.eum.go.kr/web/ar/lu/luLandDet.jsp?pnu=4311325028102460052&amp;isNoScr=script&amp;mode=search", "토지이음")</f>
        <v/>
      </c>
      <c r="O334" s="3" t="inlineStr">
        <is>
          <t>오송올래</t>
        </is>
      </c>
      <c r="P334" s="4" t="n">
        <v>1</v>
      </c>
      <c r="Q334" s="4" t="n">
        <v>667</v>
      </c>
      <c r="R334" s="3" t="inlineStr">
        <is>
          <t>지정되지않음</t>
        </is>
      </c>
      <c r="S334" s="3" t="inlineStr">
        <is>
          <t>공업용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오송읍 오송리 246-53</t>
        </is>
      </c>
      <c r="B335" s="3" t="inlineStr">
        <is>
          <t>계획관리지역</t>
        </is>
      </c>
      <c r="C335" s="3" t="inlineStr">
        <is>
          <t>전</t>
        </is>
      </c>
      <c r="D335" s="3" t="inlineStr">
        <is>
          <t>전</t>
        </is>
      </c>
      <c r="E335" s="3" t="inlineStr">
        <is>
          <t>매매</t>
        </is>
      </c>
      <c r="F335" s="4" t="n">
        <v>330000</v>
      </c>
      <c r="G335" s="4" t="n">
        <v>2011</v>
      </c>
      <c r="H335" s="4" t="n">
        <v>608</v>
      </c>
      <c r="I335" s="5" t="n">
        <v>542.8</v>
      </c>
      <c r="J335" s="5" t="n">
        <v>110.3</v>
      </c>
      <c r="K335" s="3" t="inlineStr">
        <is>
          <t>오송농협 36국도인접 계획관리지역,  실사업용 추천물건
오송제3산단 경</t>
        </is>
      </c>
      <c r="L335" s="6">
        <f>HYPERLINK("https://fin.land.naver.com/articles/2648239506", "매물Link")</f>
        <v/>
      </c>
      <c r="M335" s="6">
        <f>HYPERLINK("https://map.naver.com/p/search/오송읍 오송리 246-53", "지도Link")</f>
        <v/>
      </c>
      <c r="N335" s="6">
        <f>HYPERLINK("http://www.eum.go.kr/web/ar/lu/luLandDet.jsp?pnu=4311325028102460053&amp;isNoScr=script&amp;mode=search", "토지이음")</f>
        <v/>
      </c>
      <c r="O335" s="3" t="inlineStr">
        <is>
          <t>오송k랜드</t>
        </is>
      </c>
      <c r="P335" s="4" t="n">
        <v>1</v>
      </c>
      <c r="Q335" s="4" t="n">
        <v>2011</v>
      </c>
      <c r="R335" s="3" t="inlineStr">
        <is>
          <t>지정되지않음</t>
        </is>
      </c>
      <c r="S335" s="3" t="inlineStr">
        <is>
          <t>전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오송읍 오송리 60-104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286</v>
      </c>
      <c r="H336" s="4" t="n">
        <v>87</v>
      </c>
      <c r="I336" s="5" t="n">
        <v>804.6</v>
      </c>
      <c r="J336" s="5" t="n">
        <v>234</v>
      </c>
      <c r="K336" s="3" t="inlineStr">
        <is>
          <t>힐스테이트 맞은편 대 매매</t>
        </is>
      </c>
      <c r="L336" s="6">
        <f>HYPERLINK("https://fin.land.naver.com/articles/2649964725", "매물Link")</f>
        <v/>
      </c>
      <c r="M336" s="6">
        <f>HYPERLINK("https://map.naver.com/p/search/오송읍 오송리 60-104", "지도Link")</f>
        <v/>
      </c>
      <c r="N336" s="6">
        <f>HYPERLINK("http://www.eum.go.kr/web/ar/lu/luLandDet.jsp?pnu=4311325028100600104&amp;isNoScr=script&amp;mode=search", "토지이음")</f>
        <v/>
      </c>
      <c r="O336" s="3" t="inlineStr">
        <is>
          <t>광장</t>
        </is>
      </c>
      <c r="P336" s="4" t="n">
        <v>1</v>
      </c>
      <c r="Q336" s="4" t="n">
        <v>286</v>
      </c>
      <c r="R336" s="3" t="inlineStr">
        <is>
          <t>지정되지않음</t>
        </is>
      </c>
      <c r="S336" s="3" t="inlineStr">
        <is>
          <t>단독</t>
        </is>
      </c>
      <c r="T336" s="3" t="inlineStr">
        <is>
          <t>평지</t>
        </is>
      </c>
      <c r="U336" s="3" t="inlineStr">
        <is>
          <t>부정형</t>
        </is>
      </c>
      <c r="V336" s="3" t="inlineStr">
        <is>
          <t>소로한면</t>
        </is>
      </c>
    </row>
    <row r="337">
      <c r="A337" s="3" t="inlineStr">
        <is>
          <t>오송읍 정중리 206-5</t>
        </is>
      </c>
      <c r="B337" s="3" t="inlineStr">
        <is>
          <t>계획관리지역</t>
        </is>
      </c>
      <c r="C337" s="3" t="inlineStr">
        <is>
          <t>전</t>
        </is>
      </c>
      <c r="D337" s="3" t="inlineStr">
        <is>
          <t>전</t>
        </is>
      </c>
      <c r="E337" s="3" t="inlineStr">
        <is>
          <t>매매</t>
        </is>
      </c>
      <c r="F337" s="4" t="n">
        <v>15000</v>
      </c>
      <c r="G337" s="4" t="n">
        <v>278</v>
      </c>
      <c r="H337" s="4" t="n">
        <v>84</v>
      </c>
      <c r="I337" s="5" t="n">
        <v>178.6</v>
      </c>
      <c r="J337" s="5" t="n">
        <v>62.7</v>
      </c>
      <c r="K337" s="3" t="inlineStr">
        <is>
          <t>강추 매물 계획관리지역, 땅 소액투자, 미래가치성 좋음</t>
        </is>
      </c>
      <c r="L337" s="6">
        <f>HYPERLINK("https://fin.land.naver.com/articles/2650556418", "매물Link")</f>
        <v/>
      </c>
      <c r="M337" s="6">
        <f>HYPERLINK("https://map.naver.com/p/search/오송읍 정중리 206-5", "지도Link")</f>
        <v/>
      </c>
      <c r="N337" s="6">
        <f>HYPERLINK("http://www.eum.go.kr/web/ar/lu/luLandDet.jsp?pnu=4311325032102060005&amp;isNoScr=script&amp;mode=search", "토지이음")</f>
        <v/>
      </c>
      <c r="O337" s="3" t="inlineStr">
        <is>
          <t>현담</t>
        </is>
      </c>
      <c r="P337" s="4" t="n">
        <v>1</v>
      </c>
      <c r="Q337" s="4" t="n">
        <v>278</v>
      </c>
      <c r="R337" s="3" t="inlineStr">
        <is>
          <t>지정되지않음</t>
        </is>
      </c>
      <c r="S337" s="3" t="inlineStr">
        <is>
          <t>전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오송읍 정중리 317-1</t>
        </is>
      </c>
      <c r="B338" s="3" t="inlineStr">
        <is>
          <t>농림지역</t>
        </is>
      </c>
      <c r="C338" s="3" t="inlineStr">
        <is>
          <t>잡종지</t>
        </is>
      </c>
      <c r="D338" s="3" t="inlineStr">
        <is>
          <t>잡종지</t>
        </is>
      </c>
      <c r="E338" s="3" t="inlineStr">
        <is>
          <t>매매</t>
        </is>
      </c>
      <c r="F338" s="4" t="n">
        <v>180000</v>
      </c>
      <c r="G338" s="4" t="n">
        <v>11497</v>
      </c>
      <c r="H338" s="4" t="n">
        <v>3478</v>
      </c>
      <c r="I338" s="5" t="n">
        <v>51.8</v>
      </c>
      <c r="J338" s="5" t="n">
        <v>25.2</v>
      </c>
      <c r="K338" s="3" t="inlineStr">
        <is>
          <t>오송KTX역 및 오송바이오2산단 인근  2차선 도로접한 창고 및 토지</t>
        </is>
      </c>
      <c r="L338" s="6">
        <f>HYPERLINK("https://fin.land.naver.com/articles/2646727754", "매물Link")</f>
        <v/>
      </c>
      <c r="M338" s="6">
        <f>HYPERLINK("https://map.naver.com/p/search/오송읍 정중리 317-1", "지도Link")</f>
        <v/>
      </c>
      <c r="N338" s="6">
        <f>HYPERLINK("http://www.eum.go.kr/web/ar/lu/luLandDet.jsp?pnu=4311325032103170001&amp;isNoScr=script&amp;mode=search", "토지이음")</f>
        <v/>
      </c>
      <c r="O338" s="3" t="inlineStr">
        <is>
          <t>번영</t>
        </is>
      </c>
      <c r="P338" s="4" t="n">
        <v>1</v>
      </c>
      <c r="Q338" s="4" t="n">
        <v>237</v>
      </c>
      <c r="R338" s="3" t="inlineStr">
        <is>
          <t>지정되지않음</t>
        </is>
      </c>
      <c r="S338" s="3" t="inlineStr">
        <is>
          <t>답창고</t>
        </is>
      </c>
      <c r="T338" s="3" t="inlineStr">
        <is>
          <t>평지</t>
        </is>
      </c>
      <c r="U338" s="3" t="inlineStr">
        <is>
          <t>부정형</t>
        </is>
      </c>
      <c r="V338" s="3" t="inlineStr">
        <is>
          <t>세로한면(가)</t>
        </is>
      </c>
    </row>
    <row r="339">
      <c r="A339" s="3" t="inlineStr">
        <is>
          <t>오송읍 정중리 634</t>
        </is>
      </c>
      <c r="B339" s="3" t="inlineStr">
        <is>
          <t>일반공업지역</t>
        </is>
      </c>
      <c r="C339" s="3" t="inlineStr">
        <is>
          <t>공장용지</t>
        </is>
      </c>
      <c r="D339" s="3" t="inlineStr">
        <is>
          <t>공장용지</t>
        </is>
      </c>
      <c r="E339" s="3" t="inlineStr">
        <is>
          <t>매매</t>
        </is>
      </c>
      <c r="F339" s="4" t="n">
        <v>1416100</v>
      </c>
      <c r="G339" s="4" t="n">
        <v>27537</v>
      </c>
      <c r="H339" s="4" t="n">
        <v>8330</v>
      </c>
      <c r="I339" s="5" t="n">
        <v>170</v>
      </c>
      <c r="J339" s="5" t="n">
        <v>74.40000000000001</v>
      </c>
      <c r="K339" s="3" t="inlineStr">
        <is>
          <t>nan</t>
        </is>
      </c>
      <c r="L339" s="6">
        <f>HYPERLINK("https://fin.land.naver.com/articles/2646479249", "매물Link")</f>
        <v/>
      </c>
      <c r="M339" s="6">
        <f>HYPERLINK("https://map.naver.com/p/search/오송읍 정중리 634", "지도Link")</f>
        <v/>
      </c>
      <c r="N339" s="6">
        <f>HYPERLINK("http://www.eum.go.kr/web/ar/lu/luLandDet.jsp?pnu=4311325032106340000&amp;isNoScr=script&amp;mode=search", "토지이음")</f>
        <v/>
      </c>
      <c r="O339" s="3" t="inlineStr">
        <is>
          <t>스마트랜드</t>
        </is>
      </c>
      <c r="P339" s="4" t="n">
        <v>1</v>
      </c>
      <c r="Q339" s="4" t="n">
        <v>27537.3</v>
      </c>
      <c r="R339" s="3" t="inlineStr">
        <is>
          <t>지정되지않음</t>
        </is>
      </c>
      <c r="S339" s="3" t="inlineStr">
        <is>
          <t>공업기타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광대소각</t>
        </is>
      </c>
    </row>
    <row r="340">
      <c r="A340" s="3" t="inlineStr">
        <is>
          <t>오송읍 정중리 699</t>
        </is>
      </c>
      <c r="B340" s="3" t="inlineStr">
        <is>
          <t>준공업지역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152000</v>
      </c>
      <c r="G340" s="4" t="n">
        <v>678</v>
      </c>
      <c r="H340" s="4" t="n">
        <v>205</v>
      </c>
      <c r="I340" s="5" t="n">
        <v>741.5</v>
      </c>
      <c r="J340" s="5" t="n">
        <v>361</v>
      </c>
      <c r="K340" s="3" t="inlineStr">
        <is>
          <t>대형평수 음식점 사무실 학원 추천자리</t>
        </is>
      </c>
      <c r="L340" s="6">
        <f>HYPERLINK("https://fin.land.naver.com/articles/2645805290", "매물Link")</f>
        <v/>
      </c>
      <c r="M340" s="6">
        <f>HYPERLINK("https://map.naver.com/p/search/오송읍 정중리 699", "지도Link")</f>
        <v/>
      </c>
      <c r="N340" s="6">
        <f>HYPERLINK("http://www.eum.go.kr/web/ar/lu/luLandDet.jsp?pnu=4311325032106990000&amp;isNoScr=script&amp;mode=search", "토지이음")</f>
        <v/>
      </c>
      <c r="O340" s="3" t="inlineStr">
        <is>
          <t>오송명품</t>
        </is>
      </c>
      <c r="P340" s="4" t="n">
        <v>1</v>
      </c>
      <c r="Q340" s="4" t="n">
        <v>678.2</v>
      </c>
      <c r="R340" s="3" t="inlineStr">
        <is>
          <t>지정되지않음</t>
        </is>
      </c>
      <c r="S340" s="3" t="inlineStr">
        <is>
          <t>상업기타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중로각지</t>
        </is>
      </c>
    </row>
    <row r="341">
      <c r="A341" s="3" t="inlineStr">
        <is>
          <t>오송읍 정중리 704</t>
        </is>
      </c>
      <c r="B341" s="3" t="inlineStr">
        <is>
          <t>준공업지역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140000</v>
      </c>
      <c r="G341" s="4" t="n">
        <v>548</v>
      </c>
      <c r="H341" s="4" t="n">
        <v>166</v>
      </c>
      <c r="I341" s="5" t="n">
        <v>843.4</v>
      </c>
      <c r="J341" s="5" t="n">
        <v>347.1</v>
      </c>
      <c r="K341" s="3" t="inlineStr">
        <is>
          <t>급매, 오송 국민체육센터 인근 토지 매매</t>
        </is>
      </c>
      <c r="L341" s="6">
        <f>HYPERLINK("https://fin.land.naver.com/articles/2648308447", "매물Link")</f>
        <v/>
      </c>
      <c r="M341" s="6">
        <f>HYPERLINK("https://map.naver.com/p/search/오송읍 정중리 704", "지도Link")</f>
        <v/>
      </c>
      <c r="N341" s="6">
        <f>HYPERLINK("http://www.eum.go.kr/web/ar/lu/luLandDet.jsp?pnu=4311325032107040000&amp;isNoScr=script&amp;mode=search", "토지이음")</f>
        <v/>
      </c>
      <c r="O341" s="3" t="inlineStr">
        <is>
          <t>광장</t>
        </is>
      </c>
      <c r="P341" s="4" t="n">
        <v>1</v>
      </c>
      <c r="Q341" s="4" t="n">
        <v>548.8</v>
      </c>
      <c r="R341" s="3" t="inlineStr">
        <is>
          <t>지정되지않음</t>
        </is>
      </c>
      <c r="S341" s="3" t="inlineStr">
        <is>
          <t>상업기타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오송읍 정중리 704</t>
        </is>
      </c>
      <c r="B342" s="3" t="inlineStr">
        <is>
          <t>준공업지역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150000</v>
      </c>
      <c r="G342" s="4" t="n">
        <v>548</v>
      </c>
      <c r="H342" s="4" t="n">
        <v>166</v>
      </c>
      <c r="I342" s="5" t="n">
        <v>903.6</v>
      </c>
      <c r="J342" s="5" t="n">
        <v>347.1</v>
      </c>
      <c r="K342" s="3" t="inlineStr">
        <is>
          <t>오송 정중리 상가 신축 가능한 투자용지</t>
        </is>
      </c>
      <c r="L342" s="6">
        <f>HYPERLINK("https://fin.land.naver.com/articles/2647850811", "매물Link")</f>
        <v/>
      </c>
      <c r="M342" s="6">
        <f>HYPERLINK("https://map.naver.com/p/search/오송읍 정중리 704", "지도Link")</f>
        <v/>
      </c>
      <c r="N342" s="6">
        <f>HYPERLINK("http://www.eum.go.kr/web/ar/lu/luLandDet.jsp?pnu=4311325032107040000&amp;isNoScr=script&amp;mode=search", "토지이음")</f>
        <v/>
      </c>
      <c r="O342" s="3" t="inlineStr">
        <is>
          <t>성진</t>
        </is>
      </c>
      <c r="P342" s="4" t="n">
        <v>1</v>
      </c>
      <c r="Q342" s="4" t="n">
        <v>548.8</v>
      </c>
      <c r="R342" s="3" t="inlineStr">
        <is>
          <t>지정되지않음</t>
        </is>
      </c>
      <c r="S342" s="3" t="inlineStr">
        <is>
          <t>상업기타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오송읍 정중리 704</t>
        </is>
      </c>
      <c r="B343" s="3" t="inlineStr">
        <is>
          <t>준공업지역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166000</v>
      </c>
      <c r="G343" s="4" t="n">
        <v>548</v>
      </c>
      <c r="H343" s="4" t="n">
        <v>166</v>
      </c>
      <c r="I343" s="5" t="n">
        <v>1000</v>
      </c>
      <c r="J343" s="5" t="n">
        <v>347.1</v>
      </c>
      <c r="K343" s="3" t="inlineStr">
        <is>
          <t>오송 2산단 지원시설용지  아파트 인접한 대로변 토지 근생 건물등 가능</t>
        </is>
      </c>
      <c r="L343" s="6">
        <f>HYPERLINK("https://fin.land.naver.com/articles/2646670136", "매물Link")</f>
        <v/>
      </c>
      <c r="M343" s="6">
        <f>HYPERLINK("https://map.naver.com/p/search/오송읍 정중리 704", "지도Link")</f>
        <v/>
      </c>
      <c r="N343" s="6">
        <f>HYPERLINK("http://www.eum.go.kr/web/ar/lu/luLandDet.jsp?pnu=4311325032107040000&amp;isNoScr=script&amp;mode=search", "토지이음")</f>
        <v/>
      </c>
      <c r="O343" s="3" t="inlineStr">
        <is>
          <t>더원</t>
        </is>
      </c>
      <c r="P343" s="4" t="n">
        <v>3</v>
      </c>
      <c r="Q343" s="4" t="n">
        <v>548.8</v>
      </c>
      <c r="R343" s="3" t="inlineStr">
        <is>
          <t>지정되지않음</t>
        </is>
      </c>
      <c r="S343" s="3" t="inlineStr">
        <is>
          <t>상업기타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오송읍 정중리 707</t>
        </is>
      </c>
      <c r="B344" s="3" t="inlineStr">
        <is>
          <t>준공업지역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380000</v>
      </c>
      <c r="G344" s="4" t="n">
        <v>1143</v>
      </c>
      <c r="H344" s="4" t="n">
        <v>346</v>
      </c>
      <c r="I344" s="5" t="n">
        <v>1098.3</v>
      </c>
      <c r="J344" s="5" t="n">
        <v>407.6</v>
      </c>
      <c r="K344" s="3" t="inlineStr">
        <is>
          <t>오송 2산단 사거리 코너자리 지원시설용지</t>
        </is>
      </c>
      <c r="L344" s="6">
        <f>HYPERLINK("https://fin.land.naver.com/articles/2647618969", "매물Link")</f>
        <v/>
      </c>
      <c r="M344" s="6">
        <f>HYPERLINK("https://map.naver.com/p/search/오송읍 정중리 707", "지도Link")</f>
        <v/>
      </c>
      <c r="N344" s="6">
        <f>HYPERLINK("http://www.eum.go.kr/web/ar/lu/luLandDet.jsp?pnu=4311325032107070000&amp;isNoScr=script&amp;mode=search", "토지이음")</f>
        <v/>
      </c>
      <c r="O344" s="3" t="inlineStr">
        <is>
          <t>아임</t>
        </is>
      </c>
      <c r="P344" s="4" t="n">
        <v>1</v>
      </c>
      <c r="Q344" s="4" t="n">
        <v>558.8</v>
      </c>
      <c r="R344" s="3" t="inlineStr">
        <is>
          <t>지정되지않음</t>
        </is>
      </c>
      <c r="S344" s="3" t="inlineStr">
        <is>
          <t>상업기타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광대소각</t>
        </is>
      </c>
    </row>
    <row r="345">
      <c r="A345" s="3" t="inlineStr">
        <is>
          <t>오송읍 정중리 746</t>
        </is>
      </c>
      <c r="B345" s="3" t="inlineStr">
        <is>
          <t>준공업지역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215000</v>
      </c>
      <c r="G345" s="4" t="n">
        <v>639</v>
      </c>
      <c r="H345" s="4" t="n">
        <v>193</v>
      </c>
      <c r="I345" s="5" t="n">
        <v>1114</v>
      </c>
      <c r="J345" s="5" t="n">
        <v>388.1</v>
      </c>
      <c r="K345" s="3" t="inlineStr">
        <is>
          <t>3면코너 입지 입지 최상 건폐율70 6층이하 건축가능</t>
        </is>
      </c>
      <c r="L345" s="6">
        <f>HYPERLINK("https://fin.land.naver.com/articles/2649903725", "매물Link")</f>
        <v/>
      </c>
      <c r="M345" s="6">
        <f>HYPERLINK("https://map.naver.com/p/search/오송읍 정중리 746", "지도Link")</f>
        <v/>
      </c>
      <c r="N345" s="6">
        <f>HYPERLINK("http://www.eum.go.kr/web/ar/lu/luLandDet.jsp?pnu=4311325032107460000&amp;isNoScr=script&amp;mode=search", "토지이음")</f>
        <v/>
      </c>
      <c r="O345" s="3" t="inlineStr">
        <is>
          <t>프렌즈</t>
        </is>
      </c>
      <c r="P345" s="4" t="n">
        <v>1</v>
      </c>
      <c r="Q345" s="4" t="n">
        <v>639</v>
      </c>
      <c r="R345" s="3" t="inlineStr">
        <is>
          <t>지정되지않음</t>
        </is>
      </c>
      <c r="S345" s="3" t="inlineStr">
        <is>
          <t>상업기타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광대소각</t>
        </is>
      </c>
    </row>
    <row r="346">
      <c r="A346" s="3" t="inlineStr">
        <is>
          <t>오송읍 정중리 760</t>
        </is>
      </c>
      <c r="B346" s="3" t="inlineStr">
        <is>
          <t>준공업지역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225000</v>
      </c>
      <c r="G346" s="4" t="n">
        <v>559</v>
      </c>
      <c r="H346" s="4" t="n">
        <v>169</v>
      </c>
      <c r="I346" s="5" t="n">
        <v>1331.4</v>
      </c>
      <c r="J346" s="5" t="n">
        <v>407.6</v>
      </c>
      <c r="K346" s="3" t="inlineStr">
        <is>
          <t>오송 2산단  지원시설용지 코너각지,회사 사옥부지 적합</t>
        </is>
      </c>
      <c r="L346" s="6">
        <f>HYPERLINK("https://fin.land.naver.com/articles/2646727438", "매물Link")</f>
        <v/>
      </c>
      <c r="M346" s="6">
        <f>HYPERLINK("https://map.naver.com/p/search/오송읍 정중리 760", "지도Link")</f>
        <v/>
      </c>
      <c r="N346" s="6">
        <f>HYPERLINK("http://www.eum.go.kr/web/ar/lu/luLandDet.jsp?pnu=4311325032107600000&amp;isNoScr=script&amp;mode=search", "토지이음")</f>
        <v/>
      </c>
      <c r="O346" s="3" t="inlineStr">
        <is>
          <t>오송타운</t>
        </is>
      </c>
      <c r="P346" s="4" t="n">
        <v>1</v>
      </c>
      <c r="Q346" s="4" t="n">
        <v>559</v>
      </c>
      <c r="R346" s="3" t="inlineStr">
        <is>
          <t>지정되지않음</t>
        </is>
      </c>
      <c r="S346" s="3" t="inlineStr">
        <is>
          <t>상업기타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광대소각</t>
        </is>
      </c>
    </row>
    <row r="347">
      <c r="A347" s="3" t="inlineStr">
        <is>
          <t>오송읍 정중리 763</t>
        </is>
      </c>
      <c r="B347" s="3" t="inlineStr">
        <is>
          <t>준공업지역</t>
        </is>
      </c>
      <c r="C347" s="3" t="inlineStr">
        <is>
          <t>주차장</t>
        </is>
      </c>
      <c r="D347" s="3" t="inlineStr">
        <is>
          <t>대</t>
        </is>
      </c>
      <c r="E347" s="3" t="inlineStr">
        <is>
          <t>매매</t>
        </is>
      </c>
      <c r="F347" s="4" t="n">
        <v>230000</v>
      </c>
      <c r="G347" s="4" t="n">
        <v>1112</v>
      </c>
      <c r="H347" s="4" t="n">
        <v>336</v>
      </c>
      <c r="I347" s="5" t="n">
        <v>684.5</v>
      </c>
      <c r="J347" s="5" t="n">
        <v>179.5</v>
      </c>
      <c r="K347" s="3" t="inlineStr">
        <is>
          <t>산단 회식 수요 흡수하는 외식업 핵심 토지</t>
        </is>
      </c>
      <c r="L347" s="6">
        <f>HYPERLINK("https://fin.land.naver.com/articles/2646877471", "매물Link")</f>
        <v/>
      </c>
      <c r="M347" s="6">
        <f>HYPERLINK("https://map.naver.com/p/search/오송읍 정중리 763", "지도Link")</f>
        <v/>
      </c>
      <c r="N347" s="6">
        <f>HYPERLINK("http://www.eum.go.kr/web/ar/lu/luLandDet.jsp?pnu=4311325032107630000&amp;isNoScr=script&amp;mode=search", "토지이음")</f>
        <v/>
      </c>
      <c r="O347" s="3" t="inlineStr">
        <is>
          <t>우영</t>
        </is>
      </c>
      <c r="P347" s="4" t="n">
        <v>1</v>
      </c>
      <c r="Q347" s="4" t="n">
        <v>1112.9</v>
      </c>
      <c r="R347" s="3" t="inlineStr">
        <is>
          <t>지정되지않음</t>
        </is>
      </c>
      <c r="S347" s="3" t="inlineStr">
        <is>
          <t>주차장등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중로각지</t>
        </is>
      </c>
    </row>
    <row r="348">
      <c r="A348" s="3" t="inlineStr">
        <is>
          <t>오송읍 정중리 764</t>
        </is>
      </c>
      <c r="B348" s="3" t="inlineStr">
        <is>
          <t>준공업지역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125020</v>
      </c>
      <c r="G348" s="4" t="n">
        <v>590</v>
      </c>
      <c r="H348" s="4" t="n">
        <v>178</v>
      </c>
      <c r="I348" s="5" t="n">
        <v>702.4</v>
      </c>
      <c r="J348" s="5" t="n">
        <v>256.4</v>
      </c>
      <c r="K348" s="3" t="inlineStr">
        <is>
          <t>지금 잡아야 하는 오송 산단 배후 핵심 토지</t>
        </is>
      </c>
      <c r="L348" s="6">
        <f>HYPERLINK("https://fin.land.naver.com/articles/2646878988", "매물Link")</f>
        <v/>
      </c>
      <c r="M348" s="6">
        <f>HYPERLINK("https://map.naver.com/p/search/오송읍 정중리 764", "지도Link")</f>
        <v/>
      </c>
      <c r="N348" s="6">
        <f>HYPERLINK("http://www.eum.go.kr/web/ar/lu/luLandDet.jsp?pnu=4311325032107640000&amp;isNoScr=script&amp;mode=search", "토지이음")</f>
        <v/>
      </c>
      <c r="O348" s="3" t="inlineStr">
        <is>
          <t>우영</t>
        </is>
      </c>
      <c r="P348" s="4" t="n">
        <v>1</v>
      </c>
      <c r="Q348" s="4" t="n">
        <v>590.7</v>
      </c>
      <c r="R348" s="3" t="inlineStr">
        <is>
          <t>지정되지않음</t>
        </is>
      </c>
      <c r="S348" s="3" t="inlineStr">
        <is>
          <t>상업기타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중로한면</t>
        </is>
      </c>
    </row>
    <row r="349">
      <c r="A349" s="3" t="inlineStr">
        <is>
          <t>오송읍 정중리 768</t>
        </is>
      </c>
      <c r="B349" s="3" t="inlineStr">
        <is>
          <t>준공업지역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105000</v>
      </c>
      <c r="G349" s="4" t="n">
        <v>590</v>
      </c>
      <c r="H349" s="4" t="n">
        <v>178</v>
      </c>
      <c r="I349" s="5" t="n">
        <v>589.9</v>
      </c>
      <c r="J349" s="5" t="n">
        <v>256.4</v>
      </c>
      <c r="K349" s="3" t="inlineStr">
        <is>
          <t>지원시설용지 매매</t>
        </is>
      </c>
      <c r="L349" s="6">
        <f>HYPERLINK("https://fin.land.naver.com/articles/2646658303", "매물Link")</f>
        <v/>
      </c>
      <c r="M349" s="6">
        <f>HYPERLINK("https://map.naver.com/p/search/오송읍 정중리 768", "지도Link")</f>
        <v/>
      </c>
      <c r="N349" s="6">
        <f>HYPERLINK("http://www.eum.go.kr/web/ar/lu/luLandDet.jsp?pnu=4311325032107680000&amp;isNoScr=script&amp;mode=search", "토지이음")</f>
        <v/>
      </c>
      <c r="O349" s="3" t="inlineStr">
        <is>
          <t>대한민국</t>
        </is>
      </c>
      <c r="P349" s="4" t="n">
        <v>1</v>
      </c>
      <c r="Q349" s="4" t="n">
        <v>590.3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중로한면</t>
        </is>
      </c>
    </row>
    <row r="350">
      <c r="A350" s="3" t="inlineStr">
        <is>
          <t>오송읍 정중리 768</t>
        </is>
      </c>
      <c r="B350" s="3" t="inlineStr">
        <is>
          <t>준공업지역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105000</v>
      </c>
      <c r="G350" s="4" t="n">
        <v>590</v>
      </c>
      <c r="H350" s="4" t="n">
        <v>178</v>
      </c>
      <c r="I350" s="5" t="n">
        <v>589.9</v>
      </c>
      <c r="J350" s="5" t="n">
        <v>256.4</v>
      </c>
      <c r="K350" s="3" t="inlineStr">
        <is>
          <t>nan</t>
        </is>
      </c>
      <c r="L350" s="6">
        <f>HYPERLINK("https://fin.land.naver.com/articles/2646195570", "매물Link")</f>
        <v/>
      </c>
      <c r="M350" s="6">
        <f>HYPERLINK("https://map.naver.com/p/search/오송읍 정중리 768", "지도Link")</f>
        <v/>
      </c>
      <c r="N350" s="6">
        <f>HYPERLINK("http://www.eum.go.kr/web/ar/lu/luLandDet.jsp?pnu=4311325032107680000&amp;isNoScr=script&amp;mode=search", "토지이음")</f>
        <v/>
      </c>
      <c r="O350" s="3" t="inlineStr">
        <is>
          <t>동행사무소</t>
        </is>
      </c>
      <c r="P350" s="4" t="n">
        <v>1</v>
      </c>
      <c r="Q350" s="4" t="n">
        <v>590.3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중로한면</t>
        </is>
      </c>
    </row>
    <row r="351">
      <c r="A351" s="3" t="inlineStr">
        <is>
          <t>오송읍 정중리 768</t>
        </is>
      </c>
      <c r="B351" s="3" t="inlineStr">
        <is>
          <t>준공업지역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125000</v>
      </c>
      <c r="G351" s="4" t="n">
        <v>590</v>
      </c>
      <c r="H351" s="4" t="n">
        <v>178</v>
      </c>
      <c r="I351" s="5" t="n">
        <v>702.2</v>
      </c>
      <c r="J351" s="5" t="n">
        <v>256.4</v>
      </c>
      <c r="K351" s="3" t="inlineStr">
        <is>
          <t>오송2산단내 아파트 대단지 옆 지원시설용지 급매</t>
        </is>
      </c>
      <c r="L351" s="6">
        <f>HYPERLINK("https://fin.land.naver.com/articles/2650390157", "매물Link")</f>
        <v/>
      </c>
      <c r="M351" s="6">
        <f>HYPERLINK("https://map.naver.com/p/search/오송읍 정중리 768", "지도Link")</f>
        <v/>
      </c>
      <c r="N351" s="6">
        <f>HYPERLINK("http://www.eum.go.kr/web/ar/lu/luLandDet.jsp?pnu=4311325032107680000&amp;isNoScr=script&amp;mode=search", "토지이음")</f>
        <v/>
      </c>
      <c r="O351" s="3" t="inlineStr">
        <is>
          <t>아임</t>
        </is>
      </c>
      <c r="P351" s="4" t="n">
        <v>4</v>
      </c>
      <c r="Q351" s="4" t="n">
        <v>590.3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중로한면</t>
        </is>
      </c>
    </row>
    <row r="352">
      <c r="A352" s="3" t="inlineStr">
        <is>
          <t>오송읍 정중리 770</t>
        </is>
      </c>
      <c r="B352" s="3" t="inlineStr">
        <is>
          <t>준공업지역</t>
        </is>
      </c>
      <c r="C352" s="3" t="inlineStr">
        <is>
          <t>주차장</t>
        </is>
      </c>
      <c r="D352" s="3" t="inlineStr">
        <is>
          <t>대</t>
        </is>
      </c>
      <c r="E352" s="3" t="inlineStr">
        <is>
          <t>매매</t>
        </is>
      </c>
      <c r="F352" s="4" t="n">
        <v>202020</v>
      </c>
      <c r="G352" s="4" t="n">
        <v>1113</v>
      </c>
      <c r="H352" s="4" t="n">
        <v>337</v>
      </c>
      <c r="I352" s="5" t="n">
        <v>599.5</v>
      </c>
      <c r="J352" s="5" t="n">
        <v>179.5</v>
      </c>
      <c r="K352" s="3" t="inlineStr">
        <is>
          <t>지금 아니면 어려운 오송 산단 인접 수익 토지</t>
        </is>
      </c>
      <c r="L352" s="6">
        <f>HYPERLINK("https://fin.land.naver.com/articles/2646878317", "매물Link")</f>
        <v/>
      </c>
      <c r="M352" s="6">
        <f>HYPERLINK("https://map.naver.com/p/search/오송읍 정중리 770", "지도Link")</f>
        <v/>
      </c>
      <c r="N352" s="6">
        <f>HYPERLINK("http://www.eum.go.kr/web/ar/lu/luLandDet.jsp?pnu=4311325032107700000&amp;isNoScr=script&amp;mode=search", "토지이음")</f>
        <v/>
      </c>
      <c r="O352" s="3" t="inlineStr">
        <is>
          <t>우영</t>
        </is>
      </c>
      <c r="P352" s="4" t="n">
        <v>1</v>
      </c>
      <c r="Q352" s="4" t="n">
        <v>1113.2</v>
      </c>
      <c r="R352" s="3" t="inlineStr">
        <is>
          <t>지정되지않음</t>
        </is>
      </c>
      <c r="S352" s="3" t="inlineStr">
        <is>
          <t>주차장등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중로각지</t>
        </is>
      </c>
    </row>
    <row r="353">
      <c r="A353" s="3" t="inlineStr">
        <is>
          <t>오송읍 정중리 776</t>
        </is>
      </c>
      <c r="B353" s="3" t="inlineStr">
        <is>
          <t>준공업지역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125020</v>
      </c>
      <c r="G353" s="4" t="n">
        <v>590</v>
      </c>
      <c r="H353" s="4" t="n">
        <v>178</v>
      </c>
      <c r="I353" s="5" t="n">
        <v>702.4</v>
      </c>
      <c r="J353" s="5" t="n">
        <v>256.4</v>
      </c>
      <c r="K353" s="3" t="inlineStr">
        <is>
          <t>오송 산단 근무자 몰리는 임대사업 최적 입지</t>
        </is>
      </c>
      <c r="L353" s="6">
        <f>HYPERLINK("https://fin.land.naver.com/articles/2646878768", "매물Link")</f>
        <v/>
      </c>
      <c r="M353" s="6">
        <f>HYPERLINK("https://map.naver.com/p/search/오송읍 정중리 776", "지도Link")</f>
        <v/>
      </c>
      <c r="N353" s="6">
        <f>HYPERLINK("http://www.eum.go.kr/web/ar/lu/luLandDet.jsp?pnu=4311325032107760000&amp;isNoScr=script&amp;mode=search", "토지이음")</f>
        <v/>
      </c>
      <c r="O353" s="3" t="inlineStr">
        <is>
          <t>우영</t>
        </is>
      </c>
      <c r="P353" s="4" t="n">
        <v>1</v>
      </c>
      <c r="Q353" s="4" t="n">
        <v>590.6</v>
      </c>
      <c r="R353" s="3" t="inlineStr">
        <is>
          <t>지정되지않음</t>
        </is>
      </c>
      <c r="S353" s="3" t="inlineStr">
        <is>
          <t>상업기타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중로한면</t>
        </is>
      </c>
    </row>
    <row r="354">
      <c r="A354" s="3" t="inlineStr">
        <is>
          <t>오송읍 호계리 143-1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39845</v>
      </c>
      <c r="G354" s="4" t="n">
        <v>2026</v>
      </c>
      <c r="H354" s="4" t="n">
        <v>613</v>
      </c>
      <c r="I354" s="5" t="n">
        <v>65</v>
      </c>
      <c r="J354" s="5" t="n">
        <v>30.4</v>
      </c>
      <c r="K354" s="3" t="inlineStr">
        <is>
          <t>도로에 접해 주말농장 최상, 개발호재 핫한 오송시 위치 투자가치 최상</t>
        </is>
      </c>
      <c r="L354" s="6">
        <f>HYPERLINK("https://fin.land.naver.com/articles/2650397039", "매물Link")</f>
        <v/>
      </c>
      <c r="M354" s="6">
        <f>HYPERLINK("https://map.naver.com/p/search/오송읍 호계리 143-1", "지도Link")</f>
        <v/>
      </c>
      <c r="N354" s="6">
        <f>HYPERLINK("http://www.eum.go.kr/web/ar/lu/luLandDet.jsp?pnu=4311325021101430001&amp;isNoScr=script&amp;mode=search", "토지이음")</f>
        <v/>
      </c>
      <c r="O354" s="3" t="inlineStr">
        <is>
          <t>대한</t>
        </is>
      </c>
      <c r="P354" s="4" t="n">
        <v>1</v>
      </c>
      <c r="Q354" s="4" t="n">
        <v>2059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오송읍 호계리 152-1</t>
        </is>
      </c>
      <c r="B355" s="3" t="inlineStr">
        <is>
          <t>계획관리지역</t>
        </is>
      </c>
      <c r="C355" s="3" t="inlineStr">
        <is>
          <t>답</t>
        </is>
      </c>
      <c r="D355" s="3" t="inlineStr">
        <is>
          <t>답</t>
        </is>
      </c>
      <c r="E355" s="3" t="inlineStr">
        <is>
          <t>매매</t>
        </is>
      </c>
      <c r="F355" s="4" t="n">
        <v>53500</v>
      </c>
      <c r="G355" s="4" t="n">
        <v>1359</v>
      </c>
      <c r="H355" s="4" t="n">
        <v>411</v>
      </c>
      <c r="I355" s="5" t="n">
        <v>130.2</v>
      </c>
      <c r="J355" s="5" t="n">
        <v>39.1</v>
      </c>
      <c r="K355" s="3" t="inlineStr">
        <is>
          <t>급매, 시세 대비 매우 저렴, 4미터 도로에 접하고 있는 계획관리 토지</t>
        </is>
      </c>
      <c r="L355" s="6">
        <f>HYPERLINK("https://fin.land.naver.com/articles/2647466833", "매물Link")</f>
        <v/>
      </c>
      <c r="M355" s="6">
        <f>HYPERLINK("https://map.naver.com/p/search/오송읍 호계리 152-1", "지도Link")</f>
        <v/>
      </c>
      <c r="N355" s="6">
        <f>HYPERLINK("http://www.eum.go.kr/web/ar/lu/luLandDet.jsp?pnu=4311325021101520001&amp;isNoScr=script&amp;mode=search", "토지이음")</f>
        <v/>
      </c>
      <c r="O355" s="3" t="inlineStr">
        <is>
          <t>제이</t>
        </is>
      </c>
      <c r="P355" s="4" t="n">
        <v>1</v>
      </c>
      <c r="Q355" s="4" t="n">
        <v>962</v>
      </c>
      <c r="R355" s="3" t="inlineStr">
        <is>
          <t>지정되지않음</t>
        </is>
      </c>
      <c r="S355" s="3" t="inlineStr">
        <is>
          <t>답</t>
        </is>
      </c>
      <c r="T355" s="3" t="inlineStr">
        <is>
          <t>평지</t>
        </is>
      </c>
      <c r="U355" s="3" t="inlineStr">
        <is>
          <t>부정형</t>
        </is>
      </c>
      <c r="V355" s="3" t="inlineStr">
        <is>
          <t>세로각지(가)</t>
        </is>
      </c>
    </row>
    <row r="356">
      <c r="A356" s="3" t="inlineStr">
        <is>
          <t>오송읍 호계리 153-1</t>
        </is>
      </c>
      <c r="B356" s="3" t="inlineStr">
        <is>
          <t>계획관리지역</t>
        </is>
      </c>
      <c r="C356" s="3" t="inlineStr">
        <is>
          <t>답</t>
        </is>
      </c>
      <c r="D356" s="3" t="inlineStr">
        <is>
          <t>답</t>
        </is>
      </c>
      <c r="E356" s="3" t="inlineStr">
        <is>
          <t>매매</t>
        </is>
      </c>
      <c r="F356" s="4" t="n">
        <v>53500</v>
      </c>
      <c r="G356" s="4" t="n">
        <v>1359</v>
      </c>
      <c r="H356" s="4" t="n">
        <v>411</v>
      </c>
      <c r="I356" s="5" t="n">
        <v>130.2</v>
      </c>
      <c r="J356" s="5" t="n">
        <v>40.1</v>
      </c>
      <c r="K356" s="3" t="inlineStr">
        <is>
          <t>4M도로에 접함 투자및 공장추천 2필지</t>
        </is>
      </c>
      <c r="L356" s="6">
        <f>HYPERLINK("https://fin.land.naver.com/articles/2650428790", "매물Link")</f>
        <v/>
      </c>
      <c r="M356" s="6">
        <f>HYPERLINK("https://map.naver.com/p/search/오송읍 호계리 153-1", "지도Link")</f>
        <v/>
      </c>
      <c r="N356" s="6">
        <f>HYPERLINK("http://www.eum.go.kr/web/ar/lu/luLandDet.jsp?pnu=4311325021101530001&amp;isNoScr=script&amp;mode=search", "토지이음")</f>
        <v/>
      </c>
      <c r="O356" s="3" t="inlineStr">
        <is>
          <t>플러스태양</t>
        </is>
      </c>
      <c r="P356" s="4" t="n">
        <v>1</v>
      </c>
      <c r="Q356" s="4" t="n">
        <v>397</v>
      </c>
      <c r="R356" s="3" t="inlineStr">
        <is>
          <t>지정되지않음</t>
        </is>
      </c>
      <c r="S356" s="3" t="inlineStr">
        <is>
          <t>답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오송읍 호계리 155-1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답</t>
        </is>
      </c>
      <c r="E357" s="3" t="inlineStr">
        <is>
          <t>매매</t>
        </is>
      </c>
      <c r="F357" s="4" t="n">
        <v>195800</v>
      </c>
      <c r="G357" s="4" t="n">
        <v>2943</v>
      </c>
      <c r="H357" s="4" t="n">
        <v>890</v>
      </c>
      <c r="I357" s="5" t="n">
        <v>220</v>
      </c>
      <c r="J357" s="5" t="n">
        <v>38.1</v>
      </c>
      <c r="K357" s="3" t="inlineStr">
        <is>
          <t>오송읍, 호계리, 계획관리지역, 5m 도로 접한 토지</t>
        </is>
      </c>
      <c r="L357" s="6">
        <f>HYPERLINK("https://fin.land.naver.com/articles/2646734024", "매물Link")</f>
        <v/>
      </c>
      <c r="M357" s="6">
        <f>HYPERLINK("https://map.naver.com/p/search/오송읍 호계리 155-1", "지도Link")</f>
        <v/>
      </c>
      <c r="N357" s="6">
        <f>HYPERLINK("http://www.eum.go.kr/web/ar/lu/luLandDet.jsp?pnu=4311325021101550001&amp;isNoScr=script&amp;mode=search", "토지이음")</f>
        <v/>
      </c>
      <c r="O357" s="3" t="inlineStr">
        <is>
          <t>올바른</t>
        </is>
      </c>
      <c r="P357" s="4" t="n">
        <v>1</v>
      </c>
      <c r="Q357" s="4" t="n">
        <v>2943</v>
      </c>
      <c r="R357" s="3" t="inlineStr">
        <is>
          <t>지정되지않음</t>
        </is>
      </c>
      <c r="S357" s="3" t="inlineStr">
        <is>
          <t>답</t>
        </is>
      </c>
      <c r="T357" s="3" t="inlineStr">
        <is>
          <t>평지</t>
        </is>
      </c>
      <c r="U357" s="3" t="inlineStr">
        <is>
          <t>부정형</t>
        </is>
      </c>
      <c r="V357" s="3" t="inlineStr">
        <is>
          <t>세로한면(가)</t>
        </is>
      </c>
    </row>
    <row r="358">
      <c r="A358" s="3" t="inlineStr">
        <is>
          <t>오송읍 호계리 224-2</t>
        </is>
      </c>
      <c r="B358" s="3" t="inlineStr">
        <is>
          <t>생산관리지역</t>
        </is>
      </c>
      <c r="C358" s="3" t="inlineStr">
        <is>
          <t>답</t>
        </is>
      </c>
      <c r="D358" s="3" t="inlineStr">
        <is>
          <t>답</t>
        </is>
      </c>
      <c r="E358" s="3" t="inlineStr">
        <is>
          <t>매매</t>
        </is>
      </c>
      <c r="F358" s="4" t="n">
        <v>49000</v>
      </c>
      <c r="G358" s="4" t="n">
        <v>899</v>
      </c>
      <c r="H358" s="4" t="n">
        <v>272</v>
      </c>
      <c r="I358" s="5" t="n">
        <v>180.1</v>
      </c>
      <c r="J358" s="5" t="n">
        <v>51.1</v>
      </c>
      <c r="K358" s="3" t="inlineStr">
        <is>
          <t>2 배의 가치 2 배의 넓은 땅 사용 가능 토지  생산 관리 지역</t>
        </is>
      </c>
      <c r="L358" s="6">
        <f>HYPERLINK("https://fin.land.naver.com/articles/2648940037", "매물Link")</f>
        <v/>
      </c>
      <c r="M358" s="6">
        <f>HYPERLINK("https://map.naver.com/p/search/오송읍 호계리 224-2", "지도Link")</f>
        <v/>
      </c>
      <c r="N358" s="6">
        <f>HYPERLINK("http://www.eum.go.kr/web/ar/lu/luLandDet.jsp?pnu=4311325021102240002&amp;isNoScr=script&amp;mode=search", "토지이음")</f>
        <v/>
      </c>
      <c r="O358" s="3" t="inlineStr">
        <is>
          <t>오송퍼스트영웅</t>
        </is>
      </c>
      <c r="P358" s="4" t="n">
        <v>1</v>
      </c>
      <c r="Q358" s="4" t="n">
        <v>899</v>
      </c>
      <c r="R358" s="3" t="inlineStr">
        <is>
          <t>지정되지않음</t>
        </is>
      </c>
      <c r="S358" s="3" t="inlineStr">
        <is>
          <t>답기타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중로한면</t>
        </is>
      </c>
    </row>
    <row r="359">
      <c r="A359" s="3" t="inlineStr">
        <is>
          <t>오송읍 호계리 230-3</t>
        </is>
      </c>
      <c r="B359" s="3" t="inlineStr">
        <is>
          <t>농림지역</t>
        </is>
      </c>
      <c r="C359" s="3" t="inlineStr">
        <is>
          <t>답</t>
        </is>
      </c>
      <c r="D359" s="3" t="inlineStr">
        <is>
          <t>답</t>
        </is>
      </c>
      <c r="E359" s="3" t="inlineStr">
        <is>
          <t>매매</t>
        </is>
      </c>
      <c r="F359" s="4" t="n">
        <v>29000</v>
      </c>
      <c r="G359" s="4" t="n">
        <v>1595</v>
      </c>
      <c r="H359" s="4" t="n">
        <v>482</v>
      </c>
      <c r="I359" s="5" t="n">
        <v>60.2</v>
      </c>
      <c r="J359" s="5" t="n">
        <v>32.4</v>
      </c>
      <c r="K359" s="3" t="inlineStr">
        <is>
          <t>호계리 토지 매매.</t>
        </is>
      </c>
      <c r="L359" s="6">
        <f>HYPERLINK("https://fin.land.naver.com/articles/2646658326", "매물Link")</f>
        <v/>
      </c>
      <c r="M359" s="6">
        <f>HYPERLINK("https://map.naver.com/p/search/오송읍 호계리 230-3", "지도Link")</f>
        <v/>
      </c>
      <c r="N359" s="6">
        <f>HYPERLINK("http://www.eum.go.kr/web/ar/lu/luLandDet.jsp?pnu=4311325021102300003&amp;isNoScr=script&amp;mode=search", "토지이음")</f>
        <v/>
      </c>
      <c r="O359" s="3" t="inlineStr">
        <is>
          <t>대한민국</t>
        </is>
      </c>
      <c r="P359" s="4" t="n">
        <v>1</v>
      </c>
      <c r="Q359" s="4" t="n">
        <v>1595</v>
      </c>
      <c r="R359" s="3" t="inlineStr">
        <is>
          <t>지정되지않음</t>
        </is>
      </c>
      <c r="S359" s="3" t="inlineStr">
        <is>
          <t>답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오송읍 호계리 50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90000</v>
      </c>
      <c r="G360" s="4" t="n">
        <v>1927</v>
      </c>
      <c r="H360" s="4" t="n">
        <v>583</v>
      </c>
      <c r="I360" s="5" t="n">
        <v>154.4</v>
      </c>
      <c r="J360" s="5" t="n">
        <v>40.1</v>
      </c>
      <c r="K360" s="3" t="inlineStr">
        <is>
          <t>오송읍 호계리 산과 인접한 전원주택부지</t>
        </is>
      </c>
      <c r="L360" s="6">
        <f>HYPERLINK("https://fin.land.naver.com/articles/2647515900", "매물Link")</f>
        <v/>
      </c>
      <c r="M360" s="6">
        <f>HYPERLINK("https://map.naver.com/p/search/오송읍 호계리 50", "지도Link")</f>
        <v/>
      </c>
      <c r="N360" s="6">
        <f>HYPERLINK("http://www.eum.go.kr/web/ar/lu/luLandDet.jsp?pnu=4311325021100500000&amp;isNoScr=script&amp;mode=search", "토지이음")</f>
        <v/>
      </c>
      <c r="O360" s="3" t="inlineStr">
        <is>
          <t>새벽무소</t>
        </is>
      </c>
      <c r="P360" s="4" t="n">
        <v>1</v>
      </c>
      <c r="Q360" s="4" t="n">
        <v>1927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오송읍 호계리 7-6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28500</v>
      </c>
      <c r="G361" s="4" t="n">
        <v>627</v>
      </c>
      <c r="H361" s="4" t="n">
        <v>190</v>
      </c>
      <c r="I361" s="5" t="n">
        <v>150</v>
      </c>
      <c r="J361" s="5" t="n">
        <v>39</v>
      </c>
      <c r="K361" s="3" t="inlineStr">
        <is>
          <t>전원주택지</t>
        </is>
      </c>
      <c r="L361" s="6">
        <f>HYPERLINK("https://fin.land.naver.com/articles/2649702438", "매물Link")</f>
        <v/>
      </c>
      <c r="M361" s="6">
        <f>HYPERLINK("https://map.naver.com/p/search/오송읍 호계리 7-6", "지도Link")</f>
        <v/>
      </c>
      <c r="N361" s="6">
        <f>HYPERLINK("http://www.eum.go.kr/web/ar/lu/luLandDet.jsp?pnu=4311325021100070006&amp;isNoScr=script&amp;mode=search", "토지이음")</f>
        <v/>
      </c>
      <c r="O361" s="3" t="inlineStr">
        <is>
          <t>금송</t>
        </is>
      </c>
      <c r="P361" s="4" t="n">
        <v>1</v>
      </c>
      <c r="Q361" s="4" t="n">
        <v>627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</sheetData>
  <autoFilter ref="A1:V3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평공시가</t>
        </is>
      </c>
      <c r="U1" s="2" t="inlineStr">
        <is>
          <t>토지면적</t>
        </is>
      </c>
      <c r="V1" s="2" t="inlineStr">
        <is>
          <t>용도지역명2</t>
        </is>
      </c>
      <c r="W1" s="2" t="inlineStr">
        <is>
          <t>토지이용상황</t>
        </is>
      </c>
      <c r="X1" s="2" t="inlineStr">
        <is>
          <t>지형높이</t>
        </is>
      </c>
      <c r="Y1" s="2" t="inlineStr">
        <is>
          <t>지형형상</t>
        </is>
      </c>
      <c r="Z1" s="2" t="inlineStr">
        <is>
          <t>도로접면</t>
        </is>
      </c>
    </row>
  </sheetData>
  <autoFilter ref="A1:Z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62000</v>
      </c>
      <c r="C2" s="4" t="n">
        <v>1451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438.9275</v>
      </c>
      <c r="I2" s="5" t="n">
        <v>141.3</v>
      </c>
      <c r="J2" s="3" t="inlineStr">
        <is>
          <t>연동면</t>
        </is>
      </c>
    </row>
    <row r="3">
      <c r="A3" s="3" t="n">
        <v>2022</v>
      </c>
      <c r="B3" s="4" t="n">
        <v>1650</v>
      </c>
      <c r="C3" s="4" t="n">
        <v>44</v>
      </c>
      <c r="D3" s="3" t="inlineStr">
        <is>
          <t>부강면</t>
        </is>
      </c>
      <c r="E3" s="3" t="inlineStr">
        <is>
          <t>문곡리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13.31</v>
      </c>
      <c r="I3" s="5" t="n">
        <v>124</v>
      </c>
      <c r="J3" s="3" t="inlineStr">
        <is>
          <t>부강면</t>
        </is>
      </c>
    </row>
    <row r="4">
      <c r="A4" s="3" t="n">
        <v>2022</v>
      </c>
      <c r="B4" s="4" t="n">
        <v>1350</v>
      </c>
      <c r="C4" s="4" t="n">
        <v>30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대</t>
        </is>
      </c>
      <c r="H4" s="4" t="n">
        <v>9.074999999999999</v>
      </c>
      <c r="I4" s="5" t="n">
        <v>148.8</v>
      </c>
      <c r="J4" s="3" t="inlineStr">
        <is>
          <t>부강면</t>
        </is>
      </c>
    </row>
    <row r="5">
      <c r="A5" s="3" t="n">
        <v>2022</v>
      </c>
      <c r="B5" s="4" t="n">
        <v>3000</v>
      </c>
      <c r="C5" s="4" t="n">
        <v>99</v>
      </c>
      <c r="D5" s="3" t="inlineStr">
        <is>
          <t>연서면</t>
        </is>
      </c>
      <c r="E5" s="3" t="inlineStr">
        <is>
          <t>기룡리</t>
        </is>
      </c>
      <c r="F5" s="3" t="inlineStr">
        <is>
          <t>농림지역</t>
        </is>
      </c>
      <c r="G5" s="3" t="inlineStr">
        <is>
          <t>전</t>
        </is>
      </c>
      <c r="H5" s="4" t="n">
        <v>29.9475</v>
      </c>
      <c r="I5" s="5" t="n">
        <v>100.2</v>
      </c>
      <c r="J5" s="3" t="inlineStr">
        <is>
          <t>연서면</t>
        </is>
      </c>
    </row>
    <row r="6">
      <c r="A6" s="3" t="n">
        <v>2022</v>
      </c>
      <c r="B6" s="4" t="n">
        <v>6000</v>
      </c>
      <c r="C6" s="4" t="n">
        <v>200</v>
      </c>
      <c r="D6" s="3" t="inlineStr">
        <is>
          <t>연서면</t>
        </is>
      </c>
      <c r="E6" s="3" t="inlineStr">
        <is>
          <t>성제리</t>
        </is>
      </c>
      <c r="F6" s="3" t="inlineStr">
        <is>
          <t>계획관리지역</t>
        </is>
      </c>
      <c r="G6" s="3" t="inlineStr">
        <is>
          <t>전</t>
        </is>
      </c>
      <c r="H6" s="4" t="n">
        <v>60.5</v>
      </c>
      <c r="I6" s="5" t="n">
        <v>99.2</v>
      </c>
      <c r="J6" s="3" t="inlineStr">
        <is>
          <t>연서면</t>
        </is>
      </c>
    </row>
    <row r="7">
      <c r="A7" s="3" t="n">
        <v>2022</v>
      </c>
      <c r="B7" s="4" t="n">
        <v>21960</v>
      </c>
      <c r="C7" s="4" t="n">
        <v>1210</v>
      </c>
      <c r="D7" s="3" t="inlineStr">
        <is>
          <t>연서면</t>
        </is>
      </c>
      <c r="E7" s="3" t="inlineStr">
        <is>
          <t>고복리</t>
        </is>
      </c>
      <c r="F7" s="3" t="inlineStr">
        <is>
          <t>농림지역</t>
        </is>
      </c>
      <c r="G7" s="3" t="inlineStr">
        <is>
          <t>답</t>
        </is>
      </c>
      <c r="H7" s="4" t="n">
        <v>366.025</v>
      </c>
      <c r="I7" s="5" t="n">
        <v>60</v>
      </c>
      <c r="J7" s="3" t="inlineStr">
        <is>
          <t>연서면</t>
        </is>
      </c>
    </row>
    <row r="8">
      <c r="A8" s="3" t="n">
        <v>2022</v>
      </c>
      <c r="B8" s="4" t="n">
        <v>10092</v>
      </c>
      <c r="C8" s="4" t="n">
        <v>2780</v>
      </c>
      <c r="D8" s="3" t="inlineStr">
        <is>
          <t>연동면</t>
        </is>
      </c>
      <c r="E8" s="3" t="inlineStr">
        <is>
          <t>합강리</t>
        </is>
      </c>
      <c r="F8" s="3" t="inlineStr">
        <is>
          <t>농림지역</t>
        </is>
      </c>
      <c r="G8" s="3" t="inlineStr">
        <is>
          <t>임야</t>
        </is>
      </c>
      <c r="H8" s="4" t="n">
        <v>840.9499999999999</v>
      </c>
      <c r="I8" s="5" t="n">
        <v>12</v>
      </c>
      <c r="J8" s="3" t="inlineStr">
        <is>
          <t>연동면</t>
        </is>
      </c>
    </row>
    <row r="9">
      <c r="A9" s="3" t="n">
        <v>2022</v>
      </c>
      <c r="B9" s="4" t="n">
        <v>9308</v>
      </c>
      <c r="C9" s="4" t="n">
        <v>2564</v>
      </c>
      <c r="D9" s="3" t="inlineStr">
        <is>
          <t>연동면</t>
        </is>
      </c>
      <c r="E9" s="3" t="inlineStr">
        <is>
          <t>합강리</t>
        </is>
      </c>
      <c r="F9" s="3" t="inlineStr">
        <is>
          <t>농림지역</t>
        </is>
      </c>
      <c r="G9" s="3" t="inlineStr">
        <is>
          <t>임야</t>
        </is>
      </c>
      <c r="H9" s="4" t="n">
        <v>775.61</v>
      </c>
      <c r="I9" s="5" t="n">
        <v>12</v>
      </c>
      <c r="J9" s="3" t="inlineStr">
        <is>
          <t>연동면</t>
        </is>
      </c>
    </row>
    <row r="10">
      <c r="A10" s="3" t="n">
        <v>2022</v>
      </c>
      <c r="B10" s="4" t="n">
        <v>10092</v>
      </c>
      <c r="C10" s="4" t="n">
        <v>2780</v>
      </c>
      <c r="D10" s="3" t="inlineStr">
        <is>
          <t>연동면</t>
        </is>
      </c>
      <c r="E10" s="3" t="inlineStr">
        <is>
          <t>합강리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840.9499999999999</v>
      </c>
      <c r="I10" s="5" t="n">
        <v>12</v>
      </c>
      <c r="J10" s="3" t="inlineStr">
        <is>
          <t>연동면</t>
        </is>
      </c>
    </row>
    <row r="11">
      <c r="A11" s="3" t="n">
        <v>2022</v>
      </c>
      <c r="B11" s="4" t="n">
        <v>9308</v>
      </c>
      <c r="C11" s="4" t="n">
        <v>2564</v>
      </c>
      <c r="D11" s="3" t="inlineStr">
        <is>
          <t>연동면</t>
        </is>
      </c>
      <c r="E11" s="3" t="inlineStr">
        <is>
          <t>합강리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775.61</v>
      </c>
      <c r="I11" s="5" t="n">
        <v>12</v>
      </c>
      <c r="J11" s="3" t="inlineStr">
        <is>
          <t>연동면</t>
        </is>
      </c>
    </row>
    <row r="12">
      <c r="A12" s="3" t="n">
        <v>2022</v>
      </c>
      <c r="B12" s="4" t="n">
        <v>62340</v>
      </c>
      <c r="C12" s="4" t="n">
        <v>711</v>
      </c>
      <c r="D12" s="3" t="inlineStr">
        <is>
          <t>연서면</t>
        </is>
      </c>
      <c r="E12" s="3" t="inlineStr">
        <is>
          <t>성제리</t>
        </is>
      </c>
      <c r="F12" s="3" t="inlineStr">
        <is>
          <t>제1종일반주거지역</t>
        </is>
      </c>
      <c r="G12" s="3" t="inlineStr">
        <is>
          <t>전</t>
        </is>
      </c>
      <c r="H12" s="4" t="n">
        <v>215.0775</v>
      </c>
      <c r="I12" s="5" t="n">
        <v>289.8</v>
      </c>
      <c r="J12" s="3" t="inlineStr">
        <is>
          <t>연서면</t>
        </is>
      </c>
    </row>
    <row r="13">
      <c r="A13" s="3" t="n">
        <v>2022</v>
      </c>
      <c r="B13" s="4" t="n">
        <v>110550</v>
      </c>
      <c r="C13" s="4" t="n">
        <v>1261</v>
      </c>
      <c r="D13" s="3" t="inlineStr">
        <is>
          <t>연서면</t>
        </is>
      </c>
      <c r="E13" s="3" t="inlineStr">
        <is>
          <t>성제리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381.4525</v>
      </c>
      <c r="I13" s="5" t="n">
        <v>289.8</v>
      </c>
      <c r="J13" s="3" t="inlineStr">
        <is>
          <t>연서면</t>
        </is>
      </c>
    </row>
    <row r="14">
      <c r="A14" s="3" t="n">
        <v>2022</v>
      </c>
      <c r="B14" s="4" t="n">
        <v>7485</v>
      </c>
      <c r="C14" s="4" t="n">
        <v>165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제1종일반주거지역</t>
        </is>
      </c>
      <c r="G14" s="3" t="inlineStr">
        <is>
          <t>과수원</t>
        </is>
      </c>
      <c r="H14" s="4" t="n">
        <v>49.9125</v>
      </c>
      <c r="I14" s="5" t="n">
        <v>150</v>
      </c>
      <c r="J14" s="3" t="inlineStr">
        <is>
          <t>연서면</t>
        </is>
      </c>
    </row>
    <row r="15">
      <c r="A15" s="3" t="n">
        <v>2022</v>
      </c>
      <c r="B15" s="4" t="n">
        <v>765</v>
      </c>
      <c r="C15" s="4" t="n">
        <v>17</v>
      </c>
      <c r="D15" s="3" t="inlineStr">
        <is>
          <t>연서면</t>
        </is>
      </c>
      <c r="E15" s="3" t="inlineStr">
        <is>
          <t>성제리</t>
        </is>
      </c>
      <c r="F15" s="3" t="inlineStr">
        <is>
          <t>제1종일반주거지역</t>
        </is>
      </c>
      <c r="G15" s="3" t="inlineStr">
        <is>
          <t>과수원</t>
        </is>
      </c>
      <c r="H15" s="4" t="n">
        <v>5.1425</v>
      </c>
      <c r="I15" s="5" t="n">
        <v>148.8</v>
      </c>
      <c r="J15" s="3" t="inlineStr">
        <is>
          <t>연서면</t>
        </is>
      </c>
    </row>
    <row r="16">
      <c r="A16" s="3" t="n">
        <v>2022</v>
      </c>
      <c r="B16" s="4" t="n">
        <v>1940</v>
      </c>
      <c r="C16" s="4" t="n">
        <v>22</v>
      </c>
      <c r="D16" s="3" t="inlineStr">
        <is>
          <t>연서면</t>
        </is>
      </c>
      <c r="E16" s="3" t="inlineStr">
        <is>
          <t>성제리</t>
        </is>
      </c>
      <c r="F16" s="3" t="inlineStr">
        <is>
          <t>제1종일반주거지역</t>
        </is>
      </c>
      <c r="G16" s="3" t="inlineStr">
        <is>
          <t>전</t>
        </is>
      </c>
      <c r="H16" s="4" t="n">
        <v>6.654999999999999</v>
      </c>
      <c r="I16" s="5" t="n">
        <v>291.5</v>
      </c>
      <c r="J16" s="3" t="inlineStr">
        <is>
          <t>연서면</t>
        </is>
      </c>
    </row>
    <row r="17">
      <c r="A17" s="3" t="n">
        <v>2022</v>
      </c>
      <c r="B17" s="4" t="n">
        <v>15070</v>
      </c>
      <c r="C17" s="4" t="n">
        <v>172</v>
      </c>
      <c r="D17" s="3" t="inlineStr">
        <is>
          <t>연서면</t>
        </is>
      </c>
      <c r="E17" s="3" t="inlineStr">
        <is>
          <t>성제리</t>
        </is>
      </c>
      <c r="F17" s="3" t="inlineStr">
        <is>
          <t>제1종일반주거지역</t>
        </is>
      </c>
      <c r="G17" s="3" t="inlineStr">
        <is>
          <t>전</t>
        </is>
      </c>
      <c r="H17" s="4" t="n">
        <v>52.03</v>
      </c>
      <c r="I17" s="5" t="n">
        <v>289.6</v>
      </c>
      <c r="J17" s="3" t="inlineStr">
        <is>
          <t>연서면</t>
        </is>
      </c>
    </row>
    <row r="18">
      <c r="A18" s="3" t="n">
        <v>2022</v>
      </c>
      <c r="B18" s="4" t="n">
        <v>1850</v>
      </c>
      <c r="C18" s="4" t="n">
        <v>21</v>
      </c>
      <c r="D18" s="3" t="inlineStr">
        <is>
          <t>연서면</t>
        </is>
      </c>
      <c r="E18" s="3" t="inlineStr">
        <is>
          <t>성제리</t>
        </is>
      </c>
      <c r="F18" s="3" t="inlineStr">
        <is>
          <t>제1종일반주거지역</t>
        </is>
      </c>
      <c r="G18" s="3" t="inlineStr">
        <is>
          <t>전</t>
        </is>
      </c>
      <c r="H18" s="4" t="n">
        <v>6.3525</v>
      </c>
      <c r="I18" s="5" t="n">
        <v>291.2</v>
      </c>
      <c r="J18" s="3" t="inlineStr">
        <is>
          <t>연서면</t>
        </is>
      </c>
    </row>
    <row r="19">
      <c r="A19" s="3" t="n">
        <v>2023</v>
      </c>
      <c r="B19" s="4" t="n">
        <v>13350</v>
      </c>
      <c r="C19" s="4" t="n">
        <v>496</v>
      </c>
      <c r="D19" s="3" t="inlineStr">
        <is>
          <t>연동면</t>
        </is>
      </c>
      <c r="E19" s="3" t="inlineStr">
        <is>
          <t>명학리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150.04</v>
      </c>
      <c r="I19" s="5" t="n">
        <v>89</v>
      </c>
      <c r="J19" s="3" t="inlineStr">
        <is>
          <t>연동면</t>
        </is>
      </c>
    </row>
    <row r="20">
      <c r="A20" s="3" t="n">
        <v>2023</v>
      </c>
      <c r="B20" s="4" t="n">
        <v>52000</v>
      </c>
      <c r="C20" s="4" t="n">
        <v>337.9</v>
      </c>
      <c r="D20" s="3" t="inlineStr">
        <is>
          <t>아름동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102.21475</v>
      </c>
      <c r="I20" s="5" t="n">
        <v>508.7</v>
      </c>
      <c r="J20" s="3" t="inlineStr">
        <is>
          <t>아름동</t>
        </is>
      </c>
    </row>
    <row r="21">
      <c r="A21" s="3" t="n">
        <v>2023</v>
      </c>
      <c r="B21" s="4" t="n">
        <v>1912</v>
      </c>
      <c r="C21" s="4" t="n">
        <v>2281</v>
      </c>
      <c r="D21" s="3" t="inlineStr">
        <is>
          <t>연서면</t>
        </is>
      </c>
      <c r="E21" s="3" t="inlineStr">
        <is>
          <t>기룡리</t>
        </is>
      </c>
      <c r="F21" s="3" t="inlineStr">
        <is>
          <t>농림지역</t>
        </is>
      </c>
      <c r="G21" s="3" t="inlineStr">
        <is>
          <t>임야</t>
        </is>
      </c>
      <c r="H21" s="4" t="n">
        <v>690.0024999999999</v>
      </c>
      <c r="I21" s="5" t="n">
        <v>2.8</v>
      </c>
      <c r="J21" s="3" t="inlineStr">
        <is>
          <t>연서면</t>
        </is>
      </c>
    </row>
    <row r="22">
      <c r="A22" s="3" t="n">
        <v>2023</v>
      </c>
      <c r="B22" s="4" t="n">
        <v>38088</v>
      </c>
      <c r="C22" s="4" t="n">
        <v>45620</v>
      </c>
      <c r="D22" s="3" t="inlineStr">
        <is>
          <t>연서면</t>
        </is>
      </c>
      <c r="E22" s="3" t="inlineStr">
        <is>
          <t>기룡리</t>
        </is>
      </c>
      <c r="F22" s="3" t="inlineStr">
        <is>
          <t>농림지역</t>
        </is>
      </c>
      <c r="G22" s="3" t="inlineStr">
        <is>
          <t>임야</t>
        </is>
      </c>
      <c r="H22" s="4" t="n">
        <v>13800.05</v>
      </c>
      <c r="I22" s="5" t="n">
        <v>2.8</v>
      </c>
      <c r="J22" s="3" t="inlineStr">
        <is>
          <t>연서면</t>
        </is>
      </c>
    </row>
    <row r="23">
      <c r="A23" s="3" t="n">
        <v>2024</v>
      </c>
      <c r="B23" s="4" t="n">
        <v>46500</v>
      </c>
      <c r="C23" s="4" t="n">
        <v>329.9</v>
      </c>
      <c r="D23" s="3" t="inlineStr">
        <is>
          <t>고운동</t>
        </is>
      </c>
      <c r="E23" s="3" t="inlineStr"/>
      <c r="F23" s="3" t="inlineStr">
        <is>
          <t>제1종전용주거지역</t>
        </is>
      </c>
      <c r="G23" s="3" t="inlineStr">
        <is>
          <t>대</t>
        </is>
      </c>
      <c r="H23" s="4" t="n">
        <v>99.79474999999999</v>
      </c>
      <c r="I23" s="5" t="n">
        <v>466</v>
      </c>
      <c r="J23" s="3" t="inlineStr">
        <is>
          <t>고운동</t>
        </is>
      </c>
    </row>
    <row r="24">
      <c r="A24" s="3" t="n">
        <v>2024</v>
      </c>
      <c r="B24" s="4" t="n">
        <v>17837</v>
      </c>
      <c r="C24" s="4" t="n">
        <v>282</v>
      </c>
      <c r="D24" s="3" t="inlineStr">
        <is>
          <t>조치원읍</t>
        </is>
      </c>
      <c r="E24" s="3" t="inlineStr">
        <is>
          <t>번암리</t>
        </is>
      </c>
      <c r="F24" s="3" t="inlineStr">
        <is>
          <t>일반공업지역</t>
        </is>
      </c>
      <c r="G24" s="3" t="inlineStr">
        <is>
          <t>답</t>
        </is>
      </c>
      <c r="H24" s="4" t="n">
        <v>85.30499999999999</v>
      </c>
      <c r="I24" s="5" t="n">
        <v>209.1</v>
      </c>
      <c r="J24" s="3" t="inlineStr">
        <is>
          <t>조치원읍</t>
        </is>
      </c>
    </row>
    <row r="25">
      <c r="A25" s="3" t="n">
        <v>2024</v>
      </c>
      <c r="B25" s="4" t="n">
        <v>2024</v>
      </c>
      <c r="C25" s="4" t="n">
        <v>32</v>
      </c>
      <c r="D25" s="3" t="inlineStr">
        <is>
          <t>조치원읍</t>
        </is>
      </c>
      <c r="E25" s="3" t="inlineStr">
        <is>
          <t>번암리</t>
        </is>
      </c>
      <c r="F25" s="3" t="inlineStr">
        <is>
          <t>일반공업지역</t>
        </is>
      </c>
      <c r="G25" s="3" t="inlineStr">
        <is>
          <t>답</t>
        </is>
      </c>
      <c r="H25" s="4" t="n">
        <v>9.68</v>
      </c>
      <c r="I25" s="5" t="n">
        <v>209.1</v>
      </c>
      <c r="J25" s="3" t="inlineStr">
        <is>
          <t>조치원읍</t>
        </is>
      </c>
    </row>
    <row r="26">
      <c r="A26" s="3" t="n">
        <v>2024</v>
      </c>
      <c r="B26" s="4" t="n">
        <v>2593</v>
      </c>
      <c r="C26" s="4" t="n">
        <v>41</v>
      </c>
      <c r="D26" s="3" t="inlineStr">
        <is>
          <t>조치원읍</t>
        </is>
      </c>
      <c r="E26" s="3" t="inlineStr">
        <is>
          <t>번암리</t>
        </is>
      </c>
      <c r="F26" s="3" t="inlineStr">
        <is>
          <t>일반공업지역</t>
        </is>
      </c>
      <c r="G26" s="3" t="inlineStr">
        <is>
          <t>답</t>
        </is>
      </c>
      <c r="H26" s="4" t="n">
        <v>12.4025</v>
      </c>
      <c r="I26" s="5" t="n">
        <v>209.1</v>
      </c>
      <c r="J26" s="3" t="inlineStr">
        <is>
          <t>조치원읍</t>
        </is>
      </c>
    </row>
    <row r="27">
      <c r="A27" s="3" t="n">
        <v>2024</v>
      </c>
      <c r="B27" s="4" t="n">
        <v>15876</v>
      </c>
      <c r="C27" s="4" t="n">
        <v>251</v>
      </c>
      <c r="D27" s="3" t="inlineStr">
        <is>
          <t>조치원읍</t>
        </is>
      </c>
      <c r="E27" s="3" t="inlineStr">
        <is>
          <t>번암리</t>
        </is>
      </c>
      <c r="F27" s="3" t="inlineStr">
        <is>
          <t>일반공업지역</t>
        </is>
      </c>
      <c r="G27" s="3" t="inlineStr">
        <is>
          <t>답</t>
        </is>
      </c>
      <c r="H27" s="4" t="n">
        <v>75.92749999999999</v>
      </c>
      <c r="I27" s="5" t="n">
        <v>209.1</v>
      </c>
      <c r="J27" s="3" t="inlineStr">
        <is>
          <t>조치원읍</t>
        </is>
      </c>
    </row>
    <row r="28">
      <c r="A28" s="3" t="n">
        <v>2024</v>
      </c>
      <c r="B28" s="4" t="n">
        <v>4491</v>
      </c>
      <c r="C28" s="4" t="n">
        <v>71</v>
      </c>
      <c r="D28" s="3" t="inlineStr">
        <is>
          <t>조치원읍</t>
        </is>
      </c>
      <c r="E28" s="3" t="inlineStr">
        <is>
          <t>번암리</t>
        </is>
      </c>
      <c r="F28" s="3" t="inlineStr">
        <is>
          <t>일반공업지역</t>
        </is>
      </c>
      <c r="G28" s="3" t="inlineStr">
        <is>
          <t>답</t>
        </is>
      </c>
      <c r="H28" s="4" t="n">
        <v>21.4775</v>
      </c>
      <c r="I28" s="5" t="n">
        <v>209.1</v>
      </c>
      <c r="J28" s="3" t="inlineStr">
        <is>
          <t>조치원읍</t>
        </is>
      </c>
    </row>
    <row r="29">
      <c r="A29" s="3" t="n">
        <v>2024</v>
      </c>
      <c r="B29" s="4" t="n">
        <v>4301</v>
      </c>
      <c r="C29" s="4" t="n">
        <v>68</v>
      </c>
      <c r="D29" s="3" t="inlineStr">
        <is>
          <t>조치원읍</t>
        </is>
      </c>
      <c r="E29" s="3" t="inlineStr">
        <is>
          <t>번암리</t>
        </is>
      </c>
      <c r="F29" s="3" t="inlineStr">
        <is>
          <t>일반공업지역</t>
        </is>
      </c>
      <c r="G29" s="3" t="inlineStr">
        <is>
          <t>답</t>
        </is>
      </c>
      <c r="H29" s="4" t="n">
        <v>20.57</v>
      </c>
      <c r="I29" s="5" t="n">
        <v>209.1</v>
      </c>
      <c r="J29" s="3" t="inlineStr">
        <is>
          <t>조치원읍</t>
        </is>
      </c>
    </row>
    <row r="30">
      <c r="A30" s="3" t="n">
        <v>2024</v>
      </c>
      <c r="B30" s="4" t="n">
        <v>1392</v>
      </c>
      <c r="C30" s="4" t="n">
        <v>22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일반공업지역</t>
        </is>
      </c>
      <c r="G30" s="3" t="inlineStr">
        <is>
          <t>답</t>
        </is>
      </c>
      <c r="H30" s="4" t="n">
        <v>6.654999999999999</v>
      </c>
      <c r="I30" s="5" t="n">
        <v>209.2</v>
      </c>
      <c r="J30" s="3" t="inlineStr">
        <is>
          <t>조치원읍</t>
        </is>
      </c>
    </row>
    <row r="31">
      <c r="A31" s="3" t="n">
        <v>2024</v>
      </c>
      <c r="B31" s="4" t="n">
        <v>2657</v>
      </c>
      <c r="C31" s="4" t="n">
        <v>42</v>
      </c>
      <c r="D31" s="3" t="inlineStr">
        <is>
          <t>조치원읍</t>
        </is>
      </c>
      <c r="E31" s="3" t="inlineStr">
        <is>
          <t>번암리</t>
        </is>
      </c>
      <c r="F31" s="3" t="inlineStr">
        <is>
          <t>일반공업지역</t>
        </is>
      </c>
      <c r="G31" s="3" t="inlineStr">
        <is>
          <t>답</t>
        </is>
      </c>
      <c r="H31" s="4" t="n">
        <v>12.705</v>
      </c>
      <c r="I31" s="5" t="n">
        <v>209.1</v>
      </c>
      <c r="J31" s="3" t="inlineStr">
        <is>
          <t>조치원읍</t>
        </is>
      </c>
    </row>
    <row r="32">
      <c r="A32" s="3" t="n">
        <v>2024</v>
      </c>
      <c r="B32" s="4" t="n">
        <v>7527</v>
      </c>
      <c r="C32" s="4" t="n">
        <v>119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35.9975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3416</v>
      </c>
      <c r="C33" s="4" t="n">
        <v>54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16.335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949</v>
      </c>
      <c r="C34" s="4" t="n">
        <v>15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4.5375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9849</v>
      </c>
      <c r="C35" s="4" t="n">
        <v>148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공장용지</t>
        </is>
      </c>
      <c r="H35" s="4" t="n">
        <v>44.77</v>
      </c>
      <c r="I35" s="5" t="n">
        <v>220</v>
      </c>
      <c r="J35" s="3" t="inlineStr">
        <is>
          <t>조치원읍</t>
        </is>
      </c>
    </row>
    <row r="36">
      <c r="A36" s="3" t="n">
        <v>2025</v>
      </c>
      <c r="B36" s="4" t="n">
        <v>3168</v>
      </c>
      <c r="C36" s="4" t="n">
        <v>80</v>
      </c>
      <c r="D36" s="3" t="inlineStr">
        <is>
          <t>연동면</t>
        </is>
      </c>
      <c r="E36" s="3" t="inlineStr">
        <is>
          <t>송용리</t>
        </is>
      </c>
      <c r="F36" s="3" t="inlineStr">
        <is>
          <t>농림지역</t>
        </is>
      </c>
      <c r="G36" s="3" t="inlineStr">
        <is>
          <t>답</t>
        </is>
      </c>
      <c r="H36" s="4" t="n">
        <v>24.2</v>
      </c>
      <c r="I36" s="5" t="n">
        <v>130.9</v>
      </c>
      <c r="J36" s="3" t="inlineStr">
        <is>
          <t>연동면</t>
        </is>
      </c>
    </row>
    <row r="37">
      <c r="A37" s="3" t="n">
        <v>2025</v>
      </c>
      <c r="B37" s="4" t="n">
        <v>50600</v>
      </c>
      <c r="C37" s="4" t="n">
        <v>787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238.0675</v>
      </c>
      <c r="I37" s="5" t="n">
        <v>212.5</v>
      </c>
      <c r="J37" s="3" t="inlineStr">
        <is>
          <t>부강면</t>
        </is>
      </c>
    </row>
    <row r="38">
      <c r="A38" s="3" t="n">
        <v>2025</v>
      </c>
      <c r="B38" s="4" t="n">
        <v>35000</v>
      </c>
      <c r="C38" s="4" t="n">
        <v>1160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농림지역</t>
        </is>
      </c>
      <c r="G38" s="3" t="inlineStr">
        <is>
          <t>답</t>
        </is>
      </c>
      <c r="H38" s="4" t="n">
        <v>350.9</v>
      </c>
      <c r="I38" s="5" t="n">
        <v>99.7</v>
      </c>
      <c r="J38" s="3" t="inlineStr">
        <is>
          <t>연서면</t>
        </is>
      </c>
    </row>
    <row r="39">
      <c r="A39" s="3" t="n">
        <v>2025</v>
      </c>
      <c r="B39" s="4" t="n">
        <v>65500</v>
      </c>
      <c r="C39" s="4" t="n">
        <v>333.7</v>
      </c>
      <c r="D39" s="3" t="inlineStr">
        <is>
          <t>도담동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100.94425</v>
      </c>
      <c r="I39" s="5" t="n">
        <v>648.9</v>
      </c>
      <c r="J39" s="3" t="inlineStr">
        <is>
          <t>도담동</t>
        </is>
      </c>
    </row>
    <row r="40">
      <c r="A40" s="3" t="n">
        <v>2025</v>
      </c>
      <c r="B40" s="4" t="n">
        <v>46000</v>
      </c>
      <c r="C40" s="4" t="n">
        <v>340.7</v>
      </c>
      <c r="D40" s="3" t="inlineStr">
        <is>
          <t>고운동</t>
        </is>
      </c>
      <c r="E40" s="3" t="inlineStr"/>
      <c r="F40" s="3" t="inlineStr">
        <is>
          <t>제1종전용주거지역</t>
        </is>
      </c>
      <c r="G40" s="3" t="inlineStr">
        <is>
          <t>대</t>
        </is>
      </c>
      <c r="H40" s="4" t="n">
        <v>103.06175</v>
      </c>
      <c r="I40" s="5" t="n">
        <v>446.3</v>
      </c>
      <c r="J40" s="3" t="inlineStr">
        <is>
          <t>고운동</t>
        </is>
      </c>
    </row>
    <row r="41">
      <c r="A41" s="3" t="n">
        <v>2025</v>
      </c>
      <c r="B41" s="4" t="n">
        <v>64721</v>
      </c>
      <c r="C41" s="4" t="n">
        <v>43057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보전관리지역</t>
        </is>
      </c>
      <c r="G41" s="3" t="inlineStr">
        <is>
          <t>임야</t>
        </is>
      </c>
      <c r="H41" s="4" t="n">
        <v>13024.7425</v>
      </c>
      <c r="I41" s="5" t="n">
        <v>5</v>
      </c>
      <c r="J41" s="3" t="inlineStr">
        <is>
          <t>연서면</t>
        </is>
      </c>
    </row>
    <row r="42">
      <c r="A42" s="3" t="n">
        <v>2025</v>
      </c>
      <c r="B42" s="4" t="n">
        <v>14257</v>
      </c>
      <c r="C42" s="4" t="n">
        <v>1872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566.28</v>
      </c>
      <c r="I42" s="5" t="n">
        <v>25.2</v>
      </c>
      <c r="J42" s="3" t="inlineStr">
        <is>
          <t>연서면</t>
        </is>
      </c>
    </row>
    <row r="43">
      <c r="A43" s="3" t="n">
        <v>2025</v>
      </c>
      <c r="B43" s="4" t="n">
        <v>42628</v>
      </c>
      <c r="C43" s="4" t="n">
        <v>28360</v>
      </c>
      <c r="D43" s="3" t="inlineStr">
        <is>
          <t>연서면</t>
        </is>
      </c>
      <c r="E43" s="3" t="inlineStr">
        <is>
          <t>쌍류리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8578.9</v>
      </c>
      <c r="I43" s="5" t="n">
        <v>5</v>
      </c>
      <c r="J43" s="3" t="inlineStr">
        <is>
          <t>연서면</t>
        </is>
      </c>
    </row>
    <row r="44">
      <c r="A44" s="3" t="n">
        <v>2025</v>
      </c>
      <c r="B44" s="4" t="n">
        <v>5743</v>
      </c>
      <c r="C44" s="4" t="n">
        <v>756</v>
      </c>
      <c r="D44" s="3" t="inlineStr">
        <is>
          <t>연서면</t>
        </is>
      </c>
      <c r="E44" s="3" t="inlineStr">
        <is>
          <t>쌍류리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228.69</v>
      </c>
      <c r="I44" s="5" t="n">
        <v>25.1</v>
      </c>
      <c r="J44" s="3" t="inlineStr">
        <is>
          <t>연서면</t>
        </is>
      </c>
    </row>
    <row r="45">
      <c r="A45" s="3" t="n">
        <v>2026</v>
      </c>
      <c r="B45" s="4" t="n">
        <v>8887</v>
      </c>
      <c r="C45" s="4" t="n">
        <v>140</v>
      </c>
      <c r="D45" s="3" t="inlineStr">
        <is>
          <t>연서면</t>
        </is>
      </c>
      <c r="E45" s="3" t="inlineStr">
        <is>
          <t>부동리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42.35</v>
      </c>
      <c r="I45" s="5" t="n">
        <v>209.8</v>
      </c>
      <c r="J45" s="3" t="inlineStr">
        <is>
          <t>연서면</t>
        </is>
      </c>
    </row>
    <row r="46">
      <c r="A46" s="3" t="n">
        <v>2026</v>
      </c>
      <c r="B46" s="4" t="n">
        <v>40000</v>
      </c>
      <c r="C46" s="4" t="n">
        <v>277</v>
      </c>
      <c r="D46" s="3" t="inlineStr">
        <is>
          <t>집현동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83.7925</v>
      </c>
      <c r="I46" s="5" t="n">
        <v>477.4</v>
      </c>
      <c r="J46" s="3" t="inlineStr">
        <is>
          <t>집현동</t>
        </is>
      </c>
    </row>
    <row r="47">
      <c r="A47" s="3" t="n">
        <v>2026</v>
      </c>
      <c r="B47" s="4" t="n">
        <v>62000</v>
      </c>
      <c r="C47" s="4" t="n">
        <v>441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133.4025</v>
      </c>
      <c r="I47" s="5" t="n">
        <v>464.8</v>
      </c>
      <c r="J47" s="3" t="inlineStr">
        <is>
          <t>고운동</t>
        </is>
      </c>
    </row>
    <row r="48">
      <c r="A48" s="3" t="n">
        <v>2025</v>
      </c>
      <c r="B48" s="4" t="n">
        <v>830</v>
      </c>
      <c r="C48" s="4" t="n">
        <v>275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83.1875</v>
      </c>
      <c r="I48" s="5" t="n">
        <v>10</v>
      </c>
      <c r="J48" s="3" t="inlineStr">
        <is>
          <t>부강면</t>
        </is>
      </c>
    </row>
    <row r="49">
      <c r="A49" s="3" t="n">
        <v>2025</v>
      </c>
      <c r="B49" s="4" t="n">
        <v>12800</v>
      </c>
      <c r="C49" s="4" t="n">
        <v>211</v>
      </c>
      <c r="D49" s="3" t="inlineStr">
        <is>
          <t>조치원읍</t>
        </is>
      </c>
      <c r="E49" s="3" t="inlineStr">
        <is>
          <t>봉산리</t>
        </is>
      </c>
      <c r="F49" s="3" t="inlineStr">
        <is>
          <t>자연녹지지역</t>
        </is>
      </c>
      <c r="G49" s="3" t="inlineStr">
        <is>
          <t>과수원</t>
        </is>
      </c>
      <c r="H49" s="4" t="n">
        <v>63.8275</v>
      </c>
      <c r="I49" s="5" t="n">
        <v>200.5</v>
      </c>
      <c r="J49" s="3" t="inlineStr">
        <is>
          <t>조치원읍</t>
        </is>
      </c>
    </row>
    <row r="50">
      <c r="A50" s="3" t="n">
        <v>2025</v>
      </c>
      <c r="B50" s="4" t="n">
        <v>65000</v>
      </c>
      <c r="C50" s="4" t="n">
        <v>328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99.22</v>
      </c>
      <c r="I50" s="5" t="n">
        <v>655.1</v>
      </c>
      <c r="J50" s="3" t="inlineStr">
        <is>
          <t>반곡동</t>
        </is>
      </c>
    </row>
    <row r="51">
      <c r="A51" s="3" t="n">
        <v>2025</v>
      </c>
      <c r="B51" s="4" t="n">
        <v>42038</v>
      </c>
      <c r="C51" s="4" t="n">
        <v>284.9</v>
      </c>
      <c r="D51" s="3" t="inlineStr">
        <is>
          <t>고운동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86.18225</v>
      </c>
      <c r="I51" s="5" t="n">
        <v>487.8</v>
      </c>
      <c r="J51" s="3" t="inlineStr">
        <is>
          <t>고운동</t>
        </is>
      </c>
    </row>
    <row r="52">
      <c r="A52" s="3" t="n">
        <v>2025</v>
      </c>
      <c r="B52" s="4" t="n">
        <v>1962</v>
      </c>
      <c r="C52" s="4" t="n">
        <v>13.3</v>
      </c>
      <c r="D52" s="3" t="inlineStr">
        <is>
          <t>고운동</t>
        </is>
      </c>
      <c r="E52" s="3" t="inlineStr"/>
      <c r="F52" s="3" t="inlineStr">
        <is>
          <t>제1종전용주거지역</t>
        </is>
      </c>
      <c r="G52" s="3" t="inlineStr">
        <is>
          <t>주차장</t>
        </is>
      </c>
      <c r="H52" s="4" t="n">
        <v>4.02325</v>
      </c>
      <c r="I52" s="5" t="n">
        <v>487.7</v>
      </c>
      <c r="J52" s="3" t="inlineStr">
        <is>
          <t>고운동</t>
        </is>
      </c>
    </row>
    <row r="53">
      <c r="A53" s="3" t="n">
        <v>2025</v>
      </c>
      <c r="B53" s="4" t="n">
        <v>83300</v>
      </c>
      <c r="C53" s="4" t="n">
        <v>353.2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106.843</v>
      </c>
      <c r="I53" s="5" t="n">
        <v>779.6</v>
      </c>
      <c r="J53" s="3" t="inlineStr">
        <is>
          <t>고운동</t>
        </is>
      </c>
    </row>
    <row r="54">
      <c r="A54" s="3" t="n">
        <v>2025</v>
      </c>
      <c r="B54" s="4" t="n">
        <v>50000</v>
      </c>
      <c r="C54" s="4" t="n">
        <v>474</v>
      </c>
      <c r="D54" s="3" t="inlineStr">
        <is>
          <t>다정동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143.385</v>
      </c>
      <c r="I54" s="5" t="n">
        <v>348.7</v>
      </c>
      <c r="J54" s="3" t="inlineStr">
        <is>
          <t>다정동</t>
        </is>
      </c>
    </row>
    <row r="55">
      <c r="A55" s="3" t="n">
        <v>2025</v>
      </c>
      <c r="B55" s="4" t="n">
        <v>387600</v>
      </c>
      <c r="C55" s="4" t="n">
        <v>3000</v>
      </c>
      <c r="D55" s="3" t="inlineStr">
        <is>
          <t>반곡동</t>
        </is>
      </c>
      <c r="E55" s="3" t="inlineStr"/>
      <c r="F55" s="3" t="inlineStr">
        <is>
          <t>제2종일반주거지역</t>
        </is>
      </c>
      <c r="G55" s="3" t="inlineStr">
        <is>
          <t>학교용지</t>
        </is>
      </c>
      <c r="H55" s="4" t="n">
        <v>907.5</v>
      </c>
      <c r="I55" s="5" t="n">
        <v>427.1</v>
      </c>
      <c r="J55" s="3" t="inlineStr">
        <is>
          <t>반곡동</t>
        </is>
      </c>
    </row>
    <row r="56">
      <c r="A56" s="3" t="n">
        <v>2024</v>
      </c>
      <c r="B56" s="4" t="n">
        <v>25000</v>
      </c>
      <c r="C56" s="4" t="n">
        <v>2182</v>
      </c>
      <c r="D56" s="3" t="inlineStr">
        <is>
          <t>부강면</t>
        </is>
      </c>
      <c r="E56" s="3" t="inlineStr">
        <is>
          <t>갈산리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660.0549999999999</v>
      </c>
      <c r="I56" s="5" t="n">
        <v>37.9</v>
      </c>
      <c r="J56" s="3" t="inlineStr">
        <is>
          <t>부강면</t>
        </is>
      </c>
    </row>
    <row r="57">
      <c r="A57" s="3" t="n">
        <v>2024</v>
      </c>
      <c r="B57" s="4" t="n">
        <v>1263</v>
      </c>
      <c r="C57" s="4" t="n">
        <v>28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자연녹지지역</t>
        </is>
      </c>
      <c r="G57" s="3" t="inlineStr">
        <is>
          <t>답</t>
        </is>
      </c>
      <c r="H57" s="4" t="n">
        <v>8.469999999999999</v>
      </c>
      <c r="I57" s="5" t="n">
        <v>149.1</v>
      </c>
      <c r="J57" s="3" t="inlineStr">
        <is>
          <t>조치원읍</t>
        </is>
      </c>
    </row>
    <row r="58">
      <c r="A58" s="3" t="n">
        <v>2024</v>
      </c>
      <c r="B58" s="4" t="n">
        <v>7943</v>
      </c>
      <c r="C58" s="4" t="n">
        <v>169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자연녹지지역</t>
        </is>
      </c>
      <c r="G58" s="3" t="inlineStr">
        <is>
          <t>전</t>
        </is>
      </c>
      <c r="H58" s="4" t="n">
        <v>51.1225</v>
      </c>
      <c r="I58" s="5" t="n">
        <v>155.4</v>
      </c>
      <c r="J58" s="3" t="inlineStr">
        <is>
          <t>조치원읍</t>
        </is>
      </c>
    </row>
    <row r="59">
      <c r="A59" s="3" t="n">
        <v>2024</v>
      </c>
      <c r="B59" s="4" t="n">
        <v>3000</v>
      </c>
      <c r="C59" s="4" t="n">
        <v>331</v>
      </c>
      <c r="D59" s="3" t="inlineStr">
        <is>
          <t>연동면</t>
        </is>
      </c>
      <c r="E59" s="3" t="inlineStr">
        <is>
          <t>내판리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100.1275</v>
      </c>
      <c r="I59" s="5" t="n">
        <v>30</v>
      </c>
      <c r="J59" s="3" t="inlineStr">
        <is>
          <t>연동면</t>
        </is>
      </c>
    </row>
    <row r="60">
      <c r="A60" s="3" t="n">
        <v>2024</v>
      </c>
      <c r="B60" s="4" t="n">
        <v>17050</v>
      </c>
      <c r="C60" s="4" t="n">
        <v>1741.4</v>
      </c>
      <c r="D60" s="3" t="inlineStr">
        <is>
          <t>연동면</t>
        </is>
      </c>
      <c r="E60" s="3" t="inlineStr">
        <is>
          <t>응암리</t>
        </is>
      </c>
      <c r="F60" s="3" t="inlineStr">
        <is>
          <t>농림지역</t>
        </is>
      </c>
      <c r="G60" s="3" t="inlineStr">
        <is>
          <t>답</t>
        </is>
      </c>
      <c r="H60" s="4" t="n">
        <v>526.7735</v>
      </c>
      <c r="I60" s="5" t="n">
        <v>32.4</v>
      </c>
      <c r="J60" s="3" t="inlineStr">
        <is>
          <t>연동면</t>
        </is>
      </c>
    </row>
    <row r="61">
      <c r="A61" s="3" t="n">
        <v>2024</v>
      </c>
      <c r="B61" s="4" t="n">
        <v>45000</v>
      </c>
      <c r="C61" s="4" t="n">
        <v>332.5</v>
      </c>
      <c r="D61" s="3" t="inlineStr">
        <is>
          <t>아름동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100.58125</v>
      </c>
      <c r="I61" s="5" t="n">
        <v>447.4</v>
      </c>
      <c r="J61" s="3" t="inlineStr">
        <is>
          <t>아름동</t>
        </is>
      </c>
    </row>
    <row r="62">
      <c r="A62" s="3" t="n">
        <v>2024</v>
      </c>
      <c r="B62" s="4" t="n">
        <v>40500</v>
      </c>
      <c r="C62" s="4" t="n">
        <v>2079.4</v>
      </c>
      <c r="D62" s="3" t="inlineStr">
        <is>
          <t>연동면</t>
        </is>
      </c>
      <c r="E62" s="3" t="inlineStr">
        <is>
          <t>문주리</t>
        </is>
      </c>
      <c r="F62" s="3" t="inlineStr">
        <is>
          <t>농림지역</t>
        </is>
      </c>
      <c r="G62" s="3" t="inlineStr">
        <is>
          <t>답</t>
        </is>
      </c>
      <c r="H62" s="4" t="n">
        <v>629.0185</v>
      </c>
      <c r="I62" s="5" t="n">
        <v>64.40000000000001</v>
      </c>
      <c r="J62" s="3" t="inlineStr">
        <is>
          <t>연동면</t>
        </is>
      </c>
    </row>
    <row r="63">
      <c r="A63" s="3" t="n">
        <v>2024</v>
      </c>
      <c r="B63" s="4" t="n">
        <v>3780</v>
      </c>
      <c r="C63" s="4" t="n">
        <v>417</v>
      </c>
      <c r="D63" s="3" t="inlineStr">
        <is>
          <t>연서면</t>
        </is>
      </c>
      <c r="E63" s="3" t="inlineStr">
        <is>
          <t>기룡리</t>
        </is>
      </c>
      <c r="F63" s="3" t="inlineStr">
        <is>
          <t>보전관리지역</t>
        </is>
      </c>
      <c r="G63" s="3" t="inlineStr">
        <is>
          <t>답</t>
        </is>
      </c>
      <c r="H63" s="4" t="n">
        <v>126.1425</v>
      </c>
      <c r="I63" s="5" t="n">
        <v>30</v>
      </c>
      <c r="J63" s="3" t="inlineStr">
        <is>
          <t>연서면</t>
        </is>
      </c>
    </row>
    <row r="64">
      <c r="A64" s="3" t="n">
        <v>2024</v>
      </c>
      <c r="B64" s="4" t="n">
        <v>9000</v>
      </c>
      <c r="C64" s="4" t="n">
        <v>995</v>
      </c>
      <c r="D64" s="3" t="inlineStr">
        <is>
          <t>연서면</t>
        </is>
      </c>
      <c r="E64" s="3" t="inlineStr">
        <is>
          <t>기룡리</t>
        </is>
      </c>
      <c r="F64" s="3" t="inlineStr">
        <is>
          <t>보전관리지역</t>
        </is>
      </c>
      <c r="G64" s="3" t="inlineStr">
        <is>
          <t>전</t>
        </is>
      </c>
      <c r="H64" s="4" t="n">
        <v>300.9875</v>
      </c>
      <c r="I64" s="5" t="n">
        <v>29.9</v>
      </c>
      <c r="J64" s="3" t="inlineStr">
        <is>
          <t>연서면</t>
        </is>
      </c>
    </row>
    <row r="65">
      <c r="A65" s="3" t="n">
        <v>2024</v>
      </c>
      <c r="B65" s="4" t="n">
        <v>28220</v>
      </c>
      <c r="C65" s="4" t="n">
        <v>14182</v>
      </c>
      <c r="D65" s="3" t="inlineStr">
        <is>
          <t>연서면</t>
        </is>
      </c>
      <c r="E65" s="3" t="inlineStr">
        <is>
          <t>기룡리</t>
        </is>
      </c>
      <c r="F65" s="3" t="inlineStr">
        <is>
          <t>농림지역</t>
        </is>
      </c>
      <c r="G65" s="3" t="inlineStr">
        <is>
          <t>임야</t>
        </is>
      </c>
      <c r="H65" s="4" t="n">
        <v>4290.055</v>
      </c>
      <c r="I65" s="5" t="n">
        <v>6.6</v>
      </c>
      <c r="J65" s="3" t="inlineStr">
        <is>
          <t>연서면</t>
        </is>
      </c>
    </row>
    <row r="66">
      <c r="A66" s="3" t="n">
        <v>2024</v>
      </c>
      <c r="B66" s="4" t="n">
        <v>61200</v>
      </c>
      <c r="C66" s="4" t="n">
        <v>1687</v>
      </c>
      <c r="D66" s="3" t="inlineStr">
        <is>
          <t>연서면</t>
        </is>
      </c>
      <c r="E66" s="3" t="inlineStr">
        <is>
          <t>와촌리</t>
        </is>
      </c>
      <c r="F66" s="3" t="inlineStr">
        <is>
          <t>농림지역</t>
        </is>
      </c>
      <c r="G66" s="3" t="inlineStr">
        <is>
          <t>답</t>
        </is>
      </c>
      <c r="H66" s="4" t="n">
        <v>510.3175</v>
      </c>
      <c r="I66" s="5" t="n">
        <v>119.9</v>
      </c>
      <c r="J66" s="3" t="inlineStr">
        <is>
          <t>연서면</t>
        </is>
      </c>
    </row>
    <row r="67">
      <c r="A67" s="3" t="n">
        <v>2024</v>
      </c>
      <c r="B67" s="4" t="n">
        <v>386</v>
      </c>
      <c r="C67" s="4" t="n">
        <v>7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제1종일반주거지역</t>
        </is>
      </c>
      <c r="G67" s="3" t="inlineStr">
        <is>
          <t>대</t>
        </is>
      </c>
      <c r="H67" s="4" t="n">
        <v>2.1175</v>
      </c>
      <c r="I67" s="5" t="n">
        <v>182.3</v>
      </c>
      <c r="J67" s="3" t="inlineStr">
        <is>
          <t>조치원읍</t>
        </is>
      </c>
    </row>
    <row r="68">
      <c r="A68" s="3" t="n">
        <v>2024</v>
      </c>
      <c r="B68" s="4" t="n">
        <v>4414</v>
      </c>
      <c r="C68" s="4" t="n">
        <v>80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제1종일반주거지역</t>
        </is>
      </c>
      <c r="G68" s="3" t="inlineStr">
        <is>
          <t>대</t>
        </is>
      </c>
      <c r="H68" s="4" t="n">
        <v>24.2</v>
      </c>
      <c r="I68" s="5" t="n">
        <v>182.4</v>
      </c>
      <c r="J68" s="3" t="inlineStr">
        <is>
          <t>조치원읍</t>
        </is>
      </c>
    </row>
    <row r="69">
      <c r="A69" s="3" t="n">
        <v>2023</v>
      </c>
      <c r="B69" s="4" t="n">
        <v>8000</v>
      </c>
      <c r="C69" s="4" t="n">
        <v>360</v>
      </c>
      <c r="D69" s="3" t="inlineStr">
        <is>
          <t>연서면</t>
        </is>
      </c>
      <c r="E69" s="3" t="inlineStr">
        <is>
          <t>성제리</t>
        </is>
      </c>
      <c r="F69" s="3" t="inlineStr">
        <is>
          <t>자연녹지지역</t>
        </is>
      </c>
      <c r="G69" s="3" t="inlineStr">
        <is>
          <t>대</t>
        </is>
      </c>
      <c r="H69" s="4" t="n">
        <v>108.9</v>
      </c>
      <c r="I69" s="5" t="n">
        <v>73.5</v>
      </c>
      <c r="J69" s="3" t="inlineStr">
        <is>
          <t>연서면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대</t>
        </is>
      </c>
      <c r="H70" s="4" t="n">
        <v>134.915</v>
      </c>
      <c r="I70" s="5" t="n">
        <v>100.1</v>
      </c>
      <c r="J70" s="3" t="inlineStr">
        <is>
          <t>연동면</t>
        </is>
      </c>
    </row>
    <row r="71">
      <c r="A71" s="3" t="n">
        <v>2022</v>
      </c>
      <c r="B71" s="4" t="n">
        <v>82271</v>
      </c>
      <c r="C71" s="4" t="n">
        <v>2104</v>
      </c>
      <c r="D71" s="3" t="inlineStr">
        <is>
          <t>연서면</t>
        </is>
      </c>
      <c r="E71" s="3" t="inlineStr">
        <is>
          <t>고복리</t>
        </is>
      </c>
      <c r="F71" s="3" t="inlineStr">
        <is>
          <t>보전관리지역</t>
        </is>
      </c>
      <c r="G71" s="3" t="inlineStr">
        <is>
          <t>임야</t>
        </is>
      </c>
      <c r="H71" s="4" t="n">
        <v>636.46</v>
      </c>
      <c r="I71" s="5" t="n">
        <v>129.3</v>
      </c>
      <c r="J71" s="3" t="inlineStr">
        <is>
          <t>연서면</t>
        </is>
      </c>
    </row>
    <row r="72">
      <c r="A72" s="3" t="n">
        <v>2022</v>
      </c>
      <c r="B72" s="4" t="n">
        <v>1439</v>
      </c>
      <c r="C72" s="4" t="n">
        <v>35</v>
      </c>
      <c r="D72" s="3" t="inlineStr">
        <is>
          <t>연서면</t>
        </is>
      </c>
      <c r="E72" s="3" t="inlineStr">
        <is>
          <t>고복리</t>
        </is>
      </c>
      <c r="F72" s="3" t="inlineStr">
        <is>
          <t>보전관리지역</t>
        </is>
      </c>
      <c r="G72" s="3" t="inlineStr">
        <is>
          <t>대</t>
        </is>
      </c>
      <c r="H72" s="4" t="n">
        <v>10.5875</v>
      </c>
      <c r="I72" s="5" t="n">
        <v>135.9</v>
      </c>
      <c r="J72" s="3" t="inlineStr">
        <is>
          <t>연서면</t>
        </is>
      </c>
    </row>
    <row r="73">
      <c r="A73" s="3" t="n">
        <v>2022</v>
      </c>
      <c r="B73" s="4" t="n">
        <v>19500</v>
      </c>
      <c r="C73" s="4" t="n">
        <v>880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보전관리지역</t>
        </is>
      </c>
      <c r="G73" s="3" t="inlineStr">
        <is>
          <t>임야</t>
        </is>
      </c>
      <c r="H73" s="4" t="n">
        <v>266.2</v>
      </c>
      <c r="I73" s="5" t="n">
        <v>73.3</v>
      </c>
      <c r="J73" s="3" t="inlineStr">
        <is>
          <t>연서면</t>
        </is>
      </c>
    </row>
    <row r="74">
      <c r="A74" s="3" t="n">
        <v>2022</v>
      </c>
      <c r="B74" s="4" t="n">
        <v>149399</v>
      </c>
      <c r="C74" s="4" t="n">
        <v>3804</v>
      </c>
      <c r="D74" s="3" t="inlineStr">
        <is>
          <t>연동면</t>
        </is>
      </c>
      <c r="E74" s="3" t="inlineStr">
        <is>
          <t>응암리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1150.71</v>
      </c>
      <c r="I74" s="5" t="n">
        <v>129.8</v>
      </c>
      <c r="J74" s="3" t="inlineStr">
        <is>
          <t>연동면</t>
        </is>
      </c>
    </row>
    <row r="75">
      <c r="A75" s="3" t="n">
        <v>2022</v>
      </c>
      <c r="B75" s="4" t="n">
        <v>24612</v>
      </c>
      <c r="C75" s="4" t="n">
        <v>628</v>
      </c>
      <c r="D75" s="3" t="inlineStr">
        <is>
          <t>연동면</t>
        </is>
      </c>
      <c r="E75" s="3" t="inlineStr">
        <is>
          <t>응암리</t>
        </is>
      </c>
      <c r="F75" s="3" t="inlineStr">
        <is>
          <t>계획관리지역</t>
        </is>
      </c>
      <c r="G75" s="3" t="inlineStr">
        <is>
          <t>전</t>
        </is>
      </c>
      <c r="H75" s="4" t="n">
        <v>189.97</v>
      </c>
      <c r="I75" s="5" t="n">
        <v>129.6</v>
      </c>
      <c r="J75" s="3" t="inlineStr">
        <is>
          <t>연동면</t>
        </is>
      </c>
    </row>
    <row r="76">
      <c r="A76" s="3" t="n">
        <v>2022</v>
      </c>
      <c r="B76" s="4" t="n">
        <v>149399</v>
      </c>
      <c r="C76" s="4" t="n">
        <v>3804</v>
      </c>
      <c r="D76" s="3" t="inlineStr">
        <is>
          <t>연동면</t>
        </is>
      </c>
      <c r="E76" s="3" t="inlineStr">
        <is>
          <t>응암리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1150.71</v>
      </c>
      <c r="I76" s="5" t="n">
        <v>129.8</v>
      </c>
      <c r="J76" s="3" t="inlineStr">
        <is>
          <t>연동면</t>
        </is>
      </c>
    </row>
    <row r="77">
      <c r="A77" s="3" t="n">
        <v>2022</v>
      </c>
      <c r="B77" s="4" t="n">
        <v>48000</v>
      </c>
      <c r="C77" s="4" t="n">
        <v>377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제2종일반주거지역</t>
        </is>
      </c>
      <c r="G77" s="3" t="inlineStr">
        <is>
          <t>전</t>
        </is>
      </c>
      <c r="H77" s="4" t="n">
        <v>114.0425</v>
      </c>
      <c r="I77" s="5" t="n">
        <v>420.9</v>
      </c>
      <c r="J77" s="3" t="inlineStr">
        <is>
          <t>부강면</t>
        </is>
      </c>
    </row>
    <row r="78">
      <c r="A78" s="3" t="n">
        <v>2023</v>
      </c>
      <c r="B78" s="4" t="n">
        <v>21000</v>
      </c>
      <c r="C78" s="4" t="n">
        <v>281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자연환경보전</t>
        </is>
      </c>
      <c r="G78" s="3" t="inlineStr">
        <is>
          <t>대</t>
        </is>
      </c>
      <c r="H78" s="4" t="n">
        <v>85.0025</v>
      </c>
      <c r="I78" s="5" t="n">
        <v>247.1</v>
      </c>
      <c r="J78" s="3" t="inlineStr">
        <is>
          <t>연서면</t>
        </is>
      </c>
    </row>
    <row r="79">
      <c r="A79" s="3" t="n">
        <v>2024</v>
      </c>
      <c r="B79" s="4" t="n">
        <v>2000</v>
      </c>
      <c r="C79" s="4" t="n">
        <v>48</v>
      </c>
      <c r="D79" s="3" t="inlineStr">
        <is>
          <t>조치원읍</t>
        </is>
      </c>
      <c r="E79" s="3" t="inlineStr">
        <is>
          <t>신안리</t>
        </is>
      </c>
      <c r="F79" s="3" t="inlineStr">
        <is>
          <t>제2종일반주거지역</t>
        </is>
      </c>
      <c r="G79" s="3" t="inlineStr">
        <is>
          <t>도로</t>
        </is>
      </c>
      <c r="H79" s="4" t="n">
        <v>14.52</v>
      </c>
      <c r="I79" s="5" t="n">
        <v>137.7</v>
      </c>
      <c r="J79" s="3" t="inlineStr">
        <is>
          <t>조치원읍</t>
        </is>
      </c>
    </row>
    <row r="80">
      <c r="A80" s="3" t="n">
        <v>2024</v>
      </c>
      <c r="B80" s="4" t="n">
        <v>76250</v>
      </c>
      <c r="C80" s="4" t="n">
        <v>1009</v>
      </c>
      <c r="D80" s="3" t="inlineStr">
        <is>
          <t>연동면</t>
        </is>
      </c>
      <c r="E80" s="3" t="inlineStr">
        <is>
          <t>응암리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305.2225</v>
      </c>
      <c r="I80" s="5" t="n">
        <v>249.8</v>
      </c>
      <c r="J80" s="3" t="inlineStr">
        <is>
          <t>연동면</t>
        </is>
      </c>
    </row>
    <row r="81">
      <c r="A81" s="3" t="n">
        <v>2025</v>
      </c>
      <c r="B81" s="4" t="n">
        <v>6700</v>
      </c>
      <c r="C81" s="4" t="n">
        <v>445</v>
      </c>
      <c r="D81" s="3" t="inlineStr">
        <is>
          <t>부강면</t>
        </is>
      </c>
      <c r="E81" s="3" t="inlineStr">
        <is>
          <t>갈산리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134.6125</v>
      </c>
      <c r="I81" s="5" t="n">
        <v>49.8</v>
      </c>
      <c r="J81" s="3" t="inlineStr">
        <is>
          <t>부강면</t>
        </is>
      </c>
    </row>
    <row r="82">
      <c r="A82" s="3" t="n">
        <v>2022</v>
      </c>
      <c r="B82" s="4" t="n">
        <v>17500</v>
      </c>
      <c r="C82" s="4" t="n">
        <v>477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전</t>
        </is>
      </c>
      <c r="H82" s="4" t="n">
        <v>144.2925</v>
      </c>
      <c r="I82" s="5" t="n">
        <v>121.3</v>
      </c>
      <c r="J82" s="3" t="inlineStr">
        <is>
          <t>연서면</t>
        </is>
      </c>
    </row>
    <row r="83">
      <c r="A83" s="3" t="n">
        <v>2022</v>
      </c>
      <c r="B83" s="4" t="n">
        <v>16000</v>
      </c>
      <c r="C83" s="4" t="n">
        <v>231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대</t>
        </is>
      </c>
      <c r="H83" s="4" t="n">
        <v>69.8775</v>
      </c>
      <c r="I83" s="5" t="n">
        <v>229</v>
      </c>
      <c r="J83" s="3" t="inlineStr">
        <is>
          <t>연서면</t>
        </is>
      </c>
    </row>
    <row r="84">
      <c r="A84" s="3" t="n">
        <v>2022</v>
      </c>
      <c r="B84" s="4" t="n">
        <v>14500</v>
      </c>
      <c r="C84" s="4" t="n">
        <v>936.6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계획관리지역</t>
        </is>
      </c>
      <c r="G84" s="3" t="inlineStr">
        <is>
          <t>과수원</t>
        </is>
      </c>
      <c r="H84" s="4" t="n">
        <v>283.3215</v>
      </c>
      <c r="I84" s="5" t="n">
        <v>51.2</v>
      </c>
      <c r="J84" s="3" t="inlineStr">
        <is>
          <t>연서면</t>
        </is>
      </c>
    </row>
    <row r="85">
      <c r="A85" s="3" t="n">
        <v>2022</v>
      </c>
      <c r="B85" s="4" t="n">
        <v>45000</v>
      </c>
      <c r="C85" s="4" t="n">
        <v>345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104.3625</v>
      </c>
      <c r="I85" s="5" t="n">
        <v>431.2</v>
      </c>
      <c r="J85" s="3" t="inlineStr">
        <is>
          <t>부강면</t>
        </is>
      </c>
    </row>
    <row r="86">
      <c r="A86" s="3" t="n">
        <v>2022</v>
      </c>
      <c r="B86" s="4" t="n">
        <v>110000</v>
      </c>
      <c r="C86" s="4" t="n">
        <v>58897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농림지역</t>
        </is>
      </c>
      <c r="G86" s="3" t="inlineStr">
        <is>
          <t>임야</t>
        </is>
      </c>
      <c r="H86" s="4" t="n">
        <v>17816.3425</v>
      </c>
      <c r="I86" s="5" t="n">
        <v>6.2</v>
      </c>
      <c r="J86" s="3" t="inlineStr">
        <is>
          <t>연서면</t>
        </is>
      </c>
    </row>
    <row r="87">
      <c r="A87" s="3" t="n">
        <v>2022</v>
      </c>
      <c r="B87" s="4" t="n">
        <v>2731</v>
      </c>
      <c r="C87" s="4" t="n">
        <v>863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261.0575</v>
      </c>
      <c r="I87" s="5" t="n">
        <v>10.5</v>
      </c>
      <c r="J87" s="3" t="inlineStr">
        <is>
          <t>연서면</t>
        </is>
      </c>
    </row>
    <row r="88">
      <c r="A88" s="3" t="n">
        <v>2022</v>
      </c>
      <c r="B88" s="4" t="n">
        <v>2269</v>
      </c>
      <c r="C88" s="4" t="n">
        <v>717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전</t>
        </is>
      </c>
      <c r="H88" s="4" t="n">
        <v>216.8925</v>
      </c>
      <c r="I88" s="5" t="n">
        <v>10.5</v>
      </c>
      <c r="J88" s="3" t="inlineStr">
        <is>
          <t>연서면</t>
        </is>
      </c>
    </row>
    <row r="89">
      <c r="A89" s="3" t="n">
        <v>2022</v>
      </c>
      <c r="B89" s="4" t="n">
        <v>50000</v>
      </c>
      <c r="C89" s="4" t="n">
        <v>660</v>
      </c>
      <c r="D89" s="3" t="inlineStr">
        <is>
          <t>부강면</t>
        </is>
      </c>
      <c r="E89" s="3" t="inlineStr">
        <is>
          <t>금호리</t>
        </is>
      </c>
      <c r="F89" s="3" t="inlineStr">
        <is>
          <t>계획관리지역</t>
        </is>
      </c>
      <c r="G89" s="3" t="inlineStr">
        <is>
          <t>전</t>
        </is>
      </c>
      <c r="H89" s="4" t="n">
        <v>199.65</v>
      </c>
      <c r="I89" s="5" t="n">
        <v>250.4</v>
      </c>
      <c r="J89" s="3" t="inlineStr">
        <is>
          <t>부강면</t>
        </is>
      </c>
    </row>
    <row r="90">
      <c r="A90" s="3" t="n">
        <v>2022</v>
      </c>
      <c r="B90" s="4" t="n">
        <v>5000</v>
      </c>
      <c r="C90" s="4" t="n">
        <v>193</v>
      </c>
      <c r="D90" s="3" t="inlineStr">
        <is>
          <t>부강면</t>
        </is>
      </c>
      <c r="E90" s="3" t="inlineStr">
        <is>
          <t>금호리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58.3825</v>
      </c>
      <c r="I90" s="5" t="n">
        <v>85.59999999999999</v>
      </c>
      <c r="J90" s="3" t="inlineStr">
        <is>
          <t>부강면</t>
        </is>
      </c>
    </row>
    <row r="91">
      <c r="A91" s="3" t="n">
        <v>2022</v>
      </c>
      <c r="B91" s="4" t="n">
        <v>154000</v>
      </c>
      <c r="C91" s="4" t="n">
        <v>5716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1729.09</v>
      </c>
      <c r="I91" s="5" t="n">
        <v>89.09999999999999</v>
      </c>
      <c r="J91" s="3" t="inlineStr">
        <is>
          <t>연서면</t>
        </is>
      </c>
    </row>
    <row r="92">
      <c r="A92" s="3" t="n">
        <v>2022</v>
      </c>
      <c r="B92" s="4" t="n">
        <v>38480</v>
      </c>
      <c r="C92" s="4" t="n">
        <v>1590</v>
      </c>
      <c r="D92" s="3" t="inlineStr">
        <is>
          <t>연서면</t>
        </is>
      </c>
      <c r="E92" s="3" t="inlineStr">
        <is>
          <t>쌍류리</t>
        </is>
      </c>
      <c r="F92" s="3" t="inlineStr">
        <is>
          <t>생산관리지역</t>
        </is>
      </c>
      <c r="G92" s="3" t="inlineStr">
        <is>
          <t>전</t>
        </is>
      </c>
      <c r="H92" s="4" t="n">
        <v>480.975</v>
      </c>
      <c r="I92" s="5" t="n">
        <v>80</v>
      </c>
      <c r="J92" s="3" t="inlineStr">
        <is>
          <t>연서면</t>
        </is>
      </c>
    </row>
    <row r="93">
      <c r="A93" s="3" t="n">
        <v>2022</v>
      </c>
      <c r="B93" s="4" t="n">
        <v>57800</v>
      </c>
      <c r="C93" s="4" t="n">
        <v>2734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827.035</v>
      </c>
      <c r="I93" s="5" t="n">
        <v>69.90000000000001</v>
      </c>
      <c r="J93" s="3" t="inlineStr">
        <is>
          <t>연서면</t>
        </is>
      </c>
    </row>
    <row r="94">
      <c r="A94" s="3" t="n">
        <v>2022</v>
      </c>
      <c r="B94" s="4" t="n">
        <v>19060</v>
      </c>
      <c r="C94" s="4" t="n">
        <v>700</v>
      </c>
      <c r="D94" s="3" t="inlineStr">
        <is>
          <t>연동면</t>
        </is>
      </c>
      <c r="E94" s="3" t="inlineStr">
        <is>
          <t>명학리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211.75</v>
      </c>
      <c r="I94" s="5" t="n">
        <v>90</v>
      </c>
      <c r="J94" s="3" t="inlineStr">
        <is>
          <t>연동면</t>
        </is>
      </c>
    </row>
    <row r="95">
      <c r="A95" s="3" t="n">
        <v>2022</v>
      </c>
      <c r="B95" s="4" t="n">
        <v>400000</v>
      </c>
      <c r="C95" s="4" t="n">
        <v>5929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1793.5225</v>
      </c>
      <c r="I95" s="5" t="n">
        <v>223</v>
      </c>
      <c r="J95" s="3" t="inlineStr">
        <is>
          <t>연동면</t>
        </is>
      </c>
    </row>
    <row r="96">
      <c r="A96" s="3" t="n">
        <v>2022</v>
      </c>
      <c r="B96" s="4" t="n">
        <v>30000</v>
      </c>
      <c r="C96" s="4" t="n">
        <v>336</v>
      </c>
      <c r="D96" s="3" t="inlineStr">
        <is>
          <t>연동면</t>
        </is>
      </c>
      <c r="E96" s="3" t="inlineStr">
        <is>
          <t>내판리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101.64</v>
      </c>
      <c r="I96" s="5" t="n">
        <v>295.2</v>
      </c>
      <c r="J96" s="3" t="inlineStr">
        <is>
          <t>연동면</t>
        </is>
      </c>
    </row>
    <row r="97">
      <c r="A97" s="3" t="n">
        <v>2022</v>
      </c>
      <c r="B97" s="4" t="n">
        <v>13500</v>
      </c>
      <c r="C97" s="4" t="n">
        <v>316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95.59</v>
      </c>
      <c r="I97" s="5" t="n">
        <v>141.2</v>
      </c>
      <c r="J97" s="3" t="inlineStr">
        <is>
          <t>부강면</t>
        </is>
      </c>
    </row>
    <row r="98">
      <c r="A98" s="3" t="n">
        <v>2022</v>
      </c>
      <c r="B98" s="4" t="n">
        <v>85000</v>
      </c>
      <c r="C98" s="4" t="n">
        <v>1227</v>
      </c>
      <c r="D98" s="3" t="inlineStr">
        <is>
          <t>연서면</t>
        </is>
      </c>
      <c r="E98" s="3" t="inlineStr">
        <is>
          <t>봉암리</t>
        </is>
      </c>
      <c r="F98" s="3" t="inlineStr">
        <is>
          <t>농림지역</t>
        </is>
      </c>
      <c r="G98" s="3" t="inlineStr">
        <is>
          <t>답</t>
        </is>
      </c>
      <c r="H98" s="4" t="n">
        <v>371.1675</v>
      </c>
      <c r="I98" s="5" t="n">
        <v>229</v>
      </c>
      <c r="J98" s="3" t="inlineStr">
        <is>
          <t>연서면</t>
        </is>
      </c>
    </row>
    <row r="99">
      <c r="A99" s="3" t="n">
        <v>2022</v>
      </c>
      <c r="B99" s="4" t="n">
        <v>85000</v>
      </c>
      <c r="C99" s="4" t="n">
        <v>1226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농림지역</t>
        </is>
      </c>
      <c r="G99" s="3" t="inlineStr">
        <is>
          <t>답</t>
        </is>
      </c>
      <c r="H99" s="4" t="n">
        <v>370.865</v>
      </c>
      <c r="I99" s="5" t="n">
        <v>229.2</v>
      </c>
      <c r="J99" s="3" t="inlineStr">
        <is>
          <t>연서면</t>
        </is>
      </c>
    </row>
    <row r="100">
      <c r="A100" s="3" t="n">
        <v>2022</v>
      </c>
      <c r="B100" s="4" t="n">
        <v>2500</v>
      </c>
      <c r="C100" s="4" t="n">
        <v>129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39.0225</v>
      </c>
      <c r="I100" s="5" t="n">
        <v>64.09999999999999</v>
      </c>
      <c r="J100" s="3" t="inlineStr">
        <is>
          <t>연동면</t>
        </is>
      </c>
    </row>
    <row r="101">
      <c r="A101" s="3" t="n">
        <v>2022</v>
      </c>
      <c r="B101" s="4" t="n">
        <v>5480</v>
      </c>
      <c r="C101" s="4" t="n">
        <v>48</v>
      </c>
      <c r="D101" s="3" t="inlineStr">
        <is>
          <t>조치원읍</t>
        </is>
      </c>
      <c r="E101" s="3" t="inlineStr">
        <is>
          <t>번암리</t>
        </is>
      </c>
      <c r="F101" s="3" t="inlineStr">
        <is>
          <t>일반공업지역</t>
        </is>
      </c>
      <c r="G101" s="3" t="inlineStr">
        <is>
          <t>잡종지</t>
        </is>
      </c>
      <c r="H101" s="4" t="n">
        <v>14.52</v>
      </c>
      <c r="I101" s="5" t="n">
        <v>377.4</v>
      </c>
      <c r="J101" s="3" t="inlineStr">
        <is>
          <t>조치원읍</t>
        </is>
      </c>
    </row>
    <row r="102">
      <c r="A102" s="3" t="n">
        <v>2022</v>
      </c>
      <c r="B102" s="4" t="n">
        <v>16100</v>
      </c>
      <c r="C102" s="4" t="n">
        <v>141</v>
      </c>
      <c r="D102" s="3" t="inlineStr">
        <is>
          <t>조치원읍</t>
        </is>
      </c>
      <c r="E102" s="3" t="inlineStr">
        <is>
          <t>번암리</t>
        </is>
      </c>
      <c r="F102" s="3" t="inlineStr">
        <is>
          <t>일반공업지역</t>
        </is>
      </c>
      <c r="G102" s="3" t="inlineStr">
        <is>
          <t>잡종지</t>
        </is>
      </c>
      <c r="H102" s="4" t="n">
        <v>42.6525</v>
      </c>
      <c r="I102" s="5" t="n">
        <v>377.5</v>
      </c>
      <c r="J102" s="3" t="inlineStr">
        <is>
          <t>조치원읍</t>
        </is>
      </c>
    </row>
    <row r="103">
      <c r="A103" s="3" t="n">
        <v>2022</v>
      </c>
      <c r="B103" s="4" t="n">
        <v>920</v>
      </c>
      <c r="C103" s="4" t="n">
        <v>8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잡종지</t>
        </is>
      </c>
      <c r="H103" s="4" t="n">
        <v>2.42</v>
      </c>
      <c r="I103" s="5" t="n">
        <v>380.2</v>
      </c>
      <c r="J103" s="3" t="inlineStr">
        <is>
          <t>조치원읍</t>
        </is>
      </c>
    </row>
    <row r="104">
      <c r="A104" s="3" t="n">
        <v>2022</v>
      </c>
      <c r="B104" s="4" t="n">
        <v>13023</v>
      </c>
      <c r="C104" s="4" t="n">
        <v>105</v>
      </c>
      <c r="D104" s="3" t="inlineStr">
        <is>
          <t>조치원읍</t>
        </is>
      </c>
      <c r="E104" s="3" t="inlineStr">
        <is>
          <t>서창리</t>
        </is>
      </c>
      <c r="F104" s="3" t="inlineStr">
        <is>
          <t>제1종일반주거지역</t>
        </is>
      </c>
      <c r="G104" s="3" t="inlineStr">
        <is>
          <t>답</t>
        </is>
      </c>
      <c r="H104" s="4" t="n">
        <v>31.7625</v>
      </c>
      <c r="I104" s="5" t="n">
        <v>410</v>
      </c>
      <c r="J104" s="3" t="inlineStr">
        <is>
          <t>조치원읍</t>
        </is>
      </c>
    </row>
    <row r="105">
      <c r="A105" s="3" t="n">
        <v>2022</v>
      </c>
      <c r="B105" s="4" t="n">
        <v>248</v>
      </c>
      <c r="C105" s="4" t="n">
        <v>2</v>
      </c>
      <c r="D105" s="3" t="inlineStr">
        <is>
          <t>조치원읍</t>
        </is>
      </c>
      <c r="E105" s="3" t="inlineStr">
        <is>
          <t>서창리</t>
        </is>
      </c>
      <c r="F105" s="3" t="inlineStr">
        <is>
          <t>제1종일반주거지역</t>
        </is>
      </c>
      <c r="G105" s="3" t="inlineStr">
        <is>
          <t>답</t>
        </is>
      </c>
      <c r="H105" s="4" t="n">
        <v>0.605</v>
      </c>
      <c r="I105" s="5" t="n">
        <v>409.9</v>
      </c>
      <c r="J105" s="3" t="inlineStr">
        <is>
          <t>조치원읍</t>
        </is>
      </c>
    </row>
    <row r="106">
      <c r="A106" s="3" t="n">
        <v>2022</v>
      </c>
      <c r="B106" s="4" t="n">
        <v>14883</v>
      </c>
      <c r="C106" s="4" t="n">
        <v>120</v>
      </c>
      <c r="D106" s="3" t="inlineStr">
        <is>
          <t>조치원읍</t>
        </is>
      </c>
      <c r="E106" s="3" t="inlineStr">
        <is>
          <t>서창리</t>
        </is>
      </c>
      <c r="F106" s="3" t="inlineStr">
        <is>
          <t>제1종전용주거지역</t>
        </is>
      </c>
      <c r="G106" s="3" t="inlineStr">
        <is>
          <t>답</t>
        </is>
      </c>
      <c r="H106" s="4" t="n">
        <v>36.3</v>
      </c>
      <c r="I106" s="5" t="n">
        <v>410</v>
      </c>
      <c r="J106" s="3" t="inlineStr">
        <is>
          <t>조치원읍</t>
        </is>
      </c>
    </row>
    <row r="107">
      <c r="A107" s="3" t="n">
        <v>2022</v>
      </c>
      <c r="B107" s="4" t="n">
        <v>7566</v>
      </c>
      <c r="C107" s="4" t="n">
        <v>61</v>
      </c>
      <c r="D107" s="3" t="inlineStr">
        <is>
          <t>조치원읍</t>
        </is>
      </c>
      <c r="E107" s="3" t="inlineStr">
        <is>
          <t>서창리</t>
        </is>
      </c>
      <c r="F107" s="3" t="inlineStr">
        <is>
          <t>제1종일반주거지역</t>
        </is>
      </c>
      <c r="G107" s="3" t="inlineStr">
        <is>
          <t>답</t>
        </is>
      </c>
      <c r="H107" s="4" t="n">
        <v>18.4525</v>
      </c>
      <c r="I107" s="5" t="n">
        <v>410</v>
      </c>
      <c r="J107" s="3" t="inlineStr">
        <is>
          <t>조치원읍</t>
        </is>
      </c>
    </row>
    <row r="108">
      <c r="A108" s="3" t="n">
        <v>2022</v>
      </c>
      <c r="B108" s="4" t="n">
        <v>33239</v>
      </c>
      <c r="C108" s="4" t="n">
        <v>268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제1종전용주거지역</t>
        </is>
      </c>
      <c r="G108" s="3" t="inlineStr">
        <is>
          <t>답</t>
        </is>
      </c>
      <c r="H108" s="4" t="n">
        <v>81.06999999999999</v>
      </c>
      <c r="I108" s="5" t="n">
        <v>410</v>
      </c>
      <c r="J108" s="3" t="inlineStr">
        <is>
          <t>조치원읍</t>
        </is>
      </c>
    </row>
    <row r="109">
      <c r="A109" s="3" t="n">
        <v>2024</v>
      </c>
      <c r="B109" s="4" t="n">
        <v>780</v>
      </c>
      <c r="C109" s="4" t="n">
        <v>11</v>
      </c>
      <c r="D109" s="3" t="inlineStr">
        <is>
          <t>조치원읍</t>
        </is>
      </c>
      <c r="E109" s="3" t="inlineStr">
        <is>
          <t>신안리</t>
        </is>
      </c>
      <c r="F109" s="3" t="inlineStr">
        <is>
          <t>제2종일반주거지역</t>
        </is>
      </c>
      <c r="G109" s="3" t="inlineStr">
        <is>
          <t>대</t>
        </is>
      </c>
      <c r="H109" s="4" t="n">
        <v>3.3275</v>
      </c>
      <c r="I109" s="5" t="n">
        <v>234.4</v>
      </c>
      <c r="J109" s="3" t="inlineStr">
        <is>
          <t>조치원읍</t>
        </is>
      </c>
    </row>
    <row r="110">
      <c r="A110" s="3" t="n">
        <v>2024</v>
      </c>
      <c r="B110" s="4" t="n">
        <v>10000</v>
      </c>
      <c r="C110" s="4" t="n">
        <v>104</v>
      </c>
      <c r="D110" s="3" t="inlineStr">
        <is>
          <t>조치원읍</t>
        </is>
      </c>
      <c r="E110" s="3" t="inlineStr">
        <is>
          <t>신안리</t>
        </is>
      </c>
      <c r="F110" s="3" t="inlineStr">
        <is>
          <t>제2종일반주거지역</t>
        </is>
      </c>
      <c r="G110" s="3" t="inlineStr">
        <is>
          <t>대</t>
        </is>
      </c>
      <c r="H110" s="4" t="n">
        <v>31.46</v>
      </c>
      <c r="I110" s="5" t="n">
        <v>317.9</v>
      </c>
      <c r="J110" s="3" t="inlineStr">
        <is>
          <t>조치원읍</t>
        </is>
      </c>
    </row>
    <row r="111">
      <c r="A111" s="3" t="n">
        <v>2024</v>
      </c>
      <c r="B111" s="4" t="n">
        <v>1220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도로</t>
        </is>
      </c>
      <c r="H111" s="4" t="n">
        <v>6.9575</v>
      </c>
      <c r="I111" s="5" t="n">
        <v>175.4</v>
      </c>
      <c r="J111" s="3" t="inlineStr">
        <is>
          <t>조치원읍</t>
        </is>
      </c>
    </row>
    <row r="112">
      <c r="A112" s="3" t="n">
        <v>2024</v>
      </c>
      <c r="B112" s="4" t="n">
        <v>29000</v>
      </c>
      <c r="C112" s="4" t="n">
        <v>438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제2종일반주거지역</t>
        </is>
      </c>
      <c r="G112" s="3" t="inlineStr">
        <is>
          <t>대</t>
        </is>
      </c>
      <c r="H112" s="4" t="n">
        <v>132.495</v>
      </c>
      <c r="I112" s="5" t="n">
        <v>218.9</v>
      </c>
      <c r="J112" s="3" t="inlineStr">
        <is>
          <t>조치원읍</t>
        </is>
      </c>
    </row>
    <row r="113">
      <c r="A113" s="3" t="n">
        <v>2024</v>
      </c>
      <c r="B113" s="4" t="n">
        <v>28000</v>
      </c>
      <c r="C113" s="4" t="n">
        <v>265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제2종일반주거지역</t>
        </is>
      </c>
      <c r="G113" s="3" t="inlineStr">
        <is>
          <t>대</t>
        </is>
      </c>
      <c r="H113" s="4" t="n">
        <v>80.16249999999999</v>
      </c>
      <c r="I113" s="5" t="n">
        <v>349.3</v>
      </c>
      <c r="J113" s="3" t="inlineStr">
        <is>
          <t>조치원읍</t>
        </is>
      </c>
    </row>
    <row r="114">
      <c r="A114" s="3" t="n">
        <v>2024</v>
      </c>
      <c r="B114" s="4" t="n">
        <v>82500</v>
      </c>
      <c r="C114" s="4" t="n">
        <v>1540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계획관리지역</t>
        </is>
      </c>
      <c r="G114" s="3" t="inlineStr">
        <is>
          <t>전</t>
        </is>
      </c>
      <c r="H114" s="4" t="n">
        <v>465.85</v>
      </c>
      <c r="I114" s="5" t="n">
        <v>177.1</v>
      </c>
      <c r="J114" s="3" t="inlineStr">
        <is>
          <t>연서면</t>
        </is>
      </c>
    </row>
    <row r="115">
      <c r="A115" s="3" t="n">
        <v>2024</v>
      </c>
      <c r="B115" s="4" t="n">
        <v>500</v>
      </c>
      <c r="C115" s="4" t="n">
        <v>10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도로</t>
        </is>
      </c>
      <c r="H115" s="4" t="n">
        <v>3.025</v>
      </c>
      <c r="I115" s="5" t="n">
        <v>165.3</v>
      </c>
      <c r="J115" s="3" t="inlineStr">
        <is>
          <t>연서면</t>
        </is>
      </c>
    </row>
    <row r="116">
      <c r="A116" s="3" t="n">
        <v>2024</v>
      </c>
      <c r="B116" s="4" t="n">
        <v>52000</v>
      </c>
      <c r="C116" s="4" t="n">
        <v>394.6</v>
      </c>
      <c r="D116" s="3" t="inlineStr">
        <is>
          <t>고운동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119.3665</v>
      </c>
      <c r="I116" s="5" t="n">
        <v>435.6</v>
      </c>
      <c r="J116" s="3" t="inlineStr">
        <is>
          <t>고운동</t>
        </is>
      </c>
    </row>
    <row r="117">
      <c r="A117" s="3" t="n">
        <v>2024</v>
      </c>
      <c r="B117" s="4" t="n">
        <v>29680</v>
      </c>
      <c r="C117" s="4" t="n">
        <v>311.9</v>
      </c>
      <c r="D117" s="3" t="inlineStr">
        <is>
          <t>집현동</t>
        </is>
      </c>
      <c r="E117" s="3" t="inlineStr"/>
      <c r="F117" s="3" t="inlineStr">
        <is>
          <t>제1종일반주거지역</t>
        </is>
      </c>
      <c r="G117" s="3" t="inlineStr">
        <is>
          <t>대</t>
        </is>
      </c>
      <c r="H117" s="4" t="n">
        <v>94.34974999999999</v>
      </c>
      <c r="I117" s="5" t="n">
        <v>314.6</v>
      </c>
      <c r="J117" s="3" t="inlineStr">
        <is>
          <t>집현동</t>
        </is>
      </c>
    </row>
    <row r="118">
      <c r="A118" s="3" t="n">
        <v>2024</v>
      </c>
      <c r="B118" s="4" t="n">
        <v>18265</v>
      </c>
      <c r="C118" s="4" t="n">
        <v>929</v>
      </c>
      <c r="D118" s="3" t="inlineStr">
        <is>
          <t>연동면</t>
        </is>
      </c>
      <c r="E118" s="3" t="inlineStr">
        <is>
          <t>송용리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281.0225</v>
      </c>
      <c r="I118" s="5" t="n">
        <v>65</v>
      </c>
      <c r="J118" s="3" t="inlineStr">
        <is>
          <t>연동면</t>
        </is>
      </c>
    </row>
    <row r="119">
      <c r="A119" s="3" t="n">
        <v>2024</v>
      </c>
      <c r="B119" s="4" t="n">
        <v>9929</v>
      </c>
      <c r="C119" s="4" t="n">
        <v>505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계획관리지역</t>
        </is>
      </c>
      <c r="G119" s="3" t="inlineStr">
        <is>
          <t>대</t>
        </is>
      </c>
      <c r="H119" s="4" t="n">
        <v>152.7625</v>
      </c>
      <c r="I119" s="5" t="n">
        <v>65</v>
      </c>
      <c r="J119" s="3" t="inlineStr">
        <is>
          <t>연동면</t>
        </is>
      </c>
    </row>
    <row r="120">
      <c r="A120" s="3" t="n">
        <v>2024</v>
      </c>
      <c r="B120" s="4" t="n">
        <v>16000</v>
      </c>
      <c r="C120" s="4" t="n">
        <v>554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제2종일반주거지역</t>
        </is>
      </c>
      <c r="G120" s="3" t="inlineStr">
        <is>
          <t>전</t>
        </is>
      </c>
      <c r="H120" s="4" t="n">
        <v>167.585</v>
      </c>
      <c r="I120" s="5" t="n">
        <v>95.5</v>
      </c>
      <c r="J120" s="3" t="inlineStr">
        <is>
          <t>부강면</t>
        </is>
      </c>
    </row>
    <row r="121">
      <c r="A121" s="3" t="n">
        <v>2024</v>
      </c>
      <c r="B121" s="4" t="n">
        <v>8500</v>
      </c>
      <c r="C121" s="4" t="n">
        <v>292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임야</t>
        </is>
      </c>
      <c r="H121" s="4" t="n">
        <v>88.33</v>
      </c>
      <c r="I121" s="5" t="n">
        <v>96.2</v>
      </c>
      <c r="J121" s="3" t="inlineStr">
        <is>
          <t>연서면</t>
        </is>
      </c>
    </row>
    <row r="122">
      <c r="A122" s="3" t="n">
        <v>2025</v>
      </c>
      <c r="B122" s="4" t="n">
        <v>31700</v>
      </c>
      <c r="C122" s="4" t="n">
        <v>440</v>
      </c>
      <c r="D122" s="3" t="inlineStr">
        <is>
          <t>조치원읍</t>
        </is>
      </c>
      <c r="E122" s="3" t="inlineStr">
        <is>
          <t>신안리</t>
        </is>
      </c>
      <c r="F122" s="3" t="inlineStr">
        <is>
          <t>제2종일반주거지역</t>
        </is>
      </c>
      <c r="G122" s="3" t="inlineStr">
        <is>
          <t>대</t>
        </is>
      </c>
      <c r="H122" s="4" t="n">
        <v>133.1</v>
      </c>
      <c r="I122" s="5" t="n">
        <v>238.2</v>
      </c>
      <c r="J122" s="3" t="inlineStr">
        <is>
          <t>조치원읍</t>
        </is>
      </c>
    </row>
    <row r="123">
      <c r="A123" s="3" t="n">
        <v>2025</v>
      </c>
      <c r="B123" s="4" t="n">
        <v>56780</v>
      </c>
      <c r="C123" s="4" t="n">
        <v>1105</v>
      </c>
      <c r="D123" s="3" t="inlineStr">
        <is>
          <t>부강면</t>
        </is>
      </c>
      <c r="E123" s="3" t="inlineStr">
        <is>
          <t>행산리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334.2625</v>
      </c>
      <c r="I123" s="5" t="n">
        <v>169.9</v>
      </c>
      <c r="J123" s="3" t="inlineStr">
        <is>
          <t>부강면</t>
        </is>
      </c>
    </row>
    <row r="124">
      <c r="A124" s="3" t="n">
        <v>2025</v>
      </c>
      <c r="B124" s="4" t="n">
        <v>1902</v>
      </c>
      <c r="C124" s="4" t="n">
        <v>58</v>
      </c>
      <c r="D124" s="3" t="inlineStr">
        <is>
          <t>부강면</t>
        </is>
      </c>
      <c r="E124" s="3" t="inlineStr">
        <is>
          <t>부강리</t>
        </is>
      </c>
      <c r="F124" s="3" t="inlineStr">
        <is>
          <t>제2종일반주거지역</t>
        </is>
      </c>
      <c r="G124" s="3" t="inlineStr">
        <is>
          <t>대</t>
        </is>
      </c>
      <c r="H124" s="4" t="n">
        <v>17.545</v>
      </c>
      <c r="I124" s="5" t="n">
        <v>108.4</v>
      </c>
      <c r="J124" s="3" t="inlineStr">
        <is>
          <t>부강면</t>
        </is>
      </c>
    </row>
    <row r="125">
      <c r="A125" s="3" t="n">
        <v>2025</v>
      </c>
      <c r="B125" s="4" t="n">
        <v>33</v>
      </c>
      <c r="C125" s="4" t="n">
        <v>1</v>
      </c>
      <c r="D125" s="3" t="inlineStr">
        <is>
          <t>부강면</t>
        </is>
      </c>
      <c r="E125" s="3" t="inlineStr">
        <is>
          <t>부강리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0.3025</v>
      </c>
      <c r="I125" s="5" t="n">
        <v>109.1</v>
      </c>
      <c r="J125" s="3" t="inlineStr">
        <is>
          <t>부강면</t>
        </is>
      </c>
    </row>
    <row r="126">
      <c r="A126" s="3" t="n">
        <v>2025</v>
      </c>
      <c r="B126" s="4" t="n">
        <v>33</v>
      </c>
      <c r="C126" s="4" t="n">
        <v>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0.3025</v>
      </c>
      <c r="I126" s="5" t="n">
        <v>109.1</v>
      </c>
      <c r="J126" s="3" t="inlineStr">
        <is>
          <t>부강면</t>
        </is>
      </c>
    </row>
    <row r="127">
      <c r="A127" s="3" t="n">
        <v>2025</v>
      </c>
      <c r="B127" s="4" t="n">
        <v>33</v>
      </c>
      <c r="C127" s="4" t="n">
        <v>1</v>
      </c>
      <c r="D127" s="3" t="inlineStr">
        <is>
          <t>부강면</t>
        </is>
      </c>
      <c r="E127" s="3" t="inlineStr">
        <is>
          <t>부강리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0.3025</v>
      </c>
      <c r="I127" s="5" t="n">
        <v>109.1</v>
      </c>
      <c r="J127" s="3" t="inlineStr">
        <is>
          <t>부강면</t>
        </is>
      </c>
    </row>
    <row r="128">
      <c r="A128" s="3" t="n">
        <v>2025</v>
      </c>
      <c r="B128" s="4" t="n">
        <v>2230</v>
      </c>
      <c r="C128" s="4" t="n">
        <v>68</v>
      </c>
      <c r="D128" s="3" t="inlineStr">
        <is>
          <t>부강면</t>
        </is>
      </c>
      <c r="E128" s="3" t="inlineStr">
        <is>
          <t>부강리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20.57</v>
      </c>
      <c r="I128" s="5" t="n">
        <v>108.4</v>
      </c>
      <c r="J128" s="3" t="inlineStr">
        <is>
          <t>부강면</t>
        </is>
      </c>
    </row>
    <row r="129">
      <c r="A129" s="3" t="n">
        <v>2025</v>
      </c>
      <c r="B129" s="4" t="n">
        <v>33</v>
      </c>
      <c r="C129" s="4" t="n">
        <v>1</v>
      </c>
      <c r="D129" s="3" t="inlineStr">
        <is>
          <t>부강면</t>
        </is>
      </c>
      <c r="E129" s="3" t="inlineStr">
        <is>
          <t>부강리</t>
        </is>
      </c>
      <c r="F129" s="3" t="inlineStr">
        <is>
          <t>제2종일반주거지역</t>
        </is>
      </c>
      <c r="G129" s="3" t="inlineStr">
        <is>
          <t>대</t>
        </is>
      </c>
      <c r="H129" s="4" t="n">
        <v>0.3025</v>
      </c>
      <c r="I129" s="5" t="n">
        <v>109.1</v>
      </c>
      <c r="J129" s="3" t="inlineStr">
        <is>
          <t>부강면</t>
        </is>
      </c>
    </row>
    <row r="130">
      <c r="A130" s="3" t="n">
        <v>2025</v>
      </c>
      <c r="B130" s="4" t="n">
        <v>33</v>
      </c>
      <c r="C130" s="4" t="n">
        <v>1</v>
      </c>
      <c r="D130" s="3" t="inlineStr">
        <is>
          <t>부강면</t>
        </is>
      </c>
      <c r="E130" s="3" t="inlineStr">
        <is>
          <t>부강리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109.1</v>
      </c>
      <c r="J130" s="3" t="inlineStr">
        <is>
          <t>부강면</t>
        </is>
      </c>
    </row>
    <row r="131">
      <c r="A131" s="3" t="n">
        <v>2025</v>
      </c>
      <c r="B131" s="4" t="n">
        <v>820</v>
      </c>
      <c r="C131" s="4" t="n">
        <v>25</v>
      </c>
      <c r="D131" s="3" t="inlineStr">
        <is>
          <t>부강면</t>
        </is>
      </c>
      <c r="E131" s="3" t="inlineStr">
        <is>
          <t>부강리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7.5625</v>
      </c>
      <c r="I131" s="5" t="n">
        <v>108.4</v>
      </c>
      <c r="J131" s="3" t="inlineStr">
        <is>
          <t>부강면</t>
        </is>
      </c>
    </row>
    <row r="132">
      <c r="A132" s="3" t="n">
        <v>2025</v>
      </c>
      <c r="B132" s="4" t="n">
        <v>33</v>
      </c>
      <c r="C132" s="4" t="n">
        <v>1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제2종일반주거지역</t>
        </is>
      </c>
      <c r="G132" s="3" t="inlineStr">
        <is>
          <t>대</t>
        </is>
      </c>
      <c r="H132" s="4" t="n">
        <v>0.3025</v>
      </c>
      <c r="I132" s="5" t="n">
        <v>109.1</v>
      </c>
      <c r="J132" s="3" t="inlineStr">
        <is>
          <t>부강면</t>
        </is>
      </c>
    </row>
    <row r="133">
      <c r="A133" s="3" t="n">
        <v>2025</v>
      </c>
      <c r="B133" s="4" t="n">
        <v>33</v>
      </c>
      <c r="C133" s="4" t="n">
        <v>1</v>
      </c>
      <c r="D133" s="3" t="inlineStr">
        <is>
          <t>부강면</t>
        </is>
      </c>
      <c r="E133" s="3" t="inlineStr">
        <is>
          <t>부강리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0.3025</v>
      </c>
      <c r="I133" s="5" t="n">
        <v>109.1</v>
      </c>
      <c r="J133" s="3" t="inlineStr">
        <is>
          <t>부강면</t>
        </is>
      </c>
    </row>
    <row r="134">
      <c r="A134" s="3" t="n">
        <v>2025</v>
      </c>
      <c r="B134" s="4" t="n">
        <v>33</v>
      </c>
      <c r="C134" s="4" t="n">
        <v>1</v>
      </c>
      <c r="D134" s="3" t="inlineStr">
        <is>
          <t>부강면</t>
        </is>
      </c>
      <c r="E134" s="3" t="inlineStr">
        <is>
          <t>부강리</t>
        </is>
      </c>
      <c r="F134" s="3" t="inlineStr">
        <is>
          <t>제2종일반주거지역</t>
        </is>
      </c>
      <c r="G134" s="3" t="inlineStr">
        <is>
          <t>대</t>
        </is>
      </c>
      <c r="H134" s="4" t="n">
        <v>0.3025</v>
      </c>
      <c r="I134" s="5" t="n">
        <v>109.1</v>
      </c>
      <c r="J134" s="3" t="inlineStr">
        <is>
          <t>부강면</t>
        </is>
      </c>
    </row>
    <row r="135">
      <c r="A135" s="3" t="n">
        <v>2025</v>
      </c>
      <c r="B135" s="4" t="n">
        <v>33</v>
      </c>
      <c r="C135" s="4" t="n">
        <v>1</v>
      </c>
      <c r="D135" s="3" t="inlineStr">
        <is>
          <t>부강면</t>
        </is>
      </c>
      <c r="E135" s="3" t="inlineStr">
        <is>
          <t>부강리</t>
        </is>
      </c>
      <c r="F135" s="3" t="inlineStr">
        <is>
          <t>제2종일반주거지역</t>
        </is>
      </c>
      <c r="G135" s="3" t="inlineStr">
        <is>
          <t>대</t>
        </is>
      </c>
      <c r="H135" s="4" t="n">
        <v>0.3025</v>
      </c>
      <c r="I135" s="5" t="n">
        <v>109.1</v>
      </c>
      <c r="J135" s="3" t="inlineStr">
        <is>
          <t>부강면</t>
        </is>
      </c>
    </row>
    <row r="136">
      <c r="A136" s="3" t="n">
        <v>2025</v>
      </c>
      <c r="B136" s="4" t="n">
        <v>33</v>
      </c>
      <c r="C136" s="4" t="n">
        <v>1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제2종일반주거지역</t>
        </is>
      </c>
      <c r="G136" s="3" t="inlineStr">
        <is>
          <t>대</t>
        </is>
      </c>
      <c r="H136" s="4" t="n">
        <v>0.3025</v>
      </c>
      <c r="I136" s="5" t="n">
        <v>109.1</v>
      </c>
      <c r="J136" s="3" t="inlineStr">
        <is>
          <t>부강면</t>
        </is>
      </c>
    </row>
    <row r="137">
      <c r="A137" s="3" t="n">
        <v>2025</v>
      </c>
      <c r="B137" s="4" t="n">
        <v>1902</v>
      </c>
      <c r="C137" s="4" t="n">
        <v>58</v>
      </c>
      <c r="D137" s="3" t="inlineStr">
        <is>
          <t>부강면</t>
        </is>
      </c>
      <c r="E137" s="3" t="inlineStr">
        <is>
          <t>부강리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17.545</v>
      </c>
      <c r="I137" s="5" t="n">
        <v>108.4</v>
      </c>
      <c r="J137" s="3" t="inlineStr">
        <is>
          <t>부강면</t>
        </is>
      </c>
    </row>
    <row r="138">
      <c r="A138" s="3" t="n">
        <v>2025</v>
      </c>
      <c r="B138" s="4" t="n">
        <v>33</v>
      </c>
      <c r="C138" s="4" t="n">
        <v>1</v>
      </c>
      <c r="D138" s="3" t="inlineStr">
        <is>
          <t>부강면</t>
        </is>
      </c>
      <c r="E138" s="3" t="inlineStr">
        <is>
          <t>부강리</t>
        </is>
      </c>
      <c r="F138" s="3" t="inlineStr">
        <is>
          <t>제2종일반주거지역</t>
        </is>
      </c>
      <c r="G138" s="3" t="inlineStr">
        <is>
          <t>대</t>
        </is>
      </c>
      <c r="H138" s="4" t="n">
        <v>0.3025</v>
      </c>
      <c r="I138" s="5" t="n">
        <v>109.1</v>
      </c>
      <c r="J138" s="3" t="inlineStr">
        <is>
          <t>부강면</t>
        </is>
      </c>
    </row>
    <row r="139">
      <c r="A139" s="3" t="n">
        <v>2025</v>
      </c>
      <c r="B139" s="4" t="n">
        <v>820</v>
      </c>
      <c r="C139" s="4" t="n">
        <v>25</v>
      </c>
      <c r="D139" s="3" t="inlineStr">
        <is>
          <t>부강면</t>
        </is>
      </c>
      <c r="E139" s="3" t="inlineStr">
        <is>
          <t>부강리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7.5625</v>
      </c>
      <c r="I139" s="5" t="n">
        <v>108.4</v>
      </c>
      <c r="J139" s="3" t="inlineStr">
        <is>
          <t>부강면</t>
        </is>
      </c>
    </row>
    <row r="140">
      <c r="A140" s="3" t="n">
        <v>2025</v>
      </c>
      <c r="B140" s="4" t="n">
        <v>25000</v>
      </c>
      <c r="C140" s="4" t="n">
        <v>1750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답</t>
        </is>
      </c>
      <c r="H140" s="4" t="n">
        <v>529.375</v>
      </c>
      <c r="I140" s="5" t="n">
        <v>47.2</v>
      </c>
      <c r="J140" s="3" t="inlineStr">
        <is>
          <t>부강면</t>
        </is>
      </c>
    </row>
    <row r="141">
      <c r="A141" s="3" t="n">
        <v>2024</v>
      </c>
      <c r="B141" s="4" t="n">
        <v>76500</v>
      </c>
      <c r="C141" s="4" t="n">
        <v>972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294.03</v>
      </c>
      <c r="I141" s="5" t="n">
        <v>260.2</v>
      </c>
      <c r="J141" s="3" t="inlineStr">
        <is>
          <t>연서면</t>
        </is>
      </c>
    </row>
    <row r="142">
      <c r="A142" s="3" t="n">
        <v>2024</v>
      </c>
      <c r="B142" s="4" t="n">
        <v>17000</v>
      </c>
      <c r="C142" s="4" t="n">
        <v>198</v>
      </c>
      <c r="D142" s="3" t="inlineStr">
        <is>
          <t>연서면</t>
        </is>
      </c>
      <c r="E142" s="3" t="inlineStr">
        <is>
          <t>월하리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59.895</v>
      </c>
      <c r="I142" s="5" t="n">
        <v>283.8</v>
      </c>
      <c r="J142" s="3" t="inlineStr">
        <is>
          <t>연서면</t>
        </is>
      </c>
    </row>
    <row r="143">
      <c r="A143" s="3" t="n">
        <v>2024</v>
      </c>
      <c r="B143" s="4" t="n">
        <v>7000</v>
      </c>
      <c r="C143" s="4" t="n">
        <v>129</v>
      </c>
      <c r="D143" s="3" t="inlineStr">
        <is>
          <t>연서면</t>
        </is>
      </c>
      <c r="E143" s="3" t="inlineStr">
        <is>
          <t>월하리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39.0225</v>
      </c>
      <c r="I143" s="5" t="n">
        <v>179.4</v>
      </c>
      <c r="J143" s="3" t="inlineStr">
        <is>
          <t>연서면</t>
        </is>
      </c>
    </row>
    <row r="144">
      <c r="A144" s="3" t="n">
        <v>2024</v>
      </c>
      <c r="B144" s="4" t="n">
        <v>60000</v>
      </c>
      <c r="C144" s="4" t="n">
        <v>2605</v>
      </c>
      <c r="D144" s="3" t="inlineStr">
        <is>
          <t>연서면</t>
        </is>
      </c>
      <c r="E144" s="3" t="inlineStr">
        <is>
          <t>신대리</t>
        </is>
      </c>
      <c r="F144" s="3" t="inlineStr">
        <is>
          <t>계획관리지역</t>
        </is>
      </c>
      <c r="G144" s="3" t="inlineStr">
        <is>
          <t>과수원</t>
        </is>
      </c>
      <c r="H144" s="4" t="n">
        <v>788.0124999999999</v>
      </c>
      <c r="I144" s="5" t="n">
        <v>76.09999999999999</v>
      </c>
      <c r="J144" s="3" t="inlineStr">
        <is>
          <t>연서면</t>
        </is>
      </c>
    </row>
    <row r="145">
      <c r="A145" s="3" t="n">
        <v>2024</v>
      </c>
      <c r="B145" s="4" t="n">
        <v>30000</v>
      </c>
      <c r="C145" s="4" t="n">
        <v>1010</v>
      </c>
      <c r="D145" s="3" t="inlineStr">
        <is>
          <t>연서면</t>
        </is>
      </c>
      <c r="E145" s="3" t="inlineStr">
        <is>
          <t>신대리</t>
        </is>
      </c>
      <c r="F145" s="3" t="inlineStr">
        <is>
          <t>생산관리지역</t>
        </is>
      </c>
      <c r="G145" s="3" t="inlineStr">
        <is>
          <t>답</t>
        </is>
      </c>
      <c r="H145" s="4" t="n">
        <v>305.525</v>
      </c>
      <c r="I145" s="5" t="n">
        <v>98.2</v>
      </c>
      <c r="J145" s="3" t="inlineStr">
        <is>
          <t>연서면</t>
        </is>
      </c>
    </row>
    <row r="146">
      <c r="A146" s="3" t="n">
        <v>2024</v>
      </c>
      <c r="B146" s="4" t="n">
        <v>30000</v>
      </c>
      <c r="C146" s="4" t="n">
        <v>1010</v>
      </c>
      <c r="D146" s="3" t="inlineStr">
        <is>
          <t>연서면</t>
        </is>
      </c>
      <c r="E146" s="3" t="inlineStr">
        <is>
          <t>신대리</t>
        </is>
      </c>
      <c r="F146" s="3" t="inlineStr">
        <is>
          <t>생산관리지역</t>
        </is>
      </c>
      <c r="G146" s="3" t="inlineStr">
        <is>
          <t>답</t>
        </is>
      </c>
      <c r="H146" s="4" t="n">
        <v>305.525</v>
      </c>
      <c r="I146" s="5" t="n">
        <v>98.2</v>
      </c>
      <c r="J146" s="3" t="inlineStr">
        <is>
          <t>연서면</t>
        </is>
      </c>
    </row>
    <row r="147">
      <c r="A147" s="3" t="n">
        <v>2024</v>
      </c>
      <c r="B147" s="4" t="n">
        <v>68780</v>
      </c>
      <c r="C147" s="4" t="n">
        <v>857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대</t>
        </is>
      </c>
      <c r="H147" s="4" t="n">
        <v>259.2425</v>
      </c>
      <c r="I147" s="5" t="n">
        <v>265.3</v>
      </c>
      <c r="J147" s="3" t="inlineStr">
        <is>
          <t>조치원읍</t>
        </is>
      </c>
    </row>
    <row r="148">
      <c r="A148" s="3" t="n">
        <v>2024</v>
      </c>
      <c r="B148" s="4" t="n">
        <v>186828</v>
      </c>
      <c r="C148" s="4" t="n">
        <v>2141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제2종일반주거지역</t>
        </is>
      </c>
      <c r="G148" s="3" t="inlineStr">
        <is>
          <t>답</t>
        </is>
      </c>
      <c r="H148" s="4" t="n">
        <v>647.6525</v>
      </c>
      <c r="I148" s="5" t="n">
        <v>288.5</v>
      </c>
      <c r="J148" s="3" t="inlineStr">
        <is>
          <t>조치원읍</t>
        </is>
      </c>
    </row>
    <row r="149">
      <c r="A149" s="3" t="n">
        <v>2024</v>
      </c>
      <c r="B149" s="4" t="n">
        <v>77646</v>
      </c>
      <c r="C149" s="4" t="n">
        <v>619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전</t>
        </is>
      </c>
      <c r="H149" s="4" t="n">
        <v>187.2475</v>
      </c>
      <c r="I149" s="5" t="n">
        <v>414.7</v>
      </c>
      <c r="J149" s="3" t="inlineStr">
        <is>
          <t>조치원읍</t>
        </is>
      </c>
    </row>
    <row r="150">
      <c r="A150" s="3" t="n">
        <v>2025</v>
      </c>
      <c r="B150" s="4" t="n">
        <v>5631</v>
      </c>
      <c r="C150" s="4" t="n">
        <v>374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전</t>
        </is>
      </c>
      <c r="H150" s="4" t="n">
        <v>113.135</v>
      </c>
      <c r="I150" s="5" t="n">
        <v>49.8</v>
      </c>
      <c r="J150" s="3" t="inlineStr">
        <is>
          <t>부강면</t>
        </is>
      </c>
    </row>
    <row r="151">
      <c r="A151" s="3" t="n">
        <v>2025</v>
      </c>
      <c r="B151" s="4" t="n">
        <v>4713</v>
      </c>
      <c r="C151" s="4" t="n">
        <v>313</v>
      </c>
      <c r="D151" s="3" t="inlineStr">
        <is>
          <t>부강면</t>
        </is>
      </c>
      <c r="E151" s="3" t="inlineStr">
        <is>
          <t>갈산리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94.68249999999999</v>
      </c>
      <c r="I151" s="5" t="n">
        <v>49.8</v>
      </c>
      <c r="J151" s="3" t="inlineStr">
        <is>
          <t>부강면</t>
        </is>
      </c>
    </row>
    <row r="152">
      <c r="A152" s="3" t="n">
        <v>2025</v>
      </c>
      <c r="B152" s="4" t="n">
        <v>1127</v>
      </c>
      <c r="C152" s="4" t="n">
        <v>326</v>
      </c>
      <c r="D152" s="3" t="inlineStr">
        <is>
          <t>부강면</t>
        </is>
      </c>
      <c r="E152" s="3" t="inlineStr">
        <is>
          <t>갈산리</t>
        </is>
      </c>
      <c r="F152" s="3" t="inlineStr">
        <is>
          <t>계획관리지역</t>
        </is>
      </c>
      <c r="G152" s="3" t="inlineStr">
        <is>
          <t>임야</t>
        </is>
      </c>
      <c r="H152" s="4" t="n">
        <v>98.61499999999999</v>
      </c>
      <c r="I152" s="5" t="n">
        <v>11.4</v>
      </c>
      <c r="J152" s="3" t="inlineStr">
        <is>
          <t>부강면</t>
        </is>
      </c>
    </row>
    <row r="153">
      <c r="A153" s="3" t="n">
        <v>2025</v>
      </c>
      <c r="B153" s="4" t="n">
        <v>5410</v>
      </c>
      <c r="C153" s="4" t="n">
        <v>1349</v>
      </c>
      <c r="D153" s="3" t="inlineStr">
        <is>
          <t>부강면</t>
        </is>
      </c>
      <c r="E153" s="3" t="inlineStr">
        <is>
          <t>갈산리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408.0725</v>
      </c>
      <c r="I153" s="5" t="n">
        <v>13.3</v>
      </c>
      <c r="J153" s="3" t="inlineStr">
        <is>
          <t>부강면</t>
        </is>
      </c>
    </row>
    <row r="154">
      <c r="A154" s="3" t="n">
        <v>2025</v>
      </c>
      <c r="B154" s="4" t="n">
        <v>120000</v>
      </c>
      <c r="C154" s="4" t="n">
        <v>1210</v>
      </c>
      <c r="D154" s="3" t="inlineStr">
        <is>
          <t>연서면</t>
        </is>
      </c>
      <c r="E154" s="3" t="inlineStr">
        <is>
          <t>봉암리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366.025</v>
      </c>
      <c r="I154" s="5" t="n">
        <v>327.8</v>
      </c>
      <c r="J154" s="3" t="inlineStr">
        <is>
          <t>연서면</t>
        </is>
      </c>
    </row>
    <row r="155">
      <c r="A155" s="3" t="n">
        <v>2025</v>
      </c>
      <c r="B155" s="4" t="n">
        <v>20000</v>
      </c>
      <c r="C155" s="4" t="n">
        <v>95</v>
      </c>
      <c r="D155" s="3" t="inlineStr">
        <is>
          <t>연서면</t>
        </is>
      </c>
      <c r="E155" s="3" t="inlineStr">
        <is>
          <t>봉암리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28.7375</v>
      </c>
      <c r="I155" s="5" t="n">
        <v>696</v>
      </c>
      <c r="J155" s="3" t="inlineStr">
        <is>
          <t>연서면</t>
        </is>
      </c>
    </row>
    <row r="156">
      <c r="A156" s="3" t="n">
        <v>2023</v>
      </c>
      <c r="B156" s="4" t="n">
        <v>17822</v>
      </c>
      <c r="C156" s="4" t="n">
        <v>491</v>
      </c>
      <c r="D156" s="3" t="inlineStr">
        <is>
          <t>연서면</t>
        </is>
      </c>
      <c r="E156" s="3" t="inlineStr">
        <is>
          <t>쌍류리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148.5275</v>
      </c>
      <c r="I156" s="5" t="n">
        <v>120</v>
      </c>
      <c r="J156" s="3" t="inlineStr">
        <is>
          <t>연서면</t>
        </is>
      </c>
    </row>
    <row r="157">
      <c r="A157" s="3" t="n">
        <v>2023</v>
      </c>
      <c r="B157" s="4" t="n">
        <v>10000</v>
      </c>
      <c r="C157" s="4" t="n">
        <v>1288</v>
      </c>
      <c r="D157" s="3" t="inlineStr">
        <is>
          <t>부강면</t>
        </is>
      </c>
      <c r="E157" s="3" t="inlineStr">
        <is>
          <t>금호리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389.62</v>
      </c>
      <c r="I157" s="5" t="n">
        <v>25.7</v>
      </c>
      <c r="J157" s="3" t="inlineStr">
        <is>
          <t>부강면</t>
        </is>
      </c>
    </row>
    <row r="158">
      <c r="A158" s="3" t="n">
        <v>2023</v>
      </c>
      <c r="B158" s="4" t="n">
        <v>230</v>
      </c>
      <c r="C158" s="4" t="n">
        <v>11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계획관리지역</t>
        </is>
      </c>
      <c r="G158" s="3" t="inlineStr">
        <is>
          <t>대</t>
        </is>
      </c>
      <c r="H158" s="4" t="n">
        <v>3.3275</v>
      </c>
      <c r="I158" s="5" t="n">
        <v>69.09999999999999</v>
      </c>
      <c r="J158" s="3" t="inlineStr">
        <is>
          <t>연서면</t>
        </is>
      </c>
    </row>
    <row r="159">
      <c r="A159" s="3" t="n">
        <v>2023</v>
      </c>
      <c r="B159" s="4" t="n">
        <v>68000</v>
      </c>
      <c r="C159" s="4" t="n">
        <v>370.5</v>
      </c>
      <c r="D159" s="3" t="inlineStr">
        <is>
          <t>반곡동</t>
        </is>
      </c>
      <c r="E159" s="3" t="inlineStr"/>
      <c r="F159" s="3" t="inlineStr">
        <is>
          <t>제1종전용주거지역</t>
        </is>
      </c>
      <c r="G159" s="3" t="inlineStr">
        <is>
          <t>대</t>
        </is>
      </c>
      <c r="H159" s="4" t="n">
        <v>112.07625</v>
      </c>
      <c r="I159" s="5" t="n">
        <v>606.7</v>
      </c>
      <c r="J159" s="3" t="inlineStr">
        <is>
          <t>반곡동</t>
        </is>
      </c>
    </row>
    <row r="160">
      <c r="A160" s="3" t="n">
        <v>2023</v>
      </c>
      <c r="B160" s="4" t="n">
        <v>11076</v>
      </c>
      <c r="C160" s="4" t="n">
        <v>410</v>
      </c>
      <c r="D160" s="3" t="inlineStr">
        <is>
          <t>연서면</t>
        </is>
      </c>
      <c r="E160" s="3" t="inlineStr">
        <is>
          <t>성제리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124.025</v>
      </c>
      <c r="I160" s="5" t="n">
        <v>89.3</v>
      </c>
      <c r="J160" s="3" t="inlineStr">
        <is>
          <t>연서면</t>
        </is>
      </c>
    </row>
    <row r="161">
      <c r="A161" s="3" t="n">
        <v>2023</v>
      </c>
      <c r="B161" s="4" t="n">
        <v>16534</v>
      </c>
      <c r="C161" s="4" t="n">
        <v>612</v>
      </c>
      <c r="D161" s="3" t="inlineStr">
        <is>
          <t>연서면</t>
        </is>
      </c>
      <c r="E161" s="3" t="inlineStr">
        <is>
          <t>성제리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185.13</v>
      </c>
      <c r="I161" s="5" t="n">
        <v>89.3</v>
      </c>
      <c r="J161" s="3" t="inlineStr">
        <is>
          <t>연서면</t>
        </is>
      </c>
    </row>
    <row r="162">
      <c r="A162" s="3" t="n">
        <v>2023</v>
      </c>
      <c r="B162" s="4" t="n">
        <v>29744</v>
      </c>
      <c r="C162" s="4" t="n">
        <v>1101</v>
      </c>
      <c r="D162" s="3" t="inlineStr">
        <is>
          <t>연서면</t>
        </is>
      </c>
      <c r="E162" s="3" t="inlineStr">
        <is>
          <t>성제리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333.0525</v>
      </c>
      <c r="I162" s="5" t="n">
        <v>89.3</v>
      </c>
      <c r="J162" s="3" t="inlineStr">
        <is>
          <t>연서면</t>
        </is>
      </c>
    </row>
    <row r="163">
      <c r="A163" s="3" t="n">
        <v>2023</v>
      </c>
      <c r="B163" s="4" t="n">
        <v>8487</v>
      </c>
      <c r="C163" s="4" t="n">
        <v>314</v>
      </c>
      <c r="D163" s="3" t="inlineStr">
        <is>
          <t>연서면</t>
        </is>
      </c>
      <c r="E163" s="3" t="inlineStr">
        <is>
          <t>성제리</t>
        </is>
      </c>
      <c r="F163" s="3" t="inlineStr">
        <is>
          <t>자연녹지지역</t>
        </is>
      </c>
      <c r="G163" s="3" t="inlineStr">
        <is>
          <t>전</t>
        </is>
      </c>
      <c r="H163" s="4" t="n">
        <v>94.985</v>
      </c>
      <c r="I163" s="5" t="n">
        <v>89.40000000000001</v>
      </c>
      <c r="J163" s="3" t="inlineStr">
        <is>
          <t>연서면</t>
        </is>
      </c>
    </row>
    <row r="164">
      <c r="A164" s="3" t="n">
        <v>2022</v>
      </c>
      <c r="B164" s="4" t="n">
        <v>5720</v>
      </c>
      <c r="C164" s="4" t="n">
        <v>147</v>
      </c>
      <c r="D164" s="3" t="inlineStr">
        <is>
          <t>연서면</t>
        </is>
      </c>
      <c r="E164" s="3" t="inlineStr">
        <is>
          <t>신대리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44.4675</v>
      </c>
      <c r="I164" s="5" t="n">
        <v>128.6</v>
      </c>
      <c r="J164" s="3" t="inlineStr">
        <is>
          <t>연서면</t>
        </is>
      </c>
    </row>
    <row r="165">
      <c r="A165" s="3" t="n">
        <v>2022</v>
      </c>
      <c r="B165" s="4" t="n">
        <v>164476</v>
      </c>
      <c r="C165" s="4" t="n">
        <v>10456</v>
      </c>
      <c r="D165" s="3" t="inlineStr">
        <is>
          <t>연동면</t>
        </is>
      </c>
      <c r="E165" s="3" t="inlineStr">
        <is>
          <t>응암리</t>
        </is>
      </c>
      <c r="F165" s="3" t="inlineStr">
        <is>
          <t>계획관리지역</t>
        </is>
      </c>
      <c r="G165" s="3" t="inlineStr">
        <is>
          <t>임야</t>
        </is>
      </c>
      <c r="H165" s="4" t="n">
        <v>3162.94</v>
      </c>
      <c r="I165" s="5" t="n">
        <v>52</v>
      </c>
      <c r="J165" s="3" t="inlineStr">
        <is>
          <t>연동면</t>
        </is>
      </c>
    </row>
    <row r="166">
      <c r="A166" s="3" t="n">
        <v>2022</v>
      </c>
      <c r="B166" s="4" t="n">
        <v>20700</v>
      </c>
      <c r="C166" s="4" t="n">
        <v>761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보전관리지역</t>
        </is>
      </c>
      <c r="G166" s="3" t="inlineStr">
        <is>
          <t>전</t>
        </is>
      </c>
      <c r="H166" s="4" t="n">
        <v>230.2025</v>
      </c>
      <c r="I166" s="5" t="n">
        <v>89.90000000000001</v>
      </c>
      <c r="J166" s="3" t="inlineStr">
        <is>
          <t>연서면</t>
        </is>
      </c>
    </row>
    <row r="167">
      <c r="A167" s="3" t="n">
        <v>2022</v>
      </c>
      <c r="B167" s="4" t="n">
        <v>44220</v>
      </c>
      <c r="C167" s="4" t="n">
        <v>442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133.705</v>
      </c>
      <c r="I167" s="5" t="n">
        <v>330.7</v>
      </c>
      <c r="J167" s="3" t="inlineStr">
        <is>
          <t>연서면</t>
        </is>
      </c>
    </row>
    <row r="168">
      <c r="A168" s="3" t="n">
        <v>2022</v>
      </c>
      <c r="B168" s="4" t="n">
        <v>1260</v>
      </c>
      <c r="C168" s="4" t="n">
        <v>21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전</t>
        </is>
      </c>
      <c r="H168" s="4" t="n">
        <v>6.3525</v>
      </c>
      <c r="I168" s="5" t="n">
        <v>198.3</v>
      </c>
      <c r="J168" s="3" t="inlineStr">
        <is>
          <t>부강면</t>
        </is>
      </c>
    </row>
    <row r="169">
      <c r="A169" s="3" t="n">
        <v>2023</v>
      </c>
      <c r="B169" s="4" t="n">
        <v>99845</v>
      </c>
      <c r="C169" s="4" t="n">
        <v>3669</v>
      </c>
      <c r="D169" s="3" t="inlineStr">
        <is>
          <t>연서면</t>
        </is>
      </c>
      <c r="E169" s="3" t="inlineStr">
        <is>
          <t>성제리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1109.8725</v>
      </c>
      <c r="I169" s="5" t="n">
        <v>90</v>
      </c>
      <c r="J169" s="3" t="inlineStr">
        <is>
          <t>연서면</t>
        </is>
      </c>
    </row>
    <row r="170">
      <c r="A170" s="3" t="n">
        <v>2023</v>
      </c>
      <c r="B170" s="4" t="n">
        <v>56685</v>
      </c>
      <c r="C170" s="4" t="n">
        <v>2083</v>
      </c>
      <c r="D170" s="3" t="inlineStr">
        <is>
          <t>연서면</t>
        </is>
      </c>
      <c r="E170" s="3" t="inlineStr">
        <is>
          <t>성제리</t>
        </is>
      </c>
      <c r="F170" s="3" t="inlineStr">
        <is>
          <t>자연녹지지역</t>
        </is>
      </c>
      <c r="G170" s="3" t="inlineStr">
        <is>
          <t>임야</t>
        </is>
      </c>
      <c r="H170" s="4" t="n">
        <v>630.1075</v>
      </c>
      <c r="I170" s="5" t="n">
        <v>90</v>
      </c>
      <c r="J170" s="3" t="inlineStr">
        <is>
          <t>연서면</t>
        </is>
      </c>
    </row>
    <row r="171">
      <c r="A171" s="3" t="n">
        <v>2023</v>
      </c>
      <c r="B171" s="4" t="n">
        <v>33463</v>
      </c>
      <c r="C171" s="4" t="n">
        <v>1230</v>
      </c>
      <c r="D171" s="3" t="inlineStr">
        <is>
          <t>연서면</t>
        </is>
      </c>
      <c r="E171" s="3" t="inlineStr">
        <is>
          <t>성제리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372.075</v>
      </c>
      <c r="I171" s="5" t="n">
        <v>89.90000000000001</v>
      </c>
      <c r="J171" s="3" t="inlineStr">
        <is>
          <t>연서면</t>
        </is>
      </c>
    </row>
    <row r="172">
      <c r="A172" s="3" t="n">
        <v>2023</v>
      </c>
      <c r="B172" s="4" t="n">
        <v>34007</v>
      </c>
      <c r="C172" s="4" t="n">
        <v>1250</v>
      </c>
      <c r="D172" s="3" t="inlineStr">
        <is>
          <t>연서면</t>
        </is>
      </c>
      <c r="E172" s="3" t="inlineStr">
        <is>
          <t>성제리</t>
        </is>
      </c>
      <c r="F172" s="3" t="inlineStr">
        <is>
          <t>자연녹지지역</t>
        </is>
      </c>
      <c r="G172" s="3" t="inlineStr">
        <is>
          <t>전</t>
        </is>
      </c>
      <c r="H172" s="4" t="n">
        <v>378.125</v>
      </c>
      <c r="I172" s="5" t="n">
        <v>89.90000000000001</v>
      </c>
      <c r="J172" s="3" t="inlineStr">
        <is>
          <t>연서면</t>
        </is>
      </c>
    </row>
    <row r="173">
      <c r="A173" s="3" t="n">
        <v>2023</v>
      </c>
      <c r="B173" s="4" t="n">
        <v>68000</v>
      </c>
      <c r="C173" s="4" t="n">
        <v>370.5</v>
      </c>
      <c r="D173" s="3" t="inlineStr">
        <is>
          <t>반곡동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112.07625</v>
      </c>
      <c r="I173" s="5" t="n">
        <v>606.7</v>
      </c>
      <c r="J173" s="3" t="inlineStr">
        <is>
          <t>반곡동</t>
        </is>
      </c>
    </row>
    <row r="174">
      <c r="A174" s="3" t="n">
        <v>2023</v>
      </c>
      <c r="B174" s="4" t="n">
        <v>36000</v>
      </c>
      <c r="C174" s="4" t="n">
        <v>364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110.11</v>
      </c>
      <c r="I174" s="5" t="n">
        <v>326.9</v>
      </c>
      <c r="J174" s="3" t="inlineStr">
        <is>
          <t>연동면</t>
        </is>
      </c>
    </row>
    <row r="175">
      <c r="A175" s="3" t="n">
        <v>2022</v>
      </c>
      <c r="B175" s="4" t="n">
        <v>18000</v>
      </c>
      <c r="C175" s="4" t="n">
        <v>472</v>
      </c>
      <c r="D175" s="3" t="inlineStr">
        <is>
          <t>부강면</t>
        </is>
      </c>
      <c r="E175" s="3" t="inlineStr">
        <is>
          <t>금호리</t>
        </is>
      </c>
      <c r="F175" s="3" t="inlineStr">
        <is>
          <t>계획관리지역</t>
        </is>
      </c>
      <c r="G175" s="3" t="inlineStr">
        <is>
          <t>답</t>
        </is>
      </c>
      <c r="H175" s="4" t="n">
        <v>142.78</v>
      </c>
      <c r="I175" s="5" t="n">
        <v>126.1</v>
      </c>
      <c r="J175" s="3" t="inlineStr">
        <is>
          <t>부강면</t>
        </is>
      </c>
    </row>
    <row r="176">
      <c r="A176" s="3" t="n">
        <v>2022</v>
      </c>
      <c r="B176" s="4" t="n">
        <v>18500</v>
      </c>
      <c r="C176" s="4" t="n">
        <v>480</v>
      </c>
      <c r="D176" s="3" t="inlineStr">
        <is>
          <t>부강면</t>
        </is>
      </c>
      <c r="E176" s="3" t="inlineStr">
        <is>
          <t>금호리</t>
        </is>
      </c>
      <c r="F176" s="3" t="inlineStr">
        <is>
          <t>계획관리지역</t>
        </is>
      </c>
      <c r="G176" s="3" t="inlineStr">
        <is>
          <t>답</t>
        </is>
      </c>
      <c r="H176" s="4" t="n">
        <v>145.2</v>
      </c>
      <c r="I176" s="5" t="n">
        <v>127.4</v>
      </c>
      <c r="J176" s="3" t="inlineStr">
        <is>
          <t>부강면</t>
        </is>
      </c>
    </row>
    <row r="177">
      <c r="A177" s="3" t="n">
        <v>2022</v>
      </c>
      <c r="B177" s="4" t="n">
        <v>1820</v>
      </c>
      <c r="C177" s="4" t="n">
        <v>301</v>
      </c>
      <c r="D177" s="3" t="inlineStr">
        <is>
          <t>부강면</t>
        </is>
      </c>
      <c r="E177" s="3" t="inlineStr">
        <is>
          <t>등곡리</t>
        </is>
      </c>
      <c r="F177" s="3" t="inlineStr">
        <is>
          <t>계획관리지역</t>
        </is>
      </c>
      <c r="G177" s="3" t="inlineStr">
        <is>
          <t>도로</t>
        </is>
      </c>
      <c r="H177" s="4" t="n">
        <v>91.05249999999999</v>
      </c>
      <c r="I177" s="5" t="n">
        <v>20</v>
      </c>
      <c r="J177" s="3" t="inlineStr">
        <is>
          <t>부강면</t>
        </is>
      </c>
    </row>
    <row r="178">
      <c r="A178" s="3" t="n">
        <v>2022</v>
      </c>
      <c r="B178" s="4" t="n">
        <v>12305</v>
      </c>
      <c r="C178" s="4" t="n">
        <v>354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농림지역</t>
        </is>
      </c>
      <c r="G178" s="3" t="inlineStr">
        <is>
          <t>답</t>
        </is>
      </c>
      <c r="H178" s="4" t="n">
        <v>107.085</v>
      </c>
      <c r="I178" s="5" t="n">
        <v>114.9</v>
      </c>
      <c r="J178" s="3" t="inlineStr">
        <is>
          <t>연서면</t>
        </is>
      </c>
    </row>
    <row r="179">
      <c r="A179" s="3" t="n">
        <v>2022</v>
      </c>
      <c r="B179" s="4" t="n">
        <v>37490</v>
      </c>
      <c r="C179" s="4" t="n">
        <v>1077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농림지역</t>
        </is>
      </c>
      <c r="G179" s="3" t="inlineStr">
        <is>
          <t>답</t>
        </is>
      </c>
      <c r="H179" s="4" t="n">
        <v>325.7925</v>
      </c>
      <c r="I179" s="5" t="n">
        <v>115.1</v>
      </c>
      <c r="J179" s="3" t="inlineStr">
        <is>
          <t>연서면</t>
        </is>
      </c>
    </row>
    <row r="180">
      <c r="A180" s="3" t="n">
        <v>2022</v>
      </c>
      <c r="B180" s="4" t="n">
        <v>51290</v>
      </c>
      <c r="C180" s="4" t="n">
        <v>1476</v>
      </c>
      <c r="D180" s="3" t="inlineStr">
        <is>
          <t>연서면</t>
        </is>
      </c>
      <c r="E180" s="3" t="inlineStr">
        <is>
          <t>고복리</t>
        </is>
      </c>
      <c r="F180" s="3" t="inlineStr">
        <is>
          <t>농림지역</t>
        </is>
      </c>
      <c r="G180" s="3" t="inlineStr">
        <is>
          <t>답</t>
        </is>
      </c>
      <c r="H180" s="4" t="n">
        <v>446.49</v>
      </c>
      <c r="I180" s="5" t="n">
        <v>114.9</v>
      </c>
      <c r="J180" s="3" t="inlineStr">
        <is>
          <t>연서면</t>
        </is>
      </c>
    </row>
    <row r="181">
      <c r="A181" s="3" t="n">
        <v>2022</v>
      </c>
      <c r="B181" s="4" t="n">
        <v>1752</v>
      </c>
      <c r="C181" s="4" t="n">
        <v>91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27.5275</v>
      </c>
      <c r="I181" s="5" t="n">
        <v>63.6</v>
      </c>
      <c r="J181" s="3" t="inlineStr">
        <is>
          <t>연동면</t>
        </is>
      </c>
    </row>
    <row r="182">
      <c r="A182" s="3" t="n">
        <v>2022</v>
      </c>
      <c r="B182" s="4" t="n">
        <v>14577</v>
      </c>
      <c r="C182" s="4" t="n">
        <v>256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77.44</v>
      </c>
      <c r="I182" s="5" t="n">
        <v>188.2</v>
      </c>
      <c r="J182" s="3" t="inlineStr">
        <is>
          <t>연동면</t>
        </is>
      </c>
    </row>
    <row r="183">
      <c r="A183" s="3" t="n">
        <v>2022</v>
      </c>
      <c r="B183" s="4" t="n">
        <v>900</v>
      </c>
      <c r="C183" s="4" t="n">
        <v>258</v>
      </c>
      <c r="D183" s="3" t="inlineStr">
        <is>
          <t>연서면</t>
        </is>
      </c>
      <c r="E183" s="3" t="inlineStr">
        <is>
          <t>쌍류리</t>
        </is>
      </c>
      <c r="F183" s="3" t="inlineStr">
        <is>
          <t>보전관리지역</t>
        </is>
      </c>
      <c r="G183" s="3" t="inlineStr">
        <is>
          <t>답</t>
        </is>
      </c>
      <c r="H183" s="4" t="n">
        <v>78.045</v>
      </c>
      <c r="I183" s="5" t="n">
        <v>11.5</v>
      </c>
      <c r="J183" s="3" t="inlineStr">
        <is>
          <t>연서면</t>
        </is>
      </c>
    </row>
    <row r="184">
      <c r="A184" s="3" t="n">
        <v>2022</v>
      </c>
      <c r="B184" s="4" t="n">
        <v>92000</v>
      </c>
      <c r="C184" s="4" t="n">
        <v>922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보전관리지역</t>
        </is>
      </c>
      <c r="G184" s="3" t="inlineStr">
        <is>
          <t>답</t>
        </is>
      </c>
      <c r="H184" s="4" t="n">
        <v>278.905</v>
      </c>
      <c r="I184" s="5" t="n">
        <v>329.9</v>
      </c>
      <c r="J184" s="3" t="inlineStr">
        <is>
          <t>연서면</t>
        </is>
      </c>
    </row>
    <row r="185">
      <c r="A185" s="3" t="n">
        <v>2022</v>
      </c>
      <c r="B185" s="4" t="n">
        <v>10164</v>
      </c>
      <c r="C185" s="4" t="n">
        <v>84</v>
      </c>
      <c r="D185" s="3" t="inlineStr">
        <is>
          <t>조치원읍</t>
        </is>
      </c>
      <c r="E185" s="3" t="inlineStr">
        <is>
          <t>침산리</t>
        </is>
      </c>
      <c r="F185" s="3" t="inlineStr">
        <is>
          <t>제1종일반주거지역</t>
        </is>
      </c>
      <c r="G185" s="3" t="inlineStr">
        <is>
          <t>답</t>
        </is>
      </c>
      <c r="H185" s="4" t="n">
        <v>25.41</v>
      </c>
      <c r="I185" s="5" t="n">
        <v>400</v>
      </c>
      <c r="J185" s="3" t="inlineStr">
        <is>
          <t>조치원읍</t>
        </is>
      </c>
    </row>
    <row r="186">
      <c r="A186" s="3" t="n">
        <v>2022</v>
      </c>
      <c r="B186" s="4" t="n">
        <v>23900</v>
      </c>
      <c r="C186" s="4" t="n">
        <v>231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묘지</t>
        </is>
      </c>
      <c r="H186" s="4" t="n">
        <v>69.8775</v>
      </c>
      <c r="I186" s="5" t="n">
        <v>342</v>
      </c>
      <c r="J186" s="3" t="inlineStr">
        <is>
          <t>연서면</t>
        </is>
      </c>
    </row>
    <row r="187">
      <c r="A187" s="3" t="n">
        <v>2022</v>
      </c>
      <c r="B187" s="4" t="n">
        <v>9100</v>
      </c>
      <c r="C187" s="4" t="n">
        <v>2757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833.9924999999999</v>
      </c>
      <c r="I187" s="5" t="n">
        <v>10.9</v>
      </c>
      <c r="J187" s="3" t="inlineStr">
        <is>
          <t>부강면</t>
        </is>
      </c>
    </row>
    <row r="188">
      <c r="A188" s="3" t="n">
        <v>2022</v>
      </c>
      <c r="B188" s="4" t="n">
        <v>45200</v>
      </c>
      <c r="C188" s="4" t="n">
        <v>1361</v>
      </c>
      <c r="D188" s="3" t="inlineStr">
        <is>
          <t>부강면</t>
        </is>
      </c>
      <c r="E188" s="3" t="inlineStr">
        <is>
          <t>문곡리</t>
        </is>
      </c>
      <c r="F188" s="3" t="inlineStr">
        <is>
          <t>계획관리지역</t>
        </is>
      </c>
      <c r="G188" s="3" t="inlineStr">
        <is>
          <t>공장용지</t>
        </is>
      </c>
      <c r="H188" s="4" t="n">
        <v>411.7025</v>
      </c>
      <c r="I188" s="5" t="n">
        <v>109.8</v>
      </c>
      <c r="J188" s="3" t="inlineStr">
        <is>
          <t>부강면</t>
        </is>
      </c>
    </row>
    <row r="189">
      <c r="A189" s="3" t="n">
        <v>2022</v>
      </c>
      <c r="B189" s="4" t="n">
        <v>19100</v>
      </c>
      <c r="C189" s="4" t="n">
        <v>800</v>
      </c>
      <c r="D189" s="3" t="inlineStr">
        <is>
          <t>부강면</t>
        </is>
      </c>
      <c r="E189" s="3" t="inlineStr">
        <is>
          <t>문곡리</t>
        </is>
      </c>
      <c r="F189" s="3" t="inlineStr">
        <is>
          <t>생산관리지역</t>
        </is>
      </c>
      <c r="G189" s="3" t="inlineStr">
        <is>
          <t>공장용지</t>
        </is>
      </c>
      <c r="H189" s="4" t="n">
        <v>242</v>
      </c>
      <c r="I189" s="5" t="n">
        <v>78.90000000000001</v>
      </c>
      <c r="J189" s="3" t="inlineStr">
        <is>
          <t>부강면</t>
        </is>
      </c>
    </row>
    <row r="190">
      <c r="A190" s="3" t="n">
        <v>2022</v>
      </c>
      <c r="B190" s="4" t="n">
        <v>124816</v>
      </c>
      <c r="C190" s="4" t="n">
        <v>538</v>
      </c>
      <c r="D190" s="3" t="inlineStr">
        <is>
          <t>부강면</t>
        </is>
      </c>
      <c r="E190" s="3" t="inlineStr">
        <is>
          <t>부강리</t>
        </is>
      </c>
      <c r="F190" s="3" t="inlineStr">
        <is>
          <t>일반상업지역</t>
        </is>
      </c>
      <c r="G190" s="3" t="inlineStr">
        <is>
          <t>답</t>
        </is>
      </c>
      <c r="H190" s="4" t="n">
        <v>162.745</v>
      </c>
      <c r="I190" s="5" t="n">
        <v>766.9</v>
      </c>
      <c r="J190" s="3" t="inlineStr">
        <is>
          <t>부강면</t>
        </is>
      </c>
    </row>
    <row r="191">
      <c r="A191" s="3" t="n">
        <v>2022</v>
      </c>
      <c r="B191" s="4" t="n">
        <v>51600</v>
      </c>
      <c r="C191" s="4" t="n">
        <v>1708</v>
      </c>
      <c r="D191" s="3" t="inlineStr">
        <is>
          <t>연서면</t>
        </is>
      </c>
      <c r="E191" s="3" t="inlineStr">
        <is>
          <t>고복리</t>
        </is>
      </c>
      <c r="F191" s="3" t="inlineStr">
        <is>
          <t>농림지역</t>
        </is>
      </c>
      <c r="G191" s="3" t="inlineStr">
        <is>
          <t>답</t>
        </is>
      </c>
      <c r="H191" s="4" t="n">
        <v>516.67</v>
      </c>
      <c r="I191" s="5" t="n">
        <v>99.90000000000001</v>
      </c>
      <c r="J191" s="3" t="inlineStr">
        <is>
          <t>연서면</t>
        </is>
      </c>
    </row>
    <row r="192">
      <c r="A192" s="3" t="n">
        <v>2022</v>
      </c>
      <c r="B192" s="4" t="n">
        <v>97000</v>
      </c>
      <c r="C192" s="4" t="n">
        <v>2871</v>
      </c>
      <c r="D192" s="3" t="inlineStr">
        <is>
          <t>연서면</t>
        </is>
      </c>
      <c r="E192" s="3" t="inlineStr">
        <is>
          <t>국촌리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868.4775</v>
      </c>
      <c r="I192" s="5" t="n">
        <v>111.7</v>
      </c>
      <c r="J192" s="3" t="inlineStr">
        <is>
          <t>연서면</t>
        </is>
      </c>
    </row>
    <row r="193">
      <c r="A193" s="3" t="n">
        <v>2022</v>
      </c>
      <c r="B193" s="4" t="n">
        <v>48600</v>
      </c>
      <c r="C193" s="4" t="n">
        <v>1785</v>
      </c>
      <c r="D193" s="3" t="inlineStr">
        <is>
          <t>연서면</t>
        </is>
      </c>
      <c r="E193" s="3" t="inlineStr">
        <is>
          <t>쌍류리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539.9625</v>
      </c>
      <c r="I193" s="5" t="n">
        <v>90</v>
      </c>
      <c r="J193" s="3" t="inlineStr">
        <is>
          <t>연서면</t>
        </is>
      </c>
    </row>
    <row r="194">
      <c r="A194" s="3" t="n">
        <v>2022</v>
      </c>
      <c r="B194" s="4" t="n">
        <v>3940</v>
      </c>
      <c r="C194" s="4" t="n">
        <v>223</v>
      </c>
      <c r="D194" s="3" t="inlineStr">
        <is>
          <t>연서면</t>
        </is>
      </c>
      <c r="E194" s="3" t="inlineStr">
        <is>
          <t>쌍류리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67.4575</v>
      </c>
      <c r="I194" s="5" t="n">
        <v>58.4</v>
      </c>
      <c r="J194" s="3" t="inlineStr">
        <is>
          <t>연서면</t>
        </is>
      </c>
    </row>
    <row r="195">
      <c r="A195" s="3" t="n">
        <v>2022</v>
      </c>
      <c r="B195" s="4" t="n">
        <v>34560</v>
      </c>
      <c r="C195" s="4" t="n">
        <v>1428</v>
      </c>
      <c r="D195" s="3" t="inlineStr">
        <is>
          <t>연서면</t>
        </is>
      </c>
      <c r="E195" s="3" t="inlineStr">
        <is>
          <t>쌍류리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431.97</v>
      </c>
      <c r="I195" s="5" t="n">
        <v>80</v>
      </c>
      <c r="J195" s="3" t="inlineStr">
        <is>
          <t>연서면</t>
        </is>
      </c>
    </row>
    <row r="196">
      <c r="A196" s="3" t="n">
        <v>2022</v>
      </c>
      <c r="B196" s="4" t="n">
        <v>569799</v>
      </c>
      <c r="C196" s="4" t="n">
        <v>9969</v>
      </c>
      <c r="D196" s="3" t="inlineStr">
        <is>
          <t>연서면</t>
        </is>
      </c>
      <c r="E196" s="3" t="inlineStr">
        <is>
          <t>월하리</t>
        </is>
      </c>
      <c r="F196" s="3" t="inlineStr">
        <is>
          <t>보전녹지지역</t>
        </is>
      </c>
      <c r="G196" s="3" t="inlineStr">
        <is>
          <t>과수원</t>
        </is>
      </c>
      <c r="H196" s="4" t="n">
        <v>3015.6225</v>
      </c>
      <c r="I196" s="5" t="n">
        <v>188.9</v>
      </c>
      <c r="J196" s="3" t="inlineStr">
        <is>
          <t>연서면</t>
        </is>
      </c>
    </row>
    <row r="197">
      <c r="A197" s="3" t="n">
        <v>2022</v>
      </c>
      <c r="B197" s="4" t="n">
        <v>75000</v>
      </c>
      <c r="C197" s="4" t="n">
        <v>849</v>
      </c>
      <c r="D197" s="3" t="inlineStr">
        <is>
          <t>연서면</t>
        </is>
      </c>
      <c r="E197" s="3" t="inlineStr">
        <is>
          <t>월하리</t>
        </is>
      </c>
      <c r="F197" s="3" t="inlineStr">
        <is>
          <t>보전녹지지역</t>
        </is>
      </c>
      <c r="G197" s="3" t="inlineStr">
        <is>
          <t>과수원</t>
        </is>
      </c>
      <c r="H197" s="4" t="n">
        <v>256.8225</v>
      </c>
      <c r="I197" s="5" t="n">
        <v>292</v>
      </c>
      <c r="J197" s="3" t="inlineStr">
        <is>
          <t>연서면</t>
        </is>
      </c>
    </row>
    <row r="198">
      <c r="A198" s="3" t="n">
        <v>2022</v>
      </c>
      <c r="B198" s="4" t="n">
        <v>33278</v>
      </c>
      <c r="C198" s="4" t="n">
        <v>179</v>
      </c>
      <c r="D198" s="3" t="inlineStr">
        <is>
          <t>연서면</t>
        </is>
      </c>
      <c r="E198" s="3" t="inlineStr">
        <is>
          <t>월하리</t>
        </is>
      </c>
      <c r="F198" s="3" t="inlineStr">
        <is>
          <t>제2종일반주거지역</t>
        </is>
      </c>
      <c r="G198" s="3" t="inlineStr">
        <is>
          <t>과수원</t>
        </is>
      </c>
      <c r="H198" s="4" t="n">
        <v>54.1475</v>
      </c>
      <c r="I198" s="5" t="n">
        <v>614.6</v>
      </c>
      <c r="J198" s="3" t="inlineStr">
        <is>
          <t>연서면</t>
        </is>
      </c>
    </row>
    <row r="199">
      <c r="A199" s="3" t="n">
        <v>2022</v>
      </c>
      <c r="B199" s="4" t="n">
        <v>97642</v>
      </c>
      <c r="C199" s="4" t="n">
        <v>1086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제2종일반주거지역</t>
        </is>
      </c>
      <c r="G199" s="3" t="inlineStr">
        <is>
          <t>과수원</t>
        </is>
      </c>
      <c r="H199" s="4" t="n">
        <v>328.515</v>
      </c>
      <c r="I199" s="5" t="n">
        <v>297.2</v>
      </c>
      <c r="J199" s="3" t="inlineStr">
        <is>
          <t>연서면</t>
        </is>
      </c>
    </row>
    <row r="200">
      <c r="A200" s="3" t="n">
        <v>2022</v>
      </c>
      <c r="B200" s="4" t="n">
        <v>71000</v>
      </c>
      <c r="C200" s="4" t="n">
        <v>762.6</v>
      </c>
      <c r="D200" s="3" t="inlineStr">
        <is>
          <t>조치원읍</t>
        </is>
      </c>
      <c r="E200" s="3" t="inlineStr">
        <is>
          <t>남리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230.6865</v>
      </c>
      <c r="I200" s="5" t="n">
        <v>307.8</v>
      </c>
      <c r="J200" s="3" t="inlineStr">
        <is>
          <t>조치원읍</t>
        </is>
      </c>
    </row>
    <row r="201">
      <c r="A201" s="3" t="n">
        <v>2026</v>
      </c>
      <c r="B201" s="4" t="n">
        <v>85470</v>
      </c>
      <c r="C201" s="4" t="n">
        <v>4035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1220.5875</v>
      </c>
      <c r="I201" s="5" t="n">
        <v>70</v>
      </c>
      <c r="J201" s="3" t="inlineStr">
        <is>
          <t>연서면</t>
        </is>
      </c>
    </row>
    <row r="202">
      <c r="A202" s="3" t="n">
        <v>2026</v>
      </c>
      <c r="B202" s="4" t="n">
        <v>16500</v>
      </c>
      <c r="C202" s="4" t="n">
        <v>403</v>
      </c>
      <c r="D202" s="3" t="inlineStr">
        <is>
          <t>부강면</t>
        </is>
      </c>
      <c r="E202" s="3" t="inlineStr">
        <is>
          <t>금호리</t>
        </is>
      </c>
      <c r="F202" s="3" t="inlineStr">
        <is>
          <t>생산관리지역</t>
        </is>
      </c>
      <c r="G202" s="3" t="inlineStr">
        <is>
          <t>답</t>
        </is>
      </c>
      <c r="H202" s="4" t="n">
        <v>121.9075</v>
      </c>
      <c r="I202" s="5" t="n">
        <v>135.3</v>
      </c>
      <c r="J202" s="3" t="inlineStr">
        <is>
          <t>부강면</t>
        </is>
      </c>
    </row>
    <row r="203">
      <c r="A203" s="3" t="n">
        <v>2026</v>
      </c>
      <c r="B203" s="4" t="n">
        <v>9500</v>
      </c>
      <c r="C203" s="4" t="n">
        <v>231</v>
      </c>
      <c r="D203" s="3" t="inlineStr">
        <is>
          <t>부강면</t>
        </is>
      </c>
      <c r="E203" s="3" t="inlineStr">
        <is>
          <t>금호리</t>
        </is>
      </c>
      <c r="F203" s="3" t="inlineStr">
        <is>
          <t>생산관리지역</t>
        </is>
      </c>
      <c r="G203" s="3" t="inlineStr">
        <is>
          <t>답</t>
        </is>
      </c>
      <c r="H203" s="4" t="n">
        <v>69.8775</v>
      </c>
      <c r="I203" s="5" t="n">
        <v>136</v>
      </c>
      <c r="J203" s="3" t="inlineStr">
        <is>
          <t>부강면</t>
        </is>
      </c>
    </row>
    <row r="204">
      <c r="A204" s="3" t="n">
        <v>2025</v>
      </c>
      <c r="B204" s="4" t="n">
        <v>50000</v>
      </c>
      <c r="C204" s="4" t="n">
        <v>376.6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대</t>
        </is>
      </c>
      <c r="H204" s="4" t="n">
        <v>113.9215</v>
      </c>
      <c r="I204" s="5" t="n">
        <v>438.9</v>
      </c>
      <c r="J204" s="3" t="inlineStr">
        <is>
          <t>고운동</t>
        </is>
      </c>
    </row>
    <row r="205">
      <c r="A205" s="3" t="n">
        <v>2025</v>
      </c>
      <c r="B205" s="4" t="n">
        <v>58000</v>
      </c>
      <c r="C205" s="4" t="n">
        <v>350</v>
      </c>
      <c r="D205" s="3" t="inlineStr">
        <is>
          <t>도담동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105.875</v>
      </c>
      <c r="I205" s="5" t="n">
        <v>547.8</v>
      </c>
      <c r="J205" s="3" t="inlineStr">
        <is>
          <t>도담동</t>
        </is>
      </c>
    </row>
    <row r="206">
      <c r="A206" s="3" t="n">
        <v>2025</v>
      </c>
      <c r="B206" s="4" t="n">
        <v>9700</v>
      </c>
      <c r="C206" s="4" t="n">
        <v>510</v>
      </c>
      <c r="D206" s="3" t="inlineStr">
        <is>
          <t>부강면</t>
        </is>
      </c>
      <c r="E206" s="3" t="inlineStr">
        <is>
          <t>부강리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154.275</v>
      </c>
      <c r="I206" s="5" t="n">
        <v>62.9</v>
      </c>
      <c r="J206" s="3" t="inlineStr">
        <is>
          <t>부강면</t>
        </is>
      </c>
    </row>
    <row r="207">
      <c r="A207" s="3" t="n">
        <v>2025</v>
      </c>
      <c r="B207" s="4" t="n">
        <v>5080</v>
      </c>
      <c r="C207" s="4" t="n">
        <v>24</v>
      </c>
      <c r="D207" s="3" t="inlineStr">
        <is>
          <t>부강면</t>
        </is>
      </c>
      <c r="E207" s="3" t="inlineStr">
        <is>
          <t>부강리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7.26</v>
      </c>
      <c r="I207" s="5" t="n">
        <v>699.7</v>
      </c>
      <c r="J207" s="3" t="inlineStr">
        <is>
          <t>부강면</t>
        </is>
      </c>
    </row>
    <row r="208">
      <c r="A208" s="3" t="n">
        <v>2025</v>
      </c>
      <c r="B208" s="4" t="n">
        <v>4020</v>
      </c>
      <c r="C208" s="4" t="n">
        <v>19</v>
      </c>
      <c r="D208" s="3" t="inlineStr">
        <is>
          <t>부강면</t>
        </is>
      </c>
      <c r="E208" s="3" t="inlineStr">
        <is>
          <t>부강리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5.7475</v>
      </c>
      <c r="I208" s="5" t="n">
        <v>699.4</v>
      </c>
      <c r="J208" s="3" t="inlineStr">
        <is>
          <t>부강면</t>
        </is>
      </c>
    </row>
    <row r="209">
      <c r="A209" s="3" t="n">
        <v>2025</v>
      </c>
      <c r="B209" s="4" t="n">
        <v>850</v>
      </c>
      <c r="C209" s="4" t="n">
        <v>248</v>
      </c>
      <c r="D209" s="3" t="inlineStr">
        <is>
          <t>연서면</t>
        </is>
      </c>
      <c r="E209" s="3" t="inlineStr">
        <is>
          <t>기룡리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75.02</v>
      </c>
      <c r="I209" s="5" t="n">
        <v>11.3</v>
      </c>
      <c r="J209" s="3" t="inlineStr">
        <is>
          <t>연서면</t>
        </is>
      </c>
    </row>
    <row r="210">
      <c r="A210" s="3" t="n">
        <v>2025</v>
      </c>
      <c r="B210" s="4" t="n">
        <v>37590</v>
      </c>
      <c r="C210" s="4" t="n">
        <v>1775</v>
      </c>
      <c r="D210" s="3" t="inlineStr">
        <is>
          <t>부강면</t>
        </is>
      </c>
      <c r="E210" s="3" t="inlineStr">
        <is>
          <t>문곡리</t>
        </is>
      </c>
      <c r="F210" s="3" t="inlineStr">
        <is>
          <t>계획관리지역</t>
        </is>
      </c>
      <c r="G210" s="3" t="inlineStr">
        <is>
          <t>전</t>
        </is>
      </c>
      <c r="H210" s="4" t="n">
        <v>536.9375</v>
      </c>
      <c r="I210" s="5" t="n">
        <v>70</v>
      </c>
      <c r="J210" s="3" t="inlineStr">
        <is>
          <t>부강면</t>
        </is>
      </c>
    </row>
    <row r="211">
      <c r="A211" s="3" t="n">
        <v>2025</v>
      </c>
      <c r="B211" s="4" t="n">
        <v>3350</v>
      </c>
      <c r="C211" s="4" t="n">
        <v>107</v>
      </c>
      <c r="D211" s="3" t="inlineStr">
        <is>
          <t>연동면</t>
        </is>
      </c>
      <c r="E211" s="3" t="inlineStr">
        <is>
          <t>내판리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32.3675</v>
      </c>
      <c r="I211" s="5" t="n">
        <v>103.5</v>
      </c>
      <c r="J211" s="3" t="inlineStr">
        <is>
          <t>연동면</t>
        </is>
      </c>
    </row>
    <row r="212">
      <c r="A212" s="3" t="n">
        <v>2025</v>
      </c>
      <c r="B212" s="4" t="n">
        <v>2847</v>
      </c>
      <c r="C212" s="4" t="n">
        <v>71</v>
      </c>
      <c r="D212" s="3" t="inlineStr">
        <is>
          <t>연서면</t>
        </is>
      </c>
      <c r="E212" s="3" t="inlineStr">
        <is>
          <t>고복리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21.4775</v>
      </c>
      <c r="I212" s="5" t="n">
        <v>132.6</v>
      </c>
      <c r="J212" s="3" t="inlineStr">
        <is>
          <t>연서면</t>
        </is>
      </c>
    </row>
    <row r="213">
      <c r="A213" s="3" t="n">
        <v>2025</v>
      </c>
      <c r="B213" s="4" t="n">
        <v>1526</v>
      </c>
      <c r="C213" s="4" t="n">
        <v>28</v>
      </c>
      <c r="D213" s="3" t="inlineStr">
        <is>
          <t>연서면</t>
        </is>
      </c>
      <c r="E213" s="3" t="inlineStr">
        <is>
          <t>고복리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8.469999999999999</v>
      </c>
      <c r="I213" s="5" t="n">
        <v>180.2</v>
      </c>
      <c r="J213" s="3" t="inlineStr">
        <is>
          <t>연서면</t>
        </is>
      </c>
    </row>
    <row r="214">
      <c r="A214" s="3" t="n">
        <v>2025</v>
      </c>
      <c r="B214" s="4" t="n">
        <v>28556</v>
      </c>
      <c r="C214" s="4" t="n">
        <v>1600</v>
      </c>
      <c r="D214" s="3" t="inlineStr">
        <is>
          <t>연서면</t>
        </is>
      </c>
      <c r="E214" s="3" t="inlineStr">
        <is>
          <t>기룡리</t>
        </is>
      </c>
      <c r="F214" s="3" t="inlineStr">
        <is>
          <t>생산관리지역</t>
        </is>
      </c>
      <c r="G214" s="3" t="inlineStr">
        <is>
          <t>전</t>
        </is>
      </c>
      <c r="H214" s="4" t="n">
        <v>484</v>
      </c>
      <c r="I214" s="5" t="n">
        <v>59</v>
      </c>
      <c r="J214" s="3" t="inlineStr">
        <is>
          <t>연서면</t>
        </is>
      </c>
    </row>
    <row r="215">
      <c r="A215" s="3" t="n">
        <v>2025</v>
      </c>
      <c r="B215" s="4" t="n">
        <v>944</v>
      </c>
      <c r="C215" s="4" t="n">
        <v>53</v>
      </c>
      <c r="D215" s="3" t="inlineStr">
        <is>
          <t>연서면</t>
        </is>
      </c>
      <c r="E215" s="3" t="inlineStr">
        <is>
          <t>기룡리</t>
        </is>
      </c>
      <c r="F215" s="3" t="inlineStr">
        <is>
          <t>생산관리지역</t>
        </is>
      </c>
      <c r="G215" s="3" t="inlineStr">
        <is>
          <t>도로</t>
        </is>
      </c>
      <c r="H215" s="4" t="n">
        <v>16.0325</v>
      </c>
      <c r="I215" s="5" t="n">
        <v>58.9</v>
      </c>
      <c r="J215" s="3" t="inlineStr">
        <is>
          <t>연서면</t>
        </is>
      </c>
    </row>
    <row r="216">
      <c r="A216" s="3" t="n">
        <v>2025</v>
      </c>
      <c r="B216" s="4" t="n">
        <v>18000</v>
      </c>
      <c r="C216" s="4" t="n">
        <v>294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대</t>
        </is>
      </c>
      <c r="H216" s="4" t="n">
        <v>88.935</v>
      </c>
      <c r="I216" s="5" t="n">
        <v>202.4</v>
      </c>
      <c r="J216" s="3" t="inlineStr">
        <is>
          <t>연서면</t>
        </is>
      </c>
    </row>
    <row r="217">
      <c r="A217" s="3" t="n">
        <v>2025</v>
      </c>
      <c r="B217" s="4" t="n">
        <v>2400</v>
      </c>
      <c r="C217" s="4" t="n">
        <v>53</v>
      </c>
      <c r="D217" s="3" t="inlineStr">
        <is>
          <t>연서면</t>
        </is>
      </c>
      <c r="E217" s="3" t="inlineStr">
        <is>
          <t>와촌리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16.0325</v>
      </c>
      <c r="I217" s="5" t="n">
        <v>149.7</v>
      </c>
      <c r="J217" s="3" t="inlineStr">
        <is>
          <t>연서면</t>
        </is>
      </c>
    </row>
    <row r="218">
      <c r="A218" s="3" t="n">
        <v>2022</v>
      </c>
      <c r="B218" s="4" t="n">
        <v>2431</v>
      </c>
      <c r="C218" s="4" t="n">
        <v>141</v>
      </c>
      <c r="D218" s="3" t="inlineStr">
        <is>
          <t>연서면</t>
        </is>
      </c>
      <c r="E218" s="3" t="inlineStr">
        <is>
          <t>와촌리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42.6525</v>
      </c>
      <c r="I218" s="5" t="n">
        <v>57</v>
      </c>
      <c r="J218" s="3" t="inlineStr">
        <is>
          <t>연서면</t>
        </is>
      </c>
    </row>
    <row r="219">
      <c r="A219" s="3" t="n">
        <v>2022</v>
      </c>
      <c r="B219" s="4" t="n">
        <v>7305</v>
      </c>
      <c r="C219" s="4" t="n">
        <v>356</v>
      </c>
      <c r="D219" s="3" t="inlineStr">
        <is>
          <t>연서면</t>
        </is>
      </c>
      <c r="E219" s="3" t="inlineStr">
        <is>
          <t>와촌리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107.69</v>
      </c>
      <c r="I219" s="5" t="n">
        <v>67.8</v>
      </c>
      <c r="J219" s="3" t="inlineStr">
        <is>
          <t>연서면</t>
        </is>
      </c>
    </row>
    <row r="220">
      <c r="A220" s="3" t="n">
        <v>2022</v>
      </c>
      <c r="B220" s="4" t="n">
        <v>2031</v>
      </c>
      <c r="C220" s="4" t="n">
        <v>99</v>
      </c>
      <c r="D220" s="3" t="inlineStr">
        <is>
          <t>연서면</t>
        </is>
      </c>
      <c r="E220" s="3" t="inlineStr">
        <is>
          <t>와촌리</t>
        </is>
      </c>
      <c r="F220" s="3" t="inlineStr">
        <is>
          <t>계획관리지역</t>
        </is>
      </c>
      <c r="G220" s="3" t="inlineStr">
        <is>
          <t>답</t>
        </is>
      </c>
      <c r="H220" s="4" t="n">
        <v>29.9475</v>
      </c>
      <c r="I220" s="5" t="n">
        <v>67.8</v>
      </c>
      <c r="J220" s="3" t="inlineStr">
        <is>
          <t>연서면</t>
        </is>
      </c>
    </row>
    <row r="221">
      <c r="A221" s="3" t="n">
        <v>2022</v>
      </c>
      <c r="B221" s="4" t="n">
        <v>2431</v>
      </c>
      <c r="C221" s="4" t="n">
        <v>141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42.6525</v>
      </c>
      <c r="I221" s="5" t="n">
        <v>57</v>
      </c>
      <c r="J221" s="3" t="inlineStr">
        <is>
          <t>연서면</t>
        </is>
      </c>
    </row>
    <row r="222">
      <c r="A222" s="3" t="n">
        <v>2022</v>
      </c>
      <c r="B222" s="4" t="n">
        <v>7305</v>
      </c>
      <c r="C222" s="4" t="n">
        <v>356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107.69</v>
      </c>
      <c r="I222" s="5" t="n">
        <v>67.8</v>
      </c>
      <c r="J222" s="3" t="inlineStr">
        <is>
          <t>연서면</t>
        </is>
      </c>
    </row>
    <row r="223">
      <c r="A223" s="3" t="n">
        <v>2022</v>
      </c>
      <c r="B223" s="4" t="n">
        <v>2031</v>
      </c>
      <c r="C223" s="4" t="n">
        <v>99</v>
      </c>
      <c r="D223" s="3" t="inlineStr">
        <is>
          <t>연서면</t>
        </is>
      </c>
      <c r="E223" s="3" t="inlineStr">
        <is>
          <t>와촌리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29.9475</v>
      </c>
      <c r="I223" s="5" t="n">
        <v>67.8</v>
      </c>
      <c r="J223" s="3" t="inlineStr">
        <is>
          <t>연서면</t>
        </is>
      </c>
    </row>
    <row r="224">
      <c r="A224" s="3" t="n">
        <v>2023</v>
      </c>
      <c r="B224" s="4" t="n">
        <v>49000</v>
      </c>
      <c r="C224" s="4" t="n">
        <v>304.2</v>
      </c>
      <c r="D224" s="3" t="inlineStr">
        <is>
          <t>아름동</t>
        </is>
      </c>
      <c r="E224" s="3" t="inlineStr"/>
      <c r="F224" s="3" t="inlineStr">
        <is>
          <t>제1종전용주거지역</t>
        </is>
      </c>
      <c r="G224" s="3" t="inlineStr">
        <is>
          <t>대</t>
        </is>
      </c>
      <c r="H224" s="4" t="n">
        <v>92.0205</v>
      </c>
      <c r="I224" s="5" t="n">
        <v>532.5</v>
      </c>
      <c r="J224" s="3" t="inlineStr">
        <is>
          <t>아름동</t>
        </is>
      </c>
    </row>
    <row r="225">
      <c r="A225" s="3" t="n">
        <v>2023</v>
      </c>
      <c r="B225" s="4" t="n">
        <v>1341</v>
      </c>
      <c r="C225" s="4" t="n">
        <v>1842</v>
      </c>
      <c r="D225" s="3" t="inlineStr">
        <is>
          <t>연서면</t>
        </is>
      </c>
      <c r="E225" s="3" t="inlineStr">
        <is>
          <t>고복리</t>
        </is>
      </c>
      <c r="F225" s="3" t="inlineStr">
        <is>
          <t>농림지역</t>
        </is>
      </c>
      <c r="G225" s="3" t="inlineStr">
        <is>
          <t>임야</t>
        </is>
      </c>
      <c r="H225" s="4" t="n">
        <v>557.2049999999999</v>
      </c>
      <c r="I225" s="5" t="n">
        <v>2.4</v>
      </c>
      <c r="J225" s="3" t="inlineStr">
        <is>
          <t>연서면</t>
        </is>
      </c>
    </row>
    <row r="226">
      <c r="A226" s="3" t="n">
        <v>2023</v>
      </c>
      <c r="B226" s="4" t="n">
        <v>2554</v>
      </c>
      <c r="C226" s="4" t="n">
        <v>2409</v>
      </c>
      <c r="D226" s="3" t="inlineStr">
        <is>
          <t>연서면</t>
        </is>
      </c>
      <c r="E226" s="3" t="inlineStr">
        <is>
          <t>고복리</t>
        </is>
      </c>
      <c r="F226" s="3" t="inlineStr">
        <is>
          <t>농림지역</t>
        </is>
      </c>
      <c r="G226" s="3" t="inlineStr">
        <is>
          <t>임야</t>
        </is>
      </c>
      <c r="H226" s="4" t="n">
        <v>728.7225</v>
      </c>
      <c r="I226" s="5" t="n">
        <v>3.5</v>
      </c>
      <c r="J226" s="3" t="inlineStr">
        <is>
          <t>연서면</t>
        </is>
      </c>
    </row>
    <row r="227">
      <c r="A227" s="3" t="n">
        <v>2023</v>
      </c>
      <c r="B227" s="4" t="n">
        <v>2100</v>
      </c>
      <c r="C227" s="4" t="n">
        <v>661</v>
      </c>
      <c r="D227" s="3" t="inlineStr">
        <is>
          <t>부강면</t>
        </is>
      </c>
      <c r="E227" s="3" t="inlineStr">
        <is>
          <t>노호리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199.9525</v>
      </c>
      <c r="I227" s="5" t="n">
        <v>10.5</v>
      </c>
      <c r="J227" s="3" t="inlineStr">
        <is>
          <t>부강면</t>
        </is>
      </c>
    </row>
    <row r="228">
      <c r="A228" s="3" t="n">
        <v>2023</v>
      </c>
      <c r="B228" s="4" t="n">
        <v>6500</v>
      </c>
      <c r="C228" s="4" t="n">
        <v>1021</v>
      </c>
      <c r="D228" s="3" t="inlineStr">
        <is>
          <t>부강면</t>
        </is>
      </c>
      <c r="E228" s="3" t="inlineStr">
        <is>
          <t>문곡리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308.8525</v>
      </c>
      <c r="I228" s="5" t="n">
        <v>21</v>
      </c>
      <c r="J228" s="3" t="inlineStr">
        <is>
          <t>부강면</t>
        </is>
      </c>
    </row>
    <row r="229">
      <c r="A229" s="3" t="n">
        <v>2023</v>
      </c>
      <c r="B229" s="4" t="n">
        <v>7000</v>
      </c>
      <c r="C229" s="4" t="n">
        <v>1088</v>
      </c>
      <c r="D229" s="3" t="inlineStr">
        <is>
          <t>부강면</t>
        </is>
      </c>
      <c r="E229" s="3" t="inlineStr">
        <is>
          <t>문곡리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329.12</v>
      </c>
      <c r="I229" s="5" t="n">
        <v>21.3</v>
      </c>
      <c r="J229" s="3" t="inlineStr">
        <is>
          <t>부강면</t>
        </is>
      </c>
    </row>
    <row r="230">
      <c r="A230" s="3" t="n">
        <v>2023</v>
      </c>
      <c r="B230" s="4" t="n">
        <v>40800</v>
      </c>
      <c r="C230" s="4" t="n">
        <v>3375.2</v>
      </c>
      <c r="D230" s="3" t="inlineStr">
        <is>
          <t>연서면</t>
        </is>
      </c>
      <c r="E230" s="3" t="inlineStr">
        <is>
          <t>월하리</t>
        </is>
      </c>
      <c r="F230" s="3" t="inlineStr">
        <is>
          <t>농림지역</t>
        </is>
      </c>
      <c r="G230" s="3" t="inlineStr">
        <is>
          <t>답</t>
        </is>
      </c>
      <c r="H230" s="4" t="n">
        <v>1020.998</v>
      </c>
      <c r="I230" s="5" t="n">
        <v>40</v>
      </c>
      <c r="J230" s="3" t="inlineStr">
        <is>
          <t>연서면</t>
        </is>
      </c>
    </row>
    <row r="231">
      <c r="A231" s="3" t="n">
        <v>2026</v>
      </c>
      <c r="B231" s="4" t="n">
        <v>3500</v>
      </c>
      <c r="C231" s="4" t="n">
        <v>66</v>
      </c>
      <c r="D231" s="3" t="inlineStr">
        <is>
          <t>조치원읍</t>
        </is>
      </c>
      <c r="E231" s="3" t="inlineStr">
        <is>
          <t>남리</t>
        </is>
      </c>
      <c r="F231" s="3" t="inlineStr">
        <is>
          <t>제2종일반주거지역</t>
        </is>
      </c>
      <c r="G231" s="3" t="inlineStr">
        <is>
          <t>대</t>
        </is>
      </c>
      <c r="H231" s="4" t="n">
        <v>19.965</v>
      </c>
      <c r="I231" s="5" t="n">
        <v>175.3</v>
      </c>
      <c r="J231" s="3" t="inlineStr">
        <is>
          <t>조치원읍</t>
        </is>
      </c>
    </row>
    <row r="232">
      <c r="A232" s="3" t="n">
        <v>2026</v>
      </c>
      <c r="B232" s="4" t="n">
        <v>55000</v>
      </c>
      <c r="C232" s="4" t="n">
        <v>649</v>
      </c>
      <c r="D232" s="3" t="inlineStr">
        <is>
          <t>부강면</t>
        </is>
      </c>
      <c r="E232" s="3" t="inlineStr">
        <is>
          <t>부강리</t>
        </is>
      </c>
      <c r="F232" s="3" t="inlineStr">
        <is>
          <t>제2종일반주거지역</t>
        </is>
      </c>
      <c r="G232" s="3" t="inlineStr">
        <is>
          <t>답</t>
        </is>
      </c>
      <c r="H232" s="4" t="n">
        <v>196.3225</v>
      </c>
      <c r="I232" s="5" t="n">
        <v>280.2</v>
      </c>
      <c r="J232" s="3" t="inlineStr">
        <is>
          <t>부강면</t>
        </is>
      </c>
    </row>
    <row r="233">
      <c r="A233" s="3" t="n">
        <v>2026</v>
      </c>
      <c r="B233" s="4" t="n">
        <v>50000</v>
      </c>
      <c r="C233" s="4" t="n">
        <v>312</v>
      </c>
      <c r="D233" s="3" t="inlineStr">
        <is>
          <t>조치원읍</t>
        </is>
      </c>
      <c r="E233" s="3" t="inlineStr">
        <is>
          <t>서창리</t>
        </is>
      </c>
      <c r="F233" s="3" t="inlineStr">
        <is>
          <t>제2종일반주거지역</t>
        </is>
      </c>
      <c r="G233" s="3" t="inlineStr">
        <is>
          <t>임야</t>
        </is>
      </c>
      <c r="H233" s="4" t="n">
        <v>94.38</v>
      </c>
      <c r="I233" s="5" t="n">
        <v>529.8</v>
      </c>
      <c r="J233" s="3" t="inlineStr">
        <is>
          <t>조치원읍</t>
        </is>
      </c>
    </row>
    <row r="234">
      <c r="A234" s="3" t="n">
        <v>2022</v>
      </c>
      <c r="B234" s="4" t="n">
        <v>6383</v>
      </c>
      <c r="C234" s="4" t="n">
        <v>177</v>
      </c>
      <c r="D234" s="3" t="inlineStr">
        <is>
          <t>연서면</t>
        </is>
      </c>
      <c r="E234" s="3" t="inlineStr">
        <is>
          <t>월하리</t>
        </is>
      </c>
      <c r="F234" s="3" t="inlineStr">
        <is>
          <t>보전관리지역</t>
        </is>
      </c>
      <c r="G234" s="3" t="inlineStr">
        <is>
          <t>전</t>
        </is>
      </c>
      <c r="H234" s="4" t="n">
        <v>53.5425</v>
      </c>
      <c r="I234" s="5" t="n">
        <v>119.2</v>
      </c>
      <c r="J234" s="3" t="inlineStr">
        <is>
          <t>연서면</t>
        </is>
      </c>
    </row>
    <row r="235">
      <c r="A235" s="3" t="n">
        <v>2026</v>
      </c>
      <c r="B235" s="4" t="n">
        <v>4000</v>
      </c>
      <c r="C235" s="4" t="n">
        <v>201</v>
      </c>
      <c r="D235" s="3" t="inlineStr">
        <is>
          <t>연동면</t>
        </is>
      </c>
      <c r="E235" s="3" t="inlineStr">
        <is>
          <t>노송리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60.80249999999999</v>
      </c>
      <c r="I235" s="5" t="n">
        <v>65.8</v>
      </c>
      <c r="J235" s="3" t="inlineStr">
        <is>
          <t>연동면</t>
        </is>
      </c>
    </row>
    <row r="236">
      <c r="A236" s="3" t="n">
        <v>2026</v>
      </c>
      <c r="B236" s="4" t="n">
        <v>60000</v>
      </c>
      <c r="C236" s="4" t="n">
        <v>1046</v>
      </c>
      <c r="D236" s="3" t="inlineStr">
        <is>
          <t>조치원읍</t>
        </is>
      </c>
      <c r="E236" s="3" t="inlineStr">
        <is>
          <t>신안리</t>
        </is>
      </c>
      <c r="F236" s="3" t="inlineStr">
        <is>
          <t>자연녹지지역</t>
        </is>
      </c>
      <c r="G236" s="3" t="inlineStr">
        <is>
          <t>전</t>
        </is>
      </c>
      <c r="H236" s="4" t="n">
        <v>316.415</v>
      </c>
      <c r="I236" s="5" t="n">
        <v>189.6</v>
      </c>
      <c r="J236" s="3" t="inlineStr">
        <is>
          <t>조치원읍</t>
        </is>
      </c>
    </row>
    <row r="237">
      <c r="A237" s="3" t="n">
        <v>2026</v>
      </c>
      <c r="B237" s="4" t="n">
        <v>2800</v>
      </c>
      <c r="C237" s="4" t="n">
        <v>675</v>
      </c>
      <c r="D237" s="3" t="inlineStr">
        <is>
          <t>연동면</t>
        </is>
      </c>
      <c r="E237" s="3" t="inlineStr">
        <is>
          <t>예양리</t>
        </is>
      </c>
      <c r="F237" s="3" t="inlineStr">
        <is>
          <t>보전관리지역</t>
        </is>
      </c>
      <c r="G237" s="3" t="inlineStr">
        <is>
          <t>임야</t>
        </is>
      </c>
      <c r="H237" s="4" t="n">
        <v>204.1875</v>
      </c>
      <c r="I237" s="5" t="n">
        <v>13.7</v>
      </c>
      <c r="J237" s="3" t="inlineStr">
        <is>
          <t>연동면</t>
        </is>
      </c>
    </row>
    <row r="238">
      <c r="A238" s="3" t="n">
        <v>2026</v>
      </c>
      <c r="B238" s="4" t="n">
        <v>58760</v>
      </c>
      <c r="C238" s="4" t="n">
        <v>4008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1212.42</v>
      </c>
      <c r="I238" s="5" t="n">
        <v>48.5</v>
      </c>
      <c r="J238" s="3" t="inlineStr">
        <is>
          <t>강내면</t>
        </is>
      </c>
    </row>
    <row r="239">
      <c r="A239" s="3" t="n">
        <v>2026</v>
      </c>
      <c r="B239" s="4" t="n">
        <v>12240</v>
      </c>
      <c r="C239" s="4" t="n">
        <v>835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답</t>
        </is>
      </c>
      <c r="H239" s="4" t="n">
        <v>252.5875</v>
      </c>
      <c r="I239" s="5" t="n">
        <v>48.5</v>
      </c>
      <c r="J239" s="3" t="inlineStr">
        <is>
          <t>강내면</t>
        </is>
      </c>
    </row>
    <row r="240">
      <c r="A240" s="3" t="n">
        <v>2026</v>
      </c>
      <c r="B240" s="4" t="n">
        <v>6870</v>
      </c>
      <c r="C240" s="4" t="n">
        <v>812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용도미지정</t>
        </is>
      </c>
      <c r="G240" s="3" t="inlineStr">
        <is>
          <t>답</t>
        </is>
      </c>
      <c r="H240" s="4" t="n">
        <v>245.63</v>
      </c>
      <c r="I240" s="5" t="n">
        <v>28</v>
      </c>
      <c r="J240" s="3" t="inlineStr">
        <is>
          <t>오송읍</t>
        </is>
      </c>
    </row>
    <row r="241">
      <c r="A241" s="3" t="n">
        <v>2022</v>
      </c>
      <c r="B241" s="4" t="n">
        <v>30000</v>
      </c>
      <c r="C241" s="4" t="n">
        <v>271.4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82.09849999999999</v>
      </c>
      <c r="I241" s="5" t="n">
        <v>365.4</v>
      </c>
      <c r="J241" s="3" t="inlineStr">
        <is>
          <t>오송읍</t>
        </is>
      </c>
    </row>
    <row r="242">
      <c r="A242" s="3" t="n">
        <v>2022</v>
      </c>
      <c r="B242" s="4" t="n">
        <v>200</v>
      </c>
      <c r="C242" s="4" t="n">
        <v>34</v>
      </c>
      <c r="D242" s="3" t="inlineStr">
        <is>
          <t>오송읍</t>
        </is>
      </c>
      <c r="E242" s="3" t="inlineStr">
        <is>
          <t>상봉리</t>
        </is>
      </c>
      <c r="F242" s="3" t="inlineStr">
        <is>
          <t>생산관리지역</t>
        </is>
      </c>
      <c r="G242" s="3" t="inlineStr">
        <is>
          <t>답</t>
        </is>
      </c>
      <c r="H242" s="4" t="n">
        <v>10.285</v>
      </c>
      <c r="I242" s="5" t="n">
        <v>19.4</v>
      </c>
      <c r="J242" s="3" t="inlineStr">
        <is>
          <t>오송읍</t>
        </is>
      </c>
    </row>
    <row r="243">
      <c r="A243" s="3" t="n">
        <v>2022</v>
      </c>
      <c r="B243" s="4" t="n">
        <v>3800</v>
      </c>
      <c r="C243" s="4" t="n">
        <v>424</v>
      </c>
      <c r="D243" s="3" t="inlineStr">
        <is>
          <t>오송읍</t>
        </is>
      </c>
      <c r="E243" s="3" t="inlineStr">
        <is>
          <t>상봉리</t>
        </is>
      </c>
      <c r="F243" s="3" t="inlineStr">
        <is>
          <t>생산관리지역</t>
        </is>
      </c>
      <c r="G243" s="3" t="inlineStr">
        <is>
          <t>답</t>
        </is>
      </c>
      <c r="H243" s="4" t="n">
        <v>128.26</v>
      </c>
      <c r="I243" s="5" t="n">
        <v>29.6</v>
      </c>
      <c r="J243" s="3" t="inlineStr">
        <is>
          <t>오송읍</t>
        </is>
      </c>
    </row>
    <row r="244">
      <c r="A244" s="3" t="n">
        <v>2022</v>
      </c>
      <c r="B244" s="4" t="n">
        <v>26500</v>
      </c>
      <c r="C244" s="4" t="n">
        <v>1819</v>
      </c>
      <c r="D244" s="3" t="inlineStr">
        <is>
          <t>강내면</t>
        </is>
      </c>
      <c r="E244" s="3" t="inlineStr">
        <is>
          <t>당곡리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550.2474999999999</v>
      </c>
      <c r="I244" s="5" t="n">
        <v>48.2</v>
      </c>
      <c r="J244" s="3" t="inlineStr">
        <is>
          <t>강내면</t>
        </is>
      </c>
    </row>
    <row r="245">
      <c r="A245" s="3" t="n">
        <v>2022</v>
      </c>
      <c r="B245" s="4" t="n">
        <v>10300</v>
      </c>
      <c r="C245" s="4" t="n">
        <v>576</v>
      </c>
      <c r="D245" s="3" t="inlineStr">
        <is>
          <t>강내면</t>
        </is>
      </c>
      <c r="E245" s="3" t="inlineStr">
        <is>
          <t>연정리</t>
        </is>
      </c>
      <c r="F245" s="3" t="inlineStr">
        <is>
          <t>보전관리지역</t>
        </is>
      </c>
      <c r="G245" s="3" t="inlineStr">
        <is>
          <t>대</t>
        </is>
      </c>
      <c r="H245" s="4" t="n">
        <v>174.24</v>
      </c>
      <c r="I245" s="5" t="n">
        <v>59.1</v>
      </c>
      <c r="J245" s="3" t="inlineStr">
        <is>
          <t>강내면</t>
        </is>
      </c>
    </row>
    <row r="246">
      <c r="A246" s="3" t="n">
        <v>2022</v>
      </c>
      <c r="B246" s="4" t="n">
        <v>1030</v>
      </c>
      <c r="C246" s="4" t="n">
        <v>99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철도용지</t>
        </is>
      </c>
      <c r="H246" s="4" t="n">
        <v>29.9475</v>
      </c>
      <c r="I246" s="5" t="n">
        <v>34.4</v>
      </c>
      <c r="J246" s="3" t="inlineStr">
        <is>
          <t>강내면</t>
        </is>
      </c>
    </row>
    <row r="247">
      <c r="A247" s="3" t="n">
        <v>2022</v>
      </c>
      <c r="B247" s="4" t="n">
        <v>40662</v>
      </c>
      <c r="C247" s="4" t="n">
        <v>572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용도미지정</t>
        </is>
      </c>
      <c r="G247" s="3" t="inlineStr">
        <is>
          <t>대</t>
        </is>
      </c>
      <c r="H247" s="4" t="n">
        <v>173.03</v>
      </c>
      <c r="I247" s="5" t="n">
        <v>235</v>
      </c>
      <c r="J247" s="3" t="inlineStr">
        <is>
          <t>오송읍</t>
        </is>
      </c>
    </row>
    <row r="248">
      <c r="A248" s="3" t="n">
        <v>2022</v>
      </c>
      <c r="B248" s="4" t="n">
        <v>36810</v>
      </c>
      <c r="C248" s="4" t="n">
        <v>566</v>
      </c>
      <c r="D248" s="3" t="inlineStr">
        <is>
          <t>오송읍</t>
        </is>
      </c>
      <c r="E248" s="3" t="inlineStr">
        <is>
          <t>정중리</t>
        </is>
      </c>
      <c r="F248" s="3" t="inlineStr">
        <is>
          <t>용도미지정</t>
        </is>
      </c>
      <c r="G248" s="3" t="inlineStr">
        <is>
          <t>대</t>
        </is>
      </c>
      <c r="H248" s="4" t="n">
        <v>171.215</v>
      </c>
      <c r="I248" s="5" t="n">
        <v>215</v>
      </c>
      <c r="J248" s="3" t="inlineStr">
        <is>
          <t>오송읍</t>
        </is>
      </c>
    </row>
    <row r="249">
      <c r="A249" s="3" t="n">
        <v>2022</v>
      </c>
      <c r="B249" s="4" t="n">
        <v>27620</v>
      </c>
      <c r="C249" s="4" t="n">
        <v>397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용도미지정</t>
        </is>
      </c>
      <c r="G249" s="3" t="inlineStr">
        <is>
          <t>대</t>
        </is>
      </c>
      <c r="H249" s="4" t="n">
        <v>120.0925</v>
      </c>
      <c r="I249" s="5" t="n">
        <v>230</v>
      </c>
      <c r="J249" s="3" t="inlineStr">
        <is>
          <t>오송읍</t>
        </is>
      </c>
    </row>
    <row r="250">
      <c r="A250" s="3" t="n">
        <v>2022</v>
      </c>
      <c r="B250" s="4" t="n">
        <v>24500</v>
      </c>
      <c r="C250" s="4" t="n">
        <v>360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용도미지정</t>
        </is>
      </c>
      <c r="G250" s="3" t="inlineStr">
        <is>
          <t>대</t>
        </is>
      </c>
      <c r="H250" s="4" t="n">
        <v>108.9</v>
      </c>
      <c r="I250" s="5" t="n">
        <v>225</v>
      </c>
      <c r="J250" s="3" t="inlineStr">
        <is>
          <t>오송읍</t>
        </is>
      </c>
    </row>
    <row r="251">
      <c r="A251" s="3" t="n">
        <v>2022</v>
      </c>
      <c r="B251" s="4" t="n">
        <v>42650</v>
      </c>
      <c r="C251" s="4" t="n">
        <v>600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용도미지정</t>
        </is>
      </c>
      <c r="G251" s="3" t="inlineStr">
        <is>
          <t>대</t>
        </is>
      </c>
      <c r="H251" s="4" t="n">
        <v>181.5</v>
      </c>
      <c r="I251" s="5" t="n">
        <v>235</v>
      </c>
      <c r="J251" s="3" t="inlineStr">
        <is>
          <t>오송읍</t>
        </is>
      </c>
    </row>
    <row r="252">
      <c r="A252" s="3" t="n">
        <v>2022</v>
      </c>
      <c r="B252" s="4" t="n">
        <v>24500</v>
      </c>
      <c r="C252" s="4" t="n">
        <v>360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108.9</v>
      </c>
      <c r="I252" s="5" t="n">
        <v>225</v>
      </c>
      <c r="J252" s="3" t="inlineStr">
        <is>
          <t>오송읍</t>
        </is>
      </c>
    </row>
    <row r="253">
      <c r="A253" s="3" t="n">
        <v>2022</v>
      </c>
      <c r="B253" s="4" t="n">
        <v>33420</v>
      </c>
      <c r="C253" s="4" t="n">
        <v>514</v>
      </c>
      <c r="D253" s="3" t="inlineStr">
        <is>
          <t>오송읍</t>
        </is>
      </c>
      <c r="E253" s="3" t="inlineStr">
        <is>
          <t>정중리</t>
        </is>
      </c>
      <c r="F253" s="3" t="inlineStr">
        <is>
          <t>용도미지정</t>
        </is>
      </c>
      <c r="G253" s="3" t="inlineStr">
        <is>
          <t>대</t>
        </is>
      </c>
      <c r="H253" s="4" t="n">
        <v>155.485</v>
      </c>
      <c r="I253" s="5" t="n">
        <v>214.9</v>
      </c>
      <c r="J253" s="3" t="inlineStr">
        <is>
          <t>오송읍</t>
        </is>
      </c>
    </row>
    <row r="254">
      <c r="A254" s="3" t="n">
        <v>2022</v>
      </c>
      <c r="B254" s="4" t="n">
        <v>37820</v>
      </c>
      <c r="C254" s="4" t="n">
        <v>532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용도미지정</t>
        </is>
      </c>
      <c r="G254" s="3" t="inlineStr">
        <is>
          <t>대</t>
        </is>
      </c>
      <c r="H254" s="4" t="n">
        <v>160.93</v>
      </c>
      <c r="I254" s="5" t="n">
        <v>235</v>
      </c>
      <c r="J254" s="3" t="inlineStr">
        <is>
          <t>오송읍</t>
        </is>
      </c>
    </row>
    <row r="255">
      <c r="A255" s="3" t="n">
        <v>2022</v>
      </c>
      <c r="B255" s="4" t="n">
        <v>33328</v>
      </c>
      <c r="C255" s="4" t="n">
        <v>339</v>
      </c>
      <c r="D255" s="3" t="inlineStr">
        <is>
          <t>오송읍</t>
        </is>
      </c>
      <c r="E255" s="3" t="inlineStr">
        <is>
          <t>정중리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102.5475</v>
      </c>
      <c r="I255" s="5" t="n">
        <v>325</v>
      </c>
      <c r="J255" s="3" t="inlineStr">
        <is>
          <t>오송읍</t>
        </is>
      </c>
    </row>
    <row r="256">
      <c r="A256" s="3" t="n">
        <v>2022</v>
      </c>
      <c r="B256" s="4" t="n">
        <v>33544</v>
      </c>
      <c r="C256" s="4" t="n">
        <v>331</v>
      </c>
      <c r="D256" s="3" t="inlineStr">
        <is>
          <t>오송읍</t>
        </is>
      </c>
      <c r="E256" s="3" t="inlineStr">
        <is>
          <t>정중리</t>
        </is>
      </c>
      <c r="F256" s="3" t="inlineStr">
        <is>
          <t>용도미지정</t>
        </is>
      </c>
      <c r="G256" s="3" t="inlineStr">
        <is>
          <t>대</t>
        </is>
      </c>
      <c r="H256" s="4" t="n">
        <v>100.1275</v>
      </c>
      <c r="I256" s="5" t="n">
        <v>335</v>
      </c>
      <c r="J256" s="3" t="inlineStr">
        <is>
          <t>오송읍</t>
        </is>
      </c>
    </row>
    <row r="257">
      <c r="A257" s="3" t="n">
        <v>2022</v>
      </c>
      <c r="B257" s="4" t="n">
        <v>32760</v>
      </c>
      <c r="C257" s="4" t="n">
        <v>361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용도미지정</t>
        </is>
      </c>
      <c r="G257" s="3" t="inlineStr">
        <is>
          <t>대</t>
        </is>
      </c>
      <c r="H257" s="4" t="n">
        <v>109.2025</v>
      </c>
      <c r="I257" s="5" t="n">
        <v>300</v>
      </c>
      <c r="J257" s="3" t="inlineStr">
        <is>
          <t>오송읍</t>
        </is>
      </c>
    </row>
    <row r="258">
      <c r="A258" s="3" t="n">
        <v>2022</v>
      </c>
      <c r="B258" s="4" t="n">
        <v>32620</v>
      </c>
      <c r="C258" s="4" t="n">
        <v>459</v>
      </c>
      <c r="D258" s="3" t="inlineStr">
        <is>
          <t>오송읍</t>
        </is>
      </c>
      <c r="E258" s="3" t="inlineStr">
        <is>
          <t>정중리</t>
        </is>
      </c>
      <c r="F258" s="3" t="inlineStr">
        <is>
          <t>용도미지정</t>
        </is>
      </c>
      <c r="G258" s="3" t="inlineStr">
        <is>
          <t>대</t>
        </is>
      </c>
      <c r="H258" s="4" t="n">
        <v>138.8475</v>
      </c>
      <c r="I258" s="5" t="n">
        <v>234.9</v>
      </c>
      <c r="J258" s="3" t="inlineStr">
        <is>
          <t>오송읍</t>
        </is>
      </c>
    </row>
    <row r="259">
      <c r="A259" s="3" t="n">
        <v>2022</v>
      </c>
      <c r="B259" s="4" t="n">
        <v>35440</v>
      </c>
      <c r="C259" s="4" t="n">
        <v>404</v>
      </c>
      <c r="D259" s="3" t="inlineStr">
        <is>
          <t>오송읍</t>
        </is>
      </c>
      <c r="E259" s="3" t="inlineStr">
        <is>
          <t>정중리</t>
        </is>
      </c>
      <c r="F259" s="3" t="inlineStr">
        <is>
          <t>용도미지정</t>
        </is>
      </c>
      <c r="G259" s="3" t="inlineStr">
        <is>
          <t>대</t>
        </is>
      </c>
      <c r="H259" s="4" t="n">
        <v>122.21</v>
      </c>
      <c r="I259" s="5" t="n">
        <v>290</v>
      </c>
      <c r="J259" s="3" t="inlineStr">
        <is>
          <t>오송읍</t>
        </is>
      </c>
    </row>
    <row r="260">
      <c r="A260" s="3" t="n">
        <v>2022</v>
      </c>
      <c r="B260" s="4" t="n">
        <v>35480</v>
      </c>
      <c r="C260" s="4" t="n">
        <v>519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용도미지정</t>
        </is>
      </c>
      <c r="G260" s="3" t="inlineStr">
        <is>
          <t>대</t>
        </is>
      </c>
      <c r="H260" s="4" t="n">
        <v>156.9975</v>
      </c>
      <c r="I260" s="5" t="n">
        <v>226</v>
      </c>
      <c r="J260" s="3" t="inlineStr">
        <is>
          <t>오송읍</t>
        </is>
      </c>
    </row>
    <row r="261">
      <c r="A261" s="3" t="n">
        <v>2022</v>
      </c>
      <c r="B261" s="4" t="n">
        <v>30870</v>
      </c>
      <c r="C261" s="4" t="n">
        <v>324</v>
      </c>
      <c r="D261" s="3" t="inlineStr">
        <is>
          <t>오송읍</t>
        </is>
      </c>
      <c r="E261" s="3" t="inlineStr">
        <is>
          <t>정중리</t>
        </is>
      </c>
      <c r="F261" s="3" t="inlineStr">
        <is>
          <t>용도미지정</t>
        </is>
      </c>
      <c r="G261" s="3" t="inlineStr">
        <is>
          <t>대</t>
        </is>
      </c>
      <c r="H261" s="4" t="n">
        <v>98.00999999999999</v>
      </c>
      <c r="I261" s="5" t="n">
        <v>315</v>
      </c>
      <c r="J261" s="3" t="inlineStr">
        <is>
          <t>오송읍</t>
        </is>
      </c>
    </row>
    <row r="262">
      <c r="A262" s="3" t="n">
        <v>2022</v>
      </c>
      <c r="B262" s="4" t="n">
        <v>3300</v>
      </c>
      <c r="C262" s="4" t="n">
        <v>360</v>
      </c>
      <c r="D262" s="3" t="inlineStr">
        <is>
          <t>오송읍</t>
        </is>
      </c>
      <c r="E262" s="3" t="inlineStr">
        <is>
          <t>상봉리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108.9</v>
      </c>
      <c r="I262" s="5" t="n">
        <v>30.3</v>
      </c>
      <c r="J262" s="3" t="inlineStr">
        <is>
          <t>오송읍</t>
        </is>
      </c>
    </row>
    <row r="263">
      <c r="A263" s="3" t="n">
        <v>2022</v>
      </c>
      <c r="B263" s="4" t="n">
        <v>31300</v>
      </c>
      <c r="C263" s="4" t="n">
        <v>1759</v>
      </c>
      <c r="D263" s="3" t="inlineStr">
        <is>
          <t>강내면</t>
        </is>
      </c>
      <c r="E263" s="3" t="inlineStr">
        <is>
          <t>월곡리</t>
        </is>
      </c>
      <c r="F263" s="3" t="inlineStr">
        <is>
          <t>생산녹지지역</t>
        </is>
      </c>
      <c r="G263" s="3" t="inlineStr">
        <is>
          <t>답</t>
        </is>
      </c>
      <c r="H263" s="4" t="n">
        <v>532.0975</v>
      </c>
      <c r="I263" s="5" t="n">
        <v>58.8</v>
      </c>
      <c r="J263" s="3" t="inlineStr">
        <is>
          <t>강내면</t>
        </is>
      </c>
    </row>
    <row r="264">
      <c r="A264" s="3" t="n">
        <v>2023</v>
      </c>
      <c r="B264" s="4" t="n">
        <v>8600</v>
      </c>
      <c r="C264" s="4" t="n">
        <v>547</v>
      </c>
      <c r="D264" s="3" t="inlineStr">
        <is>
          <t>강내면</t>
        </is>
      </c>
      <c r="E264" s="3" t="inlineStr">
        <is>
          <t>연정리</t>
        </is>
      </c>
      <c r="F264" s="3" t="inlineStr">
        <is>
          <t>계획관리지역</t>
        </is>
      </c>
      <c r="G264" s="3" t="inlineStr">
        <is>
          <t>임야</t>
        </is>
      </c>
      <c r="H264" s="4" t="n">
        <v>165.4675</v>
      </c>
      <c r="I264" s="5" t="n">
        <v>52</v>
      </c>
      <c r="J264" s="3" t="inlineStr">
        <is>
          <t>강내면</t>
        </is>
      </c>
    </row>
    <row r="265">
      <c r="A265" s="3" t="n">
        <v>2023</v>
      </c>
      <c r="B265" s="4" t="n">
        <v>23400</v>
      </c>
      <c r="C265" s="4" t="n">
        <v>1510</v>
      </c>
      <c r="D265" s="3" t="inlineStr">
        <is>
          <t>강내면</t>
        </is>
      </c>
      <c r="E265" s="3" t="inlineStr">
        <is>
          <t>연정리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456.775</v>
      </c>
      <c r="I265" s="5" t="n">
        <v>51.2</v>
      </c>
      <c r="J265" s="3" t="inlineStr">
        <is>
          <t>강내면</t>
        </is>
      </c>
    </row>
    <row r="266">
      <c r="A266" s="3" t="n">
        <v>2023</v>
      </c>
      <c r="B266" s="4" t="n">
        <v>53500</v>
      </c>
      <c r="C266" s="4" t="n">
        <v>1653</v>
      </c>
      <c r="D266" s="3" t="inlineStr">
        <is>
          <t>강내면</t>
        </is>
      </c>
      <c r="E266" s="3" t="inlineStr">
        <is>
          <t>궁현리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500.0325</v>
      </c>
      <c r="I266" s="5" t="n">
        <v>107</v>
      </c>
      <c r="J266" s="3" t="inlineStr">
        <is>
          <t>강내면</t>
        </is>
      </c>
    </row>
    <row r="267">
      <c r="A267" s="3" t="n">
        <v>2023</v>
      </c>
      <c r="B267" s="4" t="n">
        <v>67000</v>
      </c>
      <c r="C267" s="4" t="n">
        <v>4000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1210</v>
      </c>
      <c r="I267" s="5" t="n">
        <v>55.4</v>
      </c>
      <c r="J267" s="3" t="inlineStr">
        <is>
          <t>오송읍</t>
        </is>
      </c>
    </row>
    <row r="268">
      <c r="A268" s="3" t="n">
        <v>2023</v>
      </c>
      <c r="B268" s="4" t="n">
        <v>89230</v>
      </c>
      <c r="C268" s="4" t="n">
        <v>1965.3</v>
      </c>
      <c r="D268" s="3" t="inlineStr">
        <is>
          <t>오송읍</t>
        </is>
      </c>
      <c r="E268" s="3" t="inlineStr">
        <is>
          <t>공북리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594.50325</v>
      </c>
      <c r="I268" s="5" t="n">
        <v>150.1</v>
      </c>
      <c r="J268" s="3" t="inlineStr">
        <is>
          <t>오송읍</t>
        </is>
      </c>
    </row>
    <row r="269">
      <c r="A269" s="3" t="n">
        <v>2023</v>
      </c>
      <c r="B269" s="4" t="n">
        <v>45400</v>
      </c>
      <c r="C269" s="4" t="n">
        <v>1000</v>
      </c>
      <c r="D269" s="3" t="inlineStr">
        <is>
          <t>오송읍</t>
        </is>
      </c>
      <c r="E269" s="3" t="inlineStr">
        <is>
          <t>공북리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302.5</v>
      </c>
      <c r="I269" s="5" t="n">
        <v>150.1</v>
      </c>
      <c r="J269" s="3" t="inlineStr">
        <is>
          <t>오송읍</t>
        </is>
      </c>
    </row>
    <row r="270">
      <c r="A270" s="3" t="n">
        <v>2023</v>
      </c>
      <c r="B270" s="4" t="n">
        <v>42050</v>
      </c>
      <c r="C270" s="4" t="n">
        <v>926.4</v>
      </c>
      <c r="D270" s="3" t="inlineStr">
        <is>
          <t>오송읍</t>
        </is>
      </c>
      <c r="E270" s="3" t="inlineStr">
        <is>
          <t>공북리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280.236</v>
      </c>
      <c r="I270" s="5" t="n">
        <v>150.1</v>
      </c>
      <c r="J270" s="3" t="inlineStr">
        <is>
          <t>오송읍</t>
        </is>
      </c>
    </row>
    <row r="271">
      <c r="A271" s="3" t="n">
        <v>2023</v>
      </c>
      <c r="B271" s="4" t="n">
        <v>1997</v>
      </c>
      <c r="C271" s="4" t="n">
        <v>44.9</v>
      </c>
      <c r="D271" s="3" t="inlineStr">
        <is>
          <t>오송읍</t>
        </is>
      </c>
      <c r="E271" s="3" t="inlineStr">
        <is>
          <t>공북리</t>
        </is>
      </c>
      <c r="F271" s="3" t="inlineStr">
        <is>
          <t>계획관리지역</t>
        </is>
      </c>
      <c r="G271" s="3" t="inlineStr">
        <is>
          <t>답</t>
        </is>
      </c>
      <c r="H271" s="4" t="n">
        <v>13.58225</v>
      </c>
      <c r="I271" s="5" t="n">
        <v>147</v>
      </c>
      <c r="J271" s="3" t="inlineStr">
        <is>
          <t>오송읍</t>
        </is>
      </c>
    </row>
    <row r="272">
      <c r="A272" s="3" t="n">
        <v>2023</v>
      </c>
      <c r="B272" s="4" t="n">
        <v>47400</v>
      </c>
      <c r="C272" s="4" t="n">
        <v>3577</v>
      </c>
      <c r="D272" s="3" t="inlineStr">
        <is>
          <t>강내면</t>
        </is>
      </c>
      <c r="E272" s="3" t="inlineStr">
        <is>
          <t>월곡리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1082.0425</v>
      </c>
      <c r="I272" s="5" t="n">
        <v>43.8</v>
      </c>
      <c r="J272" s="3" t="inlineStr">
        <is>
          <t>강내면</t>
        </is>
      </c>
    </row>
    <row r="273">
      <c r="A273" s="3" t="n">
        <v>2023</v>
      </c>
      <c r="B273" s="4" t="n">
        <v>10600</v>
      </c>
      <c r="C273" s="4" t="n">
        <v>800</v>
      </c>
      <c r="D273" s="3" t="inlineStr">
        <is>
          <t>강내면</t>
        </is>
      </c>
      <c r="E273" s="3" t="inlineStr">
        <is>
          <t>월곡리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242</v>
      </c>
      <c r="I273" s="5" t="n">
        <v>43.8</v>
      </c>
      <c r="J273" s="3" t="inlineStr">
        <is>
          <t>강내면</t>
        </is>
      </c>
    </row>
    <row r="274">
      <c r="A274" s="3" t="n">
        <v>2023</v>
      </c>
      <c r="B274" s="4" t="n">
        <v>812</v>
      </c>
      <c r="C274" s="4" t="n">
        <v>27</v>
      </c>
      <c r="D274" s="3" t="inlineStr">
        <is>
          <t>강내면</t>
        </is>
      </c>
      <c r="E274" s="3" t="inlineStr">
        <is>
          <t>태성리</t>
        </is>
      </c>
      <c r="F274" s="3" t="inlineStr">
        <is>
          <t>계획관리지역</t>
        </is>
      </c>
      <c r="G274" s="3" t="inlineStr">
        <is>
          <t>공장용지</t>
        </is>
      </c>
      <c r="H274" s="4" t="n">
        <v>8.1675</v>
      </c>
      <c r="I274" s="5" t="n">
        <v>99.40000000000001</v>
      </c>
      <c r="J274" s="3" t="inlineStr">
        <is>
          <t>강내면</t>
        </is>
      </c>
    </row>
    <row r="275">
      <c r="A275" s="3" t="n">
        <v>2023</v>
      </c>
      <c r="B275" s="4" t="n">
        <v>23900</v>
      </c>
      <c r="C275" s="4" t="n">
        <v>495</v>
      </c>
      <c r="D275" s="3" t="inlineStr">
        <is>
          <t>오송읍</t>
        </is>
      </c>
      <c r="E275" s="3" t="inlineStr">
        <is>
          <t>정중리</t>
        </is>
      </c>
      <c r="F275" s="3" t="inlineStr">
        <is>
          <t>생산관리지역</t>
        </is>
      </c>
      <c r="G275" s="3" t="inlineStr">
        <is>
          <t>답</t>
        </is>
      </c>
      <c r="H275" s="4" t="n">
        <v>149.7375</v>
      </c>
      <c r="I275" s="5" t="n">
        <v>159.6</v>
      </c>
      <c r="J275" s="3" t="inlineStr">
        <is>
          <t>오송읍</t>
        </is>
      </c>
    </row>
    <row r="276">
      <c r="A276" s="3" t="n">
        <v>2023</v>
      </c>
      <c r="B276" s="4" t="n">
        <v>142000</v>
      </c>
      <c r="C276" s="4" t="n">
        <v>548.8</v>
      </c>
      <c r="D276" s="3" t="inlineStr">
        <is>
          <t>오송읍</t>
        </is>
      </c>
      <c r="E276" s="3" t="inlineStr">
        <is>
          <t>정중리</t>
        </is>
      </c>
      <c r="F276" s="3" t="inlineStr">
        <is>
          <t>준공업지역</t>
        </is>
      </c>
      <c r="G276" s="3" t="inlineStr">
        <is>
          <t>대</t>
        </is>
      </c>
      <c r="H276" s="4" t="n">
        <v>166.012</v>
      </c>
      <c r="I276" s="5" t="n">
        <v>855.4</v>
      </c>
      <c r="J276" s="3" t="inlineStr">
        <is>
          <t>오송읍</t>
        </is>
      </c>
    </row>
    <row r="277">
      <c r="A277" s="3" t="n">
        <v>2024</v>
      </c>
      <c r="B277" s="4" t="n">
        <v>21720</v>
      </c>
      <c r="C277" s="4" t="n">
        <v>359</v>
      </c>
      <c r="D277" s="3" t="inlineStr">
        <is>
          <t>오송읍</t>
        </is>
      </c>
      <c r="E277" s="3" t="inlineStr">
        <is>
          <t>궁평리</t>
        </is>
      </c>
      <c r="F277" s="3" t="inlineStr">
        <is>
          <t>농림지역</t>
        </is>
      </c>
      <c r="G277" s="3" t="inlineStr">
        <is>
          <t>답</t>
        </is>
      </c>
      <c r="H277" s="4" t="n">
        <v>108.5975</v>
      </c>
      <c r="I277" s="5" t="n">
        <v>200</v>
      </c>
      <c r="J277" s="3" t="inlineStr">
        <is>
          <t>오송읍</t>
        </is>
      </c>
    </row>
    <row r="278">
      <c r="A278" s="3" t="n">
        <v>2024</v>
      </c>
      <c r="B278" s="4" t="n">
        <v>10043</v>
      </c>
      <c r="C278" s="4" t="n">
        <v>166</v>
      </c>
      <c r="D278" s="3" t="inlineStr">
        <is>
          <t>오송읍</t>
        </is>
      </c>
      <c r="E278" s="3" t="inlineStr">
        <is>
          <t>궁평리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50.215</v>
      </c>
      <c r="I278" s="5" t="n">
        <v>200</v>
      </c>
      <c r="J278" s="3" t="inlineStr">
        <is>
          <t>오송읍</t>
        </is>
      </c>
    </row>
    <row r="279">
      <c r="A279" s="3" t="n">
        <v>2024</v>
      </c>
      <c r="B279" s="4" t="n">
        <v>99000</v>
      </c>
      <c r="C279" s="4" t="n">
        <v>3808</v>
      </c>
      <c r="D279" s="3" t="inlineStr">
        <is>
          <t>오송읍</t>
        </is>
      </c>
      <c r="E279" s="3" t="inlineStr">
        <is>
          <t>서평리</t>
        </is>
      </c>
      <c r="F279" s="3" t="inlineStr">
        <is>
          <t>농림지역</t>
        </is>
      </c>
      <c r="G279" s="3" t="inlineStr">
        <is>
          <t>답</t>
        </is>
      </c>
      <c r="H279" s="4" t="n">
        <v>1151.92</v>
      </c>
      <c r="I279" s="5" t="n">
        <v>85.90000000000001</v>
      </c>
      <c r="J279" s="3" t="inlineStr">
        <is>
          <t>오송읍</t>
        </is>
      </c>
    </row>
    <row r="280">
      <c r="A280" s="3" t="n">
        <v>2024</v>
      </c>
      <c r="B280" s="4" t="n">
        <v>25000</v>
      </c>
      <c r="C280" s="4" t="n">
        <v>1035</v>
      </c>
      <c r="D280" s="3" t="inlineStr">
        <is>
          <t>강내면</t>
        </is>
      </c>
      <c r="E280" s="3" t="inlineStr">
        <is>
          <t>황탄리</t>
        </is>
      </c>
      <c r="F280" s="3" t="inlineStr">
        <is>
          <t>기타</t>
        </is>
      </c>
      <c r="G280" s="3" t="inlineStr">
        <is>
          <t>전</t>
        </is>
      </c>
      <c r="H280" s="4" t="n">
        <v>313.0875</v>
      </c>
      <c r="I280" s="5" t="n">
        <v>79.8</v>
      </c>
      <c r="J280" s="3" t="inlineStr">
        <is>
          <t>강내면</t>
        </is>
      </c>
    </row>
    <row r="281">
      <c r="A281" s="3" t="n">
        <v>2024</v>
      </c>
      <c r="B281" s="4" t="n">
        <v>10000</v>
      </c>
      <c r="C281" s="4" t="n">
        <v>102</v>
      </c>
      <c r="D281" s="3" t="inlineStr">
        <is>
          <t>오송읍</t>
        </is>
      </c>
      <c r="E281" s="3" t="inlineStr">
        <is>
          <t>오송리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30.855</v>
      </c>
      <c r="I281" s="5" t="n">
        <v>324.1</v>
      </c>
      <c r="J281" s="3" t="inlineStr">
        <is>
          <t>오송읍</t>
        </is>
      </c>
    </row>
    <row r="282">
      <c r="A282" s="3" t="n">
        <v>2024</v>
      </c>
      <c r="B282" s="4" t="n">
        <v>1003</v>
      </c>
      <c r="C282" s="4" t="n">
        <v>109</v>
      </c>
      <c r="D282" s="3" t="inlineStr">
        <is>
          <t>오송읍</t>
        </is>
      </c>
      <c r="E282" s="3" t="inlineStr">
        <is>
          <t>쌍청리</t>
        </is>
      </c>
      <c r="F282" s="3" t="inlineStr">
        <is>
          <t>농림지역</t>
        </is>
      </c>
      <c r="G282" s="3" t="inlineStr">
        <is>
          <t>도로</t>
        </is>
      </c>
      <c r="H282" s="4" t="n">
        <v>32.9725</v>
      </c>
      <c r="I282" s="5" t="n">
        <v>30.4</v>
      </c>
      <c r="J282" s="3" t="inlineStr">
        <is>
          <t>오송읍</t>
        </is>
      </c>
    </row>
    <row r="283">
      <c r="A283" s="3" t="n">
        <v>2024</v>
      </c>
      <c r="B283" s="4" t="n">
        <v>190000</v>
      </c>
      <c r="C283" s="4" t="n">
        <v>12082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임야</t>
        </is>
      </c>
      <c r="H283" s="4" t="n">
        <v>3654.805</v>
      </c>
      <c r="I283" s="5" t="n">
        <v>52</v>
      </c>
      <c r="J283" s="3" t="inlineStr">
        <is>
          <t>강내면</t>
        </is>
      </c>
    </row>
    <row r="284">
      <c r="A284" s="3" t="n">
        <v>2024</v>
      </c>
      <c r="B284" s="4" t="n">
        <v>16363</v>
      </c>
      <c r="C284" s="4" t="n">
        <v>408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123.42</v>
      </c>
      <c r="I284" s="5" t="n">
        <v>132.6</v>
      </c>
      <c r="J284" s="3" t="inlineStr">
        <is>
          <t>강내면</t>
        </is>
      </c>
    </row>
    <row r="285">
      <c r="A285" s="3" t="n">
        <v>2024</v>
      </c>
      <c r="B285" s="4" t="n">
        <v>3048</v>
      </c>
      <c r="C285" s="4" t="n">
        <v>76</v>
      </c>
      <c r="D285" s="3" t="inlineStr">
        <is>
          <t>강내면</t>
        </is>
      </c>
      <c r="E285" s="3" t="inlineStr">
        <is>
          <t>다락리</t>
        </is>
      </c>
      <c r="F285" s="3" t="inlineStr">
        <is>
          <t>계획관리지역</t>
        </is>
      </c>
      <c r="G285" s="3" t="inlineStr">
        <is>
          <t>대</t>
        </is>
      </c>
      <c r="H285" s="4" t="n">
        <v>22.99</v>
      </c>
      <c r="I285" s="5" t="n">
        <v>132.6</v>
      </c>
      <c r="J285" s="3" t="inlineStr">
        <is>
          <t>강내면</t>
        </is>
      </c>
    </row>
    <row r="286">
      <c r="A286" s="3" t="n">
        <v>2024</v>
      </c>
      <c r="B286" s="4" t="n">
        <v>36000</v>
      </c>
      <c r="C286" s="4" t="n">
        <v>1489</v>
      </c>
      <c r="D286" s="3" t="inlineStr">
        <is>
          <t>오송읍</t>
        </is>
      </c>
      <c r="E286" s="3" t="inlineStr">
        <is>
          <t>호계리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450.4225</v>
      </c>
      <c r="I286" s="5" t="n">
        <v>79.90000000000001</v>
      </c>
      <c r="J286" s="3" t="inlineStr">
        <is>
          <t>오송읍</t>
        </is>
      </c>
    </row>
    <row r="287">
      <c r="A287" s="3" t="n">
        <v>2024</v>
      </c>
      <c r="B287" s="4" t="n">
        <v>20000</v>
      </c>
      <c r="C287" s="4" t="n">
        <v>1578</v>
      </c>
      <c r="D287" s="3" t="inlineStr">
        <is>
          <t>오송읍</t>
        </is>
      </c>
      <c r="E287" s="3" t="inlineStr">
        <is>
          <t>상봉리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477.345</v>
      </c>
      <c r="I287" s="5" t="n">
        <v>41.9</v>
      </c>
      <c r="J287" s="3" t="inlineStr">
        <is>
          <t>오송읍</t>
        </is>
      </c>
    </row>
    <row r="288">
      <c r="A288" s="3" t="n">
        <v>2024</v>
      </c>
      <c r="B288" s="4" t="n">
        <v>23000</v>
      </c>
      <c r="C288" s="4" t="n">
        <v>493</v>
      </c>
      <c r="D288" s="3" t="inlineStr">
        <is>
          <t>오송읍</t>
        </is>
      </c>
      <c r="E288" s="3" t="inlineStr">
        <is>
          <t>궁평리</t>
        </is>
      </c>
      <c r="F288" s="3" t="inlineStr">
        <is>
          <t>농림지역</t>
        </is>
      </c>
      <c r="G288" s="3" t="inlineStr">
        <is>
          <t>대</t>
        </is>
      </c>
      <c r="H288" s="4" t="n">
        <v>149.1325</v>
      </c>
      <c r="I288" s="5" t="n">
        <v>154.2</v>
      </c>
      <c r="J288" s="3" t="inlineStr">
        <is>
          <t>오송읍</t>
        </is>
      </c>
    </row>
    <row r="289">
      <c r="A289" s="3" t="n">
        <v>2024</v>
      </c>
      <c r="B289" s="4" t="n">
        <v>2850</v>
      </c>
      <c r="C289" s="4" t="n">
        <v>94</v>
      </c>
      <c r="D289" s="3" t="inlineStr">
        <is>
          <t>강내면</t>
        </is>
      </c>
      <c r="E289" s="3" t="inlineStr">
        <is>
          <t>산단리</t>
        </is>
      </c>
      <c r="F289" s="3" t="inlineStr">
        <is>
          <t>기타</t>
        </is>
      </c>
      <c r="G289" s="3" t="inlineStr">
        <is>
          <t>답</t>
        </is>
      </c>
      <c r="H289" s="4" t="n">
        <v>28.435</v>
      </c>
      <c r="I289" s="5" t="n">
        <v>100.2</v>
      </c>
      <c r="J289" s="3" t="inlineStr">
        <is>
          <t>강내면</t>
        </is>
      </c>
    </row>
    <row r="290">
      <c r="A290" s="3" t="n">
        <v>2024</v>
      </c>
      <c r="B290" s="4" t="n">
        <v>39930</v>
      </c>
      <c r="C290" s="4" t="n">
        <v>660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199.65</v>
      </c>
      <c r="I290" s="5" t="n">
        <v>200</v>
      </c>
      <c r="J290" s="3" t="inlineStr">
        <is>
          <t>오송읍</t>
        </is>
      </c>
    </row>
    <row r="291">
      <c r="A291" s="3" t="n">
        <v>2024</v>
      </c>
      <c r="B291" s="4" t="n">
        <v>8712</v>
      </c>
      <c r="C291" s="4" t="n">
        <v>144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답</t>
        </is>
      </c>
      <c r="H291" s="4" t="n">
        <v>43.56</v>
      </c>
      <c r="I291" s="5" t="n">
        <v>200</v>
      </c>
      <c r="J291" s="3" t="inlineStr">
        <is>
          <t>오송읍</t>
        </is>
      </c>
    </row>
    <row r="292">
      <c r="A292" s="3" t="n">
        <v>2024</v>
      </c>
      <c r="B292" s="4" t="n">
        <v>24321</v>
      </c>
      <c r="C292" s="4" t="n">
        <v>402</v>
      </c>
      <c r="D292" s="3" t="inlineStr">
        <is>
          <t>오송읍</t>
        </is>
      </c>
      <c r="E292" s="3" t="inlineStr">
        <is>
          <t>궁평리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121.605</v>
      </c>
      <c r="I292" s="5" t="n">
        <v>200</v>
      </c>
      <c r="J292" s="3" t="inlineStr">
        <is>
          <t>오송읍</t>
        </is>
      </c>
    </row>
    <row r="293">
      <c r="A293" s="3" t="n">
        <v>2024</v>
      </c>
      <c r="B293" s="4" t="n">
        <v>9800</v>
      </c>
      <c r="C293" s="4" t="n">
        <v>429</v>
      </c>
      <c r="D293" s="3" t="inlineStr">
        <is>
          <t>오송읍</t>
        </is>
      </c>
      <c r="E293" s="3" t="inlineStr">
        <is>
          <t>상정리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129.7725</v>
      </c>
      <c r="I293" s="5" t="n">
        <v>75.5</v>
      </c>
      <c r="J293" s="3" t="inlineStr">
        <is>
          <t>오송읍</t>
        </is>
      </c>
    </row>
    <row r="294">
      <c r="A294" s="3" t="n">
        <v>2024</v>
      </c>
      <c r="B294" s="4" t="n">
        <v>20000</v>
      </c>
      <c r="C294" s="4" t="n">
        <v>2688</v>
      </c>
      <c r="D294" s="3" t="inlineStr">
        <is>
          <t>강내면</t>
        </is>
      </c>
      <c r="E294" s="3" t="inlineStr">
        <is>
          <t>학천리</t>
        </is>
      </c>
      <c r="F294" s="3" t="inlineStr">
        <is>
          <t>자연녹지지역</t>
        </is>
      </c>
      <c r="G294" s="3" t="inlineStr">
        <is>
          <t>답</t>
        </is>
      </c>
      <c r="H294" s="4" t="n">
        <v>813.12</v>
      </c>
      <c r="I294" s="5" t="n">
        <v>24.6</v>
      </c>
      <c r="J294" s="3" t="inlineStr">
        <is>
          <t>강내면</t>
        </is>
      </c>
    </row>
    <row r="295">
      <c r="A295" s="3" t="n">
        <v>2024</v>
      </c>
      <c r="B295" s="4" t="n">
        <v>32000</v>
      </c>
      <c r="C295" s="4" t="n">
        <v>234.7</v>
      </c>
      <c r="D295" s="3" t="inlineStr">
        <is>
          <t>오송읍</t>
        </is>
      </c>
      <c r="E295" s="3" t="inlineStr">
        <is>
          <t>봉산리</t>
        </is>
      </c>
      <c r="F295" s="3" t="inlineStr">
        <is>
          <t>제1종일반주거지역</t>
        </is>
      </c>
      <c r="G295" s="3" t="inlineStr">
        <is>
          <t>대</t>
        </is>
      </c>
      <c r="H295" s="4" t="n">
        <v>70.99674999999999</v>
      </c>
      <c r="I295" s="5" t="n">
        <v>450.7</v>
      </c>
      <c r="J295" s="3" t="inlineStr">
        <is>
          <t>오송읍</t>
        </is>
      </c>
    </row>
    <row r="296">
      <c r="A296" s="3" t="n">
        <v>2024</v>
      </c>
      <c r="B296" s="4" t="n">
        <v>210300</v>
      </c>
      <c r="C296" s="4" t="n">
        <v>3717</v>
      </c>
      <c r="D296" s="3" t="inlineStr">
        <is>
          <t>오송읍</t>
        </is>
      </c>
      <c r="E296" s="3" t="inlineStr">
        <is>
          <t>궁평리</t>
        </is>
      </c>
      <c r="F296" s="3" t="inlineStr">
        <is>
          <t>농림지역</t>
        </is>
      </c>
      <c r="G296" s="3" t="inlineStr">
        <is>
          <t>답</t>
        </is>
      </c>
      <c r="H296" s="4" t="n">
        <v>1124.3925</v>
      </c>
      <c r="I296" s="5" t="n">
        <v>187</v>
      </c>
      <c r="J296" s="3" t="inlineStr">
        <is>
          <t>오송읍</t>
        </is>
      </c>
    </row>
    <row r="297">
      <c r="A297" s="3" t="n">
        <v>2024</v>
      </c>
      <c r="B297" s="4" t="n">
        <v>8000</v>
      </c>
      <c r="C297" s="4" t="n">
        <v>177</v>
      </c>
      <c r="D297" s="3" t="inlineStr">
        <is>
          <t>오송읍</t>
        </is>
      </c>
      <c r="E297" s="3" t="inlineStr">
        <is>
          <t>궁평리</t>
        </is>
      </c>
      <c r="F297" s="3" t="inlineStr">
        <is>
          <t>농림지역</t>
        </is>
      </c>
      <c r="G297" s="3" t="inlineStr">
        <is>
          <t>도로</t>
        </is>
      </c>
      <c r="H297" s="4" t="n">
        <v>53.5425</v>
      </c>
      <c r="I297" s="5" t="n">
        <v>149.4</v>
      </c>
      <c r="J297" s="3" t="inlineStr">
        <is>
          <t>오송읍</t>
        </is>
      </c>
    </row>
    <row r="298">
      <c r="A298" s="3" t="n">
        <v>2024</v>
      </c>
      <c r="B298" s="4" t="n">
        <v>3474</v>
      </c>
      <c r="C298" s="4" t="n">
        <v>172</v>
      </c>
      <c r="D298" s="3" t="inlineStr">
        <is>
          <t>강내면</t>
        </is>
      </c>
      <c r="E298" s="3" t="inlineStr">
        <is>
          <t>다락리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52.03</v>
      </c>
      <c r="I298" s="5" t="n">
        <v>66.8</v>
      </c>
      <c r="J298" s="3" t="inlineStr">
        <is>
          <t>강내면</t>
        </is>
      </c>
    </row>
    <row r="299">
      <c r="A299" s="3" t="n">
        <v>2024</v>
      </c>
      <c r="B299" s="4" t="n">
        <v>50000</v>
      </c>
      <c r="C299" s="4" t="n">
        <v>247.2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74.77799999999999</v>
      </c>
      <c r="I299" s="5" t="n">
        <v>668.6</v>
      </c>
      <c r="J299" s="3" t="inlineStr">
        <is>
          <t>오송읍</t>
        </is>
      </c>
    </row>
    <row r="300">
      <c r="A300" s="3" t="n">
        <v>2025</v>
      </c>
      <c r="B300" s="4" t="n">
        <v>500</v>
      </c>
      <c r="C300" s="4" t="n">
        <v>10</v>
      </c>
      <c r="D300" s="3" t="inlineStr">
        <is>
          <t>오송읍</t>
        </is>
      </c>
      <c r="E300" s="3" t="inlineStr">
        <is>
          <t>봉산리</t>
        </is>
      </c>
      <c r="F300" s="3" t="inlineStr">
        <is>
          <t>계획관리지역</t>
        </is>
      </c>
      <c r="G300" s="3" t="inlineStr">
        <is>
          <t>답</t>
        </is>
      </c>
      <c r="H300" s="4" t="n">
        <v>3.025</v>
      </c>
      <c r="I300" s="5" t="n">
        <v>165.3</v>
      </c>
      <c r="J300" s="3" t="inlineStr">
        <is>
          <t>오송읍</t>
        </is>
      </c>
    </row>
    <row r="301">
      <c r="A301" s="3" t="n">
        <v>2025</v>
      </c>
      <c r="B301" s="4" t="n">
        <v>9000</v>
      </c>
      <c r="C301" s="4" t="n">
        <v>744</v>
      </c>
      <c r="D301" s="3" t="inlineStr">
        <is>
          <t>오송읍</t>
        </is>
      </c>
      <c r="E301" s="3" t="inlineStr">
        <is>
          <t>서평리</t>
        </is>
      </c>
      <c r="F301" s="3" t="inlineStr">
        <is>
          <t>농림지역</t>
        </is>
      </c>
      <c r="G301" s="3" t="inlineStr">
        <is>
          <t>전</t>
        </is>
      </c>
      <c r="H301" s="4" t="n">
        <v>225.06</v>
      </c>
      <c r="I301" s="5" t="n">
        <v>40</v>
      </c>
      <c r="J301" s="3" t="inlineStr">
        <is>
          <t>오송읍</t>
        </is>
      </c>
    </row>
    <row r="302">
      <c r="A302" s="3" t="n">
        <v>2025</v>
      </c>
      <c r="B302" s="4" t="n">
        <v>21587</v>
      </c>
      <c r="C302" s="4" t="n">
        <v>2198</v>
      </c>
      <c r="D302" s="3" t="inlineStr">
        <is>
          <t>오송읍</t>
        </is>
      </c>
      <c r="E302" s="3" t="inlineStr">
        <is>
          <t>동평리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664.895</v>
      </c>
      <c r="I302" s="5" t="n">
        <v>32.5</v>
      </c>
      <c r="J302" s="3" t="inlineStr">
        <is>
          <t>오송읍</t>
        </is>
      </c>
    </row>
    <row r="303">
      <c r="A303" s="3" t="n">
        <v>2025</v>
      </c>
      <c r="B303" s="4" t="n">
        <v>3413</v>
      </c>
      <c r="C303" s="4" t="n">
        <v>347</v>
      </c>
      <c r="D303" s="3" t="inlineStr">
        <is>
          <t>오송읍</t>
        </is>
      </c>
      <c r="E303" s="3" t="inlineStr">
        <is>
          <t>동평리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104.9675</v>
      </c>
      <c r="I303" s="5" t="n">
        <v>32.5</v>
      </c>
      <c r="J303" s="3" t="inlineStr">
        <is>
          <t>오송읍</t>
        </is>
      </c>
    </row>
    <row r="304">
      <c r="A304" s="3" t="n">
        <v>2025</v>
      </c>
      <c r="B304" s="4" t="n">
        <v>460</v>
      </c>
      <c r="C304" s="4" t="n">
        <v>75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전</t>
        </is>
      </c>
      <c r="H304" s="4" t="n">
        <v>22.6875</v>
      </c>
      <c r="I304" s="5" t="n">
        <v>20.3</v>
      </c>
      <c r="J304" s="3" t="inlineStr">
        <is>
          <t>강내면</t>
        </is>
      </c>
    </row>
    <row r="305">
      <c r="A305" s="3" t="n">
        <v>2025</v>
      </c>
      <c r="B305" s="4" t="n">
        <v>1600</v>
      </c>
      <c r="C305" s="4" t="n">
        <v>265</v>
      </c>
      <c r="D305" s="3" t="inlineStr">
        <is>
          <t>강내면</t>
        </is>
      </c>
      <c r="E305" s="3" t="inlineStr">
        <is>
          <t>다락리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80.16249999999999</v>
      </c>
      <c r="I305" s="5" t="n">
        <v>20</v>
      </c>
      <c r="J305" s="3" t="inlineStr">
        <is>
          <t>강내면</t>
        </is>
      </c>
    </row>
    <row r="306">
      <c r="A306" s="3" t="n">
        <v>2025</v>
      </c>
      <c r="B306" s="4" t="n">
        <v>28500</v>
      </c>
      <c r="C306" s="4" t="n">
        <v>2658</v>
      </c>
      <c r="D306" s="3" t="inlineStr">
        <is>
          <t>오송읍</t>
        </is>
      </c>
      <c r="E306" s="3" t="inlineStr">
        <is>
          <t>오송리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804.045</v>
      </c>
      <c r="I306" s="5" t="n">
        <v>35.4</v>
      </c>
      <c r="J306" s="3" t="inlineStr">
        <is>
          <t>오송읍</t>
        </is>
      </c>
    </row>
    <row r="307">
      <c r="A307" s="3" t="n">
        <v>2025</v>
      </c>
      <c r="B307" s="4" t="n">
        <v>2000</v>
      </c>
      <c r="C307" s="4" t="n">
        <v>51</v>
      </c>
      <c r="D307" s="3" t="inlineStr">
        <is>
          <t>오송읍</t>
        </is>
      </c>
      <c r="E307" s="3" t="inlineStr">
        <is>
          <t>연제리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15.4275</v>
      </c>
      <c r="I307" s="5" t="n">
        <v>129.6</v>
      </c>
      <c r="J307" s="3" t="inlineStr">
        <is>
          <t>오송읍</t>
        </is>
      </c>
    </row>
    <row r="308">
      <c r="A308" s="3" t="n">
        <v>2025</v>
      </c>
      <c r="B308" s="4" t="n">
        <v>24000</v>
      </c>
      <c r="C308" s="4" t="n">
        <v>1279</v>
      </c>
      <c r="D308" s="3" t="inlineStr">
        <is>
          <t>오송읍</t>
        </is>
      </c>
      <c r="E308" s="3" t="inlineStr">
        <is>
          <t>서평리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386.8975</v>
      </c>
      <c r="I308" s="5" t="n">
        <v>62</v>
      </c>
      <c r="J308" s="3" t="inlineStr">
        <is>
          <t>오송읍</t>
        </is>
      </c>
    </row>
    <row r="309">
      <c r="A309" s="3" t="n">
        <v>2025</v>
      </c>
      <c r="B309" s="4" t="n">
        <v>47000</v>
      </c>
      <c r="C309" s="4" t="n">
        <v>3411</v>
      </c>
      <c r="D309" s="3" t="inlineStr">
        <is>
          <t>강내면</t>
        </is>
      </c>
      <c r="E309" s="3" t="inlineStr">
        <is>
          <t>궁현리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1031.8275</v>
      </c>
      <c r="I309" s="5" t="n">
        <v>45.6</v>
      </c>
      <c r="J309" s="3" t="inlineStr">
        <is>
          <t>강내면</t>
        </is>
      </c>
    </row>
    <row r="310">
      <c r="A310" s="3" t="n">
        <v>2025</v>
      </c>
      <c r="B310" s="4" t="n">
        <v>1500</v>
      </c>
      <c r="C310" s="4" t="n">
        <v>2075</v>
      </c>
      <c r="D310" s="3" t="inlineStr">
        <is>
          <t>강내면</t>
        </is>
      </c>
      <c r="E310" s="3" t="inlineStr">
        <is>
          <t>산단리</t>
        </is>
      </c>
      <c r="F310" s="3" t="inlineStr">
        <is>
          <t>계획관리지역</t>
        </is>
      </c>
      <c r="G310" s="3" t="inlineStr">
        <is>
          <t>임야</t>
        </is>
      </c>
      <c r="H310" s="4" t="n">
        <v>627.6875</v>
      </c>
      <c r="I310" s="5" t="n">
        <v>2.4</v>
      </c>
      <c r="J310" s="3" t="inlineStr">
        <is>
          <t>강내면</t>
        </is>
      </c>
    </row>
    <row r="311">
      <c r="A311" s="3" t="n">
        <v>2025</v>
      </c>
      <c r="B311" s="4" t="n">
        <v>4364</v>
      </c>
      <c r="C311" s="4" t="n">
        <v>608</v>
      </c>
      <c r="D311" s="3" t="inlineStr">
        <is>
          <t>강내면</t>
        </is>
      </c>
      <c r="E311" s="3" t="inlineStr">
        <is>
          <t>산단리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183.92</v>
      </c>
      <c r="I311" s="5" t="n">
        <v>23.7</v>
      </c>
      <c r="J311" s="3" t="inlineStr">
        <is>
          <t>강내면</t>
        </is>
      </c>
    </row>
    <row r="312">
      <c r="A312" s="3" t="n">
        <v>2025</v>
      </c>
      <c r="B312" s="4" t="n">
        <v>11447</v>
      </c>
      <c r="C312" s="4" t="n">
        <v>1595</v>
      </c>
      <c r="D312" s="3" t="inlineStr">
        <is>
          <t>강내면</t>
        </is>
      </c>
      <c r="E312" s="3" t="inlineStr">
        <is>
          <t>산단리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482.4875</v>
      </c>
      <c r="I312" s="5" t="n">
        <v>23.7</v>
      </c>
      <c r="J312" s="3" t="inlineStr">
        <is>
          <t>강내면</t>
        </is>
      </c>
    </row>
    <row r="313">
      <c r="A313" s="3" t="n">
        <v>2025</v>
      </c>
      <c r="B313" s="4" t="n">
        <v>14189</v>
      </c>
      <c r="C313" s="4" t="n">
        <v>1977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답</t>
        </is>
      </c>
      <c r="H313" s="4" t="n">
        <v>598.0425</v>
      </c>
      <c r="I313" s="5" t="n">
        <v>23.7</v>
      </c>
      <c r="J313" s="3" t="inlineStr">
        <is>
          <t>강내면</t>
        </is>
      </c>
    </row>
    <row r="314">
      <c r="A314" s="3" t="n">
        <v>2025</v>
      </c>
      <c r="B314" s="4" t="n">
        <v>18000</v>
      </c>
      <c r="C314" s="4" t="n">
        <v>3319</v>
      </c>
      <c r="D314" s="3" t="inlineStr">
        <is>
          <t>강내면</t>
        </is>
      </c>
      <c r="E314" s="3" t="inlineStr">
        <is>
          <t>황탄리</t>
        </is>
      </c>
      <c r="F314" s="3" t="inlineStr">
        <is>
          <t>농림지역</t>
        </is>
      </c>
      <c r="G314" s="3" t="inlineStr">
        <is>
          <t>전</t>
        </is>
      </c>
      <c r="H314" s="4" t="n">
        <v>1003.9975</v>
      </c>
      <c r="I314" s="5" t="n">
        <v>17.9</v>
      </c>
      <c r="J314" s="3" t="inlineStr">
        <is>
          <t>강내면</t>
        </is>
      </c>
    </row>
    <row r="315">
      <c r="A315" s="3" t="n">
        <v>2025</v>
      </c>
      <c r="B315" s="4" t="n">
        <v>20308</v>
      </c>
      <c r="C315" s="4" t="n">
        <v>223.6</v>
      </c>
      <c r="D315" s="3" t="inlineStr">
        <is>
          <t>오송읍</t>
        </is>
      </c>
      <c r="E315" s="3" t="inlineStr">
        <is>
          <t>오송리</t>
        </is>
      </c>
      <c r="F315" s="3" t="inlineStr">
        <is>
          <t>용도미지정</t>
        </is>
      </c>
      <c r="G315" s="3" t="inlineStr">
        <is>
          <t>대</t>
        </is>
      </c>
      <c r="H315" s="4" t="n">
        <v>67.639</v>
      </c>
      <c r="I315" s="5" t="n">
        <v>300.2</v>
      </c>
      <c r="J315" s="3" t="inlineStr">
        <is>
          <t>오송읍</t>
        </is>
      </c>
    </row>
    <row r="316">
      <c r="A316" s="3" t="n">
        <v>2025</v>
      </c>
      <c r="B316" s="4" t="n">
        <v>35000</v>
      </c>
      <c r="C316" s="4" t="n">
        <v>1105</v>
      </c>
      <c r="D316" s="3" t="inlineStr">
        <is>
          <t>오송읍</t>
        </is>
      </c>
      <c r="E316" s="3" t="inlineStr">
        <is>
          <t>정중리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334.2625</v>
      </c>
      <c r="I316" s="5" t="n">
        <v>104.7</v>
      </c>
      <c r="J316" s="3" t="inlineStr">
        <is>
          <t>오송읍</t>
        </is>
      </c>
    </row>
    <row r="317">
      <c r="A317" s="3" t="n">
        <v>2025</v>
      </c>
      <c r="B317" s="4" t="n">
        <v>39800</v>
      </c>
      <c r="C317" s="4" t="n">
        <v>1269</v>
      </c>
      <c r="D317" s="3" t="inlineStr">
        <is>
          <t>강내면</t>
        </is>
      </c>
      <c r="E317" s="3" t="inlineStr">
        <is>
          <t>월곡리</t>
        </is>
      </c>
      <c r="F317" s="3" t="inlineStr">
        <is>
          <t>자연녹지지역</t>
        </is>
      </c>
      <c r="G317" s="3" t="inlineStr">
        <is>
          <t>답</t>
        </is>
      </c>
      <c r="H317" s="4" t="n">
        <v>383.8725</v>
      </c>
      <c r="I317" s="5" t="n">
        <v>103.7</v>
      </c>
      <c r="J317" s="3" t="inlineStr">
        <is>
          <t>강내면</t>
        </is>
      </c>
    </row>
    <row r="318">
      <c r="A318" s="3" t="n">
        <v>2025</v>
      </c>
      <c r="B318" s="4" t="n">
        <v>4600</v>
      </c>
      <c r="C318" s="4" t="n">
        <v>387</v>
      </c>
      <c r="D318" s="3" t="inlineStr">
        <is>
          <t>오송읍</t>
        </is>
      </c>
      <c r="E318" s="3" t="inlineStr">
        <is>
          <t>서평리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117.0675</v>
      </c>
      <c r="I318" s="5" t="n">
        <v>39.3</v>
      </c>
      <c r="J318" s="3" t="inlineStr">
        <is>
          <t>오송읍</t>
        </is>
      </c>
    </row>
    <row r="319">
      <c r="A319" s="3" t="n">
        <v>2025</v>
      </c>
      <c r="B319" s="4" t="n">
        <v>11200</v>
      </c>
      <c r="C319" s="4" t="n">
        <v>566</v>
      </c>
      <c r="D319" s="3" t="inlineStr">
        <is>
          <t>강내면</t>
        </is>
      </c>
      <c r="E319" s="3" t="inlineStr">
        <is>
          <t>당곡리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171.215</v>
      </c>
      <c r="I319" s="5" t="n">
        <v>65.40000000000001</v>
      </c>
      <c r="J319" s="3" t="inlineStr">
        <is>
          <t>강내면</t>
        </is>
      </c>
    </row>
    <row r="320">
      <c r="A320" s="3" t="n">
        <v>2025</v>
      </c>
      <c r="B320" s="4" t="n">
        <v>36000</v>
      </c>
      <c r="C320" s="4" t="n">
        <v>287.2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86.878</v>
      </c>
      <c r="I320" s="5" t="n">
        <v>414.4</v>
      </c>
      <c r="J320" s="3" t="inlineStr">
        <is>
          <t>오송읍</t>
        </is>
      </c>
    </row>
    <row r="321">
      <c r="A321" s="3" t="n">
        <v>2025</v>
      </c>
      <c r="B321" s="4" t="n">
        <v>4600</v>
      </c>
      <c r="C321" s="4" t="n">
        <v>76</v>
      </c>
      <c r="D321" s="3" t="inlineStr">
        <is>
          <t>오송읍</t>
        </is>
      </c>
      <c r="E321" s="3" t="inlineStr">
        <is>
          <t>상정리</t>
        </is>
      </c>
      <c r="F321" s="3" t="inlineStr">
        <is>
          <t>계획관리지역</t>
        </is>
      </c>
      <c r="G321" s="3" t="inlineStr">
        <is>
          <t>창고용지</t>
        </is>
      </c>
      <c r="H321" s="4" t="n">
        <v>22.99</v>
      </c>
      <c r="I321" s="5" t="n">
        <v>200.1</v>
      </c>
      <c r="J321" s="3" t="inlineStr">
        <is>
          <t>오송읍</t>
        </is>
      </c>
    </row>
    <row r="322">
      <c r="A322" s="3" t="n">
        <v>2025</v>
      </c>
      <c r="B322" s="4" t="n">
        <v>2640</v>
      </c>
      <c r="C322" s="4" t="n">
        <v>47</v>
      </c>
      <c r="D322" s="3" t="inlineStr">
        <is>
          <t>강내면</t>
        </is>
      </c>
      <c r="E322" s="3" t="inlineStr">
        <is>
          <t>월탄리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14.2175</v>
      </c>
      <c r="I322" s="5" t="n">
        <v>185.7</v>
      </c>
      <c r="J322" s="3" t="inlineStr">
        <is>
          <t>강내면</t>
        </is>
      </c>
    </row>
    <row r="323">
      <c r="A323" s="3" t="n">
        <v>2025</v>
      </c>
      <c r="B323" s="4" t="n">
        <v>3641</v>
      </c>
      <c r="C323" s="4" t="n">
        <v>63</v>
      </c>
      <c r="D323" s="3" t="inlineStr">
        <is>
          <t>강내면</t>
        </is>
      </c>
      <c r="E323" s="3" t="inlineStr">
        <is>
          <t>월탄리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19.0575</v>
      </c>
      <c r="I323" s="5" t="n">
        <v>191.1</v>
      </c>
      <c r="J323" s="3" t="inlineStr">
        <is>
          <t>강내면</t>
        </is>
      </c>
    </row>
    <row r="324">
      <c r="A324" s="3" t="n">
        <v>2025</v>
      </c>
      <c r="B324" s="4" t="n">
        <v>7686</v>
      </c>
      <c r="C324" s="4" t="n">
        <v>133</v>
      </c>
      <c r="D324" s="3" t="inlineStr">
        <is>
          <t>강내면</t>
        </is>
      </c>
      <c r="E324" s="3" t="inlineStr">
        <is>
          <t>월탄리</t>
        </is>
      </c>
      <c r="F324" s="3" t="inlineStr">
        <is>
          <t>계획관리지역</t>
        </is>
      </c>
      <c r="G324" s="3" t="inlineStr">
        <is>
          <t>전</t>
        </is>
      </c>
      <c r="H324" s="4" t="n">
        <v>40.2325</v>
      </c>
      <c r="I324" s="5" t="n">
        <v>191</v>
      </c>
      <c r="J324" s="3" t="inlineStr">
        <is>
          <t>강내면</t>
        </is>
      </c>
    </row>
    <row r="325">
      <c r="A325" s="3" t="n">
        <v>2025</v>
      </c>
      <c r="B325" s="4" t="n">
        <v>12700</v>
      </c>
      <c r="C325" s="4" t="n">
        <v>635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192.0875</v>
      </c>
      <c r="I325" s="5" t="n">
        <v>66.09999999999999</v>
      </c>
      <c r="J325" s="3" t="inlineStr">
        <is>
          <t>오송읍</t>
        </is>
      </c>
    </row>
    <row r="326">
      <c r="A326" s="3" t="n">
        <v>2025</v>
      </c>
      <c r="B326" s="4" t="n">
        <v>65000</v>
      </c>
      <c r="C326" s="4" t="n">
        <v>3233</v>
      </c>
      <c r="D326" s="3" t="inlineStr">
        <is>
          <t>오송읍</t>
        </is>
      </c>
      <c r="E326" s="3" t="inlineStr">
        <is>
          <t>서평리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977.9825</v>
      </c>
      <c r="I326" s="5" t="n">
        <v>66.5</v>
      </c>
      <c r="J326" s="3" t="inlineStr">
        <is>
          <t>오송읍</t>
        </is>
      </c>
    </row>
    <row r="327">
      <c r="A327" s="3" t="n">
        <v>2025</v>
      </c>
      <c r="B327" s="4" t="n">
        <v>20300</v>
      </c>
      <c r="C327" s="4" t="n">
        <v>1012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306.13</v>
      </c>
      <c r="I327" s="5" t="n">
        <v>66.3</v>
      </c>
      <c r="J327" s="3" t="inlineStr">
        <is>
          <t>오송읍</t>
        </is>
      </c>
    </row>
    <row r="328">
      <c r="A328" s="3" t="n">
        <v>2025</v>
      </c>
      <c r="B328" s="4" t="n">
        <v>4803</v>
      </c>
      <c r="C328" s="4" t="n">
        <v>635</v>
      </c>
      <c r="D328" s="3" t="inlineStr">
        <is>
          <t>오송읍</t>
        </is>
      </c>
      <c r="E328" s="3" t="inlineStr">
        <is>
          <t>쌍청리</t>
        </is>
      </c>
      <c r="F328" s="3" t="inlineStr">
        <is>
          <t>농림지역</t>
        </is>
      </c>
      <c r="G328" s="3" t="inlineStr">
        <is>
          <t>전</t>
        </is>
      </c>
      <c r="H328" s="4" t="n">
        <v>192.0875</v>
      </c>
      <c r="I328" s="5" t="n">
        <v>25</v>
      </c>
      <c r="J328" s="3" t="inlineStr">
        <is>
          <t>오송읍</t>
        </is>
      </c>
    </row>
    <row r="329">
      <c r="A329" s="3" t="n">
        <v>2025</v>
      </c>
      <c r="B329" s="4" t="n">
        <v>197</v>
      </c>
      <c r="C329" s="4" t="n">
        <v>26</v>
      </c>
      <c r="D329" s="3" t="inlineStr">
        <is>
          <t>오송읍</t>
        </is>
      </c>
      <c r="E329" s="3" t="inlineStr">
        <is>
          <t>쌍청리</t>
        </is>
      </c>
      <c r="F329" s="3" t="inlineStr">
        <is>
          <t>농림지역</t>
        </is>
      </c>
      <c r="G329" s="3" t="inlineStr">
        <is>
          <t>전</t>
        </is>
      </c>
      <c r="H329" s="4" t="n">
        <v>7.865</v>
      </c>
      <c r="I329" s="5" t="n">
        <v>25</v>
      </c>
      <c r="J329" s="3" t="inlineStr">
        <is>
          <t>오송읍</t>
        </is>
      </c>
    </row>
    <row r="330">
      <c r="A330" s="3" t="n">
        <v>2025</v>
      </c>
      <c r="B330" s="4" t="n">
        <v>1200</v>
      </c>
      <c r="C330" s="4" t="n">
        <v>15</v>
      </c>
      <c r="D330" s="3" t="inlineStr">
        <is>
          <t>오송읍</t>
        </is>
      </c>
      <c r="E330" s="3" t="inlineStr">
        <is>
          <t>오송리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4.5375</v>
      </c>
      <c r="I330" s="5" t="n">
        <v>264.5</v>
      </c>
      <c r="J330" s="3" t="inlineStr">
        <is>
          <t>오송읍</t>
        </is>
      </c>
    </row>
    <row r="331">
      <c r="A331" s="3" t="n">
        <v>2025</v>
      </c>
      <c r="B331" s="4" t="n">
        <v>64724</v>
      </c>
      <c r="C331" s="4" t="n">
        <v>2647</v>
      </c>
      <c r="D331" s="3" t="inlineStr">
        <is>
          <t>오송읍</t>
        </is>
      </c>
      <c r="E331" s="3" t="inlineStr">
        <is>
          <t>궁평리</t>
        </is>
      </c>
      <c r="F331" s="3" t="inlineStr">
        <is>
          <t>농림지역</t>
        </is>
      </c>
      <c r="G331" s="3" t="inlineStr">
        <is>
          <t>전</t>
        </is>
      </c>
      <c r="H331" s="4" t="n">
        <v>800.7175</v>
      </c>
      <c r="I331" s="5" t="n">
        <v>80.8</v>
      </c>
      <c r="J331" s="3" t="inlineStr">
        <is>
          <t>오송읍</t>
        </is>
      </c>
    </row>
    <row r="332">
      <c r="A332" s="3" t="n">
        <v>2025</v>
      </c>
      <c r="B332" s="4" t="n">
        <v>16138</v>
      </c>
      <c r="C332" s="4" t="n">
        <v>660</v>
      </c>
      <c r="D332" s="3" t="inlineStr">
        <is>
          <t>오송읍</t>
        </is>
      </c>
      <c r="E332" s="3" t="inlineStr">
        <is>
          <t>궁평리</t>
        </is>
      </c>
      <c r="F332" s="3" t="inlineStr">
        <is>
          <t>농림지역</t>
        </is>
      </c>
      <c r="G332" s="3" t="inlineStr">
        <is>
          <t>전</t>
        </is>
      </c>
      <c r="H332" s="4" t="n">
        <v>199.65</v>
      </c>
      <c r="I332" s="5" t="n">
        <v>80.8</v>
      </c>
      <c r="J332" s="3" t="inlineStr">
        <is>
          <t>오송읍</t>
        </is>
      </c>
    </row>
    <row r="333">
      <c r="A333" s="3" t="n">
        <v>2025</v>
      </c>
      <c r="B333" s="4" t="n">
        <v>16138</v>
      </c>
      <c r="C333" s="4" t="n">
        <v>660</v>
      </c>
      <c r="D333" s="3" t="inlineStr">
        <is>
          <t>오송읍</t>
        </is>
      </c>
      <c r="E333" s="3" t="inlineStr">
        <is>
          <t>궁평리</t>
        </is>
      </c>
      <c r="F333" s="3" t="inlineStr">
        <is>
          <t>농림지역</t>
        </is>
      </c>
      <c r="G333" s="3" t="inlineStr">
        <is>
          <t>창고용지</t>
        </is>
      </c>
      <c r="H333" s="4" t="n">
        <v>199.65</v>
      </c>
      <c r="I333" s="5" t="n">
        <v>80.8</v>
      </c>
      <c r="J333" s="3" t="inlineStr">
        <is>
          <t>오송읍</t>
        </is>
      </c>
    </row>
    <row r="334">
      <c r="A334" s="3" t="n">
        <v>2025</v>
      </c>
      <c r="B334" s="4" t="n">
        <v>22000</v>
      </c>
      <c r="C334" s="4" t="n">
        <v>2803</v>
      </c>
      <c r="D334" s="3" t="inlineStr">
        <is>
          <t>강내면</t>
        </is>
      </c>
      <c r="E334" s="3" t="inlineStr">
        <is>
          <t>산단리</t>
        </is>
      </c>
      <c r="F334" s="3" t="inlineStr">
        <is>
          <t>농림지역</t>
        </is>
      </c>
      <c r="G334" s="3" t="inlineStr">
        <is>
          <t>답</t>
        </is>
      </c>
      <c r="H334" s="4" t="n">
        <v>847.9075</v>
      </c>
      <c r="I334" s="5" t="n">
        <v>25.9</v>
      </c>
      <c r="J334" s="3" t="inlineStr">
        <is>
          <t>강내면</t>
        </is>
      </c>
    </row>
    <row r="335">
      <c r="A335" s="3" t="n">
        <v>2025</v>
      </c>
      <c r="B335" s="4" t="n">
        <v>12700</v>
      </c>
      <c r="C335" s="4" t="n">
        <v>635</v>
      </c>
      <c r="D335" s="3" t="inlineStr">
        <is>
          <t>오송읍</t>
        </is>
      </c>
      <c r="E335" s="3" t="inlineStr">
        <is>
          <t>서평리</t>
        </is>
      </c>
      <c r="F335" s="3" t="inlineStr">
        <is>
          <t>농림지역</t>
        </is>
      </c>
      <c r="G335" s="3" t="inlineStr">
        <is>
          <t>답</t>
        </is>
      </c>
      <c r="H335" s="4" t="n">
        <v>192.0875</v>
      </c>
      <c r="I335" s="5" t="n">
        <v>66.09999999999999</v>
      </c>
      <c r="J335" s="3" t="inlineStr">
        <is>
          <t>오송읍</t>
        </is>
      </c>
    </row>
    <row r="336">
      <c r="A336" s="3" t="n">
        <v>2025</v>
      </c>
      <c r="B336" s="4" t="n">
        <v>65000</v>
      </c>
      <c r="C336" s="4" t="n">
        <v>3233</v>
      </c>
      <c r="D336" s="3" t="inlineStr">
        <is>
          <t>오송읍</t>
        </is>
      </c>
      <c r="E336" s="3" t="inlineStr">
        <is>
          <t>서평리</t>
        </is>
      </c>
      <c r="F336" s="3" t="inlineStr">
        <is>
          <t>농림지역</t>
        </is>
      </c>
      <c r="G336" s="3" t="inlineStr">
        <is>
          <t>답</t>
        </is>
      </c>
      <c r="H336" s="4" t="n">
        <v>977.9825</v>
      </c>
      <c r="I336" s="5" t="n">
        <v>66.5</v>
      </c>
      <c r="J336" s="3" t="inlineStr">
        <is>
          <t>오송읍</t>
        </is>
      </c>
    </row>
    <row r="337">
      <c r="A337" s="3" t="n">
        <v>2025</v>
      </c>
      <c r="B337" s="4" t="n">
        <v>20300</v>
      </c>
      <c r="C337" s="4" t="n">
        <v>1012</v>
      </c>
      <c r="D337" s="3" t="inlineStr">
        <is>
          <t>오송읍</t>
        </is>
      </c>
      <c r="E337" s="3" t="inlineStr">
        <is>
          <t>서평리</t>
        </is>
      </c>
      <c r="F337" s="3" t="inlineStr">
        <is>
          <t>농림지역</t>
        </is>
      </c>
      <c r="G337" s="3" t="inlineStr">
        <is>
          <t>답</t>
        </is>
      </c>
      <c r="H337" s="4" t="n">
        <v>306.13</v>
      </c>
      <c r="I337" s="5" t="n">
        <v>66.3</v>
      </c>
      <c r="J337" s="3" t="inlineStr">
        <is>
          <t>오송읍</t>
        </is>
      </c>
    </row>
    <row r="338">
      <c r="A338" s="3" t="n">
        <v>2025</v>
      </c>
      <c r="B338" s="4" t="n">
        <v>16000</v>
      </c>
      <c r="C338" s="4" t="n">
        <v>660</v>
      </c>
      <c r="D338" s="3" t="inlineStr">
        <is>
          <t>강내면</t>
        </is>
      </c>
      <c r="E338" s="3" t="inlineStr">
        <is>
          <t>저산리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199.65</v>
      </c>
      <c r="I338" s="5" t="n">
        <v>80.09999999999999</v>
      </c>
      <c r="J338" s="3" t="inlineStr">
        <is>
          <t>강내면</t>
        </is>
      </c>
    </row>
    <row r="339">
      <c r="A339" s="3" t="n">
        <v>2025</v>
      </c>
      <c r="B339" s="4" t="n">
        <v>3000</v>
      </c>
      <c r="C339" s="4" t="n">
        <v>370</v>
      </c>
      <c r="D339" s="3" t="inlineStr">
        <is>
          <t>오송읍</t>
        </is>
      </c>
      <c r="E339" s="3" t="inlineStr">
        <is>
          <t>쌍청리</t>
        </is>
      </c>
      <c r="F339" s="3" t="inlineStr">
        <is>
          <t>농림지역</t>
        </is>
      </c>
      <c r="G339" s="3" t="inlineStr">
        <is>
          <t>답</t>
        </is>
      </c>
      <c r="H339" s="4" t="n">
        <v>111.925</v>
      </c>
      <c r="I339" s="5" t="n">
        <v>26.8</v>
      </c>
      <c r="J339" s="3" t="inlineStr">
        <is>
          <t>오송읍</t>
        </is>
      </c>
    </row>
    <row r="340">
      <c r="A340" s="3" t="n">
        <v>2025</v>
      </c>
      <c r="B340" s="4" t="n">
        <v>100569</v>
      </c>
      <c r="C340" s="4" t="n">
        <v>4821.6</v>
      </c>
      <c r="D340" s="3" t="inlineStr">
        <is>
          <t>오송읍</t>
        </is>
      </c>
      <c r="E340" s="3" t="inlineStr">
        <is>
          <t>연제리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1458.534</v>
      </c>
      <c r="I340" s="5" t="n">
        <v>69</v>
      </c>
      <c r="J340" s="3" t="inlineStr">
        <is>
          <t>오송읍</t>
        </is>
      </c>
    </row>
    <row r="341">
      <c r="A341" s="3" t="n">
        <v>2025</v>
      </c>
      <c r="B341" s="4" t="n">
        <v>45600</v>
      </c>
      <c r="C341" s="4" t="n">
        <v>3015</v>
      </c>
      <c r="D341" s="3" t="inlineStr">
        <is>
          <t>오송읍</t>
        </is>
      </c>
      <c r="E341" s="3" t="inlineStr">
        <is>
          <t>서평리</t>
        </is>
      </c>
      <c r="F341" s="3" t="inlineStr">
        <is>
          <t>농림지역</t>
        </is>
      </c>
      <c r="G341" s="3" t="inlineStr">
        <is>
          <t>답</t>
        </is>
      </c>
      <c r="H341" s="4" t="n">
        <v>912.0375</v>
      </c>
      <c r="I341" s="5" t="n">
        <v>50</v>
      </c>
      <c r="J341" s="3" t="inlineStr">
        <is>
          <t>오송읍</t>
        </is>
      </c>
    </row>
    <row r="342">
      <c r="A342" s="3" t="n">
        <v>2025</v>
      </c>
      <c r="B342" s="4" t="n">
        <v>61800</v>
      </c>
      <c r="C342" s="4" t="n">
        <v>4086</v>
      </c>
      <c r="D342" s="3" t="inlineStr">
        <is>
          <t>오송읍</t>
        </is>
      </c>
      <c r="E342" s="3" t="inlineStr">
        <is>
          <t>서평리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1236.015</v>
      </c>
      <c r="I342" s="5" t="n">
        <v>50</v>
      </c>
      <c r="J342" s="3" t="inlineStr">
        <is>
          <t>오송읍</t>
        </is>
      </c>
    </row>
    <row r="343">
      <c r="A343" s="3" t="n">
        <v>2025</v>
      </c>
      <c r="B343" s="4" t="n">
        <v>16050</v>
      </c>
      <c r="C343" s="4" t="n">
        <v>1061</v>
      </c>
      <c r="D343" s="3" t="inlineStr">
        <is>
          <t>오송읍</t>
        </is>
      </c>
      <c r="E343" s="3" t="inlineStr">
        <is>
          <t>서평리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320.9525</v>
      </c>
      <c r="I343" s="5" t="n">
        <v>50</v>
      </c>
      <c r="J343" s="3" t="inlineStr">
        <is>
          <t>오송읍</t>
        </is>
      </c>
    </row>
    <row r="344">
      <c r="A344" s="3" t="n">
        <v>2025</v>
      </c>
      <c r="B344" s="4" t="n">
        <v>37000</v>
      </c>
      <c r="C344" s="4" t="n">
        <v>272.9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82.55224999999999</v>
      </c>
      <c r="I344" s="5" t="n">
        <v>448.2</v>
      </c>
      <c r="J344" s="3" t="inlineStr">
        <is>
          <t>오송읍</t>
        </is>
      </c>
    </row>
    <row r="345">
      <c r="A345" s="3" t="n">
        <v>2025</v>
      </c>
      <c r="B345" s="4" t="n">
        <v>360</v>
      </c>
      <c r="C345" s="4" t="n">
        <v>116</v>
      </c>
      <c r="D345" s="3" t="inlineStr">
        <is>
          <t>강내면</t>
        </is>
      </c>
      <c r="E345" s="3" t="inlineStr">
        <is>
          <t>태성리</t>
        </is>
      </c>
      <c r="F345" s="3" t="inlineStr">
        <is>
          <t>계획관리지역</t>
        </is>
      </c>
      <c r="G345" s="3" t="inlineStr">
        <is>
          <t>하천</t>
        </is>
      </c>
      <c r="H345" s="4" t="n">
        <v>35.09</v>
      </c>
      <c r="I345" s="5" t="n">
        <v>10.3</v>
      </c>
      <c r="J345" s="3" t="inlineStr">
        <is>
          <t>강내면</t>
        </is>
      </c>
    </row>
    <row r="346">
      <c r="A346" s="3" t="n">
        <v>2025</v>
      </c>
      <c r="B346" s="4" t="n">
        <v>194000</v>
      </c>
      <c r="C346" s="4" t="n">
        <v>505.6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152.944</v>
      </c>
      <c r="I346" s="5" t="n">
        <v>1268.4</v>
      </c>
      <c r="J346" s="3" t="inlineStr">
        <is>
          <t>오송읍</t>
        </is>
      </c>
    </row>
    <row r="347">
      <c r="A347" s="3" t="n">
        <v>2025</v>
      </c>
      <c r="B347" s="4" t="n">
        <v>40000</v>
      </c>
      <c r="C347" s="4" t="n">
        <v>273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82.5825</v>
      </c>
      <c r="I347" s="5" t="n">
        <v>484.4</v>
      </c>
      <c r="J347" s="3" t="inlineStr">
        <is>
          <t>오송읍</t>
        </is>
      </c>
    </row>
    <row r="348">
      <c r="A348" s="3" t="n">
        <v>2025</v>
      </c>
      <c r="B348" s="4" t="n">
        <v>91750</v>
      </c>
      <c r="C348" s="4" t="n">
        <v>2589</v>
      </c>
      <c r="D348" s="3" t="inlineStr">
        <is>
          <t>강내면</t>
        </is>
      </c>
      <c r="E348" s="3" t="inlineStr">
        <is>
          <t>석화리</t>
        </is>
      </c>
      <c r="F348" s="3" t="inlineStr">
        <is>
          <t>자연녹지지역</t>
        </is>
      </c>
      <c r="G348" s="3" t="inlineStr">
        <is>
          <t>공장용지</t>
        </is>
      </c>
      <c r="H348" s="4" t="n">
        <v>783.1725</v>
      </c>
      <c r="I348" s="5" t="n">
        <v>117.2</v>
      </c>
      <c r="J348" s="3" t="inlineStr">
        <is>
          <t>강내면</t>
        </is>
      </c>
    </row>
    <row r="349">
      <c r="A349" s="3" t="n">
        <v>2025</v>
      </c>
      <c r="B349" s="4" t="n">
        <v>500</v>
      </c>
      <c r="C349" s="4" t="n">
        <v>34</v>
      </c>
      <c r="D349" s="3" t="inlineStr">
        <is>
          <t>강내면</t>
        </is>
      </c>
      <c r="E349" s="3" t="inlineStr">
        <is>
          <t>석화리</t>
        </is>
      </c>
      <c r="F349" s="3" t="inlineStr">
        <is>
          <t>자연녹지지역</t>
        </is>
      </c>
      <c r="G349" s="3" t="inlineStr">
        <is>
          <t>도로</t>
        </is>
      </c>
      <c r="H349" s="4" t="n">
        <v>10.285</v>
      </c>
      <c r="I349" s="5" t="n">
        <v>48.6</v>
      </c>
      <c r="J349" s="3" t="inlineStr">
        <is>
          <t>강내면</t>
        </is>
      </c>
    </row>
    <row r="350">
      <c r="A350" s="3" t="n">
        <v>2025</v>
      </c>
      <c r="B350" s="4" t="n">
        <v>250</v>
      </c>
      <c r="C350" s="4" t="n">
        <v>15</v>
      </c>
      <c r="D350" s="3" t="inlineStr">
        <is>
          <t>강내면</t>
        </is>
      </c>
      <c r="E350" s="3" t="inlineStr">
        <is>
          <t>석화리</t>
        </is>
      </c>
      <c r="F350" s="3" t="inlineStr">
        <is>
          <t>자연녹지지역</t>
        </is>
      </c>
      <c r="G350" s="3" t="inlineStr">
        <is>
          <t>도로</t>
        </is>
      </c>
      <c r="H350" s="4" t="n">
        <v>4.5375</v>
      </c>
      <c r="I350" s="5" t="n">
        <v>55.1</v>
      </c>
      <c r="J350" s="3" t="inlineStr">
        <is>
          <t>강내면</t>
        </is>
      </c>
    </row>
    <row r="351">
      <c r="A351" s="3" t="n">
        <v>2025</v>
      </c>
      <c r="B351" s="4" t="n">
        <v>90600</v>
      </c>
      <c r="C351" s="4" t="n">
        <v>2995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자연녹지지역</t>
        </is>
      </c>
      <c r="G351" s="3" t="inlineStr">
        <is>
          <t>답</t>
        </is>
      </c>
      <c r="H351" s="4" t="n">
        <v>905.9875</v>
      </c>
      <c r="I351" s="5" t="n">
        <v>100</v>
      </c>
      <c r="J351" s="3" t="inlineStr">
        <is>
          <t>강내면</t>
        </is>
      </c>
    </row>
    <row r="352">
      <c r="A352" s="3" t="n">
        <v>2025</v>
      </c>
      <c r="B352" s="4" t="n">
        <v>34320</v>
      </c>
      <c r="C352" s="4" t="n">
        <v>291.1</v>
      </c>
      <c r="D352" s="3" t="inlineStr">
        <is>
          <t>오송읍</t>
        </is>
      </c>
      <c r="E352" s="3" t="inlineStr">
        <is>
          <t>봉산리</t>
        </is>
      </c>
      <c r="F352" s="3" t="inlineStr">
        <is>
          <t>제1종일반주거지역</t>
        </is>
      </c>
      <c r="G352" s="3" t="inlineStr">
        <is>
          <t>대</t>
        </is>
      </c>
      <c r="H352" s="4" t="n">
        <v>88.05775</v>
      </c>
      <c r="I352" s="5" t="n">
        <v>389.7</v>
      </c>
      <c r="J352" s="3" t="inlineStr">
        <is>
          <t>오송읍</t>
        </is>
      </c>
    </row>
    <row r="353">
      <c r="A353" s="3" t="n">
        <v>2025</v>
      </c>
      <c r="B353" s="4" t="n">
        <v>60000</v>
      </c>
      <c r="C353" s="4" t="n">
        <v>3465</v>
      </c>
      <c r="D353" s="3" t="inlineStr">
        <is>
          <t>오송읍</t>
        </is>
      </c>
      <c r="E353" s="3" t="inlineStr">
        <is>
          <t>서평리</t>
        </is>
      </c>
      <c r="F353" s="3" t="inlineStr">
        <is>
          <t>농림지역</t>
        </is>
      </c>
      <c r="G353" s="3" t="inlineStr">
        <is>
          <t>전</t>
        </is>
      </c>
      <c r="H353" s="4" t="n">
        <v>1048.1625</v>
      </c>
      <c r="I353" s="5" t="n">
        <v>57.2</v>
      </c>
      <c r="J353" s="3" t="inlineStr">
        <is>
          <t>오송읍</t>
        </is>
      </c>
    </row>
    <row r="354">
      <c r="A354" s="3" t="n">
        <v>2025</v>
      </c>
      <c r="B354" s="4" t="n">
        <v>18000</v>
      </c>
      <c r="C354" s="4" t="n">
        <v>595</v>
      </c>
      <c r="D354" s="3" t="inlineStr">
        <is>
          <t>강내면</t>
        </is>
      </c>
      <c r="E354" s="3" t="inlineStr">
        <is>
          <t>월곡리</t>
        </is>
      </c>
      <c r="F354" s="3" t="inlineStr">
        <is>
          <t>자연녹지지역</t>
        </is>
      </c>
      <c r="G354" s="3" t="inlineStr">
        <is>
          <t>답</t>
        </is>
      </c>
      <c r="H354" s="4" t="n">
        <v>179.9875</v>
      </c>
      <c r="I354" s="5" t="n">
        <v>100</v>
      </c>
      <c r="J354" s="3" t="inlineStr">
        <is>
          <t>강내면</t>
        </is>
      </c>
    </row>
    <row r="355">
      <c r="A355" s="3" t="n">
        <v>2025</v>
      </c>
      <c r="B355" s="4" t="n">
        <v>64200</v>
      </c>
      <c r="C355" s="4" t="n">
        <v>2122</v>
      </c>
      <c r="D355" s="3" t="inlineStr">
        <is>
          <t>강내면</t>
        </is>
      </c>
      <c r="E355" s="3" t="inlineStr">
        <is>
          <t>월곡리</t>
        </is>
      </c>
      <c r="F355" s="3" t="inlineStr">
        <is>
          <t>자연녹지지역</t>
        </is>
      </c>
      <c r="G355" s="3" t="inlineStr">
        <is>
          <t>답</t>
        </is>
      </c>
      <c r="H355" s="4" t="n">
        <v>641.905</v>
      </c>
      <c r="I355" s="5" t="n">
        <v>100</v>
      </c>
      <c r="J355" s="3" t="inlineStr">
        <is>
          <t>강내면</t>
        </is>
      </c>
    </row>
    <row r="356">
      <c r="A356" s="3" t="n">
        <v>2025</v>
      </c>
      <c r="B356" s="4" t="n">
        <v>2500</v>
      </c>
      <c r="C356" s="4" t="n">
        <v>83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자연녹지지역</t>
        </is>
      </c>
      <c r="G356" s="3" t="inlineStr">
        <is>
          <t>구거</t>
        </is>
      </c>
      <c r="H356" s="4" t="n">
        <v>25.1075</v>
      </c>
      <c r="I356" s="5" t="n">
        <v>99.59999999999999</v>
      </c>
      <c r="J356" s="3" t="inlineStr">
        <is>
          <t>강내면</t>
        </is>
      </c>
    </row>
    <row r="357">
      <c r="A357" s="3" t="n">
        <v>2025</v>
      </c>
      <c r="B357" s="4" t="n">
        <v>600</v>
      </c>
      <c r="C357" s="4" t="n">
        <v>20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자연녹지지역</t>
        </is>
      </c>
      <c r="G357" s="3" t="inlineStr">
        <is>
          <t>구거</t>
        </is>
      </c>
      <c r="H357" s="4" t="n">
        <v>6.05</v>
      </c>
      <c r="I357" s="5" t="n">
        <v>99.2</v>
      </c>
      <c r="J357" s="3" t="inlineStr">
        <is>
          <t>강내면</t>
        </is>
      </c>
    </row>
    <row r="358">
      <c r="A358" s="3" t="n">
        <v>2026</v>
      </c>
      <c r="B358" s="4" t="n">
        <v>43000</v>
      </c>
      <c r="C358" s="4" t="n">
        <v>505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제2종일반주거지역</t>
        </is>
      </c>
      <c r="G358" s="3" t="inlineStr">
        <is>
          <t>전</t>
        </is>
      </c>
      <c r="H358" s="4" t="n">
        <v>152.7625</v>
      </c>
      <c r="I358" s="5" t="n">
        <v>281.5</v>
      </c>
      <c r="J358" s="3" t="inlineStr">
        <is>
          <t>강내면</t>
        </is>
      </c>
    </row>
    <row r="359">
      <c r="A359" s="3" t="n">
        <v>2026</v>
      </c>
      <c r="B359" s="4" t="n">
        <v>8400</v>
      </c>
      <c r="C359" s="4" t="n">
        <v>215</v>
      </c>
      <c r="D359" s="3" t="inlineStr">
        <is>
          <t>오송읍</t>
        </is>
      </c>
      <c r="E359" s="3" t="inlineStr">
        <is>
          <t>공북리</t>
        </is>
      </c>
      <c r="F359" s="3" t="inlineStr">
        <is>
          <t>계획관리지역</t>
        </is>
      </c>
      <c r="G359" s="3" t="inlineStr">
        <is>
          <t>대</t>
        </is>
      </c>
      <c r="H359" s="4" t="n">
        <v>65.03749999999999</v>
      </c>
      <c r="I359" s="5" t="n">
        <v>129.2</v>
      </c>
      <c r="J359" s="3" t="inlineStr">
        <is>
          <t>오송읍</t>
        </is>
      </c>
    </row>
    <row r="360">
      <c r="A360" s="3" t="n">
        <v>2026</v>
      </c>
      <c r="B360" s="4" t="n">
        <v>92000</v>
      </c>
      <c r="C360" s="4" t="n">
        <v>580.4</v>
      </c>
      <c r="D360" s="3" t="inlineStr">
        <is>
          <t>오송읍</t>
        </is>
      </c>
      <c r="E360" s="3" t="inlineStr">
        <is>
          <t>정중리</t>
        </is>
      </c>
      <c r="F360" s="3" t="inlineStr">
        <is>
          <t>준공업지역</t>
        </is>
      </c>
      <c r="G360" s="3" t="inlineStr">
        <is>
          <t>대</t>
        </is>
      </c>
      <c r="H360" s="4" t="n">
        <v>175.571</v>
      </c>
      <c r="I360" s="5" t="n">
        <v>524</v>
      </c>
      <c r="J360" s="3" t="inlineStr">
        <is>
          <t>오송읍</t>
        </is>
      </c>
    </row>
    <row r="361">
      <c r="A361" s="3" t="n">
        <v>2025</v>
      </c>
      <c r="B361" s="4" t="n">
        <v>27000</v>
      </c>
      <c r="C361" s="4" t="n">
        <v>660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대</t>
        </is>
      </c>
      <c r="H361" s="4" t="n">
        <v>199.65</v>
      </c>
      <c r="I361" s="5" t="n">
        <v>135.2</v>
      </c>
      <c r="J361" s="3" t="inlineStr">
        <is>
          <t>오송읍</t>
        </is>
      </c>
    </row>
    <row r="362">
      <c r="A362" s="3" t="n">
        <v>2025</v>
      </c>
      <c r="B362" s="4" t="n">
        <v>29600</v>
      </c>
      <c r="C362" s="4" t="n">
        <v>727</v>
      </c>
      <c r="D362" s="3" t="inlineStr">
        <is>
          <t>오송읍</t>
        </is>
      </c>
      <c r="E362" s="3" t="inlineStr">
        <is>
          <t>궁평리</t>
        </is>
      </c>
      <c r="F362" s="3" t="inlineStr">
        <is>
          <t>농림지역</t>
        </is>
      </c>
      <c r="G362" s="3" t="inlineStr">
        <is>
          <t>대</t>
        </is>
      </c>
      <c r="H362" s="4" t="n">
        <v>219.9175</v>
      </c>
      <c r="I362" s="5" t="n">
        <v>134.6</v>
      </c>
      <c r="J362" s="3" t="inlineStr">
        <is>
          <t>오송읍</t>
        </is>
      </c>
    </row>
    <row r="363">
      <c r="A363" s="3" t="n">
        <v>2025</v>
      </c>
      <c r="B363" s="4" t="n">
        <v>17726</v>
      </c>
      <c r="C363" s="4" t="n">
        <v>1172</v>
      </c>
      <c r="D363" s="3" t="inlineStr">
        <is>
          <t>강내면</t>
        </is>
      </c>
      <c r="E363" s="3" t="inlineStr">
        <is>
          <t>당곡리</t>
        </is>
      </c>
      <c r="F363" s="3" t="inlineStr">
        <is>
          <t>보전관리지역</t>
        </is>
      </c>
      <c r="G363" s="3" t="inlineStr">
        <is>
          <t>전</t>
        </is>
      </c>
      <c r="H363" s="4" t="n">
        <v>354.53</v>
      </c>
      <c r="I363" s="5" t="n">
        <v>50</v>
      </c>
      <c r="J363" s="3" t="inlineStr">
        <is>
          <t>강내면</t>
        </is>
      </c>
    </row>
    <row r="364">
      <c r="A364" s="3" t="n">
        <v>2025</v>
      </c>
      <c r="B364" s="4" t="n">
        <v>17590</v>
      </c>
      <c r="C364" s="4" t="n">
        <v>1163</v>
      </c>
      <c r="D364" s="3" t="inlineStr">
        <is>
          <t>강내면</t>
        </is>
      </c>
      <c r="E364" s="3" t="inlineStr">
        <is>
          <t>당곡리</t>
        </is>
      </c>
      <c r="F364" s="3" t="inlineStr">
        <is>
          <t>보전관리지역</t>
        </is>
      </c>
      <c r="G364" s="3" t="inlineStr">
        <is>
          <t>전</t>
        </is>
      </c>
      <c r="H364" s="4" t="n">
        <v>351.8075</v>
      </c>
      <c r="I364" s="5" t="n">
        <v>50</v>
      </c>
      <c r="J364" s="3" t="inlineStr">
        <is>
          <t>강내면</t>
        </is>
      </c>
    </row>
    <row r="365">
      <c r="A365" s="3" t="n">
        <v>2025</v>
      </c>
      <c r="B365" s="4" t="n">
        <v>15000</v>
      </c>
      <c r="C365" s="4" t="n">
        <v>374</v>
      </c>
      <c r="D365" s="3" t="inlineStr">
        <is>
          <t>오송읍</t>
        </is>
      </c>
      <c r="E365" s="3" t="inlineStr">
        <is>
          <t>궁평리</t>
        </is>
      </c>
      <c r="F365" s="3" t="inlineStr">
        <is>
          <t>계획관리지역</t>
        </is>
      </c>
      <c r="G365" s="3" t="inlineStr">
        <is>
          <t>전</t>
        </is>
      </c>
      <c r="H365" s="4" t="n">
        <v>113.135</v>
      </c>
      <c r="I365" s="5" t="n">
        <v>132.6</v>
      </c>
      <c r="J365" s="3" t="inlineStr">
        <is>
          <t>오송읍</t>
        </is>
      </c>
    </row>
    <row r="366">
      <c r="A366" s="3" t="n">
        <v>2025</v>
      </c>
      <c r="B366" s="4" t="n">
        <v>2000</v>
      </c>
      <c r="C366" s="4" t="n">
        <v>307</v>
      </c>
      <c r="D366" s="3" t="inlineStr">
        <is>
          <t>강내면</t>
        </is>
      </c>
      <c r="E366" s="3" t="inlineStr">
        <is>
          <t>다락리</t>
        </is>
      </c>
      <c r="F366" s="3" t="inlineStr">
        <is>
          <t>농림지역</t>
        </is>
      </c>
      <c r="G366" s="3" t="inlineStr">
        <is>
          <t>전</t>
        </is>
      </c>
      <c r="H366" s="4" t="n">
        <v>92.86749999999999</v>
      </c>
      <c r="I366" s="5" t="n">
        <v>21.5</v>
      </c>
      <c r="J366" s="3" t="inlineStr">
        <is>
          <t>강내면</t>
        </is>
      </c>
    </row>
    <row r="367">
      <c r="A367" s="3" t="n">
        <v>2025</v>
      </c>
      <c r="B367" s="4" t="n">
        <v>14000</v>
      </c>
      <c r="C367" s="4" t="n">
        <v>819</v>
      </c>
      <c r="D367" s="3" t="inlineStr">
        <is>
          <t>강내면</t>
        </is>
      </c>
      <c r="E367" s="3" t="inlineStr">
        <is>
          <t>저산리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247.7475</v>
      </c>
      <c r="I367" s="5" t="n">
        <v>56.5</v>
      </c>
      <c r="J367" s="3" t="inlineStr">
        <is>
          <t>강내면</t>
        </is>
      </c>
    </row>
    <row r="368">
      <c r="A368" s="3" t="n">
        <v>2025</v>
      </c>
      <c r="B368" s="4" t="n">
        <v>25500</v>
      </c>
      <c r="C368" s="4" t="n">
        <v>282.8</v>
      </c>
      <c r="D368" s="3" t="inlineStr">
        <is>
          <t>오송읍</t>
        </is>
      </c>
      <c r="E368" s="3" t="inlineStr">
        <is>
          <t>만수리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85.547</v>
      </c>
      <c r="I368" s="5" t="n">
        <v>298.1</v>
      </c>
      <c r="J368" s="3" t="inlineStr">
        <is>
          <t>오송읍</t>
        </is>
      </c>
    </row>
    <row r="369">
      <c r="A369" s="3" t="n">
        <v>2026</v>
      </c>
      <c r="B369" s="4" t="n">
        <v>8500</v>
      </c>
      <c r="C369" s="4" t="n">
        <v>1140</v>
      </c>
      <c r="D369" s="3" t="inlineStr">
        <is>
          <t>강내면</t>
        </is>
      </c>
      <c r="E369" s="3" t="inlineStr">
        <is>
          <t>사인리</t>
        </is>
      </c>
      <c r="F369" s="3" t="inlineStr">
        <is>
          <t>생산녹지지역</t>
        </is>
      </c>
      <c r="G369" s="3" t="inlineStr">
        <is>
          <t>답</t>
        </is>
      </c>
      <c r="H369" s="4" t="n">
        <v>344.85</v>
      </c>
      <c r="I369" s="5" t="n">
        <v>24.6</v>
      </c>
      <c r="J369" s="3" t="inlineStr">
        <is>
          <t>강내면</t>
        </is>
      </c>
    </row>
    <row r="370">
      <c r="A370" s="3" t="n">
        <v>2026</v>
      </c>
      <c r="B370" s="4" t="n">
        <v>18000</v>
      </c>
      <c r="C370" s="4" t="n">
        <v>2460</v>
      </c>
      <c r="D370" s="3" t="inlineStr">
        <is>
          <t>강내면</t>
        </is>
      </c>
      <c r="E370" s="3" t="inlineStr">
        <is>
          <t>사곡리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744.15</v>
      </c>
      <c r="I370" s="5" t="n">
        <v>24.2</v>
      </c>
      <c r="J370" s="3" t="inlineStr">
        <is>
          <t>강내면</t>
        </is>
      </c>
    </row>
    <row r="371">
      <c r="A371" s="3" t="n">
        <v>2026</v>
      </c>
      <c r="B371" s="4" t="n">
        <v>15972</v>
      </c>
      <c r="C371" s="4" t="n">
        <v>264</v>
      </c>
      <c r="D371" s="3" t="inlineStr">
        <is>
          <t>오송읍</t>
        </is>
      </c>
      <c r="E371" s="3" t="inlineStr">
        <is>
          <t>궁평리</t>
        </is>
      </c>
      <c r="F371" s="3" t="inlineStr">
        <is>
          <t>용도미지정</t>
        </is>
      </c>
      <c r="G371" s="3" t="inlineStr">
        <is>
          <t>대</t>
        </is>
      </c>
      <c r="H371" s="4" t="n">
        <v>79.86</v>
      </c>
      <c r="I371" s="5" t="n">
        <v>200</v>
      </c>
      <c r="J371" s="3" t="inlineStr">
        <is>
          <t>오송읍</t>
        </is>
      </c>
    </row>
    <row r="372">
      <c r="A372" s="3" t="n">
        <v>2026</v>
      </c>
      <c r="B372" s="4" t="n">
        <v>2760</v>
      </c>
      <c r="C372" s="4" t="n">
        <v>76</v>
      </c>
      <c r="D372" s="3" t="inlineStr">
        <is>
          <t>강내면</t>
        </is>
      </c>
      <c r="E372" s="3" t="inlineStr">
        <is>
          <t>태성리</t>
        </is>
      </c>
      <c r="F372" s="3" t="inlineStr">
        <is>
          <t>계획관리지역</t>
        </is>
      </c>
      <c r="G372" s="3" t="inlineStr">
        <is>
          <t>답</t>
        </is>
      </c>
      <c r="H372" s="4" t="n">
        <v>22.99</v>
      </c>
      <c r="I372" s="5" t="n">
        <v>120.1</v>
      </c>
      <c r="J372" s="3" t="inlineStr">
        <is>
          <t>강내면</t>
        </is>
      </c>
    </row>
    <row r="373">
      <c r="A373" s="3" t="n">
        <v>2026</v>
      </c>
      <c r="B373" s="4" t="n">
        <v>141000</v>
      </c>
      <c r="C373" s="4" t="n">
        <v>8525</v>
      </c>
      <c r="D373" s="3" t="inlineStr">
        <is>
          <t>강내면</t>
        </is>
      </c>
      <c r="E373" s="3" t="inlineStr">
        <is>
          <t>태성리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2578.8125</v>
      </c>
      <c r="I373" s="5" t="n">
        <v>54.7</v>
      </c>
      <c r="J373" s="3" t="inlineStr">
        <is>
          <t>강내면</t>
        </is>
      </c>
    </row>
    <row r="374">
      <c r="A374" s="3" t="n">
        <v>2026</v>
      </c>
      <c r="B374" s="4" t="n">
        <v>9900</v>
      </c>
      <c r="C374" s="4" t="n">
        <v>353</v>
      </c>
      <c r="D374" s="3" t="inlineStr">
        <is>
          <t>강내면</t>
        </is>
      </c>
      <c r="E374" s="3" t="inlineStr">
        <is>
          <t>태성리</t>
        </is>
      </c>
      <c r="F374" s="3" t="inlineStr">
        <is>
          <t>계획관리지역</t>
        </is>
      </c>
      <c r="G374" s="3" t="inlineStr">
        <is>
          <t>임야</t>
        </is>
      </c>
      <c r="H374" s="4" t="n">
        <v>106.7825</v>
      </c>
      <c r="I374" s="5" t="n">
        <v>92.7</v>
      </c>
      <c r="J374" s="3" t="inlineStr">
        <is>
          <t>강내면</t>
        </is>
      </c>
    </row>
    <row r="375">
      <c r="A375" s="3" t="n">
        <v>2026</v>
      </c>
      <c r="B375" s="4" t="n">
        <v>2000</v>
      </c>
      <c r="C375" s="4" t="n">
        <v>201</v>
      </c>
      <c r="D375" s="3" t="inlineStr">
        <is>
          <t>오송읍</t>
        </is>
      </c>
      <c r="E375" s="3" t="inlineStr">
        <is>
          <t>서평리</t>
        </is>
      </c>
      <c r="F375" s="3" t="inlineStr">
        <is>
          <t>농림지역</t>
        </is>
      </c>
      <c r="G375" s="3" t="inlineStr">
        <is>
          <t>전</t>
        </is>
      </c>
      <c r="H375" s="4" t="n">
        <v>60.80249999999999</v>
      </c>
      <c r="I375" s="5" t="n">
        <v>32.9</v>
      </c>
      <c r="J375" s="3" t="inlineStr">
        <is>
          <t>오송읍</t>
        </is>
      </c>
    </row>
    <row r="376">
      <c r="A376" s="3" t="n">
        <v>2026</v>
      </c>
      <c r="B376" s="4" t="n">
        <v>646012</v>
      </c>
      <c r="C376" s="4" t="n">
        <v>17499</v>
      </c>
      <c r="D376" s="3" t="inlineStr">
        <is>
          <t>오송읍</t>
        </is>
      </c>
      <c r="E376" s="3" t="inlineStr">
        <is>
          <t>정중리</t>
        </is>
      </c>
      <c r="F376" s="3" t="inlineStr">
        <is>
          <t>일반공업지역</t>
        </is>
      </c>
      <c r="G376" s="3" t="inlineStr">
        <is>
          <t>공장용지</t>
        </is>
      </c>
      <c r="H376" s="4" t="n">
        <v>5293.4475</v>
      </c>
      <c r="I376" s="5" t="n">
        <v>122</v>
      </c>
      <c r="J376" s="3" t="inlineStr">
        <is>
          <t>오송읍</t>
        </is>
      </c>
    </row>
    <row r="377">
      <c r="A377" s="3" t="n">
        <v>2026</v>
      </c>
      <c r="B377" s="4" t="n">
        <v>7187</v>
      </c>
      <c r="C377" s="4" t="n">
        <v>144</v>
      </c>
      <c r="D377" s="3" t="inlineStr">
        <is>
          <t>강내면</t>
        </is>
      </c>
      <c r="E377" s="3" t="inlineStr">
        <is>
          <t>다락리</t>
        </is>
      </c>
      <c r="F377" s="3" t="inlineStr">
        <is>
          <t>일반공업지역</t>
        </is>
      </c>
      <c r="G377" s="3" t="inlineStr">
        <is>
          <t>과수원</t>
        </is>
      </c>
      <c r="H377" s="4" t="n">
        <v>43.56</v>
      </c>
      <c r="I377" s="5" t="n">
        <v>165</v>
      </c>
      <c r="J377" s="3" t="inlineStr">
        <is>
          <t>강내면</t>
        </is>
      </c>
    </row>
    <row r="378">
      <c r="A378" s="3" t="n">
        <v>2026</v>
      </c>
      <c r="B378" s="4" t="n">
        <v>14624</v>
      </c>
      <c r="C378" s="4" t="n">
        <v>293</v>
      </c>
      <c r="D378" s="3" t="inlineStr">
        <is>
          <t>강내면</t>
        </is>
      </c>
      <c r="E378" s="3" t="inlineStr">
        <is>
          <t>다락리</t>
        </is>
      </c>
      <c r="F378" s="3" t="inlineStr">
        <is>
          <t>일반공업지역</t>
        </is>
      </c>
      <c r="G378" s="3" t="inlineStr">
        <is>
          <t>임야</t>
        </is>
      </c>
      <c r="H378" s="4" t="n">
        <v>88.63249999999999</v>
      </c>
      <c r="I378" s="5" t="n">
        <v>165</v>
      </c>
      <c r="J378" s="3" t="inlineStr">
        <is>
          <t>강내면</t>
        </is>
      </c>
    </row>
    <row r="379">
      <c r="A379" s="3" t="n">
        <v>2026</v>
      </c>
      <c r="B379" s="4" t="n">
        <v>5000</v>
      </c>
      <c r="C379" s="4" t="n">
        <v>4317</v>
      </c>
      <c r="D379" s="3" t="inlineStr">
        <is>
          <t>오송읍</t>
        </is>
      </c>
      <c r="E379" s="3" t="inlineStr">
        <is>
          <t>상봉리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1305.8925</v>
      </c>
      <c r="I379" s="5" t="n">
        <v>3.8</v>
      </c>
      <c r="J379" s="3" t="inlineStr">
        <is>
          <t>오송읍</t>
        </is>
      </c>
    </row>
    <row r="380">
      <c r="A380" s="3" t="n">
        <v>2026</v>
      </c>
      <c r="B380" s="4" t="n">
        <v>23674</v>
      </c>
      <c r="C380" s="4" t="n">
        <v>543.5</v>
      </c>
      <c r="D380" s="3" t="inlineStr">
        <is>
          <t>강내면</t>
        </is>
      </c>
      <c r="E380" s="3" t="inlineStr">
        <is>
          <t>사곡리</t>
        </is>
      </c>
      <c r="F380" s="3" t="inlineStr">
        <is>
          <t>보전관리지역</t>
        </is>
      </c>
      <c r="G380" s="3" t="inlineStr">
        <is>
          <t>대</t>
        </is>
      </c>
      <c r="H380" s="4" t="n">
        <v>164.40875</v>
      </c>
      <c r="I380" s="5" t="n">
        <v>144</v>
      </c>
      <c r="J380" s="3" t="inlineStr">
        <is>
          <t>강내면</t>
        </is>
      </c>
    </row>
    <row r="381">
      <c r="A381" s="3" t="n">
        <v>2024</v>
      </c>
      <c r="B381" s="4" t="n">
        <v>26169</v>
      </c>
      <c r="C381" s="4" t="n">
        <v>13650</v>
      </c>
      <c r="D381" s="3" t="inlineStr">
        <is>
          <t>오송읍</t>
        </is>
      </c>
      <c r="E381" s="3" t="inlineStr">
        <is>
          <t>공북리</t>
        </is>
      </c>
      <c r="F381" s="3" t="inlineStr">
        <is>
          <t>보전관리지역</t>
        </is>
      </c>
      <c r="G381" s="3" t="inlineStr">
        <is>
          <t>임야</t>
        </is>
      </c>
      <c r="H381" s="4" t="n">
        <v>4129.125</v>
      </c>
      <c r="I381" s="5" t="n">
        <v>6.3</v>
      </c>
      <c r="J381" s="3" t="inlineStr">
        <is>
          <t>오송읍</t>
        </is>
      </c>
    </row>
    <row r="382">
      <c r="A382" s="3" t="n">
        <v>2024</v>
      </c>
      <c r="B382" s="4" t="n">
        <v>143548</v>
      </c>
      <c r="C382" s="4" t="n">
        <v>56882</v>
      </c>
      <c r="D382" s="3" t="inlineStr">
        <is>
          <t>오송읍</t>
        </is>
      </c>
      <c r="E382" s="3" t="inlineStr">
        <is>
          <t>공북리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17206.805</v>
      </c>
      <c r="I382" s="5" t="n">
        <v>8.300000000000001</v>
      </c>
      <c r="J382" s="3" t="inlineStr">
        <is>
          <t>오송읍</t>
        </is>
      </c>
    </row>
    <row r="383">
      <c r="A383" s="3" t="n">
        <v>2024</v>
      </c>
      <c r="B383" s="4" t="n">
        <v>11830</v>
      </c>
      <c r="C383" s="4" t="n">
        <v>7619</v>
      </c>
      <c r="D383" s="3" t="inlineStr">
        <is>
          <t>오송읍</t>
        </is>
      </c>
      <c r="E383" s="3" t="inlineStr">
        <is>
          <t>공북리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2304.7475</v>
      </c>
      <c r="I383" s="5" t="n">
        <v>5.1</v>
      </c>
      <c r="J383" s="3" t="inlineStr">
        <is>
          <t>오송읍</t>
        </is>
      </c>
    </row>
    <row r="384">
      <c r="A384" s="3" t="n">
        <v>2024</v>
      </c>
      <c r="B384" s="4" t="n">
        <v>2842</v>
      </c>
      <c r="C384" s="4" t="n">
        <v>479</v>
      </c>
      <c r="D384" s="3" t="inlineStr">
        <is>
          <t>오송읍</t>
        </is>
      </c>
      <c r="E384" s="3" t="inlineStr">
        <is>
          <t>공북리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144.8975</v>
      </c>
      <c r="I384" s="5" t="n">
        <v>19.6</v>
      </c>
      <c r="J384" s="3" t="inlineStr">
        <is>
          <t>오송읍</t>
        </is>
      </c>
    </row>
    <row r="385">
      <c r="A385" s="3" t="n">
        <v>2024</v>
      </c>
      <c r="B385" s="4" t="n">
        <v>5790</v>
      </c>
      <c r="C385" s="4" t="n">
        <v>674</v>
      </c>
      <c r="D385" s="3" t="inlineStr">
        <is>
          <t>오송읍</t>
        </is>
      </c>
      <c r="E385" s="3" t="inlineStr">
        <is>
          <t>공북리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203.885</v>
      </c>
      <c r="I385" s="5" t="n">
        <v>28.4</v>
      </c>
      <c r="J385" s="3" t="inlineStr">
        <is>
          <t>오송읍</t>
        </is>
      </c>
    </row>
    <row r="386">
      <c r="A386" s="3" t="n">
        <v>2024</v>
      </c>
      <c r="B386" s="4" t="n">
        <v>85201</v>
      </c>
      <c r="C386" s="4" t="n">
        <v>5629</v>
      </c>
      <c r="D386" s="3" t="inlineStr">
        <is>
          <t>오송읍</t>
        </is>
      </c>
      <c r="E386" s="3" t="inlineStr">
        <is>
          <t>상정리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1702.7725</v>
      </c>
      <c r="I386" s="5" t="n">
        <v>50</v>
      </c>
      <c r="J386" s="3" t="inlineStr">
        <is>
          <t>오송읍</t>
        </is>
      </c>
    </row>
    <row r="387">
      <c r="A387" s="3" t="n">
        <v>2024</v>
      </c>
      <c r="B387" s="4" t="n">
        <v>178260</v>
      </c>
      <c r="C387" s="4" t="n">
        <v>5052</v>
      </c>
      <c r="D387" s="3" t="inlineStr">
        <is>
          <t>오송읍</t>
        </is>
      </c>
      <c r="E387" s="3" t="inlineStr">
        <is>
          <t>상정리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1528.23</v>
      </c>
      <c r="I387" s="5" t="n">
        <v>116.6</v>
      </c>
      <c r="J387" s="3" t="inlineStr">
        <is>
          <t>오송읍</t>
        </is>
      </c>
    </row>
    <row r="388">
      <c r="A388" s="3" t="n">
        <v>2024</v>
      </c>
      <c r="B388" s="4" t="n">
        <v>113596</v>
      </c>
      <c r="C388" s="4" t="n">
        <v>51308</v>
      </c>
      <c r="D388" s="3" t="inlineStr">
        <is>
          <t>오송읍</t>
        </is>
      </c>
      <c r="E388" s="3" t="inlineStr">
        <is>
          <t>상정리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15520.67</v>
      </c>
      <c r="I388" s="5" t="n">
        <v>7.3</v>
      </c>
      <c r="J388" s="3" t="inlineStr">
        <is>
          <t>오송읍</t>
        </is>
      </c>
    </row>
    <row r="389">
      <c r="A389" s="3" t="n">
        <v>2024</v>
      </c>
      <c r="B389" s="4" t="n">
        <v>62947</v>
      </c>
      <c r="C389" s="4" t="n">
        <v>8726</v>
      </c>
      <c r="D389" s="3" t="inlineStr">
        <is>
          <t>오송읍</t>
        </is>
      </c>
      <c r="E389" s="3" t="inlineStr">
        <is>
          <t>공북리</t>
        </is>
      </c>
      <c r="F389" s="3" t="inlineStr">
        <is>
          <t>계획관리지역</t>
        </is>
      </c>
      <c r="G389" s="3" t="inlineStr">
        <is>
          <t>임야</t>
        </is>
      </c>
      <c r="H389" s="4" t="n">
        <v>2639.615</v>
      </c>
      <c r="I389" s="5" t="n">
        <v>23.8</v>
      </c>
      <c r="J389" s="3" t="inlineStr">
        <is>
          <t>오송읍</t>
        </is>
      </c>
    </row>
    <row r="390">
      <c r="A390" s="3" t="n">
        <v>2024</v>
      </c>
      <c r="B390" s="4" t="n">
        <v>25200</v>
      </c>
      <c r="C390" s="4" t="n">
        <v>1440</v>
      </c>
      <c r="D390" s="3" t="inlineStr">
        <is>
          <t>강내면</t>
        </is>
      </c>
      <c r="E390" s="3" t="inlineStr">
        <is>
          <t>사곡리</t>
        </is>
      </c>
      <c r="F390" s="3" t="inlineStr">
        <is>
          <t>보전관리지역</t>
        </is>
      </c>
      <c r="G390" s="3" t="inlineStr">
        <is>
          <t>전</t>
        </is>
      </c>
      <c r="H390" s="4" t="n">
        <v>435.6</v>
      </c>
      <c r="I390" s="5" t="n">
        <v>57.9</v>
      </c>
      <c r="J390" s="3" t="inlineStr">
        <is>
          <t>강내면</t>
        </is>
      </c>
    </row>
    <row r="391">
      <c r="A391" s="3" t="n">
        <v>2024</v>
      </c>
      <c r="B391" s="4" t="n">
        <v>5000</v>
      </c>
      <c r="C391" s="4" t="n">
        <v>570</v>
      </c>
      <c r="D391" s="3" t="inlineStr">
        <is>
          <t>강내면</t>
        </is>
      </c>
      <c r="E391" s="3" t="inlineStr">
        <is>
          <t>사곡리</t>
        </is>
      </c>
      <c r="F391" s="3" t="inlineStr">
        <is>
          <t>농림지역</t>
        </is>
      </c>
      <c r="G391" s="3" t="inlineStr">
        <is>
          <t>전</t>
        </is>
      </c>
      <c r="H391" s="4" t="n">
        <v>172.425</v>
      </c>
      <c r="I391" s="5" t="n">
        <v>29</v>
      </c>
      <c r="J391" s="3" t="inlineStr">
        <is>
          <t>강내면</t>
        </is>
      </c>
    </row>
    <row r="392">
      <c r="A392" s="3" t="n">
        <v>2024</v>
      </c>
      <c r="B392" s="4" t="n">
        <v>9550</v>
      </c>
      <c r="C392" s="4" t="n">
        <v>330</v>
      </c>
      <c r="D392" s="3" t="inlineStr">
        <is>
          <t>강내면</t>
        </is>
      </c>
      <c r="E392" s="3" t="inlineStr">
        <is>
          <t>사곡리</t>
        </is>
      </c>
      <c r="F392" s="3" t="inlineStr">
        <is>
          <t>보전관리지역</t>
        </is>
      </c>
      <c r="G392" s="3" t="inlineStr">
        <is>
          <t>전</t>
        </is>
      </c>
      <c r="H392" s="4" t="n">
        <v>99.825</v>
      </c>
      <c r="I392" s="5" t="n">
        <v>95.7</v>
      </c>
      <c r="J392" s="3" t="inlineStr">
        <is>
          <t>강내면</t>
        </is>
      </c>
    </row>
    <row r="393">
      <c r="A393" s="3" t="n">
        <v>2024</v>
      </c>
      <c r="B393" s="4" t="n">
        <v>4000</v>
      </c>
      <c r="C393" s="4" t="n">
        <v>66</v>
      </c>
      <c r="D393" s="3" t="inlineStr">
        <is>
          <t>오송읍</t>
        </is>
      </c>
      <c r="E393" s="3" t="inlineStr">
        <is>
          <t>연제리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19.965</v>
      </c>
      <c r="I393" s="5" t="n">
        <v>200.4</v>
      </c>
      <c r="J393" s="3" t="inlineStr">
        <is>
          <t>오송읍</t>
        </is>
      </c>
    </row>
    <row r="394">
      <c r="A394" s="3" t="n">
        <v>2024</v>
      </c>
      <c r="B394" s="4" t="n">
        <v>5400</v>
      </c>
      <c r="C394" s="4" t="n">
        <v>150</v>
      </c>
      <c r="D394" s="3" t="inlineStr">
        <is>
          <t>강내면</t>
        </is>
      </c>
      <c r="E394" s="3" t="inlineStr">
        <is>
          <t>산단리</t>
        </is>
      </c>
      <c r="F394" s="3" t="inlineStr">
        <is>
          <t>용도미지정</t>
        </is>
      </c>
      <c r="G394" s="3" t="inlineStr">
        <is>
          <t>대</t>
        </is>
      </c>
      <c r="H394" s="4" t="n">
        <v>45.375</v>
      </c>
      <c r="I394" s="5" t="n">
        <v>119</v>
      </c>
      <c r="J394" s="3" t="inlineStr">
        <is>
          <t>강내면</t>
        </is>
      </c>
    </row>
    <row r="395">
      <c r="A395" s="3" t="n">
        <v>2024</v>
      </c>
      <c r="B395" s="4" t="n">
        <v>5000</v>
      </c>
      <c r="C395" s="4" t="n">
        <v>200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60.5</v>
      </c>
      <c r="I395" s="5" t="n">
        <v>82.59999999999999</v>
      </c>
      <c r="J395" s="3" t="inlineStr">
        <is>
          <t>강내면</t>
        </is>
      </c>
    </row>
    <row r="396">
      <c r="A396" s="3" t="n">
        <v>2024</v>
      </c>
      <c r="B396" s="4" t="n">
        <v>18000</v>
      </c>
      <c r="C396" s="4" t="n">
        <v>192</v>
      </c>
      <c r="D396" s="3" t="inlineStr">
        <is>
          <t>오송읍</t>
        </is>
      </c>
      <c r="E396" s="3" t="inlineStr">
        <is>
          <t>오송리</t>
        </is>
      </c>
      <c r="F396" s="3" t="inlineStr">
        <is>
          <t>농림지역</t>
        </is>
      </c>
      <c r="G396" s="3" t="inlineStr">
        <is>
          <t>대</t>
        </is>
      </c>
      <c r="H396" s="4" t="n">
        <v>58.08</v>
      </c>
      <c r="I396" s="5" t="n">
        <v>309.9</v>
      </c>
      <c r="J396" s="3" t="inlineStr">
        <is>
          <t>오송읍</t>
        </is>
      </c>
    </row>
    <row r="397">
      <c r="A397" s="3" t="n">
        <v>2024</v>
      </c>
      <c r="B397" s="4" t="n">
        <v>62500</v>
      </c>
      <c r="C397" s="4" t="n">
        <v>3059</v>
      </c>
      <c r="D397" s="3" t="inlineStr">
        <is>
          <t>강내면</t>
        </is>
      </c>
      <c r="E397" s="3" t="inlineStr">
        <is>
          <t>저산리</t>
        </is>
      </c>
      <c r="F397" s="3" t="inlineStr">
        <is>
          <t>계획관리지역</t>
        </is>
      </c>
      <c r="G397" s="3" t="inlineStr">
        <is>
          <t>임야</t>
        </is>
      </c>
      <c r="H397" s="4" t="n">
        <v>925.3475</v>
      </c>
      <c r="I397" s="5" t="n">
        <v>67.5</v>
      </c>
      <c r="J397" s="3" t="inlineStr">
        <is>
          <t>강내면</t>
        </is>
      </c>
    </row>
    <row r="398">
      <c r="A398" s="3" t="n">
        <v>2024</v>
      </c>
      <c r="B398" s="4" t="n">
        <v>125000</v>
      </c>
      <c r="C398" s="4" t="n">
        <v>4172</v>
      </c>
      <c r="D398" s="3" t="inlineStr">
        <is>
          <t>강내면</t>
        </is>
      </c>
      <c r="E398" s="3" t="inlineStr">
        <is>
          <t>산단리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1262.03</v>
      </c>
      <c r="I398" s="5" t="n">
        <v>99</v>
      </c>
      <c r="J398" s="3" t="inlineStr">
        <is>
          <t>강내면</t>
        </is>
      </c>
    </row>
    <row r="399">
      <c r="A399" s="3" t="n">
        <v>2024</v>
      </c>
      <c r="B399" s="4" t="n">
        <v>350</v>
      </c>
      <c r="C399" s="4" t="n">
        <v>33</v>
      </c>
      <c r="D399" s="3" t="inlineStr">
        <is>
          <t>오송읍</t>
        </is>
      </c>
      <c r="E399" s="3" t="inlineStr">
        <is>
          <t>정중리</t>
        </is>
      </c>
      <c r="F399" s="3" t="inlineStr">
        <is>
          <t>계획관리지역</t>
        </is>
      </c>
      <c r="G399" s="3" t="inlineStr">
        <is>
          <t>구거</t>
        </is>
      </c>
      <c r="H399" s="4" t="n">
        <v>9.9825</v>
      </c>
      <c r="I399" s="5" t="n">
        <v>35.1</v>
      </c>
      <c r="J399" s="3" t="inlineStr">
        <is>
          <t>오송읍</t>
        </is>
      </c>
    </row>
    <row r="400">
      <c r="A400" s="3" t="n">
        <v>2025</v>
      </c>
      <c r="B400" s="4" t="n">
        <v>5200</v>
      </c>
      <c r="C400" s="4" t="n">
        <v>259</v>
      </c>
      <c r="D400" s="3" t="inlineStr">
        <is>
          <t>강내면</t>
        </is>
      </c>
      <c r="E400" s="3" t="inlineStr">
        <is>
          <t>월탄리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78.3475</v>
      </c>
      <c r="I400" s="5" t="n">
        <v>66.40000000000001</v>
      </c>
      <c r="J400" s="3" t="inlineStr">
        <is>
          <t>강내면</t>
        </is>
      </c>
    </row>
    <row r="401">
      <c r="A401" s="3" t="n">
        <v>2025</v>
      </c>
      <c r="B401" s="4" t="n">
        <v>33000</v>
      </c>
      <c r="C401" s="4" t="n">
        <v>267.5</v>
      </c>
      <c r="D401" s="3" t="inlineStr">
        <is>
          <t>오송읍</t>
        </is>
      </c>
      <c r="E401" s="3" t="inlineStr">
        <is>
          <t>봉산리</t>
        </is>
      </c>
      <c r="F401" s="3" t="inlineStr">
        <is>
          <t>제1종일반주거지역</t>
        </is>
      </c>
      <c r="G401" s="3" t="inlineStr">
        <is>
          <t>대</t>
        </is>
      </c>
      <c r="H401" s="4" t="n">
        <v>80.91875</v>
      </c>
      <c r="I401" s="5" t="n">
        <v>407.8</v>
      </c>
      <c r="J401" s="3" t="inlineStr">
        <is>
          <t>오송읍</t>
        </is>
      </c>
    </row>
    <row r="402">
      <c r="A402" s="3" t="n">
        <v>2025</v>
      </c>
      <c r="B402" s="4" t="n">
        <v>364</v>
      </c>
      <c r="C402" s="4" t="n">
        <v>17</v>
      </c>
      <c r="D402" s="3" t="inlineStr">
        <is>
          <t>오송읍</t>
        </is>
      </c>
      <c r="E402" s="3" t="inlineStr">
        <is>
          <t>공북리</t>
        </is>
      </c>
      <c r="F402" s="3" t="inlineStr">
        <is>
          <t>농림지역</t>
        </is>
      </c>
      <c r="G402" s="3" t="inlineStr">
        <is>
          <t>도로</t>
        </is>
      </c>
      <c r="H402" s="4" t="n">
        <v>5.1425</v>
      </c>
      <c r="I402" s="5" t="n">
        <v>70.8</v>
      </c>
      <c r="J402" s="3" t="inlineStr">
        <is>
          <t>오송읍</t>
        </is>
      </c>
    </row>
    <row r="403">
      <c r="A403" s="3" t="n">
        <v>2025</v>
      </c>
      <c r="B403" s="4" t="n">
        <v>38000</v>
      </c>
      <c r="C403" s="4" t="n">
        <v>232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제1종일반주거지역</t>
        </is>
      </c>
      <c r="G403" s="3" t="inlineStr">
        <is>
          <t>대</t>
        </is>
      </c>
      <c r="H403" s="4" t="n">
        <v>70.17999999999999</v>
      </c>
      <c r="I403" s="5" t="n">
        <v>541.5</v>
      </c>
      <c r="J403" s="3" t="inlineStr">
        <is>
          <t>오송읍</t>
        </is>
      </c>
    </row>
    <row r="404">
      <c r="A404" s="3" t="n">
        <v>2025</v>
      </c>
      <c r="B404" s="4" t="n">
        <v>42000</v>
      </c>
      <c r="C404" s="4" t="n">
        <v>2668</v>
      </c>
      <c r="D404" s="3" t="inlineStr">
        <is>
          <t>오송읍</t>
        </is>
      </c>
      <c r="E404" s="3" t="inlineStr">
        <is>
          <t>서평리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807.0699999999999</v>
      </c>
      <c r="I404" s="5" t="n">
        <v>52</v>
      </c>
      <c r="J404" s="3" t="inlineStr">
        <is>
          <t>오송읍</t>
        </is>
      </c>
    </row>
    <row r="405">
      <c r="A405" s="3" t="n">
        <v>2025</v>
      </c>
      <c r="B405" s="4" t="n">
        <v>60000</v>
      </c>
      <c r="C405" s="4" t="n">
        <v>990</v>
      </c>
      <c r="D405" s="3" t="inlineStr">
        <is>
          <t>강내면</t>
        </is>
      </c>
      <c r="E405" s="3" t="inlineStr">
        <is>
          <t>다락리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299.475</v>
      </c>
      <c r="I405" s="5" t="n">
        <v>200.4</v>
      </c>
      <c r="J405" s="3" t="inlineStr">
        <is>
          <t>강내면</t>
        </is>
      </c>
    </row>
    <row r="406">
      <c r="A406" s="3" t="n">
        <v>2025</v>
      </c>
      <c r="B406" s="4" t="n">
        <v>25000</v>
      </c>
      <c r="C406" s="4" t="n">
        <v>639</v>
      </c>
      <c r="D406" s="3" t="inlineStr">
        <is>
          <t>강내면</t>
        </is>
      </c>
      <c r="E406" s="3" t="inlineStr">
        <is>
          <t>다락리</t>
        </is>
      </c>
      <c r="F406" s="3" t="inlineStr">
        <is>
          <t>계획관리지역</t>
        </is>
      </c>
      <c r="G406" s="3" t="inlineStr">
        <is>
          <t>전</t>
        </is>
      </c>
      <c r="H406" s="4" t="n">
        <v>193.2975</v>
      </c>
      <c r="I406" s="5" t="n">
        <v>129.3</v>
      </c>
      <c r="J406" s="3" t="inlineStr">
        <is>
          <t>강내면</t>
        </is>
      </c>
    </row>
    <row r="407">
      <c r="A407" s="3" t="n">
        <v>2025</v>
      </c>
      <c r="B407" s="4" t="n">
        <v>33700</v>
      </c>
      <c r="C407" s="4" t="n">
        <v>1993</v>
      </c>
      <c r="D407" s="3" t="inlineStr">
        <is>
          <t>오송읍</t>
        </is>
      </c>
      <c r="E407" s="3" t="inlineStr">
        <is>
          <t>서평리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602.8824999999999</v>
      </c>
      <c r="I407" s="5" t="n">
        <v>55.9</v>
      </c>
      <c r="J407" s="3" t="inlineStr">
        <is>
          <t>오송읍</t>
        </is>
      </c>
    </row>
    <row r="408">
      <c r="A408" s="3" t="n">
        <v>2025</v>
      </c>
      <c r="B408" s="4" t="n">
        <v>11104</v>
      </c>
      <c r="C408" s="4" t="n">
        <v>250.6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75.8065</v>
      </c>
      <c r="I408" s="5" t="n">
        <v>146.5</v>
      </c>
      <c r="J408" s="3" t="inlineStr">
        <is>
          <t>오송읍</t>
        </is>
      </c>
    </row>
    <row r="409">
      <c r="A409" s="3" t="n">
        <v>2025</v>
      </c>
      <c r="B409" s="4" t="n">
        <v>48427</v>
      </c>
      <c r="C409" s="4" t="n">
        <v>2097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계획관리지역</t>
        </is>
      </c>
      <c r="G409" s="3" t="inlineStr">
        <is>
          <t>창고용지</t>
        </is>
      </c>
      <c r="H409" s="4" t="n">
        <v>634.3425</v>
      </c>
      <c r="I409" s="5" t="n">
        <v>76.3</v>
      </c>
      <c r="J409" s="3" t="inlineStr">
        <is>
          <t>강내면</t>
        </is>
      </c>
    </row>
    <row r="410">
      <c r="A410" s="3" t="n">
        <v>2025</v>
      </c>
      <c r="B410" s="4" t="n">
        <v>160000</v>
      </c>
      <c r="C410" s="4" t="n">
        <v>819.4</v>
      </c>
      <c r="D410" s="3" t="inlineStr">
        <is>
          <t>오송읍</t>
        </is>
      </c>
      <c r="E410" s="3" t="inlineStr">
        <is>
          <t>연제리</t>
        </is>
      </c>
      <c r="F410" s="3" t="inlineStr">
        <is>
          <t>일반상업지역</t>
        </is>
      </c>
      <c r="G410" s="3" t="inlineStr">
        <is>
          <t>대</t>
        </is>
      </c>
      <c r="H410" s="4" t="n">
        <v>247.8685</v>
      </c>
      <c r="I410" s="5" t="n">
        <v>645.5</v>
      </c>
      <c r="J410" s="3" t="inlineStr">
        <is>
          <t>오송읍</t>
        </is>
      </c>
    </row>
    <row r="411">
      <c r="A411" s="3" t="n">
        <v>2025</v>
      </c>
      <c r="B411" s="4" t="n">
        <v>3400</v>
      </c>
      <c r="C411" s="4" t="n">
        <v>331</v>
      </c>
      <c r="D411" s="3" t="inlineStr">
        <is>
          <t>오송읍</t>
        </is>
      </c>
      <c r="E411" s="3" t="inlineStr">
        <is>
          <t>쌍청리</t>
        </is>
      </c>
      <c r="F411" s="3" t="inlineStr">
        <is>
          <t>농림지역</t>
        </is>
      </c>
      <c r="G411" s="3" t="inlineStr">
        <is>
          <t>전</t>
        </is>
      </c>
      <c r="H411" s="4" t="n">
        <v>100.1275</v>
      </c>
      <c r="I411" s="5" t="n">
        <v>34</v>
      </c>
      <c r="J411" s="3" t="inlineStr">
        <is>
          <t>오송읍</t>
        </is>
      </c>
    </row>
    <row r="412">
      <c r="A412" s="3" t="n">
        <v>2025</v>
      </c>
      <c r="B412" s="4" t="n">
        <v>270000</v>
      </c>
      <c r="C412" s="4" t="n">
        <v>4983</v>
      </c>
      <c r="D412" s="3" t="inlineStr">
        <is>
          <t>오송읍</t>
        </is>
      </c>
      <c r="E412" s="3" t="inlineStr">
        <is>
          <t>연제리</t>
        </is>
      </c>
      <c r="F412" s="3" t="inlineStr">
        <is>
          <t>일반공업지역</t>
        </is>
      </c>
      <c r="G412" s="3" t="inlineStr">
        <is>
          <t>공장용지</t>
        </is>
      </c>
      <c r="H412" s="4" t="n">
        <v>1507.3575</v>
      </c>
      <c r="I412" s="5" t="n">
        <v>179.1</v>
      </c>
      <c r="J412" s="3" t="inlineStr">
        <is>
          <t>오송읍</t>
        </is>
      </c>
    </row>
    <row r="413">
      <c r="A413" s="3" t="n">
        <v>2025</v>
      </c>
      <c r="B413" s="4" t="n">
        <v>1010</v>
      </c>
      <c r="C413" s="4" t="n">
        <v>54</v>
      </c>
      <c r="D413" s="3" t="inlineStr">
        <is>
          <t>강내면</t>
        </is>
      </c>
      <c r="E413" s="3" t="inlineStr">
        <is>
          <t>궁현리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16.335</v>
      </c>
      <c r="I413" s="5" t="n">
        <v>61.8</v>
      </c>
      <c r="J413" s="3" t="inlineStr">
        <is>
          <t>강내면</t>
        </is>
      </c>
    </row>
    <row r="414">
      <c r="A414" s="3" t="n">
        <v>2025</v>
      </c>
      <c r="B414" s="4" t="n">
        <v>3000</v>
      </c>
      <c r="C414" s="4" t="n">
        <v>65</v>
      </c>
      <c r="D414" s="3" t="inlineStr">
        <is>
          <t>오송읍</t>
        </is>
      </c>
      <c r="E414" s="3" t="inlineStr">
        <is>
          <t>동평리</t>
        </is>
      </c>
      <c r="F414" s="3" t="inlineStr">
        <is>
          <t>계획관리지역</t>
        </is>
      </c>
      <c r="G414" s="3" t="inlineStr">
        <is>
          <t>대</t>
        </is>
      </c>
      <c r="H414" s="4" t="n">
        <v>19.6625</v>
      </c>
      <c r="I414" s="5" t="n">
        <v>152.6</v>
      </c>
      <c r="J414" s="3" t="inlineStr">
        <is>
          <t>오송읍</t>
        </is>
      </c>
    </row>
    <row r="415">
      <c r="A415" s="3" t="n">
        <v>2025</v>
      </c>
      <c r="B415" s="4" t="n">
        <v>3000</v>
      </c>
      <c r="C415" s="4" t="n">
        <v>64</v>
      </c>
      <c r="D415" s="3" t="inlineStr">
        <is>
          <t>오송읍</t>
        </is>
      </c>
      <c r="E415" s="3" t="inlineStr">
        <is>
          <t>동평리</t>
        </is>
      </c>
      <c r="F415" s="3" t="inlineStr">
        <is>
          <t>계획관리지역</t>
        </is>
      </c>
      <c r="G415" s="3" t="inlineStr">
        <is>
          <t>대</t>
        </is>
      </c>
      <c r="H415" s="4" t="n">
        <v>19.36</v>
      </c>
      <c r="I415" s="5" t="n">
        <v>155</v>
      </c>
      <c r="J415" s="3" t="inlineStr">
        <is>
          <t>오송읍</t>
        </is>
      </c>
    </row>
    <row r="416">
      <c r="A416" s="3" t="n">
        <v>2025</v>
      </c>
      <c r="B416" s="4" t="n">
        <v>18000</v>
      </c>
      <c r="C416" s="4" t="n">
        <v>1200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363</v>
      </c>
      <c r="I416" s="5" t="n">
        <v>49.6</v>
      </c>
      <c r="J416" s="3" t="inlineStr">
        <is>
          <t>오송읍</t>
        </is>
      </c>
    </row>
    <row r="417">
      <c r="A417" s="3" t="n">
        <v>2025</v>
      </c>
      <c r="B417" s="4" t="n">
        <v>51100</v>
      </c>
      <c r="C417" s="4" t="n">
        <v>849</v>
      </c>
      <c r="D417" s="3" t="inlineStr">
        <is>
          <t>강내면</t>
        </is>
      </c>
      <c r="E417" s="3" t="inlineStr">
        <is>
          <t>태성리</t>
        </is>
      </c>
      <c r="F417" s="3" t="inlineStr">
        <is>
          <t>계획관리지역</t>
        </is>
      </c>
      <c r="G417" s="3" t="inlineStr">
        <is>
          <t>대</t>
        </is>
      </c>
      <c r="H417" s="4" t="n">
        <v>256.8225</v>
      </c>
      <c r="I417" s="5" t="n">
        <v>199</v>
      </c>
      <c r="J417" s="3" t="inlineStr">
        <is>
          <t>강내면</t>
        </is>
      </c>
    </row>
    <row r="418">
      <c r="A418" s="3" t="n">
        <v>2025</v>
      </c>
      <c r="B418" s="4" t="n">
        <v>29117</v>
      </c>
      <c r="C418" s="4" t="n">
        <v>1957</v>
      </c>
      <c r="D418" s="3" t="inlineStr">
        <is>
          <t>부강면</t>
        </is>
      </c>
      <c r="E418" s="3" t="inlineStr">
        <is>
          <t>노호리</t>
        </is>
      </c>
      <c r="F418" s="3" t="inlineStr">
        <is>
          <t>보전관리지역</t>
        </is>
      </c>
      <c r="G418" s="3" t="inlineStr">
        <is>
          <t>임야</t>
        </is>
      </c>
      <c r="H418" s="4" t="n">
        <v>591.9924999999999</v>
      </c>
      <c r="I418" s="5" t="n">
        <v>49.2</v>
      </c>
      <c r="J418" s="3" t="inlineStr">
        <is>
          <t>부강면</t>
        </is>
      </c>
    </row>
    <row r="419">
      <c r="A419" s="3" t="n">
        <v>2025</v>
      </c>
      <c r="B419" s="4" t="n">
        <v>15000</v>
      </c>
      <c r="C419" s="4" t="n">
        <v>2314</v>
      </c>
      <c r="D419" s="3" t="inlineStr">
        <is>
          <t>연서면</t>
        </is>
      </c>
      <c r="E419" s="3" t="inlineStr">
        <is>
          <t>청라리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699.985</v>
      </c>
      <c r="I419" s="5" t="n">
        <v>21.4</v>
      </c>
      <c r="J419" s="3" t="inlineStr">
        <is>
          <t>연서면</t>
        </is>
      </c>
    </row>
    <row r="420">
      <c r="A420" s="3" t="n">
        <v>2025</v>
      </c>
      <c r="B420" s="4" t="n">
        <v>87662</v>
      </c>
      <c r="C420" s="4" t="n">
        <v>1418.8</v>
      </c>
      <c r="D420" s="3" t="inlineStr">
        <is>
          <t>집현동</t>
        </is>
      </c>
      <c r="E420" s="3" t="inlineStr"/>
      <c r="F420" s="3" t="inlineStr">
        <is>
          <t>준주거지역</t>
        </is>
      </c>
      <c r="G420" s="3" t="inlineStr">
        <is>
          <t>대</t>
        </is>
      </c>
      <c r="H420" s="4" t="n">
        <v>429.187</v>
      </c>
      <c r="I420" s="5" t="n">
        <v>204.3</v>
      </c>
      <c r="J420" s="3" t="inlineStr">
        <is>
          <t>집현동</t>
        </is>
      </c>
    </row>
    <row r="421">
      <c r="A421" s="3" t="n">
        <v>2025</v>
      </c>
      <c r="B421" s="4" t="n">
        <v>3400</v>
      </c>
      <c r="C421" s="4" t="n">
        <v>1127</v>
      </c>
      <c r="D421" s="3" t="inlineStr">
        <is>
          <t>부강면</t>
        </is>
      </c>
      <c r="E421" s="3" t="inlineStr">
        <is>
          <t>행산리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340.9175</v>
      </c>
      <c r="I421" s="5" t="n">
        <v>10</v>
      </c>
      <c r="J421" s="3" t="inlineStr">
        <is>
          <t>부강면</t>
        </is>
      </c>
    </row>
    <row r="422">
      <c r="A422" s="3" t="n">
        <v>2022</v>
      </c>
      <c r="B422" s="4" t="n">
        <v>9000</v>
      </c>
      <c r="C422" s="4" t="n">
        <v>506</v>
      </c>
      <c r="D422" s="3" t="inlineStr">
        <is>
          <t>연서면</t>
        </is>
      </c>
      <c r="E422" s="3" t="inlineStr">
        <is>
          <t>용암리</t>
        </is>
      </c>
      <c r="F422" s="3" t="inlineStr">
        <is>
          <t>생산관리지역</t>
        </is>
      </c>
      <c r="G422" s="3" t="inlineStr">
        <is>
          <t>전</t>
        </is>
      </c>
      <c r="H422" s="4" t="n">
        <v>153.065</v>
      </c>
      <c r="I422" s="5" t="n">
        <v>58.8</v>
      </c>
      <c r="J422" s="3" t="inlineStr">
        <is>
          <t>연서면</t>
        </is>
      </c>
    </row>
    <row r="423">
      <c r="A423" s="3" t="n">
        <v>2022</v>
      </c>
      <c r="B423" s="4" t="n">
        <v>1620</v>
      </c>
      <c r="C423" s="4" t="n">
        <v>83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25.1075</v>
      </c>
      <c r="I423" s="5" t="n">
        <v>64.5</v>
      </c>
      <c r="J423" s="3" t="inlineStr">
        <is>
          <t>부강면</t>
        </is>
      </c>
    </row>
    <row r="424">
      <c r="A424" s="3" t="n">
        <v>2022</v>
      </c>
      <c r="B424" s="4" t="n">
        <v>380</v>
      </c>
      <c r="C424" s="4" t="n">
        <v>20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6.05</v>
      </c>
      <c r="I424" s="5" t="n">
        <v>62.8</v>
      </c>
      <c r="J424" s="3" t="inlineStr">
        <is>
          <t>부강면</t>
        </is>
      </c>
    </row>
    <row r="425">
      <c r="A425" s="3" t="n">
        <v>2022</v>
      </c>
      <c r="B425" s="4" t="n">
        <v>10000</v>
      </c>
      <c r="C425" s="4" t="n">
        <v>36</v>
      </c>
      <c r="D425" s="3" t="inlineStr">
        <is>
          <t>연서면</t>
        </is>
      </c>
      <c r="E425" s="3" t="inlineStr">
        <is>
          <t>월하리</t>
        </is>
      </c>
      <c r="F425" s="3" t="inlineStr">
        <is>
          <t>보전관리지역</t>
        </is>
      </c>
      <c r="G425" s="3" t="inlineStr">
        <is>
          <t>전</t>
        </is>
      </c>
      <c r="H425" s="4" t="n">
        <v>10.89</v>
      </c>
      <c r="I425" s="5" t="n">
        <v>918.3</v>
      </c>
      <c r="J425" s="3" t="inlineStr">
        <is>
          <t>연서면</t>
        </is>
      </c>
    </row>
    <row r="426">
      <c r="A426" s="3" t="n">
        <v>2022</v>
      </c>
      <c r="B426" s="4" t="n">
        <v>8320</v>
      </c>
      <c r="C426" s="4" t="n">
        <v>14</v>
      </c>
      <c r="D426" s="3" t="inlineStr">
        <is>
          <t>연서면</t>
        </is>
      </c>
      <c r="E426" s="3" t="inlineStr">
        <is>
          <t>월하리</t>
        </is>
      </c>
      <c r="F426" s="3" t="inlineStr">
        <is>
          <t>보전관리지역</t>
        </is>
      </c>
      <c r="G426" s="3" t="inlineStr">
        <is>
          <t>과수원</t>
        </is>
      </c>
      <c r="H426" s="4" t="n">
        <v>4.234999999999999</v>
      </c>
      <c r="I426" s="5" t="n">
        <v>1964.6</v>
      </c>
      <c r="J426" s="3" t="inlineStr">
        <is>
          <t>연서면</t>
        </is>
      </c>
    </row>
    <row r="427">
      <c r="A427" s="3" t="n">
        <v>2022</v>
      </c>
      <c r="B427" s="4" t="n">
        <v>85312</v>
      </c>
      <c r="C427" s="4" t="n">
        <v>854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과수원</t>
        </is>
      </c>
      <c r="H427" s="4" t="n">
        <v>258.335</v>
      </c>
      <c r="I427" s="5" t="n">
        <v>330.2</v>
      </c>
      <c r="J427" s="3" t="inlineStr">
        <is>
          <t>연서면</t>
        </is>
      </c>
    </row>
    <row r="428">
      <c r="A428" s="3" t="n">
        <v>2022</v>
      </c>
      <c r="B428" s="4" t="n">
        <v>190818</v>
      </c>
      <c r="C428" s="4" t="n">
        <v>4294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보전녹지지역</t>
        </is>
      </c>
      <c r="G428" s="3" t="inlineStr">
        <is>
          <t>전</t>
        </is>
      </c>
      <c r="H428" s="4" t="n">
        <v>1298.935</v>
      </c>
      <c r="I428" s="5" t="n">
        <v>146.9</v>
      </c>
      <c r="J428" s="3" t="inlineStr">
        <is>
          <t>연서면</t>
        </is>
      </c>
    </row>
    <row r="429">
      <c r="A429" s="3" t="n">
        <v>2022</v>
      </c>
      <c r="B429" s="4" t="n">
        <v>60000</v>
      </c>
      <c r="C429" s="4" t="n">
        <v>350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과수원</t>
        </is>
      </c>
      <c r="H429" s="4" t="n">
        <v>105.875</v>
      </c>
      <c r="I429" s="5" t="n">
        <v>566.7</v>
      </c>
      <c r="J429" s="3" t="inlineStr">
        <is>
          <t>연서면</t>
        </is>
      </c>
    </row>
    <row r="430">
      <c r="A430" s="3" t="n">
        <v>2022</v>
      </c>
      <c r="B430" s="4" t="n">
        <v>16000</v>
      </c>
      <c r="C430" s="4" t="n">
        <v>205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제2종일반주거지역</t>
        </is>
      </c>
      <c r="G430" s="3" t="inlineStr">
        <is>
          <t>전</t>
        </is>
      </c>
      <c r="H430" s="4" t="n">
        <v>62.0125</v>
      </c>
      <c r="I430" s="5" t="n">
        <v>258</v>
      </c>
      <c r="J430" s="3" t="inlineStr">
        <is>
          <t>연서면</t>
        </is>
      </c>
    </row>
    <row r="431">
      <c r="A431" s="3" t="n">
        <v>2022</v>
      </c>
      <c r="B431" s="4" t="n">
        <v>148895</v>
      </c>
      <c r="C431" s="4" t="n">
        <v>3003</v>
      </c>
      <c r="D431" s="3" t="inlineStr">
        <is>
          <t>연서면</t>
        </is>
      </c>
      <c r="E431" s="3" t="inlineStr">
        <is>
          <t>월하리</t>
        </is>
      </c>
      <c r="F431" s="3" t="inlineStr">
        <is>
          <t>보전녹지지역</t>
        </is>
      </c>
      <c r="G431" s="3" t="inlineStr">
        <is>
          <t>전</t>
        </is>
      </c>
      <c r="H431" s="4" t="n">
        <v>908.4075</v>
      </c>
      <c r="I431" s="5" t="n">
        <v>163.9</v>
      </c>
      <c r="J431" s="3" t="inlineStr">
        <is>
          <t>연서면</t>
        </is>
      </c>
    </row>
    <row r="432">
      <c r="A432" s="3" t="n">
        <v>2022</v>
      </c>
      <c r="B432" s="4" t="n">
        <v>310</v>
      </c>
      <c r="C432" s="4" t="n">
        <v>16</v>
      </c>
      <c r="D432" s="3" t="inlineStr">
        <is>
          <t>부강면</t>
        </is>
      </c>
      <c r="E432" s="3" t="inlineStr">
        <is>
          <t>문곡리</t>
        </is>
      </c>
      <c r="F432" s="3" t="inlineStr">
        <is>
          <t>계획관리지역</t>
        </is>
      </c>
      <c r="G432" s="3" t="inlineStr">
        <is>
          <t>답</t>
        </is>
      </c>
      <c r="H432" s="4" t="n">
        <v>4.84</v>
      </c>
      <c r="I432" s="5" t="n">
        <v>64</v>
      </c>
      <c r="J432" s="3" t="inlineStr">
        <is>
          <t>부강면</t>
        </is>
      </c>
    </row>
    <row r="433">
      <c r="A433" s="3" t="n">
        <v>2022</v>
      </c>
      <c r="B433" s="4" t="n">
        <v>49000</v>
      </c>
      <c r="C433" s="4" t="n">
        <v>2699.3</v>
      </c>
      <c r="D433" s="3" t="inlineStr">
        <is>
          <t>부강면</t>
        </is>
      </c>
      <c r="E433" s="3" t="inlineStr">
        <is>
          <t>산수리</t>
        </is>
      </c>
      <c r="F433" s="3" t="inlineStr">
        <is>
          <t>농림지역</t>
        </is>
      </c>
      <c r="G433" s="3" t="inlineStr">
        <is>
          <t>답</t>
        </is>
      </c>
      <c r="H433" s="4" t="n">
        <v>816.5382500000001</v>
      </c>
      <c r="I433" s="5" t="n">
        <v>60</v>
      </c>
      <c r="J433" s="3" t="inlineStr">
        <is>
          <t>부강면</t>
        </is>
      </c>
    </row>
    <row r="434">
      <c r="A434" s="3" t="n">
        <v>2022</v>
      </c>
      <c r="B434" s="4" t="n">
        <v>22280</v>
      </c>
      <c r="C434" s="4" t="n">
        <v>1227.5</v>
      </c>
      <c r="D434" s="3" t="inlineStr">
        <is>
          <t>부강면</t>
        </is>
      </c>
      <c r="E434" s="3" t="inlineStr">
        <is>
          <t>산수리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371.31875</v>
      </c>
      <c r="I434" s="5" t="n">
        <v>60</v>
      </c>
      <c r="J434" s="3" t="inlineStr">
        <is>
          <t>부강면</t>
        </is>
      </c>
    </row>
    <row r="435">
      <c r="A435" s="3" t="n">
        <v>2022</v>
      </c>
      <c r="B435" s="4" t="n">
        <v>535</v>
      </c>
      <c r="C435" s="4" t="n">
        <v>11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3.3275</v>
      </c>
      <c r="I435" s="5" t="n">
        <v>160.8</v>
      </c>
      <c r="J435" s="3" t="inlineStr">
        <is>
          <t>부강면</t>
        </is>
      </c>
    </row>
    <row r="436">
      <c r="A436" s="3" t="n">
        <v>2022</v>
      </c>
      <c r="B436" s="4" t="n">
        <v>535</v>
      </c>
      <c r="C436" s="4" t="n">
        <v>10</v>
      </c>
      <c r="D436" s="3" t="inlineStr">
        <is>
          <t>부강면</t>
        </is>
      </c>
      <c r="E436" s="3" t="inlineStr">
        <is>
          <t>금호리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3.025</v>
      </c>
      <c r="I436" s="5" t="n">
        <v>176.9</v>
      </c>
      <c r="J436" s="3" t="inlineStr">
        <is>
          <t>부강면</t>
        </is>
      </c>
    </row>
    <row r="437">
      <c r="A437" s="3" t="n">
        <v>2022</v>
      </c>
      <c r="B437" s="4" t="n">
        <v>2000</v>
      </c>
      <c r="C437" s="4" t="n">
        <v>634</v>
      </c>
      <c r="D437" s="3" t="inlineStr">
        <is>
          <t>조치원읍</t>
        </is>
      </c>
      <c r="E437" s="3" t="inlineStr">
        <is>
          <t>봉산리</t>
        </is>
      </c>
      <c r="F437" s="3" t="inlineStr">
        <is>
          <t>계획관리지역</t>
        </is>
      </c>
      <c r="G437" s="3" t="inlineStr">
        <is>
          <t>임야</t>
        </is>
      </c>
      <c r="H437" s="4" t="n">
        <v>191.785</v>
      </c>
      <c r="I437" s="5" t="n">
        <v>10.4</v>
      </c>
      <c r="J437" s="3" t="inlineStr">
        <is>
          <t>조치원읍</t>
        </is>
      </c>
    </row>
    <row r="438">
      <c r="A438" s="3" t="n">
        <v>2022</v>
      </c>
      <c r="B438" s="4" t="n">
        <v>2000</v>
      </c>
      <c r="C438" s="4" t="n">
        <v>79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계획관리지역</t>
        </is>
      </c>
      <c r="G438" s="3" t="inlineStr">
        <is>
          <t>도로</t>
        </is>
      </c>
      <c r="H438" s="4" t="n">
        <v>23.8975</v>
      </c>
      <c r="I438" s="5" t="n">
        <v>83.7</v>
      </c>
      <c r="J438" s="3" t="inlineStr">
        <is>
          <t>연서면</t>
        </is>
      </c>
    </row>
    <row r="439">
      <c r="A439" s="3" t="n">
        <v>2022</v>
      </c>
      <c r="B439" s="4" t="n">
        <v>90760</v>
      </c>
      <c r="C439" s="4" t="n">
        <v>1623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490.9575</v>
      </c>
      <c r="I439" s="5" t="n">
        <v>184.9</v>
      </c>
      <c r="J439" s="3" t="inlineStr">
        <is>
          <t>연서면</t>
        </is>
      </c>
    </row>
    <row r="440">
      <c r="A440" s="3" t="n">
        <v>2022</v>
      </c>
      <c r="B440" s="4" t="n">
        <v>25000</v>
      </c>
      <c r="C440" s="4" t="n">
        <v>230</v>
      </c>
      <c r="D440" s="3" t="inlineStr">
        <is>
          <t>조치원읍</t>
        </is>
      </c>
      <c r="E440" s="3" t="inlineStr">
        <is>
          <t>죽림리</t>
        </is>
      </c>
      <c r="F440" s="3" t="inlineStr">
        <is>
          <t>제2종일반주거지역</t>
        </is>
      </c>
      <c r="G440" s="3" t="inlineStr">
        <is>
          <t>대</t>
        </is>
      </c>
      <c r="H440" s="4" t="n">
        <v>69.575</v>
      </c>
      <c r="I440" s="5" t="n">
        <v>359.3</v>
      </c>
      <c r="J440" s="3" t="inlineStr">
        <is>
          <t>조치원읍</t>
        </is>
      </c>
    </row>
    <row r="441">
      <c r="A441" s="3" t="n">
        <v>2023</v>
      </c>
      <c r="B441" s="4" t="n">
        <v>1050</v>
      </c>
      <c r="C441" s="4" t="n">
        <v>54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임야</t>
        </is>
      </c>
      <c r="H441" s="4" t="n">
        <v>16.335</v>
      </c>
      <c r="I441" s="5" t="n">
        <v>64.3</v>
      </c>
      <c r="J441" s="3" t="inlineStr">
        <is>
          <t>연서면</t>
        </is>
      </c>
    </row>
    <row r="442">
      <c r="A442" s="3" t="n">
        <v>2023</v>
      </c>
      <c r="B442" s="4" t="n">
        <v>70000</v>
      </c>
      <c r="C442" s="4" t="n">
        <v>1077</v>
      </c>
      <c r="D442" s="3" t="inlineStr">
        <is>
          <t>연서면</t>
        </is>
      </c>
      <c r="E442" s="3" t="inlineStr">
        <is>
          <t>월하리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325.7925</v>
      </c>
      <c r="I442" s="5" t="n">
        <v>214.9</v>
      </c>
      <c r="J442" s="3" t="inlineStr">
        <is>
          <t>연서면</t>
        </is>
      </c>
    </row>
    <row r="443">
      <c r="A443" s="3" t="n">
        <v>2023</v>
      </c>
      <c r="B443" s="4" t="n">
        <v>1300</v>
      </c>
      <c r="C443" s="4" t="n">
        <v>33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9.9825</v>
      </c>
      <c r="I443" s="5" t="n">
        <v>130.2</v>
      </c>
      <c r="J443" s="3" t="inlineStr">
        <is>
          <t>연동면</t>
        </is>
      </c>
    </row>
    <row r="444">
      <c r="A444" s="3" t="n">
        <v>2023</v>
      </c>
      <c r="B444" s="4" t="n">
        <v>3770</v>
      </c>
      <c r="C444" s="4" t="n">
        <v>96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29.04</v>
      </c>
      <c r="I444" s="5" t="n">
        <v>129.8</v>
      </c>
      <c r="J444" s="3" t="inlineStr">
        <is>
          <t>연동면</t>
        </is>
      </c>
    </row>
    <row r="445">
      <c r="A445" s="3" t="n">
        <v>2022</v>
      </c>
      <c r="B445" s="4" t="n">
        <v>880</v>
      </c>
      <c r="C445" s="4" t="n">
        <v>8</v>
      </c>
      <c r="D445" s="3" t="inlineStr">
        <is>
          <t>연서면</t>
        </is>
      </c>
      <c r="E445" s="3" t="inlineStr">
        <is>
          <t>봉암리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2.42</v>
      </c>
      <c r="I445" s="5" t="n">
        <v>363.6</v>
      </c>
      <c r="J445" s="3" t="inlineStr">
        <is>
          <t>연서면</t>
        </is>
      </c>
    </row>
    <row r="446">
      <c r="A446" s="3" t="n">
        <v>2022</v>
      </c>
      <c r="B446" s="4" t="n">
        <v>93</v>
      </c>
      <c r="C446" s="4" t="n">
        <v>1</v>
      </c>
      <c r="D446" s="3" t="inlineStr">
        <is>
          <t>연서면</t>
        </is>
      </c>
      <c r="E446" s="3" t="inlineStr">
        <is>
          <t>봉암리</t>
        </is>
      </c>
      <c r="F446" s="3" t="inlineStr">
        <is>
          <t>계획관리지역</t>
        </is>
      </c>
      <c r="G446" s="3" t="inlineStr">
        <is>
          <t>답</t>
        </is>
      </c>
      <c r="H446" s="4" t="n">
        <v>0.3025</v>
      </c>
      <c r="I446" s="5" t="n">
        <v>307.4</v>
      </c>
      <c r="J446" s="3" t="inlineStr">
        <is>
          <t>연서면</t>
        </is>
      </c>
    </row>
    <row r="447">
      <c r="A447" s="3" t="n">
        <v>2022</v>
      </c>
      <c r="B447" s="4" t="n">
        <v>1500</v>
      </c>
      <c r="C447" s="4" t="n">
        <v>504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152.46</v>
      </c>
      <c r="I447" s="5" t="n">
        <v>9.800000000000001</v>
      </c>
      <c r="J447" s="3" t="inlineStr">
        <is>
          <t>연서면</t>
        </is>
      </c>
    </row>
    <row r="448">
      <c r="A448" s="3" t="n">
        <v>2022</v>
      </c>
      <c r="B448" s="4" t="n">
        <v>580</v>
      </c>
      <c r="C448" s="4" t="n">
        <v>90</v>
      </c>
      <c r="D448" s="3" t="inlineStr">
        <is>
          <t>부강면</t>
        </is>
      </c>
      <c r="E448" s="3" t="inlineStr">
        <is>
          <t>문곡리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27.225</v>
      </c>
      <c r="I448" s="5" t="n">
        <v>21.3</v>
      </c>
      <c r="J448" s="3" t="inlineStr">
        <is>
          <t>부강면</t>
        </is>
      </c>
    </row>
    <row r="449">
      <c r="A449" s="3" t="n">
        <v>2022</v>
      </c>
      <c r="B449" s="4" t="n">
        <v>1920</v>
      </c>
      <c r="C449" s="4" t="n">
        <v>55</v>
      </c>
      <c r="D449" s="3" t="inlineStr">
        <is>
          <t>부강면</t>
        </is>
      </c>
      <c r="E449" s="3" t="inlineStr">
        <is>
          <t>문곡리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16.6375</v>
      </c>
      <c r="I449" s="5" t="n">
        <v>115.4</v>
      </c>
      <c r="J449" s="3" t="inlineStr">
        <is>
          <t>부강면</t>
        </is>
      </c>
    </row>
    <row r="450">
      <c r="A450" s="3" t="n">
        <v>2025</v>
      </c>
      <c r="B450" s="4" t="n">
        <v>4500</v>
      </c>
      <c r="C450" s="4" t="n">
        <v>185</v>
      </c>
      <c r="D450" s="3" t="inlineStr">
        <is>
          <t>오송읍</t>
        </is>
      </c>
      <c r="E450" s="3" t="inlineStr">
        <is>
          <t>서평리</t>
        </is>
      </c>
      <c r="F450" s="3" t="inlineStr">
        <is>
          <t>생산관리지역</t>
        </is>
      </c>
      <c r="G450" s="3" t="inlineStr">
        <is>
          <t>전</t>
        </is>
      </c>
      <c r="H450" s="4" t="n">
        <v>55.9625</v>
      </c>
      <c r="I450" s="5" t="n">
        <v>80.40000000000001</v>
      </c>
      <c r="J450" s="3" t="inlineStr">
        <is>
          <t>오송읍</t>
        </is>
      </c>
    </row>
    <row r="451">
      <c r="A451" s="3" t="n">
        <v>2025</v>
      </c>
      <c r="B451" s="4" t="n">
        <v>1750</v>
      </c>
      <c r="C451" s="4" t="n">
        <v>173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임야</t>
        </is>
      </c>
      <c r="H451" s="4" t="n">
        <v>52.3325</v>
      </c>
      <c r="I451" s="5" t="n">
        <v>33.4</v>
      </c>
      <c r="J451" s="3" t="inlineStr">
        <is>
          <t>강내면</t>
        </is>
      </c>
    </row>
    <row r="452">
      <c r="A452" s="3" t="n">
        <v>2025</v>
      </c>
      <c r="B452" s="4" t="n">
        <v>5250</v>
      </c>
      <c r="C452" s="4" t="n">
        <v>521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임야</t>
        </is>
      </c>
      <c r="H452" s="4" t="n">
        <v>157.6025</v>
      </c>
      <c r="I452" s="5" t="n">
        <v>33.3</v>
      </c>
      <c r="J452" s="3" t="inlineStr">
        <is>
          <t>강내면</t>
        </is>
      </c>
    </row>
    <row r="453">
      <c r="A453" s="3" t="n">
        <v>2025</v>
      </c>
      <c r="B453" s="4" t="n">
        <v>87800</v>
      </c>
      <c r="C453" s="4" t="n">
        <v>1451</v>
      </c>
      <c r="D453" s="3" t="inlineStr">
        <is>
          <t>오송읍</t>
        </is>
      </c>
      <c r="E453" s="3" t="inlineStr">
        <is>
          <t>봉산리</t>
        </is>
      </c>
      <c r="F453" s="3" t="inlineStr">
        <is>
          <t>계획관리지역</t>
        </is>
      </c>
      <c r="G453" s="3" t="inlineStr">
        <is>
          <t>답</t>
        </is>
      </c>
      <c r="H453" s="4" t="n">
        <v>438.9275</v>
      </c>
      <c r="I453" s="5" t="n">
        <v>200</v>
      </c>
      <c r="J453" s="3" t="inlineStr">
        <is>
          <t>오송읍</t>
        </is>
      </c>
    </row>
    <row r="454">
      <c r="A454" s="3" t="n">
        <v>2025</v>
      </c>
      <c r="B454" s="4" t="n">
        <v>11000</v>
      </c>
      <c r="C454" s="4" t="n">
        <v>1236</v>
      </c>
      <c r="D454" s="3" t="inlineStr">
        <is>
          <t>강내면</t>
        </is>
      </c>
      <c r="E454" s="3" t="inlineStr">
        <is>
          <t>학천리</t>
        </is>
      </c>
      <c r="F454" s="3" t="inlineStr">
        <is>
          <t>생산녹지지역</t>
        </is>
      </c>
      <c r="G454" s="3" t="inlineStr">
        <is>
          <t>답</t>
        </is>
      </c>
      <c r="H454" s="4" t="n">
        <v>373.89</v>
      </c>
      <c r="I454" s="5" t="n">
        <v>29.4</v>
      </c>
      <c r="J454" s="3" t="inlineStr">
        <is>
          <t>강내면</t>
        </is>
      </c>
    </row>
    <row r="455">
      <c r="A455" s="3" t="n">
        <v>2025</v>
      </c>
      <c r="B455" s="4" t="n">
        <v>1755</v>
      </c>
      <c r="C455" s="4" t="n">
        <v>354</v>
      </c>
      <c r="D455" s="3" t="inlineStr">
        <is>
          <t>강내면</t>
        </is>
      </c>
      <c r="E455" s="3" t="inlineStr">
        <is>
          <t>학천리</t>
        </is>
      </c>
      <c r="F455" s="3" t="inlineStr">
        <is>
          <t>생산녹지지역</t>
        </is>
      </c>
      <c r="G455" s="3" t="inlineStr">
        <is>
          <t>답</t>
        </is>
      </c>
      <c r="H455" s="4" t="n">
        <v>107.085</v>
      </c>
      <c r="I455" s="5" t="n">
        <v>16.4</v>
      </c>
      <c r="J455" s="3" t="inlineStr">
        <is>
          <t>강내면</t>
        </is>
      </c>
    </row>
    <row r="456">
      <c r="A456" s="3" t="n">
        <v>2025</v>
      </c>
      <c r="B456" s="4" t="n">
        <v>2245</v>
      </c>
      <c r="C456" s="4" t="n">
        <v>453</v>
      </c>
      <c r="D456" s="3" t="inlineStr">
        <is>
          <t>강내면</t>
        </is>
      </c>
      <c r="E456" s="3" t="inlineStr">
        <is>
          <t>학천리</t>
        </is>
      </c>
      <c r="F456" s="3" t="inlineStr">
        <is>
          <t>생산녹지지역</t>
        </is>
      </c>
      <c r="G456" s="3" t="inlineStr">
        <is>
          <t>답</t>
        </is>
      </c>
      <c r="H456" s="4" t="n">
        <v>137.0325</v>
      </c>
      <c r="I456" s="5" t="n">
        <v>16.4</v>
      </c>
      <c r="J456" s="3" t="inlineStr">
        <is>
          <t>강내면</t>
        </is>
      </c>
    </row>
    <row r="457">
      <c r="A457" s="3" t="n">
        <v>2025</v>
      </c>
      <c r="B457" s="4" t="n">
        <v>2000</v>
      </c>
      <c r="C457" s="4" t="n">
        <v>344</v>
      </c>
      <c r="D457" s="3" t="inlineStr">
        <is>
          <t>강내면</t>
        </is>
      </c>
      <c r="E457" s="3" t="inlineStr">
        <is>
          <t>학천리</t>
        </is>
      </c>
      <c r="F457" s="3" t="inlineStr">
        <is>
          <t>생산녹지지역</t>
        </is>
      </c>
      <c r="G457" s="3" t="inlineStr">
        <is>
          <t>답</t>
        </is>
      </c>
      <c r="H457" s="4" t="n">
        <v>104.06</v>
      </c>
      <c r="I457" s="5" t="n">
        <v>19.2</v>
      </c>
      <c r="J457" s="3" t="inlineStr">
        <is>
          <t>강내면</t>
        </is>
      </c>
    </row>
    <row r="458">
      <c r="A458" s="3" t="n">
        <v>2025</v>
      </c>
      <c r="B458" s="4" t="n">
        <v>26900</v>
      </c>
      <c r="C458" s="4" t="n">
        <v>1537</v>
      </c>
      <c r="D458" s="3" t="inlineStr">
        <is>
          <t>오송읍</t>
        </is>
      </c>
      <c r="E458" s="3" t="inlineStr">
        <is>
          <t>서평리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464.9425</v>
      </c>
      <c r="I458" s="5" t="n">
        <v>57.9</v>
      </c>
      <c r="J458" s="3" t="inlineStr">
        <is>
          <t>오송읍</t>
        </is>
      </c>
    </row>
    <row r="459">
      <c r="A459" s="3" t="n">
        <v>2025</v>
      </c>
      <c r="B459" s="4" t="n">
        <v>25155</v>
      </c>
      <c r="C459" s="4" t="n">
        <v>774</v>
      </c>
      <c r="D459" s="3" t="inlineStr">
        <is>
          <t>오송읍</t>
        </is>
      </c>
      <c r="E459" s="3" t="inlineStr">
        <is>
          <t>정중리</t>
        </is>
      </c>
      <c r="F459" s="3" t="inlineStr">
        <is>
          <t>생산관리지역</t>
        </is>
      </c>
      <c r="G459" s="3" t="inlineStr">
        <is>
          <t>답</t>
        </is>
      </c>
      <c r="H459" s="4" t="n">
        <v>234.135</v>
      </c>
      <c r="I459" s="5" t="n">
        <v>107.4</v>
      </c>
      <c r="J459" s="3" t="inlineStr">
        <is>
          <t>오송읍</t>
        </is>
      </c>
    </row>
    <row r="460">
      <c r="A460" s="3" t="n">
        <v>2025</v>
      </c>
      <c r="B460" s="4" t="n">
        <v>47635</v>
      </c>
      <c r="C460" s="4" t="n">
        <v>1392</v>
      </c>
      <c r="D460" s="3" t="inlineStr">
        <is>
          <t>오송읍</t>
        </is>
      </c>
      <c r="E460" s="3" t="inlineStr">
        <is>
          <t>정중리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421.08</v>
      </c>
      <c r="I460" s="5" t="n">
        <v>113.1</v>
      </c>
      <c r="J460" s="3" t="inlineStr">
        <is>
          <t>오송읍</t>
        </is>
      </c>
    </row>
    <row r="461">
      <c r="A461" s="3" t="n">
        <v>2025</v>
      </c>
      <c r="B461" s="4" t="n">
        <v>27918</v>
      </c>
      <c r="C461" s="4" t="n">
        <v>859</v>
      </c>
      <c r="D461" s="3" t="inlineStr">
        <is>
          <t>오송읍</t>
        </is>
      </c>
      <c r="E461" s="3" t="inlineStr">
        <is>
          <t>정중리</t>
        </is>
      </c>
      <c r="F461" s="3" t="inlineStr">
        <is>
          <t>생산관리지역</t>
        </is>
      </c>
      <c r="G461" s="3" t="inlineStr">
        <is>
          <t>답</t>
        </is>
      </c>
      <c r="H461" s="4" t="n">
        <v>259.8475</v>
      </c>
      <c r="I461" s="5" t="n">
        <v>107.4</v>
      </c>
      <c r="J461" s="3" t="inlineStr">
        <is>
          <t>오송읍</t>
        </is>
      </c>
    </row>
    <row r="462">
      <c r="A462" s="3" t="n">
        <v>2025</v>
      </c>
      <c r="B462" s="4" t="n">
        <v>4453</v>
      </c>
      <c r="C462" s="4" t="n">
        <v>137</v>
      </c>
      <c r="D462" s="3" t="inlineStr">
        <is>
          <t>오송읍</t>
        </is>
      </c>
      <c r="E462" s="3" t="inlineStr">
        <is>
          <t>정중리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41.4425</v>
      </c>
      <c r="I462" s="5" t="n">
        <v>107.5</v>
      </c>
      <c r="J462" s="3" t="inlineStr">
        <is>
          <t>오송읍</t>
        </is>
      </c>
    </row>
    <row r="463">
      <c r="A463" s="3" t="n">
        <v>2025</v>
      </c>
      <c r="B463" s="4" t="n">
        <v>25300</v>
      </c>
      <c r="C463" s="4" t="n">
        <v>342</v>
      </c>
      <c r="D463" s="3" t="inlineStr">
        <is>
          <t>강내면</t>
        </is>
      </c>
      <c r="E463" s="3" t="inlineStr">
        <is>
          <t>월곡리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103.455</v>
      </c>
      <c r="I463" s="5" t="n">
        <v>244.6</v>
      </c>
      <c r="J463" s="3" t="inlineStr">
        <is>
          <t>강내면</t>
        </is>
      </c>
    </row>
    <row r="464">
      <c r="A464" s="3" t="n">
        <v>2025</v>
      </c>
      <c r="B464" s="4" t="n">
        <v>11000</v>
      </c>
      <c r="C464" s="4" t="n">
        <v>1002</v>
      </c>
      <c r="D464" s="3" t="inlineStr">
        <is>
          <t>강내면</t>
        </is>
      </c>
      <c r="E464" s="3" t="inlineStr">
        <is>
          <t>월곡리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303.105</v>
      </c>
      <c r="I464" s="5" t="n">
        <v>36.3</v>
      </c>
      <c r="J464" s="3" t="inlineStr">
        <is>
          <t>강내면</t>
        </is>
      </c>
    </row>
    <row r="465">
      <c r="A465" s="3" t="n">
        <v>2025</v>
      </c>
      <c r="B465" s="4" t="n">
        <v>1450</v>
      </c>
      <c r="C465" s="4" t="n">
        <v>145</v>
      </c>
      <c r="D465" s="3" t="inlineStr">
        <is>
          <t>강내면</t>
        </is>
      </c>
      <c r="E465" s="3" t="inlineStr">
        <is>
          <t>월곡리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43.8625</v>
      </c>
      <c r="I465" s="5" t="n">
        <v>33.1</v>
      </c>
      <c r="J465" s="3" t="inlineStr">
        <is>
          <t>강내면</t>
        </is>
      </c>
    </row>
    <row r="466">
      <c r="A466" s="3" t="n">
        <v>2025</v>
      </c>
      <c r="B466" s="4" t="n">
        <v>150</v>
      </c>
      <c r="C466" s="4" t="n">
        <v>20</v>
      </c>
      <c r="D466" s="3" t="inlineStr">
        <is>
          <t>강내면</t>
        </is>
      </c>
      <c r="E466" s="3" t="inlineStr">
        <is>
          <t>월곡리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6.05</v>
      </c>
      <c r="I466" s="5" t="n">
        <v>24.8</v>
      </c>
      <c r="J466" s="3" t="inlineStr">
        <is>
          <t>강내면</t>
        </is>
      </c>
    </row>
    <row r="467">
      <c r="A467" s="3" t="n">
        <v>2025</v>
      </c>
      <c r="B467" s="4" t="n">
        <v>52000</v>
      </c>
      <c r="C467" s="4" t="n">
        <v>2942</v>
      </c>
      <c r="D467" s="3" t="inlineStr">
        <is>
          <t>오송읍</t>
        </is>
      </c>
      <c r="E467" s="3" t="inlineStr">
        <is>
          <t>쌍청리</t>
        </is>
      </c>
      <c r="F467" s="3" t="inlineStr">
        <is>
          <t>농림지역</t>
        </is>
      </c>
      <c r="G467" s="3" t="inlineStr">
        <is>
          <t>답</t>
        </is>
      </c>
      <c r="H467" s="4" t="n">
        <v>889.9549999999999</v>
      </c>
      <c r="I467" s="5" t="n">
        <v>58.4</v>
      </c>
      <c r="J467" s="3" t="inlineStr">
        <is>
          <t>오송읍</t>
        </is>
      </c>
    </row>
    <row r="468">
      <c r="A468" s="3" t="n">
        <v>2025</v>
      </c>
      <c r="B468" s="4" t="n">
        <v>1700</v>
      </c>
      <c r="C468" s="4" t="n">
        <v>56</v>
      </c>
      <c r="D468" s="3" t="inlineStr">
        <is>
          <t>강내면</t>
        </is>
      </c>
      <c r="E468" s="3" t="inlineStr">
        <is>
          <t>태성리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16.94</v>
      </c>
      <c r="I468" s="5" t="n">
        <v>100.4</v>
      </c>
      <c r="J468" s="3" t="inlineStr">
        <is>
          <t>강내면</t>
        </is>
      </c>
    </row>
    <row r="469">
      <c r="A469" s="3" t="n">
        <v>2025</v>
      </c>
      <c r="B469" s="4" t="n">
        <v>6600</v>
      </c>
      <c r="C469" s="4" t="n">
        <v>139</v>
      </c>
      <c r="D469" s="3" t="inlineStr">
        <is>
          <t>오송읍</t>
        </is>
      </c>
      <c r="E469" s="3" t="inlineStr">
        <is>
          <t>궁평리</t>
        </is>
      </c>
      <c r="F469" s="3" t="inlineStr">
        <is>
          <t>계획관리지역</t>
        </is>
      </c>
      <c r="G469" s="3" t="inlineStr">
        <is>
          <t>대</t>
        </is>
      </c>
      <c r="H469" s="4" t="n">
        <v>42.0475</v>
      </c>
      <c r="I469" s="5" t="n">
        <v>157</v>
      </c>
      <c r="J469" s="3" t="inlineStr">
        <is>
          <t>오송읍</t>
        </is>
      </c>
    </row>
    <row r="470">
      <c r="A470" s="3" t="n">
        <v>2025</v>
      </c>
      <c r="B470" s="4" t="n">
        <v>4600</v>
      </c>
      <c r="C470" s="4" t="n">
        <v>109</v>
      </c>
      <c r="D470" s="3" t="inlineStr">
        <is>
          <t>오송읍</t>
        </is>
      </c>
      <c r="E470" s="3" t="inlineStr">
        <is>
          <t>궁평리</t>
        </is>
      </c>
      <c r="F470" s="3" t="inlineStr">
        <is>
          <t>계획관리지역</t>
        </is>
      </c>
      <c r="G470" s="3" t="inlineStr">
        <is>
          <t>대</t>
        </is>
      </c>
      <c r="H470" s="4" t="n">
        <v>32.9725</v>
      </c>
      <c r="I470" s="5" t="n">
        <v>139.5</v>
      </c>
      <c r="J470" s="3" t="inlineStr">
        <is>
          <t>오송읍</t>
        </is>
      </c>
    </row>
    <row r="471">
      <c r="A471" s="3" t="n">
        <v>2025</v>
      </c>
      <c r="B471" s="4" t="n">
        <v>70</v>
      </c>
      <c r="C471" s="4" t="n">
        <v>7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계획관리지역</t>
        </is>
      </c>
      <c r="G471" s="3" t="inlineStr">
        <is>
          <t>도로</t>
        </is>
      </c>
      <c r="H471" s="4" t="n">
        <v>2.1175</v>
      </c>
      <c r="I471" s="5" t="n">
        <v>33.1</v>
      </c>
      <c r="J471" s="3" t="inlineStr">
        <is>
          <t>오송읍</t>
        </is>
      </c>
    </row>
    <row r="472">
      <c r="A472" s="3" t="n">
        <v>2025</v>
      </c>
      <c r="B472" s="4" t="n">
        <v>30</v>
      </c>
      <c r="C472" s="4" t="n">
        <v>4</v>
      </c>
      <c r="D472" s="3" t="inlineStr">
        <is>
          <t>오송읍</t>
        </is>
      </c>
      <c r="E472" s="3" t="inlineStr">
        <is>
          <t>궁평리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1.21</v>
      </c>
      <c r="I472" s="5" t="n">
        <v>24.8</v>
      </c>
      <c r="J472" s="3" t="inlineStr">
        <is>
          <t>오송읍</t>
        </is>
      </c>
    </row>
    <row r="473">
      <c r="A473" s="3" t="n">
        <v>2025</v>
      </c>
      <c r="B473" s="4" t="n">
        <v>21714</v>
      </c>
      <c r="C473" s="4" t="n">
        <v>465</v>
      </c>
      <c r="D473" s="3" t="inlineStr">
        <is>
          <t>강내면</t>
        </is>
      </c>
      <c r="E473" s="3" t="inlineStr">
        <is>
          <t>사곡리</t>
        </is>
      </c>
      <c r="F473" s="3" t="inlineStr">
        <is>
          <t>보전관리지역</t>
        </is>
      </c>
      <c r="G473" s="3" t="inlineStr">
        <is>
          <t>대</t>
        </is>
      </c>
      <c r="H473" s="4" t="n">
        <v>140.6625</v>
      </c>
      <c r="I473" s="5" t="n">
        <v>154.4</v>
      </c>
      <c r="J473" s="3" t="inlineStr">
        <is>
          <t>강내면</t>
        </is>
      </c>
    </row>
    <row r="474">
      <c r="A474" s="3" t="n">
        <v>2025</v>
      </c>
      <c r="B474" s="4" t="n">
        <v>43422</v>
      </c>
      <c r="C474" s="4" t="n">
        <v>4135.4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답</t>
        </is>
      </c>
      <c r="H474" s="4" t="n">
        <v>1250.9585</v>
      </c>
      <c r="I474" s="5" t="n">
        <v>34.7</v>
      </c>
      <c r="J474" s="3" t="inlineStr">
        <is>
          <t>강내면</t>
        </is>
      </c>
    </row>
    <row r="475">
      <c r="A475" s="3" t="n">
        <v>2025</v>
      </c>
      <c r="B475" s="4" t="n">
        <v>228000</v>
      </c>
      <c r="C475" s="4" t="n">
        <v>558.8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준공업지역</t>
        </is>
      </c>
      <c r="G475" s="3" t="inlineStr">
        <is>
          <t>대</t>
        </is>
      </c>
      <c r="H475" s="4" t="n">
        <v>169.037</v>
      </c>
      <c r="I475" s="5" t="n">
        <v>1348.8</v>
      </c>
      <c r="J475" s="3" t="inlineStr">
        <is>
          <t>오송읍</t>
        </is>
      </c>
    </row>
    <row r="476">
      <c r="A476" s="3" t="n">
        <v>2025</v>
      </c>
      <c r="B476" s="4" t="n">
        <v>172000</v>
      </c>
      <c r="C476" s="4" t="n">
        <v>584.2</v>
      </c>
      <c r="D476" s="3" t="inlineStr">
        <is>
          <t>오송읍</t>
        </is>
      </c>
      <c r="E476" s="3" t="inlineStr">
        <is>
          <t>정중리</t>
        </is>
      </c>
      <c r="F476" s="3" t="inlineStr">
        <is>
          <t>준공업지역</t>
        </is>
      </c>
      <c r="G476" s="3" t="inlineStr">
        <is>
          <t>대</t>
        </is>
      </c>
      <c r="H476" s="4" t="n">
        <v>176.7205</v>
      </c>
      <c r="I476" s="5" t="n">
        <v>973.3</v>
      </c>
      <c r="J476" s="3" t="inlineStr">
        <is>
          <t>오송읍</t>
        </is>
      </c>
    </row>
    <row r="477">
      <c r="A477" s="3" t="n">
        <v>2025</v>
      </c>
      <c r="B477" s="4" t="n">
        <v>55000</v>
      </c>
      <c r="C477" s="4" t="n">
        <v>273.4</v>
      </c>
      <c r="D477" s="3" t="inlineStr">
        <is>
          <t>오송읍</t>
        </is>
      </c>
      <c r="E477" s="3" t="inlineStr">
        <is>
          <t>봉산리</t>
        </is>
      </c>
      <c r="F477" s="3" t="inlineStr">
        <is>
          <t>제1종일반주거지역</t>
        </is>
      </c>
      <c r="G477" s="3" t="inlineStr">
        <is>
          <t>대</t>
        </is>
      </c>
      <c r="H477" s="4" t="n">
        <v>82.70349999999999</v>
      </c>
      <c r="I477" s="5" t="n">
        <v>665</v>
      </c>
      <c r="J477" s="3" t="inlineStr">
        <is>
          <t>오송읍</t>
        </is>
      </c>
    </row>
    <row r="478">
      <c r="A478" s="3" t="n">
        <v>2025</v>
      </c>
      <c r="B478" s="4" t="n">
        <v>64000</v>
      </c>
      <c r="C478" s="4" t="n">
        <v>2647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전</t>
        </is>
      </c>
      <c r="H478" s="4" t="n">
        <v>800.7175</v>
      </c>
      <c r="I478" s="5" t="n">
        <v>79.90000000000001</v>
      </c>
      <c r="J478" s="3" t="inlineStr">
        <is>
          <t>오송읍</t>
        </is>
      </c>
    </row>
    <row r="479">
      <c r="A479" s="3" t="n">
        <v>2025</v>
      </c>
      <c r="B479" s="4" t="n">
        <v>16000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전</t>
        </is>
      </c>
      <c r="H479" s="4" t="n">
        <v>199.65</v>
      </c>
      <c r="I479" s="5" t="n">
        <v>80.09999999999999</v>
      </c>
      <c r="J479" s="3" t="inlineStr">
        <is>
          <t>오송읍</t>
        </is>
      </c>
    </row>
    <row r="480">
      <c r="A480" s="3" t="n">
        <v>2025</v>
      </c>
      <c r="B480" s="4" t="n">
        <v>200000</v>
      </c>
      <c r="C480" s="4" t="n">
        <v>558.8</v>
      </c>
      <c r="D480" s="3" t="inlineStr">
        <is>
          <t>오송읍</t>
        </is>
      </c>
      <c r="E480" s="3" t="inlineStr">
        <is>
          <t>정중리</t>
        </is>
      </c>
      <c r="F480" s="3" t="inlineStr">
        <is>
          <t>준공업지역</t>
        </is>
      </c>
      <c r="G480" s="3" t="inlineStr">
        <is>
          <t>대</t>
        </is>
      </c>
      <c r="H480" s="4" t="n">
        <v>169.037</v>
      </c>
      <c r="I480" s="5" t="n">
        <v>1183.2</v>
      </c>
      <c r="J480" s="3" t="inlineStr">
        <is>
          <t>오송읍</t>
        </is>
      </c>
    </row>
    <row r="481">
      <c r="A481" s="3" t="n">
        <v>2025</v>
      </c>
      <c r="B481" s="4" t="n">
        <v>200000</v>
      </c>
      <c r="C481" s="4" t="n">
        <v>584.2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준공업지역</t>
        </is>
      </c>
      <c r="G481" s="3" t="inlineStr">
        <is>
          <t>대</t>
        </is>
      </c>
      <c r="H481" s="4" t="n">
        <v>176.7205</v>
      </c>
      <c r="I481" s="5" t="n">
        <v>1131.7</v>
      </c>
      <c r="J481" s="3" t="inlineStr">
        <is>
          <t>오송읍</t>
        </is>
      </c>
    </row>
    <row r="482">
      <c r="A482" s="3" t="n">
        <v>2022</v>
      </c>
      <c r="B482" s="4" t="n">
        <v>69216</v>
      </c>
      <c r="C482" s="4" t="n">
        <v>1475</v>
      </c>
      <c r="D482" s="3" t="inlineStr">
        <is>
          <t>연서면</t>
        </is>
      </c>
      <c r="E482" s="3" t="inlineStr">
        <is>
          <t>고복리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446.1875</v>
      </c>
      <c r="I482" s="5" t="n">
        <v>155.1</v>
      </c>
      <c r="J482" s="3" t="inlineStr">
        <is>
          <t>연서면</t>
        </is>
      </c>
    </row>
    <row r="483">
      <c r="A483" s="3" t="n">
        <v>2022</v>
      </c>
      <c r="B483" s="4" t="n">
        <v>18000</v>
      </c>
      <c r="C483" s="4" t="n">
        <v>1018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생산관리지역</t>
        </is>
      </c>
      <c r="G483" s="3" t="inlineStr">
        <is>
          <t>전</t>
        </is>
      </c>
      <c r="H483" s="4" t="n">
        <v>307.945</v>
      </c>
      <c r="I483" s="5" t="n">
        <v>58.5</v>
      </c>
      <c r="J483" s="3" t="inlineStr">
        <is>
          <t>연서면</t>
        </is>
      </c>
    </row>
    <row r="484">
      <c r="A484" s="3" t="n">
        <v>2022</v>
      </c>
      <c r="B484" s="4" t="n">
        <v>30000</v>
      </c>
      <c r="C484" s="4" t="n">
        <v>496</v>
      </c>
      <c r="D484" s="3" t="inlineStr">
        <is>
          <t>연서면</t>
        </is>
      </c>
      <c r="E484" s="3" t="inlineStr">
        <is>
          <t>성제리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150.04</v>
      </c>
      <c r="I484" s="5" t="n">
        <v>199.9</v>
      </c>
      <c r="J484" s="3" t="inlineStr">
        <is>
          <t>연서면</t>
        </is>
      </c>
    </row>
    <row r="485">
      <c r="A485" s="3" t="n">
        <v>2022</v>
      </c>
      <c r="B485" s="4" t="n">
        <v>41268</v>
      </c>
      <c r="C485" s="4" t="n">
        <v>1794.9</v>
      </c>
      <c r="D485" s="3" t="inlineStr">
        <is>
          <t>연동면</t>
        </is>
      </c>
      <c r="E485" s="3" t="inlineStr">
        <is>
          <t>예양리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542.95725</v>
      </c>
      <c r="I485" s="5" t="n">
        <v>76</v>
      </c>
      <c r="J485" s="3" t="inlineStr">
        <is>
          <t>연동면</t>
        </is>
      </c>
    </row>
    <row r="486">
      <c r="A486" s="3" t="n">
        <v>2022</v>
      </c>
      <c r="B486" s="4" t="n">
        <v>1260</v>
      </c>
      <c r="C486" s="4" t="n">
        <v>21</v>
      </c>
      <c r="D486" s="3" t="inlineStr">
        <is>
          <t>부강면</t>
        </is>
      </c>
      <c r="E486" s="3" t="inlineStr">
        <is>
          <t>부강리</t>
        </is>
      </c>
      <c r="F486" s="3" t="inlineStr">
        <is>
          <t>제2종일반주거지역</t>
        </is>
      </c>
      <c r="G486" s="3" t="inlineStr">
        <is>
          <t>전</t>
        </is>
      </c>
      <c r="H486" s="4" t="n">
        <v>6.3525</v>
      </c>
      <c r="I486" s="5" t="n">
        <v>198.3</v>
      </c>
      <c r="J486" s="3" t="inlineStr">
        <is>
          <t>부강면</t>
        </is>
      </c>
    </row>
    <row r="487">
      <c r="A487" s="3" t="n">
        <v>2022</v>
      </c>
      <c r="B487" s="4" t="n">
        <v>63000</v>
      </c>
      <c r="C487" s="4" t="n">
        <v>1018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307.945</v>
      </c>
      <c r="I487" s="5" t="n">
        <v>204.6</v>
      </c>
      <c r="J487" s="3" t="inlineStr">
        <is>
          <t>연서면</t>
        </is>
      </c>
    </row>
    <row r="488">
      <c r="A488" s="3" t="n">
        <v>2022</v>
      </c>
      <c r="B488" s="4" t="n">
        <v>19560</v>
      </c>
      <c r="C488" s="4" t="n">
        <v>149</v>
      </c>
      <c r="D488" s="3" t="inlineStr">
        <is>
          <t>연서면</t>
        </is>
      </c>
      <c r="E488" s="3" t="inlineStr">
        <is>
          <t>용암리</t>
        </is>
      </c>
      <c r="F488" s="3" t="inlineStr">
        <is>
          <t>농림지역</t>
        </is>
      </c>
      <c r="G488" s="3" t="inlineStr">
        <is>
          <t>대</t>
        </is>
      </c>
      <c r="H488" s="4" t="n">
        <v>45.0725</v>
      </c>
      <c r="I488" s="5" t="n">
        <v>434</v>
      </c>
      <c r="J488" s="3" t="inlineStr">
        <is>
          <t>연서면</t>
        </is>
      </c>
    </row>
    <row r="489">
      <c r="A489" s="3" t="n">
        <v>2022</v>
      </c>
      <c r="B489" s="4" t="n">
        <v>15600</v>
      </c>
      <c r="C489" s="4" t="n">
        <v>119</v>
      </c>
      <c r="D489" s="3" t="inlineStr">
        <is>
          <t>연서면</t>
        </is>
      </c>
      <c r="E489" s="3" t="inlineStr">
        <is>
          <t>용암리</t>
        </is>
      </c>
      <c r="F489" s="3" t="inlineStr">
        <is>
          <t>농림지역</t>
        </is>
      </c>
      <c r="G489" s="3" t="inlineStr">
        <is>
          <t>전</t>
        </is>
      </c>
      <c r="H489" s="4" t="n">
        <v>35.9975</v>
      </c>
      <c r="I489" s="5" t="n">
        <v>433.4</v>
      </c>
      <c r="J489" s="3" t="inlineStr">
        <is>
          <t>연서면</t>
        </is>
      </c>
    </row>
    <row r="490">
      <c r="A490" s="3" t="n">
        <v>2022</v>
      </c>
      <c r="B490" s="4" t="n">
        <v>24840</v>
      </c>
      <c r="C490" s="4" t="n">
        <v>189</v>
      </c>
      <c r="D490" s="3" t="inlineStr">
        <is>
          <t>연서면</t>
        </is>
      </c>
      <c r="E490" s="3" t="inlineStr">
        <is>
          <t>용암리</t>
        </is>
      </c>
      <c r="F490" s="3" t="inlineStr">
        <is>
          <t>농림지역</t>
        </is>
      </c>
      <c r="G490" s="3" t="inlineStr">
        <is>
          <t>전</t>
        </is>
      </c>
      <c r="H490" s="4" t="n">
        <v>57.1725</v>
      </c>
      <c r="I490" s="5" t="n">
        <v>434.5</v>
      </c>
      <c r="J490" s="3" t="inlineStr">
        <is>
          <t>연서면</t>
        </is>
      </c>
    </row>
    <row r="491">
      <c r="A491" s="3" t="n">
        <v>2022</v>
      </c>
      <c r="B491" s="4" t="n">
        <v>3000</v>
      </c>
      <c r="C491" s="4" t="n">
        <v>367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111.0175</v>
      </c>
      <c r="I491" s="5" t="n">
        <v>27</v>
      </c>
      <c r="J491" s="3" t="inlineStr">
        <is>
          <t>연동면</t>
        </is>
      </c>
    </row>
    <row r="492">
      <c r="A492" s="3" t="n">
        <v>2022</v>
      </c>
      <c r="B492" s="4" t="n">
        <v>23700</v>
      </c>
      <c r="C492" s="4" t="n">
        <v>1306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395.065</v>
      </c>
      <c r="I492" s="5" t="n">
        <v>60</v>
      </c>
      <c r="J492" s="3" t="inlineStr">
        <is>
          <t>연서면</t>
        </is>
      </c>
    </row>
    <row r="493">
      <c r="A493" s="3" t="n">
        <v>2022</v>
      </c>
      <c r="B493" s="4" t="n">
        <v>100000</v>
      </c>
      <c r="C493" s="4" t="n">
        <v>661</v>
      </c>
      <c r="D493" s="3" t="inlineStr">
        <is>
          <t>부강면</t>
        </is>
      </c>
      <c r="E493" s="3" t="inlineStr">
        <is>
          <t>금호리</t>
        </is>
      </c>
      <c r="F493" s="3" t="inlineStr">
        <is>
          <t>계획관리지역</t>
        </is>
      </c>
      <c r="G493" s="3" t="inlineStr">
        <is>
          <t>잡종지</t>
        </is>
      </c>
      <c r="H493" s="4" t="n">
        <v>199.9525</v>
      </c>
      <c r="I493" s="5" t="n">
        <v>500.1</v>
      </c>
      <c r="J493" s="3" t="inlineStr">
        <is>
          <t>부강면</t>
        </is>
      </c>
    </row>
    <row r="494">
      <c r="A494" s="3" t="n">
        <v>2022</v>
      </c>
      <c r="B494" s="4" t="n">
        <v>27000</v>
      </c>
      <c r="C494" s="4" t="n">
        <v>1855</v>
      </c>
      <c r="D494" s="3" t="inlineStr">
        <is>
          <t>부강면</t>
        </is>
      </c>
      <c r="E494" s="3" t="inlineStr">
        <is>
          <t>등곡리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561.1374999999999</v>
      </c>
      <c r="I494" s="5" t="n">
        <v>48.1</v>
      </c>
      <c r="J494" s="3" t="inlineStr">
        <is>
          <t>부강면</t>
        </is>
      </c>
    </row>
    <row r="495">
      <c r="A495" s="3" t="n">
        <v>2022</v>
      </c>
      <c r="B495" s="4" t="n">
        <v>9100</v>
      </c>
      <c r="C495" s="4" t="n">
        <v>2757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임야</t>
        </is>
      </c>
      <c r="H495" s="4" t="n">
        <v>833.9924999999999</v>
      </c>
      <c r="I495" s="5" t="n">
        <v>10.9</v>
      </c>
      <c r="J495" s="3" t="inlineStr">
        <is>
          <t>부강면</t>
        </is>
      </c>
    </row>
    <row r="496">
      <c r="A496" s="3" t="n">
        <v>2022</v>
      </c>
      <c r="B496" s="4" t="n">
        <v>45200</v>
      </c>
      <c r="C496" s="4" t="n">
        <v>1361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공장용지</t>
        </is>
      </c>
      <c r="H496" s="4" t="n">
        <v>411.7025</v>
      </c>
      <c r="I496" s="5" t="n">
        <v>109.8</v>
      </c>
      <c r="J496" s="3" t="inlineStr">
        <is>
          <t>부강면</t>
        </is>
      </c>
    </row>
    <row r="497">
      <c r="A497" s="3" t="n">
        <v>2022</v>
      </c>
      <c r="B497" s="4" t="n">
        <v>19100</v>
      </c>
      <c r="C497" s="4" t="n">
        <v>800</v>
      </c>
      <c r="D497" s="3" t="inlineStr">
        <is>
          <t>부강면</t>
        </is>
      </c>
      <c r="E497" s="3" t="inlineStr">
        <is>
          <t>문곡리</t>
        </is>
      </c>
      <c r="F497" s="3" t="inlineStr">
        <is>
          <t>생산관리지역</t>
        </is>
      </c>
      <c r="G497" s="3" t="inlineStr">
        <is>
          <t>공장용지</t>
        </is>
      </c>
      <c r="H497" s="4" t="n">
        <v>242</v>
      </c>
      <c r="I497" s="5" t="n">
        <v>78.90000000000001</v>
      </c>
      <c r="J497" s="3" t="inlineStr">
        <is>
          <t>부강면</t>
        </is>
      </c>
    </row>
    <row r="498">
      <c r="A498" s="3" t="n">
        <v>2022</v>
      </c>
      <c r="B498" s="4" t="n">
        <v>516</v>
      </c>
      <c r="C498" s="4" t="n">
        <v>11</v>
      </c>
      <c r="D498" s="3" t="inlineStr">
        <is>
          <t>연서면</t>
        </is>
      </c>
      <c r="E498" s="3" t="inlineStr">
        <is>
          <t>고복리</t>
        </is>
      </c>
      <c r="F498" s="3" t="inlineStr">
        <is>
          <t>보전관리지역</t>
        </is>
      </c>
      <c r="G498" s="3" t="inlineStr">
        <is>
          <t>임야</t>
        </is>
      </c>
      <c r="H498" s="4" t="n">
        <v>3.3275</v>
      </c>
      <c r="I498" s="5" t="n">
        <v>155.1</v>
      </c>
      <c r="J498" s="3" t="inlineStr">
        <is>
          <t>연서면</t>
        </is>
      </c>
    </row>
    <row r="499">
      <c r="A499" s="3" t="n">
        <v>2022</v>
      </c>
      <c r="B499" s="4" t="n">
        <v>36227</v>
      </c>
      <c r="C499" s="4" t="n">
        <v>772</v>
      </c>
      <c r="D499" s="3" t="inlineStr">
        <is>
          <t>연서면</t>
        </is>
      </c>
      <c r="E499" s="3" t="inlineStr">
        <is>
          <t>고복리</t>
        </is>
      </c>
      <c r="F499" s="3" t="inlineStr">
        <is>
          <t>보전관리지역</t>
        </is>
      </c>
      <c r="G499" s="3" t="inlineStr">
        <is>
          <t>답</t>
        </is>
      </c>
      <c r="H499" s="4" t="n">
        <v>233.53</v>
      </c>
      <c r="I499" s="5" t="n">
        <v>155.1</v>
      </c>
      <c r="J499" s="3" t="inlineStr">
        <is>
          <t>연서면</t>
        </is>
      </c>
    </row>
    <row r="500">
      <c r="A500" s="3" t="n">
        <v>2022</v>
      </c>
      <c r="B500" s="4" t="n">
        <v>1032</v>
      </c>
      <c r="C500" s="4" t="n">
        <v>22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보전관리지역</t>
        </is>
      </c>
      <c r="G500" s="3" t="inlineStr">
        <is>
          <t>답</t>
        </is>
      </c>
      <c r="H500" s="4" t="n">
        <v>6.654999999999999</v>
      </c>
      <c r="I500" s="5" t="n">
        <v>155.1</v>
      </c>
      <c r="J500" s="3" t="inlineStr">
        <is>
          <t>연서면</t>
        </is>
      </c>
    </row>
    <row r="501">
      <c r="A501" s="3" t="n">
        <v>2022</v>
      </c>
      <c r="B501" s="4" t="n">
        <v>12107</v>
      </c>
      <c r="C501" s="4" t="n">
        <v>258</v>
      </c>
      <c r="D501" s="3" t="inlineStr">
        <is>
          <t>연서면</t>
        </is>
      </c>
      <c r="E501" s="3" t="inlineStr">
        <is>
          <t>고복리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78.045</v>
      </c>
      <c r="I501" s="5" t="n">
        <v>155.1</v>
      </c>
      <c r="J501" s="3" t="inlineStr">
        <is>
          <t>연서면</t>
        </is>
      </c>
    </row>
    <row r="502">
      <c r="A502" s="3" t="n">
        <v>2022</v>
      </c>
      <c r="B502" s="4" t="n">
        <v>40263</v>
      </c>
      <c r="C502" s="4" t="n">
        <v>858</v>
      </c>
      <c r="D502" s="3" t="inlineStr">
        <is>
          <t>연서면</t>
        </is>
      </c>
      <c r="E502" s="3" t="inlineStr">
        <is>
          <t>고복리</t>
        </is>
      </c>
      <c r="F502" s="3" t="inlineStr">
        <is>
          <t>보전관리지역</t>
        </is>
      </c>
      <c r="G502" s="3" t="inlineStr">
        <is>
          <t>답</t>
        </is>
      </c>
      <c r="H502" s="4" t="n">
        <v>259.545</v>
      </c>
      <c r="I502" s="5" t="n">
        <v>155.1</v>
      </c>
      <c r="J502" s="3" t="inlineStr">
        <is>
          <t>연서면</t>
        </is>
      </c>
    </row>
    <row r="503">
      <c r="A503" s="3" t="n">
        <v>2022</v>
      </c>
      <c r="B503" s="4" t="n">
        <v>95542</v>
      </c>
      <c r="C503" s="4" t="n">
        <v>2036</v>
      </c>
      <c r="D503" s="3" t="inlineStr">
        <is>
          <t>연서면</t>
        </is>
      </c>
      <c r="E503" s="3" t="inlineStr">
        <is>
          <t>고복리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615.89</v>
      </c>
      <c r="I503" s="5" t="n">
        <v>155.1</v>
      </c>
      <c r="J503" s="3" t="inlineStr">
        <is>
          <t>연서면</t>
        </is>
      </c>
    </row>
    <row r="504">
      <c r="A504" s="3" t="n">
        <v>2022</v>
      </c>
      <c r="B504" s="4" t="n">
        <v>17900</v>
      </c>
      <c r="C504" s="4" t="n">
        <v>495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계획관리지역</t>
        </is>
      </c>
      <c r="G504" s="3" t="inlineStr">
        <is>
          <t>전</t>
        </is>
      </c>
      <c r="H504" s="4" t="n">
        <v>149.7375</v>
      </c>
      <c r="I504" s="5" t="n">
        <v>119.5</v>
      </c>
      <c r="J504" s="3" t="inlineStr">
        <is>
          <t>연서면</t>
        </is>
      </c>
    </row>
    <row r="505">
      <c r="A505" s="3" t="n">
        <v>2025</v>
      </c>
      <c r="B505" s="4" t="n">
        <v>26800</v>
      </c>
      <c r="C505" s="4" t="n">
        <v>686</v>
      </c>
      <c r="D505" s="3" t="inlineStr">
        <is>
          <t>오송읍</t>
        </is>
      </c>
      <c r="E505" s="3" t="inlineStr">
        <is>
          <t>정중리</t>
        </is>
      </c>
      <c r="F505" s="3" t="inlineStr">
        <is>
          <t>보전관리지역</t>
        </is>
      </c>
      <c r="G505" s="3" t="inlineStr">
        <is>
          <t>전</t>
        </is>
      </c>
      <c r="H505" s="4" t="n">
        <v>207.515</v>
      </c>
      <c r="I505" s="5" t="n">
        <v>129.1</v>
      </c>
      <c r="J505" s="3" t="inlineStr">
        <is>
          <t>오송읍</t>
        </is>
      </c>
    </row>
    <row r="506">
      <c r="A506" s="3" t="n">
        <v>2025</v>
      </c>
      <c r="B506" s="4" t="n">
        <v>2674</v>
      </c>
      <c r="C506" s="4" t="n">
        <v>191</v>
      </c>
      <c r="D506" s="3" t="inlineStr">
        <is>
          <t>강내면</t>
        </is>
      </c>
      <c r="E506" s="3" t="inlineStr">
        <is>
          <t>태성리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57.7775</v>
      </c>
      <c r="I506" s="5" t="n">
        <v>46.3</v>
      </c>
      <c r="J506" s="3" t="inlineStr">
        <is>
          <t>강내면</t>
        </is>
      </c>
    </row>
    <row r="507">
      <c r="A507" s="3" t="n">
        <v>2025</v>
      </c>
      <c r="B507" s="4" t="n">
        <v>11000</v>
      </c>
      <c r="C507" s="4" t="n">
        <v>1268</v>
      </c>
      <c r="D507" s="3" t="inlineStr">
        <is>
          <t>강내면</t>
        </is>
      </c>
      <c r="E507" s="3" t="inlineStr">
        <is>
          <t>저산리</t>
        </is>
      </c>
      <c r="F507" s="3" t="inlineStr">
        <is>
          <t>농림지역</t>
        </is>
      </c>
      <c r="G507" s="3" t="inlineStr">
        <is>
          <t>전</t>
        </is>
      </c>
      <c r="H507" s="4" t="n">
        <v>383.57</v>
      </c>
      <c r="I507" s="5" t="n">
        <v>28.7</v>
      </c>
      <c r="J507" s="3" t="inlineStr">
        <is>
          <t>강내면</t>
        </is>
      </c>
    </row>
    <row r="508">
      <c r="A508" s="3" t="n">
        <v>2025</v>
      </c>
      <c r="B508" s="4" t="n">
        <v>4000</v>
      </c>
      <c r="C508" s="4" t="n">
        <v>564</v>
      </c>
      <c r="D508" s="3" t="inlineStr">
        <is>
          <t>강내면</t>
        </is>
      </c>
      <c r="E508" s="3" t="inlineStr">
        <is>
          <t>저산리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170.61</v>
      </c>
      <c r="I508" s="5" t="n">
        <v>23.4</v>
      </c>
      <c r="J508" s="3" t="inlineStr">
        <is>
          <t>강내면</t>
        </is>
      </c>
    </row>
    <row r="509">
      <c r="A509" s="3" t="n">
        <v>2026</v>
      </c>
      <c r="B509" s="4" t="n">
        <v>9864</v>
      </c>
      <c r="C509" s="4" t="n">
        <v>331</v>
      </c>
      <c r="D509" s="3" t="inlineStr">
        <is>
          <t>오송읍</t>
        </is>
      </c>
      <c r="E509" s="3" t="inlineStr">
        <is>
          <t>서평리</t>
        </is>
      </c>
      <c r="F509" s="3" t="inlineStr">
        <is>
          <t>생산관리지역</t>
        </is>
      </c>
      <c r="G509" s="3" t="inlineStr">
        <is>
          <t>전</t>
        </is>
      </c>
      <c r="H509" s="4" t="n">
        <v>100.1275</v>
      </c>
      <c r="I509" s="5" t="n">
        <v>98.5</v>
      </c>
      <c r="J509" s="3" t="inlineStr">
        <is>
          <t>오송읍</t>
        </is>
      </c>
    </row>
    <row r="510">
      <c r="A510" s="3" t="n">
        <v>2026</v>
      </c>
      <c r="B510" s="4" t="n">
        <v>3636</v>
      </c>
      <c r="C510" s="4" t="n">
        <v>122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생산관리지역</t>
        </is>
      </c>
      <c r="G510" s="3" t="inlineStr">
        <is>
          <t>답</t>
        </is>
      </c>
      <c r="H510" s="4" t="n">
        <v>36.905</v>
      </c>
      <c r="I510" s="5" t="n">
        <v>98.5</v>
      </c>
      <c r="J510" s="3" t="inlineStr">
        <is>
          <t>오송읍</t>
        </is>
      </c>
    </row>
    <row r="511">
      <c r="A511" s="3" t="n">
        <v>2026</v>
      </c>
      <c r="B511" s="4" t="n">
        <v>21000</v>
      </c>
      <c r="C511" s="4" t="n">
        <v>1001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전</t>
        </is>
      </c>
      <c r="H511" s="4" t="n">
        <v>302.8025</v>
      </c>
      <c r="I511" s="5" t="n">
        <v>69.40000000000001</v>
      </c>
      <c r="J511" s="3" t="inlineStr">
        <is>
          <t>오송읍</t>
        </is>
      </c>
    </row>
    <row r="512">
      <c r="A512" s="3" t="n">
        <v>2026</v>
      </c>
      <c r="B512" s="4" t="n">
        <v>32000</v>
      </c>
      <c r="C512" s="4" t="n">
        <v>267.9</v>
      </c>
      <c r="D512" s="3" t="inlineStr">
        <is>
          <t>오송읍</t>
        </is>
      </c>
      <c r="E512" s="3" t="inlineStr">
        <is>
          <t>봉산리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81.03974999999998</v>
      </c>
      <c r="I512" s="5" t="n">
        <v>394.9</v>
      </c>
      <c r="J512" s="3" t="inlineStr">
        <is>
          <t>오송읍</t>
        </is>
      </c>
    </row>
    <row r="513">
      <c r="A513" s="3" t="n">
        <v>2026</v>
      </c>
      <c r="B513" s="4" t="n">
        <v>35900</v>
      </c>
      <c r="C513" s="4" t="n">
        <v>2081</v>
      </c>
      <c r="D513" s="3" t="inlineStr">
        <is>
          <t>강내면</t>
        </is>
      </c>
      <c r="E513" s="3" t="inlineStr">
        <is>
          <t>사곡리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629.5024999999999</v>
      </c>
      <c r="I513" s="5" t="n">
        <v>57</v>
      </c>
      <c r="J513" s="3" t="inlineStr">
        <is>
          <t>강내면</t>
        </is>
      </c>
    </row>
    <row r="514">
      <c r="A514" s="3" t="n">
        <v>2024</v>
      </c>
      <c r="B514" s="4" t="n">
        <v>29000</v>
      </c>
      <c r="C514" s="4" t="n">
        <v>407</v>
      </c>
      <c r="D514" s="3" t="inlineStr">
        <is>
          <t>부강면</t>
        </is>
      </c>
      <c r="E514" s="3" t="inlineStr">
        <is>
          <t>부강리</t>
        </is>
      </c>
      <c r="F514" s="3" t="inlineStr">
        <is>
          <t>제2종일반주거지역</t>
        </is>
      </c>
      <c r="G514" s="3" t="inlineStr">
        <is>
          <t>답</t>
        </is>
      </c>
      <c r="H514" s="4" t="n">
        <v>123.1175</v>
      </c>
      <c r="I514" s="5" t="n">
        <v>235.5</v>
      </c>
      <c r="J514" s="3" t="inlineStr">
        <is>
          <t>부강면</t>
        </is>
      </c>
    </row>
    <row r="515">
      <c r="A515" s="3" t="n">
        <v>2022</v>
      </c>
      <c r="B515" s="4" t="n">
        <v>20150</v>
      </c>
      <c r="C515" s="4" t="n">
        <v>794</v>
      </c>
      <c r="D515" s="3" t="inlineStr">
        <is>
          <t>연동면</t>
        </is>
      </c>
      <c r="E515" s="3" t="inlineStr">
        <is>
          <t>응암리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240.185</v>
      </c>
      <c r="I515" s="5" t="n">
        <v>83.90000000000001</v>
      </c>
      <c r="J515" s="3" t="inlineStr">
        <is>
          <t>연동면</t>
        </is>
      </c>
    </row>
    <row r="516">
      <c r="A516" s="3" t="n">
        <v>2022</v>
      </c>
      <c r="B516" s="4" t="n">
        <v>14680</v>
      </c>
      <c r="C516" s="4" t="n">
        <v>596</v>
      </c>
      <c r="D516" s="3" t="inlineStr">
        <is>
          <t>연동면</t>
        </is>
      </c>
      <c r="E516" s="3" t="inlineStr">
        <is>
          <t>응암리</t>
        </is>
      </c>
      <c r="F516" s="3" t="inlineStr">
        <is>
          <t>계획관리지역</t>
        </is>
      </c>
      <c r="G516" s="3" t="inlineStr">
        <is>
          <t>전</t>
        </is>
      </c>
      <c r="H516" s="4" t="n">
        <v>180.29</v>
      </c>
      <c r="I516" s="5" t="n">
        <v>81.40000000000001</v>
      </c>
      <c r="J516" s="3" t="inlineStr">
        <is>
          <t>연동면</t>
        </is>
      </c>
    </row>
    <row r="517">
      <c r="A517" s="3" t="n">
        <v>2022</v>
      </c>
      <c r="B517" s="4" t="n">
        <v>12170</v>
      </c>
      <c r="C517" s="4" t="n">
        <v>494</v>
      </c>
      <c r="D517" s="3" t="inlineStr">
        <is>
          <t>연동면</t>
        </is>
      </c>
      <c r="E517" s="3" t="inlineStr">
        <is>
          <t>응암리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149.435</v>
      </c>
      <c r="I517" s="5" t="n">
        <v>81.40000000000001</v>
      </c>
      <c r="J517" s="3" t="inlineStr">
        <is>
          <t>연동면</t>
        </is>
      </c>
    </row>
    <row r="518">
      <c r="A518" s="3" t="n">
        <v>2022</v>
      </c>
      <c r="B518" s="4" t="n">
        <v>32680</v>
      </c>
      <c r="C518" s="4" t="n">
        <v>785</v>
      </c>
      <c r="D518" s="3" t="inlineStr">
        <is>
          <t>부강면</t>
        </is>
      </c>
      <c r="E518" s="3" t="inlineStr">
        <is>
          <t>부강리</t>
        </is>
      </c>
      <c r="F518" s="3" t="inlineStr">
        <is>
          <t>계획관리지역</t>
        </is>
      </c>
      <c r="G518" s="3" t="inlineStr">
        <is>
          <t>답</t>
        </is>
      </c>
      <c r="H518" s="4" t="n">
        <v>237.4625</v>
      </c>
      <c r="I518" s="5" t="n">
        <v>137.6</v>
      </c>
      <c r="J518" s="3" t="inlineStr">
        <is>
          <t>부강면</t>
        </is>
      </c>
    </row>
    <row r="519">
      <c r="A519" s="3" t="n">
        <v>2022</v>
      </c>
      <c r="B519" s="4" t="n">
        <v>4260</v>
      </c>
      <c r="C519" s="4" t="n">
        <v>113</v>
      </c>
      <c r="D519" s="3" t="inlineStr">
        <is>
          <t>부강면</t>
        </is>
      </c>
      <c r="E519" s="3" t="inlineStr">
        <is>
          <t>부강리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34.1825</v>
      </c>
      <c r="I519" s="5" t="n">
        <v>124.6</v>
      </c>
      <c r="J519" s="3" t="inlineStr">
        <is>
          <t>부강면</t>
        </is>
      </c>
    </row>
    <row r="520">
      <c r="A520" s="3" t="n">
        <v>2023</v>
      </c>
      <c r="B520" s="4" t="n">
        <v>17200</v>
      </c>
      <c r="C520" s="4" t="n">
        <v>701</v>
      </c>
      <c r="D520" s="3" t="inlineStr">
        <is>
          <t>연서면</t>
        </is>
      </c>
      <c r="E520" s="3" t="inlineStr">
        <is>
          <t>고복리</t>
        </is>
      </c>
      <c r="F520" s="3" t="inlineStr">
        <is>
          <t>보전관리지역</t>
        </is>
      </c>
      <c r="G520" s="3" t="inlineStr">
        <is>
          <t>임야</t>
        </is>
      </c>
      <c r="H520" s="4" t="n">
        <v>212.0525</v>
      </c>
      <c r="I520" s="5" t="n">
        <v>81.09999999999999</v>
      </c>
      <c r="J520" s="3" t="inlineStr">
        <is>
          <t>연서면</t>
        </is>
      </c>
    </row>
    <row r="521">
      <c r="A521" s="3" t="n">
        <v>2023</v>
      </c>
      <c r="B521" s="4" t="n">
        <v>1700</v>
      </c>
      <c r="C521" s="4" t="n">
        <v>70</v>
      </c>
      <c r="D521" s="3" t="inlineStr">
        <is>
          <t>연서면</t>
        </is>
      </c>
      <c r="E521" s="3" t="inlineStr">
        <is>
          <t>고복리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21.175</v>
      </c>
      <c r="I521" s="5" t="n">
        <v>80.3</v>
      </c>
      <c r="J521" s="3" t="inlineStr">
        <is>
          <t>연서면</t>
        </is>
      </c>
    </row>
    <row r="522">
      <c r="A522" s="3" t="n">
        <v>2023</v>
      </c>
      <c r="B522" s="4" t="n">
        <v>7000</v>
      </c>
      <c r="C522" s="4" t="n">
        <v>1088</v>
      </c>
      <c r="D522" s="3" t="inlineStr">
        <is>
          <t>부강면</t>
        </is>
      </c>
      <c r="E522" s="3" t="inlineStr">
        <is>
          <t>문곡리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329.12</v>
      </c>
      <c r="I522" s="5" t="n">
        <v>21.3</v>
      </c>
      <c r="J522" s="3" t="inlineStr">
        <is>
          <t>부강면</t>
        </is>
      </c>
    </row>
    <row r="523">
      <c r="A523" s="3" t="n">
        <v>2023</v>
      </c>
      <c r="B523" s="4" t="n">
        <v>6500</v>
      </c>
      <c r="C523" s="4" t="n">
        <v>1021</v>
      </c>
      <c r="D523" s="3" t="inlineStr">
        <is>
          <t>부강면</t>
        </is>
      </c>
      <c r="E523" s="3" t="inlineStr">
        <is>
          <t>문곡리</t>
        </is>
      </c>
      <c r="F523" s="3" t="inlineStr">
        <is>
          <t>생산관리지역</t>
        </is>
      </c>
      <c r="G523" s="3" t="inlineStr">
        <is>
          <t>전</t>
        </is>
      </c>
      <c r="H523" s="4" t="n">
        <v>308.8525</v>
      </c>
      <c r="I523" s="5" t="n">
        <v>21</v>
      </c>
      <c r="J523" s="3" t="inlineStr">
        <is>
          <t>부강면</t>
        </is>
      </c>
    </row>
    <row r="524">
      <c r="A524" s="3" t="n">
        <v>2022</v>
      </c>
      <c r="B524" s="4" t="n">
        <v>23822</v>
      </c>
      <c r="C524" s="4" t="n">
        <v>525</v>
      </c>
      <c r="D524" s="3" t="inlineStr">
        <is>
          <t>연서면</t>
        </is>
      </c>
      <c r="E524" s="3" t="inlineStr">
        <is>
          <t>쌍류리</t>
        </is>
      </c>
      <c r="F524" s="3" t="inlineStr">
        <is>
          <t>농림지역</t>
        </is>
      </c>
      <c r="G524" s="3" t="inlineStr">
        <is>
          <t>전</t>
        </is>
      </c>
      <c r="H524" s="4" t="n">
        <v>158.8125</v>
      </c>
      <c r="I524" s="5" t="n">
        <v>150</v>
      </c>
      <c r="J524" s="3" t="inlineStr">
        <is>
          <t>연서면</t>
        </is>
      </c>
    </row>
    <row r="525">
      <c r="A525" s="3" t="n">
        <v>2022</v>
      </c>
      <c r="B525" s="4" t="n">
        <v>25727</v>
      </c>
      <c r="C525" s="4" t="n">
        <v>608</v>
      </c>
      <c r="D525" s="3" t="inlineStr">
        <is>
          <t>연서면</t>
        </is>
      </c>
      <c r="E525" s="3" t="inlineStr">
        <is>
          <t>쌍류리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183.92</v>
      </c>
      <c r="I525" s="5" t="n">
        <v>139.9</v>
      </c>
      <c r="J525" s="3" t="inlineStr">
        <is>
          <t>연서면</t>
        </is>
      </c>
    </row>
    <row r="526">
      <c r="A526" s="3" t="n">
        <v>2022</v>
      </c>
      <c r="B526" s="4" t="n">
        <v>122000</v>
      </c>
      <c r="C526" s="4" t="n">
        <v>1615</v>
      </c>
      <c r="D526" s="3" t="inlineStr">
        <is>
          <t>연동면</t>
        </is>
      </c>
      <c r="E526" s="3" t="inlineStr">
        <is>
          <t>내판리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488.5375</v>
      </c>
      <c r="I526" s="5" t="n">
        <v>249.7</v>
      </c>
      <c r="J526" s="3" t="inlineStr">
        <is>
          <t>연동면</t>
        </is>
      </c>
    </row>
    <row r="527">
      <c r="A527" s="3" t="n">
        <v>2022</v>
      </c>
      <c r="B527" s="4" t="n">
        <v>9100</v>
      </c>
      <c r="C527" s="4" t="n">
        <v>251</v>
      </c>
      <c r="D527" s="3" t="inlineStr">
        <is>
          <t>연서면</t>
        </is>
      </c>
      <c r="E527" s="3" t="inlineStr">
        <is>
          <t>성제리</t>
        </is>
      </c>
      <c r="F527" s="3" t="inlineStr">
        <is>
          <t>자연녹지지역</t>
        </is>
      </c>
      <c r="G527" s="3" t="inlineStr">
        <is>
          <t>전</t>
        </is>
      </c>
      <c r="H527" s="4" t="n">
        <v>75.92749999999999</v>
      </c>
      <c r="I527" s="5" t="n">
        <v>119.9</v>
      </c>
      <c r="J527" s="3" t="inlineStr">
        <is>
          <t>연서면</t>
        </is>
      </c>
    </row>
    <row r="528">
      <c r="A528" s="3" t="n">
        <v>2022</v>
      </c>
      <c r="B528" s="4" t="n">
        <v>13600</v>
      </c>
      <c r="C528" s="4" t="n">
        <v>744</v>
      </c>
      <c r="D528" s="3" t="inlineStr">
        <is>
          <t>연서면</t>
        </is>
      </c>
      <c r="E528" s="3" t="inlineStr">
        <is>
          <t>성제리</t>
        </is>
      </c>
      <c r="F528" s="3" t="inlineStr">
        <is>
          <t>자연녹지지역</t>
        </is>
      </c>
      <c r="G528" s="3" t="inlineStr">
        <is>
          <t>전</t>
        </is>
      </c>
      <c r="H528" s="4" t="n">
        <v>225.06</v>
      </c>
      <c r="I528" s="5" t="n">
        <v>60.4</v>
      </c>
      <c r="J528" s="3" t="inlineStr">
        <is>
          <t>연서면</t>
        </is>
      </c>
    </row>
    <row r="529">
      <c r="A529" s="3" t="n">
        <v>2022</v>
      </c>
      <c r="B529" s="4" t="n">
        <v>10700</v>
      </c>
      <c r="C529" s="4" t="n">
        <v>585</v>
      </c>
      <c r="D529" s="3" t="inlineStr">
        <is>
          <t>연서면</t>
        </is>
      </c>
      <c r="E529" s="3" t="inlineStr">
        <is>
          <t>성제리</t>
        </is>
      </c>
      <c r="F529" s="3" t="inlineStr">
        <is>
          <t>자연녹지지역</t>
        </is>
      </c>
      <c r="G529" s="3" t="inlineStr">
        <is>
          <t>전</t>
        </is>
      </c>
      <c r="H529" s="4" t="n">
        <v>176.9625</v>
      </c>
      <c r="I529" s="5" t="n">
        <v>60.5</v>
      </c>
      <c r="J529" s="3" t="inlineStr">
        <is>
          <t>연서면</t>
        </is>
      </c>
    </row>
    <row r="530">
      <c r="A530" s="3" t="n">
        <v>2022</v>
      </c>
      <c r="B530" s="4" t="n">
        <v>20800</v>
      </c>
      <c r="C530" s="4" t="n">
        <v>840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254.1</v>
      </c>
      <c r="I530" s="5" t="n">
        <v>81.90000000000001</v>
      </c>
      <c r="J530" s="3" t="inlineStr">
        <is>
          <t>부강면</t>
        </is>
      </c>
    </row>
    <row r="531">
      <c r="A531" s="3" t="n">
        <v>2022</v>
      </c>
      <c r="B531" s="4" t="n">
        <v>950</v>
      </c>
      <c r="C531" s="4" t="n">
        <v>21</v>
      </c>
      <c r="D531" s="3" t="inlineStr">
        <is>
          <t>부강면</t>
        </is>
      </c>
      <c r="E531" s="3" t="inlineStr">
        <is>
          <t>부강리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6.3525</v>
      </c>
      <c r="I531" s="5" t="n">
        <v>149.5</v>
      </c>
      <c r="J531" s="3" t="inlineStr">
        <is>
          <t>부강면</t>
        </is>
      </c>
    </row>
    <row r="532">
      <c r="A532" s="3" t="n">
        <v>2022</v>
      </c>
      <c r="B532" s="4" t="n">
        <v>21150</v>
      </c>
      <c r="C532" s="4" t="n">
        <v>290.1</v>
      </c>
      <c r="D532" s="3" t="inlineStr">
        <is>
          <t>고운동</t>
        </is>
      </c>
      <c r="E532" s="3" t="inlineStr"/>
      <c r="F532" s="3" t="inlineStr">
        <is>
          <t>제1종전용주거지역</t>
        </is>
      </c>
      <c r="G532" s="3" t="inlineStr">
        <is>
          <t>대</t>
        </is>
      </c>
      <c r="H532" s="4" t="n">
        <v>87.75525</v>
      </c>
      <c r="I532" s="5" t="n">
        <v>241</v>
      </c>
      <c r="J532" s="3" t="inlineStr">
        <is>
          <t>고운동</t>
        </is>
      </c>
    </row>
    <row r="533">
      <c r="A533" s="3" t="n">
        <v>2022</v>
      </c>
      <c r="B533" s="4" t="n">
        <v>750</v>
      </c>
      <c r="C533" s="4" t="n">
        <v>12.9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주차장</t>
        </is>
      </c>
      <c r="H533" s="4" t="n">
        <v>3.90225</v>
      </c>
      <c r="I533" s="5" t="n">
        <v>192.2</v>
      </c>
      <c r="J533" s="3" t="inlineStr">
        <is>
          <t>고운동</t>
        </is>
      </c>
    </row>
    <row r="534">
      <c r="A534" s="3" t="n">
        <v>2022</v>
      </c>
      <c r="B534" s="4" t="n">
        <v>21550</v>
      </c>
      <c r="C534" s="4" t="n">
        <v>294</v>
      </c>
      <c r="D534" s="3" t="inlineStr">
        <is>
          <t>고운동</t>
        </is>
      </c>
      <c r="E534" s="3" t="inlineStr"/>
      <c r="F534" s="3" t="inlineStr">
        <is>
          <t>제1종전용주거지역</t>
        </is>
      </c>
      <c r="G534" s="3" t="inlineStr">
        <is>
          <t>대</t>
        </is>
      </c>
      <c r="H534" s="4" t="n">
        <v>88.935</v>
      </c>
      <c r="I534" s="5" t="n">
        <v>242.3</v>
      </c>
      <c r="J534" s="3" t="inlineStr">
        <is>
          <t>고운동</t>
        </is>
      </c>
    </row>
    <row r="535">
      <c r="A535" s="3" t="n">
        <v>2022</v>
      </c>
      <c r="B535" s="4" t="n">
        <v>750</v>
      </c>
      <c r="C535" s="4" t="n">
        <v>12.9</v>
      </c>
      <c r="D535" s="3" t="inlineStr">
        <is>
          <t>고운동</t>
        </is>
      </c>
      <c r="E535" s="3" t="inlineStr"/>
      <c r="F535" s="3" t="inlineStr">
        <is>
          <t>제1종전용주거지역</t>
        </is>
      </c>
      <c r="G535" s="3" t="inlineStr">
        <is>
          <t>주차장</t>
        </is>
      </c>
      <c r="H535" s="4" t="n">
        <v>3.90225</v>
      </c>
      <c r="I535" s="5" t="n">
        <v>192.2</v>
      </c>
      <c r="J535" s="3" t="inlineStr">
        <is>
          <t>고운동</t>
        </is>
      </c>
    </row>
    <row r="536">
      <c r="A536" s="3" t="n">
        <v>2022</v>
      </c>
      <c r="B536" s="4" t="n">
        <v>23800</v>
      </c>
      <c r="C536" s="4" t="n">
        <v>300.2</v>
      </c>
      <c r="D536" s="3" t="inlineStr">
        <is>
          <t>고운동</t>
        </is>
      </c>
      <c r="E536" s="3" t="inlineStr"/>
      <c r="F536" s="3" t="inlineStr">
        <is>
          <t>제1종전용주거지역</t>
        </is>
      </c>
      <c r="G536" s="3" t="inlineStr">
        <is>
          <t>대</t>
        </is>
      </c>
      <c r="H536" s="4" t="n">
        <v>90.81049999999999</v>
      </c>
      <c r="I536" s="5" t="n">
        <v>262.1</v>
      </c>
      <c r="J536" s="3" t="inlineStr">
        <is>
          <t>고운동</t>
        </is>
      </c>
    </row>
    <row r="537">
      <c r="A537" s="3" t="n">
        <v>2022</v>
      </c>
      <c r="B537" s="4" t="n">
        <v>216050</v>
      </c>
      <c r="C537" s="4" t="n">
        <v>2397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생산녹지지역</t>
        </is>
      </c>
      <c r="G537" s="3" t="inlineStr">
        <is>
          <t>답</t>
        </is>
      </c>
      <c r="H537" s="4" t="n">
        <v>725.0925</v>
      </c>
      <c r="I537" s="5" t="n">
        <v>298</v>
      </c>
      <c r="J537" s="3" t="inlineStr">
        <is>
          <t>부강면</t>
        </is>
      </c>
    </row>
    <row r="538">
      <c r="A538" s="3" t="n">
        <v>2022</v>
      </c>
      <c r="B538" s="4" t="n">
        <v>100</v>
      </c>
      <c r="C538" s="4" t="n">
        <v>53</v>
      </c>
      <c r="D538" s="3" t="inlineStr">
        <is>
          <t>부강면</t>
        </is>
      </c>
      <c r="E538" s="3" t="inlineStr">
        <is>
          <t>등곡리</t>
        </is>
      </c>
      <c r="F538" s="3" t="inlineStr">
        <is>
          <t>보전관리지역</t>
        </is>
      </c>
      <c r="G538" s="3" t="inlineStr">
        <is>
          <t>공장용지</t>
        </is>
      </c>
      <c r="H538" s="4" t="n">
        <v>16.0325</v>
      </c>
      <c r="I538" s="5" t="n">
        <v>6.2</v>
      </c>
      <c r="J538" s="3" t="inlineStr">
        <is>
          <t>부강면</t>
        </is>
      </c>
    </row>
    <row r="539">
      <c r="A539" s="3" t="n">
        <v>2022</v>
      </c>
      <c r="B539" s="4" t="n">
        <v>500</v>
      </c>
      <c r="C539" s="4" t="n">
        <v>274</v>
      </c>
      <c r="D539" s="3" t="inlineStr">
        <is>
          <t>부강면</t>
        </is>
      </c>
      <c r="E539" s="3" t="inlineStr">
        <is>
          <t>등곡리</t>
        </is>
      </c>
      <c r="F539" s="3" t="inlineStr">
        <is>
          <t>보전관리지역</t>
        </is>
      </c>
      <c r="G539" s="3" t="inlineStr">
        <is>
          <t>공장용지</t>
        </is>
      </c>
      <c r="H539" s="4" t="n">
        <v>82.88499999999999</v>
      </c>
      <c r="I539" s="5" t="n">
        <v>6</v>
      </c>
      <c r="J539" s="3" t="inlineStr">
        <is>
          <t>부강면</t>
        </is>
      </c>
    </row>
    <row r="540">
      <c r="A540" s="3" t="n">
        <v>2022</v>
      </c>
      <c r="B540" s="4" t="n">
        <v>150</v>
      </c>
      <c r="C540" s="4" t="n">
        <v>55</v>
      </c>
      <c r="D540" s="3" t="inlineStr">
        <is>
          <t>부강면</t>
        </is>
      </c>
      <c r="E540" s="3" t="inlineStr">
        <is>
          <t>등곡리</t>
        </is>
      </c>
      <c r="F540" s="3" t="inlineStr">
        <is>
          <t>농림지역</t>
        </is>
      </c>
      <c r="G540" s="3" t="inlineStr">
        <is>
          <t>공장용지</t>
        </is>
      </c>
      <c r="H540" s="4" t="n">
        <v>16.6375</v>
      </c>
      <c r="I540" s="5" t="n">
        <v>9</v>
      </c>
      <c r="J540" s="3" t="inlineStr">
        <is>
          <t>부강면</t>
        </is>
      </c>
    </row>
    <row r="541">
      <c r="A541" s="3" t="n">
        <v>2022</v>
      </c>
      <c r="B541" s="4" t="n">
        <v>86000</v>
      </c>
      <c r="C541" s="4" t="n">
        <v>352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106.48</v>
      </c>
      <c r="I541" s="5" t="n">
        <v>807.7</v>
      </c>
      <c r="J541" s="3" t="inlineStr">
        <is>
          <t>고운동</t>
        </is>
      </c>
    </row>
    <row r="542">
      <c r="A542" s="3" t="n">
        <v>2023</v>
      </c>
      <c r="B542" s="4" t="n">
        <v>7800</v>
      </c>
      <c r="C542" s="4" t="n">
        <v>116</v>
      </c>
      <c r="D542" s="3" t="inlineStr">
        <is>
          <t>연동면</t>
        </is>
      </c>
      <c r="E542" s="3" t="inlineStr">
        <is>
          <t>내판리</t>
        </is>
      </c>
      <c r="F542" s="3" t="inlineStr">
        <is>
          <t>계획관리지역</t>
        </is>
      </c>
      <c r="G542" s="3" t="inlineStr">
        <is>
          <t>대</t>
        </is>
      </c>
      <c r="H542" s="4" t="n">
        <v>35.09</v>
      </c>
      <c r="I542" s="5" t="n">
        <v>222.3</v>
      </c>
      <c r="J542" s="3" t="inlineStr">
        <is>
          <t>연동면</t>
        </is>
      </c>
    </row>
    <row r="543">
      <c r="A543" s="3" t="n">
        <v>2023</v>
      </c>
      <c r="B543" s="4" t="n">
        <v>2703</v>
      </c>
      <c r="C543" s="4" t="n">
        <v>99</v>
      </c>
      <c r="D543" s="3" t="inlineStr">
        <is>
          <t>연서면</t>
        </is>
      </c>
      <c r="E543" s="3" t="inlineStr">
        <is>
          <t>용암리</t>
        </is>
      </c>
      <c r="F543" s="3" t="inlineStr">
        <is>
          <t>농림지역</t>
        </is>
      </c>
      <c r="G543" s="3" t="inlineStr">
        <is>
          <t>전</t>
        </is>
      </c>
      <c r="H543" s="4" t="n">
        <v>29.9475</v>
      </c>
      <c r="I543" s="5" t="n">
        <v>90.3</v>
      </c>
      <c r="J543" s="3" t="inlineStr">
        <is>
          <t>연서면</t>
        </is>
      </c>
    </row>
    <row r="544">
      <c r="A544" s="3" t="n">
        <v>2023</v>
      </c>
      <c r="B544" s="4" t="n">
        <v>55000</v>
      </c>
      <c r="C544" s="4" t="n">
        <v>258.5</v>
      </c>
      <c r="D544" s="3" t="inlineStr">
        <is>
          <t>한솔동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78.19624999999999</v>
      </c>
      <c r="I544" s="5" t="n">
        <v>703.4</v>
      </c>
      <c r="J544" s="3" t="inlineStr">
        <is>
          <t>한솔동</t>
        </is>
      </c>
    </row>
    <row r="545">
      <c r="A545" s="3" t="n">
        <v>2023</v>
      </c>
      <c r="B545" s="4" t="n">
        <v>14000</v>
      </c>
      <c r="C545" s="4" t="n">
        <v>48</v>
      </c>
      <c r="D545" s="3" t="inlineStr">
        <is>
          <t>연서면</t>
        </is>
      </c>
      <c r="E545" s="3" t="inlineStr">
        <is>
          <t>봉암리</t>
        </is>
      </c>
      <c r="F545" s="3" t="inlineStr">
        <is>
          <t>계획관리지역</t>
        </is>
      </c>
      <c r="G545" s="3" t="inlineStr">
        <is>
          <t>대</t>
        </is>
      </c>
      <c r="H545" s="4" t="n">
        <v>14.52</v>
      </c>
      <c r="I545" s="5" t="n">
        <v>964.2</v>
      </c>
      <c r="J545" s="3" t="inlineStr">
        <is>
          <t>연서면</t>
        </is>
      </c>
    </row>
    <row r="546">
      <c r="A546" s="3" t="n">
        <v>2022</v>
      </c>
      <c r="B546" s="4" t="n">
        <v>750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192.2</v>
      </c>
      <c r="J546" s="3" t="inlineStr">
        <is>
          <t>고운동</t>
        </is>
      </c>
    </row>
    <row r="547">
      <c r="A547" s="3" t="n">
        <v>2024</v>
      </c>
      <c r="B547" s="4" t="n">
        <v>10000</v>
      </c>
      <c r="C547" s="4" t="n">
        <v>129</v>
      </c>
      <c r="D547" s="3" t="inlineStr">
        <is>
          <t>조치원읍</t>
        </is>
      </c>
      <c r="E547" s="3" t="inlineStr">
        <is>
          <t>신안리</t>
        </is>
      </c>
      <c r="F547" s="3" t="inlineStr">
        <is>
          <t>자연녹지지역</t>
        </is>
      </c>
      <c r="G547" s="3" t="inlineStr">
        <is>
          <t>전</t>
        </is>
      </c>
      <c r="H547" s="4" t="n">
        <v>39.0225</v>
      </c>
      <c r="I547" s="5" t="n">
        <v>256.3</v>
      </c>
      <c r="J547" s="3" t="inlineStr">
        <is>
          <t>조치원읍</t>
        </is>
      </c>
    </row>
    <row r="548">
      <c r="A548" s="3" t="n">
        <v>2024</v>
      </c>
      <c r="B548" s="4" t="n">
        <v>19000</v>
      </c>
      <c r="C548" s="4" t="n">
        <v>1000</v>
      </c>
      <c r="D548" s="3" t="inlineStr">
        <is>
          <t>연서면</t>
        </is>
      </c>
      <c r="E548" s="3" t="inlineStr">
        <is>
          <t>고복리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302.5</v>
      </c>
      <c r="I548" s="5" t="n">
        <v>62.8</v>
      </c>
      <c r="J548" s="3" t="inlineStr">
        <is>
          <t>연서면</t>
        </is>
      </c>
    </row>
    <row r="549">
      <c r="A549" s="3" t="n">
        <v>2022</v>
      </c>
      <c r="B549" s="4" t="n">
        <v>5874</v>
      </c>
      <c r="C549" s="4" t="n">
        <v>1767</v>
      </c>
      <c r="D549" s="3" t="inlineStr">
        <is>
          <t>연서면</t>
        </is>
      </c>
      <c r="E549" s="3" t="inlineStr">
        <is>
          <t>기룡리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534.5175</v>
      </c>
      <c r="I549" s="5" t="n">
        <v>11</v>
      </c>
      <c r="J549" s="3" t="inlineStr">
        <is>
          <t>연서면</t>
        </is>
      </c>
    </row>
    <row r="550">
      <c r="A550" s="3" t="n">
        <v>2022</v>
      </c>
      <c r="B550" s="4" t="n">
        <v>16500</v>
      </c>
      <c r="C550" s="4" t="n">
        <v>4965</v>
      </c>
      <c r="D550" s="3" t="inlineStr">
        <is>
          <t>연서면</t>
        </is>
      </c>
      <c r="E550" s="3" t="inlineStr">
        <is>
          <t>기룡리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1501.9125</v>
      </c>
      <c r="I550" s="5" t="n">
        <v>11</v>
      </c>
      <c r="J550" s="3" t="inlineStr">
        <is>
          <t>연서면</t>
        </is>
      </c>
    </row>
    <row r="551">
      <c r="A551" s="3" t="n">
        <v>2022</v>
      </c>
      <c r="B551" s="4" t="n">
        <v>5700</v>
      </c>
      <c r="C551" s="4" t="n">
        <v>79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도로</t>
        </is>
      </c>
      <c r="H551" s="4" t="n">
        <v>23.8975</v>
      </c>
      <c r="I551" s="5" t="n">
        <v>238.5</v>
      </c>
      <c r="J551" s="3" t="inlineStr">
        <is>
          <t>연서면</t>
        </is>
      </c>
    </row>
    <row r="552">
      <c r="A552" s="3" t="n">
        <v>2022</v>
      </c>
      <c r="B552" s="4" t="n">
        <v>29100</v>
      </c>
      <c r="C552" s="4" t="n">
        <v>962</v>
      </c>
      <c r="D552" s="3" t="inlineStr">
        <is>
          <t>부강면</t>
        </is>
      </c>
      <c r="E552" s="3" t="inlineStr">
        <is>
          <t>노호리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291.005</v>
      </c>
      <c r="I552" s="5" t="n">
        <v>100</v>
      </c>
      <c r="J552" s="3" t="inlineStr">
        <is>
          <t>부강면</t>
        </is>
      </c>
    </row>
    <row r="553">
      <c r="A553" s="3" t="n">
        <v>2022</v>
      </c>
      <c r="B553" s="4" t="n">
        <v>28600</v>
      </c>
      <c r="C553" s="4" t="n">
        <v>945</v>
      </c>
      <c r="D553" s="3" t="inlineStr">
        <is>
          <t>부강면</t>
        </is>
      </c>
      <c r="E553" s="3" t="inlineStr">
        <is>
          <t>노호리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285.8625</v>
      </c>
      <c r="I553" s="5" t="n">
        <v>100</v>
      </c>
      <c r="J553" s="3" t="inlineStr">
        <is>
          <t>부강면</t>
        </is>
      </c>
    </row>
    <row r="554">
      <c r="A554" s="3" t="n">
        <v>2022</v>
      </c>
      <c r="B554" s="4" t="n">
        <v>43300</v>
      </c>
      <c r="C554" s="4" t="n">
        <v>1431</v>
      </c>
      <c r="D554" s="3" t="inlineStr">
        <is>
          <t>부강면</t>
        </is>
      </c>
      <c r="E554" s="3" t="inlineStr">
        <is>
          <t>노호리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432.8775</v>
      </c>
      <c r="I554" s="5" t="n">
        <v>100</v>
      </c>
      <c r="J554" s="3" t="inlineStr">
        <is>
          <t>부강면</t>
        </is>
      </c>
    </row>
    <row r="555">
      <c r="A555" s="3" t="n">
        <v>2022</v>
      </c>
      <c r="B555" s="4" t="n">
        <v>50600</v>
      </c>
      <c r="C555" s="4" t="n">
        <v>1676</v>
      </c>
      <c r="D555" s="3" t="inlineStr">
        <is>
          <t>부강면</t>
        </is>
      </c>
      <c r="E555" s="3" t="inlineStr">
        <is>
          <t>노호리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506.99</v>
      </c>
      <c r="I555" s="5" t="n">
        <v>99.8</v>
      </c>
      <c r="J555" s="3" t="inlineStr">
        <is>
          <t>부강면</t>
        </is>
      </c>
    </row>
    <row r="556">
      <c r="A556" s="3" t="n">
        <v>2023</v>
      </c>
      <c r="B556" s="4" t="n">
        <v>44950</v>
      </c>
      <c r="C556" s="4" t="n">
        <v>293.7</v>
      </c>
      <c r="D556" s="3" t="inlineStr">
        <is>
          <t>다정동</t>
        </is>
      </c>
      <c r="E556" s="3" t="inlineStr"/>
      <c r="F556" s="3" t="inlineStr">
        <is>
          <t>제1종전용주거지역</t>
        </is>
      </c>
      <c r="G556" s="3" t="inlineStr">
        <is>
          <t>대</t>
        </is>
      </c>
      <c r="H556" s="4" t="n">
        <v>88.84424999999999</v>
      </c>
      <c r="I556" s="5" t="n">
        <v>505.9</v>
      </c>
      <c r="J556" s="3" t="inlineStr">
        <is>
          <t>다정동</t>
        </is>
      </c>
    </row>
    <row r="557">
      <c r="A557" s="3" t="n">
        <v>2023</v>
      </c>
      <c r="B557" s="4" t="n">
        <v>30000</v>
      </c>
      <c r="C557" s="4" t="n">
        <v>661</v>
      </c>
      <c r="D557" s="3" t="inlineStr">
        <is>
          <t>부강면</t>
        </is>
      </c>
      <c r="E557" s="3" t="inlineStr">
        <is>
          <t>문곡리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199.9525</v>
      </c>
      <c r="I557" s="5" t="n">
        <v>150</v>
      </c>
      <c r="J557" s="3" t="inlineStr">
        <is>
          <t>부강면</t>
        </is>
      </c>
    </row>
    <row r="558">
      <c r="A558" s="3" t="n">
        <v>2023</v>
      </c>
      <c r="B558" s="4" t="n">
        <v>5000</v>
      </c>
      <c r="C558" s="4" t="n">
        <v>93</v>
      </c>
      <c r="D558" s="3" t="inlineStr">
        <is>
          <t>연동면</t>
        </is>
      </c>
      <c r="E558" s="3" t="inlineStr">
        <is>
          <t>내판리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28.1325</v>
      </c>
      <c r="I558" s="5" t="n">
        <v>177.7</v>
      </c>
      <c r="J558" s="3" t="inlineStr">
        <is>
          <t>연동면</t>
        </is>
      </c>
    </row>
    <row r="559">
      <c r="A559" s="3" t="n">
        <v>2023</v>
      </c>
      <c r="B559" s="4" t="n">
        <v>35000</v>
      </c>
      <c r="C559" s="4" t="n">
        <v>2255</v>
      </c>
      <c r="D559" s="3" t="inlineStr">
        <is>
          <t>연동면</t>
        </is>
      </c>
      <c r="E559" s="3" t="inlineStr">
        <is>
          <t>명학리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682.1374999999999</v>
      </c>
      <c r="I559" s="5" t="n">
        <v>51.3</v>
      </c>
      <c r="J559" s="3" t="inlineStr">
        <is>
          <t>연동면</t>
        </is>
      </c>
    </row>
    <row r="560">
      <c r="A560" s="3" t="n">
        <v>2023</v>
      </c>
      <c r="B560" s="4" t="n">
        <v>108000</v>
      </c>
      <c r="C560" s="4" t="n">
        <v>1323</v>
      </c>
      <c r="D560" s="3" t="inlineStr">
        <is>
          <t>연서면</t>
        </is>
      </c>
      <c r="E560" s="3" t="inlineStr">
        <is>
          <t>월하리</t>
        </is>
      </c>
      <c r="F560" s="3" t="inlineStr">
        <is>
          <t>자연녹지지역</t>
        </is>
      </c>
      <c r="G560" s="3" t="inlineStr">
        <is>
          <t>전</t>
        </is>
      </c>
      <c r="H560" s="4" t="n">
        <v>400.2075</v>
      </c>
      <c r="I560" s="5" t="n">
        <v>269.9</v>
      </c>
      <c r="J560" s="3" t="inlineStr">
        <is>
          <t>연서면</t>
        </is>
      </c>
    </row>
    <row r="561">
      <c r="A561" s="3" t="n">
        <v>2023</v>
      </c>
      <c r="B561" s="4" t="n">
        <v>4000</v>
      </c>
      <c r="C561" s="4" t="n">
        <v>66</v>
      </c>
      <c r="D561" s="3" t="inlineStr">
        <is>
          <t>부강면</t>
        </is>
      </c>
      <c r="E561" s="3" t="inlineStr">
        <is>
          <t>금호리</t>
        </is>
      </c>
      <c r="F561" s="3" t="inlineStr">
        <is>
          <t>보전관리지역</t>
        </is>
      </c>
      <c r="G561" s="3" t="inlineStr">
        <is>
          <t>전</t>
        </is>
      </c>
      <c r="H561" s="4" t="n">
        <v>19.965</v>
      </c>
      <c r="I561" s="5" t="n">
        <v>200.4</v>
      </c>
      <c r="J561" s="3" t="inlineStr">
        <is>
          <t>부강면</t>
        </is>
      </c>
    </row>
    <row r="562">
      <c r="A562" s="3" t="n">
        <v>2023</v>
      </c>
      <c r="B562" s="4" t="n">
        <v>64000</v>
      </c>
      <c r="C562" s="4" t="n">
        <v>1970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595.925</v>
      </c>
      <c r="I562" s="5" t="n">
        <v>107.4</v>
      </c>
      <c r="J562" s="3" t="inlineStr">
        <is>
          <t>연서면</t>
        </is>
      </c>
    </row>
    <row r="563">
      <c r="A563" s="3" t="n">
        <v>2022</v>
      </c>
      <c r="B563" s="4" t="n">
        <v>41500</v>
      </c>
      <c r="C563" s="4" t="n">
        <v>250.2</v>
      </c>
      <c r="D563" s="3" t="inlineStr">
        <is>
          <t>조치원읍</t>
        </is>
      </c>
      <c r="E563" s="3" t="inlineStr">
        <is>
          <t>침산리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75.68549999999999</v>
      </c>
      <c r="I563" s="5" t="n">
        <v>548.3</v>
      </c>
      <c r="J563" s="3" t="inlineStr">
        <is>
          <t>조치원읍</t>
        </is>
      </c>
    </row>
    <row r="564">
      <c r="A564" s="3" t="n">
        <v>2022</v>
      </c>
      <c r="B564" s="4" t="n">
        <v>3600</v>
      </c>
      <c r="C564" s="4" t="n">
        <v>238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71.995</v>
      </c>
      <c r="I564" s="5" t="n">
        <v>50</v>
      </c>
      <c r="J564" s="3" t="inlineStr">
        <is>
          <t>부강면</t>
        </is>
      </c>
    </row>
    <row r="565">
      <c r="A565" s="3" t="n">
        <v>2022</v>
      </c>
      <c r="B565" s="4" t="n">
        <v>11830</v>
      </c>
      <c r="C565" s="4" t="n">
        <v>301</v>
      </c>
      <c r="D565" s="3" t="inlineStr">
        <is>
          <t>연서면</t>
        </is>
      </c>
      <c r="E565" s="3" t="inlineStr">
        <is>
          <t>와촌리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91.05249999999999</v>
      </c>
      <c r="I565" s="5" t="n">
        <v>129.9</v>
      </c>
      <c r="J565" s="3" t="inlineStr">
        <is>
          <t>연서면</t>
        </is>
      </c>
    </row>
    <row r="566">
      <c r="A566" s="3" t="n">
        <v>2022</v>
      </c>
      <c r="B566" s="4" t="n">
        <v>2700</v>
      </c>
      <c r="C566" s="4" t="n">
        <v>157</v>
      </c>
      <c r="D566" s="3" t="inlineStr">
        <is>
          <t>부강면</t>
        </is>
      </c>
      <c r="E566" s="3" t="inlineStr">
        <is>
          <t>등곡리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47.4925</v>
      </c>
      <c r="I566" s="5" t="n">
        <v>56.9</v>
      </c>
      <c r="J566" s="3" t="inlineStr">
        <is>
          <t>부강면</t>
        </is>
      </c>
    </row>
    <row r="567">
      <c r="A567" s="3" t="n">
        <v>2022</v>
      </c>
      <c r="B567" s="4" t="n">
        <v>300</v>
      </c>
      <c r="C567" s="4" t="n">
        <v>26</v>
      </c>
      <c r="D567" s="3" t="inlineStr">
        <is>
          <t>부강면</t>
        </is>
      </c>
      <c r="E567" s="3" t="inlineStr">
        <is>
          <t>등곡리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7.865</v>
      </c>
      <c r="I567" s="5" t="n">
        <v>38.1</v>
      </c>
      <c r="J567" s="3" t="inlineStr">
        <is>
          <t>부강면</t>
        </is>
      </c>
    </row>
    <row r="568">
      <c r="A568" s="3" t="n">
        <v>2022</v>
      </c>
      <c r="B568" s="4" t="n">
        <v>5500</v>
      </c>
      <c r="C568" s="4" t="n">
        <v>133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40.2325</v>
      </c>
      <c r="I568" s="5" t="n">
        <v>136.7</v>
      </c>
      <c r="J568" s="3" t="inlineStr">
        <is>
          <t>연동면</t>
        </is>
      </c>
    </row>
    <row r="569">
      <c r="A569" s="3" t="n">
        <v>2022</v>
      </c>
      <c r="B569" s="4" t="n">
        <v>15400</v>
      </c>
      <c r="C569" s="4" t="n">
        <v>533</v>
      </c>
      <c r="D569" s="3" t="inlineStr">
        <is>
          <t>연동면</t>
        </is>
      </c>
      <c r="E569" s="3" t="inlineStr">
        <is>
          <t>응암리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161.2325</v>
      </c>
      <c r="I569" s="5" t="n">
        <v>95.5</v>
      </c>
      <c r="J569" s="3" t="inlineStr">
        <is>
          <t>연동면</t>
        </is>
      </c>
    </row>
    <row r="570">
      <c r="A570" s="3" t="n">
        <v>2022</v>
      </c>
      <c r="B570" s="4" t="n">
        <v>28490</v>
      </c>
      <c r="C570" s="4" t="n">
        <v>856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258.94</v>
      </c>
      <c r="I570" s="5" t="n">
        <v>110</v>
      </c>
      <c r="J570" s="3" t="inlineStr">
        <is>
          <t>부강면</t>
        </is>
      </c>
    </row>
    <row r="571">
      <c r="A571" s="3" t="n">
        <v>2022</v>
      </c>
      <c r="B571" s="4" t="n">
        <v>11690</v>
      </c>
      <c r="C571" s="4" t="n">
        <v>466</v>
      </c>
      <c r="D571" s="3" t="inlineStr">
        <is>
          <t>연동면</t>
        </is>
      </c>
      <c r="E571" s="3" t="inlineStr">
        <is>
          <t>응암리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140.965</v>
      </c>
      <c r="I571" s="5" t="n">
        <v>82.90000000000001</v>
      </c>
      <c r="J571" s="3" t="inlineStr">
        <is>
          <t>연동면</t>
        </is>
      </c>
    </row>
    <row r="572">
      <c r="A572" s="3" t="n">
        <v>2024</v>
      </c>
      <c r="B572" s="4" t="n">
        <v>240000</v>
      </c>
      <c r="C572" s="4" t="n">
        <v>854.7</v>
      </c>
      <c r="D572" s="3" t="inlineStr">
        <is>
          <t>조치원읍</t>
        </is>
      </c>
      <c r="E572" s="3" t="inlineStr">
        <is>
          <t>봉산리</t>
        </is>
      </c>
      <c r="F572" s="3" t="inlineStr">
        <is>
          <t>준주거지역</t>
        </is>
      </c>
      <c r="G572" s="3" t="inlineStr">
        <is>
          <t>대</t>
        </is>
      </c>
      <c r="H572" s="4" t="n">
        <v>258.54675</v>
      </c>
      <c r="I572" s="5" t="n">
        <v>928.3</v>
      </c>
      <c r="J572" s="3" t="inlineStr">
        <is>
          <t>조치원읍</t>
        </is>
      </c>
    </row>
    <row r="573">
      <c r="A573" s="3" t="n">
        <v>2026</v>
      </c>
      <c r="B573" s="4" t="n">
        <v>55000</v>
      </c>
      <c r="C573" s="4" t="n">
        <v>3523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1065.7075</v>
      </c>
      <c r="I573" s="5" t="n">
        <v>51.6</v>
      </c>
      <c r="J573" s="3" t="inlineStr">
        <is>
          <t>연서면</t>
        </is>
      </c>
    </row>
    <row r="574">
      <c r="A574" s="3" t="n">
        <v>2022</v>
      </c>
      <c r="B574" s="4" t="n">
        <v>39000</v>
      </c>
      <c r="C574" s="4" t="n">
        <v>331</v>
      </c>
      <c r="D574" s="3" t="inlineStr">
        <is>
          <t>연서면</t>
        </is>
      </c>
      <c r="E574" s="3" t="inlineStr">
        <is>
          <t>봉암리</t>
        </is>
      </c>
      <c r="F574" s="3" t="inlineStr">
        <is>
          <t>계획관리지역</t>
        </is>
      </c>
      <c r="G574" s="3" t="inlineStr">
        <is>
          <t>전</t>
        </is>
      </c>
      <c r="H574" s="4" t="n">
        <v>100.1275</v>
      </c>
      <c r="I574" s="5" t="n">
        <v>389.5</v>
      </c>
      <c r="J574" s="3" t="inlineStr">
        <is>
          <t>연서면</t>
        </is>
      </c>
    </row>
    <row r="575">
      <c r="A575" s="3" t="n">
        <v>2022</v>
      </c>
      <c r="B575" s="4" t="n">
        <v>110000</v>
      </c>
      <c r="C575" s="4" t="n">
        <v>972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294.03</v>
      </c>
      <c r="I575" s="5" t="n">
        <v>374.1</v>
      </c>
      <c r="J575" s="3" t="inlineStr">
        <is>
          <t>연서면</t>
        </is>
      </c>
    </row>
    <row r="576">
      <c r="A576" s="3" t="n">
        <v>2026</v>
      </c>
      <c r="B576" s="4" t="n">
        <v>851</v>
      </c>
      <c r="C576" s="4" t="n">
        <v>36</v>
      </c>
      <c r="D576" s="3" t="inlineStr">
        <is>
          <t>강내면</t>
        </is>
      </c>
      <c r="E576" s="3" t="inlineStr">
        <is>
          <t>사인리</t>
        </is>
      </c>
      <c r="F576" s="3" t="inlineStr">
        <is>
          <t>생산녹지지역</t>
        </is>
      </c>
      <c r="G576" s="3" t="inlineStr">
        <is>
          <t>도로</t>
        </is>
      </c>
      <c r="H576" s="4" t="n">
        <v>10.89</v>
      </c>
      <c r="I576" s="5" t="n">
        <v>78.09999999999999</v>
      </c>
      <c r="J576" s="3" t="inlineStr">
        <is>
          <t>강내면</t>
        </is>
      </c>
    </row>
    <row r="577">
      <c r="A577" s="3" t="n">
        <v>2026</v>
      </c>
      <c r="B577" s="4" t="n">
        <v>10412</v>
      </c>
      <c r="C577" s="4" t="n">
        <v>1076</v>
      </c>
      <c r="D577" s="3" t="inlineStr">
        <is>
          <t>오송읍</t>
        </is>
      </c>
      <c r="E577" s="3" t="inlineStr">
        <is>
          <t>상봉리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325.49</v>
      </c>
      <c r="I577" s="5" t="n">
        <v>32</v>
      </c>
      <c r="J577" s="3" t="inlineStr">
        <is>
          <t>오송읍</t>
        </is>
      </c>
    </row>
    <row r="578">
      <c r="A578" s="3" t="n">
        <v>2026</v>
      </c>
      <c r="B578" s="4" t="n">
        <v>25526</v>
      </c>
      <c r="C578" s="4" t="n">
        <v>2638</v>
      </c>
      <c r="D578" s="3" t="inlineStr">
        <is>
          <t>오송읍</t>
        </is>
      </c>
      <c r="E578" s="3" t="inlineStr">
        <is>
          <t>상봉리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797.995</v>
      </c>
      <c r="I578" s="5" t="n">
        <v>32</v>
      </c>
      <c r="J578" s="3" t="inlineStr">
        <is>
          <t>오송읍</t>
        </is>
      </c>
    </row>
    <row r="579">
      <c r="A579" s="3" t="n">
        <v>2026</v>
      </c>
      <c r="B579" s="4" t="n">
        <v>223</v>
      </c>
      <c r="C579" s="4" t="n">
        <v>23</v>
      </c>
      <c r="D579" s="3" t="inlineStr">
        <is>
          <t>오송읍</t>
        </is>
      </c>
      <c r="E579" s="3" t="inlineStr">
        <is>
          <t>상봉리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6.9575</v>
      </c>
      <c r="I579" s="5" t="n">
        <v>32.1</v>
      </c>
      <c r="J579" s="3" t="inlineStr">
        <is>
          <t>오송읍</t>
        </is>
      </c>
    </row>
    <row r="580">
      <c r="A580" s="3" t="n">
        <v>2026</v>
      </c>
      <c r="B580" s="4" t="n">
        <v>5000</v>
      </c>
      <c r="C580" s="4" t="n">
        <v>282</v>
      </c>
      <c r="D580" s="3" t="inlineStr">
        <is>
          <t>오송읍</t>
        </is>
      </c>
      <c r="E580" s="3" t="inlineStr">
        <is>
          <t>상봉리</t>
        </is>
      </c>
      <c r="F580" s="3" t="inlineStr">
        <is>
          <t>생산관리지역</t>
        </is>
      </c>
      <c r="G580" s="3" t="inlineStr">
        <is>
          <t>대</t>
        </is>
      </c>
      <c r="H580" s="4" t="n">
        <v>85.30499999999999</v>
      </c>
      <c r="I580" s="5" t="n">
        <v>58.6</v>
      </c>
      <c r="J580" s="3" t="inlineStr">
        <is>
          <t>오송읍</t>
        </is>
      </c>
    </row>
    <row r="581">
      <c r="A581" s="3" t="n">
        <v>2026</v>
      </c>
      <c r="B581" s="4" t="n">
        <v>500</v>
      </c>
      <c r="C581" s="4" t="n">
        <v>32</v>
      </c>
      <c r="D581" s="3" t="inlineStr">
        <is>
          <t>강내면</t>
        </is>
      </c>
      <c r="E581" s="3" t="inlineStr">
        <is>
          <t>황탄리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9.68</v>
      </c>
      <c r="I581" s="5" t="n">
        <v>51.7</v>
      </c>
      <c r="J581" s="3" t="inlineStr">
        <is>
          <t>강내면</t>
        </is>
      </c>
    </row>
    <row r="582">
      <c r="A582" s="3" t="n">
        <v>2026</v>
      </c>
      <c r="B582" s="4" t="n">
        <v>5000</v>
      </c>
      <c r="C582" s="4" t="n">
        <v>282</v>
      </c>
      <c r="D582" s="3" t="inlineStr">
        <is>
          <t>오송읍</t>
        </is>
      </c>
      <c r="E582" s="3" t="inlineStr">
        <is>
          <t>상봉리</t>
        </is>
      </c>
      <c r="F582" s="3" t="inlineStr">
        <is>
          <t>생산관리지역</t>
        </is>
      </c>
      <c r="G582" s="3" t="inlineStr">
        <is>
          <t>대</t>
        </is>
      </c>
      <c r="H582" s="4" t="n">
        <v>85.30499999999999</v>
      </c>
      <c r="I582" s="5" t="n">
        <v>58.6</v>
      </c>
      <c r="J582" s="3" t="inlineStr">
        <is>
          <t>오송읍</t>
        </is>
      </c>
    </row>
    <row r="583">
      <c r="A583" s="3" t="n">
        <v>2026</v>
      </c>
      <c r="B583" s="4" t="n">
        <v>57500</v>
      </c>
      <c r="C583" s="4" t="n">
        <v>4800</v>
      </c>
      <c r="D583" s="3" t="inlineStr">
        <is>
          <t>강내면</t>
        </is>
      </c>
      <c r="E583" s="3" t="inlineStr">
        <is>
          <t>석화리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1452</v>
      </c>
      <c r="I583" s="5" t="n">
        <v>39.6</v>
      </c>
      <c r="J583" s="3" t="inlineStr">
        <is>
          <t>강내면</t>
        </is>
      </c>
    </row>
    <row r="584">
      <c r="A584" s="3" t="n">
        <v>2026</v>
      </c>
      <c r="B584" s="4" t="n">
        <v>76626</v>
      </c>
      <c r="C584" s="4" t="n">
        <v>4644</v>
      </c>
      <c r="D584" s="3" t="inlineStr">
        <is>
          <t>오송읍</t>
        </is>
      </c>
      <c r="E584" s="3" t="inlineStr">
        <is>
          <t>서평리</t>
        </is>
      </c>
      <c r="F584" s="3" t="inlineStr">
        <is>
          <t>농림지역</t>
        </is>
      </c>
      <c r="G584" s="3" t="inlineStr">
        <is>
          <t>전</t>
        </is>
      </c>
      <c r="H584" s="4" t="n">
        <v>1404.81</v>
      </c>
      <c r="I584" s="5" t="n">
        <v>54.5</v>
      </c>
      <c r="J584" s="3" t="inlineStr">
        <is>
          <t>오송읍</t>
        </is>
      </c>
    </row>
    <row r="585">
      <c r="A585" s="3" t="n">
        <v>2026</v>
      </c>
      <c r="B585" s="4" t="n">
        <v>41300</v>
      </c>
      <c r="C585" s="4" t="n">
        <v>1741</v>
      </c>
      <c r="D585" s="3" t="inlineStr">
        <is>
          <t>강내면</t>
        </is>
      </c>
      <c r="E585" s="3" t="inlineStr">
        <is>
          <t>학천리</t>
        </is>
      </c>
      <c r="F585" s="3" t="inlineStr">
        <is>
          <t>자연녹지지역</t>
        </is>
      </c>
      <c r="G585" s="3" t="inlineStr">
        <is>
          <t>답</t>
        </is>
      </c>
      <c r="H585" s="4" t="n">
        <v>526.6525</v>
      </c>
      <c r="I585" s="5" t="n">
        <v>78.40000000000001</v>
      </c>
      <c r="J585" s="3" t="inlineStr">
        <is>
          <t>강내면</t>
        </is>
      </c>
    </row>
    <row r="586">
      <c r="A586" s="3" t="n">
        <v>2026</v>
      </c>
      <c r="B586" s="4" t="n">
        <v>3200</v>
      </c>
      <c r="C586" s="4" t="n">
        <v>136</v>
      </c>
      <c r="D586" s="3" t="inlineStr">
        <is>
          <t>강내면</t>
        </is>
      </c>
      <c r="E586" s="3" t="inlineStr">
        <is>
          <t>학천리</t>
        </is>
      </c>
      <c r="F586" s="3" t="inlineStr">
        <is>
          <t>자연녹지지역</t>
        </is>
      </c>
      <c r="G586" s="3" t="inlineStr">
        <is>
          <t>답</t>
        </is>
      </c>
      <c r="H586" s="4" t="n">
        <v>41.14</v>
      </c>
      <c r="I586" s="5" t="n">
        <v>77.8</v>
      </c>
      <c r="J586" s="3" t="inlineStr">
        <is>
          <t>강내면</t>
        </is>
      </c>
    </row>
    <row r="587">
      <c r="A587" s="3" t="n">
        <v>2026</v>
      </c>
      <c r="B587" s="4" t="n">
        <v>40700</v>
      </c>
      <c r="C587" s="4" t="n">
        <v>1716</v>
      </c>
      <c r="D587" s="3" t="inlineStr">
        <is>
          <t>강내면</t>
        </is>
      </c>
      <c r="E587" s="3" t="inlineStr">
        <is>
          <t>학천리</t>
        </is>
      </c>
      <c r="F587" s="3" t="inlineStr">
        <is>
          <t>자연녹지지역</t>
        </is>
      </c>
      <c r="G587" s="3" t="inlineStr">
        <is>
          <t>전</t>
        </is>
      </c>
      <c r="H587" s="4" t="n">
        <v>519.09</v>
      </c>
      <c r="I587" s="5" t="n">
        <v>78.40000000000001</v>
      </c>
      <c r="J587" s="3" t="inlineStr">
        <is>
          <t>강내면</t>
        </is>
      </c>
    </row>
    <row r="588">
      <c r="A588" s="3" t="n">
        <v>2026</v>
      </c>
      <c r="B588" s="4" t="n">
        <v>14800</v>
      </c>
      <c r="C588" s="4" t="n">
        <v>622</v>
      </c>
      <c r="D588" s="3" t="inlineStr">
        <is>
          <t>강내면</t>
        </is>
      </c>
      <c r="E588" s="3" t="inlineStr">
        <is>
          <t>학천리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188.155</v>
      </c>
      <c r="I588" s="5" t="n">
        <v>78.7</v>
      </c>
      <c r="J588" s="3" t="inlineStr">
        <is>
          <t>강내면</t>
        </is>
      </c>
    </row>
    <row r="589">
      <c r="A589" s="3" t="n">
        <v>2026</v>
      </c>
      <c r="B589" s="4" t="n">
        <v>33000</v>
      </c>
      <c r="C589" s="4" t="n">
        <v>1878</v>
      </c>
      <c r="D589" s="3" t="inlineStr">
        <is>
          <t>강내면</t>
        </is>
      </c>
      <c r="E589" s="3" t="inlineStr">
        <is>
          <t>학천리</t>
        </is>
      </c>
      <c r="F589" s="3" t="inlineStr">
        <is>
          <t>보전녹지지역</t>
        </is>
      </c>
      <c r="G589" s="3" t="inlineStr">
        <is>
          <t>임야</t>
        </is>
      </c>
      <c r="H589" s="4" t="n">
        <v>568.095</v>
      </c>
      <c r="I589" s="5" t="n">
        <v>58.1</v>
      </c>
      <c r="J589" s="3" t="inlineStr">
        <is>
          <t>강내면</t>
        </is>
      </c>
    </row>
    <row r="590">
      <c r="A590" s="3" t="n">
        <v>2026</v>
      </c>
      <c r="B590" s="4" t="n">
        <v>2000</v>
      </c>
      <c r="C590" s="4" t="n">
        <v>119</v>
      </c>
      <c r="D590" s="3" t="inlineStr">
        <is>
          <t>강내면</t>
        </is>
      </c>
      <c r="E590" s="3" t="inlineStr">
        <is>
          <t>학천리</t>
        </is>
      </c>
      <c r="F590" s="3" t="inlineStr">
        <is>
          <t>자연녹지지역</t>
        </is>
      </c>
      <c r="G590" s="3" t="inlineStr">
        <is>
          <t>임야</t>
        </is>
      </c>
      <c r="H590" s="4" t="n">
        <v>35.9975</v>
      </c>
      <c r="I590" s="5" t="n">
        <v>55.6</v>
      </c>
      <c r="J590" s="3" t="inlineStr">
        <is>
          <t>강내면</t>
        </is>
      </c>
    </row>
    <row r="591">
      <c r="A591" s="3" t="n">
        <v>2026</v>
      </c>
      <c r="B591" s="4" t="n">
        <v>64000</v>
      </c>
      <c r="C591" s="4" t="n">
        <v>3680</v>
      </c>
      <c r="D591" s="3" t="inlineStr">
        <is>
          <t>강내면</t>
        </is>
      </c>
      <c r="E591" s="3" t="inlineStr">
        <is>
          <t>학천리</t>
        </is>
      </c>
      <c r="F591" s="3" t="inlineStr">
        <is>
          <t>보전녹지지역</t>
        </is>
      </c>
      <c r="G591" s="3" t="inlineStr">
        <is>
          <t>임야</t>
        </is>
      </c>
      <c r="H591" s="4" t="n">
        <v>1113.2</v>
      </c>
      <c r="I591" s="5" t="n">
        <v>57.5</v>
      </c>
      <c r="J591" s="3" t="inlineStr">
        <is>
          <t>강내면</t>
        </is>
      </c>
    </row>
    <row r="592">
      <c r="A592" s="3" t="n">
        <v>2026</v>
      </c>
      <c r="B592" s="4" t="n">
        <v>1200</v>
      </c>
      <c r="C592" s="4" t="n">
        <v>53</v>
      </c>
      <c r="D592" s="3" t="inlineStr">
        <is>
          <t>강내면</t>
        </is>
      </c>
      <c r="E592" s="3" t="inlineStr">
        <is>
          <t>학천리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16.0325</v>
      </c>
      <c r="I592" s="5" t="n">
        <v>74.8</v>
      </c>
      <c r="J592" s="3" t="inlineStr">
        <is>
          <t>강내면</t>
        </is>
      </c>
    </row>
    <row r="593">
      <c r="A593" s="3" t="n">
        <v>2026</v>
      </c>
      <c r="B593" s="4" t="n">
        <v>34500</v>
      </c>
      <c r="C593" s="4" t="n">
        <v>496</v>
      </c>
      <c r="D593" s="3" t="inlineStr">
        <is>
          <t>오송읍</t>
        </is>
      </c>
      <c r="E593" s="3" t="inlineStr">
        <is>
          <t>궁평리</t>
        </is>
      </c>
      <c r="F593" s="3" t="inlineStr">
        <is>
          <t>용도미지정</t>
        </is>
      </c>
      <c r="G593" s="3" t="inlineStr">
        <is>
          <t>대</t>
        </is>
      </c>
      <c r="H593" s="4" t="n">
        <v>150.04</v>
      </c>
      <c r="I593" s="5" t="n">
        <v>229.9</v>
      </c>
      <c r="J593" s="3" t="inlineStr">
        <is>
          <t>오송읍</t>
        </is>
      </c>
    </row>
    <row r="594">
      <c r="A594" s="3" t="n">
        <v>2026</v>
      </c>
      <c r="B594" s="4" t="n">
        <v>14000</v>
      </c>
      <c r="C594" s="4" t="n">
        <v>615</v>
      </c>
      <c r="D594" s="3" t="inlineStr">
        <is>
          <t>조치원읍</t>
        </is>
      </c>
      <c r="E594" s="3" t="inlineStr">
        <is>
          <t>봉산리</t>
        </is>
      </c>
      <c r="F594" s="3" t="inlineStr">
        <is>
          <t>자연녹지지역</t>
        </is>
      </c>
      <c r="G594" s="3" t="inlineStr">
        <is>
          <t>임야</t>
        </is>
      </c>
      <c r="H594" s="4" t="n">
        <v>186.0375</v>
      </c>
      <c r="I594" s="5" t="n">
        <v>75.3</v>
      </c>
      <c r="J594" s="3" t="inlineStr">
        <is>
          <t>조치원읍</t>
        </is>
      </c>
    </row>
    <row r="595">
      <c r="A595" s="3" t="n">
        <v>2026</v>
      </c>
      <c r="B595" s="4" t="n">
        <v>13000</v>
      </c>
      <c r="C595" s="4" t="n">
        <v>615</v>
      </c>
      <c r="D595" s="3" t="inlineStr">
        <is>
          <t>조치원읍</t>
        </is>
      </c>
      <c r="E595" s="3" t="inlineStr">
        <is>
          <t>봉산리</t>
        </is>
      </c>
      <c r="F595" s="3" t="inlineStr">
        <is>
          <t>자연녹지지역</t>
        </is>
      </c>
      <c r="G595" s="3" t="inlineStr">
        <is>
          <t>임야</t>
        </is>
      </c>
      <c r="H595" s="4" t="n">
        <v>186.0375</v>
      </c>
      <c r="I595" s="5" t="n">
        <v>69.90000000000001</v>
      </c>
      <c r="J595" s="3" t="inlineStr">
        <is>
          <t>조치원읍</t>
        </is>
      </c>
    </row>
    <row r="596">
      <c r="A596" s="3" t="n">
        <v>2026</v>
      </c>
      <c r="B596" s="4" t="n">
        <v>7000</v>
      </c>
      <c r="C596" s="4" t="n">
        <v>1916</v>
      </c>
      <c r="D596" s="3" t="inlineStr">
        <is>
          <t>조치원읍</t>
        </is>
      </c>
      <c r="E596" s="3" t="inlineStr">
        <is>
          <t>봉산리</t>
        </is>
      </c>
      <c r="F596" s="3" t="inlineStr">
        <is>
          <t>보전녹지지역</t>
        </is>
      </c>
      <c r="G596" s="3" t="inlineStr">
        <is>
          <t>임야</t>
        </is>
      </c>
      <c r="H596" s="4" t="n">
        <v>579.59</v>
      </c>
      <c r="I596" s="5" t="n">
        <v>12.1</v>
      </c>
      <c r="J596" s="3" t="inlineStr">
        <is>
          <t>조치원읍</t>
        </is>
      </c>
    </row>
    <row r="597">
      <c r="A597" s="3" t="n">
        <v>2026</v>
      </c>
      <c r="B597" s="4" t="n">
        <v>142697</v>
      </c>
      <c r="C597" s="4" t="n">
        <v>2005.2</v>
      </c>
      <c r="D597" s="3" t="inlineStr">
        <is>
          <t>집현동</t>
        </is>
      </c>
      <c r="E597" s="3" t="inlineStr"/>
      <c r="F597" s="3" t="inlineStr">
        <is>
          <t>준주거지역</t>
        </is>
      </c>
      <c r="G597" s="3" t="inlineStr">
        <is>
          <t>대</t>
        </is>
      </c>
      <c r="H597" s="4" t="n">
        <v>606.573</v>
      </c>
      <c r="I597" s="5" t="n">
        <v>235.3</v>
      </c>
      <c r="J597" s="3" t="inlineStr">
        <is>
          <t>집현동</t>
        </is>
      </c>
    </row>
    <row r="598">
      <c r="A598" s="3" t="n">
        <v>2022</v>
      </c>
      <c r="B598" s="4" t="n">
        <v>23900</v>
      </c>
      <c r="C598" s="4" t="n">
        <v>1217</v>
      </c>
      <c r="D598" s="3" t="inlineStr">
        <is>
          <t>오송읍</t>
        </is>
      </c>
      <c r="E598" s="3" t="inlineStr">
        <is>
          <t>호계리</t>
        </is>
      </c>
      <c r="F598" s="3" t="inlineStr">
        <is>
          <t>농림지역</t>
        </is>
      </c>
      <c r="G598" s="3" t="inlineStr">
        <is>
          <t>답</t>
        </is>
      </c>
      <c r="H598" s="4" t="n">
        <v>368.1425</v>
      </c>
      <c r="I598" s="5" t="n">
        <v>64.90000000000001</v>
      </c>
      <c r="J598" s="3" t="inlineStr">
        <is>
          <t>오송읍</t>
        </is>
      </c>
    </row>
    <row r="599">
      <c r="A599" s="3" t="n">
        <v>2022</v>
      </c>
      <c r="B599" s="4" t="n">
        <v>46400</v>
      </c>
      <c r="C599" s="4" t="n">
        <v>1927</v>
      </c>
      <c r="D599" s="3" t="inlineStr">
        <is>
          <t>오송읍</t>
        </is>
      </c>
      <c r="E599" s="3" t="inlineStr">
        <is>
          <t>호계리</t>
        </is>
      </c>
      <c r="F599" s="3" t="inlineStr">
        <is>
          <t>계획관리지역</t>
        </is>
      </c>
      <c r="G599" s="3" t="inlineStr">
        <is>
          <t>전</t>
        </is>
      </c>
      <c r="H599" s="4" t="n">
        <v>582.9175</v>
      </c>
      <c r="I599" s="5" t="n">
        <v>79.59999999999999</v>
      </c>
      <c r="J599" s="3" t="inlineStr">
        <is>
          <t>오송읍</t>
        </is>
      </c>
    </row>
    <row r="600">
      <c r="A600" s="3" t="n">
        <v>2022</v>
      </c>
      <c r="B600" s="4" t="n">
        <v>13800</v>
      </c>
      <c r="C600" s="4" t="n">
        <v>685</v>
      </c>
      <c r="D600" s="3" t="inlineStr">
        <is>
          <t>강내면</t>
        </is>
      </c>
      <c r="E600" s="3" t="inlineStr">
        <is>
          <t>태성리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207.2125</v>
      </c>
      <c r="I600" s="5" t="n">
        <v>66.59999999999999</v>
      </c>
      <c r="J600" s="3" t="inlineStr">
        <is>
          <t>강내면</t>
        </is>
      </c>
    </row>
    <row r="601">
      <c r="A601" s="3" t="n">
        <v>2022</v>
      </c>
      <c r="B601" s="4" t="n">
        <v>10100</v>
      </c>
      <c r="C601" s="4" t="n">
        <v>522</v>
      </c>
      <c r="D601" s="3" t="inlineStr">
        <is>
          <t>강내면</t>
        </is>
      </c>
      <c r="E601" s="3" t="inlineStr">
        <is>
          <t>산단리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157.905</v>
      </c>
      <c r="I601" s="5" t="n">
        <v>64</v>
      </c>
      <c r="J601" s="3" t="inlineStr">
        <is>
          <t>강내면</t>
        </is>
      </c>
    </row>
    <row r="602">
      <c r="A602" s="3" t="n">
        <v>2022</v>
      </c>
      <c r="B602" s="4" t="n">
        <v>67320</v>
      </c>
      <c r="C602" s="4" t="n">
        <v>1309</v>
      </c>
      <c r="D602" s="3" t="inlineStr">
        <is>
          <t>오송읍</t>
        </is>
      </c>
      <c r="E602" s="3" t="inlineStr">
        <is>
          <t>궁평리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395.9725</v>
      </c>
      <c r="I602" s="5" t="n">
        <v>170</v>
      </c>
      <c r="J602" s="3" t="inlineStr">
        <is>
          <t>오송읍</t>
        </is>
      </c>
    </row>
    <row r="603">
      <c r="A603" s="3" t="n">
        <v>2022</v>
      </c>
      <c r="B603" s="4" t="n">
        <v>40700</v>
      </c>
      <c r="C603" s="4" t="n">
        <v>1498</v>
      </c>
      <c r="D603" s="3" t="inlineStr">
        <is>
          <t>강내면</t>
        </is>
      </c>
      <c r="E603" s="3" t="inlineStr">
        <is>
          <t>태성리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453.145</v>
      </c>
      <c r="I603" s="5" t="n">
        <v>89.8</v>
      </c>
      <c r="J603" s="3" t="inlineStr">
        <is>
          <t>강내면</t>
        </is>
      </c>
    </row>
    <row r="604">
      <c r="A604" s="3" t="n">
        <v>2022</v>
      </c>
      <c r="B604" s="4" t="n">
        <v>1300</v>
      </c>
      <c r="C604" s="4" t="n">
        <v>49</v>
      </c>
      <c r="D604" s="3" t="inlineStr">
        <is>
          <t>강내면</t>
        </is>
      </c>
      <c r="E604" s="3" t="inlineStr">
        <is>
          <t>태성리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14.8225</v>
      </c>
      <c r="I604" s="5" t="n">
        <v>87.7</v>
      </c>
      <c r="J604" s="3" t="inlineStr">
        <is>
          <t>강내면</t>
        </is>
      </c>
    </row>
    <row r="605">
      <c r="A605" s="3" t="n">
        <v>2022</v>
      </c>
      <c r="B605" s="4" t="n">
        <v>52000</v>
      </c>
      <c r="C605" s="4" t="n">
        <v>1910</v>
      </c>
      <c r="D605" s="3" t="inlineStr">
        <is>
          <t>강내면</t>
        </is>
      </c>
      <c r="E605" s="3" t="inlineStr">
        <is>
          <t>다락리</t>
        </is>
      </c>
      <c r="F605" s="3" t="inlineStr">
        <is>
          <t>농림지역</t>
        </is>
      </c>
      <c r="G605" s="3" t="inlineStr">
        <is>
          <t>답</t>
        </is>
      </c>
      <c r="H605" s="4" t="n">
        <v>577.775</v>
      </c>
      <c r="I605" s="5" t="n">
        <v>90</v>
      </c>
      <c r="J605" s="3" t="inlineStr">
        <is>
          <t>강내면</t>
        </is>
      </c>
    </row>
    <row r="606">
      <c r="A606" s="3" t="n">
        <v>2022</v>
      </c>
      <c r="B606" s="4" t="n">
        <v>59800</v>
      </c>
      <c r="C606" s="4" t="n">
        <v>247.7</v>
      </c>
      <c r="D606" s="3" t="inlineStr">
        <is>
          <t>오송읍</t>
        </is>
      </c>
      <c r="E606" s="3" t="inlineStr">
        <is>
          <t>봉산리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74.92925</v>
      </c>
      <c r="I606" s="5" t="n">
        <v>798.1</v>
      </c>
      <c r="J606" s="3" t="inlineStr">
        <is>
          <t>오송읍</t>
        </is>
      </c>
    </row>
    <row r="607">
      <c r="A607" s="3" t="n">
        <v>2022</v>
      </c>
      <c r="B607" s="4" t="n">
        <v>46255</v>
      </c>
      <c r="C607" s="4" t="n">
        <v>2781</v>
      </c>
      <c r="D607" s="3" t="inlineStr">
        <is>
          <t>오송읍</t>
        </is>
      </c>
      <c r="E607" s="3" t="inlineStr">
        <is>
          <t>정중리</t>
        </is>
      </c>
      <c r="F607" s="3" t="inlineStr">
        <is>
          <t>농림지역</t>
        </is>
      </c>
      <c r="G607" s="3" t="inlineStr">
        <is>
          <t>답</t>
        </is>
      </c>
      <c r="H607" s="4" t="n">
        <v>841.2524999999999</v>
      </c>
      <c r="I607" s="5" t="n">
        <v>55</v>
      </c>
      <c r="J607" s="3" t="inlineStr">
        <is>
          <t>오송읍</t>
        </is>
      </c>
    </row>
    <row r="608">
      <c r="A608" s="3" t="n">
        <v>2022</v>
      </c>
      <c r="B608" s="4" t="n">
        <v>4345</v>
      </c>
      <c r="C608" s="4" t="n">
        <v>260</v>
      </c>
      <c r="D608" s="3" t="inlineStr">
        <is>
          <t>오송읍</t>
        </is>
      </c>
      <c r="E608" s="3" t="inlineStr">
        <is>
          <t>정중리</t>
        </is>
      </c>
      <c r="F608" s="3" t="inlineStr">
        <is>
          <t>농림지역</t>
        </is>
      </c>
      <c r="G608" s="3" t="inlineStr">
        <is>
          <t>답</t>
        </is>
      </c>
      <c r="H608" s="4" t="n">
        <v>78.64999999999999</v>
      </c>
      <c r="I608" s="5" t="n">
        <v>55.2</v>
      </c>
      <c r="J608" s="3" t="inlineStr">
        <is>
          <t>오송읍</t>
        </is>
      </c>
    </row>
    <row r="609">
      <c r="A609" s="3" t="n">
        <v>2022</v>
      </c>
      <c r="B609" s="4" t="n">
        <v>13400</v>
      </c>
      <c r="C609" s="4" t="n">
        <v>807</v>
      </c>
      <c r="D609" s="3" t="inlineStr">
        <is>
          <t>오송읍</t>
        </is>
      </c>
      <c r="E609" s="3" t="inlineStr">
        <is>
          <t>정중리</t>
        </is>
      </c>
      <c r="F609" s="3" t="inlineStr">
        <is>
          <t>농림지역</t>
        </is>
      </c>
      <c r="G609" s="3" t="inlineStr">
        <is>
          <t>답</t>
        </is>
      </c>
      <c r="H609" s="4" t="n">
        <v>244.1175</v>
      </c>
      <c r="I609" s="5" t="n">
        <v>54.9</v>
      </c>
      <c r="J609" s="3" t="inlineStr">
        <is>
          <t>오송읍</t>
        </is>
      </c>
    </row>
    <row r="610">
      <c r="A610" s="3" t="n">
        <v>2022</v>
      </c>
      <c r="B610" s="4" t="n">
        <v>8000</v>
      </c>
      <c r="C610" s="4" t="n">
        <v>447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135.2175</v>
      </c>
      <c r="I610" s="5" t="n">
        <v>59.2</v>
      </c>
      <c r="J610" s="3" t="inlineStr">
        <is>
          <t>강내면</t>
        </is>
      </c>
    </row>
    <row r="611">
      <c r="A611" s="3" t="n">
        <v>2022</v>
      </c>
      <c r="B611" s="4" t="n">
        <v>465</v>
      </c>
      <c r="C611" s="4" t="n">
        <v>25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계획관리지역</t>
        </is>
      </c>
      <c r="G611" s="3" t="inlineStr">
        <is>
          <t>전</t>
        </is>
      </c>
      <c r="H611" s="4" t="n">
        <v>7.5625</v>
      </c>
      <c r="I611" s="5" t="n">
        <v>61.5</v>
      </c>
      <c r="J611" s="3" t="inlineStr">
        <is>
          <t>강내면</t>
        </is>
      </c>
    </row>
    <row r="612">
      <c r="A612" s="3" t="n">
        <v>2022</v>
      </c>
      <c r="B612" s="4" t="n">
        <v>975</v>
      </c>
      <c r="C612" s="4" t="n">
        <v>56</v>
      </c>
      <c r="D612" s="3" t="inlineStr">
        <is>
          <t>강내면</t>
        </is>
      </c>
      <c r="E612" s="3" t="inlineStr">
        <is>
          <t>저산리</t>
        </is>
      </c>
      <c r="F612" s="3" t="inlineStr">
        <is>
          <t>계획관리지역</t>
        </is>
      </c>
      <c r="G612" s="3" t="inlineStr">
        <is>
          <t>도로</t>
        </is>
      </c>
      <c r="H612" s="4" t="n">
        <v>16.94</v>
      </c>
      <c r="I612" s="5" t="n">
        <v>57.6</v>
      </c>
      <c r="J612" s="3" t="inlineStr">
        <is>
          <t>강내면</t>
        </is>
      </c>
    </row>
    <row r="613">
      <c r="A613" s="3" t="n">
        <v>2022</v>
      </c>
      <c r="B613" s="4" t="n">
        <v>28000</v>
      </c>
      <c r="C613" s="4" t="n">
        <v>279.9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84.66974999999999</v>
      </c>
      <c r="I613" s="5" t="n">
        <v>330.7</v>
      </c>
      <c r="J613" s="3" t="inlineStr">
        <is>
          <t>오송읍</t>
        </is>
      </c>
    </row>
    <row r="614">
      <c r="A614" s="3" t="n">
        <v>2022</v>
      </c>
      <c r="B614" s="4" t="n">
        <v>58000</v>
      </c>
      <c r="C614" s="4" t="n">
        <v>4075</v>
      </c>
      <c r="D614" s="3" t="inlineStr">
        <is>
          <t>강내면</t>
        </is>
      </c>
      <c r="E614" s="3" t="inlineStr">
        <is>
          <t>궁현리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1232.6875</v>
      </c>
      <c r="I614" s="5" t="n">
        <v>47.1</v>
      </c>
      <c r="J614" s="3" t="inlineStr">
        <is>
          <t>강내면</t>
        </is>
      </c>
    </row>
    <row r="615">
      <c r="A615" s="3" t="n">
        <v>2022</v>
      </c>
      <c r="B615" s="4" t="n">
        <v>57860</v>
      </c>
      <c r="C615" s="4" t="n">
        <v>300</v>
      </c>
      <c r="D615" s="3" t="inlineStr">
        <is>
          <t>오송읍</t>
        </is>
      </c>
      <c r="E615" s="3" t="inlineStr">
        <is>
          <t>오송리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90.75</v>
      </c>
      <c r="I615" s="5" t="n">
        <v>637.6</v>
      </c>
      <c r="J615" s="3" t="inlineStr">
        <is>
          <t>오송읍</t>
        </is>
      </c>
    </row>
    <row r="616">
      <c r="A616" s="3" t="n">
        <v>2022</v>
      </c>
      <c r="B616" s="4" t="n">
        <v>15000</v>
      </c>
      <c r="C616" s="4" t="n">
        <v>180</v>
      </c>
      <c r="D616" s="3" t="inlineStr">
        <is>
          <t>오송읍</t>
        </is>
      </c>
      <c r="E616" s="3" t="inlineStr">
        <is>
          <t>오송리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54.45</v>
      </c>
      <c r="I616" s="5" t="n">
        <v>275.5</v>
      </c>
      <c r="J616" s="3" t="inlineStr">
        <is>
          <t>오송읍</t>
        </is>
      </c>
    </row>
    <row r="617">
      <c r="A617" s="3" t="n">
        <v>2022</v>
      </c>
      <c r="B617" s="4" t="n">
        <v>23660</v>
      </c>
      <c r="C617" s="4" t="n">
        <v>554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167.585</v>
      </c>
      <c r="I617" s="5" t="n">
        <v>141.2</v>
      </c>
      <c r="J617" s="3" t="inlineStr">
        <is>
          <t>강내면</t>
        </is>
      </c>
    </row>
    <row r="618">
      <c r="A618" s="3" t="n">
        <v>2023</v>
      </c>
      <c r="B618" s="4" t="n">
        <v>190000</v>
      </c>
      <c r="C618" s="4" t="n">
        <v>17005</v>
      </c>
      <c r="D618" s="3" t="inlineStr">
        <is>
          <t>강내면</t>
        </is>
      </c>
      <c r="E618" s="3" t="inlineStr">
        <is>
          <t>황탄리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5144.0125</v>
      </c>
      <c r="I618" s="5" t="n">
        <v>36.9</v>
      </c>
      <c r="J618" s="3" t="inlineStr">
        <is>
          <t>강내면</t>
        </is>
      </c>
    </row>
    <row r="619">
      <c r="A619" s="3" t="n">
        <v>2023</v>
      </c>
      <c r="B619" s="4" t="n">
        <v>154684</v>
      </c>
      <c r="C619" s="4" t="n">
        <v>6648.4</v>
      </c>
      <c r="D619" s="3" t="inlineStr">
        <is>
          <t>오송읍</t>
        </is>
      </c>
      <c r="E619" s="3" t="inlineStr">
        <is>
          <t>연제리</t>
        </is>
      </c>
      <c r="F619" s="3" t="inlineStr">
        <is>
          <t>준공업지역</t>
        </is>
      </c>
      <c r="G619" s="3" t="inlineStr">
        <is>
          <t>대</t>
        </is>
      </c>
      <c r="H619" s="4" t="n">
        <v>2011.141</v>
      </c>
      <c r="I619" s="5" t="n">
        <v>76.90000000000001</v>
      </c>
      <c r="J619" s="3" t="inlineStr">
        <is>
          <t>오송읍</t>
        </is>
      </c>
    </row>
    <row r="620">
      <c r="A620" s="3" t="n">
        <v>2023</v>
      </c>
      <c r="B620" s="4" t="n">
        <v>145000</v>
      </c>
      <c r="C620" s="4" t="n">
        <v>3577</v>
      </c>
      <c r="D620" s="3" t="inlineStr">
        <is>
          <t>강내면</t>
        </is>
      </c>
      <c r="E620" s="3" t="inlineStr">
        <is>
          <t>태성리</t>
        </is>
      </c>
      <c r="F620" s="3" t="inlineStr">
        <is>
          <t>계획관리지역</t>
        </is>
      </c>
      <c r="G620" s="3" t="inlineStr">
        <is>
          <t>답</t>
        </is>
      </c>
      <c r="H620" s="4" t="n">
        <v>1082.0425</v>
      </c>
      <c r="I620" s="5" t="n">
        <v>134</v>
      </c>
      <c r="J620" s="3" t="inlineStr">
        <is>
          <t>강내면</t>
        </is>
      </c>
    </row>
    <row r="621">
      <c r="A621" s="3" t="n">
        <v>2023</v>
      </c>
      <c r="B621" s="4" t="n">
        <v>190</v>
      </c>
      <c r="C621" s="4" t="n">
        <v>6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1.815</v>
      </c>
      <c r="I621" s="5" t="n">
        <v>104.7</v>
      </c>
      <c r="J621" s="3" t="inlineStr">
        <is>
          <t>강내면</t>
        </is>
      </c>
    </row>
    <row r="622">
      <c r="A622" s="3" t="n">
        <v>2023</v>
      </c>
      <c r="B622" s="4" t="n">
        <v>23702</v>
      </c>
      <c r="C622" s="4" t="n">
        <v>241</v>
      </c>
      <c r="D622" s="3" t="inlineStr">
        <is>
          <t>오송읍</t>
        </is>
      </c>
      <c r="E622" s="3" t="inlineStr">
        <is>
          <t>정중리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72.9025</v>
      </c>
      <c r="I622" s="5" t="n">
        <v>325.1</v>
      </c>
      <c r="J622" s="3" t="inlineStr">
        <is>
          <t>오송읍</t>
        </is>
      </c>
    </row>
    <row r="623">
      <c r="A623" s="3" t="n">
        <v>2023</v>
      </c>
      <c r="B623" s="4" t="n">
        <v>9535</v>
      </c>
      <c r="C623" s="4" t="n">
        <v>97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29.3425</v>
      </c>
      <c r="I623" s="5" t="n">
        <v>325</v>
      </c>
      <c r="J623" s="3" t="inlineStr">
        <is>
          <t>오송읍</t>
        </is>
      </c>
    </row>
    <row r="624">
      <c r="A624" s="3" t="n">
        <v>2022</v>
      </c>
      <c r="B624" s="4" t="n">
        <v>2400</v>
      </c>
      <c r="C624" s="4" t="n">
        <v>24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농림지역</t>
        </is>
      </c>
      <c r="G624" s="3" t="inlineStr">
        <is>
          <t>도로</t>
        </is>
      </c>
      <c r="H624" s="4" t="n">
        <v>7.26</v>
      </c>
      <c r="I624" s="5" t="n">
        <v>330.6</v>
      </c>
      <c r="J624" s="3" t="inlineStr">
        <is>
          <t>오송읍</t>
        </is>
      </c>
    </row>
    <row r="625">
      <c r="A625" s="3" t="n">
        <v>2022</v>
      </c>
      <c r="B625" s="4" t="n">
        <v>175000</v>
      </c>
      <c r="C625" s="4" t="n">
        <v>3421</v>
      </c>
      <c r="D625" s="3" t="inlineStr">
        <is>
          <t>오송읍</t>
        </is>
      </c>
      <c r="E625" s="3" t="inlineStr">
        <is>
          <t>궁평리</t>
        </is>
      </c>
      <c r="F625" s="3" t="inlineStr">
        <is>
          <t>준주거지역</t>
        </is>
      </c>
      <c r="G625" s="3" t="inlineStr">
        <is>
          <t>과수원</t>
        </is>
      </c>
      <c r="H625" s="4" t="n">
        <v>1034.8525</v>
      </c>
      <c r="I625" s="5" t="n">
        <v>169.1</v>
      </c>
      <c r="J625" s="3" t="inlineStr">
        <is>
          <t>오송읍</t>
        </is>
      </c>
    </row>
    <row r="626">
      <c r="A626" s="3" t="n">
        <v>2022</v>
      </c>
      <c r="B626" s="4" t="n">
        <v>22000</v>
      </c>
      <c r="C626" s="4" t="n">
        <v>233</v>
      </c>
      <c r="D626" s="3" t="inlineStr">
        <is>
          <t>오송읍</t>
        </is>
      </c>
      <c r="E626" s="3" t="inlineStr">
        <is>
          <t>봉산리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70.4825</v>
      </c>
      <c r="I626" s="5" t="n">
        <v>312.1</v>
      </c>
      <c r="J626" s="3" t="inlineStr">
        <is>
          <t>오송읍</t>
        </is>
      </c>
    </row>
    <row r="627">
      <c r="A627" s="3" t="n">
        <v>2022</v>
      </c>
      <c r="B627" s="4" t="n">
        <v>100</v>
      </c>
      <c r="C627" s="4" t="n">
        <v>16</v>
      </c>
      <c r="D627" s="3" t="inlineStr">
        <is>
          <t>오송읍</t>
        </is>
      </c>
      <c r="E627" s="3" t="inlineStr">
        <is>
          <t>오송리</t>
        </is>
      </c>
      <c r="F627" s="3" t="inlineStr">
        <is>
          <t>계획관리지역</t>
        </is>
      </c>
      <c r="G627" s="3" t="inlineStr">
        <is>
          <t>답</t>
        </is>
      </c>
      <c r="H627" s="4" t="n">
        <v>4.84</v>
      </c>
      <c r="I627" s="5" t="n">
        <v>20.7</v>
      </c>
      <c r="J627" s="3" t="inlineStr">
        <is>
          <t>오송읍</t>
        </is>
      </c>
    </row>
    <row r="628">
      <c r="A628" s="3" t="n">
        <v>2022</v>
      </c>
      <c r="B628" s="4" t="n">
        <v>30000</v>
      </c>
      <c r="C628" s="4" t="n">
        <v>257</v>
      </c>
      <c r="D628" s="3" t="inlineStr">
        <is>
          <t>오송읍</t>
        </is>
      </c>
      <c r="E628" s="3" t="inlineStr">
        <is>
          <t>봉산리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77.74249999999999</v>
      </c>
      <c r="I628" s="5" t="n">
        <v>385.9</v>
      </c>
      <c r="J628" s="3" t="inlineStr">
        <is>
          <t>오송읍</t>
        </is>
      </c>
    </row>
    <row r="629">
      <c r="A629" s="3" t="n">
        <v>2022</v>
      </c>
      <c r="B629" s="4" t="n">
        <v>46000</v>
      </c>
      <c r="C629" s="4" t="n">
        <v>287</v>
      </c>
      <c r="D629" s="3" t="inlineStr">
        <is>
          <t>오송읍</t>
        </is>
      </c>
      <c r="E629" s="3" t="inlineStr">
        <is>
          <t>봉산리</t>
        </is>
      </c>
      <c r="F629" s="3" t="inlineStr">
        <is>
          <t>제1종일반주거지역</t>
        </is>
      </c>
      <c r="G629" s="3" t="inlineStr">
        <is>
          <t>대</t>
        </is>
      </c>
      <c r="H629" s="4" t="n">
        <v>86.8175</v>
      </c>
      <c r="I629" s="5" t="n">
        <v>529.8</v>
      </c>
      <c r="J629" s="3" t="inlineStr">
        <is>
          <t>오송읍</t>
        </is>
      </c>
    </row>
    <row r="630">
      <c r="A630" s="3" t="n">
        <v>2022</v>
      </c>
      <c r="B630" s="4" t="n">
        <v>3300</v>
      </c>
      <c r="C630" s="4" t="n">
        <v>360</v>
      </c>
      <c r="D630" s="3" t="inlineStr">
        <is>
          <t>오송읍</t>
        </is>
      </c>
      <c r="E630" s="3" t="inlineStr">
        <is>
          <t>상봉리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108.9</v>
      </c>
      <c r="I630" s="5" t="n">
        <v>30.3</v>
      </c>
      <c r="J630" s="3" t="inlineStr">
        <is>
          <t>오송읍</t>
        </is>
      </c>
    </row>
    <row r="631">
      <c r="A631" s="3" t="n">
        <v>2022</v>
      </c>
      <c r="B631" s="4" t="n">
        <v>17500</v>
      </c>
      <c r="C631" s="4" t="n">
        <v>1078</v>
      </c>
      <c r="D631" s="3" t="inlineStr">
        <is>
          <t>강내면</t>
        </is>
      </c>
      <c r="E631" s="3" t="inlineStr">
        <is>
          <t>탑연리</t>
        </is>
      </c>
      <c r="F631" s="3" t="inlineStr">
        <is>
          <t>자연녹지지역</t>
        </is>
      </c>
      <c r="G631" s="3" t="inlineStr">
        <is>
          <t>임야</t>
        </is>
      </c>
      <c r="H631" s="4" t="n">
        <v>326.095</v>
      </c>
      <c r="I631" s="5" t="n">
        <v>53.7</v>
      </c>
      <c r="J631" s="3" t="inlineStr">
        <is>
          <t>강내면</t>
        </is>
      </c>
    </row>
    <row r="632">
      <c r="A632" s="3" t="n">
        <v>2022</v>
      </c>
      <c r="B632" s="4" t="n">
        <v>4400</v>
      </c>
      <c r="C632" s="4" t="n">
        <v>150</v>
      </c>
      <c r="D632" s="3" t="inlineStr">
        <is>
          <t>오송읍</t>
        </is>
      </c>
      <c r="E632" s="3" t="inlineStr">
        <is>
          <t>정중리</t>
        </is>
      </c>
      <c r="F632" s="3" t="inlineStr">
        <is>
          <t>보전관리지역</t>
        </is>
      </c>
      <c r="G632" s="3" t="inlineStr">
        <is>
          <t>임야</t>
        </is>
      </c>
      <c r="H632" s="4" t="n">
        <v>45.375</v>
      </c>
      <c r="I632" s="5" t="n">
        <v>97</v>
      </c>
      <c r="J632" s="3" t="inlineStr">
        <is>
          <t>오송읍</t>
        </is>
      </c>
    </row>
    <row r="633">
      <c r="A633" s="3" t="n">
        <v>2022</v>
      </c>
      <c r="B633" s="4" t="n">
        <v>4400</v>
      </c>
      <c r="C633" s="4" t="n">
        <v>150</v>
      </c>
      <c r="D633" s="3" t="inlineStr">
        <is>
          <t>오송읍</t>
        </is>
      </c>
      <c r="E633" s="3" t="inlineStr">
        <is>
          <t>정중리</t>
        </is>
      </c>
      <c r="F633" s="3" t="inlineStr">
        <is>
          <t>보전관리지역</t>
        </is>
      </c>
      <c r="G633" s="3" t="inlineStr">
        <is>
          <t>임야</t>
        </is>
      </c>
      <c r="H633" s="4" t="n">
        <v>45.375</v>
      </c>
      <c r="I633" s="5" t="n">
        <v>97</v>
      </c>
      <c r="J633" s="3" t="inlineStr">
        <is>
          <t>오송읍</t>
        </is>
      </c>
    </row>
    <row r="634">
      <c r="A634" s="3" t="n">
        <v>2022</v>
      </c>
      <c r="B634" s="4" t="n">
        <v>900</v>
      </c>
      <c r="C634" s="4" t="n">
        <v>9</v>
      </c>
      <c r="D634" s="3" t="inlineStr">
        <is>
          <t>오송읍</t>
        </is>
      </c>
      <c r="E634" s="3" t="inlineStr">
        <is>
          <t>오송리</t>
        </is>
      </c>
      <c r="F634" s="3" t="inlineStr">
        <is>
          <t>계획관리지역</t>
        </is>
      </c>
      <c r="G634" s="3" t="inlineStr">
        <is>
          <t>대</t>
        </is>
      </c>
      <c r="H634" s="4" t="n">
        <v>2.7225</v>
      </c>
      <c r="I634" s="5" t="n">
        <v>330.6</v>
      </c>
      <c r="J634" s="3" t="inlineStr">
        <is>
          <t>오송읍</t>
        </is>
      </c>
    </row>
    <row r="635">
      <c r="A635" s="3" t="n">
        <v>2022</v>
      </c>
      <c r="B635" s="4" t="n">
        <v>6537</v>
      </c>
      <c r="C635" s="4" t="n">
        <v>554</v>
      </c>
      <c r="D635" s="3" t="inlineStr">
        <is>
          <t>오송읍</t>
        </is>
      </c>
      <c r="E635" s="3" t="inlineStr">
        <is>
          <t>공북리</t>
        </is>
      </c>
      <c r="F635" s="3" t="inlineStr">
        <is>
          <t>농림지역</t>
        </is>
      </c>
      <c r="G635" s="3" t="inlineStr">
        <is>
          <t>전</t>
        </is>
      </c>
      <c r="H635" s="4" t="n">
        <v>167.585</v>
      </c>
      <c r="I635" s="5" t="n">
        <v>39</v>
      </c>
      <c r="J635" s="3" t="inlineStr">
        <is>
          <t>오송읍</t>
        </is>
      </c>
    </row>
    <row r="636">
      <c r="A636" s="3" t="n">
        <v>2022</v>
      </c>
      <c r="B636" s="4" t="n">
        <v>11600</v>
      </c>
      <c r="C636" s="4" t="n">
        <v>1283</v>
      </c>
      <c r="D636" s="3" t="inlineStr">
        <is>
          <t>오송읍</t>
        </is>
      </c>
      <c r="E636" s="3" t="inlineStr">
        <is>
          <t>쌍청리</t>
        </is>
      </c>
      <c r="F636" s="3" t="inlineStr">
        <is>
          <t>농림지역</t>
        </is>
      </c>
      <c r="G636" s="3" t="inlineStr">
        <is>
          <t>전</t>
        </is>
      </c>
      <c r="H636" s="4" t="n">
        <v>388.1075</v>
      </c>
      <c r="I636" s="5" t="n">
        <v>29.9</v>
      </c>
      <c r="J636" s="3" t="inlineStr">
        <is>
          <t>오송읍</t>
        </is>
      </c>
    </row>
    <row r="637">
      <c r="A637" s="3" t="n">
        <v>2022</v>
      </c>
      <c r="B637" s="4" t="n">
        <v>8000</v>
      </c>
      <c r="C637" s="4" t="n">
        <v>361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109.2025</v>
      </c>
      <c r="I637" s="5" t="n">
        <v>73.3</v>
      </c>
      <c r="J637" s="3" t="inlineStr">
        <is>
          <t>강내면</t>
        </is>
      </c>
    </row>
    <row r="638">
      <c r="A638" s="3" t="n">
        <v>2022</v>
      </c>
      <c r="B638" s="4" t="n">
        <v>6000</v>
      </c>
      <c r="C638" s="4" t="n">
        <v>481</v>
      </c>
      <c r="D638" s="3" t="inlineStr">
        <is>
          <t>강내면</t>
        </is>
      </c>
      <c r="E638" s="3" t="inlineStr">
        <is>
          <t>태성리</t>
        </is>
      </c>
      <c r="F638" s="3" t="inlineStr">
        <is>
          <t>농림지역</t>
        </is>
      </c>
      <c r="G638" s="3" t="inlineStr">
        <is>
          <t>답</t>
        </is>
      </c>
      <c r="H638" s="4" t="n">
        <v>145.5025</v>
      </c>
      <c r="I638" s="5" t="n">
        <v>41.2</v>
      </c>
      <c r="J638" s="3" t="inlineStr">
        <is>
          <t>강내면</t>
        </is>
      </c>
    </row>
    <row r="639">
      <c r="A639" s="3" t="n">
        <v>2022</v>
      </c>
      <c r="B639" s="4" t="n">
        <v>4360</v>
      </c>
      <c r="C639" s="4" t="n">
        <v>347</v>
      </c>
      <c r="D639" s="3" t="inlineStr">
        <is>
          <t>강내면</t>
        </is>
      </c>
      <c r="E639" s="3" t="inlineStr">
        <is>
          <t>태성리</t>
        </is>
      </c>
      <c r="F639" s="3" t="inlineStr">
        <is>
          <t>계획관리지역</t>
        </is>
      </c>
      <c r="G639" s="3" t="inlineStr">
        <is>
          <t>전</t>
        </is>
      </c>
      <c r="H639" s="4" t="n">
        <v>104.9675</v>
      </c>
      <c r="I639" s="5" t="n">
        <v>41.5</v>
      </c>
      <c r="J639" s="3" t="inlineStr">
        <is>
          <t>강내면</t>
        </is>
      </c>
    </row>
    <row r="640">
      <c r="A640" s="3" t="n">
        <v>2022</v>
      </c>
      <c r="B640" s="4" t="n">
        <v>177308</v>
      </c>
      <c r="C640" s="4" t="n">
        <v>5044.4</v>
      </c>
      <c r="D640" s="3" t="inlineStr">
        <is>
          <t>오송읍</t>
        </is>
      </c>
      <c r="E640" s="3" t="inlineStr">
        <is>
          <t>정중리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1525.931</v>
      </c>
      <c r="I640" s="5" t="n">
        <v>116.2</v>
      </c>
      <c r="J640" s="3" t="inlineStr">
        <is>
          <t>오송읍</t>
        </is>
      </c>
    </row>
    <row r="641">
      <c r="A641" s="3" t="n">
        <v>2022</v>
      </c>
      <c r="B641" s="4" t="n">
        <v>77102</v>
      </c>
      <c r="C641" s="4" t="n">
        <v>4288.1</v>
      </c>
      <c r="D641" s="3" t="inlineStr">
        <is>
          <t>오송읍</t>
        </is>
      </c>
      <c r="E641" s="3" t="inlineStr">
        <is>
          <t>연제리</t>
        </is>
      </c>
      <c r="F641" s="3" t="inlineStr">
        <is>
          <t>준공업지역</t>
        </is>
      </c>
      <c r="G641" s="3" t="inlineStr">
        <is>
          <t>대</t>
        </is>
      </c>
      <c r="H641" s="4" t="n">
        <v>1297.15025</v>
      </c>
      <c r="I641" s="5" t="n">
        <v>59.4</v>
      </c>
      <c r="J641" s="3" t="inlineStr">
        <is>
          <t>오송읍</t>
        </is>
      </c>
    </row>
    <row r="642">
      <c r="A642" s="3" t="n">
        <v>2022</v>
      </c>
      <c r="B642" s="4" t="n">
        <v>77210</v>
      </c>
      <c r="C642" s="4" t="n">
        <v>4294.1</v>
      </c>
      <c r="D642" s="3" t="inlineStr">
        <is>
          <t>오송읍</t>
        </is>
      </c>
      <c r="E642" s="3" t="inlineStr">
        <is>
          <t>연제리</t>
        </is>
      </c>
      <c r="F642" s="3" t="inlineStr">
        <is>
          <t>준공업지역</t>
        </is>
      </c>
      <c r="G642" s="3" t="inlineStr">
        <is>
          <t>대</t>
        </is>
      </c>
      <c r="H642" s="4" t="n">
        <v>1298.96525</v>
      </c>
      <c r="I642" s="5" t="n">
        <v>59.4</v>
      </c>
      <c r="J642" s="3" t="inlineStr">
        <is>
          <t>오송읍</t>
        </is>
      </c>
    </row>
    <row r="643">
      <c r="A643" s="3" t="n">
        <v>2023</v>
      </c>
      <c r="B643" s="4" t="n">
        <v>25200</v>
      </c>
      <c r="C643" s="4" t="n">
        <v>704</v>
      </c>
      <c r="D643" s="3" t="inlineStr">
        <is>
          <t>강내면</t>
        </is>
      </c>
      <c r="E643" s="3" t="inlineStr">
        <is>
          <t>연정리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212.96</v>
      </c>
      <c r="I643" s="5" t="n">
        <v>118.3</v>
      </c>
      <c r="J643" s="3" t="inlineStr">
        <is>
          <t>강내면</t>
        </is>
      </c>
    </row>
    <row r="644">
      <c r="A644" s="3" t="n">
        <v>2022</v>
      </c>
      <c r="B644" s="4" t="n">
        <v>17800</v>
      </c>
      <c r="C644" s="4" t="n">
        <v>492</v>
      </c>
      <c r="D644" s="3" t="inlineStr">
        <is>
          <t>강내면</t>
        </is>
      </c>
      <c r="E644" s="3" t="inlineStr">
        <is>
          <t>사곡리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148.83</v>
      </c>
      <c r="I644" s="5" t="n">
        <v>119.6</v>
      </c>
      <c r="J644" s="3" t="inlineStr">
        <is>
          <t>강내면</t>
        </is>
      </c>
    </row>
    <row r="645">
      <c r="A645" s="3" t="n">
        <v>2022</v>
      </c>
      <c r="B645" s="4" t="n">
        <v>115000</v>
      </c>
      <c r="C645" s="4" t="n">
        <v>2757</v>
      </c>
      <c r="D645" s="3" t="inlineStr">
        <is>
          <t>강내면</t>
        </is>
      </c>
      <c r="E645" s="3" t="inlineStr">
        <is>
          <t>탑연리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833.9924999999999</v>
      </c>
      <c r="I645" s="5" t="n">
        <v>137.9</v>
      </c>
      <c r="J645" s="3" t="inlineStr">
        <is>
          <t>강내면</t>
        </is>
      </c>
    </row>
    <row r="646">
      <c r="A646" s="3" t="n">
        <v>2022</v>
      </c>
      <c r="B646" s="4" t="n">
        <v>33500</v>
      </c>
      <c r="C646" s="4" t="n">
        <v>267.7</v>
      </c>
      <c r="D646" s="3" t="inlineStr">
        <is>
          <t>오송읍</t>
        </is>
      </c>
      <c r="E646" s="3" t="inlineStr">
        <is>
          <t>봉산리</t>
        </is>
      </c>
      <c r="F646" s="3" t="inlineStr">
        <is>
          <t>제1종일반주거지역</t>
        </is>
      </c>
      <c r="G646" s="3" t="inlineStr">
        <is>
          <t>대</t>
        </is>
      </c>
      <c r="H646" s="4" t="n">
        <v>80.97924999999999</v>
      </c>
      <c r="I646" s="5" t="n">
        <v>413.7</v>
      </c>
      <c r="J646" s="3" t="inlineStr">
        <is>
          <t>오송읍</t>
        </is>
      </c>
    </row>
    <row r="647">
      <c r="A647" s="3" t="n">
        <v>2022</v>
      </c>
      <c r="B647" s="4" t="n">
        <v>100000</v>
      </c>
      <c r="C647" s="4" t="n">
        <v>6427</v>
      </c>
      <c r="D647" s="3" t="inlineStr">
        <is>
          <t>강내면</t>
        </is>
      </c>
      <c r="E647" s="3" t="inlineStr">
        <is>
          <t>저산리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1944.1675</v>
      </c>
      <c r="I647" s="5" t="n">
        <v>51.4</v>
      </c>
      <c r="J647" s="3" t="inlineStr">
        <is>
          <t>강내면</t>
        </is>
      </c>
    </row>
    <row r="648">
      <c r="A648" s="3" t="n">
        <v>2022</v>
      </c>
      <c r="B648" s="4" t="n">
        <v>37000</v>
      </c>
      <c r="C648" s="4" t="n">
        <v>1230</v>
      </c>
      <c r="D648" s="3" t="inlineStr">
        <is>
          <t>오송읍</t>
        </is>
      </c>
      <c r="E648" s="3" t="inlineStr">
        <is>
          <t>공북리</t>
        </is>
      </c>
      <c r="F648" s="3" t="inlineStr">
        <is>
          <t>농림지역</t>
        </is>
      </c>
      <c r="G648" s="3" t="inlineStr">
        <is>
          <t>전</t>
        </is>
      </c>
      <c r="H648" s="4" t="n">
        <v>372.075</v>
      </c>
      <c r="I648" s="5" t="n">
        <v>99.40000000000001</v>
      </c>
      <c r="J648" s="3" t="inlineStr">
        <is>
          <t>오송읍</t>
        </is>
      </c>
    </row>
    <row r="649">
      <c r="A649" s="3" t="n">
        <v>2022</v>
      </c>
      <c r="B649" s="4" t="n">
        <v>37000</v>
      </c>
      <c r="C649" s="4" t="n">
        <v>1121</v>
      </c>
      <c r="D649" s="3" t="inlineStr">
        <is>
          <t>강내면</t>
        </is>
      </c>
      <c r="E649" s="3" t="inlineStr">
        <is>
          <t>월곡리</t>
        </is>
      </c>
      <c r="F649" s="3" t="inlineStr">
        <is>
          <t>제2종일반주거지역</t>
        </is>
      </c>
      <c r="G649" s="3" t="inlineStr">
        <is>
          <t>전</t>
        </is>
      </c>
      <c r="H649" s="4" t="n">
        <v>339.1025</v>
      </c>
      <c r="I649" s="5" t="n">
        <v>109.1</v>
      </c>
      <c r="J649" s="3" t="inlineStr">
        <is>
          <t>강내면</t>
        </is>
      </c>
    </row>
    <row r="650">
      <c r="A650" s="3" t="n">
        <v>2022</v>
      </c>
      <c r="B650" s="4" t="n">
        <v>35000</v>
      </c>
      <c r="C650" s="4" t="n">
        <v>260</v>
      </c>
      <c r="D650" s="3" t="inlineStr">
        <is>
          <t>오송읍</t>
        </is>
      </c>
      <c r="E650" s="3" t="inlineStr">
        <is>
          <t>봉산리</t>
        </is>
      </c>
      <c r="F650" s="3" t="inlineStr">
        <is>
          <t>제1종일반주거지역</t>
        </is>
      </c>
      <c r="G650" s="3" t="inlineStr">
        <is>
          <t>대</t>
        </is>
      </c>
      <c r="H650" s="4" t="n">
        <v>78.64999999999999</v>
      </c>
      <c r="I650" s="5" t="n">
        <v>445</v>
      </c>
      <c r="J650" s="3" t="inlineStr">
        <is>
          <t>오송읍</t>
        </is>
      </c>
    </row>
    <row r="651">
      <c r="A651" s="3" t="n">
        <v>2022</v>
      </c>
      <c r="B651" s="4" t="n">
        <v>4800</v>
      </c>
      <c r="C651" s="4" t="n">
        <v>932</v>
      </c>
      <c r="D651" s="3" t="inlineStr">
        <is>
          <t>강내면</t>
        </is>
      </c>
      <c r="E651" s="3" t="inlineStr">
        <is>
          <t>당곡리</t>
        </is>
      </c>
      <c r="F651" s="3" t="inlineStr">
        <is>
          <t>생산관리지역</t>
        </is>
      </c>
      <c r="G651" s="3" t="inlineStr">
        <is>
          <t>전</t>
        </is>
      </c>
      <c r="H651" s="4" t="n">
        <v>281.93</v>
      </c>
      <c r="I651" s="5" t="n">
        <v>17</v>
      </c>
      <c r="J651" s="3" t="inlineStr">
        <is>
          <t>강내면</t>
        </is>
      </c>
    </row>
    <row r="652">
      <c r="A652" s="3" t="n">
        <v>2022</v>
      </c>
      <c r="B652" s="4" t="n">
        <v>900</v>
      </c>
      <c r="C652" s="4" t="n">
        <v>307</v>
      </c>
      <c r="D652" s="3" t="inlineStr">
        <is>
          <t>강내면</t>
        </is>
      </c>
      <c r="E652" s="3" t="inlineStr">
        <is>
          <t>산단리</t>
        </is>
      </c>
      <c r="F652" s="3" t="inlineStr">
        <is>
          <t>계획관리지역</t>
        </is>
      </c>
      <c r="G652" s="3" t="inlineStr">
        <is>
          <t>도로</t>
        </is>
      </c>
      <c r="H652" s="4" t="n">
        <v>92.86749999999999</v>
      </c>
      <c r="I652" s="5" t="n">
        <v>9.699999999999999</v>
      </c>
      <c r="J652" s="3" t="inlineStr">
        <is>
          <t>강내면</t>
        </is>
      </c>
    </row>
    <row r="653">
      <c r="A653" s="3" t="n">
        <v>2022</v>
      </c>
      <c r="B653" s="4" t="n">
        <v>30000</v>
      </c>
      <c r="C653" s="4" t="n">
        <v>265.1</v>
      </c>
      <c r="D653" s="3" t="inlineStr">
        <is>
          <t>오송읍</t>
        </is>
      </c>
      <c r="E653" s="3" t="inlineStr">
        <is>
          <t>봉산리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80.19275</v>
      </c>
      <c r="I653" s="5" t="n">
        <v>374.1</v>
      </c>
      <c r="J653" s="3" t="inlineStr">
        <is>
          <t>오송읍</t>
        </is>
      </c>
    </row>
    <row r="654">
      <c r="A654" s="3" t="n">
        <v>2026</v>
      </c>
      <c r="B654" s="4" t="n">
        <v>10800</v>
      </c>
      <c r="C654" s="4" t="n">
        <v>446</v>
      </c>
      <c r="D654" s="3" t="inlineStr">
        <is>
          <t>조치원읍</t>
        </is>
      </c>
      <c r="E654" s="3" t="inlineStr">
        <is>
          <t>신안리</t>
        </is>
      </c>
      <c r="F654" s="3" t="inlineStr">
        <is>
          <t>보전녹지지역</t>
        </is>
      </c>
      <c r="G654" s="3" t="inlineStr">
        <is>
          <t>임야</t>
        </is>
      </c>
      <c r="H654" s="4" t="n">
        <v>134.915</v>
      </c>
      <c r="I654" s="5" t="n">
        <v>80.09999999999999</v>
      </c>
      <c r="J654" s="3" t="inlineStr">
        <is>
          <t>조치원읍</t>
        </is>
      </c>
    </row>
    <row r="655">
      <c r="A655" s="3" t="n">
        <v>2023</v>
      </c>
      <c r="B655" s="4" t="n">
        <v>20400</v>
      </c>
      <c r="C655" s="4" t="n">
        <v>550</v>
      </c>
      <c r="D655" s="3" t="inlineStr">
        <is>
          <t>강내면</t>
        </is>
      </c>
      <c r="E655" s="3" t="inlineStr">
        <is>
          <t>연정리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166.375</v>
      </c>
      <c r="I655" s="5" t="n">
        <v>122.6</v>
      </c>
      <c r="J655" s="3" t="inlineStr">
        <is>
          <t>강내면</t>
        </is>
      </c>
    </row>
    <row r="656">
      <c r="A656" s="3" t="n">
        <v>2025</v>
      </c>
      <c r="B656" s="4" t="n">
        <v>20000</v>
      </c>
      <c r="C656" s="4" t="n">
        <v>458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생산관리지역</t>
        </is>
      </c>
      <c r="G656" s="3" t="inlineStr">
        <is>
          <t>대</t>
        </is>
      </c>
      <c r="H656" s="4" t="n">
        <v>138.545</v>
      </c>
      <c r="I656" s="5" t="n">
        <v>144.4</v>
      </c>
      <c r="J656" s="3" t="inlineStr">
        <is>
          <t>연서면</t>
        </is>
      </c>
    </row>
    <row r="657">
      <c r="A657" s="3" t="n">
        <v>2025</v>
      </c>
      <c r="B657" s="4" t="n">
        <v>9000</v>
      </c>
      <c r="C657" s="4" t="n">
        <v>204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생산관리지역</t>
        </is>
      </c>
      <c r="G657" s="3" t="inlineStr">
        <is>
          <t>대</t>
        </is>
      </c>
      <c r="H657" s="4" t="n">
        <v>61.71</v>
      </c>
      <c r="I657" s="5" t="n">
        <v>145.8</v>
      </c>
      <c r="J657" s="3" t="inlineStr">
        <is>
          <t>연서면</t>
        </is>
      </c>
    </row>
    <row r="658">
      <c r="A658" s="3" t="n">
        <v>2025</v>
      </c>
      <c r="B658" s="4" t="n">
        <v>6450</v>
      </c>
      <c r="C658" s="4" t="n">
        <v>496</v>
      </c>
      <c r="D658" s="3" t="inlineStr">
        <is>
          <t>부강면</t>
        </is>
      </c>
      <c r="E658" s="3" t="inlineStr">
        <is>
          <t>갈산리</t>
        </is>
      </c>
      <c r="F658" s="3" t="inlineStr">
        <is>
          <t>계획관리지역</t>
        </is>
      </c>
      <c r="G658" s="3" t="inlineStr">
        <is>
          <t>임야</t>
        </is>
      </c>
      <c r="H658" s="4" t="n">
        <v>150.04</v>
      </c>
      <c r="I658" s="5" t="n">
        <v>43</v>
      </c>
      <c r="J658" s="3" t="inlineStr">
        <is>
          <t>부강면</t>
        </is>
      </c>
    </row>
    <row r="659">
      <c r="A659" s="3" t="n">
        <v>2025</v>
      </c>
      <c r="B659" s="4" t="n">
        <v>800</v>
      </c>
      <c r="C659" s="4" t="n">
        <v>38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도로</t>
        </is>
      </c>
      <c r="H659" s="4" t="n">
        <v>11.495</v>
      </c>
      <c r="I659" s="5" t="n">
        <v>69.59999999999999</v>
      </c>
      <c r="J659" s="3" t="inlineStr">
        <is>
          <t>부강면</t>
        </is>
      </c>
    </row>
    <row r="660">
      <c r="A660" s="3" t="n">
        <v>2025</v>
      </c>
      <c r="B660" s="4" t="n">
        <v>43000</v>
      </c>
      <c r="C660" s="4" t="n">
        <v>2062.4</v>
      </c>
      <c r="D660" s="3" t="inlineStr">
        <is>
          <t>연서면</t>
        </is>
      </c>
      <c r="E660" s="3" t="inlineStr">
        <is>
          <t>쌍전리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623.876</v>
      </c>
      <c r="I660" s="5" t="n">
        <v>68.90000000000001</v>
      </c>
      <c r="J660" s="3" t="inlineStr">
        <is>
          <t>연서면</t>
        </is>
      </c>
    </row>
    <row r="661">
      <c r="A661" s="3" t="n">
        <v>2025</v>
      </c>
      <c r="B661" s="4" t="n">
        <v>4500</v>
      </c>
      <c r="C661" s="4" t="n">
        <v>439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132.7975</v>
      </c>
      <c r="I661" s="5" t="n">
        <v>33.9</v>
      </c>
      <c r="J661" s="3" t="inlineStr">
        <is>
          <t>연동면</t>
        </is>
      </c>
    </row>
    <row r="662">
      <c r="A662" s="3" t="n">
        <v>2025</v>
      </c>
      <c r="B662" s="4" t="n">
        <v>82000</v>
      </c>
      <c r="C662" s="4" t="n">
        <v>1355</v>
      </c>
      <c r="D662" s="3" t="inlineStr">
        <is>
          <t>연서면</t>
        </is>
      </c>
      <c r="E662" s="3" t="inlineStr">
        <is>
          <t>쌍전리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409.8875</v>
      </c>
      <c r="I662" s="5" t="n">
        <v>200.1</v>
      </c>
      <c r="J662" s="3" t="inlineStr">
        <is>
          <t>연서면</t>
        </is>
      </c>
    </row>
    <row r="663">
      <c r="A663" s="3" t="n">
        <v>2025</v>
      </c>
      <c r="B663" s="4" t="n">
        <v>26000</v>
      </c>
      <c r="C663" s="4" t="n">
        <v>160.5</v>
      </c>
      <c r="D663" s="3" t="inlineStr">
        <is>
          <t>조치원읍</t>
        </is>
      </c>
      <c r="E663" s="3" t="inlineStr">
        <is>
          <t>침산리</t>
        </is>
      </c>
      <c r="F663" s="3" t="inlineStr">
        <is>
          <t>제2종일반주거지역</t>
        </is>
      </c>
      <c r="G663" s="3" t="inlineStr">
        <is>
          <t>대</t>
        </is>
      </c>
      <c r="H663" s="4" t="n">
        <v>48.55125</v>
      </c>
      <c r="I663" s="5" t="n">
        <v>535.5</v>
      </c>
      <c r="J663" s="3" t="inlineStr">
        <is>
          <t>조치원읍</t>
        </is>
      </c>
    </row>
    <row r="664">
      <c r="A664" s="3" t="n">
        <v>2025</v>
      </c>
      <c r="B664" s="4" t="n">
        <v>10500</v>
      </c>
      <c r="C664" s="4" t="n">
        <v>662</v>
      </c>
      <c r="D664" s="3" t="inlineStr">
        <is>
          <t>조치원읍</t>
        </is>
      </c>
      <c r="E664" s="3" t="inlineStr">
        <is>
          <t>번암리</t>
        </is>
      </c>
      <c r="F664" s="3" t="inlineStr">
        <is>
          <t>보전녹지지역</t>
        </is>
      </c>
      <c r="G664" s="3" t="inlineStr">
        <is>
          <t>전</t>
        </is>
      </c>
      <c r="H664" s="4" t="n">
        <v>200.255</v>
      </c>
      <c r="I664" s="5" t="n">
        <v>52.4</v>
      </c>
      <c r="J664" s="3" t="inlineStr">
        <is>
          <t>조치원읍</t>
        </is>
      </c>
    </row>
    <row r="665">
      <c r="A665" s="3" t="n">
        <v>2025</v>
      </c>
      <c r="B665" s="4" t="n">
        <v>60500</v>
      </c>
      <c r="C665" s="4" t="n">
        <v>2305</v>
      </c>
      <c r="D665" s="3" t="inlineStr">
        <is>
          <t>부강면</t>
        </is>
      </c>
      <c r="E665" s="3" t="inlineStr">
        <is>
          <t>갈산리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697.2624999999999</v>
      </c>
      <c r="I665" s="5" t="n">
        <v>86.8</v>
      </c>
      <c r="J665" s="3" t="inlineStr">
        <is>
          <t>부강면</t>
        </is>
      </c>
    </row>
    <row r="666">
      <c r="A666" s="3" t="n">
        <v>2025</v>
      </c>
      <c r="B666" s="4" t="n">
        <v>60000</v>
      </c>
      <c r="C666" s="4" t="n">
        <v>328.2</v>
      </c>
      <c r="D666" s="3" t="inlineStr">
        <is>
          <t>해밀동</t>
        </is>
      </c>
      <c r="E666" s="3" t="inlineStr"/>
      <c r="F666" s="3" t="inlineStr">
        <is>
          <t>제2종전용주거지역</t>
        </is>
      </c>
      <c r="G666" s="3" t="inlineStr">
        <is>
          <t>대</t>
        </is>
      </c>
      <c r="H666" s="4" t="n">
        <v>99.28049999999999</v>
      </c>
      <c r="I666" s="5" t="n">
        <v>604.3</v>
      </c>
      <c r="J666" s="3" t="inlineStr">
        <is>
          <t>해밀동</t>
        </is>
      </c>
    </row>
    <row r="667">
      <c r="A667" s="3" t="n">
        <v>2025</v>
      </c>
      <c r="B667" s="4" t="n">
        <v>10000</v>
      </c>
      <c r="C667" s="4" t="n">
        <v>2764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답</t>
        </is>
      </c>
      <c r="H667" s="4" t="n">
        <v>836.11</v>
      </c>
      <c r="I667" s="5" t="n">
        <v>12</v>
      </c>
      <c r="J667" s="3" t="inlineStr">
        <is>
          <t>연서면</t>
        </is>
      </c>
    </row>
    <row r="668">
      <c r="A668" s="3" t="n">
        <v>2025</v>
      </c>
      <c r="B668" s="4" t="n">
        <v>14200</v>
      </c>
      <c r="C668" s="4" t="n">
        <v>196</v>
      </c>
      <c r="D668" s="3" t="inlineStr">
        <is>
          <t>연동면</t>
        </is>
      </c>
      <c r="E668" s="3" t="inlineStr">
        <is>
          <t>명학리</t>
        </is>
      </c>
      <c r="F668" s="3" t="inlineStr">
        <is>
          <t>계획관리지역</t>
        </is>
      </c>
      <c r="G668" s="3" t="inlineStr">
        <is>
          <t>대</t>
        </is>
      </c>
      <c r="H668" s="4" t="n">
        <v>59.29</v>
      </c>
      <c r="I668" s="5" t="n">
        <v>239.5</v>
      </c>
      <c r="J668" s="3" t="inlineStr">
        <is>
          <t>연동면</t>
        </is>
      </c>
    </row>
    <row r="669">
      <c r="A669" s="3" t="n">
        <v>2025</v>
      </c>
      <c r="B669" s="4" t="n">
        <v>60000</v>
      </c>
      <c r="C669" s="4" t="n">
        <v>350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105.875</v>
      </c>
      <c r="I669" s="5" t="n">
        <v>566.7</v>
      </c>
      <c r="J669" s="3" t="inlineStr">
        <is>
          <t>고운동</t>
        </is>
      </c>
    </row>
    <row r="670">
      <c r="A670" s="3" t="n">
        <v>2025</v>
      </c>
      <c r="B670" s="4" t="n">
        <v>46500</v>
      </c>
      <c r="C670" s="4" t="n">
        <v>358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108.295</v>
      </c>
      <c r="I670" s="5" t="n">
        <v>429.4</v>
      </c>
      <c r="J670" s="3" t="inlineStr">
        <is>
          <t>고운동</t>
        </is>
      </c>
    </row>
    <row r="671">
      <c r="A671" s="3" t="n">
        <v>2025</v>
      </c>
      <c r="B671" s="4" t="n">
        <v>90000</v>
      </c>
      <c r="C671" s="4" t="n">
        <v>1914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578.985</v>
      </c>
      <c r="I671" s="5" t="n">
        <v>155.4</v>
      </c>
      <c r="J671" s="3" t="inlineStr">
        <is>
          <t>연서면</t>
        </is>
      </c>
    </row>
    <row r="672">
      <c r="A672" s="3" t="n">
        <v>2025</v>
      </c>
      <c r="B672" s="4" t="n">
        <v>35000</v>
      </c>
      <c r="C672" s="4" t="n">
        <v>2007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607.1174999999999</v>
      </c>
      <c r="I672" s="5" t="n">
        <v>57.6</v>
      </c>
      <c r="J672" s="3" t="inlineStr">
        <is>
          <t>연동면</t>
        </is>
      </c>
    </row>
    <row r="673">
      <c r="A673" s="3" t="n">
        <v>2025</v>
      </c>
      <c r="B673" s="4" t="n">
        <v>71750</v>
      </c>
      <c r="C673" s="4" t="n">
        <v>6778</v>
      </c>
      <c r="D673" s="3" t="inlineStr">
        <is>
          <t>부강면</t>
        </is>
      </c>
      <c r="E673" s="3" t="inlineStr">
        <is>
          <t>갈산리</t>
        </is>
      </c>
      <c r="F673" s="3" t="inlineStr">
        <is>
          <t>계획관리지역</t>
        </is>
      </c>
      <c r="G673" s="3" t="inlineStr">
        <is>
          <t>임야</t>
        </is>
      </c>
      <c r="H673" s="4" t="n">
        <v>2050.345</v>
      </c>
      <c r="I673" s="5" t="n">
        <v>35</v>
      </c>
      <c r="J673" s="3" t="inlineStr">
        <is>
          <t>부강면</t>
        </is>
      </c>
    </row>
    <row r="674">
      <c r="A674" s="3" t="n">
        <v>2025</v>
      </c>
      <c r="B674" s="4" t="n">
        <v>66000</v>
      </c>
      <c r="C674" s="4" t="n">
        <v>4848.2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1466.5805</v>
      </c>
      <c r="I674" s="5" t="n">
        <v>45</v>
      </c>
      <c r="J674" s="3" t="inlineStr">
        <is>
          <t>연동면</t>
        </is>
      </c>
    </row>
    <row r="675">
      <c r="A675" s="3" t="n">
        <v>2025</v>
      </c>
      <c r="B675" s="4" t="n">
        <v>2000</v>
      </c>
      <c r="C675" s="4" t="n">
        <v>198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계획관리지역</t>
        </is>
      </c>
      <c r="G675" s="3" t="inlineStr">
        <is>
          <t>대</t>
        </is>
      </c>
      <c r="H675" s="4" t="n">
        <v>59.895</v>
      </c>
      <c r="I675" s="5" t="n">
        <v>33.4</v>
      </c>
      <c r="J675" s="3" t="inlineStr">
        <is>
          <t>부강면</t>
        </is>
      </c>
    </row>
    <row r="676">
      <c r="A676" s="3" t="n">
        <v>2024</v>
      </c>
      <c r="B676" s="4" t="n">
        <v>31000</v>
      </c>
      <c r="C676" s="4" t="n">
        <v>1487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자연녹지지역</t>
        </is>
      </c>
      <c r="G676" s="3" t="inlineStr">
        <is>
          <t>전</t>
        </is>
      </c>
      <c r="H676" s="4" t="n">
        <v>449.8175</v>
      </c>
      <c r="I676" s="5" t="n">
        <v>68.90000000000001</v>
      </c>
      <c r="J676" s="3" t="inlineStr">
        <is>
          <t>부강면</t>
        </is>
      </c>
    </row>
    <row r="677">
      <c r="A677" s="3" t="n">
        <v>2024</v>
      </c>
      <c r="B677" s="4" t="n">
        <v>19000</v>
      </c>
      <c r="C677" s="4" t="n">
        <v>1954</v>
      </c>
      <c r="D677" s="3" t="inlineStr">
        <is>
          <t>부강면</t>
        </is>
      </c>
      <c r="E677" s="3" t="inlineStr">
        <is>
          <t>행산리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591.085</v>
      </c>
      <c r="I677" s="5" t="n">
        <v>32.1</v>
      </c>
      <c r="J677" s="3" t="inlineStr">
        <is>
          <t>부강면</t>
        </is>
      </c>
    </row>
    <row r="678">
      <c r="A678" s="3" t="n">
        <v>2024</v>
      </c>
      <c r="B678" s="4" t="n">
        <v>35000</v>
      </c>
      <c r="C678" s="4" t="n">
        <v>1736</v>
      </c>
      <c r="D678" s="3" t="inlineStr">
        <is>
          <t>부강면</t>
        </is>
      </c>
      <c r="E678" s="3" t="inlineStr">
        <is>
          <t>행산리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525.14</v>
      </c>
      <c r="I678" s="5" t="n">
        <v>66.59999999999999</v>
      </c>
      <c r="J678" s="3" t="inlineStr">
        <is>
          <t>부강면</t>
        </is>
      </c>
    </row>
    <row r="679">
      <c r="A679" s="3" t="n">
        <v>2024</v>
      </c>
      <c r="B679" s="4" t="n">
        <v>68000</v>
      </c>
      <c r="C679" s="4" t="n">
        <v>3173.3</v>
      </c>
      <c r="D679" s="3" t="inlineStr">
        <is>
          <t>연동면</t>
        </is>
      </c>
      <c r="E679" s="3" t="inlineStr">
        <is>
          <t>문주리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959.9232500000001</v>
      </c>
      <c r="I679" s="5" t="n">
        <v>70.8</v>
      </c>
      <c r="J679" s="3" t="inlineStr">
        <is>
          <t>연동면</t>
        </is>
      </c>
    </row>
    <row r="680">
      <c r="A680" s="3" t="n">
        <v>2022</v>
      </c>
      <c r="B680" s="4" t="n">
        <v>13450</v>
      </c>
      <c r="C680" s="4" t="n">
        <v>1070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323.675</v>
      </c>
      <c r="I680" s="5" t="n">
        <v>41.6</v>
      </c>
      <c r="J680" s="3" t="inlineStr">
        <is>
          <t>부강면</t>
        </is>
      </c>
    </row>
    <row r="681">
      <c r="A681" s="3" t="n">
        <v>2022</v>
      </c>
      <c r="B681" s="4" t="n">
        <v>35000</v>
      </c>
      <c r="C681" s="4" t="n">
        <v>585</v>
      </c>
      <c r="D681" s="3" t="inlineStr">
        <is>
          <t>부강면</t>
        </is>
      </c>
      <c r="E681" s="3" t="inlineStr">
        <is>
          <t>갈산리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176.9625</v>
      </c>
      <c r="I681" s="5" t="n">
        <v>197.8</v>
      </c>
      <c r="J681" s="3" t="inlineStr">
        <is>
          <t>부강면</t>
        </is>
      </c>
    </row>
    <row r="682">
      <c r="A682" s="3" t="n">
        <v>2022</v>
      </c>
      <c r="B682" s="4" t="n">
        <v>63000</v>
      </c>
      <c r="C682" s="4" t="n">
        <v>1049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317.3225</v>
      </c>
      <c r="I682" s="5" t="n">
        <v>198.5</v>
      </c>
      <c r="J682" s="3" t="inlineStr">
        <is>
          <t>부강면</t>
        </is>
      </c>
    </row>
    <row r="683">
      <c r="A683" s="3" t="n">
        <v>2022</v>
      </c>
      <c r="B683" s="4" t="n">
        <v>24600</v>
      </c>
      <c r="C683" s="4" t="n">
        <v>1145.9</v>
      </c>
      <c r="D683" s="3" t="inlineStr">
        <is>
          <t>연동면</t>
        </is>
      </c>
      <c r="E683" s="3" t="inlineStr">
        <is>
          <t>문주리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346.63475</v>
      </c>
      <c r="I683" s="5" t="n">
        <v>71</v>
      </c>
      <c r="J683" s="3" t="inlineStr">
        <is>
          <t>연동면</t>
        </is>
      </c>
    </row>
    <row r="684">
      <c r="A684" s="3" t="n">
        <v>2022</v>
      </c>
      <c r="B684" s="4" t="n">
        <v>17690</v>
      </c>
      <c r="C684" s="4" t="n">
        <v>840</v>
      </c>
      <c r="D684" s="3" t="inlineStr">
        <is>
          <t>부강면</t>
        </is>
      </c>
      <c r="E684" s="3" t="inlineStr">
        <is>
          <t>등곡리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254.1</v>
      </c>
      <c r="I684" s="5" t="n">
        <v>69.59999999999999</v>
      </c>
      <c r="J684" s="3" t="inlineStr">
        <is>
          <t>부강면</t>
        </is>
      </c>
    </row>
    <row r="685">
      <c r="A685" s="3" t="n">
        <v>2022</v>
      </c>
      <c r="B685" s="4" t="n">
        <v>35400</v>
      </c>
      <c r="C685" s="4" t="n">
        <v>2344</v>
      </c>
      <c r="D685" s="3" t="inlineStr">
        <is>
          <t>연동면</t>
        </is>
      </c>
      <c r="E685" s="3" t="inlineStr">
        <is>
          <t>응암리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709.0599999999999</v>
      </c>
      <c r="I685" s="5" t="n">
        <v>49.9</v>
      </c>
      <c r="J685" s="3" t="inlineStr">
        <is>
          <t>연동면</t>
        </is>
      </c>
    </row>
    <row r="686">
      <c r="A686" s="3" t="n">
        <v>2022</v>
      </c>
      <c r="B686" s="4" t="n">
        <v>10000</v>
      </c>
      <c r="C686" s="4" t="n">
        <v>1002</v>
      </c>
      <c r="D686" s="3" t="inlineStr">
        <is>
          <t>부강면</t>
        </is>
      </c>
      <c r="E686" s="3" t="inlineStr">
        <is>
          <t>금호리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303.105</v>
      </c>
      <c r="I686" s="5" t="n">
        <v>33</v>
      </c>
      <c r="J686" s="3" t="inlineStr">
        <is>
          <t>부강면</t>
        </is>
      </c>
    </row>
    <row r="687">
      <c r="A687" s="3" t="n">
        <v>2022</v>
      </c>
      <c r="B687" s="4" t="n">
        <v>44000</v>
      </c>
      <c r="C687" s="4" t="n">
        <v>496</v>
      </c>
      <c r="D687" s="3" t="inlineStr">
        <is>
          <t>연동면</t>
        </is>
      </c>
      <c r="E687" s="3" t="inlineStr">
        <is>
          <t>내판리</t>
        </is>
      </c>
      <c r="F687" s="3" t="inlineStr">
        <is>
          <t>계획관리지역</t>
        </is>
      </c>
      <c r="G687" s="3" t="inlineStr">
        <is>
          <t>임야</t>
        </is>
      </c>
      <c r="H687" s="4" t="n">
        <v>150.04</v>
      </c>
      <c r="I687" s="5" t="n">
        <v>293.3</v>
      </c>
      <c r="J687" s="3" t="inlineStr">
        <is>
          <t>연동면</t>
        </is>
      </c>
    </row>
    <row r="688">
      <c r="A688" s="3" t="n">
        <v>2022</v>
      </c>
      <c r="B688" s="4" t="n">
        <v>41008</v>
      </c>
      <c r="C688" s="4" t="n">
        <v>770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232.925</v>
      </c>
      <c r="I688" s="5" t="n">
        <v>176.1</v>
      </c>
      <c r="J688" s="3" t="inlineStr">
        <is>
          <t>연서면</t>
        </is>
      </c>
    </row>
    <row r="689">
      <c r="A689" s="3" t="n">
        <v>2023</v>
      </c>
      <c r="B689" s="4" t="n">
        <v>9500</v>
      </c>
      <c r="C689" s="4" t="n">
        <v>820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248.05</v>
      </c>
      <c r="I689" s="5" t="n">
        <v>38.3</v>
      </c>
      <c r="J689" s="3" t="inlineStr">
        <is>
          <t>부강면</t>
        </is>
      </c>
    </row>
    <row r="690">
      <c r="A690" s="3" t="n">
        <v>2023</v>
      </c>
      <c r="B690" s="4" t="n">
        <v>6000</v>
      </c>
      <c r="C690" s="4" t="n">
        <v>1309</v>
      </c>
      <c r="D690" s="3" t="inlineStr">
        <is>
          <t>부강면</t>
        </is>
      </c>
      <c r="E690" s="3" t="inlineStr">
        <is>
          <t>행산리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395.9725</v>
      </c>
      <c r="I690" s="5" t="n">
        <v>15.2</v>
      </c>
      <c r="J690" s="3" t="inlineStr">
        <is>
          <t>부강면</t>
        </is>
      </c>
    </row>
    <row r="691">
      <c r="A691" s="3" t="n">
        <v>2023</v>
      </c>
      <c r="B691" s="4" t="n">
        <v>48000</v>
      </c>
      <c r="C691" s="4" t="n">
        <v>1360</v>
      </c>
      <c r="D691" s="3" t="inlineStr">
        <is>
          <t>연동면</t>
        </is>
      </c>
      <c r="E691" s="3" t="inlineStr">
        <is>
          <t>문주리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411.4</v>
      </c>
      <c r="I691" s="5" t="n">
        <v>116.7</v>
      </c>
      <c r="J691" s="3" t="inlineStr">
        <is>
          <t>연동면</t>
        </is>
      </c>
    </row>
    <row r="692">
      <c r="A692" s="3" t="n">
        <v>2022</v>
      </c>
      <c r="B692" s="4" t="n">
        <v>24510</v>
      </c>
      <c r="C692" s="4" t="n">
        <v>1164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352.11</v>
      </c>
      <c r="I692" s="5" t="n">
        <v>69.59999999999999</v>
      </c>
      <c r="J692" s="3" t="inlineStr">
        <is>
          <t>부강면</t>
        </is>
      </c>
    </row>
    <row r="693">
      <c r="A693" s="3" t="n">
        <v>2024</v>
      </c>
      <c r="B693" s="4" t="n">
        <v>17050</v>
      </c>
      <c r="C693" s="4" t="n">
        <v>1741.4</v>
      </c>
      <c r="D693" s="3" t="inlineStr">
        <is>
          <t>연동면</t>
        </is>
      </c>
      <c r="E693" s="3" t="inlineStr">
        <is>
          <t>응암리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526.7735</v>
      </c>
      <c r="I693" s="5" t="n">
        <v>32.4</v>
      </c>
      <c r="J693" s="3" t="inlineStr">
        <is>
          <t>연동면</t>
        </is>
      </c>
    </row>
    <row r="694">
      <c r="A694" s="3" t="n">
        <v>2024</v>
      </c>
      <c r="B694" s="4" t="n">
        <v>57907</v>
      </c>
      <c r="C694" s="4" t="n">
        <v>1679.5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508.04875</v>
      </c>
      <c r="I694" s="5" t="n">
        <v>114</v>
      </c>
      <c r="J694" s="3" t="inlineStr">
        <is>
          <t>연동면</t>
        </is>
      </c>
    </row>
    <row r="695">
      <c r="A695" s="3" t="n">
        <v>2024</v>
      </c>
      <c r="B695" s="4" t="n">
        <v>22487</v>
      </c>
      <c r="C695" s="4" t="n">
        <v>660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농림지역</t>
        </is>
      </c>
      <c r="G695" s="3" t="inlineStr">
        <is>
          <t>답</t>
        </is>
      </c>
      <c r="H695" s="4" t="n">
        <v>199.65</v>
      </c>
      <c r="I695" s="5" t="n">
        <v>112.6</v>
      </c>
      <c r="J695" s="3" t="inlineStr">
        <is>
          <t>연동면</t>
        </is>
      </c>
    </row>
    <row r="696">
      <c r="A696" s="3" t="n">
        <v>2024</v>
      </c>
      <c r="B696" s="4" t="n">
        <v>29606</v>
      </c>
      <c r="C696" s="4" t="n">
        <v>869.2</v>
      </c>
      <c r="D696" s="3" t="inlineStr">
        <is>
          <t>연동면</t>
        </is>
      </c>
      <c r="E696" s="3" t="inlineStr">
        <is>
          <t>응암리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262.933</v>
      </c>
      <c r="I696" s="5" t="n">
        <v>112.6</v>
      </c>
      <c r="J696" s="3" t="inlineStr">
        <is>
          <t>연동면</t>
        </is>
      </c>
    </row>
    <row r="697">
      <c r="A697" s="3" t="n">
        <v>2024</v>
      </c>
      <c r="B697" s="4" t="n">
        <v>172258</v>
      </c>
      <c r="C697" s="4" t="n">
        <v>476</v>
      </c>
      <c r="D697" s="3" t="inlineStr">
        <is>
          <t>조치원읍</t>
        </is>
      </c>
      <c r="E697" s="3" t="inlineStr">
        <is>
          <t>죽림리</t>
        </is>
      </c>
      <c r="F697" s="3" t="inlineStr">
        <is>
          <t>일반상업지역</t>
        </is>
      </c>
      <c r="G697" s="3" t="inlineStr">
        <is>
          <t>대</t>
        </is>
      </c>
      <c r="H697" s="4" t="n">
        <v>143.99</v>
      </c>
      <c r="I697" s="5" t="n">
        <v>1196.3</v>
      </c>
      <c r="J697" s="3" t="inlineStr">
        <is>
          <t>조치원읍</t>
        </is>
      </c>
    </row>
    <row r="698">
      <c r="A698" s="3" t="n">
        <v>2024</v>
      </c>
      <c r="B698" s="4" t="n">
        <v>315926</v>
      </c>
      <c r="C698" s="4" t="n">
        <v>873</v>
      </c>
      <c r="D698" s="3" t="inlineStr">
        <is>
          <t>조치원읍</t>
        </is>
      </c>
      <c r="E698" s="3" t="inlineStr">
        <is>
          <t>죽림리</t>
        </is>
      </c>
      <c r="F698" s="3" t="inlineStr">
        <is>
          <t>일반상업지역</t>
        </is>
      </c>
      <c r="G698" s="3" t="inlineStr">
        <is>
          <t>전</t>
        </is>
      </c>
      <c r="H698" s="4" t="n">
        <v>264.0825</v>
      </c>
      <c r="I698" s="5" t="n">
        <v>1196.3</v>
      </c>
      <c r="J698" s="3" t="inlineStr">
        <is>
          <t>조치원읍</t>
        </is>
      </c>
    </row>
    <row r="699">
      <c r="A699" s="3" t="n">
        <v>2022</v>
      </c>
      <c r="B699" s="4" t="n">
        <v>11856</v>
      </c>
      <c r="C699" s="4" t="n">
        <v>494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생산녹지지역</t>
        </is>
      </c>
      <c r="G699" s="3" t="inlineStr">
        <is>
          <t>답</t>
        </is>
      </c>
      <c r="H699" s="4" t="n">
        <v>149.435</v>
      </c>
      <c r="I699" s="5" t="n">
        <v>79.3</v>
      </c>
      <c r="J699" s="3" t="inlineStr">
        <is>
          <t>조치원읍</t>
        </is>
      </c>
    </row>
    <row r="700">
      <c r="A700" s="3" t="n">
        <v>2022</v>
      </c>
      <c r="B700" s="4" t="n">
        <v>2714</v>
      </c>
      <c r="C700" s="4" t="n">
        <v>115</v>
      </c>
      <c r="D700" s="3" t="inlineStr">
        <is>
          <t>조치원읍</t>
        </is>
      </c>
      <c r="E700" s="3" t="inlineStr">
        <is>
          <t>신안리</t>
        </is>
      </c>
      <c r="F700" s="3" t="inlineStr">
        <is>
          <t>생산녹지지역</t>
        </is>
      </c>
      <c r="G700" s="3" t="inlineStr">
        <is>
          <t>도로</t>
        </is>
      </c>
      <c r="H700" s="4" t="n">
        <v>34.7875</v>
      </c>
      <c r="I700" s="5" t="n">
        <v>78</v>
      </c>
      <c r="J700" s="3" t="inlineStr">
        <is>
          <t>조치원읍</t>
        </is>
      </c>
    </row>
    <row r="701">
      <c r="A701" s="3" t="n">
        <v>2022</v>
      </c>
      <c r="B701" s="4" t="n">
        <v>41500</v>
      </c>
      <c r="C701" s="4" t="n">
        <v>250.2</v>
      </c>
      <c r="D701" s="3" t="inlineStr">
        <is>
          <t>조치원읍</t>
        </is>
      </c>
      <c r="E701" s="3" t="inlineStr">
        <is>
          <t>침산리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75.68549999999999</v>
      </c>
      <c r="I701" s="5" t="n">
        <v>548.3</v>
      </c>
      <c r="J701" s="3" t="inlineStr">
        <is>
          <t>조치원읍</t>
        </is>
      </c>
    </row>
    <row r="702">
      <c r="A702" s="3" t="n">
        <v>2022</v>
      </c>
      <c r="B702" s="4" t="n">
        <v>3000</v>
      </c>
      <c r="C702" s="4" t="n">
        <v>30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9.074999999999999</v>
      </c>
      <c r="I702" s="5" t="n">
        <v>330.6</v>
      </c>
      <c r="J702" s="3" t="inlineStr">
        <is>
          <t>연동면</t>
        </is>
      </c>
    </row>
    <row r="703">
      <c r="A703" s="3" t="n">
        <v>2025</v>
      </c>
      <c r="B703" s="4" t="n">
        <v>58000</v>
      </c>
      <c r="C703" s="4" t="n">
        <v>368.7</v>
      </c>
      <c r="D703" s="3" t="inlineStr">
        <is>
          <t>아름동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111.53175</v>
      </c>
      <c r="I703" s="5" t="n">
        <v>520</v>
      </c>
      <c r="J703" s="3" t="inlineStr">
        <is>
          <t>아름동</t>
        </is>
      </c>
    </row>
    <row r="704">
      <c r="A704" s="3" t="n">
        <v>2025</v>
      </c>
      <c r="B704" s="4" t="n">
        <v>13500</v>
      </c>
      <c r="C704" s="4" t="n">
        <v>1409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426.2225</v>
      </c>
      <c r="I704" s="5" t="n">
        <v>31.7</v>
      </c>
      <c r="J704" s="3" t="inlineStr">
        <is>
          <t>연동면</t>
        </is>
      </c>
    </row>
    <row r="705">
      <c r="A705" s="3" t="n">
        <v>2025</v>
      </c>
      <c r="B705" s="4" t="n">
        <v>1373</v>
      </c>
      <c r="C705" s="4" t="n">
        <v>8</v>
      </c>
      <c r="D705" s="3" t="inlineStr">
        <is>
          <t>조치원읍</t>
        </is>
      </c>
      <c r="E705" s="3" t="inlineStr">
        <is>
          <t>침산리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2.42</v>
      </c>
      <c r="I705" s="5" t="n">
        <v>567.4</v>
      </c>
      <c r="J705" s="3" t="inlineStr">
        <is>
          <t>조치원읍</t>
        </is>
      </c>
    </row>
    <row r="706">
      <c r="A706" s="3" t="n">
        <v>2025</v>
      </c>
      <c r="B706" s="4" t="n">
        <v>515</v>
      </c>
      <c r="C706" s="4" t="n">
        <v>3</v>
      </c>
      <c r="D706" s="3" t="inlineStr">
        <is>
          <t>조치원읍</t>
        </is>
      </c>
      <c r="E706" s="3" t="inlineStr">
        <is>
          <t>침산리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0.9075</v>
      </c>
      <c r="I706" s="5" t="n">
        <v>567.5</v>
      </c>
      <c r="J706" s="3" t="inlineStr">
        <is>
          <t>조치원읍</t>
        </is>
      </c>
    </row>
    <row r="707">
      <c r="A707" s="3" t="n">
        <v>2025</v>
      </c>
      <c r="B707" s="4" t="n">
        <v>1202</v>
      </c>
      <c r="C707" s="4" t="n">
        <v>7</v>
      </c>
      <c r="D707" s="3" t="inlineStr">
        <is>
          <t>조치원읍</t>
        </is>
      </c>
      <c r="E707" s="3" t="inlineStr">
        <is>
          <t>침산리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2.1175</v>
      </c>
      <c r="I707" s="5" t="n">
        <v>567.7</v>
      </c>
      <c r="J707" s="3" t="inlineStr">
        <is>
          <t>조치원읍</t>
        </is>
      </c>
    </row>
    <row r="708">
      <c r="A708" s="3" t="n">
        <v>2025</v>
      </c>
      <c r="B708" s="4" t="n">
        <v>3200</v>
      </c>
      <c r="C708" s="4" t="n">
        <v>17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5.1425</v>
      </c>
      <c r="I708" s="5" t="n">
        <v>622.3</v>
      </c>
      <c r="J708" s="3" t="inlineStr">
        <is>
          <t>부강면</t>
        </is>
      </c>
    </row>
    <row r="709">
      <c r="A709" s="3" t="n">
        <v>2022</v>
      </c>
      <c r="B709" s="4" t="n">
        <v>16000</v>
      </c>
      <c r="C709" s="4" t="n">
        <v>187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임야</t>
        </is>
      </c>
      <c r="H709" s="4" t="n">
        <v>56.5675</v>
      </c>
      <c r="I709" s="5" t="n">
        <v>282.8</v>
      </c>
      <c r="J709" s="3" t="inlineStr">
        <is>
          <t>연동면</t>
        </is>
      </c>
    </row>
    <row r="710">
      <c r="A710" s="3" t="n">
        <v>2022</v>
      </c>
      <c r="B710" s="4" t="n">
        <v>38696</v>
      </c>
      <c r="C710" s="4" t="n">
        <v>492</v>
      </c>
      <c r="D710" s="3" t="inlineStr">
        <is>
          <t>연동면</t>
        </is>
      </c>
      <c r="E710" s="3" t="inlineStr">
        <is>
          <t>내판리</t>
        </is>
      </c>
      <c r="F710" s="3" t="inlineStr">
        <is>
          <t>보전관리지역</t>
        </is>
      </c>
      <c r="G710" s="3" t="inlineStr">
        <is>
          <t>대</t>
        </is>
      </c>
      <c r="H710" s="4" t="n">
        <v>148.83</v>
      </c>
      <c r="I710" s="5" t="n">
        <v>260</v>
      </c>
      <c r="J710" s="3" t="inlineStr">
        <is>
          <t>연동면</t>
        </is>
      </c>
    </row>
    <row r="711">
      <c r="A711" s="3" t="n">
        <v>2022</v>
      </c>
      <c r="B711" s="4" t="n">
        <v>14472</v>
      </c>
      <c r="C711" s="4" t="n">
        <v>184</v>
      </c>
      <c r="D711" s="3" t="inlineStr">
        <is>
          <t>연동면</t>
        </is>
      </c>
      <c r="E711" s="3" t="inlineStr">
        <is>
          <t>내판리</t>
        </is>
      </c>
      <c r="F711" s="3" t="inlineStr">
        <is>
          <t>계획관리지역</t>
        </is>
      </c>
      <c r="G711" s="3" t="inlineStr">
        <is>
          <t>대</t>
        </is>
      </c>
      <c r="H711" s="4" t="n">
        <v>55.66</v>
      </c>
      <c r="I711" s="5" t="n">
        <v>260</v>
      </c>
      <c r="J711" s="3" t="inlineStr">
        <is>
          <t>연동면</t>
        </is>
      </c>
    </row>
    <row r="712">
      <c r="A712" s="3" t="n">
        <v>2022</v>
      </c>
      <c r="B712" s="4" t="n">
        <v>406900</v>
      </c>
      <c r="C712" s="4" t="n">
        <v>5929</v>
      </c>
      <c r="D712" s="3" t="inlineStr">
        <is>
          <t>연동면</t>
        </is>
      </c>
      <c r="E712" s="3" t="inlineStr">
        <is>
          <t>내판리</t>
        </is>
      </c>
      <c r="F712" s="3" t="inlineStr">
        <is>
          <t>계획관리지역</t>
        </is>
      </c>
      <c r="G712" s="3" t="inlineStr">
        <is>
          <t>과수원</t>
        </is>
      </c>
      <c r="H712" s="4" t="n">
        <v>1793.5225</v>
      </c>
      <c r="I712" s="5" t="n">
        <v>226.9</v>
      </c>
      <c r="J712" s="3" t="inlineStr">
        <is>
          <t>연동면</t>
        </is>
      </c>
    </row>
    <row r="713">
      <c r="A713" s="3" t="n">
        <v>2022</v>
      </c>
      <c r="B713" s="4" t="n">
        <v>23100</v>
      </c>
      <c r="C713" s="4" t="n">
        <v>336</v>
      </c>
      <c r="D713" s="3" t="inlineStr">
        <is>
          <t>연동면</t>
        </is>
      </c>
      <c r="E713" s="3" t="inlineStr">
        <is>
          <t>내판리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101.64</v>
      </c>
      <c r="I713" s="5" t="n">
        <v>227.3</v>
      </c>
      <c r="J713" s="3" t="inlineStr">
        <is>
          <t>연동면</t>
        </is>
      </c>
    </row>
    <row r="714">
      <c r="A714" s="3" t="n">
        <v>2022</v>
      </c>
      <c r="B714" s="4" t="n">
        <v>10800</v>
      </c>
      <c r="C714" s="4" t="n">
        <v>714</v>
      </c>
      <c r="D714" s="3" t="inlineStr">
        <is>
          <t>부강면</t>
        </is>
      </c>
      <c r="E714" s="3" t="inlineStr">
        <is>
          <t>문곡리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215.985</v>
      </c>
      <c r="I714" s="5" t="n">
        <v>50</v>
      </c>
      <c r="J714" s="3" t="inlineStr">
        <is>
          <t>부강면</t>
        </is>
      </c>
    </row>
    <row r="715">
      <c r="A715" s="3" t="n">
        <v>2022</v>
      </c>
      <c r="B715" s="4" t="n">
        <v>8850</v>
      </c>
      <c r="C715" s="4" t="n">
        <v>585</v>
      </c>
      <c r="D715" s="3" t="inlineStr">
        <is>
          <t>부강면</t>
        </is>
      </c>
      <c r="E715" s="3" t="inlineStr">
        <is>
          <t>문곡리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176.9625</v>
      </c>
      <c r="I715" s="5" t="n">
        <v>50</v>
      </c>
      <c r="J715" s="3" t="inlineStr">
        <is>
          <t>부강면</t>
        </is>
      </c>
    </row>
    <row r="716">
      <c r="A716" s="3" t="n">
        <v>2022</v>
      </c>
      <c r="B716" s="4" t="n">
        <v>18755</v>
      </c>
      <c r="C716" s="4" t="n">
        <v>155</v>
      </c>
      <c r="D716" s="3" t="inlineStr">
        <is>
          <t>조치원읍</t>
        </is>
      </c>
      <c r="E716" s="3" t="inlineStr">
        <is>
          <t>남리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46.8875</v>
      </c>
      <c r="I716" s="5" t="n">
        <v>400</v>
      </c>
      <c r="J716" s="3" t="inlineStr">
        <is>
          <t>조치원읍</t>
        </is>
      </c>
    </row>
    <row r="717">
      <c r="A717" s="3" t="n">
        <v>2022</v>
      </c>
      <c r="B717" s="4" t="n">
        <v>5445</v>
      </c>
      <c r="C717" s="4" t="n">
        <v>45</v>
      </c>
      <c r="D717" s="3" t="inlineStr">
        <is>
          <t>조치원읍</t>
        </is>
      </c>
      <c r="E717" s="3" t="inlineStr">
        <is>
          <t>남리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13.6125</v>
      </c>
      <c r="I717" s="5" t="n">
        <v>400</v>
      </c>
      <c r="J717" s="3" t="inlineStr">
        <is>
          <t>조치원읍</t>
        </is>
      </c>
    </row>
    <row r="718">
      <c r="A718" s="3" t="n">
        <v>2022</v>
      </c>
      <c r="B718" s="4" t="n">
        <v>10043</v>
      </c>
      <c r="C718" s="4" t="n">
        <v>83</v>
      </c>
      <c r="D718" s="3" t="inlineStr">
        <is>
          <t>조치원읍</t>
        </is>
      </c>
      <c r="E718" s="3" t="inlineStr">
        <is>
          <t>남리</t>
        </is>
      </c>
      <c r="F718" s="3" t="inlineStr">
        <is>
          <t>제2종일반주거지역</t>
        </is>
      </c>
      <c r="G718" s="3" t="inlineStr">
        <is>
          <t>전</t>
        </is>
      </c>
      <c r="H718" s="4" t="n">
        <v>25.1075</v>
      </c>
      <c r="I718" s="5" t="n">
        <v>400</v>
      </c>
      <c r="J718" s="3" t="inlineStr">
        <is>
          <t>조치원읍</t>
        </is>
      </c>
    </row>
    <row r="719">
      <c r="A719" s="3" t="n">
        <v>2022</v>
      </c>
      <c r="B719" s="4" t="n">
        <v>124993</v>
      </c>
      <c r="C719" s="4" t="n">
        <v>1033</v>
      </c>
      <c r="D719" s="3" t="inlineStr">
        <is>
          <t>조치원읍</t>
        </is>
      </c>
      <c r="E719" s="3" t="inlineStr">
        <is>
          <t>남리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312.4825</v>
      </c>
      <c r="I719" s="5" t="n">
        <v>400</v>
      </c>
      <c r="J719" s="3" t="inlineStr">
        <is>
          <t>조치원읍</t>
        </is>
      </c>
    </row>
    <row r="720">
      <c r="A720" s="3" t="n">
        <v>2022</v>
      </c>
      <c r="B720" s="4" t="n">
        <v>13068</v>
      </c>
      <c r="C720" s="4" t="n">
        <v>108</v>
      </c>
      <c r="D720" s="3" t="inlineStr">
        <is>
          <t>조치원읍</t>
        </is>
      </c>
      <c r="E720" s="3" t="inlineStr">
        <is>
          <t>남리</t>
        </is>
      </c>
      <c r="F720" s="3" t="inlineStr">
        <is>
          <t>제2종일반주거지역</t>
        </is>
      </c>
      <c r="G720" s="3" t="inlineStr">
        <is>
          <t>전</t>
        </is>
      </c>
      <c r="H720" s="4" t="n">
        <v>32.67</v>
      </c>
      <c r="I720" s="5" t="n">
        <v>400</v>
      </c>
      <c r="J720" s="3" t="inlineStr">
        <is>
          <t>조치원읍</t>
        </is>
      </c>
    </row>
    <row r="721">
      <c r="A721" s="3" t="n">
        <v>2022</v>
      </c>
      <c r="B721" s="4" t="n">
        <v>92000</v>
      </c>
      <c r="C721" s="4" t="n">
        <v>2995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905.9875</v>
      </c>
      <c r="I721" s="5" t="n">
        <v>101.5</v>
      </c>
      <c r="J721" s="3" t="inlineStr">
        <is>
          <t>연서면</t>
        </is>
      </c>
    </row>
    <row r="722">
      <c r="A722" s="3" t="n">
        <v>2022</v>
      </c>
      <c r="B722" s="4" t="n">
        <v>101400</v>
      </c>
      <c r="C722" s="4" t="n">
        <v>4248</v>
      </c>
      <c r="D722" s="3" t="inlineStr">
        <is>
          <t>연서면</t>
        </is>
      </c>
      <c r="E722" s="3" t="inlineStr">
        <is>
          <t>기룡리</t>
        </is>
      </c>
      <c r="F722" s="3" t="inlineStr">
        <is>
          <t>생산관리지역</t>
        </is>
      </c>
      <c r="G722" s="3" t="inlineStr">
        <is>
          <t>답</t>
        </is>
      </c>
      <c r="H722" s="4" t="n">
        <v>1285.02</v>
      </c>
      <c r="I722" s="5" t="n">
        <v>78.90000000000001</v>
      </c>
      <c r="J722" s="3" t="inlineStr">
        <is>
          <t>연서면</t>
        </is>
      </c>
    </row>
    <row r="723">
      <c r="A723" s="3" t="n">
        <v>2023</v>
      </c>
      <c r="B723" s="4" t="n">
        <v>82600</v>
      </c>
      <c r="C723" s="4" t="n">
        <v>2732</v>
      </c>
      <c r="D723" s="3" t="inlineStr">
        <is>
          <t>부강면</t>
        </is>
      </c>
      <c r="E723" s="3" t="inlineStr">
        <is>
          <t>노호리</t>
        </is>
      </c>
      <c r="F723" s="3" t="inlineStr">
        <is>
          <t>계획관리지역</t>
        </is>
      </c>
      <c r="G723" s="3" t="inlineStr">
        <is>
          <t>답</t>
        </is>
      </c>
      <c r="H723" s="4" t="n">
        <v>826.4299999999999</v>
      </c>
      <c r="I723" s="5" t="n">
        <v>99.90000000000001</v>
      </c>
      <c r="J723" s="3" t="inlineStr">
        <is>
          <t>부강면</t>
        </is>
      </c>
    </row>
    <row r="724">
      <c r="A724" s="3" t="n">
        <v>2023</v>
      </c>
      <c r="B724" s="4" t="n">
        <v>32000</v>
      </c>
      <c r="C724" s="4" t="n">
        <v>1058</v>
      </c>
      <c r="D724" s="3" t="inlineStr">
        <is>
          <t>부강면</t>
        </is>
      </c>
      <c r="E724" s="3" t="inlineStr">
        <is>
          <t>노호리</t>
        </is>
      </c>
      <c r="F724" s="3" t="inlineStr">
        <is>
          <t>계획관리지역</t>
        </is>
      </c>
      <c r="G724" s="3" t="inlineStr">
        <is>
          <t>답</t>
        </is>
      </c>
      <c r="H724" s="4" t="n">
        <v>320.045</v>
      </c>
      <c r="I724" s="5" t="n">
        <v>100</v>
      </c>
      <c r="J724" s="3" t="inlineStr">
        <is>
          <t>부강면</t>
        </is>
      </c>
    </row>
    <row r="725">
      <c r="A725" s="3" t="n">
        <v>2023</v>
      </c>
      <c r="B725" s="4" t="n">
        <v>37000</v>
      </c>
      <c r="C725" s="4" t="n">
        <v>1224</v>
      </c>
      <c r="D725" s="3" t="inlineStr">
        <is>
          <t>부강면</t>
        </is>
      </c>
      <c r="E725" s="3" t="inlineStr">
        <is>
          <t>노호리</t>
        </is>
      </c>
      <c r="F725" s="3" t="inlineStr">
        <is>
          <t>계획관리지역</t>
        </is>
      </c>
      <c r="G725" s="3" t="inlineStr">
        <is>
          <t>답</t>
        </is>
      </c>
      <c r="H725" s="4" t="n">
        <v>370.26</v>
      </c>
      <c r="I725" s="5" t="n">
        <v>99.90000000000001</v>
      </c>
      <c r="J725" s="3" t="inlineStr">
        <is>
          <t>부강면</t>
        </is>
      </c>
    </row>
    <row r="726">
      <c r="A726" s="3" t="n">
        <v>2023</v>
      </c>
      <c r="B726" s="4" t="n">
        <v>42079</v>
      </c>
      <c r="C726" s="4" t="n">
        <v>647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195.7175</v>
      </c>
      <c r="I726" s="5" t="n">
        <v>215</v>
      </c>
      <c r="J726" s="3" t="inlineStr">
        <is>
          <t>부강면</t>
        </is>
      </c>
    </row>
    <row r="727">
      <c r="A727" s="3" t="n">
        <v>2024</v>
      </c>
      <c r="B727" s="4" t="n">
        <v>53160</v>
      </c>
      <c r="C727" s="4" t="n">
        <v>1443</v>
      </c>
      <c r="D727" s="3" t="inlineStr">
        <is>
          <t>연서면</t>
        </is>
      </c>
      <c r="E727" s="3" t="inlineStr">
        <is>
          <t>용암리</t>
        </is>
      </c>
      <c r="F727" s="3" t="inlineStr">
        <is>
          <t>생산관리지역</t>
        </is>
      </c>
      <c r="G727" s="3" t="inlineStr">
        <is>
          <t>과수원</t>
        </is>
      </c>
      <c r="H727" s="4" t="n">
        <v>436.5075</v>
      </c>
      <c r="I727" s="5" t="n">
        <v>121.8</v>
      </c>
      <c r="J727" s="3" t="inlineStr">
        <is>
          <t>연서면</t>
        </is>
      </c>
    </row>
    <row r="728">
      <c r="A728" s="3" t="n">
        <v>2024</v>
      </c>
      <c r="B728" s="4" t="n">
        <v>21256</v>
      </c>
      <c r="C728" s="4" t="n">
        <v>577</v>
      </c>
      <c r="D728" s="3" t="inlineStr">
        <is>
          <t>연서면</t>
        </is>
      </c>
      <c r="E728" s="3" t="inlineStr">
        <is>
          <t>용암리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174.5425</v>
      </c>
      <c r="I728" s="5" t="n">
        <v>121.8</v>
      </c>
      <c r="J728" s="3" t="inlineStr">
        <is>
          <t>연서면</t>
        </is>
      </c>
    </row>
    <row r="729">
      <c r="A729" s="3" t="n">
        <v>2024</v>
      </c>
      <c r="B729" s="4" t="n">
        <v>15584</v>
      </c>
      <c r="C729" s="4" t="n">
        <v>423</v>
      </c>
      <c r="D729" s="3" t="inlineStr">
        <is>
          <t>연서면</t>
        </is>
      </c>
      <c r="E729" s="3" t="inlineStr">
        <is>
          <t>용암리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127.9575</v>
      </c>
      <c r="I729" s="5" t="n">
        <v>121.8</v>
      </c>
      <c r="J729" s="3" t="inlineStr">
        <is>
          <t>연서면</t>
        </is>
      </c>
    </row>
    <row r="730">
      <c r="A730" s="3" t="n">
        <v>2024</v>
      </c>
      <c r="B730" s="4" t="n">
        <v>224</v>
      </c>
      <c r="C730" s="4" t="n">
        <v>3</v>
      </c>
      <c r="D730" s="3" t="inlineStr">
        <is>
          <t>조치원읍</t>
        </is>
      </c>
      <c r="E730" s="3" t="inlineStr">
        <is>
          <t>침산리</t>
        </is>
      </c>
      <c r="F730" s="3" t="inlineStr">
        <is>
          <t>제1종일반주거지역</t>
        </is>
      </c>
      <c r="G730" s="3" t="inlineStr">
        <is>
          <t>임야</t>
        </is>
      </c>
      <c r="H730" s="4" t="n">
        <v>0.9075</v>
      </c>
      <c r="I730" s="5" t="n">
        <v>246.8</v>
      </c>
      <c r="J730" s="3" t="inlineStr">
        <is>
          <t>조치원읍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2025</v>
      </c>
      <c r="B733" s="4" t="n">
        <v>8500</v>
      </c>
      <c r="C733" s="4" t="n">
        <v>238</v>
      </c>
      <c r="D733" s="3" t="inlineStr">
        <is>
          <t>연서면</t>
        </is>
      </c>
      <c r="E733" s="3" t="inlineStr">
        <is>
          <t>봉암리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71.995</v>
      </c>
      <c r="I733" s="5" t="n">
        <v>118.1</v>
      </c>
      <c r="J733" s="3" t="inlineStr">
        <is>
          <t>연서면</t>
        </is>
      </c>
    </row>
    <row r="734">
      <c r="A734" s="3" t="n">
        <v>2025</v>
      </c>
      <c r="B734" s="4" t="n">
        <v>36300</v>
      </c>
      <c r="C734" s="4" t="n">
        <v>355</v>
      </c>
      <c r="D734" s="3" t="inlineStr">
        <is>
          <t>조치원읍</t>
        </is>
      </c>
      <c r="E734" s="3" t="inlineStr">
        <is>
          <t>신흥리</t>
        </is>
      </c>
      <c r="F734" s="3" t="inlineStr">
        <is>
          <t>제2종일반주거지역</t>
        </is>
      </c>
      <c r="G734" s="3" t="inlineStr">
        <is>
          <t>대</t>
        </is>
      </c>
      <c r="H734" s="4" t="n">
        <v>107.3875</v>
      </c>
      <c r="I734" s="5" t="n">
        <v>338</v>
      </c>
      <c r="J734" s="3" t="inlineStr">
        <is>
          <t>조치원읍</t>
        </is>
      </c>
    </row>
    <row r="735">
      <c r="A735" s="3" t="n">
        <v>2025</v>
      </c>
      <c r="B735" s="4" t="n">
        <v>2700</v>
      </c>
      <c r="C735" s="4" t="n">
        <v>30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대</t>
        </is>
      </c>
      <c r="H735" s="4" t="n">
        <v>9.074999999999999</v>
      </c>
      <c r="I735" s="5" t="n">
        <v>297.5</v>
      </c>
      <c r="J735" s="3" t="inlineStr">
        <is>
          <t>조치원읍</t>
        </is>
      </c>
    </row>
    <row r="736">
      <c r="A736" s="3" t="n">
        <v>2025</v>
      </c>
      <c r="B736" s="4" t="n">
        <v>11000</v>
      </c>
      <c r="C736" s="4" t="n">
        <v>257</v>
      </c>
      <c r="D736" s="3" t="inlineStr">
        <is>
          <t>연동면</t>
        </is>
      </c>
      <c r="E736" s="3" t="inlineStr">
        <is>
          <t>예양리</t>
        </is>
      </c>
      <c r="F736" s="3" t="inlineStr">
        <is>
          <t>보전관리지역</t>
        </is>
      </c>
      <c r="G736" s="3" t="inlineStr">
        <is>
          <t>대</t>
        </is>
      </c>
      <c r="H736" s="4" t="n">
        <v>77.74249999999999</v>
      </c>
      <c r="I736" s="5" t="n">
        <v>141.5</v>
      </c>
      <c r="J736" s="3" t="inlineStr">
        <is>
          <t>연동면</t>
        </is>
      </c>
    </row>
    <row r="737">
      <c r="A737" s="3" t="n">
        <v>2022</v>
      </c>
      <c r="B737" s="4" t="n">
        <v>139842</v>
      </c>
      <c r="C737" s="4" t="n">
        <v>740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답</t>
        </is>
      </c>
      <c r="H737" s="4" t="n">
        <v>223.85</v>
      </c>
      <c r="I737" s="5" t="n">
        <v>624.7</v>
      </c>
      <c r="J737" s="3" t="inlineStr">
        <is>
          <t>연서면</t>
        </is>
      </c>
    </row>
    <row r="738">
      <c r="A738" s="3" t="n">
        <v>2022</v>
      </c>
      <c r="B738" s="4" t="n">
        <v>5000</v>
      </c>
      <c r="C738" s="4" t="n">
        <v>545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보전관리지역</t>
        </is>
      </c>
      <c r="G738" s="3" t="inlineStr">
        <is>
          <t>전</t>
        </is>
      </c>
      <c r="H738" s="4" t="n">
        <v>164.8625</v>
      </c>
      <c r="I738" s="5" t="n">
        <v>30.3</v>
      </c>
      <c r="J738" s="3" t="inlineStr">
        <is>
          <t>연서면</t>
        </is>
      </c>
    </row>
    <row r="739">
      <c r="A739" s="3" t="n">
        <v>2022</v>
      </c>
      <c r="B739" s="4" t="n">
        <v>30000</v>
      </c>
      <c r="C739" s="4" t="n">
        <v>992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생산관리지역</t>
        </is>
      </c>
      <c r="G739" s="3" t="inlineStr">
        <is>
          <t>임야</t>
        </is>
      </c>
      <c r="H739" s="4" t="n">
        <v>300.08</v>
      </c>
      <c r="I739" s="5" t="n">
        <v>100</v>
      </c>
      <c r="J739" s="3" t="inlineStr">
        <is>
          <t>부강면</t>
        </is>
      </c>
    </row>
    <row r="740">
      <c r="A740" s="3" t="n">
        <v>2022</v>
      </c>
      <c r="B740" s="4" t="n">
        <v>53000</v>
      </c>
      <c r="C740" s="4" t="n">
        <v>2980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901.4499999999999</v>
      </c>
      <c r="I740" s="5" t="n">
        <v>58.8</v>
      </c>
      <c r="J740" s="3" t="inlineStr">
        <is>
          <t>연서면</t>
        </is>
      </c>
    </row>
    <row r="741">
      <c r="A741" s="3" t="n">
        <v>2022</v>
      </c>
      <c r="B741" s="4" t="n">
        <v>12000</v>
      </c>
      <c r="C741" s="4" t="n">
        <v>715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216.2875</v>
      </c>
      <c r="I741" s="5" t="n">
        <v>55.5</v>
      </c>
      <c r="J741" s="3" t="inlineStr">
        <is>
          <t>연서면</t>
        </is>
      </c>
    </row>
    <row r="742">
      <c r="A742" s="3" t="n">
        <v>2022</v>
      </c>
      <c r="B742" s="4" t="n">
        <v>500</v>
      </c>
      <c r="C742" s="4" t="n">
        <v>31</v>
      </c>
      <c r="D742" s="3" t="inlineStr">
        <is>
          <t>조치원읍</t>
        </is>
      </c>
      <c r="E742" s="3" t="inlineStr">
        <is>
          <t>신안리</t>
        </is>
      </c>
      <c r="F742" s="3" t="inlineStr">
        <is>
          <t>제2종일반주거지역</t>
        </is>
      </c>
      <c r="G742" s="3" t="inlineStr">
        <is>
          <t>대</t>
        </is>
      </c>
      <c r="H742" s="4" t="n">
        <v>9.3775</v>
      </c>
      <c r="I742" s="5" t="n">
        <v>53.3</v>
      </c>
      <c r="J742" s="3" t="inlineStr">
        <is>
          <t>조치원읍</t>
        </is>
      </c>
    </row>
    <row r="743">
      <c r="A743" s="3" t="n">
        <v>2022</v>
      </c>
      <c r="B743" s="4" t="n">
        <v>8000</v>
      </c>
      <c r="C743" s="4" t="n">
        <v>102</v>
      </c>
      <c r="D743" s="3" t="inlineStr">
        <is>
          <t>조치원읍</t>
        </is>
      </c>
      <c r="E743" s="3" t="inlineStr">
        <is>
          <t>신흥리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30.855</v>
      </c>
      <c r="I743" s="5" t="n">
        <v>259.3</v>
      </c>
      <c r="J743" s="3" t="inlineStr">
        <is>
          <t>조치원읍</t>
        </is>
      </c>
    </row>
    <row r="744">
      <c r="A744" s="3" t="n">
        <v>2023</v>
      </c>
      <c r="B744" s="4" t="n">
        <v>94926</v>
      </c>
      <c r="C744" s="4" t="n">
        <v>1728</v>
      </c>
      <c r="D744" s="3" t="inlineStr">
        <is>
          <t>부강면</t>
        </is>
      </c>
      <c r="E744" s="3" t="inlineStr">
        <is>
          <t>등곡리</t>
        </is>
      </c>
      <c r="F744" s="3" t="inlineStr">
        <is>
          <t>계획관리지역</t>
        </is>
      </c>
      <c r="G744" s="3" t="inlineStr">
        <is>
          <t>공장용지</t>
        </is>
      </c>
      <c r="H744" s="4" t="n">
        <v>522.72</v>
      </c>
      <c r="I744" s="5" t="n">
        <v>181.6</v>
      </c>
      <c r="J744" s="3" t="inlineStr">
        <is>
          <t>부강면</t>
        </is>
      </c>
    </row>
    <row r="745">
      <c r="A745" s="3" t="n">
        <v>2023</v>
      </c>
      <c r="B745" s="4" t="n">
        <v>43000</v>
      </c>
      <c r="C745" s="4" t="n">
        <v>303</v>
      </c>
      <c r="D745" s="3" t="inlineStr">
        <is>
          <t>연동면</t>
        </is>
      </c>
      <c r="E745" s="3" t="inlineStr">
        <is>
          <t>내판리</t>
        </is>
      </c>
      <c r="F745" s="3" t="inlineStr">
        <is>
          <t>계획관리지역</t>
        </is>
      </c>
      <c r="G745" s="3" t="inlineStr">
        <is>
          <t>과수원</t>
        </is>
      </c>
      <c r="H745" s="4" t="n">
        <v>91.6575</v>
      </c>
      <c r="I745" s="5" t="n">
        <v>469.1</v>
      </c>
      <c r="J745" s="3" t="inlineStr">
        <is>
          <t>연동면</t>
        </is>
      </c>
    </row>
    <row r="746">
      <c r="A746" s="3" t="n">
        <v>2023</v>
      </c>
      <c r="B746" s="4" t="n">
        <v>2000</v>
      </c>
      <c r="C746" s="4" t="n">
        <v>70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대</t>
        </is>
      </c>
      <c r="H746" s="4" t="n">
        <v>21.175</v>
      </c>
      <c r="I746" s="5" t="n">
        <v>94.5</v>
      </c>
      <c r="J746" s="3" t="inlineStr">
        <is>
          <t>연서면</t>
        </is>
      </c>
    </row>
    <row r="747">
      <c r="A747" s="3" t="n">
        <v>2023</v>
      </c>
      <c r="B747" s="4" t="n">
        <v>3200</v>
      </c>
      <c r="C747" s="4" t="n">
        <v>66</v>
      </c>
      <c r="D747" s="3" t="inlineStr">
        <is>
          <t>연서면</t>
        </is>
      </c>
      <c r="E747" s="3" t="inlineStr">
        <is>
          <t>봉암리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19.965</v>
      </c>
      <c r="I747" s="5" t="n">
        <v>160.3</v>
      </c>
      <c r="J747" s="3" t="inlineStr">
        <is>
          <t>연서면</t>
        </is>
      </c>
    </row>
    <row r="748">
      <c r="A748" s="3" t="n">
        <v>2023</v>
      </c>
      <c r="B748" s="4" t="n">
        <v>4000</v>
      </c>
      <c r="C748" s="4" t="n">
        <v>65</v>
      </c>
      <c r="D748" s="3" t="inlineStr">
        <is>
          <t>연서면</t>
        </is>
      </c>
      <c r="E748" s="3" t="inlineStr">
        <is>
          <t>봉암리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19.6625</v>
      </c>
      <c r="I748" s="5" t="n">
        <v>203.4</v>
      </c>
      <c r="J748" s="3" t="inlineStr">
        <is>
          <t>연서면</t>
        </is>
      </c>
    </row>
    <row r="749">
      <c r="A749" s="3" t="n">
        <v>2023</v>
      </c>
      <c r="B749" s="4" t="n">
        <v>2837</v>
      </c>
      <c r="C749" s="4" t="n">
        <v>67</v>
      </c>
      <c r="D749" s="3" t="inlineStr">
        <is>
          <t>연동면</t>
        </is>
      </c>
      <c r="E749" s="3" t="inlineStr">
        <is>
          <t>명학리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20.2675</v>
      </c>
      <c r="I749" s="5" t="n">
        <v>140</v>
      </c>
      <c r="J749" s="3" t="inlineStr">
        <is>
          <t>연동면</t>
        </is>
      </c>
    </row>
    <row r="750">
      <c r="A750" s="3" t="n">
        <v>2023</v>
      </c>
      <c r="B750" s="4" t="n">
        <v>52500</v>
      </c>
      <c r="C750" s="4" t="n">
        <v>335</v>
      </c>
      <c r="D750" s="3" t="inlineStr">
        <is>
          <t>고운동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101.3375</v>
      </c>
      <c r="I750" s="5" t="n">
        <v>518.1</v>
      </c>
      <c r="J750" s="3" t="inlineStr">
        <is>
          <t>고운동</t>
        </is>
      </c>
    </row>
    <row r="751">
      <c r="A751" s="3" t="n">
        <v>2023</v>
      </c>
      <c r="B751" s="4" t="n">
        <v>2500</v>
      </c>
      <c r="C751" s="4" t="n">
        <v>8</v>
      </c>
      <c r="D751" s="3" t="inlineStr">
        <is>
          <t>조치원읍</t>
        </is>
      </c>
      <c r="E751" s="3" t="inlineStr">
        <is>
          <t>신안리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2.42</v>
      </c>
      <c r="I751" s="5" t="n">
        <v>1033.1</v>
      </c>
      <c r="J751" s="3" t="inlineStr">
        <is>
          <t>조치원읍</t>
        </is>
      </c>
    </row>
    <row r="752">
      <c r="A752" s="3" t="n">
        <v>2023</v>
      </c>
      <c r="B752" s="4" t="n">
        <v>2500</v>
      </c>
      <c r="C752" s="4" t="n">
        <v>9</v>
      </c>
      <c r="D752" s="3" t="inlineStr">
        <is>
          <t>조치원읍</t>
        </is>
      </c>
      <c r="E752" s="3" t="inlineStr">
        <is>
          <t>신안리</t>
        </is>
      </c>
      <c r="F752" s="3" t="inlineStr">
        <is>
          <t>제2종일반주거지역</t>
        </is>
      </c>
      <c r="G752" s="3" t="inlineStr">
        <is>
          <t>도로</t>
        </is>
      </c>
      <c r="H752" s="4" t="n">
        <v>2.7225</v>
      </c>
      <c r="I752" s="5" t="n">
        <v>918.3</v>
      </c>
      <c r="J752" s="3" t="inlineStr">
        <is>
          <t>조치원읍</t>
        </is>
      </c>
    </row>
    <row r="753">
      <c r="A753" s="3" t="n">
        <v>2023</v>
      </c>
      <c r="B753" s="4" t="n">
        <v>126900</v>
      </c>
      <c r="C753" s="4" t="n">
        <v>1556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470.69</v>
      </c>
      <c r="I753" s="5" t="n">
        <v>269.6</v>
      </c>
      <c r="J753" s="3" t="inlineStr">
        <is>
          <t>연서면</t>
        </is>
      </c>
    </row>
    <row r="754">
      <c r="A754" s="3" t="n">
        <v>2024</v>
      </c>
      <c r="B754" s="4" t="n">
        <v>4538</v>
      </c>
      <c r="C754" s="4" t="n">
        <v>50</v>
      </c>
      <c r="D754" s="3" t="inlineStr">
        <is>
          <t>연서면</t>
        </is>
      </c>
      <c r="E754" s="3" t="inlineStr">
        <is>
          <t>신대리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15.125</v>
      </c>
      <c r="I754" s="5" t="n">
        <v>300</v>
      </c>
      <c r="J754" s="3" t="inlineStr">
        <is>
          <t>연서면</t>
        </is>
      </c>
    </row>
    <row r="755">
      <c r="A755" s="3" t="n">
        <v>2022</v>
      </c>
      <c r="B755" s="4" t="n">
        <v>37000</v>
      </c>
      <c r="C755" s="4" t="n">
        <v>504</v>
      </c>
      <c r="D755" s="3" t="inlineStr">
        <is>
          <t>연서면</t>
        </is>
      </c>
      <c r="E755" s="3" t="inlineStr">
        <is>
          <t>와촌리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152.46</v>
      </c>
      <c r="I755" s="5" t="n">
        <v>242.7</v>
      </c>
      <c r="J755" s="3" t="inlineStr">
        <is>
          <t>연서면</t>
        </is>
      </c>
    </row>
    <row r="756">
      <c r="A756" s="3" t="n">
        <v>2022</v>
      </c>
      <c r="B756" s="4" t="n">
        <v>38000</v>
      </c>
      <c r="C756" s="4" t="n">
        <v>1583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478.8575</v>
      </c>
      <c r="I756" s="5" t="n">
        <v>79.40000000000001</v>
      </c>
      <c r="J756" s="3" t="inlineStr">
        <is>
          <t>연서면</t>
        </is>
      </c>
    </row>
    <row r="757">
      <c r="A757" s="3" t="n">
        <v>2022</v>
      </c>
      <c r="B757" s="4" t="n">
        <v>2000</v>
      </c>
      <c r="C757" s="4" t="n">
        <v>49</v>
      </c>
      <c r="D757" s="3" t="inlineStr">
        <is>
          <t>부강면</t>
        </is>
      </c>
      <c r="E757" s="3" t="inlineStr">
        <is>
          <t>문곡리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14.8225</v>
      </c>
      <c r="I757" s="5" t="n">
        <v>134.9</v>
      </c>
      <c r="J757" s="3" t="inlineStr">
        <is>
          <t>부강면</t>
        </is>
      </c>
    </row>
    <row r="758">
      <c r="A758" s="3" t="n">
        <v>2022</v>
      </c>
      <c r="B758" s="4" t="n">
        <v>76000</v>
      </c>
      <c r="C758" s="4" t="n">
        <v>1482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448.305</v>
      </c>
      <c r="I758" s="5" t="n">
        <v>169.5</v>
      </c>
      <c r="J758" s="3" t="inlineStr">
        <is>
          <t>부강면</t>
        </is>
      </c>
    </row>
    <row r="759">
      <c r="A759" s="3" t="n">
        <v>2022</v>
      </c>
      <c r="B759" s="4" t="n">
        <v>1500</v>
      </c>
      <c r="C759" s="4" t="n">
        <v>981</v>
      </c>
      <c r="D759" s="3" t="inlineStr">
        <is>
          <t>부강면</t>
        </is>
      </c>
      <c r="E759" s="3" t="inlineStr">
        <is>
          <t>갈산리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296.7525</v>
      </c>
      <c r="I759" s="5" t="n">
        <v>5.1</v>
      </c>
      <c r="J759" s="3" t="inlineStr">
        <is>
          <t>부강면</t>
        </is>
      </c>
    </row>
    <row r="760">
      <c r="A760" s="3" t="n">
        <v>2022</v>
      </c>
      <c r="B760" s="4" t="n">
        <v>21000</v>
      </c>
      <c r="C760" s="4" t="n">
        <v>265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80.16249999999999</v>
      </c>
      <c r="I760" s="5" t="n">
        <v>262</v>
      </c>
      <c r="J760" s="3" t="inlineStr">
        <is>
          <t>연동면</t>
        </is>
      </c>
    </row>
    <row r="761">
      <c r="A761" s="3" t="n">
        <v>2022</v>
      </c>
      <c r="B761" s="4" t="n">
        <v>80000</v>
      </c>
      <c r="C761" s="4" t="n">
        <v>3306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1000.065</v>
      </c>
      <c r="I761" s="5" t="n">
        <v>80</v>
      </c>
      <c r="J761" s="3" t="inlineStr">
        <is>
          <t>연동면</t>
        </is>
      </c>
    </row>
    <row r="762">
      <c r="A762" s="3" t="n">
        <v>2022</v>
      </c>
      <c r="B762" s="4" t="n">
        <v>7606</v>
      </c>
      <c r="C762" s="4" t="n">
        <v>323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97.7075</v>
      </c>
      <c r="I762" s="5" t="n">
        <v>77.8</v>
      </c>
      <c r="J762" s="3" t="inlineStr">
        <is>
          <t>부강면</t>
        </is>
      </c>
    </row>
    <row r="763">
      <c r="A763" s="3" t="n">
        <v>2022</v>
      </c>
      <c r="B763" s="4" t="n">
        <v>30000</v>
      </c>
      <c r="C763" s="4" t="n">
        <v>1144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전</t>
        </is>
      </c>
      <c r="H763" s="4" t="n">
        <v>346.06</v>
      </c>
      <c r="I763" s="5" t="n">
        <v>86.7</v>
      </c>
      <c r="J763" s="3" t="inlineStr">
        <is>
          <t>부강면</t>
        </is>
      </c>
    </row>
    <row r="764">
      <c r="A764" s="3" t="n">
        <v>2022</v>
      </c>
      <c r="B764" s="4" t="n">
        <v>12000</v>
      </c>
      <c r="C764" s="4" t="n">
        <v>992</v>
      </c>
      <c r="D764" s="3" t="inlineStr">
        <is>
          <t>연동면</t>
        </is>
      </c>
      <c r="E764" s="3" t="inlineStr">
        <is>
          <t>명학리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300.08</v>
      </c>
      <c r="I764" s="5" t="n">
        <v>40</v>
      </c>
      <c r="J764" s="3" t="inlineStr">
        <is>
          <t>연동면</t>
        </is>
      </c>
    </row>
    <row r="765">
      <c r="A765" s="3" t="n">
        <v>2022</v>
      </c>
      <c r="B765" s="4" t="n">
        <v>20320</v>
      </c>
      <c r="C765" s="4" t="n">
        <v>498</v>
      </c>
      <c r="D765" s="3" t="inlineStr">
        <is>
          <t>연서면</t>
        </is>
      </c>
      <c r="E765" s="3" t="inlineStr">
        <is>
          <t>쌍류리</t>
        </is>
      </c>
      <c r="F765" s="3" t="inlineStr">
        <is>
          <t>생산관리지역</t>
        </is>
      </c>
      <c r="G765" s="3" t="inlineStr">
        <is>
          <t>과수원</t>
        </is>
      </c>
      <c r="H765" s="4" t="n">
        <v>150.645</v>
      </c>
      <c r="I765" s="5" t="n">
        <v>134.9</v>
      </c>
      <c r="J765" s="3" t="inlineStr">
        <is>
          <t>연서면</t>
        </is>
      </c>
    </row>
    <row r="766">
      <c r="A766" s="3" t="n">
        <v>2022</v>
      </c>
      <c r="B766" s="4" t="n">
        <v>4240</v>
      </c>
      <c r="C766" s="4" t="n">
        <v>104</v>
      </c>
      <c r="D766" s="3" t="inlineStr">
        <is>
          <t>연서면</t>
        </is>
      </c>
      <c r="E766" s="3" t="inlineStr">
        <is>
          <t>쌍류리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31.46</v>
      </c>
      <c r="I766" s="5" t="n">
        <v>134.8</v>
      </c>
      <c r="J766" s="3" t="inlineStr">
        <is>
          <t>연서면</t>
        </is>
      </c>
    </row>
    <row r="767">
      <c r="A767" s="3" t="n">
        <v>2022</v>
      </c>
      <c r="B767" s="4" t="n">
        <v>13000</v>
      </c>
      <c r="C767" s="4" t="n">
        <v>861</v>
      </c>
      <c r="D767" s="3" t="inlineStr">
        <is>
          <t>조치원읍</t>
        </is>
      </c>
      <c r="E767" s="3" t="inlineStr">
        <is>
          <t>봉산리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260.4525</v>
      </c>
      <c r="I767" s="5" t="n">
        <v>49.9</v>
      </c>
      <c r="J767" s="3" t="inlineStr">
        <is>
          <t>조치원읍</t>
        </is>
      </c>
    </row>
    <row r="768">
      <c r="A768" s="3" t="n">
        <v>2022</v>
      </c>
      <c r="B768" s="4" t="n">
        <v>4000</v>
      </c>
      <c r="C768" s="4" t="n">
        <v>327</v>
      </c>
      <c r="D768" s="3" t="inlineStr">
        <is>
          <t>연서면</t>
        </is>
      </c>
      <c r="E768" s="3" t="inlineStr">
        <is>
          <t>청라리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98.9175</v>
      </c>
      <c r="I768" s="5" t="n">
        <v>40.4</v>
      </c>
      <c r="J768" s="3" t="inlineStr">
        <is>
          <t>연서면</t>
        </is>
      </c>
    </row>
    <row r="769">
      <c r="A769" s="3" t="n">
        <v>2022</v>
      </c>
      <c r="B769" s="4" t="n">
        <v>50000</v>
      </c>
      <c r="C769" s="4" t="n">
        <v>585</v>
      </c>
      <c r="D769" s="3" t="inlineStr">
        <is>
          <t>연동면</t>
        </is>
      </c>
      <c r="E769" s="3" t="inlineStr">
        <is>
          <t>문주리</t>
        </is>
      </c>
      <c r="F769" s="3" t="inlineStr">
        <is>
          <t>계획관리지역</t>
        </is>
      </c>
      <c r="G769" s="3" t="inlineStr">
        <is>
          <t>대</t>
        </is>
      </c>
      <c r="H769" s="4" t="n">
        <v>176.9625</v>
      </c>
      <c r="I769" s="5" t="n">
        <v>282.5</v>
      </c>
      <c r="J769" s="3" t="inlineStr">
        <is>
          <t>연동면</t>
        </is>
      </c>
    </row>
    <row r="770">
      <c r="A770" s="3" t="n">
        <v>2023</v>
      </c>
      <c r="B770" s="4" t="n">
        <v>13246</v>
      </c>
      <c r="C770" s="4" t="n">
        <v>370</v>
      </c>
      <c r="D770" s="3" t="inlineStr">
        <is>
          <t>연서면</t>
        </is>
      </c>
      <c r="E770" s="3" t="inlineStr">
        <is>
          <t>쌍전리</t>
        </is>
      </c>
      <c r="F770" s="3" t="inlineStr">
        <is>
          <t>계획관리지역</t>
        </is>
      </c>
      <c r="G770" s="3" t="inlineStr">
        <is>
          <t>구거</t>
        </is>
      </c>
      <c r="H770" s="4" t="n">
        <v>111.925</v>
      </c>
      <c r="I770" s="5" t="n">
        <v>118.3</v>
      </c>
      <c r="J770" s="3" t="inlineStr">
        <is>
          <t>연서면</t>
        </is>
      </c>
    </row>
    <row r="771">
      <c r="A771" s="3" t="n">
        <v>2023</v>
      </c>
      <c r="B771" s="4" t="n">
        <v>44100</v>
      </c>
      <c r="C771" s="4" t="n">
        <v>418</v>
      </c>
      <c r="D771" s="3" t="inlineStr">
        <is>
          <t>조치원읍</t>
        </is>
      </c>
      <c r="E771" s="3" t="inlineStr">
        <is>
          <t>죽림리</t>
        </is>
      </c>
      <c r="F771" s="3" t="inlineStr">
        <is>
          <t>제2종일반주거지역</t>
        </is>
      </c>
      <c r="G771" s="3" t="inlineStr">
        <is>
          <t>과수원</t>
        </is>
      </c>
      <c r="H771" s="4" t="n">
        <v>126.445</v>
      </c>
      <c r="I771" s="5" t="n">
        <v>348.8</v>
      </c>
      <c r="J771" s="3" t="inlineStr">
        <is>
          <t>조치원읍</t>
        </is>
      </c>
    </row>
    <row r="772">
      <c r="A772" s="3" t="n">
        <v>2023</v>
      </c>
      <c r="B772" s="4" t="n">
        <v>8200</v>
      </c>
      <c r="C772" s="4" t="n">
        <v>286</v>
      </c>
      <c r="D772" s="3" t="inlineStr">
        <is>
          <t>연서면</t>
        </is>
      </c>
      <c r="E772" s="3" t="inlineStr">
        <is>
          <t>쌍류리</t>
        </is>
      </c>
      <c r="F772" s="3" t="inlineStr">
        <is>
          <t>생산관리지역</t>
        </is>
      </c>
      <c r="G772" s="3" t="inlineStr">
        <is>
          <t>과수원</t>
        </is>
      </c>
      <c r="H772" s="4" t="n">
        <v>86.515</v>
      </c>
      <c r="I772" s="5" t="n">
        <v>94.8</v>
      </c>
      <c r="J772" s="3" t="inlineStr">
        <is>
          <t>연서면</t>
        </is>
      </c>
    </row>
    <row r="773">
      <c r="A773" s="3" t="n">
        <v>2023</v>
      </c>
      <c r="B773" s="4" t="n">
        <v>8500</v>
      </c>
      <c r="C773" s="4" t="n">
        <v>297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답</t>
        </is>
      </c>
      <c r="H773" s="4" t="n">
        <v>89.8425</v>
      </c>
      <c r="I773" s="5" t="n">
        <v>94.59999999999999</v>
      </c>
      <c r="J773" s="3" t="inlineStr">
        <is>
          <t>연서면</t>
        </is>
      </c>
    </row>
    <row r="774">
      <c r="A774" s="3" t="n">
        <v>2023</v>
      </c>
      <c r="B774" s="4" t="n">
        <v>92000</v>
      </c>
      <c r="C774" s="4" t="n">
        <v>581</v>
      </c>
      <c r="D774" s="3" t="inlineStr">
        <is>
          <t>조치원읍</t>
        </is>
      </c>
      <c r="E774" s="3" t="inlineStr">
        <is>
          <t>번암리</t>
        </is>
      </c>
      <c r="F774" s="3" t="inlineStr">
        <is>
          <t>제2종일반주거지역</t>
        </is>
      </c>
      <c r="G774" s="3" t="inlineStr">
        <is>
          <t>과수원</t>
        </is>
      </c>
      <c r="H774" s="4" t="n">
        <v>175.7525</v>
      </c>
      <c r="I774" s="5" t="n">
        <v>523.5</v>
      </c>
      <c r="J774" s="3" t="inlineStr">
        <is>
          <t>조치원읍</t>
        </is>
      </c>
    </row>
    <row r="775">
      <c r="A775" s="3" t="n">
        <v>2023</v>
      </c>
      <c r="B775" s="4" t="n">
        <v>36000</v>
      </c>
      <c r="C775" s="4" t="n">
        <v>657</v>
      </c>
      <c r="D775" s="3" t="inlineStr">
        <is>
          <t>부강면</t>
        </is>
      </c>
      <c r="E775" s="3" t="inlineStr">
        <is>
          <t>노호리</t>
        </is>
      </c>
      <c r="F775" s="3" t="inlineStr">
        <is>
          <t>계획관리지역</t>
        </is>
      </c>
      <c r="G775" s="3" t="inlineStr">
        <is>
          <t>잡종지</t>
        </is>
      </c>
      <c r="H775" s="4" t="n">
        <v>198.7425</v>
      </c>
      <c r="I775" s="5" t="n">
        <v>181.1</v>
      </c>
      <c r="J775" s="3" t="inlineStr">
        <is>
          <t>부강면</t>
        </is>
      </c>
    </row>
    <row r="776">
      <c r="A776" s="3" t="n">
        <v>2023</v>
      </c>
      <c r="B776" s="4" t="n">
        <v>20000</v>
      </c>
      <c r="C776" s="4" t="n">
        <v>566</v>
      </c>
      <c r="D776" s="3" t="inlineStr">
        <is>
          <t>연서면</t>
        </is>
      </c>
      <c r="E776" s="3" t="inlineStr">
        <is>
          <t>쌍류리</t>
        </is>
      </c>
      <c r="F776" s="3" t="inlineStr">
        <is>
          <t>생산관리지역</t>
        </is>
      </c>
      <c r="G776" s="3" t="inlineStr">
        <is>
          <t>답</t>
        </is>
      </c>
      <c r="H776" s="4" t="n">
        <v>171.215</v>
      </c>
      <c r="I776" s="5" t="n">
        <v>116.8</v>
      </c>
      <c r="J776" s="3" t="inlineStr">
        <is>
          <t>연서면</t>
        </is>
      </c>
    </row>
    <row r="777">
      <c r="A777" s="3" t="n">
        <v>2022</v>
      </c>
      <c r="B777" s="4" t="n">
        <v>15294</v>
      </c>
      <c r="C777" s="4" t="n">
        <v>636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보전관리지역</t>
        </is>
      </c>
      <c r="G777" s="3" t="inlineStr">
        <is>
          <t>임야</t>
        </is>
      </c>
      <c r="H777" s="4" t="n">
        <v>192.39</v>
      </c>
      <c r="I777" s="5" t="n">
        <v>79.5</v>
      </c>
      <c r="J777" s="3" t="inlineStr">
        <is>
          <t>부강면</t>
        </is>
      </c>
    </row>
    <row r="778">
      <c r="A778" s="3" t="n">
        <v>2024</v>
      </c>
      <c r="B778" s="4" t="n">
        <v>7169</v>
      </c>
      <c r="C778" s="4" t="n">
        <v>79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보전관리지역</t>
        </is>
      </c>
      <c r="G778" s="3" t="inlineStr">
        <is>
          <t>전</t>
        </is>
      </c>
      <c r="H778" s="4" t="n">
        <v>23.8975</v>
      </c>
      <c r="I778" s="5" t="n">
        <v>300</v>
      </c>
      <c r="J778" s="3" t="inlineStr">
        <is>
          <t>연서면</t>
        </is>
      </c>
    </row>
    <row r="779">
      <c r="A779" s="3" t="n">
        <v>2024</v>
      </c>
      <c r="B779" s="4" t="n">
        <v>3388</v>
      </c>
      <c r="C779" s="4" t="n">
        <v>40</v>
      </c>
      <c r="D779" s="3" t="inlineStr">
        <is>
          <t>연서면</t>
        </is>
      </c>
      <c r="E779" s="3" t="inlineStr">
        <is>
          <t>신대리</t>
        </is>
      </c>
      <c r="F779" s="3" t="inlineStr">
        <is>
          <t>계획관리지역</t>
        </is>
      </c>
      <c r="G779" s="3" t="inlineStr">
        <is>
          <t>과수원</t>
        </is>
      </c>
      <c r="H779" s="4" t="n">
        <v>12.1</v>
      </c>
      <c r="I779" s="5" t="n">
        <v>280</v>
      </c>
      <c r="J779" s="3" t="inlineStr">
        <is>
          <t>연서면</t>
        </is>
      </c>
    </row>
    <row r="780">
      <c r="A780" s="3" t="n">
        <v>2024</v>
      </c>
      <c r="B780" s="4" t="n">
        <v>1609</v>
      </c>
      <c r="C780" s="4" t="n">
        <v>19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5.7475</v>
      </c>
      <c r="I780" s="5" t="n">
        <v>279.9</v>
      </c>
      <c r="J780" s="3" t="inlineStr">
        <is>
          <t>연서면</t>
        </is>
      </c>
    </row>
    <row r="781">
      <c r="A781" s="3" t="n">
        <v>2024</v>
      </c>
      <c r="B781" s="4" t="n">
        <v>36421</v>
      </c>
      <c r="C781" s="4" t="n">
        <v>430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130.075</v>
      </c>
      <c r="I781" s="5" t="n">
        <v>280</v>
      </c>
      <c r="J781" s="3" t="inlineStr">
        <is>
          <t>연서면</t>
        </is>
      </c>
    </row>
    <row r="782">
      <c r="A782" s="3" t="n">
        <v>2024</v>
      </c>
      <c r="B782" s="4" t="n">
        <v>6098</v>
      </c>
      <c r="C782" s="4" t="n">
        <v>72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21.78</v>
      </c>
      <c r="I782" s="5" t="n">
        <v>280</v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49</v>
      </c>
      <c r="D783" s="3" t="inlineStr">
        <is>
          <t>부강면</t>
        </is>
      </c>
      <c r="E783" s="3" t="inlineStr">
        <is>
          <t>문곡리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14.8225</v>
      </c>
      <c r="I783" s="5" t="n">
        <v>134.9</v>
      </c>
      <c r="J783" s="3" t="inlineStr">
        <is>
          <t>부강면</t>
        </is>
      </c>
    </row>
    <row r="784">
      <c r="A784" s="3" t="n">
        <v>2022</v>
      </c>
      <c r="B784" s="4" t="n">
        <v>76000</v>
      </c>
      <c r="C784" s="4" t="n">
        <v>1482</v>
      </c>
      <c r="D784" s="3" t="inlineStr">
        <is>
          <t>부강면</t>
        </is>
      </c>
      <c r="E784" s="3" t="inlineStr">
        <is>
          <t>문곡리</t>
        </is>
      </c>
      <c r="F784" s="3" t="inlineStr">
        <is>
          <t>계획관리지역</t>
        </is>
      </c>
      <c r="G784" s="3" t="inlineStr">
        <is>
          <t>전</t>
        </is>
      </c>
      <c r="H784" s="4" t="n">
        <v>448.305</v>
      </c>
      <c r="I784" s="5" t="n">
        <v>169.5</v>
      </c>
      <c r="J784" s="3" t="inlineStr">
        <is>
          <t>부강면</t>
        </is>
      </c>
    </row>
    <row r="785">
      <c r="A785" s="3" t="n">
        <v>2022</v>
      </c>
      <c r="B785" s="4" t="n">
        <v>1200</v>
      </c>
      <c r="C785" s="4" t="n">
        <v>512</v>
      </c>
      <c r="D785" s="3" t="inlineStr">
        <is>
          <t>연서면</t>
        </is>
      </c>
      <c r="E785" s="3" t="inlineStr">
        <is>
          <t>봉암리</t>
        </is>
      </c>
      <c r="F785" s="3" t="inlineStr">
        <is>
          <t>계획관리지역</t>
        </is>
      </c>
      <c r="G785" s="3" t="inlineStr">
        <is>
          <t>도로</t>
        </is>
      </c>
      <c r="H785" s="4" t="n">
        <v>154.88</v>
      </c>
      <c r="I785" s="5" t="n">
        <v>7.7</v>
      </c>
      <c r="J785" s="3" t="inlineStr">
        <is>
          <t>연서면</t>
        </is>
      </c>
    </row>
    <row r="786">
      <c r="A786" s="3" t="n">
        <v>2022</v>
      </c>
      <c r="B786" s="4" t="n">
        <v>33000</v>
      </c>
      <c r="C786" s="4" t="n">
        <v>2023</v>
      </c>
      <c r="D786" s="3" t="inlineStr">
        <is>
          <t>연서면</t>
        </is>
      </c>
      <c r="E786" s="3" t="inlineStr">
        <is>
          <t>청라리</t>
        </is>
      </c>
      <c r="F786" s="3" t="inlineStr">
        <is>
          <t>생산관리지역</t>
        </is>
      </c>
      <c r="G786" s="3" t="inlineStr">
        <is>
          <t>답</t>
        </is>
      </c>
      <c r="H786" s="4" t="n">
        <v>611.9575</v>
      </c>
      <c r="I786" s="5" t="n">
        <v>53.9</v>
      </c>
      <c r="J786" s="3" t="inlineStr">
        <is>
          <t>연서면</t>
        </is>
      </c>
    </row>
    <row r="787">
      <c r="A787" s="3" t="n">
        <v>2022</v>
      </c>
      <c r="B787" s="4" t="n">
        <v>2000</v>
      </c>
      <c r="C787" s="4" t="n">
        <v>233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보전관리지역</t>
        </is>
      </c>
      <c r="G787" s="3" t="inlineStr">
        <is>
          <t>임야</t>
        </is>
      </c>
      <c r="H787" s="4" t="n">
        <v>70.4825</v>
      </c>
      <c r="I787" s="5" t="n">
        <v>28.4</v>
      </c>
      <c r="J787" s="3" t="inlineStr">
        <is>
          <t>부강면</t>
        </is>
      </c>
    </row>
    <row r="788">
      <c r="A788" s="3" t="n">
        <v>2022</v>
      </c>
      <c r="B788" s="4" t="n">
        <v>20000</v>
      </c>
      <c r="C788" s="4" t="n">
        <v>1120</v>
      </c>
      <c r="D788" s="3" t="inlineStr">
        <is>
          <t>연서면</t>
        </is>
      </c>
      <c r="E788" s="3" t="inlineStr">
        <is>
          <t>기룡리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338.8</v>
      </c>
      <c r="I788" s="5" t="n">
        <v>59</v>
      </c>
      <c r="J788" s="3" t="inlineStr">
        <is>
          <t>연서면</t>
        </is>
      </c>
    </row>
    <row r="789">
      <c r="A789" s="3" t="n">
        <v>2022</v>
      </c>
      <c r="B789" s="4" t="n">
        <v>263248</v>
      </c>
      <c r="C789" s="4" t="n">
        <v>6216</v>
      </c>
      <c r="D789" s="3" t="inlineStr">
        <is>
          <t>부강면</t>
        </is>
      </c>
      <c r="E789" s="3" t="inlineStr">
        <is>
          <t>금호리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1880.34</v>
      </c>
      <c r="I789" s="5" t="n">
        <v>140</v>
      </c>
      <c r="J789" s="3" t="inlineStr">
        <is>
          <t>부강면</t>
        </is>
      </c>
    </row>
    <row r="790">
      <c r="A790" s="3" t="n">
        <v>2022</v>
      </c>
      <c r="B790" s="4" t="n">
        <v>116000</v>
      </c>
      <c r="C790" s="4" t="n">
        <v>660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잡종지</t>
        </is>
      </c>
      <c r="H790" s="4" t="n">
        <v>199.65</v>
      </c>
      <c r="I790" s="5" t="n">
        <v>581</v>
      </c>
      <c r="J790" s="3" t="inlineStr">
        <is>
          <t>부강면</t>
        </is>
      </c>
    </row>
    <row r="791">
      <c r="A791" s="3" t="n">
        <v>2022</v>
      </c>
      <c r="B791" s="4" t="n">
        <v>5400</v>
      </c>
      <c r="C791" s="4" t="n">
        <v>324</v>
      </c>
      <c r="D791" s="3" t="inlineStr">
        <is>
          <t>연서면</t>
        </is>
      </c>
      <c r="E791" s="3" t="inlineStr">
        <is>
          <t>용암리</t>
        </is>
      </c>
      <c r="F791" s="3" t="inlineStr">
        <is>
          <t>보전관리지역</t>
        </is>
      </c>
      <c r="G791" s="3" t="inlineStr">
        <is>
          <t>전</t>
        </is>
      </c>
      <c r="H791" s="4" t="n">
        <v>98.00999999999999</v>
      </c>
      <c r="I791" s="5" t="n">
        <v>55.1</v>
      </c>
      <c r="J791" s="3" t="inlineStr">
        <is>
          <t>연서면</t>
        </is>
      </c>
    </row>
    <row r="792">
      <c r="A792" s="3" t="n">
        <v>2022</v>
      </c>
      <c r="B792" s="4" t="n">
        <v>204952</v>
      </c>
      <c r="C792" s="4" t="n">
        <v>2605</v>
      </c>
      <c r="D792" s="3" t="inlineStr">
        <is>
          <t>조치원읍</t>
        </is>
      </c>
      <c r="E792" s="3" t="inlineStr">
        <is>
          <t>봉산리</t>
        </is>
      </c>
      <c r="F792" s="3" t="inlineStr">
        <is>
          <t>준주거지역</t>
        </is>
      </c>
      <c r="G792" s="3" t="inlineStr">
        <is>
          <t>대</t>
        </is>
      </c>
      <c r="H792" s="4" t="n">
        <v>788.0124999999999</v>
      </c>
      <c r="I792" s="5" t="n">
        <v>260.1</v>
      </c>
      <c r="J792" s="3" t="inlineStr">
        <is>
          <t>조치원읍</t>
        </is>
      </c>
    </row>
    <row r="793">
      <c r="A793" s="3" t="n">
        <v>2022</v>
      </c>
      <c r="B793" s="4" t="n">
        <v>5127</v>
      </c>
      <c r="C793" s="4" t="n">
        <v>113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34.1825</v>
      </c>
      <c r="I793" s="5" t="n">
        <v>150</v>
      </c>
      <c r="J793" s="3" t="inlineStr">
        <is>
          <t>연서면</t>
        </is>
      </c>
    </row>
    <row r="794">
      <c r="A794" s="3" t="n">
        <v>2022</v>
      </c>
      <c r="B794" s="4" t="n">
        <v>1600</v>
      </c>
      <c r="C794" s="4" t="n">
        <v>53</v>
      </c>
      <c r="D794" s="3" t="inlineStr">
        <is>
          <t>부강면</t>
        </is>
      </c>
      <c r="E794" s="3" t="inlineStr">
        <is>
          <t>행산리</t>
        </is>
      </c>
      <c r="F794" s="3" t="inlineStr">
        <is>
          <t>농림지역</t>
        </is>
      </c>
      <c r="G794" s="3" t="inlineStr">
        <is>
          <t>전</t>
        </is>
      </c>
      <c r="H794" s="4" t="n">
        <v>16.0325</v>
      </c>
      <c r="I794" s="5" t="n">
        <v>99.8</v>
      </c>
      <c r="J794" s="3" t="inlineStr">
        <is>
          <t>부강면</t>
        </is>
      </c>
    </row>
    <row r="795">
      <c r="A795" s="3" t="n">
        <v>2023</v>
      </c>
      <c r="B795" s="4" t="n">
        <v>141000</v>
      </c>
      <c r="C795" s="4" t="n">
        <v>2496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보전관리지역</t>
        </is>
      </c>
      <c r="G795" s="3" t="inlineStr">
        <is>
          <t>임야</t>
        </is>
      </c>
      <c r="H795" s="4" t="n">
        <v>755.04</v>
      </c>
      <c r="I795" s="5" t="n">
        <v>186.7</v>
      </c>
      <c r="J795" s="3" t="inlineStr">
        <is>
          <t>연서면</t>
        </is>
      </c>
    </row>
    <row r="796">
      <c r="A796" s="3" t="n">
        <v>2023</v>
      </c>
      <c r="B796" s="4" t="n">
        <v>193</v>
      </c>
      <c r="C796" s="4" t="n">
        <v>157</v>
      </c>
      <c r="D796" s="3" t="inlineStr">
        <is>
          <t>연서면</t>
        </is>
      </c>
      <c r="E796" s="3" t="inlineStr">
        <is>
          <t>신대리</t>
        </is>
      </c>
      <c r="F796" s="3" t="inlineStr">
        <is>
          <t>보전관리지역</t>
        </is>
      </c>
      <c r="G796" s="3" t="inlineStr">
        <is>
          <t>임야</t>
        </is>
      </c>
      <c r="H796" s="4" t="n">
        <v>47.4925</v>
      </c>
      <c r="I796" s="5" t="n">
        <v>4.1</v>
      </c>
      <c r="J796" s="3" t="inlineStr">
        <is>
          <t>연서면</t>
        </is>
      </c>
    </row>
    <row r="797">
      <c r="A797" s="3" t="n">
        <v>2023</v>
      </c>
      <c r="B797" s="4" t="n">
        <v>55170</v>
      </c>
      <c r="C797" s="4" t="n">
        <v>3040</v>
      </c>
      <c r="D797" s="3" t="inlineStr">
        <is>
          <t>연서면</t>
        </is>
      </c>
      <c r="E797" s="3" t="inlineStr">
        <is>
          <t>고복리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919.6</v>
      </c>
      <c r="I797" s="5" t="n">
        <v>60</v>
      </c>
      <c r="J797" s="3" t="inlineStr">
        <is>
          <t>연서면</t>
        </is>
      </c>
    </row>
    <row r="798">
      <c r="A798" s="3" t="n">
        <v>2023</v>
      </c>
      <c r="B798" s="4" t="n">
        <v>4000</v>
      </c>
      <c r="C798" s="4" t="n">
        <v>529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160.0225</v>
      </c>
      <c r="I798" s="5" t="n">
        <v>25</v>
      </c>
      <c r="J798" s="3" t="inlineStr">
        <is>
          <t>부강면</t>
        </is>
      </c>
    </row>
    <row r="799">
      <c r="A799" s="3" t="n">
        <v>2023</v>
      </c>
      <c r="B799" s="4" t="n">
        <v>68800</v>
      </c>
      <c r="C799" s="4" t="n">
        <v>567</v>
      </c>
      <c r="D799" s="3" t="inlineStr">
        <is>
          <t>조치원읍</t>
        </is>
      </c>
      <c r="E799" s="3" t="inlineStr">
        <is>
          <t>번암리</t>
        </is>
      </c>
      <c r="F799" s="3" t="inlineStr">
        <is>
          <t>제2종일반주거지역</t>
        </is>
      </c>
      <c r="G799" s="3" t="inlineStr">
        <is>
          <t>답</t>
        </is>
      </c>
      <c r="H799" s="4" t="n">
        <v>171.5175</v>
      </c>
      <c r="I799" s="5" t="n">
        <v>401.1</v>
      </c>
      <c r="J799" s="3" t="inlineStr">
        <is>
          <t>조치원읍</t>
        </is>
      </c>
    </row>
    <row r="800">
      <c r="A800" s="3" t="n">
        <v>2023</v>
      </c>
      <c r="B800" s="4" t="n">
        <v>40765</v>
      </c>
      <c r="C800" s="4" t="n">
        <v>631</v>
      </c>
      <c r="D800" s="3" t="inlineStr">
        <is>
          <t>연서면</t>
        </is>
      </c>
      <c r="E800" s="3" t="inlineStr">
        <is>
          <t>국촌리</t>
        </is>
      </c>
      <c r="F800" s="3" t="inlineStr">
        <is>
          <t>계획관리지역</t>
        </is>
      </c>
      <c r="G800" s="3" t="inlineStr">
        <is>
          <t>대</t>
        </is>
      </c>
      <c r="H800" s="4" t="n">
        <v>190.8775</v>
      </c>
      <c r="I800" s="5" t="n">
        <v>213.6</v>
      </c>
      <c r="J800" s="3" t="inlineStr">
        <is>
          <t>연서면</t>
        </is>
      </c>
    </row>
    <row r="801">
      <c r="A801" s="3" t="n">
        <v>2023</v>
      </c>
      <c r="B801" s="4" t="n">
        <v>7235</v>
      </c>
      <c r="C801" s="4" t="n">
        <v>112</v>
      </c>
      <c r="D801" s="3" t="inlineStr">
        <is>
          <t>연서면</t>
        </is>
      </c>
      <c r="E801" s="3" t="inlineStr">
        <is>
          <t>국촌리</t>
        </is>
      </c>
      <c r="F801" s="3" t="inlineStr">
        <is>
          <t>계획관리지역</t>
        </is>
      </c>
      <c r="G801" s="3" t="inlineStr">
        <is>
          <t>대</t>
        </is>
      </c>
      <c r="H801" s="4" t="n">
        <v>33.88</v>
      </c>
      <c r="I801" s="5" t="n">
        <v>213.5</v>
      </c>
      <c r="J801" s="3" t="inlineStr">
        <is>
          <t>연서면</t>
        </is>
      </c>
    </row>
    <row r="802">
      <c r="A802" s="3" t="n">
        <v>2024</v>
      </c>
      <c r="B802" s="4" t="n">
        <v>6189</v>
      </c>
      <c r="C802" s="4" t="n">
        <v>66</v>
      </c>
      <c r="D802" s="3" t="inlineStr">
        <is>
          <t>연서면</t>
        </is>
      </c>
      <c r="E802" s="3" t="inlineStr">
        <is>
          <t>신대리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19.965</v>
      </c>
      <c r="I802" s="5" t="n">
        <v>310</v>
      </c>
      <c r="J802" s="3" t="inlineStr">
        <is>
          <t>연서면</t>
        </is>
      </c>
    </row>
    <row r="803">
      <c r="A803" s="3" t="n">
        <v>2024</v>
      </c>
      <c r="B803" s="4" t="n">
        <v>13410</v>
      </c>
      <c r="C803" s="4" t="n">
        <v>143</v>
      </c>
      <c r="D803" s="3" t="inlineStr">
        <is>
          <t>연서면</t>
        </is>
      </c>
      <c r="E803" s="3" t="inlineStr">
        <is>
          <t>신대리</t>
        </is>
      </c>
      <c r="F803" s="3" t="inlineStr">
        <is>
          <t>계획관리지역</t>
        </is>
      </c>
      <c r="G803" s="3" t="inlineStr">
        <is>
          <t>목장용지</t>
        </is>
      </c>
      <c r="H803" s="4" t="n">
        <v>43.2575</v>
      </c>
      <c r="I803" s="5" t="n">
        <v>310</v>
      </c>
      <c r="J803" s="3" t="inlineStr">
        <is>
          <t>연서면</t>
        </is>
      </c>
    </row>
    <row r="804">
      <c r="A804" s="3" t="n">
        <v>2024</v>
      </c>
      <c r="B804" s="4" t="n">
        <v>50920</v>
      </c>
      <c r="C804" s="4" t="n">
        <v>543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164.2575</v>
      </c>
      <c r="I804" s="5" t="n">
        <v>310</v>
      </c>
      <c r="J804" s="3" t="inlineStr">
        <is>
          <t>연서면</t>
        </is>
      </c>
    </row>
    <row r="805">
      <c r="A805" s="3" t="n">
        <v>2024</v>
      </c>
      <c r="B805" s="4" t="n">
        <v>6000</v>
      </c>
      <c r="C805" s="4" t="n">
        <v>330</v>
      </c>
      <c r="D805" s="3" t="inlineStr">
        <is>
          <t>부강면</t>
        </is>
      </c>
      <c r="E805" s="3" t="inlineStr">
        <is>
          <t>노호리</t>
        </is>
      </c>
      <c r="F805" s="3" t="inlineStr">
        <is>
          <t>계획관리지역</t>
        </is>
      </c>
      <c r="G805" s="3" t="inlineStr">
        <is>
          <t>철도용지</t>
        </is>
      </c>
      <c r="H805" s="4" t="n">
        <v>99.825</v>
      </c>
      <c r="I805" s="5" t="n">
        <v>60.1</v>
      </c>
      <c r="J805" s="3" t="inlineStr">
        <is>
          <t>부강면</t>
        </is>
      </c>
    </row>
    <row r="806">
      <c r="A806" s="3" t="n">
        <v>2022</v>
      </c>
      <c r="B806" s="4" t="n">
        <v>20520</v>
      </c>
      <c r="C806" s="4" t="n">
        <v>22612</v>
      </c>
      <c r="D806" s="3" t="inlineStr">
        <is>
          <t>연서면</t>
        </is>
      </c>
      <c r="E806" s="3" t="inlineStr">
        <is>
          <t>기룡리</t>
        </is>
      </c>
      <c r="F806" s="3" t="inlineStr">
        <is>
          <t>농림지역</t>
        </is>
      </c>
      <c r="G806" s="3" t="inlineStr">
        <is>
          <t>임야</t>
        </is>
      </c>
      <c r="H806" s="4" t="n">
        <v>6840.13</v>
      </c>
      <c r="I806" s="5" t="n">
        <v>3</v>
      </c>
      <c r="J806" s="3" t="inlineStr">
        <is>
          <t>연서면</t>
        </is>
      </c>
    </row>
    <row r="807">
      <c r="A807" s="3" t="n">
        <v>2022</v>
      </c>
      <c r="B807" s="4" t="n">
        <v>20520</v>
      </c>
      <c r="C807" s="4" t="n">
        <v>22612</v>
      </c>
      <c r="D807" s="3" t="inlineStr">
        <is>
          <t>연서면</t>
        </is>
      </c>
      <c r="E807" s="3" t="inlineStr">
        <is>
          <t>기룡리</t>
        </is>
      </c>
      <c r="F807" s="3" t="inlineStr">
        <is>
          <t>농림지역</t>
        </is>
      </c>
      <c r="G807" s="3" t="inlineStr">
        <is>
          <t>임야</t>
        </is>
      </c>
      <c r="H807" s="4" t="n">
        <v>6840.13</v>
      </c>
      <c r="I807" s="5" t="n">
        <v>3</v>
      </c>
      <c r="J807" s="3" t="inlineStr">
        <is>
          <t>연서면</t>
        </is>
      </c>
    </row>
    <row r="808">
      <c r="A808" s="3" t="n">
        <v>2022</v>
      </c>
      <c r="B808" s="4" t="n">
        <v>132000</v>
      </c>
      <c r="C808" s="4" t="n">
        <v>3725</v>
      </c>
      <c r="D808" s="3" t="inlineStr">
        <is>
          <t>연서면</t>
        </is>
      </c>
      <c r="E808" s="3" t="inlineStr">
        <is>
          <t>성제리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1126.8125</v>
      </c>
      <c r="I808" s="5" t="n">
        <v>117.1</v>
      </c>
      <c r="J808" s="3" t="inlineStr">
        <is>
          <t>연서면</t>
        </is>
      </c>
    </row>
    <row r="809">
      <c r="A809" s="3" t="n">
        <v>2022</v>
      </c>
      <c r="B809" s="4" t="n">
        <v>700</v>
      </c>
      <c r="C809" s="4" t="n">
        <v>32</v>
      </c>
      <c r="D809" s="3" t="inlineStr">
        <is>
          <t>조치원읍</t>
        </is>
      </c>
      <c r="E809" s="3" t="inlineStr">
        <is>
          <t>서창리</t>
        </is>
      </c>
      <c r="F809" s="3" t="inlineStr">
        <is>
          <t>제1종일반주거지역</t>
        </is>
      </c>
      <c r="G809" s="3" t="inlineStr">
        <is>
          <t>전</t>
        </is>
      </c>
      <c r="H809" s="4" t="n">
        <v>9.68</v>
      </c>
      <c r="I809" s="5" t="n">
        <v>72.3</v>
      </c>
      <c r="J809" s="3" t="inlineStr">
        <is>
          <t>조치원읍</t>
        </is>
      </c>
    </row>
    <row r="810">
      <c r="A810" s="3" t="n">
        <v>2022</v>
      </c>
      <c r="B810" s="4" t="n">
        <v>520</v>
      </c>
      <c r="C810" s="4" t="n">
        <v>55</v>
      </c>
      <c r="D810" s="3" t="inlineStr">
        <is>
          <t>부강면</t>
        </is>
      </c>
      <c r="E810" s="3" t="inlineStr">
        <is>
          <t>부강리</t>
        </is>
      </c>
      <c r="F810" s="3" t="inlineStr">
        <is>
          <t>계획관리지역</t>
        </is>
      </c>
      <c r="G810" s="3" t="inlineStr">
        <is>
          <t>도로</t>
        </is>
      </c>
      <c r="H810" s="4" t="n">
        <v>16.6375</v>
      </c>
      <c r="I810" s="5" t="n">
        <v>31.3</v>
      </c>
      <c r="J810" s="3" t="inlineStr">
        <is>
          <t>부강면</t>
        </is>
      </c>
    </row>
    <row r="811">
      <c r="A811" s="3" t="n">
        <v>2022</v>
      </c>
      <c r="B811" s="4" t="n">
        <v>33880</v>
      </c>
      <c r="C811" s="4" t="n">
        <v>1600</v>
      </c>
      <c r="D811" s="3" t="inlineStr">
        <is>
          <t>연서면</t>
        </is>
      </c>
      <c r="E811" s="3" t="inlineStr">
        <is>
          <t>기룡리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484</v>
      </c>
      <c r="I811" s="5" t="n">
        <v>70</v>
      </c>
      <c r="J811" s="3" t="inlineStr">
        <is>
          <t>연서면</t>
        </is>
      </c>
    </row>
    <row r="812">
      <c r="A812" s="3" t="n">
        <v>2022</v>
      </c>
      <c r="B812" s="4" t="n">
        <v>1120</v>
      </c>
      <c r="C812" s="4" t="n">
        <v>53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생산관리지역</t>
        </is>
      </c>
      <c r="G812" s="3" t="inlineStr">
        <is>
          <t>도로</t>
        </is>
      </c>
      <c r="H812" s="4" t="n">
        <v>16.0325</v>
      </c>
      <c r="I812" s="5" t="n">
        <v>69.90000000000001</v>
      </c>
      <c r="J812" s="3" t="inlineStr">
        <is>
          <t>연서면</t>
        </is>
      </c>
    </row>
    <row r="813">
      <c r="A813" s="3" t="n">
        <v>2022</v>
      </c>
      <c r="B813" s="4" t="n">
        <v>30500</v>
      </c>
      <c r="C813" s="4" t="n">
        <v>1994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603.1849999999999</v>
      </c>
      <c r="I813" s="5" t="n">
        <v>50.6</v>
      </c>
      <c r="J813" s="3" t="inlineStr">
        <is>
          <t>부강면</t>
        </is>
      </c>
    </row>
    <row r="814">
      <c r="A814" s="3" t="n">
        <v>2022</v>
      </c>
      <c r="B814" s="4" t="n">
        <v>23300</v>
      </c>
      <c r="C814" s="4" t="n">
        <v>152.1</v>
      </c>
      <c r="D814" s="3" t="inlineStr">
        <is>
          <t>조치원읍</t>
        </is>
      </c>
      <c r="E814" s="3" t="inlineStr">
        <is>
          <t>교리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46.01025</v>
      </c>
      <c r="I814" s="5" t="n">
        <v>506.4</v>
      </c>
      <c r="J814" s="3" t="inlineStr">
        <is>
          <t>조치원읍</t>
        </is>
      </c>
    </row>
    <row r="815">
      <c r="A815" s="3" t="n">
        <v>2022</v>
      </c>
      <c r="B815" s="4" t="n">
        <v>40000</v>
      </c>
      <c r="C815" s="4" t="n">
        <v>3597</v>
      </c>
      <c r="D815" s="3" t="inlineStr">
        <is>
          <t>연서면</t>
        </is>
      </c>
      <c r="E815" s="3" t="inlineStr">
        <is>
          <t>청라리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1088.0925</v>
      </c>
      <c r="I815" s="5" t="n">
        <v>36.8</v>
      </c>
      <c r="J815" s="3" t="inlineStr">
        <is>
          <t>연서면</t>
        </is>
      </c>
    </row>
    <row r="816">
      <c r="A816" s="3" t="n">
        <v>2022</v>
      </c>
      <c r="B816" s="4" t="n">
        <v>13572</v>
      </c>
      <c r="C816" s="4" t="n">
        <v>466</v>
      </c>
      <c r="D816" s="3" t="inlineStr">
        <is>
          <t>부강면</t>
        </is>
      </c>
      <c r="E816" s="3" t="inlineStr">
        <is>
          <t>갈산리</t>
        </is>
      </c>
      <c r="F816" s="3" t="inlineStr">
        <is>
          <t>계획관리지역</t>
        </is>
      </c>
      <c r="G816" s="3" t="inlineStr">
        <is>
          <t>답</t>
        </is>
      </c>
      <c r="H816" s="4" t="n">
        <v>140.965</v>
      </c>
      <c r="I816" s="5" t="n">
        <v>96.3</v>
      </c>
      <c r="J816" s="3" t="inlineStr">
        <is>
          <t>부강면</t>
        </is>
      </c>
    </row>
    <row r="817">
      <c r="A817" s="3" t="n">
        <v>2022</v>
      </c>
      <c r="B817" s="4" t="n">
        <v>84231</v>
      </c>
      <c r="C817" s="4" t="n">
        <v>1894</v>
      </c>
      <c r="D817" s="3" t="inlineStr">
        <is>
          <t>부강면</t>
        </is>
      </c>
      <c r="E817" s="3" t="inlineStr">
        <is>
          <t>갈산리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572.9349999999999</v>
      </c>
      <c r="I817" s="5" t="n">
        <v>147</v>
      </c>
      <c r="J817" s="3" t="inlineStr">
        <is>
          <t>부강면</t>
        </is>
      </c>
    </row>
    <row r="818">
      <c r="A818" s="3" t="n">
        <v>2023</v>
      </c>
      <c r="B818" s="4" t="n">
        <v>21500</v>
      </c>
      <c r="C818" s="4" t="n">
        <v>817</v>
      </c>
      <c r="D818" s="3" t="inlineStr">
        <is>
          <t>연서면</t>
        </is>
      </c>
      <c r="E818" s="3" t="inlineStr">
        <is>
          <t>고복리</t>
        </is>
      </c>
      <c r="F818" s="3" t="inlineStr">
        <is>
          <t>보전관리지역</t>
        </is>
      </c>
      <c r="G818" s="3" t="inlineStr">
        <is>
          <t>과수원</t>
        </is>
      </c>
      <c r="H818" s="4" t="n">
        <v>247.1425</v>
      </c>
      <c r="I818" s="5" t="n">
        <v>87</v>
      </c>
      <c r="J818" s="3" t="inlineStr">
        <is>
          <t>연서면</t>
        </is>
      </c>
    </row>
    <row r="819">
      <c r="A819" s="3" t="n">
        <v>2023</v>
      </c>
      <c r="B819" s="4" t="n">
        <v>26790</v>
      </c>
      <c r="C819" s="4" t="n">
        <v>635</v>
      </c>
      <c r="D819" s="3" t="inlineStr">
        <is>
          <t>연서면</t>
        </is>
      </c>
      <c r="E819" s="3" t="inlineStr">
        <is>
          <t>고복리</t>
        </is>
      </c>
      <c r="F819" s="3" t="inlineStr">
        <is>
          <t>보전관리지역</t>
        </is>
      </c>
      <c r="G819" s="3" t="inlineStr">
        <is>
          <t>과수원</t>
        </is>
      </c>
      <c r="H819" s="4" t="n">
        <v>192.0875</v>
      </c>
      <c r="I819" s="5" t="n">
        <v>139.5</v>
      </c>
      <c r="J819" s="3" t="inlineStr">
        <is>
          <t>연서면</t>
        </is>
      </c>
    </row>
    <row r="820">
      <c r="A820" s="3" t="n">
        <v>2023</v>
      </c>
      <c r="B820" s="4" t="n">
        <v>983</v>
      </c>
      <c r="C820" s="4" t="n">
        <v>40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12.1</v>
      </c>
      <c r="I820" s="5" t="n">
        <v>81.2</v>
      </c>
      <c r="J820" s="3" t="inlineStr">
        <is>
          <t>연서면</t>
        </is>
      </c>
    </row>
    <row r="821">
      <c r="A821" s="3" t="n">
        <v>2023</v>
      </c>
      <c r="B821" s="4" t="n">
        <v>105</v>
      </c>
      <c r="C821" s="4" t="n">
        <v>2</v>
      </c>
      <c r="D821" s="3" t="inlineStr">
        <is>
          <t>조치원읍</t>
        </is>
      </c>
      <c r="E821" s="3" t="inlineStr">
        <is>
          <t>신흥리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0.605</v>
      </c>
      <c r="I821" s="5" t="n">
        <v>173.6</v>
      </c>
      <c r="J821" s="3" t="inlineStr">
        <is>
          <t>조치원읍</t>
        </is>
      </c>
    </row>
    <row r="822">
      <c r="A822" s="3" t="n">
        <v>2023</v>
      </c>
      <c r="B822" s="4" t="n">
        <v>1850</v>
      </c>
      <c r="C822" s="4" t="n">
        <v>661</v>
      </c>
      <c r="D822" s="3" t="inlineStr">
        <is>
          <t>부강면</t>
        </is>
      </c>
      <c r="E822" s="3" t="inlineStr">
        <is>
          <t>노호리</t>
        </is>
      </c>
      <c r="F822" s="3" t="inlineStr">
        <is>
          <t>보전관리지역</t>
        </is>
      </c>
      <c r="G822" s="3" t="inlineStr">
        <is>
          <t>임야</t>
        </is>
      </c>
      <c r="H822" s="4" t="n">
        <v>199.9525</v>
      </c>
      <c r="I822" s="5" t="n">
        <v>9.300000000000001</v>
      </c>
      <c r="J822" s="3" t="inlineStr">
        <is>
          <t>부강면</t>
        </is>
      </c>
    </row>
    <row r="823">
      <c r="A823" s="3" t="n">
        <v>2026</v>
      </c>
      <c r="B823" s="4" t="n">
        <v>9600</v>
      </c>
      <c r="C823" s="4" t="n">
        <v>750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226.875</v>
      </c>
      <c r="I823" s="5" t="n">
        <v>42.3</v>
      </c>
      <c r="J823" s="3" t="inlineStr">
        <is>
          <t>부강면</t>
        </is>
      </c>
    </row>
    <row r="824">
      <c r="A824" s="3" t="n">
        <v>2026</v>
      </c>
      <c r="B824" s="4" t="n">
        <v>15400</v>
      </c>
      <c r="C824" s="4" t="n">
        <v>1157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계획관리지역</t>
        </is>
      </c>
      <c r="G824" s="3" t="inlineStr">
        <is>
          <t>전</t>
        </is>
      </c>
      <c r="H824" s="4" t="n">
        <v>349.9925</v>
      </c>
      <c r="I824" s="5" t="n">
        <v>44</v>
      </c>
      <c r="J824" s="3" t="inlineStr">
        <is>
          <t>부강면</t>
        </is>
      </c>
    </row>
    <row r="825">
      <c r="A825" s="3" t="n">
        <v>2022</v>
      </c>
      <c r="B825" s="4" t="n">
        <v>109000</v>
      </c>
      <c r="C825" s="4" t="n">
        <v>2148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649.77</v>
      </c>
      <c r="I825" s="5" t="n">
        <v>167.8</v>
      </c>
      <c r="J825" s="3" t="inlineStr">
        <is>
          <t>부강면</t>
        </is>
      </c>
    </row>
    <row r="826">
      <c r="A826" s="3" t="n">
        <v>2022</v>
      </c>
      <c r="B826" s="4" t="n">
        <v>7000</v>
      </c>
      <c r="C826" s="4" t="n">
        <v>147</v>
      </c>
      <c r="D826" s="3" t="inlineStr">
        <is>
          <t>연서면</t>
        </is>
      </c>
      <c r="E826" s="3" t="inlineStr">
        <is>
          <t>쌍전리</t>
        </is>
      </c>
      <c r="F826" s="3" t="inlineStr">
        <is>
          <t>자연녹지지역</t>
        </is>
      </c>
      <c r="G826" s="3" t="inlineStr">
        <is>
          <t>전</t>
        </is>
      </c>
      <c r="H826" s="4" t="n">
        <v>44.4675</v>
      </c>
      <c r="I826" s="5" t="n">
        <v>157.4</v>
      </c>
      <c r="J826" s="3" t="inlineStr">
        <is>
          <t>연서면</t>
        </is>
      </c>
    </row>
    <row r="827">
      <c r="A827" s="3" t="n">
        <v>2022</v>
      </c>
      <c r="B827" s="4" t="n">
        <v>21160</v>
      </c>
      <c r="C827" s="4" t="n">
        <v>1831</v>
      </c>
      <c r="D827" s="3" t="inlineStr">
        <is>
          <t>부강면</t>
        </is>
      </c>
      <c r="E827" s="3" t="inlineStr">
        <is>
          <t>금호리</t>
        </is>
      </c>
      <c r="F827" s="3" t="inlineStr">
        <is>
          <t>생산관리지역</t>
        </is>
      </c>
      <c r="G827" s="3" t="inlineStr">
        <is>
          <t>전</t>
        </is>
      </c>
      <c r="H827" s="4" t="n">
        <v>553.8774999999999</v>
      </c>
      <c r="I827" s="5" t="n">
        <v>38.2</v>
      </c>
      <c r="J827" s="3" t="inlineStr">
        <is>
          <t>부강면</t>
        </is>
      </c>
    </row>
    <row r="828">
      <c r="A828" s="3" t="n">
        <v>2022</v>
      </c>
      <c r="B828" s="4" t="n">
        <v>10000</v>
      </c>
      <c r="C828" s="4" t="n">
        <v>198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임야</t>
        </is>
      </c>
      <c r="H828" s="4" t="n">
        <v>59.895</v>
      </c>
      <c r="I828" s="5" t="n">
        <v>167</v>
      </c>
      <c r="J828" s="3" t="inlineStr">
        <is>
          <t>연서면</t>
        </is>
      </c>
    </row>
    <row r="829">
      <c r="A829" s="3" t="n">
        <v>2022</v>
      </c>
      <c r="B829" s="4" t="n">
        <v>15000</v>
      </c>
      <c r="C829" s="4" t="n">
        <v>399</v>
      </c>
      <c r="D829" s="3" t="inlineStr">
        <is>
          <t>연서면</t>
        </is>
      </c>
      <c r="E829" s="3" t="inlineStr">
        <is>
          <t>와촌리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120.6975</v>
      </c>
      <c r="I829" s="5" t="n">
        <v>124.3</v>
      </c>
      <c r="J829" s="3" t="inlineStr">
        <is>
          <t>연서면</t>
        </is>
      </c>
    </row>
    <row r="830">
      <c r="A830" s="3" t="n">
        <v>2022</v>
      </c>
      <c r="B830" s="4" t="n">
        <v>2160</v>
      </c>
      <c r="C830" s="4" t="n">
        <v>180</v>
      </c>
      <c r="D830" s="3" t="inlineStr">
        <is>
          <t>연서면</t>
        </is>
      </c>
      <c r="E830" s="3" t="inlineStr">
        <is>
          <t>쌍류리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54.45</v>
      </c>
      <c r="I830" s="5" t="n">
        <v>39.7</v>
      </c>
      <c r="J830" s="3" t="inlineStr">
        <is>
          <t>연서면</t>
        </is>
      </c>
    </row>
    <row r="831">
      <c r="A831" s="3" t="n">
        <v>2022</v>
      </c>
      <c r="B831" s="4" t="n">
        <v>6013</v>
      </c>
      <c r="C831" s="4" t="n">
        <v>26</v>
      </c>
      <c r="D831" s="3" t="inlineStr">
        <is>
          <t>조치원읍</t>
        </is>
      </c>
      <c r="E831" s="3" t="inlineStr">
        <is>
          <t>원리</t>
        </is>
      </c>
      <c r="F831" s="3" t="inlineStr">
        <is>
          <t>일반상업지역</t>
        </is>
      </c>
      <c r="G831" s="3" t="inlineStr">
        <is>
          <t>대</t>
        </is>
      </c>
      <c r="H831" s="4" t="n">
        <v>7.865</v>
      </c>
      <c r="I831" s="5" t="n">
        <v>764.5</v>
      </c>
      <c r="J831" s="3" t="inlineStr">
        <is>
          <t>조치원읍</t>
        </is>
      </c>
    </row>
    <row r="832">
      <c r="A832" s="3" t="n">
        <v>2022</v>
      </c>
      <c r="B832" s="4" t="n">
        <v>13640</v>
      </c>
      <c r="C832" s="4" t="n">
        <v>1127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생산관리지역</t>
        </is>
      </c>
      <c r="G832" s="3" t="inlineStr">
        <is>
          <t>전</t>
        </is>
      </c>
      <c r="H832" s="4" t="n">
        <v>340.9175</v>
      </c>
      <c r="I832" s="5" t="n">
        <v>40</v>
      </c>
      <c r="J832" s="3" t="inlineStr">
        <is>
          <t>부강면</t>
        </is>
      </c>
    </row>
    <row r="833">
      <c r="A833" s="3" t="n">
        <v>2022</v>
      </c>
      <c r="B833" s="4" t="n">
        <v>390100</v>
      </c>
      <c r="C833" s="4" t="n">
        <v>1485.5</v>
      </c>
      <c r="D833" s="3" t="inlineStr">
        <is>
          <t>고운동</t>
        </is>
      </c>
      <c r="E833" s="3" t="inlineStr"/>
      <c r="F833" s="3" t="inlineStr">
        <is>
          <t>일반상업지역</t>
        </is>
      </c>
      <c r="G833" s="3" t="inlineStr">
        <is>
          <t>주차장</t>
        </is>
      </c>
      <c r="H833" s="4" t="n">
        <v>449.36375</v>
      </c>
      <c r="I833" s="5" t="n">
        <v>868.1</v>
      </c>
      <c r="J833" s="3" t="inlineStr">
        <is>
          <t>고운동</t>
        </is>
      </c>
    </row>
    <row r="834">
      <c r="A834" s="3" t="n">
        <v>2022</v>
      </c>
      <c r="B834" s="4" t="n">
        <v>15000</v>
      </c>
      <c r="C834" s="4" t="n">
        <v>1738.3</v>
      </c>
      <c r="D834" s="3" t="inlineStr">
        <is>
          <t>부강면</t>
        </is>
      </c>
      <c r="E834" s="3" t="inlineStr">
        <is>
          <t>행산리</t>
        </is>
      </c>
      <c r="F834" s="3" t="inlineStr">
        <is>
          <t>농림지역</t>
        </is>
      </c>
      <c r="G834" s="3" t="inlineStr">
        <is>
          <t>답</t>
        </is>
      </c>
      <c r="H834" s="4" t="n">
        <v>525.83575</v>
      </c>
      <c r="I834" s="5" t="n">
        <v>28.5</v>
      </c>
      <c r="J834" s="3" t="inlineStr">
        <is>
          <t>부강면</t>
        </is>
      </c>
    </row>
    <row r="835">
      <c r="A835" s="3" t="n">
        <v>2022</v>
      </c>
      <c r="B835" s="4" t="n">
        <v>78000</v>
      </c>
      <c r="C835" s="4" t="n">
        <v>353.4</v>
      </c>
      <c r="D835" s="3" t="inlineStr">
        <is>
          <t>한솔동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106.9035</v>
      </c>
      <c r="I835" s="5" t="n">
        <v>729.6</v>
      </c>
      <c r="J835" s="3" t="inlineStr">
        <is>
          <t>한솔동</t>
        </is>
      </c>
    </row>
    <row r="836">
      <c r="A836" s="3" t="n">
        <v>2022</v>
      </c>
      <c r="B836" s="4" t="n">
        <v>56000</v>
      </c>
      <c r="C836" s="4" t="n">
        <v>1289</v>
      </c>
      <c r="D836" s="3" t="inlineStr">
        <is>
          <t>연서면</t>
        </is>
      </c>
      <c r="E836" s="3" t="inlineStr">
        <is>
          <t>쌍전리</t>
        </is>
      </c>
      <c r="F836" s="3" t="inlineStr">
        <is>
          <t>자연녹지지역</t>
        </is>
      </c>
      <c r="G836" s="3" t="inlineStr">
        <is>
          <t>과수원</t>
        </is>
      </c>
      <c r="H836" s="4" t="n">
        <v>389.9225</v>
      </c>
      <c r="I836" s="5" t="n">
        <v>143.6</v>
      </c>
      <c r="J836" s="3" t="inlineStr">
        <is>
          <t>연서면</t>
        </is>
      </c>
    </row>
    <row r="837">
      <c r="A837" s="3" t="n">
        <v>2022</v>
      </c>
      <c r="B837" s="4" t="n">
        <v>99500</v>
      </c>
      <c r="C837" s="4" t="n">
        <v>687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계획관리지역</t>
        </is>
      </c>
      <c r="G837" s="3" t="inlineStr">
        <is>
          <t>과수원</t>
        </is>
      </c>
      <c r="H837" s="4" t="n">
        <v>207.8175</v>
      </c>
      <c r="I837" s="5" t="n">
        <v>478.8</v>
      </c>
      <c r="J837" s="3" t="inlineStr">
        <is>
          <t>연동면</t>
        </is>
      </c>
    </row>
    <row r="838">
      <c r="A838" s="3" t="n">
        <v>2022</v>
      </c>
      <c r="B838" s="4" t="n">
        <v>500</v>
      </c>
      <c r="C838" s="4" t="n">
        <v>8</v>
      </c>
      <c r="D838" s="3" t="inlineStr">
        <is>
          <t>연동면</t>
        </is>
      </c>
      <c r="E838" s="3" t="inlineStr">
        <is>
          <t>내판리</t>
        </is>
      </c>
      <c r="F838" s="3" t="inlineStr">
        <is>
          <t>계획관리지역</t>
        </is>
      </c>
      <c r="G838" s="3" t="inlineStr">
        <is>
          <t>도로</t>
        </is>
      </c>
      <c r="H838" s="4" t="n">
        <v>2.42</v>
      </c>
      <c r="I838" s="5" t="n">
        <v>206.6</v>
      </c>
      <c r="J838" s="3" t="inlineStr">
        <is>
          <t>연동면</t>
        </is>
      </c>
    </row>
    <row r="839">
      <c r="A839" s="3" t="n">
        <v>2022</v>
      </c>
      <c r="B839" s="4" t="n">
        <v>61250</v>
      </c>
      <c r="C839" s="4" t="n">
        <v>813</v>
      </c>
      <c r="D839" s="3" t="inlineStr">
        <is>
          <t>연서면</t>
        </is>
      </c>
      <c r="E839" s="3" t="inlineStr">
        <is>
          <t>쌍전리</t>
        </is>
      </c>
      <c r="F839" s="3" t="inlineStr">
        <is>
          <t>자연녹지지역</t>
        </is>
      </c>
      <c r="G839" s="3" t="inlineStr">
        <is>
          <t>대</t>
        </is>
      </c>
      <c r="H839" s="4" t="n">
        <v>245.9325</v>
      </c>
      <c r="I839" s="5" t="n">
        <v>249.1</v>
      </c>
      <c r="J839" s="3" t="inlineStr">
        <is>
          <t>연서면</t>
        </is>
      </c>
    </row>
    <row r="840">
      <c r="A840" s="3" t="n">
        <v>2022</v>
      </c>
      <c r="B840" s="4" t="n">
        <v>11076</v>
      </c>
      <c r="C840" s="4" t="n">
        <v>813</v>
      </c>
      <c r="D840" s="3" t="inlineStr">
        <is>
          <t>연서면</t>
        </is>
      </c>
      <c r="E840" s="3" t="inlineStr">
        <is>
          <t>쌍전리</t>
        </is>
      </c>
      <c r="F840" s="3" t="inlineStr">
        <is>
          <t>자연녹지지역</t>
        </is>
      </c>
      <c r="G840" s="3" t="inlineStr">
        <is>
          <t>대</t>
        </is>
      </c>
      <c r="H840" s="4" t="n">
        <v>245.9325</v>
      </c>
      <c r="I840" s="5" t="n">
        <v>45</v>
      </c>
      <c r="J840" s="3" t="inlineStr">
        <is>
          <t>연서면</t>
        </is>
      </c>
    </row>
    <row r="841">
      <c r="A841" s="3" t="n">
        <v>2022</v>
      </c>
      <c r="B841" s="4" t="n">
        <v>6132</v>
      </c>
      <c r="C841" s="4" t="n">
        <v>211</v>
      </c>
      <c r="D841" s="3" t="inlineStr">
        <is>
          <t>연동면</t>
        </is>
      </c>
      <c r="E841" s="3" t="inlineStr">
        <is>
          <t>내판리</t>
        </is>
      </c>
      <c r="F841" s="3" t="inlineStr">
        <is>
          <t>계획관리지역</t>
        </is>
      </c>
      <c r="G841" s="3" t="inlineStr">
        <is>
          <t>전</t>
        </is>
      </c>
      <c r="H841" s="4" t="n">
        <v>63.8275</v>
      </c>
      <c r="I841" s="5" t="n">
        <v>96.09999999999999</v>
      </c>
      <c r="J841" s="3" t="inlineStr">
        <is>
          <t>연동면</t>
        </is>
      </c>
    </row>
    <row r="842">
      <c r="A842" s="3" t="n">
        <v>2022</v>
      </c>
      <c r="B842" s="4" t="n">
        <v>16264</v>
      </c>
      <c r="C842" s="4" t="n">
        <v>922</v>
      </c>
      <c r="D842" s="3" t="inlineStr">
        <is>
          <t>연동면</t>
        </is>
      </c>
      <c r="E842" s="3" t="inlineStr">
        <is>
          <t>내판리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278.905</v>
      </c>
      <c r="I842" s="5" t="n">
        <v>58.3</v>
      </c>
      <c r="J842" s="3" t="inlineStr">
        <is>
          <t>연동면</t>
        </is>
      </c>
    </row>
    <row r="843">
      <c r="A843" s="3" t="n">
        <v>2022</v>
      </c>
      <c r="B843" s="4" t="n">
        <v>129600</v>
      </c>
      <c r="C843" s="4" t="n">
        <v>1071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계획관리지역</t>
        </is>
      </c>
      <c r="G843" s="3" t="inlineStr">
        <is>
          <t>답</t>
        </is>
      </c>
      <c r="H843" s="4" t="n">
        <v>323.9775</v>
      </c>
      <c r="I843" s="5" t="n">
        <v>400</v>
      </c>
      <c r="J843" s="3" t="inlineStr">
        <is>
          <t>연서면</t>
        </is>
      </c>
    </row>
    <row r="844">
      <c r="A844" s="3" t="n">
        <v>2022</v>
      </c>
      <c r="B844" s="4" t="n">
        <v>40200</v>
      </c>
      <c r="C844" s="4" t="n">
        <v>2657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803.7424999999999</v>
      </c>
      <c r="I844" s="5" t="n">
        <v>50</v>
      </c>
      <c r="J844" s="3" t="inlineStr">
        <is>
          <t>부강면</t>
        </is>
      </c>
    </row>
    <row r="845">
      <c r="A845" s="3" t="n">
        <v>2022</v>
      </c>
      <c r="B845" s="4" t="n">
        <v>7800</v>
      </c>
      <c r="C845" s="4" t="n">
        <v>516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생산관리지역</t>
        </is>
      </c>
      <c r="G845" s="3" t="inlineStr">
        <is>
          <t>답</t>
        </is>
      </c>
      <c r="H845" s="4" t="n">
        <v>156.09</v>
      </c>
      <c r="I845" s="5" t="n">
        <v>50</v>
      </c>
      <c r="J845" s="3" t="inlineStr">
        <is>
          <t>부강면</t>
        </is>
      </c>
    </row>
    <row r="846">
      <c r="A846" s="3" t="n">
        <v>2022</v>
      </c>
      <c r="B846" s="4" t="n">
        <v>1500</v>
      </c>
      <c r="C846" s="4" t="n">
        <v>100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30.25</v>
      </c>
      <c r="I846" s="5" t="n">
        <v>49.6</v>
      </c>
      <c r="J846" s="3" t="inlineStr">
        <is>
          <t>부강면</t>
        </is>
      </c>
    </row>
    <row r="847">
      <c r="A847" s="3" t="n">
        <v>2022</v>
      </c>
      <c r="B847" s="4" t="n">
        <v>800</v>
      </c>
      <c r="C847" s="4" t="n">
        <v>53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생산관리지역</t>
        </is>
      </c>
      <c r="G847" s="3" t="inlineStr">
        <is>
          <t>임야</t>
        </is>
      </c>
      <c r="H847" s="4" t="n">
        <v>16.0325</v>
      </c>
      <c r="I847" s="5" t="n">
        <v>49.9</v>
      </c>
      <c r="J847" s="3" t="inlineStr">
        <is>
          <t>부강면</t>
        </is>
      </c>
    </row>
    <row r="848">
      <c r="A848" s="3" t="n">
        <v>2022</v>
      </c>
      <c r="B848" s="4" t="n">
        <v>6500</v>
      </c>
      <c r="C848" s="4" t="n">
        <v>450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생산관리지역</t>
        </is>
      </c>
      <c r="G848" s="3" t="inlineStr">
        <is>
          <t>답</t>
        </is>
      </c>
      <c r="H848" s="4" t="n">
        <v>136.125</v>
      </c>
      <c r="I848" s="5" t="n">
        <v>47.8</v>
      </c>
      <c r="J848" s="3" t="inlineStr">
        <is>
          <t>부강면</t>
        </is>
      </c>
    </row>
    <row r="849">
      <c r="A849" s="3" t="n">
        <v>2022</v>
      </c>
      <c r="B849" s="4" t="n">
        <v>17748</v>
      </c>
      <c r="C849" s="4" t="n">
        <v>326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98.61499999999999</v>
      </c>
      <c r="I849" s="5" t="n">
        <v>180</v>
      </c>
      <c r="J849" s="3" t="inlineStr">
        <is>
          <t>연서면</t>
        </is>
      </c>
    </row>
    <row r="850">
      <c r="A850" s="3" t="n">
        <v>2022</v>
      </c>
      <c r="B850" s="4" t="n">
        <v>3752</v>
      </c>
      <c r="C850" s="4" t="n">
        <v>69</v>
      </c>
      <c r="D850" s="3" t="inlineStr">
        <is>
          <t>연서면</t>
        </is>
      </c>
      <c r="E850" s="3" t="inlineStr">
        <is>
          <t>쌍전리</t>
        </is>
      </c>
      <c r="F850" s="3" t="inlineStr">
        <is>
          <t>자연녹지지역</t>
        </is>
      </c>
      <c r="G850" s="3" t="inlineStr">
        <is>
          <t>전</t>
        </is>
      </c>
      <c r="H850" s="4" t="n">
        <v>20.8725</v>
      </c>
      <c r="I850" s="5" t="n">
        <v>179.8</v>
      </c>
      <c r="J850" s="3" t="inlineStr">
        <is>
          <t>연서면</t>
        </is>
      </c>
    </row>
    <row r="851">
      <c r="A851" s="3" t="n">
        <v>2022</v>
      </c>
      <c r="B851" s="4" t="n">
        <v>2070</v>
      </c>
      <c r="C851" s="4" t="n">
        <v>152</v>
      </c>
      <c r="D851" s="3" t="inlineStr">
        <is>
          <t>부강면</t>
        </is>
      </c>
      <c r="E851" s="3" t="inlineStr">
        <is>
          <t>문곡리</t>
        </is>
      </c>
      <c r="F851" s="3" t="inlineStr">
        <is>
          <t>생산관리지역</t>
        </is>
      </c>
      <c r="G851" s="3" t="inlineStr">
        <is>
          <t>전</t>
        </is>
      </c>
      <c r="H851" s="4" t="n">
        <v>45.98</v>
      </c>
      <c r="I851" s="5" t="n">
        <v>45</v>
      </c>
      <c r="J851" s="3" t="inlineStr">
        <is>
          <t>부강면</t>
        </is>
      </c>
    </row>
    <row r="852">
      <c r="A852" s="3" t="n">
        <v>2022</v>
      </c>
      <c r="B852" s="4" t="n">
        <v>135</v>
      </c>
      <c r="C852" s="4" t="n">
        <v>10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생산관리지역</t>
        </is>
      </c>
      <c r="G852" s="3" t="inlineStr">
        <is>
          <t>임야</t>
        </is>
      </c>
      <c r="H852" s="4" t="n">
        <v>3.025</v>
      </c>
      <c r="I852" s="5" t="n">
        <v>44.6</v>
      </c>
      <c r="J852" s="3" t="inlineStr">
        <is>
          <t>부강면</t>
        </is>
      </c>
    </row>
    <row r="853">
      <c r="A853" s="3" t="n">
        <v>2022</v>
      </c>
      <c r="B853" s="4" t="n">
        <v>98700</v>
      </c>
      <c r="C853" s="4" t="n">
        <v>4661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1409.9525</v>
      </c>
      <c r="I853" s="5" t="n">
        <v>70</v>
      </c>
      <c r="J853" s="3" t="inlineStr">
        <is>
          <t>연서면</t>
        </is>
      </c>
    </row>
    <row r="854">
      <c r="A854" s="3" t="n">
        <v>2025</v>
      </c>
      <c r="B854" s="4" t="n">
        <v>10000</v>
      </c>
      <c r="C854" s="4" t="n">
        <v>1223</v>
      </c>
      <c r="D854" s="3" t="inlineStr">
        <is>
          <t>부강면</t>
        </is>
      </c>
      <c r="E854" s="3" t="inlineStr">
        <is>
          <t>행산리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369.9575</v>
      </c>
      <c r="I854" s="5" t="n">
        <v>27</v>
      </c>
      <c r="J854" s="3" t="inlineStr">
        <is>
          <t>부강면</t>
        </is>
      </c>
    </row>
    <row r="855">
      <c r="A855" s="3" t="n">
        <v>2025</v>
      </c>
      <c r="B855" s="4" t="n">
        <v>9139</v>
      </c>
      <c r="C855" s="4" t="n">
        <v>159</v>
      </c>
      <c r="D855" s="3" t="inlineStr">
        <is>
          <t>조치원읍</t>
        </is>
      </c>
      <c r="E855" s="3" t="inlineStr">
        <is>
          <t>신안리</t>
        </is>
      </c>
      <c r="F855" s="3" t="inlineStr">
        <is>
          <t>자연녹지지역</t>
        </is>
      </c>
      <c r="G855" s="3" t="inlineStr">
        <is>
          <t>답</t>
        </is>
      </c>
      <c r="H855" s="4" t="n">
        <v>48.0975</v>
      </c>
      <c r="I855" s="5" t="n">
        <v>190</v>
      </c>
      <c r="J855" s="3" t="inlineStr">
        <is>
          <t>조치원읍</t>
        </is>
      </c>
    </row>
    <row r="856">
      <c r="A856" s="3" t="n">
        <v>2025</v>
      </c>
      <c r="B856" s="4" t="n">
        <v>25460</v>
      </c>
      <c r="C856" s="4" t="n">
        <v>443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보전관리지역</t>
        </is>
      </c>
      <c r="G856" s="3" t="inlineStr">
        <is>
          <t>대</t>
        </is>
      </c>
      <c r="H856" s="4" t="n">
        <v>134.0075</v>
      </c>
      <c r="I856" s="5" t="n">
        <v>190</v>
      </c>
      <c r="J856" s="3" t="inlineStr">
        <is>
          <t>연동면</t>
        </is>
      </c>
    </row>
    <row r="857">
      <c r="A857" s="3" t="n">
        <v>2025</v>
      </c>
      <c r="B857" s="4" t="n">
        <v>34000</v>
      </c>
      <c r="C857" s="4" t="n">
        <v>1405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과수원</t>
        </is>
      </c>
      <c r="H857" s="4" t="n">
        <v>425.0125</v>
      </c>
      <c r="I857" s="5" t="n">
        <v>80</v>
      </c>
      <c r="J857" s="3" t="inlineStr">
        <is>
          <t>연서면</t>
        </is>
      </c>
    </row>
    <row r="858">
      <c r="A858" s="3" t="n">
        <v>2026</v>
      </c>
      <c r="B858" s="4" t="n">
        <v>1000</v>
      </c>
      <c r="C858" s="4" t="n">
        <v>19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자연녹지지역</t>
        </is>
      </c>
      <c r="G858" s="3" t="inlineStr">
        <is>
          <t>과수원</t>
        </is>
      </c>
      <c r="H858" s="4" t="n">
        <v>5.7475</v>
      </c>
      <c r="I858" s="5" t="n">
        <v>174</v>
      </c>
      <c r="J858" s="3" t="inlineStr">
        <is>
          <t>조치원읍</t>
        </is>
      </c>
    </row>
    <row r="859">
      <c r="A859" s="3" t="n">
        <v>2022</v>
      </c>
      <c r="B859" s="4" t="n">
        <v>69050</v>
      </c>
      <c r="C859" s="4" t="n">
        <v>2891.9</v>
      </c>
      <c r="D859" s="3" t="inlineStr">
        <is>
          <t>연동면</t>
        </is>
      </c>
      <c r="E859" s="3" t="inlineStr">
        <is>
          <t>예양리</t>
        </is>
      </c>
      <c r="F859" s="3" t="inlineStr">
        <is>
          <t>농림지역</t>
        </is>
      </c>
      <c r="G859" s="3" t="inlineStr">
        <is>
          <t>답</t>
        </is>
      </c>
      <c r="H859" s="4" t="n">
        <v>874.79975</v>
      </c>
      <c r="I859" s="5" t="n">
        <v>78.90000000000001</v>
      </c>
      <c r="J859" s="3" t="inlineStr">
        <is>
          <t>연동면</t>
        </is>
      </c>
    </row>
    <row r="860">
      <c r="A860" s="3" t="n">
        <v>2022</v>
      </c>
      <c r="B860" s="4" t="n">
        <v>41000</v>
      </c>
      <c r="C860" s="4" t="n">
        <v>500</v>
      </c>
      <c r="D860" s="3" t="inlineStr">
        <is>
          <t>연동면</t>
        </is>
      </c>
      <c r="E860" s="3" t="inlineStr">
        <is>
          <t>내판리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151.25</v>
      </c>
      <c r="I860" s="5" t="n">
        <v>271.1</v>
      </c>
      <c r="J860" s="3" t="inlineStr">
        <is>
          <t>연동면</t>
        </is>
      </c>
    </row>
    <row r="861">
      <c r="A861" s="3" t="n">
        <v>2022</v>
      </c>
      <c r="B861" s="4" t="n">
        <v>41000</v>
      </c>
      <c r="C861" s="4" t="n">
        <v>500</v>
      </c>
      <c r="D861" s="3" t="inlineStr">
        <is>
          <t>연동면</t>
        </is>
      </c>
      <c r="E861" s="3" t="inlineStr">
        <is>
          <t>내판리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151.25</v>
      </c>
      <c r="I861" s="5" t="n">
        <v>271.1</v>
      </c>
      <c r="J861" s="3" t="inlineStr">
        <is>
          <t>연동면</t>
        </is>
      </c>
    </row>
    <row r="862">
      <c r="A862" s="3" t="n">
        <v>2022</v>
      </c>
      <c r="B862" s="4" t="n">
        <v>4700</v>
      </c>
      <c r="C862" s="4" t="n">
        <v>902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272.855</v>
      </c>
      <c r="I862" s="5" t="n">
        <v>17.2</v>
      </c>
      <c r="J862" s="3" t="inlineStr">
        <is>
          <t>부강면</t>
        </is>
      </c>
    </row>
    <row r="863">
      <c r="A863" s="3" t="n">
        <v>2022</v>
      </c>
      <c r="B863" s="4" t="n">
        <v>3080</v>
      </c>
      <c r="C863" s="4" t="n">
        <v>186</v>
      </c>
      <c r="D863" s="3" t="inlineStr">
        <is>
          <t>부강면</t>
        </is>
      </c>
      <c r="E863" s="3" t="inlineStr">
        <is>
          <t>노호리</t>
        </is>
      </c>
      <c r="F863" s="3" t="inlineStr">
        <is>
          <t>보전관리지역</t>
        </is>
      </c>
      <c r="G863" s="3" t="inlineStr">
        <is>
          <t>임야</t>
        </is>
      </c>
      <c r="H863" s="4" t="n">
        <v>56.265</v>
      </c>
      <c r="I863" s="5" t="n">
        <v>54.7</v>
      </c>
      <c r="J863" s="3" t="inlineStr">
        <is>
          <t>부강면</t>
        </is>
      </c>
    </row>
    <row r="864">
      <c r="A864" s="3" t="n">
        <v>2022</v>
      </c>
      <c r="B864" s="4" t="n">
        <v>5490</v>
      </c>
      <c r="C864" s="4" t="n">
        <v>202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61.105</v>
      </c>
      <c r="I864" s="5" t="n">
        <v>89.8</v>
      </c>
      <c r="J864" s="3" t="inlineStr">
        <is>
          <t>부강면</t>
        </is>
      </c>
    </row>
    <row r="865">
      <c r="A865" s="3" t="n">
        <v>2022</v>
      </c>
      <c r="B865" s="4" t="n">
        <v>27289</v>
      </c>
      <c r="C865" s="4" t="n">
        <v>3111</v>
      </c>
      <c r="D865" s="3" t="inlineStr">
        <is>
          <t>연서면</t>
        </is>
      </c>
      <c r="E865" s="3" t="inlineStr">
        <is>
          <t>쌍류리</t>
        </is>
      </c>
      <c r="F865" s="3" t="inlineStr">
        <is>
          <t>생산관리지역</t>
        </is>
      </c>
      <c r="G865" s="3" t="inlineStr">
        <is>
          <t>전</t>
        </is>
      </c>
      <c r="H865" s="4" t="n">
        <v>941.0775</v>
      </c>
      <c r="I865" s="5" t="n">
        <v>29</v>
      </c>
      <c r="J865" s="3" t="inlineStr">
        <is>
          <t>연서면</t>
        </is>
      </c>
    </row>
    <row r="866">
      <c r="A866" s="3" t="n">
        <v>2022</v>
      </c>
      <c r="B866" s="4" t="n">
        <v>1500</v>
      </c>
      <c r="C866" s="4" t="n">
        <v>290</v>
      </c>
      <c r="D866" s="3" t="inlineStr">
        <is>
          <t>연서면</t>
        </is>
      </c>
      <c r="E866" s="3" t="inlineStr">
        <is>
          <t>용암리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87.72499999999999</v>
      </c>
      <c r="I866" s="5" t="n">
        <v>17.1</v>
      </c>
      <c r="J866" s="3" t="inlineStr">
        <is>
          <t>연서면</t>
        </is>
      </c>
    </row>
    <row r="867">
      <c r="A867" s="3" t="n">
        <v>2026</v>
      </c>
      <c r="B867" s="4" t="n">
        <v>24000</v>
      </c>
      <c r="C867" s="4" t="n">
        <v>585</v>
      </c>
      <c r="D867" s="3" t="inlineStr">
        <is>
          <t>부강면</t>
        </is>
      </c>
      <c r="E867" s="3" t="inlineStr">
        <is>
          <t>금호리</t>
        </is>
      </c>
      <c r="F867" s="3" t="inlineStr">
        <is>
          <t>생산관리지역</t>
        </is>
      </c>
      <c r="G867" s="3" t="inlineStr">
        <is>
          <t>답</t>
        </is>
      </c>
      <c r="H867" s="4" t="n">
        <v>176.9625</v>
      </c>
      <c r="I867" s="5" t="n">
        <v>135.6</v>
      </c>
      <c r="J867" s="3" t="inlineStr">
        <is>
          <t>부강면</t>
        </is>
      </c>
    </row>
    <row r="868">
      <c r="A868" s="3" t="n">
        <v>2026</v>
      </c>
      <c r="B868" s="4" t="n">
        <v>21700</v>
      </c>
      <c r="C868" s="4" t="n">
        <v>703</v>
      </c>
      <c r="D868" s="3" t="inlineStr">
        <is>
          <t>부강면</t>
        </is>
      </c>
      <c r="E868" s="3" t="inlineStr">
        <is>
          <t>금호리</t>
        </is>
      </c>
      <c r="F868" s="3" t="inlineStr">
        <is>
          <t>생산관리지역</t>
        </is>
      </c>
      <c r="G868" s="3" t="inlineStr">
        <is>
          <t>답</t>
        </is>
      </c>
      <c r="H868" s="4" t="n">
        <v>212.6575</v>
      </c>
      <c r="I868" s="5" t="n">
        <v>102</v>
      </c>
      <c r="J868" s="3" t="inlineStr">
        <is>
          <t>부강면</t>
        </is>
      </c>
    </row>
    <row r="869">
      <c r="A869" s="3" t="n">
        <v>2026</v>
      </c>
      <c r="B869" s="4" t="n">
        <v>7100</v>
      </c>
      <c r="C869" s="4" t="n">
        <v>230</v>
      </c>
      <c r="D869" s="3" t="inlineStr">
        <is>
          <t>부강면</t>
        </is>
      </c>
      <c r="E869" s="3" t="inlineStr">
        <is>
          <t>금호리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69.575</v>
      </c>
      <c r="I869" s="5" t="n">
        <v>102</v>
      </c>
      <c r="J869" s="3" t="inlineStr">
        <is>
          <t>부강면</t>
        </is>
      </c>
    </row>
    <row r="870">
      <c r="A870" s="3" t="n">
        <v>2026</v>
      </c>
      <c r="B870" s="4" t="n">
        <v>29000</v>
      </c>
      <c r="C870" s="4" t="n">
        <v>933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282.2325</v>
      </c>
      <c r="I870" s="5" t="n">
        <v>102.8</v>
      </c>
      <c r="J870" s="3" t="inlineStr">
        <is>
          <t>부강면</t>
        </is>
      </c>
    </row>
    <row r="871">
      <c r="A871" s="3" t="n">
        <v>2026</v>
      </c>
      <c r="B871" s="4" t="n">
        <v>9200</v>
      </c>
      <c r="C871" s="4" t="n">
        <v>301</v>
      </c>
      <c r="D871" s="3" t="inlineStr">
        <is>
          <t>부강면</t>
        </is>
      </c>
      <c r="E871" s="3" t="inlineStr">
        <is>
          <t>금호리</t>
        </is>
      </c>
      <c r="F871" s="3" t="inlineStr">
        <is>
          <t>생산관리지역</t>
        </is>
      </c>
      <c r="G871" s="3" t="inlineStr">
        <is>
          <t>답</t>
        </is>
      </c>
      <c r="H871" s="4" t="n">
        <v>91.05249999999999</v>
      </c>
      <c r="I871" s="5" t="n">
        <v>101</v>
      </c>
      <c r="J871" s="3" t="inlineStr">
        <is>
          <t>부강면</t>
        </is>
      </c>
    </row>
    <row r="872">
      <c r="A872" s="3" t="n">
        <v>2026</v>
      </c>
      <c r="B872" s="4" t="n">
        <v>9000</v>
      </c>
      <c r="C872" s="4" t="n">
        <v>304</v>
      </c>
      <c r="D872" s="3" t="inlineStr">
        <is>
          <t>부강면</t>
        </is>
      </c>
      <c r="E872" s="3" t="inlineStr">
        <is>
          <t>금호리</t>
        </is>
      </c>
      <c r="F872" s="3" t="inlineStr">
        <is>
          <t>생산관리지역</t>
        </is>
      </c>
      <c r="G872" s="3" t="inlineStr">
        <is>
          <t>답</t>
        </is>
      </c>
      <c r="H872" s="4" t="n">
        <v>91.95999999999999</v>
      </c>
      <c r="I872" s="5" t="n">
        <v>97.90000000000001</v>
      </c>
      <c r="J872" s="3" t="inlineStr">
        <is>
          <t>부강면</t>
        </is>
      </c>
    </row>
    <row r="873">
      <c r="A873" s="3" t="n">
        <v>2026</v>
      </c>
      <c r="B873" s="4" t="n">
        <v>14000</v>
      </c>
      <c r="C873" s="4" t="n">
        <v>473</v>
      </c>
      <c r="D873" s="3" t="inlineStr">
        <is>
          <t>부강면</t>
        </is>
      </c>
      <c r="E873" s="3" t="inlineStr">
        <is>
          <t>금호리</t>
        </is>
      </c>
      <c r="F873" s="3" t="inlineStr">
        <is>
          <t>생산관리지역</t>
        </is>
      </c>
      <c r="G873" s="3" t="inlineStr">
        <is>
          <t>답</t>
        </is>
      </c>
      <c r="H873" s="4" t="n">
        <v>143.0825</v>
      </c>
      <c r="I873" s="5" t="n">
        <v>97.8</v>
      </c>
      <c r="J873" s="3" t="inlineStr">
        <is>
          <t>부강면</t>
        </is>
      </c>
    </row>
    <row r="874">
      <c r="A874" s="3" t="n">
        <v>2026</v>
      </c>
      <c r="B874" s="4" t="n">
        <v>2980</v>
      </c>
      <c r="C874" s="4" t="n">
        <v>988</v>
      </c>
      <c r="D874" s="3" t="inlineStr">
        <is>
          <t>부강면</t>
        </is>
      </c>
      <c r="E874" s="3" t="inlineStr">
        <is>
          <t>문곡리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298.87</v>
      </c>
      <c r="I874" s="5" t="n">
        <v>10</v>
      </c>
      <c r="J874" s="3" t="inlineStr">
        <is>
          <t>부강면</t>
        </is>
      </c>
    </row>
    <row r="875">
      <c r="A875" s="3" t="n">
        <v>2025</v>
      </c>
      <c r="B875" s="4" t="n">
        <v>2540</v>
      </c>
      <c r="C875" s="4" t="n">
        <v>7</v>
      </c>
      <c r="D875" s="3" t="inlineStr">
        <is>
          <t>조치원읍</t>
        </is>
      </c>
      <c r="E875" s="3" t="inlineStr">
        <is>
          <t>명리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2.1175</v>
      </c>
      <c r="I875" s="5" t="n">
        <v>1199.5</v>
      </c>
      <c r="J875" s="3" t="inlineStr">
        <is>
          <t>조치원읍</t>
        </is>
      </c>
    </row>
    <row r="876">
      <c r="A876" s="3" t="n">
        <v>2024</v>
      </c>
      <c r="B876" s="4" t="n">
        <v>514000</v>
      </c>
      <c r="C876" s="4" t="n">
        <v>1425</v>
      </c>
      <c r="D876" s="3" t="inlineStr">
        <is>
          <t>조치원읍</t>
        </is>
      </c>
      <c r="E876" s="3" t="inlineStr">
        <is>
          <t>죽림리</t>
        </is>
      </c>
      <c r="F876" s="3" t="inlineStr">
        <is>
          <t>일반상업지역</t>
        </is>
      </c>
      <c r="G876" s="3" t="inlineStr">
        <is>
          <t>대</t>
        </is>
      </c>
      <c r="H876" s="4" t="n">
        <v>431.0625</v>
      </c>
      <c r="I876" s="5" t="n">
        <v>1192.4</v>
      </c>
      <c r="J876" s="3" t="inlineStr">
        <is>
          <t>조치원읍</t>
        </is>
      </c>
    </row>
    <row r="877">
      <c r="A877" s="3" t="n">
        <v>2024</v>
      </c>
      <c r="B877" s="4" t="n">
        <v>244000</v>
      </c>
      <c r="C877" s="4" t="n">
        <v>518</v>
      </c>
      <c r="D877" s="3" t="inlineStr">
        <is>
          <t>조치원읍</t>
        </is>
      </c>
      <c r="E877" s="3" t="inlineStr">
        <is>
          <t>죽림리</t>
        </is>
      </c>
      <c r="F877" s="3" t="inlineStr">
        <is>
          <t>일반상업지역</t>
        </is>
      </c>
      <c r="G877" s="3" t="inlineStr">
        <is>
          <t>대</t>
        </is>
      </c>
      <c r="H877" s="4" t="n">
        <v>156.695</v>
      </c>
      <c r="I877" s="5" t="n">
        <v>1557.2</v>
      </c>
      <c r="J877" s="3" t="inlineStr">
        <is>
          <t>조치원읍</t>
        </is>
      </c>
    </row>
    <row r="878">
      <c r="A878" s="3" t="n">
        <v>2024</v>
      </c>
      <c r="B878" s="4" t="n">
        <v>515000</v>
      </c>
      <c r="C878" s="4" t="n">
        <v>1967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과수원</t>
        </is>
      </c>
      <c r="H878" s="4" t="n">
        <v>595.0174999999999</v>
      </c>
      <c r="I878" s="5" t="n">
        <v>865.5</v>
      </c>
      <c r="J878" s="3" t="inlineStr">
        <is>
          <t>조치원읍</t>
        </is>
      </c>
    </row>
    <row r="879">
      <c r="A879" s="3" t="n">
        <v>2024</v>
      </c>
      <c r="B879" s="4" t="n">
        <v>3000</v>
      </c>
      <c r="C879" s="4" t="n">
        <v>492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자연환경보전</t>
        </is>
      </c>
      <c r="G879" s="3" t="inlineStr">
        <is>
          <t>임야</t>
        </is>
      </c>
      <c r="H879" s="4" t="n">
        <v>148.83</v>
      </c>
      <c r="I879" s="5" t="n">
        <v>20.2</v>
      </c>
      <c r="J879" s="3" t="inlineStr">
        <is>
          <t>연서면</t>
        </is>
      </c>
    </row>
    <row r="880">
      <c r="A880" s="3" t="n">
        <v>2024</v>
      </c>
      <c r="B880" s="4" t="n">
        <v>32000</v>
      </c>
      <c r="C880" s="4" t="n">
        <v>767</v>
      </c>
      <c r="D880" s="3" t="inlineStr">
        <is>
          <t>연동면</t>
        </is>
      </c>
      <c r="E880" s="3" t="inlineStr">
        <is>
          <t>노송리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232.0175</v>
      </c>
      <c r="I880" s="5" t="n">
        <v>137.9</v>
      </c>
      <c r="J880" s="3" t="inlineStr">
        <is>
          <t>연동면</t>
        </is>
      </c>
    </row>
    <row r="881">
      <c r="A881" s="3" t="n">
        <v>2024</v>
      </c>
      <c r="B881" s="4" t="n">
        <v>59000</v>
      </c>
      <c r="C881" s="4" t="n">
        <v>2446</v>
      </c>
      <c r="D881" s="3" t="inlineStr">
        <is>
          <t>연동면</t>
        </is>
      </c>
      <c r="E881" s="3" t="inlineStr">
        <is>
          <t>응암리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739.915</v>
      </c>
      <c r="I881" s="5" t="n">
        <v>79.7</v>
      </c>
      <c r="J881" s="3" t="inlineStr">
        <is>
          <t>연동면</t>
        </is>
      </c>
    </row>
    <row r="882">
      <c r="A882" s="3" t="n">
        <v>2024</v>
      </c>
      <c r="B882" s="4" t="n">
        <v>22681</v>
      </c>
      <c r="C882" s="4" t="n">
        <v>2280.9</v>
      </c>
      <c r="D882" s="3" t="inlineStr">
        <is>
          <t>연동면</t>
        </is>
      </c>
      <c r="E882" s="3" t="inlineStr">
        <is>
          <t>예양리</t>
        </is>
      </c>
      <c r="F882" s="3" t="inlineStr">
        <is>
          <t>농림지역</t>
        </is>
      </c>
      <c r="G882" s="3" t="inlineStr">
        <is>
          <t>답</t>
        </is>
      </c>
      <c r="H882" s="4" t="n">
        <v>689.97225</v>
      </c>
      <c r="I882" s="5" t="n">
        <v>32.9</v>
      </c>
      <c r="J882" s="3" t="inlineStr">
        <is>
          <t>연동면</t>
        </is>
      </c>
    </row>
    <row r="883">
      <c r="A883" s="3" t="n">
        <v>2024</v>
      </c>
      <c r="B883" s="4" t="n">
        <v>11208</v>
      </c>
      <c r="C883" s="4" t="n">
        <v>189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구거</t>
        </is>
      </c>
      <c r="H883" s="4" t="n">
        <v>57.1725</v>
      </c>
      <c r="I883" s="5" t="n">
        <v>196</v>
      </c>
      <c r="J883" s="3" t="inlineStr">
        <is>
          <t>연서면</t>
        </is>
      </c>
    </row>
    <row r="884">
      <c r="A884" s="3" t="n">
        <v>2024</v>
      </c>
      <c r="B884" s="4" t="n">
        <v>5000</v>
      </c>
      <c r="C884" s="4" t="n">
        <v>311</v>
      </c>
      <c r="D884" s="3" t="inlineStr">
        <is>
          <t>연동면</t>
        </is>
      </c>
      <c r="E884" s="3" t="inlineStr">
        <is>
          <t>응암리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94.0775</v>
      </c>
      <c r="I884" s="5" t="n">
        <v>53.1</v>
      </c>
      <c r="J884" s="3" t="inlineStr">
        <is>
          <t>연동면</t>
        </is>
      </c>
    </row>
    <row r="885">
      <c r="A885" s="3" t="n">
        <v>2024</v>
      </c>
      <c r="B885" s="4" t="n">
        <v>42700</v>
      </c>
      <c r="C885" s="4" t="n">
        <v>295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89.2375</v>
      </c>
      <c r="I885" s="5" t="n">
        <v>478.5</v>
      </c>
      <c r="J885" s="3" t="inlineStr">
        <is>
          <t>고운동</t>
        </is>
      </c>
    </row>
    <row r="886">
      <c r="A886" s="3" t="n">
        <v>2024</v>
      </c>
      <c r="B886" s="4" t="n">
        <v>9900</v>
      </c>
      <c r="C886" s="4" t="n">
        <v>943</v>
      </c>
      <c r="D886" s="3" t="inlineStr">
        <is>
          <t>연동면</t>
        </is>
      </c>
      <c r="E886" s="3" t="inlineStr">
        <is>
          <t>응암리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285.2575</v>
      </c>
      <c r="I886" s="5" t="n">
        <v>34.7</v>
      </c>
      <c r="J886" s="3" t="inlineStr">
        <is>
          <t>연동면</t>
        </is>
      </c>
    </row>
    <row r="887">
      <c r="A887" s="3" t="n">
        <v>2025</v>
      </c>
      <c r="B887" s="4" t="n">
        <v>28100</v>
      </c>
      <c r="C887" s="4" t="n">
        <v>150</v>
      </c>
      <c r="D887" s="3" t="inlineStr">
        <is>
          <t>조치원읍</t>
        </is>
      </c>
      <c r="E887" s="3" t="inlineStr">
        <is>
          <t>정리</t>
        </is>
      </c>
      <c r="F887" s="3" t="inlineStr">
        <is>
          <t>준주거지역</t>
        </is>
      </c>
      <c r="G887" s="3" t="inlineStr">
        <is>
          <t>대</t>
        </is>
      </c>
      <c r="H887" s="4" t="n">
        <v>45.375</v>
      </c>
      <c r="I887" s="5" t="n">
        <v>619.3</v>
      </c>
      <c r="J887" s="3" t="inlineStr">
        <is>
          <t>조치원읍</t>
        </is>
      </c>
    </row>
    <row r="888">
      <c r="A888" s="3" t="n">
        <v>2025</v>
      </c>
      <c r="B888" s="4" t="n">
        <v>46645</v>
      </c>
      <c r="C888" s="4" t="n">
        <v>249</v>
      </c>
      <c r="D888" s="3" t="inlineStr">
        <is>
          <t>조치원읍</t>
        </is>
      </c>
      <c r="E888" s="3" t="inlineStr">
        <is>
          <t>정리</t>
        </is>
      </c>
      <c r="F888" s="3" t="inlineStr">
        <is>
          <t>준주거지역</t>
        </is>
      </c>
      <c r="G888" s="3" t="inlineStr">
        <is>
          <t>대</t>
        </is>
      </c>
      <c r="H888" s="4" t="n">
        <v>75.32249999999999</v>
      </c>
      <c r="I888" s="5" t="n">
        <v>619.3</v>
      </c>
      <c r="J888" s="3" t="inlineStr">
        <is>
          <t>조치원읍</t>
        </is>
      </c>
    </row>
    <row r="889">
      <c r="A889" s="3" t="n">
        <v>2025</v>
      </c>
      <c r="B889" s="4" t="n">
        <v>6370</v>
      </c>
      <c r="C889" s="4" t="n">
        <v>40</v>
      </c>
      <c r="D889" s="3" t="inlineStr">
        <is>
          <t>조치원읍</t>
        </is>
      </c>
      <c r="E889" s="3" t="inlineStr">
        <is>
          <t>정리</t>
        </is>
      </c>
      <c r="F889" s="3" t="inlineStr">
        <is>
          <t>준주거지역</t>
        </is>
      </c>
      <c r="G889" s="3" t="inlineStr">
        <is>
          <t>대</t>
        </is>
      </c>
      <c r="H889" s="4" t="n">
        <v>12.1</v>
      </c>
      <c r="I889" s="5" t="n">
        <v>526.4</v>
      </c>
      <c r="J889" s="3" t="inlineStr">
        <is>
          <t>조치원읍</t>
        </is>
      </c>
    </row>
    <row r="890">
      <c r="A890" s="3" t="n">
        <v>2025</v>
      </c>
      <c r="B890" s="4" t="n">
        <v>8885</v>
      </c>
      <c r="C890" s="4" t="n">
        <v>46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답</t>
        </is>
      </c>
      <c r="H890" s="4" t="n">
        <v>13.915</v>
      </c>
      <c r="I890" s="5" t="n">
        <v>638.5</v>
      </c>
      <c r="J890" s="3" t="inlineStr">
        <is>
          <t>조치원읍</t>
        </is>
      </c>
    </row>
    <row r="891">
      <c r="A891" s="3" t="n">
        <v>2025</v>
      </c>
      <c r="B891" s="4" t="n">
        <v>50000</v>
      </c>
      <c r="C891" s="4" t="n">
        <v>325.3</v>
      </c>
      <c r="D891" s="3" t="inlineStr">
        <is>
          <t>집현동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98.40325</v>
      </c>
      <c r="I891" s="5" t="n">
        <v>508.1</v>
      </c>
      <c r="J891" s="3" t="inlineStr">
        <is>
          <t>집현동</t>
        </is>
      </c>
    </row>
    <row r="892">
      <c r="A892" s="3" t="n">
        <v>2025</v>
      </c>
      <c r="B892" s="4" t="n">
        <v>68000</v>
      </c>
      <c r="C892" s="4" t="n">
        <v>331.9</v>
      </c>
      <c r="D892" s="3" t="inlineStr">
        <is>
          <t>고운동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100.39975</v>
      </c>
      <c r="I892" s="5" t="n">
        <v>677.3</v>
      </c>
      <c r="J892" s="3" t="inlineStr">
        <is>
          <t>고운동</t>
        </is>
      </c>
    </row>
    <row r="893">
      <c r="A893" s="3" t="n">
        <v>2025</v>
      </c>
      <c r="B893" s="4" t="n">
        <v>45872</v>
      </c>
      <c r="C893" s="4" t="n">
        <v>2861.3</v>
      </c>
      <c r="D893" s="3" t="inlineStr">
        <is>
          <t>연동면</t>
        </is>
      </c>
      <c r="E893" s="3" t="inlineStr">
        <is>
          <t>송용리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865.5432500000001</v>
      </c>
      <c r="I893" s="5" t="n">
        <v>53</v>
      </c>
      <c r="J893" s="3" t="inlineStr">
        <is>
          <t>연동면</t>
        </is>
      </c>
    </row>
    <row r="894">
      <c r="A894" s="3" t="n">
        <v>2024</v>
      </c>
      <c r="B894" s="4" t="n">
        <v>39500</v>
      </c>
      <c r="C894" s="4" t="n">
        <v>271.8</v>
      </c>
      <c r="D894" s="3" t="inlineStr">
        <is>
          <t>다정동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82.2195</v>
      </c>
      <c r="I894" s="5" t="n">
        <v>480.4</v>
      </c>
      <c r="J894" s="3" t="inlineStr">
        <is>
          <t>다정동</t>
        </is>
      </c>
    </row>
    <row r="895">
      <c r="A895" s="3" t="n">
        <v>2024</v>
      </c>
      <c r="B895" s="4" t="n">
        <v>7000</v>
      </c>
      <c r="C895" s="4" t="n">
        <v>331</v>
      </c>
      <c r="D895" s="3" t="inlineStr">
        <is>
          <t>연서면</t>
        </is>
      </c>
      <c r="E895" s="3" t="inlineStr">
        <is>
          <t>쌍류리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100.1275</v>
      </c>
      <c r="I895" s="5" t="n">
        <v>69.90000000000001</v>
      </c>
      <c r="J895" s="3" t="inlineStr">
        <is>
          <t>연서면</t>
        </is>
      </c>
    </row>
    <row r="896">
      <c r="A896" s="3" t="n">
        <v>2024</v>
      </c>
      <c r="B896" s="4" t="n">
        <v>13800</v>
      </c>
      <c r="C896" s="4" t="n">
        <v>92</v>
      </c>
      <c r="D896" s="3" t="inlineStr">
        <is>
          <t>조치원읍</t>
        </is>
      </c>
      <c r="E896" s="3" t="inlineStr">
        <is>
          <t>침산리</t>
        </is>
      </c>
      <c r="F896" s="3" t="inlineStr">
        <is>
          <t>제2종일반주거지역</t>
        </is>
      </c>
      <c r="G896" s="3" t="inlineStr">
        <is>
          <t>대</t>
        </is>
      </c>
      <c r="H896" s="4" t="n">
        <v>27.83</v>
      </c>
      <c r="I896" s="5" t="n">
        <v>495.9</v>
      </c>
      <c r="J896" s="3" t="inlineStr">
        <is>
          <t>조치원읍</t>
        </is>
      </c>
    </row>
    <row r="897">
      <c r="A897" s="3" t="n">
        <v>2024</v>
      </c>
      <c r="B897" s="4" t="n">
        <v>30000</v>
      </c>
      <c r="C897" s="4" t="n">
        <v>277.5</v>
      </c>
      <c r="D897" s="3" t="inlineStr">
        <is>
          <t>한솔동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83.94374999999999</v>
      </c>
      <c r="I897" s="5" t="n">
        <v>357.4</v>
      </c>
      <c r="J897" s="3" t="inlineStr">
        <is>
          <t>한솔동</t>
        </is>
      </c>
    </row>
    <row r="898">
      <c r="A898" s="3" t="n">
        <v>2022</v>
      </c>
      <c r="B898" s="4" t="n">
        <v>30000</v>
      </c>
      <c r="C898" s="4" t="n">
        <v>1038</v>
      </c>
      <c r="D898" s="3" t="inlineStr">
        <is>
          <t>연서면</t>
        </is>
      </c>
      <c r="E898" s="3" t="inlineStr">
        <is>
          <t>청라리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313.995</v>
      </c>
      <c r="I898" s="5" t="n">
        <v>95.5</v>
      </c>
      <c r="J898" s="3" t="inlineStr">
        <is>
          <t>연서면</t>
        </is>
      </c>
    </row>
    <row r="899">
      <c r="A899" s="3" t="n">
        <v>2022</v>
      </c>
      <c r="B899" s="4" t="n">
        <v>40000</v>
      </c>
      <c r="C899" s="4" t="n">
        <v>2023</v>
      </c>
      <c r="D899" s="3" t="inlineStr">
        <is>
          <t>연서면</t>
        </is>
      </c>
      <c r="E899" s="3" t="inlineStr">
        <is>
          <t>청라리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611.9575</v>
      </c>
      <c r="I899" s="5" t="n">
        <v>65.40000000000001</v>
      </c>
      <c r="J899" s="3" t="inlineStr">
        <is>
          <t>연서면</t>
        </is>
      </c>
    </row>
    <row r="900">
      <c r="A900" s="3" t="n">
        <v>2022</v>
      </c>
      <c r="B900" s="4" t="n">
        <v>33800</v>
      </c>
      <c r="C900" s="4" t="n">
        <v>2023</v>
      </c>
      <c r="D900" s="3" t="inlineStr">
        <is>
          <t>연서면</t>
        </is>
      </c>
      <c r="E900" s="3" t="inlineStr">
        <is>
          <t>신대리</t>
        </is>
      </c>
      <c r="F900" s="3" t="inlineStr">
        <is>
          <t>생산관리지역</t>
        </is>
      </c>
      <c r="G900" s="3" t="inlineStr">
        <is>
          <t>답</t>
        </is>
      </c>
      <c r="H900" s="4" t="n">
        <v>611.9575</v>
      </c>
      <c r="I900" s="5" t="n">
        <v>55.2</v>
      </c>
      <c r="J900" s="3" t="inlineStr">
        <is>
          <t>연서면</t>
        </is>
      </c>
    </row>
    <row r="901">
      <c r="A901" s="3" t="n">
        <v>2022</v>
      </c>
      <c r="B901" s="4" t="n">
        <v>65680</v>
      </c>
      <c r="C901" s="4" t="n">
        <v>2889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생산관리지역</t>
        </is>
      </c>
      <c r="G901" s="3" t="inlineStr">
        <is>
          <t>답</t>
        </is>
      </c>
      <c r="H901" s="4" t="n">
        <v>873.9225</v>
      </c>
      <c r="I901" s="5" t="n">
        <v>75.2</v>
      </c>
      <c r="J901" s="3" t="inlineStr">
        <is>
          <t>연서면</t>
        </is>
      </c>
    </row>
    <row r="902">
      <c r="A902" s="3" t="n">
        <v>2022</v>
      </c>
      <c r="B902" s="4" t="n">
        <v>144383</v>
      </c>
      <c r="C902" s="4" t="n">
        <v>740</v>
      </c>
      <c r="D902" s="3" t="inlineStr">
        <is>
          <t>연서면</t>
        </is>
      </c>
      <c r="E902" s="3" t="inlineStr">
        <is>
          <t>봉암리</t>
        </is>
      </c>
      <c r="F902" s="3" t="inlineStr">
        <is>
          <t>계획관리지역</t>
        </is>
      </c>
      <c r="G902" s="3" t="inlineStr">
        <is>
          <t>답</t>
        </is>
      </c>
      <c r="H902" s="4" t="n">
        <v>223.85</v>
      </c>
      <c r="I902" s="5" t="n">
        <v>645</v>
      </c>
      <c r="J902" s="3" t="inlineStr">
        <is>
          <t>연서면</t>
        </is>
      </c>
    </row>
    <row r="903">
      <c r="A903" s="3" t="n">
        <v>2022</v>
      </c>
      <c r="B903" s="4" t="n">
        <v>44486</v>
      </c>
      <c r="C903" s="4" t="n">
        <v>228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68.97</v>
      </c>
      <c r="I903" s="5" t="n">
        <v>645</v>
      </c>
      <c r="J903" s="3" t="inlineStr">
        <is>
          <t>연서면</t>
        </is>
      </c>
    </row>
    <row r="904">
      <c r="A904" s="3" t="n">
        <v>2022</v>
      </c>
      <c r="B904" s="4" t="n">
        <v>78000</v>
      </c>
      <c r="C904" s="4" t="n">
        <v>353.4</v>
      </c>
      <c r="D904" s="3" t="inlineStr">
        <is>
          <t>한솔동</t>
        </is>
      </c>
      <c r="E904" s="3" t="inlineStr"/>
      <c r="F904" s="3" t="inlineStr">
        <is>
          <t>제1종전용주거지역</t>
        </is>
      </c>
      <c r="G904" s="3" t="inlineStr">
        <is>
          <t>대</t>
        </is>
      </c>
      <c r="H904" s="4" t="n">
        <v>106.9035</v>
      </c>
      <c r="I904" s="5" t="n">
        <v>729.6</v>
      </c>
      <c r="J904" s="3" t="inlineStr">
        <is>
          <t>한솔동</t>
        </is>
      </c>
    </row>
    <row r="905">
      <c r="A905" s="3" t="n">
        <v>2022</v>
      </c>
      <c r="B905" s="4" t="n">
        <v>16000</v>
      </c>
      <c r="C905" s="4" t="n">
        <v>153</v>
      </c>
      <c r="D905" s="3" t="inlineStr">
        <is>
          <t>반곡동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46.2825</v>
      </c>
      <c r="I905" s="5" t="n">
        <v>345.7</v>
      </c>
      <c r="J905" s="3" t="inlineStr">
        <is>
          <t>반곡동</t>
        </is>
      </c>
    </row>
    <row r="906">
      <c r="A906" s="3" t="n">
        <v>2023</v>
      </c>
      <c r="B906" s="4" t="n">
        <v>56000</v>
      </c>
      <c r="C906" s="4" t="n">
        <v>1958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생산관리지역</t>
        </is>
      </c>
      <c r="G906" s="3" t="inlineStr">
        <is>
          <t>과수원</t>
        </is>
      </c>
      <c r="H906" s="4" t="n">
        <v>592.295</v>
      </c>
      <c r="I906" s="5" t="n">
        <v>94.5</v>
      </c>
      <c r="J906" s="3" t="inlineStr">
        <is>
          <t>연서면</t>
        </is>
      </c>
    </row>
    <row r="907">
      <c r="A907" s="3" t="n">
        <v>2023</v>
      </c>
      <c r="B907" s="4" t="n">
        <v>29000</v>
      </c>
      <c r="C907" s="4" t="n">
        <v>462</v>
      </c>
      <c r="D907" s="3" t="inlineStr">
        <is>
          <t>조치원읍</t>
        </is>
      </c>
      <c r="E907" s="3" t="inlineStr">
        <is>
          <t>서창리</t>
        </is>
      </c>
      <c r="F907" s="3" t="inlineStr">
        <is>
          <t>자연녹지지역</t>
        </is>
      </c>
      <c r="G907" s="3" t="inlineStr">
        <is>
          <t>답</t>
        </is>
      </c>
      <c r="H907" s="4" t="n">
        <v>139.755</v>
      </c>
      <c r="I907" s="5" t="n">
        <v>207.5</v>
      </c>
      <c r="J907" s="3" t="inlineStr">
        <is>
          <t>조치원읍</t>
        </is>
      </c>
    </row>
    <row r="908">
      <c r="A908" s="3" t="n">
        <v>2023</v>
      </c>
      <c r="B908" s="4" t="n">
        <v>19350</v>
      </c>
      <c r="C908" s="4" t="n">
        <v>425</v>
      </c>
      <c r="D908" s="3" t="inlineStr">
        <is>
          <t>연서면</t>
        </is>
      </c>
      <c r="E908" s="3" t="inlineStr">
        <is>
          <t>성제리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128.5625</v>
      </c>
      <c r="I908" s="5" t="n">
        <v>150.5</v>
      </c>
      <c r="J908" s="3" t="inlineStr">
        <is>
          <t>연서면</t>
        </is>
      </c>
    </row>
    <row r="909">
      <c r="A909" s="3" t="n">
        <v>2023</v>
      </c>
      <c r="B909" s="4" t="n">
        <v>9600</v>
      </c>
      <c r="C909" s="4" t="n">
        <v>676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계획관리지역</t>
        </is>
      </c>
      <c r="G909" s="3" t="inlineStr">
        <is>
          <t>잡종지</t>
        </is>
      </c>
      <c r="H909" s="4" t="n">
        <v>204.49</v>
      </c>
      <c r="I909" s="5" t="n">
        <v>46.9</v>
      </c>
      <c r="J909" s="3" t="inlineStr">
        <is>
          <t>부강면</t>
        </is>
      </c>
    </row>
    <row r="910">
      <c r="A910" s="3" t="n">
        <v>2023</v>
      </c>
      <c r="B910" s="4" t="n">
        <v>300</v>
      </c>
      <c r="C910" s="4" t="n">
        <v>38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11.495</v>
      </c>
      <c r="I910" s="5" t="n">
        <v>26.1</v>
      </c>
      <c r="J910" s="3" t="inlineStr">
        <is>
          <t>부강면</t>
        </is>
      </c>
    </row>
    <row r="911">
      <c r="A911" s="3" t="n">
        <v>2023</v>
      </c>
      <c r="B911" s="4" t="n">
        <v>17711</v>
      </c>
      <c r="C911" s="4" t="n">
        <v>658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199.045</v>
      </c>
      <c r="I911" s="5" t="n">
        <v>89</v>
      </c>
      <c r="J911" s="3" t="inlineStr">
        <is>
          <t>연동면</t>
        </is>
      </c>
    </row>
    <row r="912">
      <c r="A912" s="3" t="n">
        <v>2023</v>
      </c>
      <c r="B912" s="4" t="n">
        <v>52000</v>
      </c>
      <c r="C912" s="4" t="n">
        <v>337.9</v>
      </c>
      <c r="D912" s="3" t="inlineStr">
        <is>
          <t>아름동</t>
        </is>
      </c>
      <c r="E912" s="3" t="inlineStr"/>
      <c r="F912" s="3" t="inlineStr">
        <is>
          <t>제1종전용주거지역</t>
        </is>
      </c>
      <c r="G912" s="3" t="inlineStr">
        <is>
          <t>대</t>
        </is>
      </c>
      <c r="H912" s="4" t="n">
        <v>102.21475</v>
      </c>
      <c r="I912" s="5" t="n">
        <v>508.7</v>
      </c>
      <c r="J912" s="3" t="inlineStr">
        <is>
          <t>아름동</t>
        </is>
      </c>
    </row>
    <row r="913">
      <c r="A913" s="3" t="n">
        <v>2023</v>
      </c>
      <c r="B913" s="4" t="n">
        <v>52500</v>
      </c>
      <c r="C913" s="4" t="n">
        <v>322.2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97.46549999999999</v>
      </c>
      <c r="I913" s="5" t="n">
        <v>538.7</v>
      </c>
      <c r="J913" s="3" t="inlineStr">
        <is>
          <t>고운동</t>
        </is>
      </c>
    </row>
    <row r="914">
      <c r="A914" s="3" t="n">
        <v>2022</v>
      </c>
      <c r="B914" s="4" t="n">
        <v>300</v>
      </c>
      <c r="C914" s="4" t="n">
        <v>26</v>
      </c>
      <c r="D914" s="3" t="inlineStr">
        <is>
          <t>부강면</t>
        </is>
      </c>
      <c r="E914" s="3" t="inlineStr">
        <is>
          <t>등곡리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7.865</v>
      </c>
      <c r="I914" s="5" t="n">
        <v>38.1</v>
      </c>
      <c r="J914" s="3" t="inlineStr">
        <is>
          <t>부강면</t>
        </is>
      </c>
    </row>
    <row r="915">
      <c r="A915" s="3" t="n">
        <v>2022</v>
      </c>
      <c r="B915" s="4" t="n">
        <v>2700</v>
      </c>
      <c r="C915" s="4" t="n">
        <v>157</v>
      </c>
      <c r="D915" s="3" t="inlineStr">
        <is>
          <t>부강면</t>
        </is>
      </c>
      <c r="E915" s="3" t="inlineStr">
        <is>
          <t>등곡리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47.4925</v>
      </c>
      <c r="I915" s="5" t="n">
        <v>56.9</v>
      </c>
      <c r="J915" s="3" t="inlineStr">
        <is>
          <t>부강면</t>
        </is>
      </c>
    </row>
    <row r="916">
      <c r="A916" s="3" t="n">
        <v>2022</v>
      </c>
      <c r="B916" s="4" t="n">
        <v>31000</v>
      </c>
      <c r="C916" s="4" t="n">
        <v>330</v>
      </c>
      <c r="D916" s="3" t="inlineStr">
        <is>
          <t>반곡동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99.825</v>
      </c>
      <c r="I916" s="5" t="n">
        <v>310.5</v>
      </c>
      <c r="J916" s="3" t="inlineStr">
        <is>
          <t>반곡동</t>
        </is>
      </c>
    </row>
    <row r="917">
      <c r="A917" s="3" t="n">
        <v>2022</v>
      </c>
      <c r="B917" s="4" t="n">
        <v>2700</v>
      </c>
      <c r="C917" s="4" t="n">
        <v>60</v>
      </c>
      <c r="D917" s="3" t="inlineStr">
        <is>
          <t>연서면</t>
        </is>
      </c>
      <c r="E917" s="3" t="inlineStr">
        <is>
          <t>쌍류리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18.15</v>
      </c>
      <c r="I917" s="5" t="n">
        <v>148.8</v>
      </c>
      <c r="J917" s="3" t="inlineStr">
        <is>
          <t>연서면</t>
        </is>
      </c>
    </row>
    <row r="918">
      <c r="A918" s="3" t="n">
        <v>2022</v>
      </c>
      <c r="B918" s="4" t="n">
        <v>43000</v>
      </c>
      <c r="C918" s="4" t="n">
        <v>1215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367.5375</v>
      </c>
      <c r="I918" s="5" t="n">
        <v>117</v>
      </c>
      <c r="J918" s="3" t="inlineStr">
        <is>
          <t>부강면</t>
        </is>
      </c>
    </row>
    <row r="919">
      <c r="A919" s="3" t="n">
        <v>2022</v>
      </c>
      <c r="B919" s="4" t="n">
        <v>13334</v>
      </c>
      <c r="C919" s="4" t="n">
        <v>1650</v>
      </c>
      <c r="D919" s="3" t="inlineStr">
        <is>
          <t>연동면</t>
        </is>
      </c>
      <c r="E919" s="3" t="inlineStr">
        <is>
          <t>명학리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499.125</v>
      </c>
      <c r="I919" s="5" t="n">
        <v>26.7</v>
      </c>
      <c r="J919" s="3" t="inlineStr">
        <is>
          <t>연동면</t>
        </is>
      </c>
    </row>
    <row r="920">
      <c r="A920" s="3" t="n">
        <v>2022</v>
      </c>
      <c r="B920" s="4" t="n">
        <v>7100</v>
      </c>
      <c r="C920" s="4" t="n">
        <v>670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202.675</v>
      </c>
      <c r="I920" s="5" t="n">
        <v>35</v>
      </c>
      <c r="J920" s="3" t="inlineStr">
        <is>
          <t>부강면</t>
        </is>
      </c>
    </row>
    <row r="921">
      <c r="A921" s="3" t="n">
        <v>2022</v>
      </c>
      <c r="B921" s="4" t="n">
        <v>13200</v>
      </c>
      <c r="C921" s="4" t="n">
        <v>1247</v>
      </c>
      <c r="D921" s="3" t="inlineStr">
        <is>
          <t>부강면</t>
        </is>
      </c>
      <c r="E921" s="3" t="inlineStr">
        <is>
          <t>행산리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377.2175</v>
      </c>
      <c r="I921" s="5" t="n">
        <v>35</v>
      </c>
      <c r="J921" s="3" t="inlineStr">
        <is>
          <t>부강면</t>
        </is>
      </c>
    </row>
    <row r="922">
      <c r="A922" s="3" t="n">
        <v>2022</v>
      </c>
      <c r="B922" s="4" t="n">
        <v>13000</v>
      </c>
      <c r="C922" s="4" t="n">
        <v>232</v>
      </c>
      <c r="D922" s="3" t="inlineStr">
        <is>
          <t>연동면</t>
        </is>
      </c>
      <c r="E922" s="3" t="inlineStr">
        <is>
          <t>응암리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70.17999999999999</v>
      </c>
      <c r="I922" s="5" t="n">
        <v>185.2</v>
      </c>
      <c r="J922" s="3" t="inlineStr">
        <is>
          <t>연동면</t>
        </is>
      </c>
    </row>
    <row r="923">
      <c r="A923" s="3" t="n">
        <v>2022</v>
      </c>
      <c r="B923" s="4" t="n">
        <v>5500</v>
      </c>
      <c r="C923" s="4" t="n">
        <v>1058</v>
      </c>
      <c r="D923" s="3" t="inlineStr">
        <is>
          <t>연서면</t>
        </is>
      </c>
      <c r="E923" s="3" t="inlineStr">
        <is>
          <t>쌍류리</t>
        </is>
      </c>
      <c r="F923" s="3" t="inlineStr">
        <is>
          <t>보전관리지역</t>
        </is>
      </c>
      <c r="G923" s="3" t="inlineStr">
        <is>
          <t>답</t>
        </is>
      </c>
      <c r="H923" s="4" t="n">
        <v>320.045</v>
      </c>
      <c r="I923" s="5" t="n">
        <v>17.2</v>
      </c>
      <c r="J923" s="3" t="inlineStr">
        <is>
          <t>연서면</t>
        </is>
      </c>
    </row>
    <row r="924">
      <c r="A924" s="3" t="n">
        <v>2022</v>
      </c>
      <c r="B924" s="4" t="n">
        <v>30000</v>
      </c>
      <c r="C924" s="4" t="n">
        <v>661</v>
      </c>
      <c r="D924" s="3" t="inlineStr">
        <is>
          <t>연서면</t>
        </is>
      </c>
      <c r="E924" s="3" t="inlineStr">
        <is>
          <t>월하리</t>
        </is>
      </c>
      <c r="F924" s="3" t="inlineStr">
        <is>
          <t>자연녹지지역</t>
        </is>
      </c>
      <c r="G924" s="3" t="inlineStr">
        <is>
          <t>임야</t>
        </is>
      </c>
      <c r="H924" s="4" t="n">
        <v>199.9525</v>
      </c>
      <c r="I924" s="5" t="n">
        <v>150</v>
      </c>
      <c r="J924" s="3" t="inlineStr">
        <is>
          <t>연서면</t>
        </is>
      </c>
    </row>
    <row r="925">
      <c r="A925" s="3" t="n">
        <v>2022</v>
      </c>
      <c r="B925" s="4" t="n">
        <v>913</v>
      </c>
      <c r="C925" s="4" t="n">
        <v>10</v>
      </c>
      <c r="D925" s="3" t="inlineStr">
        <is>
          <t>연서면</t>
        </is>
      </c>
      <c r="E925" s="3" t="inlineStr">
        <is>
          <t>봉암리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3.025</v>
      </c>
      <c r="I925" s="5" t="n">
        <v>301.8</v>
      </c>
      <c r="J925" s="3" t="inlineStr">
        <is>
          <t>연서면</t>
        </is>
      </c>
    </row>
    <row r="926">
      <c r="A926" s="3" t="n">
        <v>2022</v>
      </c>
      <c r="B926" s="4" t="n">
        <v>520</v>
      </c>
      <c r="C926" s="4" t="n">
        <v>17</v>
      </c>
      <c r="D926" s="3" t="inlineStr">
        <is>
          <t>연서면</t>
        </is>
      </c>
      <c r="E926" s="3" t="inlineStr">
        <is>
          <t>월하리</t>
        </is>
      </c>
      <c r="F926" s="3" t="inlineStr">
        <is>
          <t>자연녹지지역</t>
        </is>
      </c>
      <c r="G926" s="3" t="inlineStr">
        <is>
          <t>묘지</t>
        </is>
      </c>
      <c r="H926" s="4" t="n">
        <v>5.1425</v>
      </c>
      <c r="I926" s="5" t="n">
        <v>101.1</v>
      </c>
      <c r="J926" s="3" t="inlineStr">
        <is>
          <t>연서면</t>
        </is>
      </c>
    </row>
    <row r="927">
      <c r="A927" s="3" t="n">
        <v>2022</v>
      </c>
      <c r="B927" s="4" t="n">
        <v>900</v>
      </c>
      <c r="C927" s="4" t="n">
        <v>30</v>
      </c>
      <c r="D927" s="3" t="inlineStr">
        <is>
          <t>연동면</t>
        </is>
      </c>
      <c r="E927" s="3" t="inlineStr">
        <is>
          <t>노송리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9.074999999999999</v>
      </c>
      <c r="I927" s="5" t="n">
        <v>99.2</v>
      </c>
      <c r="J927" s="3" t="inlineStr">
        <is>
          <t>연동면</t>
        </is>
      </c>
    </row>
    <row r="928">
      <c r="A928" s="3" t="n">
        <v>2024</v>
      </c>
      <c r="B928" s="4" t="n">
        <v>8000</v>
      </c>
      <c r="C928" s="4" t="n">
        <v>76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전</t>
        </is>
      </c>
      <c r="H928" s="4" t="n">
        <v>22.99</v>
      </c>
      <c r="I928" s="5" t="n">
        <v>348</v>
      </c>
      <c r="J928" s="3" t="inlineStr">
        <is>
          <t>조치원읍</t>
        </is>
      </c>
    </row>
    <row r="929">
      <c r="A929" s="3" t="n">
        <v>2022</v>
      </c>
      <c r="B929" s="4" t="n">
        <v>1614</v>
      </c>
      <c r="C929" s="4" t="n">
        <v>53</v>
      </c>
      <c r="D929" s="3" t="inlineStr">
        <is>
          <t>연서면</t>
        </is>
      </c>
      <c r="E929" s="3" t="inlineStr">
        <is>
          <t>월하리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16.0325</v>
      </c>
      <c r="I929" s="5" t="n">
        <v>100.7</v>
      </c>
      <c r="J929" s="3" t="inlineStr">
        <is>
          <t>연서면</t>
        </is>
      </c>
    </row>
    <row r="930">
      <c r="A930" s="3" t="n">
        <v>2022</v>
      </c>
      <c r="B930" s="4" t="n">
        <v>54000</v>
      </c>
      <c r="C930" s="4" t="n">
        <v>623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철도용지</t>
        </is>
      </c>
      <c r="H930" s="4" t="n">
        <v>188.4575</v>
      </c>
      <c r="I930" s="5" t="n">
        <v>286.5</v>
      </c>
      <c r="J930" s="3" t="inlineStr">
        <is>
          <t>연동면</t>
        </is>
      </c>
    </row>
    <row r="931">
      <c r="A931" s="3" t="n">
        <v>2022</v>
      </c>
      <c r="B931" s="4" t="n">
        <v>9000</v>
      </c>
      <c r="C931" s="4" t="n">
        <v>200</v>
      </c>
      <c r="D931" s="3" t="inlineStr">
        <is>
          <t>연서면</t>
        </is>
      </c>
      <c r="E931" s="3" t="inlineStr">
        <is>
          <t>쌍류리</t>
        </is>
      </c>
      <c r="F931" s="3" t="inlineStr">
        <is>
          <t>농림지역</t>
        </is>
      </c>
      <c r="G931" s="3" t="inlineStr">
        <is>
          <t>과수원</t>
        </is>
      </c>
      <c r="H931" s="4" t="n">
        <v>60.5</v>
      </c>
      <c r="I931" s="5" t="n">
        <v>148.8</v>
      </c>
      <c r="J931" s="3" t="inlineStr">
        <is>
          <t>연서면</t>
        </is>
      </c>
    </row>
    <row r="932">
      <c r="A932" s="3" t="n">
        <v>2022</v>
      </c>
      <c r="B932" s="4" t="n">
        <v>2400</v>
      </c>
      <c r="C932" s="4" t="n">
        <v>63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묘지</t>
        </is>
      </c>
      <c r="H932" s="4" t="n">
        <v>19.0575</v>
      </c>
      <c r="I932" s="5" t="n">
        <v>125.9</v>
      </c>
      <c r="J932" s="3" t="inlineStr">
        <is>
          <t>연서면</t>
        </is>
      </c>
    </row>
    <row r="933">
      <c r="A933" s="3" t="n">
        <v>2022</v>
      </c>
      <c r="B933" s="4" t="n">
        <v>74000</v>
      </c>
      <c r="C933" s="4" t="n">
        <v>3260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986.15</v>
      </c>
      <c r="I933" s="5" t="n">
        <v>75</v>
      </c>
      <c r="J933" s="3" t="inlineStr">
        <is>
          <t>연서면</t>
        </is>
      </c>
    </row>
    <row r="934">
      <c r="A934" s="3" t="n">
        <v>2022</v>
      </c>
      <c r="B934" s="4" t="n">
        <v>46000</v>
      </c>
      <c r="C934" s="4" t="n">
        <v>2046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618.915</v>
      </c>
      <c r="I934" s="5" t="n">
        <v>74.3</v>
      </c>
      <c r="J934" s="3" t="inlineStr">
        <is>
          <t>연서면</t>
        </is>
      </c>
    </row>
    <row r="935">
      <c r="A935" s="3" t="n">
        <v>2022</v>
      </c>
      <c r="B935" s="4" t="n">
        <v>69600</v>
      </c>
      <c r="C935" s="4" t="n">
        <v>14380</v>
      </c>
      <c r="D935" s="3" t="inlineStr">
        <is>
          <t>부강면</t>
        </is>
      </c>
      <c r="E935" s="3" t="inlineStr">
        <is>
          <t>등곡리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4349.95</v>
      </c>
      <c r="I935" s="5" t="n">
        <v>16</v>
      </c>
      <c r="J935" s="3" t="inlineStr">
        <is>
          <t>부강면</t>
        </is>
      </c>
    </row>
    <row r="936">
      <c r="A936" s="3" t="n">
        <v>2022</v>
      </c>
      <c r="B936" s="4" t="n">
        <v>18000</v>
      </c>
      <c r="C936" s="4" t="n">
        <v>147</v>
      </c>
      <c r="D936" s="3" t="inlineStr">
        <is>
          <t>조치원읍</t>
        </is>
      </c>
      <c r="E936" s="3" t="inlineStr">
        <is>
          <t>서창리</t>
        </is>
      </c>
      <c r="F936" s="3" t="inlineStr">
        <is>
          <t>자연녹지지역</t>
        </is>
      </c>
      <c r="G936" s="3" t="inlineStr">
        <is>
          <t>대</t>
        </is>
      </c>
      <c r="H936" s="4" t="n">
        <v>44.4675</v>
      </c>
      <c r="I936" s="5" t="n">
        <v>404.8</v>
      </c>
      <c r="J936" s="3" t="inlineStr">
        <is>
          <t>조치원읍</t>
        </is>
      </c>
    </row>
    <row r="937">
      <c r="A937" s="3" t="n">
        <v>2022</v>
      </c>
      <c r="B937" s="4" t="n">
        <v>36567</v>
      </c>
      <c r="C937" s="4" t="n">
        <v>1038</v>
      </c>
      <c r="D937" s="3" t="inlineStr">
        <is>
          <t>연서면</t>
        </is>
      </c>
      <c r="E937" s="3" t="inlineStr">
        <is>
          <t>청라리</t>
        </is>
      </c>
      <c r="F937" s="3" t="inlineStr">
        <is>
          <t>생산관리지역</t>
        </is>
      </c>
      <c r="G937" s="3" t="inlineStr">
        <is>
          <t>과수원</t>
        </is>
      </c>
      <c r="H937" s="4" t="n">
        <v>313.995</v>
      </c>
      <c r="I937" s="5" t="n">
        <v>116.5</v>
      </c>
      <c r="J937" s="3" t="inlineStr">
        <is>
          <t>연서면</t>
        </is>
      </c>
    </row>
    <row r="938">
      <c r="A938" s="3" t="n">
        <v>2022</v>
      </c>
      <c r="B938" s="4" t="n">
        <v>7433</v>
      </c>
      <c r="C938" s="4" t="n">
        <v>211</v>
      </c>
      <c r="D938" s="3" t="inlineStr">
        <is>
          <t>연서면</t>
        </is>
      </c>
      <c r="E938" s="3" t="inlineStr">
        <is>
          <t>청라리</t>
        </is>
      </c>
      <c r="F938" s="3" t="inlineStr">
        <is>
          <t>생산관리지역</t>
        </is>
      </c>
      <c r="G938" s="3" t="inlineStr">
        <is>
          <t>과수원</t>
        </is>
      </c>
      <c r="H938" s="4" t="n">
        <v>63.8275</v>
      </c>
      <c r="I938" s="5" t="n">
        <v>116.5</v>
      </c>
      <c r="J938" s="3" t="inlineStr">
        <is>
          <t>연서면</t>
        </is>
      </c>
    </row>
    <row r="939">
      <c r="A939" s="3" t="n">
        <v>2022</v>
      </c>
      <c r="B939" s="4" t="n">
        <v>90000</v>
      </c>
      <c r="C939" s="4" t="n">
        <v>3307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생산관리지역</t>
        </is>
      </c>
      <c r="G939" s="3" t="inlineStr">
        <is>
          <t>과수원</t>
        </is>
      </c>
      <c r="H939" s="4" t="n">
        <v>1000.3675</v>
      </c>
      <c r="I939" s="5" t="n">
        <v>90</v>
      </c>
      <c r="J939" s="3" t="inlineStr">
        <is>
          <t>연서면</t>
        </is>
      </c>
    </row>
    <row r="940">
      <c r="A940" s="3" t="n">
        <v>2022</v>
      </c>
      <c r="B940" s="4" t="n">
        <v>15000</v>
      </c>
      <c r="C940" s="4" t="n">
        <v>517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생산관리지역</t>
        </is>
      </c>
      <c r="G940" s="3" t="inlineStr">
        <is>
          <t>전</t>
        </is>
      </c>
      <c r="H940" s="4" t="n">
        <v>156.3925</v>
      </c>
      <c r="I940" s="5" t="n">
        <v>95.90000000000001</v>
      </c>
      <c r="J940" s="3" t="inlineStr">
        <is>
          <t>연서면</t>
        </is>
      </c>
    </row>
    <row r="941">
      <c r="A941" s="3" t="n">
        <v>2022</v>
      </c>
      <c r="B941" s="4" t="n">
        <v>5000</v>
      </c>
      <c r="C941" s="4" t="n">
        <v>6823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농림지역</t>
        </is>
      </c>
      <c r="G941" s="3" t="inlineStr">
        <is>
          <t>임야</t>
        </is>
      </c>
      <c r="H941" s="4" t="n">
        <v>2063.9575</v>
      </c>
      <c r="I941" s="5" t="n">
        <v>2.4</v>
      </c>
      <c r="J941" s="3" t="inlineStr">
        <is>
          <t>연서면</t>
        </is>
      </c>
    </row>
    <row r="942">
      <c r="A942" s="3" t="n">
        <v>2022</v>
      </c>
      <c r="B942" s="4" t="n">
        <v>70000</v>
      </c>
      <c r="C942" s="4" t="n">
        <v>2060</v>
      </c>
      <c r="D942" s="3" t="inlineStr">
        <is>
          <t>연서면</t>
        </is>
      </c>
      <c r="E942" s="3" t="inlineStr">
        <is>
          <t>국촌리</t>
        </is>
      </c>
      <c r="F942" s="3" t="inlineStr">
        <is>
          <t>농림지역</t>
        </is>
      </c>
      <c r="G942" s="3" t="inlineStr">
        <is>
          <t>답</t>
        </is>
      </c>
      <c r="H942" s="4" t="n">
        <v>623.15</v>
      </c>
      <c r="I942" s="5" t="n">
        <v>112.3</v>
      </c>
      <c r="J942" s="3" t="inlineStr">
        <is>
          <t>연서면</t>
        </is>
      </c>
    </row>
    <row r="943">
      <c r="A943" s="3" t="n">
        <v>2022</v>
      </c>
      <c r="B943" s="4" t="n">
        <v>22000</v>
      </c>
      <c r="C943" s="4" t="n">
        <v>653</v>
      </c>
      <c r="D943" s="3" t="inlineStr">
        <is>
          <t>연서면</t>
        </is>
      </c>
      <c r="E943" s="3" t="inlineStr">
        <is>
          <t>국촌리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197.5325</v>
      </c>
      <c r="I943" s="5" t="n">
        <v>111.4</v>
      </c>
      <c r="J943" s="3" t="inlineStr">
        <is>
          <t>연서면</t>
        </is>
      </c>
    </row>
    <row r="944">
      <c r="A944" s="3" t="n">
        <v>2022</v>
      </c>
      <c r="B944" s="4" t="n">
        <v>15500</v>
      </c>
      <c r="C944" s="4" t="n">
        <v>159</v>
      </c>
      <c r="D944" s="3" t="inlineStr">
        <is>
          <t>반곡동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48.0975</v>
      </c>
      <c r="I944" s="5" t="n">
        <v>322.3</v>
      </c>
      <c r="J944" s="3" t="inlineStr">
        <is>
          <t>반곡동</t>
        </is>
      </c>
    </row>
    <row r="945">
      <c r="A945" s="3" t="n">
        <v>2022</v>
      </c>
      <c r="B945" s="4" t="n">
        <v>67300</v>
      </c>
      <c r="C945" s="4" t="n">
        <v>623</v>
      </c>
      <c r="D945" s="3" t="inlineStr">
        <is>
          <t>연동면</t>
        </is>
      </c>
      <c r="E945" s="3" t="inlineStr">
        <is>
          <t>명학리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188.4575</v>
      </c>
      <c r="I945" s="5" t="n">
        <v>357.1</v>
      </c>
      <c r="J945" s="3" t="inlineStr">
        <is>
          <t>연동면</t>
        </is>
      </c>
    </row>
    <row r="946">
      <c r="A946" s="3" t="n">
        <v>2022</v>
      </c>
      <c r="B946" s="4" t="n">
        <v>3700</v>
      </c>
      <c r="C946" s="4" t="n">
        <v>34</v>
      </c>
      <c r="D946" s="3" t="inlineStr">
        <is>
          <t>연동면</t>
        </is>
      </c>
      <c r="E946" s="3" t="inlineStr">
        <is>
          <t>명학리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10.285</v>
      </c>
      <c r="I946" s="5" t="n">
        <v>359.7</v>
      </c>
      <c r="J946" s="3" t="inlineStr">
        <is>
          <t>연동면</t>
        </is>
      </c>
    </row>
    <row r="947">
      <c r="A947" s="3" t="n">
        <v>2022</v>
      </c>
      <c r="B947" s="4" t="n">
        <v>4000</v>
      </c>
      <c r="C947" s="4" t="n">
        <v>37</v>
      </c>
      <c r="D947" s="3" t="inlineStr">
        <is>
          <t>연동면</t>
        </is>
      </c>
      <c r="E947" s="3" t="inlineStr">
        <is>
          <t>명학리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11.1925</v>
      </c>
      <c r="I947" s="5" t="n">
        <v>357.4</v>
      </c>
      <c r="J947" s="3" t="inlineStr">
        <is>
          <t>연동면</t>
        </is>
      </c>
    </row>
    <row r="948">
      <c r="A948" s="3" t="n">
        <v>2022</v>
      </c>
      <c r="B948" s="4" t="n">
        <v>46000</v>
      </c>
      <c r="C948" s="4" t="n">
        <v>1642</v>
      </c>
      <c r="D948" s="3" t="inlineStr">
        <is>
          <t>연서면</t>
        </is>
      </c>
      <c r="E948" s="3" t="inlineStr">
        <is>
          <t>청라리</t>
        </is>
      </c>
      <c r="F948" s="3" t="inlineStr">
        <is>
          <t>생산관리지역</t>
        </is>
      </c>
      <c r="G948" s="3" t="inlineStr">
        <is>
          <t>답</t>
        </is>
      </c>
      <c r="H948" s="4" t="n">
        <v>496.705</v>
      </c>
      <c r="I948" s="5" t="n">
        <v>92.59999999999999</v>
      </c>
      <c r="J948" s="3" t="inlineStr">
        <is>
          <t>연서면</t>
        </is>
      </c>
    </row>
    <row r="949">
      <c r="A949" s="3" t="n">
        <v>2022</v>
      </c>
      <c r="B949" s="4" t="n">
        <v>451964</v>
      </c>
      <c r="C949" s="4" t="n">
        <v>14380</v>
      </c>
      <c r="D949" s="3" t="inlineStr">
        <is>
          <t>연서면</t>
        </is>
      </c>
      <c r="E949" s="3" t="inlineStr">
        <is>
          <t>와촌리</t>
        </is>
      </c>
      <c r="F949" s="3" t="inlineStr">
        <is>
          <t>보전관리지역</t>
        </is>
      </c>
      <c r="G949" s="3" t="inlineStr">
        <is>
          <t>임야</t>
        </is>
      </c>
      <c r="H949" s="4" t="n">
        <v>4349.95</v>
      </c>
      <c r="I949" s="5" t="n">
        <v>103.9</v>
      </c>
      <c r="J949" s="3" t="inlineStr">
        <is>
          <t>연서면</t>
        </is>
      </c>
    </row>
    <row r="950">
      <c r="A950" s="3" t="n">
        <v>2022</v>
      </c>
      <c r="B950" s="4" t="n">
        <v>148036</v>
      </c>
      <c r="C950" s="4" t="n">
        <v>4710</v>
      </c>
      <c r="D950" s="3" t="inlineStr">
        <is>
          <t>연서면</t>
        </is>
      </c>
      <c r="E950" s="3" t="inlineStr">
        <is>
          <t>와촌리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1424.775</v>
      </c>
      <c r="I950" s="5" t="n">
        <v>103.9</v>
      </c>
      <c r="J950" s="3" t="inlineStr">
        <is>
          <t>연서면</t>
        </is>
      </c>
    </row>
    <row r="951">
      <c r="A951" s="3" t="n">
        <v>2022</v>
      </c>
      <c r="B951" s="4" t="n">
        <v>32500</v>
      </c>
      <c r="C951" s="4" t="n">
        <v>1430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432.575</v>
      </c>
      <c r="I951" s="5" t="n">
        <v>75.09999999999999</v>
      </c>
      <c r="J951" s="3" t="inlineStr">
        <is>
          <t>연서면</t>
        </is>
      </c>
    </row>
    <row r="952">
      <c r="A952" s="3" t="n">
        <v>2022</v>
      </c>
      <c r="B952" s="4" t="n">
        <v>436</v>
      </c>
      <c r="C952" s="4" t="n">
        <v>200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농림지역</t>
        </is>
      </c>
      <c r="G952" s="3" t="inlineStr">
        <is>
          <t>임야</t>
        </is>
      </c>
      <c r="H952" s="4" t="n">
        <v>60.5</v>
      </c>
      <c r="I952" s="5" t="n">
        <v>7.2</v>
      </c>
      <c r="J952" s="3" t="inlineStr">
        <is>
          <t>연서면</t>
        </is>
      </c>
    </row>
    <row r="953">
      <c r="A953" s="3" t="n">
        <v>2022</v>
      </c>
      <c r="B953" s="4" t="n">
        <v>18640</v>
      </c>
      <c r="C953" s="4" t="n">
        <v>1061</v>
      </c>
      <c r="D953" s="3" t="inlineStr">
        <is>
          <t>부강면</t>
        </is>
      </c>
      <c r="E953" s="3" t="inlineStr">
        <is>
          <t>문곡리</t>
        </is>
      </c>
      <c r="F953" s="3" t="inlineStr">
        <is>
          <t>생산관리지역</t>
        </is>
      </c>
      <c r="G953" s="3" t="inlineStr">
        <is>
          <t>대</t>
        </is>
      </c>
      <c r="H953" s="4" t="n">
        <v>320.9525</v>
      </c>
      <c r="I953" s="5" t="n">
        <v>58.1</v>
      </c>
      <c r="J953" s="3" t="inlineStr">
        <is>
          <t>부강면</t>
        </is>
      </c>
    </row>
    <row r="954">
      <c r="A954" s="3" t="n">
        <v>2022</v>
      </c>
      <c r="B954" s="4" t="n">
        <v>3360</v>
      </c>
      <c r="C954" s="4" t="n">
        <v>185</v>
      </c>
      <c r="D954" s="3" t="inlineStr">
        <is>
          <t>부강면</t>
        </is>
      </c>
      <c r="E954" s="3" t="inlineStr">
        <is>
          <t>문곡리</t>
        </is>
      </c>
      <c r="F954" s="3" t="inlineStr">
        <is>
          <t>생산관리지역</t>
        </is>
      </c>
      <c r="G954" s="3" t="inlineStr">
        <is>
          <t>대</t>
        </is>
      </c>
      <c r="H954" s="4" t="n">
        <v>55.9625</v>
      </c>
      <c r="I954" s="5" t="n">
        <v>60</v>
      </c>
      <c r="J954" s="3" t="inlineStr">
        <is>
          <t>부강면</t>
        </is>
      </c>
    </row>
    <row r="955">
      <c r="A955" s="3" t="n">
        <v>2022</v>
      </c>
      <c r="B955" s="4" t="n">
        <v>27450</v>
      </c>
      <c r="C955" s="4" t="n">
        <v>1818</v>
      </c>
      <c r="D955" s="3" t="inlineStr">
        <is>
          <t>연서면</t>
        </is>
      </c>
      <c r="E955" s="3" t="inlineStr">
        <is>
          <t>기룡리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549.9449999999999</v>
      </c>
      <c r="I955" s="5" t="n">
        <v>49.9</v>
      </c>
      <c r="J955" s="3" t="inlineStr">
        <is>
          <t>연서면</t>
        </is>
      </c>
    </row>
    <row r="956">
      <c r="A956" s="3" t="n">
        <v>2024</v>
      </c>
      <c r="B956" s="4" t="n">
        <v>12500</v>
      </c>
      <c r="C956" s="4" t="n">
        <v>493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전</t>
        </is>
      </c>
      <c r="H956" s="4" t="n">
        <v>149.1325</v>
      </c>
      <c r="I956" s="5" t="n">
        <v>83.8</v>
      </c>
      <c r="J956" s="3" t="inlineStr">
        <is>
          <t>연동면</t>
        </is>
      </c>
    </row>
    <row r="957">
      <c r="A957" s="3" t="n">
        <v>2024</v>
      </c>
      <c r="B957" s="4" t="n">
        <v>40000</v>
      </c>
      <c r="C957" s="4" t="n">
        <v>333.2</v>
      </c>
      <c r="D957" s="3" t="inlineStr">
        <is>
          <t>한솔동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100.793</v>
      </c>
      <c r="I957" s="5" t="n">
        <v>396.9</v>
      </c>
      <c r="J957" s="3" t="inlineStr">
        <is>
          <t>한솔동</t>
        </is>
      </c>
    </row>
    <row r="958">
      <c r="A958" s="3" t="n">
        <v>2024</v>
      </c>
      <c r="B958" s="4" t="n">
        <v>34000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199.65</v>
      </c>
      <c r="I958" s="5" t="n">
        <v>170.3</v>
      </c>
      <c r="J958" s="3" t="inlineStr">
        <is>
          <t>연동면</t>
        </is>
      </c>
    </row>
    <row r="959">
      <c r="A959" s="3" t="n">
        <v>2023</v>
      </c>
      <c r="B959" s="4" t="n">
        <v>53000</v>
      </c>
      <c r="C959" s="4" t="n">
        <v>322.2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97.46549999999999</v>
      </c>
      <c r="I959" s="5" t="n">
        <v>543.8</v>
      </c>
      <c r="J959" s="3" t="inlineStr">
        <is>
          <t>고운동</t>
        </is>
      </c>
    </row>
    <row r="960">
      <c r="A960" s="3" t="n">
        <v>2023</v>
      </c>
      <c r="B960" s="4" t="n">
        <v>37310</v>
      </c>
      <c r="C960" s="4" t="n">
        <v>3523.8</v>
      </c>
      <c r="D960" s="3" t="inlineStr">
        <is>
          <t>부강면</t>
        </is>
      </c>
      <c r="E960" s="3" t="inlineStr">
        <is>
          <t>행산리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1065.9495</v>
      </c>
      <c r="I960" s="5" t="n">
        <v>35</v>
      </c>
      <c r="J960" s="3" t="inlineStr">
        <is>
          <t>부강면</t>
        </is>
      </c>
    </row>
    <row r="961">
      <c r="A961" s="3" t="n">
        <v>2023</v>
      </c>
      <c r="B961" s="4" t="n">
        <v>5500</v>
      </c>
      <c r="C961" s="4" t="n">
        <v>251</v>
      </c>
      <c r="D961" s="3" t="inlineStr">
        <is>
          <t>연서면</t>
        </is>
      </c>
      <c r="E961" s="3" t="inlineStr">
        <is>
          <t>월하리</t>
        </is>
      </c>
      <c r="F961" s="3" t="inlineStr">
        <is>
          <t>자연녹지지역</t>
        </is>
      </c>
      <c r="G961" s="3" t="inlineStr">
        <is>
          <t>과수원</t>
        </is>
      </c>
      <c r="H961" s="4" t="n">
        <v>75.92749999999999</v>
      </c>
      <c r="I961" s="5" t="n">
        <v>72.40000000000001</v>
      </c>
      <c r="J961" s="3" t="inlineStr">
        <is>
          <t>연서면</t>
        </is>
      </c>
    </row>
    <row r="962">
      <c r="A962" s="3" t="n">
        <v>2022</v>
      </c>
      <c r="B962" s="4" t="n">
        <v>7460</v>
      </c>
      <c r="C962" s="4" t="n">
        <v>883</v>
      </c>
      <c r="D962" s="3" t="inlineStr">
        <is>
          <t>부강면</t>
        </is>
      </c>
      <c r="E962" s="3" t="inlineStr">
        <is>
          <t>등곡리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267.1075</v>
      </c>
      <c r="I962" s="5" t="n">
        <v>27.9</v>
      </c>
      <c r="J962" s="3" t="inlineStr">
        <is>
          <t>부강면</t>
        </is>
      </c>
    </row>
    <row r="963">
      <c r="A963" s="3" t="n">
        <v>2022</v>
      </c>
      <c r="B963" s="4" t="n">
        <v>11040</v>
      </c>
      <c r="C963" s="4" t="n">
        <v>1306</v>
      </c>
      <c r="D963" s="3" t="inlineStr">
        <is>
          <t>부강면</t>
        </is>
      </c>
      <c r="E963" s="3" t="inlineStr">
        <is>
          <t>등곡리</t>
        </is>
      </c>
      <c r="F963" s="3" t="inlineStr">
        <is>
          <t>생산관리지역</t>
        </is>
      </c>
      <c r="G963" s="3" t="inlineStr">
        <is>
          <t>전</t>
        </is>
      </c>
      <c r="H963" s="4" t="n">
        <v>395.065</v>
      </c>
      <c r="I963" s="5" t="n">
        <v>27.9</v>
      </c>
      <c r="J963" s="3" t="inlineStr">
        <is>
          <t>부강면</t>
        </is>
      </c>
    </row>
    <row r="964">
      <c r="A964" s="3" t="n">
        <v>2022</v>
      </c>
      <c r="B964" s="4" t="n">
        <v>16642</v>
      </c>
      <c r="C964" s="4" t="n">
        <v>157</v>
      </c>
      <c r="D964" s="3" t="inlineStr">
        <is>
          <t>조치원읍</t>
        </is>
      </c>
      <c r="E964" s="3" t="inlineStr">
        <is>
          <t>신흥리</t>
        </is>
      </c>
      <c r="F964" s="3" t="inlineStr">
        <is>
          <t>제2종일반주거지역</t>
        </is>
      </c>
      <c r="G964" s="3" t="inlineStr">
        <is>
          <t>대</t>
        </is>
      </c>
      <c r="H964" s="4" t="n">
        <v>47.4925</v>
      </c>
      <c r="I964" s="5" t="n">
        <v>350.4</v>
      </c>
      <c r="J964" s="3" t="inlineStr">
        <is>
          <t>조치원읍</t>
        </is>
      </c>
    </row>
    <row r="965">
      <c r="A965" s="3" t="n">
        <v>2022</v>
      </c>
      <c r="B965" s="4" t="n">
        <v>90000</v>
      </c>
      <c r="C965" s="4" t="n">
        <v>3263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987.0575</v>
      </c>
      <c r="I965" s="5" t="n">
        <v>91.2</v>
      </c>
      <c r="J965" s="3" t="inlineStr">
        <is>
          <t>연서면</t>
        </is>
      </c>
    </row>
    <row r="966">
      <c r="A966" s="3" t="n">
        <v>2022</v>
      </c>
      <c r="B966" s="4" t="n">
        <v>37694</v>
      </c>
      <c r="C966" s="4" t="n">
        <v>466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보전관리지역</t>
        </is>
      </c>
      <c r="G966" s="3" t="inlineStr">
        <is>
          <t>대</t>
        </is>
      </c>
      <c r="H966" s="4" t="n">
        <v>140.965</v>
      </c>
      <c r="I966" s="5" t="n">
        <v>267.4</v>
      </c>
      <c r="J966" s="3" t="inlineStr">
        <is>
          <t>연동면</t>
        </is>
      </c>
    </row>
    <row r="967">
      <c r="A967" s="3" t="n">
        <v>2022</v>
      </c>
      <c r="B967" s="4" t="n">
        <v>15692</v>
      </c>
      <c r="C967" s="4" t="n">
        <v>194</v>
      </c>
      <c r="D967" s="3" t="inlineStr">
        <is>
          <t>연동면</t>
        </is>
      </c>
      <c r="E967" s="3" t="inlineStr">
        <is>
          <t>내판리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58.685</v>
      </c>
      <c r="I967" s="5" t="n">
        <v>267.4</v>
      </c>
      <c r="J967" s="3" t="inlineStr">
        <is>
          <t>연동면</t>
        </is>
      </c>
    </row>
    <row r="968">
      <c r="A968" s="3" t="n">
        <v>2025</v>
      </c>
      <c r="B968" s="4" t="n">
        <v>39500</v>
      </c>
      <c r="C968" s="4" t="n">
        <v>277</v>
      </c>
      <c r="D968" s="3" t="inlineStr">
        <is>
          <t>집현동</t>
        </is>
      </c>
      <c r="E968" s="3" t="inlineStr"/>
      <c r="F968" s="3" t="inlineStr">
        <is>
          <t>제1종전용주거지역</t>
        </is>
      </c>
      <c r="G968" s="3" t="inlineStr">
        <is>
          <t>대</t>
        </is>
      </c>
      <c r="H968" s="4" t="n">
        <v>83.7925</v>
      </c>
      <c r="I968" s="5" t="n">
        <v>471.4</v>
      </c>
      <c r="J968" s="3" t="inlineStr">
        <is>
          <t>집현동</t>
        </is>
      </c>
    </row>
    <row r="969">
      <c r="A969" s="3" t="n">
        <v>2024</v>
      </c>
      <c r="B969" s="4" t="n">
        <v>46700</v>
      </c>
      <c r="C969" s="4" t="n">
        <v>382.6</v>
      </c>
      <c r="D969" s="3" t="inlineStr">
        <is>
          <t>고운동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115.7365</v>
      </c>
      <c r="I969" s="5" t="n">
        <v>403.5</v>
      </c>
      <c r="J969" s="3" t="inlineStr">
        <is>
          <t>고운동</t>
        </is>
      </c>
    </row>
    <row r="970">
      <c r="A970" s="3" t="n">
        <v>2024</v>
      </c>
      <c r="B970" s="4" t="n">
        <v>33200</v>
      </c>
      <c r="C970" s="4" t="n">
        <v>1818</v>
      </c>
      <c r="D970" s="3" t="inlineStr">
        <is>
          <t>연동면</t>
        </is>
      </c>
      <c r="E970" s="3" t="inlineStr">
        <is>
          <t>노송리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549.9449999999999</v>
      </c>
      <c r="I970" s="5" t="n">
        <v>60.4</v>
      </c>
      <c r="J970" s="3" t="inlineStr">
        <is>
          <t>연동면</t>
        </is>
      </c>
    </row>
    <row r="971">
      <c r="A971" s="3" t="n">
        <v>2023</v>
      </c>
      <c r="B971" s="4" t="n">
        <v>43000</v>
      </c>
      <c r="C971" s="4" t="n">
        <v>616</v>
      </c>
      <c r="D971" s="3" t="inlineStr">
        <is>
          <t>연동면</t>
        </is>
      </c>
      <c r="E971" s="3" t="inlineStr">
        <is>
          <t>노송리</t>
        </is>
      </c>
      <c r="F971" s="3" t="inlineStr">
        <is>
          <t>계획관리지역</t>
        </is>
      </c>
      <c r="G971" s="3" t="inlineStr">
        <is>
          <t>임야</t>
        </is>
      </c>
      <c r="H971" s="4" t="n">
        <v>186.34</v>
      </c>
      <c r="I971" s="5" t="n">
        <v>230.8</v>
      </c>
      <c r="J971" s="3" t="inlineStr">
        <is>
          <t>연동면</t>
        </is>
      </c>
    </row>
    <row r="972">
      <c r="A972" s="3" t="n">
        <v>2023</v>
      </c>
      <c r="B972" s="4" t="n">
        <v>210000</v>
      </c>
      <c r="C972" s="4" t="n">
        <v>538</v>
      </c>
      <c r="D972" s="3" t="inlineStr">
        <is>
          <t>부강면</t>
        </is>
      </c>
      <c r="E972" s="3" t="inlineStr">
        <is>
          <t>부강리</t>
        </is>
      </c>
      <c r="F972" s="3" t="inlineStr">
        <is>
          <t>일반상업지역</t>
        </is>
      </c>
      <c r="G972" s="3" t="inlineStr">
        <is>
          <t>답</t>
        </is>
      </c>
      <c r="H972" s="4" t="n">
        <v>162.745</v>
      </c>
      <c r="I972" s="5" t="n">
        <v>1290.4</v>
      </c>
      <c r="J972" s="3" t="inlineStr">
        <is>
          <t>부강면</t>
        </is>
      </c>
    </row>
    <row r="973">
      <c r="A973" s="3" t="n">
        <v>2023</v>
      </c>
      <c r="B973" s="4" t="n">
        <v>28840</v>
      </c>
      <c r="C973" s="4" t="n">
        <v>2383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생산관리지역</t>
        </is>
      </c>
      <c r="G973" s="3" t="inlineStr">
        <is>
          <t>전</t>
        </is>
      </c>
      <c r="H973" s="4" t="n">
        <v>720.8575</v>
      </c>
      <c r="I973" s="5" t="n">
        <v>40</v>
      </c>
      <c r="J973" s="3" t="inlineStr">
        <is>
          <t>부강면</t>
        </is>
      </c>
    </row>
    <row r="974">
      <c r="A974" s="3" t="n">
        <v>2022</v>
      </c>
      <c r="B974" s="4" t="n">
        <v>4220</v>
      </c>
      <c r="C974" s="4" t="n">
        <v>93</v>
      </c>
      <c r="D974" s="3" t="inlineStr">
        <is>
          <t>연서면</t>
        </is>
      </c>
      <c r="E974" s="3" t="inlineStr">
        <is>
          <t>쌍류리</t>
        </is>
      </c>
      <c r="F974" s="3" t="inlineStr">
        <is>
          <t>생산관리지역</t>
        </is>
      </c>
      <c r="G974" s="3" t="inlineStr">
        <is>
          <t>전</t>
        </is>
      </c>
      <c r="H974" s="4" t="n">
        <v>28.1325</v>
      </c>
      <c r="I974" s="5" t="n">
        <v>150</v>
      </c>
      <c r="J974" s="3" t="inlineStr">
        <is>
          <t>연서면</t>
        </is>
      </c>
    </row>
    <row r="975">
      <c r="A975" s="3" t="n">
        <v>2022</v>
      </c>
      <c r="B975" s="4" t="n">
        <v>24730</v>
      </c>
      <c r="C975" s="4" t="n">
        <v>545</v>
      </c>
      <c r="D975" s="3" t="inlineStr">
        <is>
          <t>연서면</t>
        </is>
      </c>
      <c r="E975" s="3" t="inlineStr">
        <is>
          <t>쌍류리</t>
        </is>
      </c>
      <c r="F975" s="3" t="inlineStr">
        <is>
          <t>생산관리지역</t>
        </is>
      </c>
      <c r="G975" s="3" t="inlineStr">
        <is>
          <t>전</t>
        </is>
      </c>
      <c r="H975" s="4" t="n">
        <v>164.8625</v>
      </c>
      <c r="I975" s="5" t="n">
        <v>150</v>
      </c>
      <c r="J975" s="3" t="inlineStr">
        <is>
          <t>연서면</t>
        </is>
      </c>
    </row>
    <row r="976">
      <c r="A976" s="3" t="n">
        <v>2022</v>
      </c>
      <c r="B976" s="4" t="n">
        <v>19647</v>
      </c>
      <c r="C976" s="4" t="n">
        <v>433</v>
      </c>
      <c r="D976" s="3" t="inlineStr">
        <is>
          <t>연서면</t>
        </is>
      </c>
      <c r="E976" s="3" t="inlineStr">
        <is>
          <t>쌍류리</t>
        </is>
      </c>
      <c r="F976" s="3" t="inlineStr">
        <is>
          <t>생산관리지역</t>
        </is>
      </c>
      <c r="G976" s="3" t="inlineStr">
        <is>
          <t>전</t>
        </is>
      </c>
      <c r="H976" s="4" t="n">
        <v>130.9825</v>
      </c>
      <c r="I976" s="5" t="n">
        <v>150</v>
      </c>
      <c r="J976" s="3" t="inlineStr">
        <is>
          <t>연서면</t>
        </is>
      </c>
    </row>
    <row r="977">
      <c r="A977" s="3" t="n">
        <v>2022</v>
      </c>
      <c r="B977" s="4" t="n">
        <v>8300</v>
      </c>
      <c r="C977" s="4" t="n">
        <v>2022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보전관리지역</t>
        </is>
      </c>
      <c r="G977" s="3" t="inlineStr">
        <is>
          <t>임야</t>
        </is>
      </c>
      <c r="H977" s="4" t="n">
        <v>611.655</v>
      </c>
      <c r="I977" s="5" t="n">
        <v>13.6</v>
      </c>
      <c r="J977" s="3" t="inlineStr">
        <is>
          <t>연서면</t>
        </is>
      </c>
    </row>
    <row r="978">
      <c r="A978" s="3" t="n">
        <v>2022</v>
      </c>
      <c r="B978" s="4" t="n">
        <v>22370</v>
      </c>
      <c r="C978" s="4" t="n">
        <v>1233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372.9825</v>
      </c>
      <c r="I978" s="5" t="n">
        <v>60</v>
      </c>
      <c r="J978" s="3" t="inlineStr">
        <is>
          <t>연동면</t>
        </is>
      </c>
    </row>
    <row r="979">
      <c r="A979" s="3" t="n">
        <v>2022</v>
      </c>
      <c r="B979" s="4" t="n">
        <v>9760</v>
      </c>
      <c r="C979" s="4" t="n">
        <v>542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전</t>
        </is>
      </c>
      <c r="H979" s="4" t="n">
        <v>163.955</v>
      </c>
      <c r="I979" s="5" t="n">
        <v>59.5</v>
      </c>
      <c r="J979" s="3" t="inlineStr">
        <is>
          <t>연동면</t>
        </is>
      </c>
    </row>
    <row r="980">
      <c r="A980" s="3" t="n">
        <v>2022</v>
      </c>
      <c r="B980" s="4" t="n">
        <v>57500</v>
      </c>
      <c r="C980" s="4" t="n">
        <v>761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자연녹지지역</t>
        </is>
      </c>
      <c r="G980" s="3" t="inlineStr">
        <is>
          <t>답</t>
        </is>
      </c>
      <c r="H980" s="4" t="n">
        <v>230.2025</v>
      </c>
      <c r="I980" s="5" t="n">
        <v>249.8</v>
      </c>
      <c r="J980" s="3" t="inlineStr">
        <is>
          <t>조치원읍</t>
        </is>
      </c>
    </row>
    <row r="981">
      <c r="A981" s="3" t="n">
        <v>2022</v>
      </c>
      <c r="B981" s="4" t="n">
        <v>65600</v>
      </c>
      <c r="C981" s="4" t="n">
        <v>1002</v>
      </c>
      <c r="D981" s="3" t="inlineStr">
        <is>
          <t>연서면</t>
        </is>
      </c>
      <c r="E981" s="3" t="inlineStr">
        <is>
          <t>월하리</t>
        </is>
      </c>
      <c r="F981" s="3" t="inlineStr">
        <is>
          <t>자연녹지지역</t>
        </is>
      </c>
      <c r="G981" s="3" t="inlineStr">
        <is>
          <t>답</t>
        </is>
      </c>
      <c r="H981" s="4" t="n">
        <v>303.105</v>
      </c>
      <c r="I981" s="5" t="n">
        <v>216.4</v>
      </c>
      <c r="J981" s="3" t="inlineStr">
        <is>
          <t>연서면</t>
        </is>
      </c>
    </row>
    <row r="982">
      <c r="A982" s="3" t="n">
        <v>2022</v>
      </c>
      <c r="B982" s="4" t="n">
        <v>11365</v>
      </c>
      <c r="C982" s="4" t="n">
        <v>6522</v>
      </c>
      <c r="D982" s="3" t="inlineStr">
        <is>
          <t>연서면</t>
        </is>
      </c>
      <c r="E982" s="3" t="inlineStr">
        <is>
          <t>쌍류리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1972.905</v>
      </c>
      <c r="I982" s="5" t="n">
        <v>5.8</v>
      </c>
      <c r="J982" s="3" t="inlineStr">
        <is>
          <t>연서면</t>
        </is>
      </c>
    </row>
    <row r="983">
      <c r="A983" s="3" t="n">
        <v>2022</v>
      </c>
      <c r="B983" s="4" t="n">
        <v>12478</v>
      </c>
      <c r="C983" s="4" t="n">
        <v>1650</v>
      </c>
      <c r="D983" s="3" t="inlineStr">
        <is>
          <t>연서면</t>
        </is>
      </c>
      <c r="E983" s="3" t="inlineStr">
        <is>
          <t>쌍류리</t>
        </is>
      </c>
      <c r="F983" s="3" t="inlineStr">
        <is>
          <t>농림지역</t>
        </is>
      </c>
      <c r="G983" s="3" t="inlineStr">
        <is>
          <t>임야</t>
        </is>
      </c>
      <c r="H983" s="4" t="n">
        <v>499.125</v>
      </c>
      <c r="I983" s="5" t="n">
        <v>25</v>
      </c>
      <c r="J983" s="3" t="inlineStr">
        <is>
          <t>연서면</t>
        </is>
      </c>
    </row>
    <row r="984">
      <c r="A984" s="3" t="n">
        <v>2022</v>
      </c>
      <c r="B984" s="4" t="n">
        <v>12478</v>
      </c>
      <c r="C984" s="4" t="n">
        <v>1650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농림지역</t>
        </is>
      </c>
      <c r="G984" s="3" t="inlineStr">
        <is>
          <t>임야</t>
        </is>
      </c>
      <c r="H984" s="4" t="n">
        <v>499.125</v>
      </c>
      <c r="I984" s="5" t="n">
        <v>25</v>
      </c>
      <c r="J984" s="3" t="inlineStr">
        <is>
          <t>연서면</t>
        </is>
      </c>
    </row>
    <row r="985">
      <c r="A985" s="3" t="n">
        <v>2022</v>
      </c>
      <c r="B985" s="4" t="n">
        <v>24956</v>
      </c>
      <c r="C985" s="4" t="n">
        <v>3300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농림지역</t>
        </is>
      </c>
      <c r="G985" s="3" t="inlineStr">
        <is>
          <t>임야</t>
        </is>
      </c>
      <c r="H985" s="4" t="n">
        <v>998.25</v>
      </c>
      <c r="I985" s="5" t="n">
        <v>25</v>
      </c>
      <c r="J985" s="3" t="inlineStr">
        <is>
          <t>연서면</t>
        </is>
      </c>
    </row>
    <row r="986">
      <c r="A986" s="3" t="n">
        <v>2022</v>
      </c>
      <c r="B986" s="4" t="n">
        <v>12478</v>
      </c>
      <c r="C986" s="4" t="n">
        <v>1650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농림지역</t>
        </is>
      </c>
      <c r="G986" s="3" t="inlineStr">
        <is>
          <t>임야</t>
        </is>
      </c>
      <c r="H986" s="4" t="n">
        <v>499.125</v>
      </c>
      <c r="I986" s="5" t="n">
        <v>25</v>
      </c>
      <c r="J986" s="3" t="inlineStr">
        <is>
          <t>연서면</t>
        </is>
      </c>
    </row>
    <row r="987">
      <c r="A987" s="3" t="n">
        <v>2022</v>
      </c>
      <c r="B987" s="4" t="n">
        <v>40000</v>
      </c>
      <c r="C987" s="4" t="n">
        <v>330</v>
      </c>
      <c r="D987" s="3" t="inlineStr">
        <is>
          <t>부강면</t>
        </is>
      </c>
      <c r="E987" s="3" t="inlineStr">
        <is>
          <t>문곡리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99.825</v>
      </c>
      <c r="I987" s="5" t="n">
        <v>400.7</v>
      </c>
      <c r="J987" s="3" t="inlineStr">
        <is>
          <t>부강면</t>
        </is>
      </c>
    </row>
    <row r="988">
      <c r="A988" s="3" t="n">
        <v>2024</v>
      </c>
      <c r="B988" s="4" t="n">
        <v>5700</v>
      </c>
      <c r="C988" s="4" t="n">
        <v>156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47.19</v>
      </c>
      <c r="I988" s="5" t="n">
        <v>120.8</v>
      </c>
      <c r="J988" s="3" t="inlineStr">
        <is>
          <t>조치원읍</t>
        </is>
      </c>
    </row>
    <row r="989">
      <c r="A989" s="3" t="n">
        <v>2024</v>
      </c>
      <c r="B989" s="4" t="n">
        <v>3500</v>
      </c>
      <c r="C989" s="4" t="n">
        <v>205</v>
      </c>
      <c r="D989" s="3" t="inlineStr">
        <is>
          <t>부강면</t>
        </is>
      </c>
      <c r="E989" s="3" t="inlineStr">
        <is>
          <t>산수리</t>
        </is>
      </c>
      <c r="F989" s="3" t="inlineStr">
        <is>
          <t>계획관리지역</t>
        </is>
      </c>
      <c r="G989" s="3" t="inlineStr">
        <is>
          <t>목장용지</t>
        </is>
      </c>
      <c r="H989" s="4" t="n">
        <v>62.0125</v>
      </c>
      <c r="I989" s="5" t="n">
        <v>56.4</v>
      </c>
      <c r="J989" s="3" t="inlineStr">
        <is>
          <t>부강면</t>
        </is>
      </c>
    </row>
    <row r="990">
      <c r="A990" s="3" t="n">
        <v>2024</v>
      </c>
      <c r="B990" s="4" t="n">
        <v>5000</v>
      </c>
      <c r="C990" s="4" t="n">
        <v>61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제1종일반주거지역</t>
        </is>
      </c>
      <c r="G990" s="3" t="inlineStr">
        <is>
          <t>도로</t>
        </is>
      </c>
      <c r="H990" s="4" t="n">
        <v>18.4525</v>
      </c>
      <c r="I990" s="5" t="n">
        <v>271</v>
      </c>
      <c r="J990" s="3" t="inlineStr">
        <is>
          <t>조치원읍</t>
        </is>
      </c>
    </row>
    <row r="991">
      <c r="A991" s="3" t="n">
        <v>2024</v>
      </c>
      <c r="B991" s="4" t="n">
        <v>27300</v>
      </c>
      <c r="C991" s="4" t="n">
        <v>288</v>
      </c>
      <c r="D991" s="3" t="inlineStr">
        <is>
          <t>해밀동</t>
        </is>
      </c>
      <c r="E991" s="3" t="inlineStr"/>
      <c r="F991" s="3" t="inlineStr">
        <is>
          <t>기타</t>
        </is>
      </c>
      <c r="G991" s="3" t="inlineStr">
        <is>
          <t>대</t>
        </is>
      </c>
      <c r="H991" s="4" t="n">
        <v>87.12</v>
      </c>
      <c r="I991" s="5" t="n">
        <v>313.4</v>
      </c>
      <c r="J991" s="3" t="inlineStr">
        <is>
          <t>해밀동</t>
        </is>
      </c>
    </row>
    <row r="992">
      <c r="A992" s="3" t="n">
        <v>2024</v>
      </c>
      <c r="B992" s="4" t="n">
        <v>26600</v>
      </c>
      <c r="C992" s="4" t="n">
        <v>280</v>
      </c>
      <c r="D992" s="3" t="inlineStr">
        <is>
          <t>집현동</t>
        </is>
      </c>
      <c r="E992" s="3" t="inlineStr"/>
      <c r="F992" s="3" t="inlineStr">
        <is>
          <t>기타</t>
        </is>
      </c>
      <c r="G992" s="3" t="inlineStr">
        <is>
          <t>대</t>
        </is>
      </c>
      <c r="H992" s="4" t="n">
        <v>84.7</v>
      </c>
      <c r="I992" s="5" t="n">
        <v>314</v>
      </c>
      <c r="J992" s="3" t="inlineStr">
        <is>
          <t>집현동</t>
        </is>
      </c>
    </row>
    <row r="993">
      <c r="A993" s="3" t="n">
        <v>2024</v>
      </c>
      <c r="B993" s="4" t="n">
        <v>54000</v>
      </c>
      <c r="C993" s="4" t="n">
        <v>250.2</v>
      </c>
      <c r="D993" s="3" t="inlineStr">
        <is>
          <t>조치원읍</t>
        </is>
      </c>
      <c r="E993" s="3" t="inlineStr">
        <is>
          <t>침산리</t>
        </is>
      </c>
      <c r="F993" s="3" t="inlineStr">
        <is>
          <t>제2종일반주거지역</t>
        </is>
      </c>
      <c r="G993" s="3" t="inlineStr">
        <is>
          <t>대</t>
        </is>
      </c>
      <c r="H993" s="4" t="n">
        <v>75.68549999999999</v>
      </c>
      <c r="I993" s="5" t="n">
        <v>713.5</v>
      </c>
      <c r="J993" s="3" t="inlineStr">
        <is>
          <t>조치원읍</t>
        </is>
      </c>
    </row>
    <row r="994">
      <c r="A994" s="3" t="n">
        <v>2023</v>
      </c>
      <c r="B994" s="4" t="n">
        <v>45000</v>
      </c>
      <c r="C994" s="4" t="n">
        <v>251.7</v>
      </c>
      <c r="D994" s="3" t="inlineStr">
        <is>
          <t>다정동</t>
        </is>
      </c>
      <c r="E994" s="3" t="inlineStr"/>
      <c r="F994" s="3" t="inlineStr">
        <is>
          <t>제1종전용주거지역</t>
        </is>
      </c>
      <c r="G994" s="3" t="inlineStr">
        <is>
          <t>대</t>
        </is>
      </c>
      <c r="H994" s="4" t="n">
        <v>76.13924999999999</v>
      </c>
      <c r="I994" s="5" t="n">
        <v>591</v>
      </c>
      <c r="J994" s="3" t="inlineStr">
        <is>
          <t>다정동</t>
        </is>
      </c>
    </row>
    <row r="995">
      <c r="A995" s="3" t="n">
        <v>2023</v>
      </c>
      <c r="B995" s="4" t="n">
        <v>45000</v>
      </c>
      <c r="C995" s="4" t="n">
        <v>271</v>
      </c>
      <c r="D995" s="3" t="inlineStr">
        <is>
          <t>다정동</t>
        </is>
      </c>
      <c r="E995" s="3" t="inlineStr"/>
      <c r="F995" s="3" t="inlineStr">
        <is>
          <t>제1종전용주거지역</t>
        </is>
      </c>
      <c r="G995" s="3" t="inlineStr">
        <is>
          <t>대</t>
        </is>
      </c>
      <c r="H995" s="4" t="n">
        <v>81.97749999999999</v>
      </c>
      <c r="I995" s="5" t="n">
        <v>548.9</v>
      </c>
      <c r="J995" s="3" t="inlineStr">
        <is>
          <t>다정동</t>
        </is>
      </c>
    </row>
    <row r="996">
      <c r="A996" s="3" t="n">
        <v>2023</v>
      </c>
      <c r="B996" s="4" t="n">
        <v>23400</v>
      </c>
      <c r="C996" s="4" t="n">
        <v>645</v>
      </c>
      <c r="D996" s="3" t="inlineStr">
        <is>
          <t>연서면</t>
        </is>
      </c>
      <c r="E996" s="3" t="inlineStr">
        <is>
          <t>와촌리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195.1125</v>
      </c>
      <c r="I996" s="5" t="n">
        <v>119.9</v>
      </c>
      <c r="J996" s="3" t="inlineStr">
        <is>
          <t>연서면</t>
        </is>
      </c>
    </row>
    <row r="997">
      <c r="A997" s="3" t="n">
        <v>2023</v>
      </c>
      <c r="B997" s="4" t="n">
        <v>25000</v>
      </c>
      <c r="C997" s="4" t="n">
        <v>767</v>
      </c>
      <c r="D997" s="3" t="inlineStr">
        <is>
          <t>연서면</t>
        </is>
      </c>
      <c r="E997" s="3" t="inlineStr">
        <is>
          <t>월하리</t>
        </is>
      </c>
      <c r="F997" s="3" t="inlineStr">
        <is>
          <t>자연녹지지역</t>
        </is>
      </c>
      <c r="G997" s="3" t="inlineStr">
        <is>
          <t>전</t>
        </is>
      </c>
      <c r="H997" s="4" t="n">
        <v>232.0175</v>
      </c>
      <c r="I997" s="5" t="n">
        <v>107.8</v>
      </c>
      <c r="J997" s="3" t="inlineStr">
        <is>
          <t>연서면</t>
        </is>
      </c>
    </row>
    <row r="998">
      <c r="A998" s="3" t="n">
        <v>2023</v>
      </c>
      <c r="B998" s="4" t="n">
        <v>5570</v>
      </c>
      <c r="C998" s="4" t="n">
        <v>466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140.965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716</v>
      </c>
      <c r="C999" s="4" t="n">
        <v>60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전</t>
        </is>
      </c>
      <c r="H999" s="4" t="n">
        <v>18.15</v>
      </c>
      <c r="I999" s="5" t="n">
        <v>39.4</v>
      </c>
      <c r="J999" s="3" t="inlineStr">
        <is>
          <t>부강면</t>
        </is>
      </c>
    </row>
    <row r="1000">
      <c r="A1000" s="3" t="n">
        <v>2023</v>
      </c>
      <c r="B1000" s="4" t="n">
        <v>20972</v>
      </c>
      <c r="C1000" s="4" t="n">
        <v>1754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전</t>
        </is>
      </c>
      <c r="H1000" s="4" t="n">
        <v>530.585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727</v>
      </c>
      <c r="C1001" s="4" t="n">
        <v>61</v>
      </c>
      <c r="D1001" s="3" t="inlineStr">
        <is>
          <t>부강면</t>
        </is>
      </c>
      <c r="E1001" s="3" t="inlineStr">
        <is>
          <t>부강리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18.4525</v>
      </c>
      <c r="I1001" s="5" t="n">
        <v>39.4</v>
      </c>
      <c r="J1001" s="3" t="inlineStr">
        <is>
          <t>부강면</t>
        </is>
      </c>
    </row>
    <row r="1002">
      <c r="A1002" s="3" t="n">
        <v>2023</v>
      </c>
      <c r="B1002" s="4" t="n">
        <v>11631</v>
      </c>
      <c r="C1002" s="4" t="n">
        <v>973</v>
      </c>
      <c r="D1002" s="3" t="inlineStr">
        <is>
          <t>부강면</t>
        </is>
      </c>
      <c r="E1002" s="3" t="inlineStr">
        <is>
          <t>부강리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294.3325</v>
      </c>
      <c r="I1002" s="5" t="n">
        <v>39.5</v>
      </c>
      <c r="J1002" s="3" t="inlineStr">
        <is>
          <t>부강면</t>
        </is>
      </c>
    </row>
    <row r="1003">
      <c r="A1003" s="3" t="n">
        <v>2023</v>
      </c>
      <c r="B1003" s="4" t="n">
        <v>24301</v>
      </c>
      <c r="C1003" s="4" t="n">
        <v>2033</v>
      </c>
      <c r="D1003" s="3" t="inlineStr">
        <is>
          <t>부강면</t>
        </is>
      </c>
      <c r="E1003" s="3" t="inlineStr">
        <is>
          <t>부강리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614.9825</v>
      </c>
      <c r="I1003" s="5" t="n">
        <v>39.5</v>
      </c>
      <c r="J1003" s="3" t="inlineStr">
        <is>
          <t>부강면</t>
        </is>
      </c>
    </row>
    <row r="1004">
      <c r="A1004" s="3" t="n">
        <v>2023</v>
      </c>
      <c r="B1004" s="4" t="n">
        <v>91083</v>
      </c>
      <c r="C1004" s="4" t="n">
        <v>7619</v>
      </c>
      <c r="D1004" s="3" t="inlineStr">
        <is>
          <t>부강면</t>
        </is>
      </c>
      <c r="E1004" s="3" t="inlineStr">
        <is>
          <t>부강리</t>
        </is>
      </c>
      <c r="F1004" s="3" t="inlineStr">
        <is>
          <t>보전관리지역</t>
        </is>
      </c>
      <c r="G1004" s="3" t="inlineStr">
        <is>
          <t>임야</t>
        </is>
      </c>
      <c r="H1004" s="4" t="n">
        <v>2304.7475</v>
      </c>
      <c r="I1004" s="5" t="n">
        <v>39.5</v>
      </c>
      <c r="J1004" s="3" t="inlineStr">
        <is>
          <t>부강면</t>
        </is>
      </c>
    </row>
    <row r="1005">
      <c r="A1005" s="3" t="n">
        <v>2022</v>
      </c>
      <c r="B1005" s="4" t="n">
        <v>78000</v>
      </c>
      <c r="C1005" s="4" t="n">
        <v>432</v>
      </c>
      <c r="D1005" s="3" t="inlineStr">
        <is>
          <t>조치원읍</t>
        </is>
      </c>
      <c r="E1005" s="3" t="inlineStr">
        <is>
          <t>남리</t>
        </is>
      </c>
      <c r="F1005" s="3" t="inlineStr">
        <is>
          <t>제2종일반주거지역</t>
        </is>
      </c>
      <c r="G1005" s="3" t="inlineStr">
        <is>
          <t>대</t>
        </is>
      </c>
      <c r="H1005" s="4" t="n">
        <v>130.68</v>
      </c>
      <c r="I1005" s="5" t="n">
        <v>596.9</v>
      </c>
      <c r="J1005" s="3" t="inlineStr">
        <is>
          <t>조치원읍</t>
        </is>
      </c>
    </row>
    <row r="1006">
      <c r="A1006" s="3" t="n">
        <v>2022</v>
      </c>
      <c r="B1006" s="4" t="n">
        <v>46780</v>
      </c>
      <c r="C1006" s="4" t="n">
        <v>1444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자연환경보전</t>
        </is>
      </c>
      <c r="G1006" s="3" t="inlineStr">
        <is>
          <t>전</t>
        </is>
      </c>
      <c r="H1006" s="4" t="n">
        <v>436.81</v>
      </c>
      <c r="I1006" s="5" t="n">
        <v>107.1</v>
      </c>
      <c r="J1006" s="3" t="inlineStr">
        <is>
          <t>연서면</t>
        </is>
      </c>
    </row>
    <row r="1007">
      <c r="A1007" s="3" t="n">
        <v>2022</v>
      </c>
      <c r="B1007" s="4" t="n">
        <v>25000</v>
      </c>
      <c r="C1007" s="4" t="n">
        <v>773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자연환경보전</t>
        </is>
      </c>
      <c r="G1007" s="3" t="inlineStr">
        <is>
          <t>전</t>
        </is>
      </c>
      <c r="H1007" s="4" t="n">
        <v>233.8325</v>
      </c>
      <c r="I1007" s="5" t="n">
        <v>106.9</v>
      </c>
      <c r="J1007" s="3" t="inlineStr">
        <is>
          <t>연서면</t>
        </is>
      </c>
    </row>
    <row r="1008">
      <c r="A1008" s="3" t="n">
        <v>2022</v>
      </c>
      <c r="B1008" s="4" t="n">
        <v>67430</v>
      </c>
      <c r="C1008" s="4" t="n">
        <v>2073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자연환경보전</t>
        </is>
      </c>
      <c r="G1008" s="3" t="inlineStr">
        <is>
          <t>전</t>
        </is>
      </c>
      <c r="H1008" s="4" t="n">
        <v>627.0825</v>
      </c>
      <c r="I1008" s="5" t="n">
        <v>107.5</v>
      </c>
      <c r="J1008" s="3" t="inlineStr">
        <is>
          <t>연서면</t>
        </is>
      </c>
    </row>
    <row r="1009">
      <c r="A1009" s="3" t="n">
        <v>2022</v>
      </c>
      <c r="B1009" s="4" t="n">
        <v>7480</v>
      </c>
      <c r="C1009" s="4" t="n">
        <v>231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자연환경보전</t>
        </is>
      </c>
      <c r="G1009" s="3" t="inlineStr">
        <is>
          <t>전</t>
        </is>
      </c>
      <c r="H1009" s="4" t="n">
        <v>69.8775</v>
      </c>
      <c r="I1009" s="5" t="n">
        <v>107</v>
      </c>
      <c r="J1009" s="3" t="inlineStr">
        <is>
          <t>연서면</t>
        </is>
      </c>
    </row>
    <row r="1010">
      <c r="A1010" s="3" t="n">
        <v>2022</v>
      </c>
      <c r="B1010" s="4" t="n">
        <v>73080</v>
      </c>
      <c r="C1010" s="4" t="n">
        <v>8050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자연환경보전</t>
        </is>
      </c>
      <c r="G1010" s="3" t="inlineStr">
        <is>
          <t>임야</t>
        </is>
      </c>
      <c r="H1010" s="4" t="n">
        <v>2435.125</v>
      </c>
      <c r="I1010" s="5" t="n">
        <v>30</v>
      </c>
      <c r="J1010" s="3" t="inlineStr">
        <is>
          <t>연서면</t>
        </is>
      </c>
    </row>
    <row r="1011">
      <c r="A1011" s="3" t="n">
        <v>2022</v>
      </c>
      <c r="B1011" s="4" t="n">
        <v>53073</v>
      </c>
      <c r="C1011" s="4" t="n">
        <v>1636</v>
      </c>
      <c r="D1011" s="3" t="inlineStr">
        <is>
          <t>연서면</t>
        </is>
      </c>
      <c r="E1011" s="3" t="inlineStr">
        <is>
          <t>고복리</t>
        </is>
      </c>
      <c r="F1011" s="3" t="inlineStr">
        <is>
          <t>자연환경보전</t>
        </is>
      </c>
      <c r="G1011" s="3" t="inlineStr">
        <is>
          <t>전</t>
        </is>
      </c>
      <c r="H1011" s="4" t="n">
        <v>494.89</v>
      </c>
      <c r="I1011" s="5" t="n">
        <v>107.2</v>
      </c>
      <c r="J1011" s="3" t="inlineStr">
        <is>
          <t>연서면</t>
        </is>
      </c>
    </row>
    <row r="1012">
      <c r="A1012" s="3" t="n">
        <v>2022</v>
      </c>
      <c r="B1012" s="4" t="n">
        <v>36462</v>
      </c>
      <c r="C1012" s="4" t="n">
        <v>1124</v>
      </c>
      <c r="D1012" s="3" t="inlineStr">
        <is>
          <t>연서면</t>
        </is>
      </c>
      <c r="E1012" s="3" t="inlineStr">
        <is>
          <t>고복리</t>
        </is>
      </c>
      <c r="F1012" s="3" t="inlineStr">
        <is>
          <t>자연환경보전</t>
        </is>
      </c>
      <c r="G1012" s="3" t="inlineStr">
        <is>
          <t>전</t>
        </is>
      </c>
      <c r="H1012" s="4" t="n">
        <v>340.01</v>
      </c>
      <c r="I1012" s="5" t="n">
        <v>107.2</v>
      </c>
      <c r="J1012" s="3" t="inlineStr">
        <is>
          <t>연서면</t>
        </is>
      </c>
    </row>
    <row r="1013">
      <c r="A1013" s="3" t="n">
        <v>2022</v>
      </c>
      <c r="B1013" s="4" t="n">
        <v>190700</v>
      </c>
      <c r="C1013" s="4" t="n">
        <v>31521</v>
      </c>
      <c r="D1013" s="3" t="inlineStr">
        <is>
          <t>연서면</t>
        </is>
      </c>
      <c r="E1013" s="3" t="inlineStr">
        <is>
          <t>고복리</t>
        </is>
      </c>
      <c r="F1013" s="3" t="inlineStr">
        <is>
          <t>자연환경보전</t>
        </is>
      </c>
      <c r="G1013" s="3" t="inlineStr">
        <is>
          <t>임야</t>
        </is>
      </c>
      <c r="H1013" s="4" t="n">
        <v>9535.102499999999</v>
      </c>
      <c r="I1013" s="5" t="n">
        <v>20</v>
      </c>
      <c r="J1013" s="3" t="inlineStr">
        <is>
          <t>연서면</t>
        </is>
      </c>
    </row>
    <row r="1014">
      <c r="A1014" s="3" t="n">
        <v>2022</v>
      </c>
      <c r="B1014" s="4" t="n">
        <v>257760</v>
      </c>
      <c r="C1014" s="4" t="n">
        <v>4760</v>
      </c>
      <c r="D1014" s="3" t="inlineStr">
        <is>
          <t>부강면</t>
        </is>
      </c>
      <c r="E1014" s="3" t="inlineStr">
        <is>
          <t>산수리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1439.9</v>
      </c>
      <c r="I1014" s="5" t="n">
        <v>179</v>
      </c>
      <c r="J1014" s="3" t="inlineStr">
        <is>
          <t>부강면</t>
        </is>
      </c>
    </row>
    <row r="1015">
      <c r="A1015" s="3" t="n">
        <v>2022</v>
      </c>
      <c r="B1015" s="4" t="n">
        <v>235</v>
      </c>
      <c r="C1015" s="4" t="n">
        <v>12</v>
      </c>
      <c r="D1015" s="3" t="inlineStr">
        <is>
          <t>강내면</t>
        </is>
      </c>
      <c r="E1015" s="3" t="inlineStr">
        <is>
          <t>탑연리</t>
        </is>
      </c>
      <c r="F1015" s="3" t="inlineStr">
        <is>
          <t>자연녹지지역</t>
        </is>
      </c>
      <c r="G1015" s="3" t="inlineStr">
        <is>
          <t>도로</t>
        </is>
      </c>
      <c r="H1015" s="4" t="n">
        <v>3.63</v>
      </c>
      <c r="I1015" s="5" t="n">
        <v>64.7</v>
      </c>
      <c r="J1015" s="3" t="inlineStr">
        <is>
          <t>강내면</t>
        </is>
      </c>
    </row>
    <row r="1016">
      <c r="A1016" s="3" t="n">
        <v>2022</v>
      </c>
      <c r="B1016" s="4" t="n">
        <v>55000</v>
      </c>
      <c r="C1016" s="4" t="n">
        <v>286.8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86.75700000000001</v>
      </c>
      <c r="I1016" s="5" t="n">
        <v>634</v>
      </c>
      <c r="J1016" s="3" t="inlineStr">
        <is>
          <t>오송읍</t>
        </is>
      </c>
    </row>
    <row r="1017">
      <c r="A1017" s="3" t="n">
        <v>2022</v>
      </c>
      <c r="B1017" s="4" t="n">
        <v>6040</v>
      </c>
      <c r="C1017" s="4" t="n">
        <v>1000</v>
      </c>
      <c r="D1017" s="3" t="inlineStr">
        <is>
          <t>오송읍</t>
        </is>
      </c>
      <c r="E1017" s="3" t="inlineStr">
        <is>
          <t>연제리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302.5</v>
      </c>
      <c r="I1017" s="5" t="n">
        <v>20</v>
      </c>
      <c r="J1017" s="3" t="inlineStr">
        <is>
          <t>오송읍</t>
        </is>
      </c>
    </row>
    <row r="1018">
      <c r="A1018" s="3" t="n">
        <v>2022</v>
      </c>
      <c r="B1018" s="4" t="n">
        <v>32000</v>
      </c>
      <c r="C1018" s="4" t="n">
        <v>267.6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80.949</v>
      </c>
      <c r="I1018" s="5" t="n">
        <v>395.3</v>
      </c>
      <c r="J1018" s="3" t="inlineStr">
        <is>
          <t>오송읍</t>
        </is>
      </c>
    </row>
    <row r="1019">
      <c r="A1019" s="3" t="n">
        <v>2022</v>
      </c>
      <c r="B1019" s="4" t="n">
        <v>2000</v>
      </c>
      <c r="C1019" s="4" t="n">
        <v>168</v>
      </c>
      <c r="D1019" s="3" t="inlineStr">
        <is>
          <t>강내면</t>
        </is>
      </c>
      <c r="E1019" s="3" t="inlineStr">
        <is>
          <t>사곡리</t>
        </is>
      </c>
      <c r="F1019" s="3" t="inlineStr">
        <is>
          <t>계획관리지역</t>
        </is>
      </c>
      <c r="G1019" s="3" t="inlineStr">
        <is>
          <t>임야</t>
        </is>
      </c>
      <c r="H1019" s="4" t="n">
        <v>50.82</v>
      </c>
      <c r="I1019" s="5" t="n">
        <v>39.4</v>
      </c>
      <c r="J1019" s="3" t="inlineStr">
        <is>
          <t>강내면</t>
        </is>
      </c>
    </row>
    <row r="1020">
      <c r="A1020" s="3" t="n">
        <v>2022</v>
      </c>
      <c r="B1020" s="4" t="n">
        <v>37000</v>
      </c>
      <c r="C1020" s="4" t="n">
        <v>271.8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82.2195</v>
      </c>
      <c r="I1020" s="5" t="n">
        <v>450</v>
      </c>
      <c r="J1020" s="3" t="inlineStr">
        <is>
          <t>오송읍</t>
        </is>
      </c>
    </row>
    <row r="1021">
      <c r="A1021" s="3" t="n">
        <v>2023</v>
      </c>
      <c r="B1021" s="4" t="n">
        <v>1200</v>
      </c>
      <c r="C1021" s="4" t="n">
        <v>36</v>
      </c>
      <c r="D1021" s="3" t="inlineStr">
        <is>
          <t>강내면</t>
        </is>
      </c>
      <c r="E1021" s="3" t="inlineStr">
        <is>
          <t>연정리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10.89</v>
      </c>
      <c r="I1021" s="5" t="n">
        <v>110.2</v>
      </c>
      <c r="J1021" s="3" t="inlineStr">
        <is>
          <t>강내면</t>
        </is>
      </c>
    </row>
    <row r="1022">
      <c r="A1022" s="3" t="n">
        <v>2023</v>
      </c>
      <c r="B1022" s="4" t="n">
        <v>24000</v>
      </c>
      <c r="C1022" s="4" t="n">
        <v>661</v>
      </c>
      <c r="D1022" s="3" t="inlineStr">
        <is>
          <t>강내면</t>
        </is>
      </c>
      <c r="E1022" s="3" t="inlineStr">
        <is>
          <t>연정리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199.9525</v>
      </c>
      <c r="I1022" s="5" t="n">
        <v>120</v>
      </c>
      <c r="J1022" s="3" t="inlineStr">
        <is>
          <t>강내면</t>
        </is>
      </c>
    </row>
    <row r="1023">
      <c r="A1023" s="3" t="n">
        <v>2023</v>
      </c>
      <c r="B1023" s="4" t="n">
        <v>31440</v>
      </c>
      <c r="C1023" s="4" t="n">
        <v>867</v>
      </c>
      <c r="D1023" s="3" t="inlineStr">
        <is>
          <t>강내면</t>
        </is>
      </c>
      <c r="E1023" s="3" t="inlineStr">
        <is>
          <t>연정리</t>
        </is>
      </c>
      <c r="F1023" s="3" t="inlineStr">
        <is>
          <t>계획관리지역</t>
        </is>
      </c>
      <c r="G1023" s="3" t="inlineStr">
        <is>
          <t>전</t>
        </is>
      </c>
      <c r="H1023" s="4" t="n">
        <v>262.2675</v>
      </c>
      <c r="I1023" s="5" t="n">
        <v>119.9</v>
      </c>
      <c r="J1023" s="3" t="inlineStr">
        <is>
          <t>강내면</t>
        </is>
      </c>
    </row>
    <row r="1024">
      <c r="A1024" s="3" t="n">
        <v>2023</v>
      </c>
      <c r="B1024" s="4" t="n">
        <v>1200</v>
      </c>
      <c r="C1024" s="4" t="n">
        <v>32</v>
      </c>
      <c r="D1024" s="3" t="inlineStr">
        <is>
          <t>강내면</t>
        </is>
      </c>
      <c r="E1024" s="3" t="inlineStr">
        <is>
          <t>연정리</t>
        </is>
      </c>
      <c r="F1024" s="3" t="inlineStr">
        <is>
          <t>계획관리지역</t>
        </is>
      </c>
      <c r="G1024" s="3" t="inlineStr">
        <is>
          <t>답</t>
        </is>
      </c>
      <c r="H1024" s="4" t="n">
        <v>9.68</v>
      </c>
      <c r="I1024" s="5" t="n">
        <v>124</v>
      </c>
      <c r="J1024" s="3" t="inlineStr">
        <is>
          <t>강내면</t>
        </is>
      </c>
    </row>
    <row r="1025">
      <c r="A1025" s="3" t="n">
        <v>2023</v>
      </c>
      <c r="B1025" s="4" t="n">
        <v>11500</v>
      </c>
      <c r="C1025" s="4" t="n">
        <v>1293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391.1325</v>
      </c>
      <c r="I1025" s="5" t="n">
        <v>29.4</v>
      </c>
      <c r="J1025" s="3" t="inlineStr">
        <is>
          <t>강내면</t>
        </is>
      </c>
    </row>
    <row r="1026">
      <c r="A1026" s="3" t="n">
        <v>2023</v>
      </c>
      <c r="B1026" s="4" t="n">
        <v>25200</v>
      </c>
      <c r="C1026" s="4" t="n">
        <v>704</v>
      </c>
      <c r="D1026" s="3" t="inlineStr">
        <is>
          <t>강내면</t>
        </is>
      </c>
      <c r="E1026" s="3" t="inlineStr">
        <is>
          <t>연정리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212.96</v>
      </c>
      <c r="I1026" s="5" t="n">
        <v>118.3</v>
      </c>
      <c r="J1026" s="3" t="inlineStr">
        <is>
          <t>강내면</t>
        </is>
      </c>
    </row>
    <row r="1027">
      <c r="A1027" s="3" t="n">
        <v>2023</v>
      </c>
      <c r="B1027" s="4" t="n">
        <v>20400</v>
      </c>
      <c r="C1027" s="4" t="n">
        <v>550</v>
      </c>
      <c r="D1027" s="3" t="inlineStr">
        <is>
          <t>강내면</t>
        </is>
      </c>
      <c r="E1027" s="3" t="inlineStr">
        <is>
          <t>연정리</t>
        </is>
      </c>
      <c r="F1027" s="3" t="inlineStr">
        <is>
          <t>계획관리지역</t>
        </is>
      </c>
      <c r="G1027" s="3" t="inlineStr">
        <is>
          <t>답</t>
        </is>
      </c>
      <c r="H1027" s="4" t="n">
        <v>166.375</v>
      </c>
      <c r="I1027" s="5" t="n">
        <v>122.6</v>
      </c>
      <c r="J1027" s="3" t="inlineStr">
        <is>
          <t>강내면</t>
        </is>
      </c>
    </row>
    <row r="1028">
      <c r="A1028" s="3" t="n">
        <v>2023</v>
      </c>
      <c r="B1028" s="4" t="n">
        <v>1200</v>
      </c>
      <c r="C1028" s="4" t="n">
        <v>36</v>
      </c>
      <c r="D1028" s="3" t="inlineStr">
        <is>
          <t>강내면</t>
        </is>
      </c>
      <c r="E1028" s="3" t="inlineStr">
        <is>
          <t>연정리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10.89</v>
      </c>
      <c r="I1028" s="5" t="n">
        <v>110.2</v>
      </c>
      <c r="J1028" s="3" t="inlineStr">
        <is>
          <t>강내면</t>
        </is>
      </c>
    </row>
    <row r="1029">
      <c r="A1029" s="3" t="n">
        <v>2023</v>
      </c>
      <c r="B1029" s="4" t="n">
        <v>24000</v>
      </c>
      <c r="C1029" s="4" t="n">
        <v>661</v>
      </c>
      <c r="D1029" s="3" t="inlineStr">
        <is>
          <t>강내면</t>
        </is>
      </c>
      <c r="E1029" s="3" t="inlineStr">
        <is>
          <t>연정리</t>
        </is>
      </c>
      <c r="F1029" s="3" t="inlineStr">
        <is>
          <t>계획관리지역</t>
        </is>
      </c>
      <c r="G1029" s="3" t="inlineStr">
        <is>
          <t>답</t>
        </is>
      </c>
      <c r="H1029" s="4" t="n">
        <v>199.9525</v>
      </c>
      <c r="I1029" s="5" t="n">
        <v>120</v>
      </c>
      <c r="J1029" s="3" t="inlineStr">
        <is>
          <t>강내면</t>
        </is>
      </c>
    </row>
    <row r="1030">
      <c r="A1030" s="3" t="n">
        <v>2023</v>
      </c>
      <c r="B1030" s="4" t="n">
        <v>31440</v>
      </c>
      <c r="C1030" s="4" t="n">
        <v>867</v>
      </c>
      <c r="D1030" s="3" t="inlineStr">
        <is>
          <t>강내면</t>
        </is>
      </c>
      <c r="E1030" s="3" t="inlineStr">
        <is>
          <t>연정리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262.2675</v>
      </c>
      <c r="I1030" s="5" t="n">
        <v>119.9</v>
      </c>
      <c r="J1030" s="3" t="inlineStr">
        <is>
          <t>강내면</t>
        </is>
      </c>
    </row>
    <row r="1031">
      <c r="A1031" s="3" t="n">
        <v>2023</v>
      </c>
      <c r="B1031" s="4" t="n">
        <v>1200</v>
      </c>
      <c r="C1031" s="4" t="n">
        <v>32</v>
      </c>
      <c r="D1031" s="3" t="inlineStr">
        <is>
          <t>강내면</t>
        </is>
      </c>
      <c r="E1031" s="3" t="inlineStr">
        <is>
          <t>연정리</t>
        </is>
      </c>
      <c r="F1031" s="3" t="inlineStr">
        <is>
          <t>계획관리지역</t>
        </is>
      </c>
      <c r="G1031" s="3" t="inlineStr">
        <is>
          <t>답</t>
        </is>
      </c>
      <c r="H1031" s="4" t="n">
        <v>9.68</v>
      </c>
      <c r="I1031" s="5" t="n">
        <v>124</v>
      </c>
      <c r="J1031" s="3" t="inlineStr">
        <is>
          <t>강내면</t>
        </is>
      </c>
    </row>
    <row r="1032">
      <c r="A1032" s="3" t="n">
        <v>2023</v>
      </c>
      <c r="B1032" s="4" t="n">
        <v>47000</v>
      </c>
      <c r="C1032" s="4" t="n">
        <v>5125</v>
      </c>
      <c r="D1032" s="3" t="inlineStr">
        <is>
          <t>강내면</t>
        </is>
      </c>
      <c r="E1032" s="3" t="inlineStr">
        <is>
          <t>다락리</t>
        </is>
      </c>
      <c r="F1032" s="3" t="inlineStr">
        <is>
          <t>보전녹지지역</t>
        </is>
      </c>
      <c r="G1032" s="3" t="inlineStr">
        <is>
          <t>임야</t>
        </is>
      </c>
      <c r="H1032" s="4" t="n">
        <v>1550.3125</v>
      </c>
      <c r="I1032" s="5" t="n">
        <v>30.3</v>
      </c>
      <c r="J1032" s="3" t="inlineStr">
        <is>
          <t>강내면</t>
        </is>
      </c>
    </row>
    <row r="1033">
      <c r="A1033" s="3" t="n">
        <v>2023</v>
      </c>
      <c r="B1033" s="4" t="n">
        <v>7800</v>
      </c>
      <c r="C1033" s="4" t="n">
        <v>258</v>
      </c>
      <c r="D1033" s="3" t="inlineStr">
        <is>
          <t>오송읍</t>
        </is>
      </c>
      <c r="E1033" s="3" t="inlineStr">
        <is>
          <t>호계리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78.045</v>
      </c>
      <c r="I1033" s="5" t="n">
        <v>99.90000000000001</v>
      </c>
      <c r="J1033" s="3" t="inlineStr">
        <is>
          <t>오송읍</t>
        </is>
      </c>
    </row>
    <row r="1034">
      <c r="A1034" s="3" t="n">
        <v>2023</v>
      </c>
      <c r="B1034" s="4" t="n">
        <v>4000</v>
      </c>
      <c r="C1034" s="4" t="n">
        <v>250</v>
      </c>
      <c r="D1034" s="3" t="inlineStr">
        <is>
          <t>강내면</t>
        </is>
      </c>
      <c r="E1034" s="3" t="inlineStr">
        <is>
          <t>다락리</t>
        </is>
      </c>
      <c r="F1034" s="3" t="inlineStr">
        <is>
          <t>자연녹지지역</t>
        </is>
      </c>
      <c r="G1034" s="3" t="inlineStr">
        <is>
          <t>전</t>
        </is>
      </c>
      <c r="H1034" s="4" t="n">
        <v>75.625</v>
      </c>
      <c r="I1034" s="5" t="n">
        <v>52.9</v>
      </c>
      <c r="J1034" s="3" t="inlineStr">
        <is>
          <t>강내면</t>
        </is>
      </c>
    </row>
    <row r="1035">
      <c r="A1035" s="3" t="n">
        <v>2023</v>
      </c>
      <c r="B1035" s="4" t="n">
        <v>7800</v>
      </c>
      <c r="C1035" s="4" t="n">
        <v>258</v>
      </c>
      <c r="D1035" s="3" t="inlineStr">
        <is>
          <t>오송읍</t>
        </is>
      </c>
      <c r="E1035" s="3" t="inlineStr">
        <is>
          <t>호계리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78.045</v>
      </c>
      <c r="I1035" s="5" t="n">
        <v>99.90000000000001</v>
      </c>
      <c r="J1035" s="3" t="inlineStr">
        <is>
          <t>오송읍</t>
        </is>
      </c>
    </row>
    <row r="1036">
      <c r="A1036" s="3" t="n">
        <v>2023</v>
      </c>
      <c r="B1036" s="4" t="n">
        <v>120000</v>
      </c>
      <c r="C1036" s="4" t="n">
        <v>2641</v>
      </c>
      <c r="D1036" s="3" t="inlineStr">
        <is>
          <t>오송읍</t>
        </is>
      </c>
      <c r="E1036" s="3" t="inlineStr">
        <is>
          <t>연제리</t>
        </is>
      </c>
      <c r="F1036" s="3" t="inlineStr">
        <is>
          <t>계획관리지역</t>
        </is>
      </c>
      <c r="G1036" s="3" t="inlineStr">
        <is>
          <t>답</t>
        </is>
      </c>
      <c r="H1036" s="4" t="n">
        <v>798.9025</v>
      </c>
      <c r="I1036" s="5" t="n">
        <v>150.2</v>
      </c>
      <c r="J1036" s="3" t="inlineStr">
        <is>
          <t>오송읍</t>
        </is>
      </c>
    </row>
    <row r="1037">
      <c r="A1037" s="3" t="n">
        <v>2026</v>
      </c>
      <c r="B1037" s="4" t="n">
        <v>6466</v>
      </c>
      <c r="C1037" s="4" t="n">
        <v>375</v>
      </c>
      <c r="D1037" s="3" t="inlineStr">
        <is>
          <t>오송읍</t>
        </is>
      </c>
      <c r="E1037" s="3" t="inlineStr">
        <is>
          <t>공북리</t>
        </is>
      </c>
      <c r="F1037" s="3" t="inlineStr">
        <is>
          <t>농림지역</t>
        </is>
      </c>
      <c r="G1037" s="3" t="inlineStr">
        <is>
          <t>임야</t>
        </is>
      </c>
      <c r="H1037" s="4" t="n">
        <v>113.4375</v>
      </c>
      <c r="I1037" s="5" t="n">
        <v>57</v>
      </c>
      <c r="J1037" s="3" t="inlineStr">
        <is>
          <t>오송읍</t>
        </is>
      </c>
    </row>
    <row r="1038">
      <c r="A1038" s="3" t="n">
        <v>2026</v>
      </c>
      <c r="B1038" s="4" t="n">
        <v>6466</v>
      </c>
      <c r="C1038" s="4" t="n">
        <v>375</v>
      </c>
      <c r="D1038" s="3" t="inlineStr">
        <is>
          <t>오송읍</t>
        </is>
      </c>
      <c r="E1038" s="3" t="inlineStr">
        <is>
          <t>공북리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113.4375</v>
      </c>
      <c r="I1038" s="5" t="n">
        <v>57</v>
      </c>
      <c r="J1038" s="3" t="inlineStr">
        <is>
          <t>오송읍</t>
        </is>
      </c>
    </row>
    <row r="1039">
      <c r="A1039" s="3" t="n">
        <v>2026</v>
      </c>
      <c r="B1039" s="4" t="n">
        <v>34056</v>
      </c>
      <c r="C1039" s="4" t="n">
        <v>4691</v>
      </c>
      <c r="D1039" s="3" t="inlineStr">
        <is>
          <t>강내면</t>
        </is>
      </c>
      <c r="E1039" s="3" t="inlineStr">
        <is>
          <t>사곡리</t>
        </is>
      </c>
      <c r="F1039" s="3" t="inlineStr">
        <is>
          <t>계획관리지역</t>
        </is>
      </c>
      <c r="G1039" s="3" t="inlineStr">
        <is>
          <t>전</t>
        </is>
      </c>
      <c r="H1039" s="4" t="n">
        <v>1419.0275</v>
      </c>
      <c r="I1039" s="5" t="n">
        <v>24</v>
      </c>
      <c r="J1039" s="3" t="inlineStr">
        <is>
          <t>강내면</t>
        </is>
      </c>
    </row>
    <row r="1040">
      <c r="A1040" s="3" t="n">
        <v>2026</v>
      </c>
      <c r="B1040" s="4" t="n">
        <v>17633</v>
      </c>
      <c r="C1040" s="4" t="n">
        <v>948</v>
      </c>
      <c r="D1040" s="3" t="inlineStr">
        <is>
          <t>오송읍</t>
        </is>
      </c>
      <c r="E1040" s="3" t="inlineStr">
        <is>
          <t>공북리</t>
        </is>
      </c>
      <c r="F1040" s="3" t="inlineStr">
        <is>
          <t>농림지역</t>
        </is>
      </c>
      <c r="G1040" s="3" t="inlineStr">
        <is>
          <t>전</t>
        </is>
      </c>
      <c r="H1040" s="4" t="n">
        <v>286.77</v>
      </c>
      <c r="I1040" s="5" t="n">
        <v>61.5</v>
      </c>
      <c r="J1040" s="3" t="inlineStr">
        <is>
          <t>오송읍</t>
        </is>
      </c>
    </row>
    <row r="1041">
      <c r="A1041" s="3" t="n">
        <v>2022</v>
      </c>
      <c r="B1041" s="4" t="n">
        <v>46403</v>
      </c>
      <c r="C1041" s="4" t="n">
        <v>645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195.1125</v>
      </c>
      <c r="I1041" s="5" t="n">
        <v>237.8</v>
      </c>
      <c r="J1041" s="3" t="inlineStr">
        <is>
          <t>연동면</t>
        </is>
      </c>
    </row>
    <row r="1042">
      <c r="A1042" s="3" t="n">
        <v>2022</v>
      </c>
      <c r="B1042" s="4" t="n">
        <v>3597</v>
      </c>
      <c r="C1042" s="4" t="n">
        <v>50</v>
      </c>
      <c r="D1042" s="3" t="inlineStr">
        <is>
          <t>연동면</t>
        </is>
      </c>
      <c r="E1042" s="3" t="inlineStr">
        <is>
          <t>내판리</t>
        </is>
      </c>
      <c r="F1042" s="3" t="inlineStr">
        <is>
          <t>계획관리지역</t>
        </is>
      </c>
      <c r="G1042" s="3" t="inlineStr">
        <is>
          <t>목장용지</t>
        </is>
      </c>
      <c r="H1042" s="4" t="n">
        <v>15.125</v>
      </c>
      <c r="I1042" s="5" t="n">
        <v>237.8</v>
      </c>
      <c r="J1042" s="3" t="inlineStr">
        <is>
          <t>연동면</t>
        </is>
      </c>
    </row>
    <row r="1043">
      <c r="A1043" s="3" t="n">
        <v>2022</v>
      </c>
      <c r="B1043" s="4" t="n">
        <v>25500</v>
      </c>
      <c r="C1043" s="4" t="n">
        <v>283</v>
      </c>
      <c r="D1043" s="3" t="inlineStr">
        <is>
          <t>조치원읍</t>
        </is>
      </c>
      <c r="E1043" s="3" t="inlineStr">
        <is>
          <t>침산리</t>
        </is>
      </c>
      <c r="F1043" s="3" t="inlineStr">
        <is>
          <t>제2종일반주거지역</t>
        </is>
      </c>
      <c r="G1043" s="3" t="inlineStr">
        <is>
          <t>임야</t>
        </is>
      </c>
      <c r="H1043" s="4" t="n">
        <v>85.6075</v>
      </c>
      <c r="I1043" s="5" t="n">
        <v>297.9</v>
      </c>
      <c r="J1043" s="3" t="inlineStr">
        <is>
          <t>조치원읍</t>
        </is>
      </c>
    </row>
    <row r="1044">
      <c r="A1044" s="3" t="n">
        <v>2022</v>
      </c>
      <c r="B1044" s="4" t="n">
        <v>14365</v>
      </c>
      <c r="C1044" s="4" t="n">
        <v>95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28.7375</v>
      </c>
      <c r="I1044" s="5" t="n">
        <v>499.9</v>
      </c>
      <c r="J1044" s="3" t="inlineStr">
        <is>
          <t>연서면</t>
        </is>
      </c>
    </row>
    <row r="1045">
      <c r="A1045" s="3" t="n">
        <v>2022</v>
      </c>
      <c r="B1045" s="4" t="n">
        <v>203000</v>
      </c>
      <c r="C1045" s="4" t="n">
        <v>1523</v>
      </c>
      <c r="D1045" s="3" t="inlineStr">
        <is>
          <t>부강면</t>
        </is>
      </c>
      <c r="E1045" s="3" t="inlineStr">
        <is>
          <t>부강리</t>
        </is>
      </c>
      <c r="F1045" s="3" t="inlineStr">
        <is>
          <t>일반공업지역</t>
        </is>
      </c>
      <c r="G1045" s="3" t="inlineStr">
        <is>
          <t>답</t>
        </is>
      </c>
      <c r="H1045" s="4" t="n">
        <v>460.7075</v>
      </c>
      <c r="I1045" s="5" t="n">
        <v>440.6</v>
      </c>
      <c r="J1045" s="3" t="inlineStr">
        <is>
          <t>부강면</t>
        </is>
      </c>
    </row>
    <row r="1046">
      <c r="A1046" s="3" t="n">
        <v>2025</v>
      </c>
      <c r="B1046" s="4" t="n">
        <v>16560</v>
      </c>
      <c r="C1046" s="4" t="n">
        <v>1370</v>
      </c>
      <c r="D1046" s="3" t="inlineStr">
        <is>
          <t>강내면</t>
        </is>
      </c>
      <c r="E1046" s="3" t="inlineStr">
        <is>
          <t>다락리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414.425</v>
      </c>
      <c r="I1046" s="5" t="n">
        <v>40</v>
      </c>
      <c r="J1046" s="3" t="inlineStr">
        <is>
          <t>강내면</t>
        </is>
      </c>
    </row>
    <row r="1047">
      <c r="A1047" s="3" t="n">
        <v>2025</v>
      </c>
      <c r="B1047" s="4" t="n">
        <v>4780</v>
      </c>
      <c r="C1047" s="4" t="n">
        <v>79</v>
      </c>
      <c r="D1047" s="3" t="inlineStr">
        <is>
          <t>오송읍</t>
        </is>
      </c>
      <c r="E1047" s="3" t="inlineStr">
        <is>
          <t>궁평리</t>
        </is>
      </c>
      <c r="F1047" s="3" t="inlineStr">
        <is>
          <t>농림지역</t>
        </is>
      </c>
      <c r="G1047" s="3" t="inlineStr">
        <is>
          <t>도로</t>
        </is>
      </c>
      <c r="H1047" s="4" t="n">
        <v>23.8975</v>
      </c>
      <c r="I1047" s="5" t="n">
        <v>200</v>
      </c>
      <c r="J1047" s="3" t="inlineStr">
        <is>
          <t>오송읍</t>
        </is>
      </c>
    </row>
    <row r="1048">
      <c r="A1048" s="3" t="n">
        <v>2025</v>
      </c>
      <c r="B1048" s="4" t="n">
        <v>8289</v>
      </c>
      <c r="C1048" s="4" t="n">
        <v>137</v>
      </c>
      <c r="D1048" s="3" t="inlineStr">
        <is>
          <t>오송읍</t>
        </is>
      </c>
      <c r="E1048" s="3" t="inlineStr">
        <is>
          <t>궁평리</t>
        </is>
      </c>
      <c r="F1048" s="3" t="inlineStr">
        <is>
          <t>농림지역</t>
        </is>
      </c>
      <c r="G1048" s="3" t="inlineStr">
        <is>
          <t>대</t>
        </is>
      </c>
      <c r="H1048" s="4" t="n">
        <v>41.4425</v>
      </c>
      <c r="I1048" s="5" t="n">
        <v>200</v>
      </c>
      <c r="J1048" s="3" t="inlineStr">
        <is>
          <t>오송읍</t>
        </is>
      </c>
    </row>
    <row r="1049">
      <c r="A1049" s="3" t="n">
        <v>2025</v>
      </c>
      <c r="B1049" s="4" t="n">
        <v>1815</v>
      </c>
      <c r="C1049" s="4" t="n">
        <v>30</v>
      </c>
      <c r="D1049" s="3" t="inlineStr">
        <is>
          <t>오송읍</t>
        </is>
      </c>
      <c r="E1049" s="3" t="inlineStr">
        <is>
          <t>궁평리</t>
        </is>
      </c>
      <c r="F1049" s="3" t="inlineStr">
        <is>
          <t>농림지역</t>
        </is>
      </c>
      <c r="G1049" s="3" t="inlineStr">
        <is>
          <t>도로</t>
        </is>
      </c>
      <c r="H1049" s="4" t="n">
        <v>9.074999999999999</v>
      </c>
      <c r="I1049" s="5" t="n">
        <v>200</v>
      </c>
      <c r="J1049" s="3" t="inlineStr">
        <is>
          <t>오송읍</t>
        </is>
      </c>
    </row>
    <row r="1050">
      <c r="A1050" s="3" t="n">
        <v>2025</v>
      </c>
      <c r="B1050" s="4" t="n">
        <v>21720</v>
      </c>
      <c r="C1050" s="4" t="n">
        <v>359</v>
      </c>
      <c r="D1050" s="3" t="inlineStr">
        <is>
          <t>오송읍</t>
        </is>
      </c>
      <c r="E1050" s="3" t="inlineStr">
        <is>
          <t>궁평리</t>
        </is>
      </c>
      <c r="F1050" s="3" t="inlineStr">
        <is>
          <t>농림지역</t>
        </is>
      </c>
      <c r="G1050" s="3" t="inlineStr">
        <is>
          <t>대</t>
        </is>
      </c>
      <c r="H1050" s="4" t="n">
        <v>108.5975</v>
      </c>
      <c r="I1050" s="5" t="n">
        <v>200</v>
      </c>
      <c r="J1050" s="3" t="inlineStr">
        <is>
          <t>오송읍</t>
        </is>
      </c>
    </row>
    <row r="1051">
      <c r="A1051" s="3" t="n">
        <v>2025</v>
      </c>
      <c r="B1051" s="4" t="n">
        <v>9900</v>
      </c>
      <c r="C1051" s="4" t="n">
        <v>353</v>
      </c>
      <c r="D1051" s="3" t="inlineStr">
        <is>
          <t>강내면</t>
        </is>
      </c>
      <c r="E1051" s="3" t="inlineStr">
        <is>
          <t>태성리</t>
        </is>
      </c>
      <c r="F1051" s="3" t="inlineStr">
        <is>
          <t>계획관리지역</t>
        </is>
      </c>
      <c r="G1051" s="3" t="inlineStr">
        <is>
          <t>임야</t>
        </is>
      </c>
      <c r="H1051" s="4" t="n">
        <v>106.7825</v>
      </c>
      <c r="I1051" s="5" t="n">
        <v>92.7</v>
      </c>
      <c r="J1051" s="3" t="inlineStr">
        <is>
          <t>강내면</t>
        </is>
      </c>
    </row>
    <row r="1052">
      <c r="A1052" s="3" t="n">
        <v>2025</v>
      </c>
      <c r="B1052" s="4" t="n">
        <v>13890</v>
      </c>
      <c r="C1052" s="4" t="n">
        <v>495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149.7375</v>
      </c>
      <c r="I1052" s="5" t="n">
        <v>92.8</v>
      </c>
      <c r="J1052" s="3" t="inlineStr">
        <is>
          <t>강내면</t>
        </is>
      </c>
    </row>
    <row r="1053">
      <c r="A1053" s="3" t="n">
        <v>2025</v>
      </c>
      <c r="B1053" s="4" t="n">
        <v>37000</v>
      </c>
      <c r="C1053" s="4" t="n">
        <v>290.7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87.93674999999999</v>
      </c>
      <c r="I1053" s="5" t="n">
        <v>420.8</v>
      </c>
      <c r="J1053" s="3" t="inlineStr">
        <is>
          <t>오송읍</t>
        </is>
      </c>
    </row>
    <row r="1054">
      <c r="A1054" s="3" t="n">
        <v>2025</v>
      </c>
      <c r="B1054" s="4" t="n">
        <v>19704</v>
      </c>
      <c r="C1054" s="4" t="n">
        <v>465</v>
      </c>
      <c r="D1054" s="3" t="inlineStr">
        <is>
          <t>강내면</t>
        </is>
      </c>
      <c r="E1054" s="3" t="inlineStr">
        <is>
          <t>사곡리</t>
        </is>
      </c>
      <c r="F1054" s="3" t="inlineStr">
        <is>
          <t>보전관리지역</t>
        </is>
      </c>
      <c r="G1054" s="3" t="inlineStr">
        <is>
          <t>대</t>
        </is>
      </c>
      <c r="H1054" s="4" t="n">
        <v>140.6625</v>
      </c>
      <c r="I1054" s="5" t="n">
        <v>140.1</v>
      </c>
      <c r="J1054" s="3" t="inlineStr">
        <is>
          <t>강내면</t>
        </is>
      </c>
    </row>
    <row r="1055">
      <c r="A1055" s="3" t="n">
        <v>2022</v>
      </c>
      <c r="B1055" s="4" t="n">
        <v>73756</v>
      </c>
      <c r="C1055" s="4" t="n">
        <v>14772</v>
      </c>
      <c r="D1055" s="3" t="inlineStr">
        <is>
          <t>연서면</t>
        </is>
      </c>
      <c r="E1055" s="3" t="inlineStr">
        <is>
          <t>쌍류리</t>
        </is>
      </c>
      <c r="F1055" s="3" t="inlineStr">
        <is>
          <t>농림지역</t>
        </is>
      </c>
      <c r="G1055" s="3" t="inlineStr">
        <is>
          <t>임야</t>
        </is>
      </c>
      <c r="H1055" s="4" t="n">
        <v>4468.53</v>
      </c>
      <c r="I1055" s="5" t="n">
        <v>16.5</v>
      </c>
      <c r="J1055" s="3" t="inlineStr">
        <is>
          <t>연서면</t>
        </is>
      </c>
    </row>
    <row r="1056">
      <c r="A1056" s="3" t="n">
        <v>2022</v>
      </c>
      <c r="B1056" s="4" t="n">
        <v>6300</v>
      </c>
      <c r="C1056" s="4" t="n">
        <v>2675</v>
      </c>
      <c r="D1056" s="3" t="inlineStr">
        <is>
          <t>연서면</t>
        </is>
      </c>
      <c r="E1056" s="3" t="inlineStr">
        <is>
          <t>쌍류리</t>
        </is>
      </c>
      <c r="F1056" s="3" t="inlineStr">
        <is>
          <t>보전관리지역</t>
        </is>
      </c>
      <c r="G1056" s="3" t="inlineStr">
        <is>
          <t>임야</t>
        </is>
      </c>
      <c r="H1056" s="4" t="n">
        <v>809.1875</v>
      </c>
      <c r="I1056" s="5" t="n">
        <v>7.8</v>
      </c>
      <c r="J1056" s="3" t="inlineStr">
        <is>
          <t>연서면</t>
        </is>
      </c>
    </row>
    <row r="1057">
      <c r="A1057" s="3" t="n">
        <v>2022</v>
      </c>
      <c r="B1057" s="4" t="n">
        <v>1000</v>
      </c>
      <c r="C1057" s="4" t="n">
        <v>345</v>
      </c>
      <c r="D1057" s="3" t="inlineStr">
        <is>
          <t>연서면</t>
        </is>
      </c>
      <c r="E1057" s="3" t="inlineStr">
        <is>
          <t>쌍류리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104.3625</v>
      </c>
      <c r="I1057" s="5" t="n">
        <v>9.6</v>
      </c>
      <c r="J1057" s="3" t="inlineStr">
        <is>
          <t>연서면</t>
        </is>
      </c>
    </row>
    <row r="1058">
      <c r="A1058" s="3" t="n">
        <v>2022</v>
      </c>
      <c r="B1058" s="4" t="n">
        <v>2700</v>
      </c>
      <c r="C1058" s="4" t="n">
        <v>318</v>
      </c>
      <c r="D1058" s="3" t="inlineStr">
        <is>
          <t>연서면</t>
        </is>
      </c>
      <c r="E1058" s="3" t="inlineStr">
        <is>
          <t>쌍류리</t>
        </is>
      </c>
      <c r="F1058" s="3" t="inlineStr">
        <is>
          <t>보전관리지역</t>
        </is>
      </c>
      <c r="G1058" s="3" t="inlineStr">
        <is>
          <t>임야</t>
        </is>
      </c>
      <c r="H1058" s="4" t="n">
        <v>96.19499999999999</v>
      </c>
      <c r="I1058" s="5" t="n">
        <v>28.1</v>
      </c>
      <c r="J1058" s="3" t="inlineStr">
        <is>
          <t>연서면</t>
        </is>
      </c>
    </row>
    <row r="1059">
      <c r="A1059" s="3" t="n">
        <v>2022</v>
      </c>
      <c r="B1059" s="4" t="n">
        <v>700</v>
      </c>
      <c r="C1059" s="4" t="n">
        <v>116</v>
      </c>
      <c r="D1059" s="3" t="inlineStr">
        <is>
          <t>부강면</t>
        </is>
      </c>
      <c r="E1059" s="3" t="inlineStr">
        <is>
          <t>등곡리</t>
        </is>
      </c>
      <c r="F1059" s="3" t="inlineStr">
        <is>
          <t>보전관리지역</t>
        </is>
      </c>
      <c r="G1059" s="3" t="inlineStr">
        <is>
          <t>임야</t>
        </is>
      </c>
      <c r="H1059" s="4" t="n">
        <v>35.09</v>
      </c>
      <c r="I1059" s="5" t="n">
        <v>19.9</v>
      </c>
      <c r="J1059" s="3" t="inlineStr">
        <is>
          <t>부강면</t>
        </is>
      </c>
    </row>
    <row r="1060">
      <c r="A1060" s="3" t="n">
        <v>2022</v>
      </c>
      <c r="B1060" s="4" t="n">
        <v>2244</v>
      </c>
      <c r="C1060" s="4" t="n">
        <v>68</v>
      </c>
      <c r="D1060" s="3" t="inlineStr">
        <is>
          <t>연서면</t>
        </is>
      </c>
      <c r="E1060" s="3" t="inlineStr">
        <is>
          <t>봉암리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20.57</v>
      </c>
      <c r="I1060" s="5" t="n">
        <v>109.1</v>
      </c>
      <c r="J1060" s="3" t="inlineStr">
        <is>
          <t>연서면</t>
        </is>
      </c>
    </row>
    <row r="1061">
      <c r="A1061" s="3" t="n">
        <v>2022</v>
      </c>
      <c r="B1061" s="4" t="n">
        <v>17427</v>
      </c>
      <c r="C1061" s="4" t="n">
        <v>1558</v>
      </c>
      <c r="D1061" s="3" t="inlineStr">
        <is>
          <t>연서면</t>
        </is>
      </c>
      <c r="E1061" s="3" t="inlineStr">
        <is>
          <t>쌍류리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471.295</v>
      </c>
      <c r="I1061" s="5" t="n">
        <v>37</v>
      </c>
      <c r="J1061" s="3" t="inlineStr">
        <is>
          <t>연서면</t>
        </is>
      </c>
    </row>
    <row r="1062">
      <c r="A1062" s="3" t="n">
        <v>2022</v>
      </c>
      <c r="B1062" s="4" t="n">
        <v>94000</v>
      </c>
      <c r="C1062" s="4" t="n">
        <v>710</v>
      </c>
      <c r="D1062" s="3" t="inlineStr">
        <is>
          <t>조치원읍</t>
        </is>
      </c>
      <c r="E1062" s="3" t="inlineStr">
        <is>
          <t>봉산리</t>
        </is>
      </c>
      <c r="F1062" s="3" t="inlineStr">
        <is>
          <t>자연녹지지역</t>
        </is>
      </c>
      <c r="G1062" s="3" t="inlineStr">
        <is>
          <t>과수원</t>
        </is>
      </c>
      <c r="H1062" s="4" t="n">
        <v>214.775</v>
      </c>
      <c r="I1062" s="5" t="n">
        <v>437.7</v>
      </c>
      <c r="J1062" s="3" t="inlineStr">
        <is>
          <t>조치원읍</t>
        </is>
      </c>
    </row>
    <row r="1063">
      <c r="A1063" s="3" t="n">
        <v>2023</v>
      </c>
      <c r="B1063" s="4" t="n">
        <v>33500</v>
      </c>
      <c r="C1063" s="4" t="n">
        <v>279</v>
      </c>
      <c r="D1063" s="3" t="inlineStr">
        <is>
          <t>조치원읍</t>
        </is>
      </c>
      <c r="E1063" s="3" t="inlineStr">
        <is>
          <t>죽림리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84.39749999999999</v>
      </c>
      <c r="I1063" s="5" t="n">
        <v>396.9</v>
      </c>
      <c r="J1063" s="3" t="inlineStr">
        <is>
          <t>조치원읍</t>
        </is>
      </c>
    </row>
    <row r="1064">
      <c r="A1064" s="3" t="n">
        <v>2023</v>
      </c>
      <c r="B1064" s="4" t="n">
        <v>3266</v>
      </c>
      <c r="C1064" s="4" t="n">
        <v>45</v>
      </c>
      <c r="D1064" s="3" t="inlineStr">
        <is>
          <t>연동면</t>
        </is>
      </c>
      <c r="E1064" s="3" t="inlineStr">
        <is>
          <t>송용리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13.6125</v>
      </c>
      <c r="I1064" s="5" t="n">
        <v>239.9</v>
      </c>
      <c r="J1064" s="3" t="inlineStr">
        <is>
          <t>연동면</t>
        </is>
      </c>
    </row>
    <row r="1065">
      <c r="A1065" s="3" t="n">
        <v>2023</v>
      </c>
      <c r="B1065" s="4" t="n">
        <v>2684</v>
      </c>
      <c r="C1065" s="4" t="n">
        <v>37</v>
      </c>
      <c r="D1065" s="3" t="inlineStr">
        <is>
          <t>연동면</t>
        </is>
      </c>
      <c r="E1065" s="3" t="inlineStr">
        <is>
          <t>송용리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11.1925</v>
      </c>
      <c r="I1065" s="5" t="n">
        <v>239.8</v>
      </c>
      <c r="J1065" s="3" t="inlineStr">
        <is>
          <t>연동면</t>
        </is>
      </c>
    </row>
    <row r="1066">
      <c r="A1066" s="3" t="n">
        <v>2023</v>
      </c>
      <c r="B1066" s="4" t="n">
        <v>34000</v>
      </c>
      <c r="C1066" s="4" t="n">
        <v>982</v>
      </c>
      <c r="D1066" s="3" t="inlineStr">
        <is>
          <t>연서면</t>
        </is>
      </c>
      <c r="E1066" s="3" t="inlineStr">
        <is>
          <t>와촌리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297.055</v>
      </c>
      <c r="I1066" s="5" t="n">
        <v>114.5</v>
      </c>
      <c r="J1066" s="3" t="inlineStr">
        <is>
          <t>연서면</t>
        </is>
      </c>
    </row>
    <row r="1067">
      <c r="A1067" s="3" t="n">
        <v>2023</v>
      </c>
      <c r="B1067" s="4" t="n">
        <v>63000</v>
      </c>
      <c r="C1067" s="4" t="n">
        <v>1323</v>
      </c>
      <c r="D1067" s="3" t="inlineStr">
        <is>
          <t>부강면</t>
        </is>
      </c>
      <c r="E1067" s="3" t="inlineStr">
        <is>
          <t>금호리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400.2075</v>
      </c>
      <c r="I1067" s="5" t="n">
        <v>157.4</v>
      </c>
      <c r="J1067" s="3" t="inlineStr">
        <is>
          <t>부강면</t>
        </is>
      </c>
    </row>
    <row r="1068">
      <c r="A1068" s="3" t="n">
        <v>2023</v>
      </c>
      <c r="B1068" s="4" t="n">
        <v>22441</v>
      </c>
      <c r="C1068" s="4" t="n">
        <v>1092</v>
      </c>
      <c r="D1068" s="3" t="inlineStr">
        <is>
          <t>연서면</t>
        </is>
      </c>
      <c r="E1068" s="3" t="inlineStr">
        <is>
          <t>청라리</t>
        </is>
      </c>
      <c r="F1068" s="3" t="inlineStr">
        <is>
          <t>생산관리지역</t>
        </is>
      </c>
      <c r="G1068" s="3" t="inlineStr">
        <is>
          <t>목장용지</t>
        </is>
      </c>
      <c r="H1068" s="4" t="n">
        <v>330.33</v>
      </c>
      <c r="I1068" s="5" t="n">
        <v>67.90000000000001</v>
      </c>
      <c r="J1068" s="3" t="inlineStr">
        <is>
          <t>연서면</t>
        </is>
      </c>
    </row>
    <row r="1069">
      <c r="A1069" s="3" t="n">
        <v>2023</v>
      </c>
      <c r="B1069" s="4" t="n">
        <v>40000</v>
      </c>
      <c r="C1069" s="4" t="n">
        <v>2000</v>
      </c>
      <c r="D1069" s="3" t="inlineStr">
        <is>
          <t>연동면</t>
        </is>
      </c>
      <c r="E1069" s="3" t="inlineStr">
        <is>
          <t>예양리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605</v>
      </c>
      <c r="I1069" s="5" t="n">
        <v>66.09999999999999</v>
      </c>
      <c r="J1069" s="3" t="inlineStr">
        <is>
          <t>연동면</t>
        </is>
      </c>
    </row>
    <row r="1070">
      <c r="A1070" s="3" t="n">
        <v>2023</v>
      </c>
      <c r="B1070" s="4" t="n">
        <v>4500</v>
      </c>
      <c r="C1070" s="4" t="n">
        <v>474</v>
      </c>
      <c r="D1070" s="3" t="inlineStr">
        <is>
          <t>연서면</t>
        </is>
      </c>
      <c r="E1070" s="3" t="inlineStr">
        <is>
          <t>고복리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143.385</v>
      </c>
      <c r="I1070" s="5" t="n">
        <v>31.4</v>
      </c>
      <c r="J1070" s="3" t="inlineStr">
        <is>
          <t>연서면</t>
        </is>
      </c>
    </row>
    <row r="1071">
      <c r="A1071" s="3" t="n">
        <v>2023</v>
      </c>
      <c r="B1071" s="4" t="n">
        <v>1600</v>
      </c>
      <c r="C1071" s="4" t="n">
        <v>50</v>
      </c>
      <c r="D1071" s="3" t="inlineStr">
        <is>
          <t>조치원읍</t>
        </is>
      </c>
      <c r="E1071" s="3" t="inlineStr">
        <is>
          <t>서창리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15.125</v>
      </c>
      <c r="I1071" s="5" t="n">
        <v>105.8</v>
      </c>
      <c r="J1071" s="3" t="inlineStr">
        <is>
          <t>조치원읍</t>
        </is>
      </c>
    </row>
    <row r="1072">
      <c r="A1072" s="3" t="n">
        <v>2023</v>
      </c>
      <c r="B1072" s="4" t="n">
        <v>831</v>
      </c>
      <c r="C1072" s="4" t="n">
        <v>55</v>
      </c>
      <c r="D1072" s="3" t="inlineStr">
        <is>
          <t>연동면</t>
        </is>
      </c>
      <c r="E1072" s="3" t="inlineStr">
        <is>
          <t>명학리</t>
        </is>
      </c>
      <c r="F1072" s="3" t="inlineStr">
        <is>
          <t>보전관리지역</t>
        </is>
      </c>
      <c r="G1072" s="3" t="inlineStr">
        <is>
          <t>묘지</t>
        </is>
      </c>
      <c r="H1072" s="4" t="n">
        <v>16.6375</v>
      </c>
      <c r="I1072" s="5" t="n">
        <v>49.9</v>
      </c>
      <c r="J1072" s="3" t="inlineStr">
        <is>
          <t>연동면</t>
        </is>
      </c>
    </row>
    <row r="1073">
      <c r="A1073" s="3" t="n">
        <v>2024</v>
      </c>
      <c r="B1073" s="4" t="n">
        <v>25000</v>
      </c>
      <c r="C1073" s="4" t="n">
        <v>286</v>
      </c>
      <c r="D1073" s="3" t="inlineStr">
        <is>
          <t>조치원읍</t>
        </is>
      </c>
      <c r="E1073" s="3" t="inlineStr">
        <is>
          <t>신안리</t>
        </is>
      </c>
      <c r="F1073" s="3" t="inlineStr">
        <is>
          <t>제1종일반주거지역</t>
        </is>
      </c>
      <c r="G1073" s="3" t="inlineStr">
        <is>
          <t>대</t>
        </is>
      </c>
      <c r="H1073" s="4" t="n">
        <v>86.515</v>
      </c>
      <c r="I1073" s="5" t="n">
        <v>289</v>
      </c>
      <c r="J1073" s="3" t="inlineStr">
        <is>
          <t>조치원읍</t>
        </is>
      </c>
    </row>
    <row r="1074">
      <c r="A1074" s="3" t="n">
        <v>2024</v>
      </c>
      <c r="B1074" s="4" t="n">
        <v>224</v>
      </c>
      <c r="C1074" s="4" t="n">
        <v>3</v>
      </c>
      <c r="D1074" s="3" t="inlineStr">
        <is>
          <t>조치원읍</t>
        </is>
      </c>
      <c r="E1074" s="3" t="inlineStr">
        <is>
          <t>침산리</t>
        </is>
      </c>
      <c r="F1074" s="3" t="inlineStr">
        <is>
          <t>제1종일반주거지역</t>
        </is>
      </c>
      <c r="G1074" s="3" t="inlineStr">
        <is>
          <t>임야</t>
        </is>
      </c>
      <c r="H1074" s="4" t="n">
        <v>0.9075</v>
      </c>
      <c r="I1074" s="5" t="n">
        <v>246.8</v>
      </c>
      <c r="J1074" s="3" t="inlineStr">
        <is>
          <t>조치원읍</t>
        </is>
      </c>
    </row>
    <row r="1075">
      <c r="A1075" s="3" t="n">
        <v>2024</v>
      </c>
      <c r="B1075" s="4" t="n">
        <v>43800</v>
      </c>
      <c r="C1075" s="4" t="n">
        <v>1482</v>
      </c>
      <c r="D1075" s="3" t="inlineStr">
        <is>
          <t>연서면</t>
        </is>
      </c>
      <c r="E1075" s="3" t="inlineStr">
        <is>
          <t>신대리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448.305</v>
      </c>
      <c r="I1075" s="5" t="n">
        <v>97.7</v>
      </c>
      <c r="J1075" s="3" t="inlineStr">
        <is>
          <t>연서면</t>
        </is>
      </c>
    </row>
    <row r="1076">
      <c r="A1076" s="3" t="n">
        <v>2024</v>
      </c>
      <c r="B1076" s="4" t="n">
        <v>44000</v>
      </c>
      <c r="C1076" s="4" t="n">
        <v>1215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367.5375</v>
      </c>
      <c r="I1076" s="5" t="n">
        <v>119.7</v>
      </c>
      <c r="J1076" s="3" t="inlineStr">
        <is>
          <t>부강면</t>
        </is>
      </c>
    </row>
    <row r="1077">
      <c r="A1077" s="3" t="n">
        <v>2024</v>
      </c>
      <c r="B1077" s="4" t="n">
        <v>15000</v>
      </c>
      <c r="C1077" s="4" t="n">
        <v>405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122.5125</v>
      </c>
      <c r="I1077" s="5" t="n">
        <v>122.4</v>
      </c>
      <c r="J1077" s="3" t="inlineStr">
        <is>
          <t>부강면</t>
        </is>
      </c>
    </row>
    <row r="1078">
      <c r="A1078" s="3" t="n">
        <v>2024</v>
      </c>
      <c r="B1078" s="4" t="n">
        <v>130000</v>
      </c>
      <c r="C1078" s="4" t="n">
        <v>661</v>
      </c>
      <c r="D1078" s="3" t="inlineStr">
        <is>
          <t>조치원읍</t>
        </is>
      </c>
      <c r="E1078" s="3" t="inlineStr">
        <is>
          <t>서창리</t>
        </is>
      </c>
      <c r="F1078" s="3" t="inlineStr">
        <is>
          <t>제2종일반주거지역</t>
        </is>
      </c>
      <c r="G1078" s="3" t="inlineStr">
        <is>
          <t>전</t>
        </is>
      </c>
      <c r="H1078" s="4" t="n">
        <v>199.9525</v>
      </c>
      <c r="I1078" s="5" t="n">
        <v>650.2</v>
      </c>
      <c r="J1078" s="3" t="inlineStr">
        <is>
          <t>조치원읍</t>
        </is>
      </c>
    </row>
    <row r="1079">
      <c r="A1079" s="3" t="n">
        <v>2024</v>
      </c>
      <c r="B1079" s="4" t="n">
        <v>13671</v>
      </c>
      <c r="C1079" s="4" t="n">
        <v>1653</v>
      </c>
      <c r="D1079" s="3" t="inlineStr">
        <is>
          <t>연서면</t>
        </is>
      </c>
      <c r="E1079" s="3" t="inlineStr">
        <is>
          <t>기룡리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500.0325</v>
      </c>
      <c r="I1079" s="5" t="n">
        <v>27.3</v>
      </c>
      <c r="J1079" s="3" t="inlineStr">
        <is>
          <t>연서면</t>
        </is>
      </c>
    </row>
    <row r="1080">
      <c r="A1080" s="3" t="n">
        <v>2024</v>
      </c>
      <c r="B1080" s="4" t="n">
        <v>27342</v>
      </c>
      <c r="C1080" s="4" t="n">
        <v>3306</v>
      </c>
      <c r="D1080" s="3" t="inlineStr">
        <is>
          <t>연서면</t>
        </is>
      </c>
      <c r="E1080" s="3" t="inlineStr">
        <is>
          <t>기룡리</t>
        </is>
      </c>
      <c r="F1080" s="3" t="inlineStr">
        <is>
          <t>농림지역</t>
        </is>
      </c>
      <c r="G1080" s="3" t="inlineStr">
        <is>
          <t>임야</t>
        </is>
      </c>
      <c r="H1080" s="4" t="n">
        <v>1000.065</v>
      </c>
      <c r="I1080" s="5" t="n">
        <v>27.3</v>
      </c>
      <c r="J1080" s="3" t="inlineStr">
        <is>
          <t>연서면</t>
        </is>
      </c>
    </row>
    <row r="1081">
      <c r="A1081" s="3" t="n">
        <v>2023</v>
      </c>
      <c r="B1081" s="4" t="n">
        <v>2200</v>
      </c>
      <c r="C1081" s="4" t="n">
        <v>397</v>
      </c>
      <c r="D1081" s="3" t="inlineStr">
        <is>
          <t>부강면</t>
        </is>
      </c>
      <c r="E1081" s="3" t="inlineStr">
        <is>
          <t>행산리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120.0925</v>
      </c>
      <c r="I1081" s="5" t="n">
        <v>18.3</v>
      </c>
      <c r="J1081" s="3" t="inlineStr">
        <is>
          <t>부강면</t>
        </is>
      </c>
    </row>
    <row r="1082">
      <c r="A1082" s="3" t="n">
        <v>2023</v>
      </c>
      <c r="B1082" s="4" t="n">
        <v>77500</v>
      </c>
      <c r="C1082" s="4" t="n">
        <v>1025</v>
      </c>
      <c r="D1082" s="3" t="inlineStr">
        <is>
          <t>조치원읍</t>
        </is>
      </c>
      <c r="E1082" s="3" t="inlineStr">
        <is>
          <t>봉산리</t>
        </is>
      </c>
      <c r="F1082" s="3" t="inlineStr">
        <is>
          <t>자연녹지지역</t>
        </is>
      </c>
      <c r="G1082" s="3" t="inlineStr">
        <is>
          <t>과수원</t>
        </is>
      </c>
      <c r="H1082" s="4" t="n">
        <v>310.0625</v>
      </c>
      <c r="I1082" s="5" t="n">
        <v>249.9</v>
      </c>
      <c r="J1082" s="3" t="inlineStr">
        <is>
          <t>조치원읍</t>
        </is>
      </c>
    </row>
    <row r="1083">
      <c r="A1083" s="3" t="n">
        <v>2023</v>
      </c>
      <c r="B1083" s="4" t="n">
        <v>69400</v>
      </c>
      <c r="C1083" s="4" t="n">
        <v>1339</v>
      </c>
      <c r="D1083" s="3" t="inlineStr">
        <is>
          <t>연서면</t>
        </is>
      </c>
      <c r="E1083" s="3" t="inlineStr">
        <is>
          <t>와촌리</t>
        </is>
      </c>
      <c r="F1083" s="3" t="inlineStr">
        <is>
          <t>계획관리지역</t>
        </is>
      </c>
      <c r="G1083" s="3" t="inlineStr">
        <is>
          <t>유지</t>
        </is>
      </c>
      <c r="H1083" s="4" t="n">
        <v>405.0475</v>
      </c>
      <c r="I1083" s="5" t="n">
        <v>171.3</v>
      </c>
      <c r="J1083" s="3" t="inlineStr">
        <is>
          <t>연서면</t>
        </is>
      </c>
    </row>
    <row r="1084">
      <c r="A1084" s="3" t="n">
        <v>2023</v>
      </c>
      <c r="B1084" s="4" t="n">
        <v>145600</v>
      </c>
      <c r="C1084" s="4" t="n">
        <v>2805</v>
      </c>
      <c r="D1084" s="3" t="inlineStr">
        <is>
          <t>연서면</t>
        </is>
      </c>
      <c r="E1084" s="3" t="inlineStr">
        <is>
          <t>와촌리</t>
        </is>
      </c>
      <c r="F1084" s="3" t="inlineStr">
        <is>
          <t>계획관리지역</t>
        </is>
      </c>
      <c r="G1084" s="3" t="inlineStr">
        <is>
          <t>유지</t>
        </is>
      </c>
      <c r="H1084" s="4" t="n">
        <v>848.5124999999999</v>
      </c>
      <c r="I1084" s="5" t="n">
        <v>171.6</v>
      </c>
      <c r="J1084" s="3" t="inlineStr">
        <is>
          <t>연서면</t>
        </is>
      </c>
    </row>
    <row r="1085">
      <c r="A1085" s="3" t="n">
        <v>2023</v>
      </c>
      <c r="B1085" s="4" t="n">
        <v>19500</v>
      </c>
      <c r="C1085" s="4" t="n">
        <v>377</v>
      </c>
      <c r="D1085" s="3" t="inlineStr">
        <is>
          <t>연서면</t>
        </is>
      </c>
      <c r="E1085" s="3" t="inlineStr">
        <is>
          <t>와촌리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114.0425</v>
      </c>
      <c r="I1085" s="5" t="n">
        <v>171</v>
      </c>
      <c r="J1085" s="3" t="inlineStr">
        <is>
          <t>연서면</t>
        </is>
      </c>
    </row>
    <row r="1086">
      <c r="A1086" s="3" t="n">
        <v>2023</v>
      </c>
      <c r="B1086" s="4" t="n">
        <v>2500</v>
      </c>
      <c r="C1086" s="4" t="n">
        <v>116</v>
      </c>
      <c r="D1086" s="3" t="inlineStr">
        <is>
          <t>부강면</t>
        </is>
      </c>
      <c r="E1086" s="3" t="inlineStr">
        <is>
          <t>부강리</t>
        </is>
      </c>
      <c r="F1086" s="3" t="inlineStr">
        <is>
          <t>제2종일반주거지역</t>
        </is>
      </c>
      <c r="G1086" s="3" t="inlineStr">
        <is>
          <t>대</t>
        </is>
      </c>
      <c r="H1086" s="4" t="n">
        <v>35.09</v>
      </c>
      <c r="I1086" s="5" t="n">
        <v>71.2</v>
      </c>
      <c r="J1086" s="3" t="inlineStr">
        <is>
          <t>부강면</t>
        </is>
      </c>
    </row>
    <row r="1087">
      <c r="A1087" s="3" t="n">
        <v>2023</v>
      </c>
      <c r="B1087" s="4" t="n">
        <v>13000</v>
      </c>
      <c r="C1087" s="4" t="n">
        <v>1031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311.8775</v>
      </c>
      <c r="I1087" s="5" t="n">
        <v>41.7</v>
      </c>
      <c r="J1087" s="3" t="inlineStr">
        <is>
          <t>부강면</t>
        </is>
      </c>
    </row>
    <row r="1088">
      <c r="A1088" s="3" t="n">
        <v>2023</v>
      </c>
      <c r="B1088" s="4" t="n">
        <v>63500</v>
      </c>
      <c r="C1088" s="4" t="n">
        <v>972</v>
      </c>
      <c r="D1088" s="3" t="inlineStr">
        <is>
          <t>연서면</t>
        </is>
      </c>
      <c r="E1088" s="3" t="inlineStr">
        <is>
          <t>월하리</t>
        </is>
      </c>
      <c r="F1088" s="3" t="inlineStr">
        <is>
          <t>자연녹지지역</t>
        </is>
      </c>
      <c r="G1088" s="3" t="inlineStr">
        <is>
          <t>답</t>
        </is>
      </c>
      <c r="H1088" s="4" t="n">
        <v>294.03</v>
      </c>
      <c r="I1088" s="5" t="n">
        <v>216</v>
      </c>
      <c r="J1088" s="3" t="inlineStr">
        <is>
          <t>연서면</t>
        </is>
      </c>
    </row>
    <row r="1089">
      <c r="A1089" s="3" t="n">
        <v>2023</v>
      </c>
      <c r="B1089" s="4" t="n">
        <v>2100</v>
      </c>
      <c r="C1089" s="4" t="n">
        <v>32</v>
      </c>
      <c r="D1089" s="3" t="inlineStr">
        <is>
          <t>연서면</t>
        </is>
      </c>
      <c r="E1089" s="3" t="inlineStr">
        <is>
          <t>월하리</t>
        </is>
      </c>
      <c r="F1089" s="3" t="inlineStr">
        <is>
          <t>자연녹지지역</t>
        </is>
      </c>
      <c r="G1089" s="3" t="inlineStr">
        <is>
          <t>답</t>
        </is>
      </c>
      <c r="H1089" s="4" t="n">
        <v>9.68</v>
      </c>
      <c r="I1089" s="5" t="n">
        <v>216.9</v>
      </c>
      <c r="J1089" s="3" t="inlineStr">
        <is>
          <t>연서면</t>
        </is>
      </c>
    </row>
    <row r="1090">
      <c r="A1090" s="3" t="n">
        <v>2023</v>
      </c>
      <c r="B1090" s="4" t="n">
        <v>4900</v>
      </c>
      <c r="C1090" s="4" t="n">
        <v>164</v>
      </c>
      <c r="D1090" s="3" t="inlineStr">
        <is>
          <t>연서면</t>
        </is>
      </c>
      <c r="E1090" s="3" t="inlineStr">
        <is>
          <t>월하리</t>
        </is>
      </c>
      <c r="F1090" s="3" t="inlineStr">
        <is>
          <t>자연녹지지역</t>
        </is>
      </c>
      <c r="G1090" s="3" t="inlineStr">
        <is>
          <t>전</t>
        </is>
      </c>
      <c r="H1090" s="4" t="n">
        <v>49.61</v>
      </c>
      <c r="I1090" s="5" t="n">
        <v>98.8</v>
      </c>
      <c r="J1090" s="3" t="inlineStr">
        <is>
          <t>연서면</t>
        </is>
      </c>
    </row>
    <row r="1091">
      <c r="A1091" s="3" t="n">
        <v>2022</v>
      </c>
      <c r="B1091" s="4" t="n">
        <v>10000</v>
      </c>
      <c r="C1091" s="4" t="n">
        <v>493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전</t>
        </is>
      </c>
      <c r="H1091" s="4" t="n">
        <v>149.1325</v>
      </c>
      <c r="I1091" s="5" t="n">
        <v>67.09999999999999</v>
      </c>
      <c r="J1091" s="3" t="inlineStr">
        <is>
          <t>연서면</t>
        </is>
      </c>
    </row>
    <row r="1092">
      <c r="A1092" s="3" t="n">
        <v>2022</v>
      </c>
      <c r="B1092" s="4" t="n">
        <v>17700</v>
      </c>
      <c r="C1092" s="4" t="n">
        <v>1002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303.105</v>
      </c>
      <c r="I1092" s="5" t="n">
        <v>58.4</v>
      </c>
      <c r="J1092" s="3" t="inlineStr">
        <is>
          <t>연서면</t>
        </is>
      </c>
    </row>
    <row r="1093">
      <c r="A1093" s="3" t="n">
        <v>2022</v>
      </c>
      <c r="B1093" s="4" t="n">
        <v>15260</v>
      </c>
      <c r="C1093" s="4" t="n">
        <v>108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32.67</v>
      </c>
      <c r="I1093" s="5" t="n">
        <v>467.1</v>
      </c>
      <c r="J1093" s="3" t="inlineStr">
        <is>
          <t>연서면</t>
        </is>
      </c>
    </row>
    <row r="1094">
      <c r="A1094" s="3" t="n">
        <v>2022</v>
      </c>
      <c r="B1094" s="4" t="n">
        <v>1272</v>
      </c>
      <c r="C1094" s="4" t="n">
        <v>9</v>
      </c>
      <c r="D1094" s="3" t="inlineStr">
        <is>
          <t>연서면</t>
        </is>
      </c>
      <c r="E1094" s="3" t="inlineStr">
        <is>
          <t>봉암리</t>
        </is>
      </c>
      <c r="F1094" s="3" t="inlineStr">
        <is>
          <t>계획관리지역</t>
        </is>
      </c>
      <c r="G1094" s="3" t="inlineStr">
        <is>
          <t>대</t>
        </is>
      </c>
      <c r="H1094" s="4" t="n">
        <v>2.7225</v>
      </c>
      <c r="I1094" s="5" t="n">
        <v>467.2</v>
      </c>
      <c r="J1094" s="3" t="inlineStr">
        <is>
          <t>연서면</t>
        </is>
      </c>
    </row>
    <row r="1095">
      <c r="A1095" s="3" t="n">
        <v>2024</v>
      </c>
      <c r="B1095" s="4" t="n">
        <v>14000</v>
      </c>
      <c r="C1095" s="4" t="n">
        <v>757</v>
      </c>
      <c r="D1095" s="3" t="inlineStr">
        <is>
          <t>부강면</t>
        </is>
      </c>
      <c r="E1095" s="3" t="inlineStr">
        <is>
          <t>등곡리</t>
        </is>
      </c>
      <c r="F1095" s="3" t="inlineStr">
        <is>
          <t>계획관리지역</t>
        </is>
      </c>
      <c r="G1095" s="3" t="inlineStr">
        <is>
          <t>답</t>
        </is>
      </c>
      <c r="H1095" s="4" t="n">
        <v>228.9925</v>
      </c>
      <c r="I1095" s="5" t="n">
        <v>61.1</v>
      </c>
      <c r="J1095" s="3" t="inlineStr">
        <is>
          <t>부강면</t>
        </is>
      </c>
    </row>
    <row r="1096">
      <c r="A1096" s="3" t="n">
        <v>2025</v>
      </c>
      <c r="B1096" s="4" t="n">
        <v>16500</v>
      </c>
      <c r="C1096" s="4" t="n">
        <v>314</v>
      </c>
      <c r="D1096" s="3" t="inlineStr">
        <is>
          <t>조치원읍</t>
        </is>
      </c>
      <c r="E1096" s="3" t="inlineStr">
        <is>
          <t>신안리</t>
        </is>
      </c>
      <c r="F1096" s="3" t="inlineStr">
        <is>
          <t>제2종일반주거지역</t>
        </is>
      </c>
      <c r="G1096" s="3" t="inlineStr">
        <is>
          <t>과수원</t>
        </is>
      </c>
      <c r="H1096" s="4" t="n">
        <v>94.985</v>
      </c>
      <c r="I1096" s="5" t="n">
        <v>173.7</v>
      </c>
      <c r="J1096" s="3" t="inlineStr">
        <is>
          <t>조치원읍</t>
        </is>
      </c>
    </row>
    <row r="1097">
      <c r="A1097" s="3" t="n">
        <v>2025</v>
      </c>
      <c r="B1097" s="4" t="n">
        <v>16500</v>
      </c>
      <c r="C1097" s="4" t="n">
        <v>314</v>
      </c>
      <c r="D1097" s="3" t="inlineStr">
        <is>
          <t>조치원읍</t>
        </is>
      </c>
      <c r="E1097" s="3" t="inlineStr">
        <is>
          <t>신안리</t>
        </is>
      </c>
      <c r="F1097" s="3" t="inlineStr">
        <is>
          <t>제2종일반주거지역</t>
        </is>
      </c>
      <c r="G1097" s="3" t="inlineStr">
        <is>
          <t>과수원</t>
        </is>
      </c>
      <c r="H1097" s="4" t="n">
        <v>94.985</v>
      </c>
      <c r="I1097" s="5" t="n">
        <v>173.7</v>
      </c>
      <c r="J1097" s="3" t="inlineStr">
        <is>
          <t>조치원읍</t>
        </is>
      </c>
    </row>
    <row r="1098">
      <c r="A1098" s="3" t="n">
        <v>2025</v>
      </c>
      <c r="B1098" s="4" t="n">
        <v>197</v>
      </c>
      <c r="C1098" s="4" t="n">
        <v>5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1.5125</v>
      </c>
      <c r="I1098" s="5" t="n">
        <v>130.2</v>
      </c>
      <c r="J1098" s="3" t="inlineStr">
        <is>
          <t>연서면</t>
        </is>
      </c>
    </row>
    <row r="1099">
      <c r="A1099" s="3" t="n">
        <v>2025</v>
      </c>
      <c r="B1099" s="4" t="n">
        <v>16949</v>
      </c>
      <c r="C1099" s="4" t="n">
        <v>431</v>
      </c>
      <c r="D1099" s="3" t="inlineStr">
        <is>
          <t>연서면</t>
        </is>
      </c>
      <c r="E1099" s="3" t="inlineStr">
        <is>
          <t>신대리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130.3775</v>
      </c>
      <c r="I1099" s="5" t="n">
        <v>130</v>
      </c>
      <c r="J1099" s="3" t="inlineStr">
        <is>
          <t>연서면</t>
        </is>
      </c>
    </row>
    <row r="1100">
      <c r="A1100" s="3" t="n">
        <v>2025</v>
      </c>
      <c r="B1100" s="4" t="n">
        <v>40000</v>
      </c>
      <c r="C1100" s="4" t="n">
        <v>2033</v>
      </c>
      <c r="D1100" s="3" t="inlineStr">
        <is>
          <t>강내면</t>
        </is>
      </c>
      <c r="E1100" s="3" t="inlineStr">
        <is>
          <t>사인리</t>
        </is>
      </c>
      <c r="F1100" s="3" t="inlineStr">
        <is>
          <t>생산녹지지역</t>
        </is>
      </c>
      <c r="G1100" s="3" t="inlineStr">
        <is>
          <t>답</t>
        </is>
      </c>
      <c r="H1100" s="4" t="n">
        <v>614.9825</v>
      </c>
      <c r="I1100" s="5" t="n">
        <v>65</v>
      </c>
      <c r="J1100" s="3" t="inlineStr">
        <is>
          <t>강내면</t>
        </is>
      </c>
    </row>
    <row r="1101">
      <c r="A1101" s="3" t="n">
        <v>2025</v>
      </c>
      <c r="B1101" s="4" t="n">
        <v>10000</v>
      </c>
      <c r="C1101" s="4" t="n">
        <v>992</v>
      </c>
      <c r="D1101" s="3" t="inlineStr">
        <is>
          <t>강내면</t>
        </is>
      </c>
      <c r="E1101" s="3" t="inlineStr">
        <is>
          <t>월탄리</t>
        </is>
      </c>
      <c r="F1101" s="3" t="inlineStr">
        <is>
          <t>계획관리지역</t>
        </is>
      </c>
      <c r="G1101" s="3" t="inlineStr">
        <is>
          <t>임야</t>
        </is>
      </c>
      <c r="H1101" s="4" t="n">
        <v>300.08</v>
      </c>
      <c r="I1101" s="5" t="n">
        <v>33.3</v>
      </c>
      <c r="J1101" s="3" t="inlineStr">
        <is>
          <t>강내면</t>
        </is>
      </c>
    </row>
    <row r="1102">
      <c r="A1102" s="3" t="n">
        <v>2025</v>
      </c>
      <c r="B1102" s="4" t="n">
        <v>5200</v>
      </c>
      <c r="C1102" s="4" t="n">
        <v>245</v>
      </c>
      <c r="D1102" s="3" t="inlineStr">
        <is>
          <t>강내면</t>
        </is>
      </c>
      <c r="E1102" s="3" t="inlineStr">
        <is>
          <t>저산리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74.1125</v>
      </c>
      <c r="I1102" s="5" t="n">
        <v>70.2</v>
      </c>
      <c r="J1102" s="3" t="inlineStr">
        <is>
          <t>강내면</t>
        </is>
      </c>
    </row>
    <row r="1103">
      <c r="A1103" s="3" t="n">
        <v>2025</v>
      </c>
      <c r="B1103" s="4" t="n">
        <v>500</v>
      </c>
      <c r="C1103" s="4" t="n">
        <v>25</v>
      </c>
      <c r="D1103" s="3" t="inlineStr">
        <is>
          <t>강내면</t>
        </is>
      </c>
      <c r="E1103" s="3" t="inlineStr">
        <is>
          <t>저산리</t>
        </is>
      </c>
      <c r="F1103" s="3" t="inlineStr">
        <is>
          <t>계획관리지역</t>
        </is>
      </c>
      <c r="G1103" s="3" t="inlineStr">
        <is>
          <t>임야</t>
        </is>
      </c>
      <c r="H1103" s="4" t="n">
        <v>7.5625</v>
      </c>
      <c r="I1103" s="5" t="n">
        <v>66.09999999999999</v>
      </c>
      <c r="J1103" s="3" t="inlineStr">
        <is>
          <t>강내면</t>
        </is>
      </c>
    </row>
    <row r="1104">
      <c r="A1104" s="3" t="n">
        <v>2025</v>
      </c>
      <c r="B1104" s="4" t="n">
        <v>13800</v>
      </c>
      <c r="C1104" s="4" t="n">
        <v>456</v>
      </c>
      <c r="D1104" s="3" t="inlineStr">
        <is>
          <t>강내면</t>
        </is>
      </c>
      <c r="E1104" s="3" t="inlineStr">
        <is>
          <t>저산리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137.94</v>
      </c>
      <c r="I1104" s="5" t="n">
        <v>100</v>
      </c>
      <c r="J1104" s="3" t="inlineStr">
        <is>
          <t>강내면</t>
        </is>
      </c>
    </row>
    <row r="1105">
      <c r="A1105" s="3" t="n">
        <v>2025</v>
      </c>
      <c r="B1105" s="4" t="n">
        <v>4000</v>
      </c>
      <c r="C1105" s="4" t="n">
        <v>132</v>
      </c>
      <c r="D1105" s="3" t="inlineStr">
        <is>
          <t>강내면</t>
        </is>
      </c>
      <c r="E1105" s="3" t="inlineStr">
        <is>
          <t>저산리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39.93</v>
      </c>
      <c r="I1105" s="5" t="n">
        <v>100.2</v>
      </c>
      <c r="J1105" s="3" t="inlineStr">
        <is>
          <t>강내면</t>
        </is>
      </c>
    </row>
    <row r="1106">
      <c r="A1106" s="3" t="n">
        <v>2025</v>
      </c>
      <c r="B1106" s="4" t="n">
        <v>4600</v>
      </c>
      <c r="C1106" s="4" t="n">
        <v>238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71.995</v>
      </c>
      <c r="I1106" s="5" t="n">
        <v>63.9</v>
      </c>
      <c r="J1106" s="3" t="inlineStr">
        <is>
          <t>오송읍</t>
        </is>
      </c>
    </row>
    <row r="1107">
      <c r="A1107" s="3" t="n">
        <v>2025</v>
      </c>
      <c r="B1107" s="4" t="n">
        <v>42400</v>
      </c>
      <c r="C1107" s="4" t="n">
        <v>2299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생산관리지역</t>
        </is>
      </c>
      <c r="G1107" s="3" t="inlineStr">
        <is>
          <t>전</t>
        </is>
      </c>
      <c r="H1107" s="4" t="n">
        <v>695.4475</v>
      </c>
      <c r="I1107" s="5" t="n">
        <v>61</v>
      </c>
      <c r="J1107" s="3" t="inlineStr">
        <is>
          <t>오송읍</t>
        </is>
      </c>
    </row>
    <row r="1108">
      <c r="A1108" s="3" t="n">
        <v>2025</v>
      </c>
      <c r="B1108" s="4" t="n">
        <v>74400</v>
      </c>
      <c r="C1108" s="4" t="n">
        <v>4235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전</t>
        </is>
      </c>
      <c r="H1108" s="4" t="n">
        <v>1281.0875</v>
      </c>
      <c r="I1108" s="5" t="n">
        <v>58.1</v>
      </c>
      <c r="J1108" s="3" t="inlineStr">
        <is>
          <t>오송읍</t>
        </is>
      </c>
    </row>
    <row r="1109">
      <c r="A1109" s="3" t="n">
        <v>2025</v>
      </c>
      <c r="B1109" s="4" t="n">
        <v>7200</v>
      </c>
      <c r="C1109" s="4" t="n">
        <v>111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준주거지역</t>
        </is>
      </c>
      <c r="G1109" s="3" t="inlineStr">
        <is>
          <t>답</t>
        </is>
      </c>
      <c r="H1109" s="4" t="n">
        <v>33.5775</v>
      </c>
      <c r="I1109" s="5" t="n">
        <v>214.4</v>
      </c>
      <c r="J1109" s="3" t="inlineStr">
        <is>
          <t>오송읍</t>
        </is>
      </c>
    </row>
    <row r="1110">
      <c r="A1110" s="3" t="n">
        <v>2025</v>
      </c>
      <c r="B1110" s="4" t="n">
        <v>10700</v>
      </c>
      <c r="C1110" s="4" t="n">
        <v>332</v>
      </c>
      <c r="D1110" s="3" t="inlineStr">
        <is>
          <t>강내면</t>
        </is>
      </c>
      <c r="E1110" s="3" t="inlineStr">
        <is>
          <t>저산리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100.43</v>
      </c>
      <c r="I1110" s="5" t="n">
        <v>106.5</v>
      </c>
      <c r="J1110" s="3" t="inlineStr">
        <is>
          <t>강내면</t>
        </is>
      </c>
    </row>
    <row r="1111">
      <c r="A1111" s="3" t="n">
        <v>2025</v>
      </c>
      <c r="B1111" s="4" t="n">
        <v>2580</v>
      </c>
      <c r="C1111" s="4" t="n">
        <v>78</v>
      </c>
      <c r="D1111" s="3" t="inlineStr">
        <is>
          <t>강내면</t>
        </is>
      </c>
      <c r="E1111" s="3" t="inlineStr">
        <is>
          <t>저산리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23.595</v>
      </c>
      <c r="I1111" s="5" t="n">
        <v>109.3</v>
      </c>
      <c r="J1111" s="3" t="inlineStr">
        <is>
          <t>강내면</t>
        </is>
      </c>
    </row>
    <row r="1112">
      <c r="A1112" s="3" t="n">
        <v>2025</v>
      </c>
      <c r="B1112" s="4" t="n">
        <v>3500</v>
      </c>
      <c r="C1112" s="4" t="n">
        <v>793</v>
      </c>
      <c r="D1112" s="3" t="inlineStr">
        <is>
          <t>강내면</t>
        </is>
      </c>
      <c r="E1112" s="3" t="inlineStr">
        <is>
          <t>저산리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239.8825</v>
      </c>
      <c r="I1112" s="5" t="n">
        <v>14.6</v>
      </c>
      <c r="J1112" s="3" t="inlineStr">
        <is>
          <t>강내면</t>
        </is>
      </c>
    </row>
    <row r="1113">
      <c r="A1113" s="3" t="n">
        <v>2025</v>
      </c>
      <c r="B1113" s="4" t="n">
        <v>16280</v>
      </c>
      <c r="C1113" s="4" t="n">
        <v>224</v>
      </c>
      <c r="D1113" s="3" t="inlineStr">
        <is>
          <t>오송읍</t>
        </is>
      </c>
      <c r="E1113" s="3" t="inlineStr">
        <is>
          <t>궁평리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67.75999999999999</v>
      </c>
      <c r="I1113" s="5" t="n">
        <v>240.3</v>
      </c>
      <c r="J1113" s="3" t="inlineStr">
        <is>
          <t>오송읍</t>
        </is>
      </c>
    </row>
    <row r="1114">
      <c r="A1114" s="3" t="n">
        <v>2025</v>
      </c>
      <c r="B1114" s="4" t="n">
        <v>60</v>
      </c>
      <c r="C1114" s="4" t="n">
        <v>7</v>
      </c>
      <c r="D1114" s="3" t="inlineStr">
        <is>
          <t>강내면</t>
        </is>
      </c>
      <c r="E1114" s="3" t="inlineStr">
        <is>
          <t>다락리</t>
        </is>
      </c>
      <c r="F1114" s="3" t="inlineStr">
        <is>
          <t>보전녹지지역</t>
        </is>
      </c>
      <c r="G1114" s="3" t="inlineStr">
        <is>
          <t>전</t>
        </is>
      </c>
      <c r="H1114" s="4" t="n">
        <v>2.1175</v>
      </c>
      <c r="I1114" s="5" t="n">
        <v>28.3</v>
      </c>
      <c r="J1114" s="3" t="inlineStr">
        <is>
          <t>강내면</t>
        </is>
      </c>
    </row>
    <row r="1115">
      <c r="A1115" s="3" t="n">
        <v>2025</v>
      </c>
      <c r="B1115" s="4" t="n">
        <v>7574</v>
      </c>
      <c r="C1115" s="4" t="n">
        <v>1052</v>
      </c>
      <c r="D1115" s="3" t="inlineStr">
        <is>
          <t>강내면</t>
        </is>
      </c>
      <c r="E1115" s="3" t="inlineStr">
        <is>
          <t>연정리</t>
        </is>
      </c>
      <c r="F1115" s="3" t="inlineStr">
        <is>
          <t>보전관리지역</t>
        </is>
      </c>
      <c r="G1115" s="3" t="inlineStr">
        <is>
          <t>전</t>
        </is>
      </c>
      <c r="H1115" s="4" t="n">
        <v>318.23</v>
      </c>
      <c r="I1115" s="5" t="n">
        <v>23.8</v>
      </c>
      <c r="J1115" s="3" t="inlineStr">
        <is>
          <t>강내면</t>
        </is>
      </c>
    </row>
    <row r="1116">
      <c r="A1116" s="3" t="n">
        <v>2025</v>
      </c>
      <c r="B1116" s="4" t="n">
        <v>1015</v>
      </c>
      <c r="C1116" s="4" t="n">
        <v>141</v>
      </c>
      <c r="D1116" s="3" t="inlineStr">
        <is>
          <t>강내면</t>
        </is>
      </c>
      <c r="E1116" s="3" t="inlineStr">
        <is>
          <t>연정리</t>
        </is>
      </c>
      <c r="F1116" s="3" t="inlineStr">
        <is>
          <t>보전관리지역</t>
        </is>
      </c>
      <c r="G1116" s="3" t="inlineStr">
        <is>
          <t>전</t>
        </is>
      </c>
      <c r="H1116" s="4" t="n">
        <v>42.6525</v>
      </c>
      <c r="I1116" s="5" t="n">
        <v>23.8</v>
      </c>
      <c r="J1116" s="3" t="inlineStr">
        <is>
          <t>강내면</t>
        </is>
      </c>
    </row>
    <row r="1117">
      <c r="A1117" s="3" t="n">
        <v>2025</v>
      </c>
      <c r="B1117" s="4" t="n">
        <v>1800</v>
      </c>
      <c r="C1117" s="4" t="n">
        <v>102</v>
      </c>
      <c r="D1117" s="3" t="inlineStr">
        <is>
          <t>오송읍</t>
        </is>
      </c>
      <c r="E1117" s="3" t="inlineStr">
        <is>
          <t>동평리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30.855</v>
      </c>
      <c r="I1117" s="5" t="n">
        <v>58.3</v>
      </c>
      <c r="J1117" s="3" t="inlineStr">
        <is>
          <t>오송읍</t>
        </is>
      </c>
    </row>
    <row r="1118">
      <c r="A1118" s="3" t="n">
        <v>2025</v>
      </c>
      <c r="B1118" s="4" t="n">
        <v>52754</v>
      </c>
      <c r="C1118" s="4" t="n">
        <v>2501.8</v>
      </c>
      <c r="D1118" s="3" t="inlineStr">
        <is>
          <t>오송읍</t>
        </is>
      </c>
      <c r="E1118" s="3" t="inlineStr">
        <is>
          <t>연제리</t>
        </is>
      </c>
      <c r="F1118" s="3" t="inlineStr">
        <is>
          <t>준공업지역</t>
        </is>
      </c>
      <c r="G1118" s="3" t="inlineStr">
        <is>
          <t>대</t>
        </is>
      </c>
      <c r="H1118" s="4" t="n">
        <v>756.7945000000001</v>
      </c>
      <c r="I1118" s="5" t="n">
        <v>69.7</v>
      </c>
      <c r="J1118" s="3" t="inlineStr">
        <is>
          <t>오송읍</t>
        </is>
      </c>
    </row>
    <row r="1119">
      <c r="A1119" s="3" t="n">
        <v>2025</v>
      </c>
      <c r="B1119" s="4" t="n">
        <v>53130</v>
      </c>
      <c r="C1119" s="4" t="n">
        <v>2519.6</v>
      </c>
      <c r="D1119" s="3" t="inlineStr">
        <is>
          <t>오송읍</t>
        </is>
      </c>
      <c r="E1119" s="3" t="inlineStr">
        <is>
          <t>연제리</t>
        </is>
      </c>
      <c r="F1119" s="3" t="inlineStr">
        <is>
          <t>준공업지역</t>
        </is>
      </c>
      <c r="G1119" s="3" t="inlineStr">
        <is>
          <t>대</t>
        </is>
      </c>
      <c r="H1119" s="4" t="n">
        <v>762.179</v>
      </c>
      <c r="I1119" s="5" t="n">
        <v>69.7</v>
      </c>
      <c r="J1119" s="3" t="inlineStr">
        <is>
          <t>오송읍</t>
        </is>
      </c>
    </row>
    <row r="1120">
      <c r="A1120" s="3" t="n">
        <v>2025</v>
      </c>
      <c r="B1120" s="4" t="n">
        <v>14000</v>
      </c>
      <c r="C1120" s="4" t="n">
        <v>418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126.445</v>
      </c>
      <c r="I1120" s="5" t="n">
        <v>110.7</v>
      </c>
      <c r="J1120" s="3" t="inlineStr">
        <is>
          <t>강내면</t>
        </is>
      </c>
    </row>
    <row r="1121">
      <c r="A1121" s="3" t="n">
        <v>2025</v>
      </c>
      <c r="B1121" s="4" t="n">
        <v>12000</v>
      </c>
      <c r="C1121" s="4" t="n">
        <v>616</v>
      </c>
      <c r="D1121" s="3" t="inlineStr">
        <is>
          <t>강내면</t>
        </is>
      </c>
      <c r="E1121" s="3" t="inlineStr">
        <is>
          <t>석화리</t>
        </is>
      </c>
      <c r="F1121" s="3" t="inlineStr">
        <is>
          <t>생산녹지지역</t>
        </is>
      </c>
      <c r="G1121" s="3" t="inlineStr">
        <is>
          <t>전</t>
        </is>
      </c>
      <c r="H1121" s="4" t="n">
        <v>186.34</v>
      </c>
      <c r="I1121" s="5" t="n">
        <v>64.40000000000001</v>
      </c>
      <c r="J1121" s="3" t="inlineStr">
        <is>
          <t>강내면</t>
        </is>
      </c>
    </row>
    <row r="1122">
      <c r="A1122" s="3" t="n">
        <v>2025</v>
      </c>
      <c r="B1122" s="4" t="n">
        <v>7574</v>
      </c>
      <c r="C1122" s="4" t="n">
        <v>1052</v>
      </c>
      <c r="D1122" s="3" t="inlineStr">
        <is>
          <t>강내면</t>
        </is>
      </c>
      <c r="E1122" s="3" t="inlineStr">
        <is>
          <t>연정리</t>
        </is>
      </c>
      <c r="F1122" s="3" t="inlineStr">
        <is>
          <t>보전관리지역</t>
        </is>
      </c>
      <c r="G1122" s="3" t="inlineStr">
        <is>
          <t>전</t>
        </is>
      </c>
      <c r="H1122" s="4" t="n">
        <v>318.23</v>
      </c>
      <c r="I1122" s="5" t="n">
        <v>23.8</v>
      </c>
      <c r="J1122" s="3" t="inlineStr">
        <is>
          <t>강내면</t>
        </is>
      </c>
    </row>
    <row r="1123">
      <c r="A1123" s="3" t="n">
        <v>2025</v>
      </c>
      <c r="B1123" s="4" t="n">
        <v>1015</v>
      </c>
      <c r="C1123" s="4" t="n">
        <v>141</v>
      </c>
      <c r="D1123" s="3" t="inlineStr">
        <is>
          <t>강내면</t>
        </is>
      </c>
      <c r="E1123" s="3" t="inlineStr">
        <is>
          <t>연정리</t>
        </is>
      </c>
      <c r="F1123" s="3" t="inlineStr">
        <is>
          <t>보전관리지역</t>
        </is>
      </c>
      <c r="G1123" s="3" t="inlineStr">
        <is>
          <t>전</t>
        </is>
      </c>
      <c r="H1123" s="4" t="n">
        <v>42.6525</v>
      </c>
      <c r="I1123" s="5" t="n">
        <v>23.8</v>
      </c>
      <c r="J1123" s="3" t="inlineStr">
        <is>
          <t>강내면</t>
        </is>
      </c>
    </row>
    <row r="1124">
      <c r="A1124" s="3" t="n">
        <v>2025</v>
      </c>
      <c r="B1124" s="4" t="n">
        <v>2653</v>
      </c>
      <c r="C1124" s="4" t="n">
        <v>46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계획관리지역</t>
        </is>
      </c>
      <c r="G1124" s="3" t="inlineStr">
        <is>
          <t>도로</t>
        </is>
      </c>
      <c r="H1124" s="4" t="n">
        <v>13.915</v>
      </c>
      <c r="I1124" s="5" t="n">
        <v>190.7</v>
      </c>
      <c r="J1124" s="3" t="inlineStr">
        <is>
          <t>오송읍</t>
        </is>
      </c>
    </row>
    <row r="1125">
      <c r="A1125" s="3" t="n">
        <v>2025</v>
      </c>
      <c r="B1125" s="4" t="n">
        <v>235412</v>
      </c>
      <c r="C1125" s="4" t="n">
        <v>13274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4015.385</v>
      </c>
      <c r="I1125" s="5" t="n">
        <v>58.6</v>
      </c>
      <c r="J1125" s="3" t="inlineStr">
        <is>
          <t>강내면</t>
        </is>
      </c>
    </row>
    <row r="1126">
      <c r="A1126" s="3" t="n">
        <v>2026</v>
      </c>
      <c r="B1126" s="4" t="n">
        <v>23826</v>
      </c>
      <c r="C1126" s="4" t="n">
        <v>2387</v>
      </c>
      <c r="D1126" s="3" t="inlineStr">
        <is>
          <t>연서면</t>
        </is>
      </c>
      <c r="E1126" s="3" t="inlineStr">
        <is>
          <t>청라리</t>
        </is>
      </c>
      <c r="F1126" s="3" t="inlineStr">
        <is>
          <t>생산관리지역</t>
        </is>
      </c>
      <c r="G1126" s="3" t="inlineStr">
        <is>
          <t>답</t>
        </is>
      </c>
      <c r="H1126" s="4" t="n">
        <v>722.0675</v>
      </c>
      <c r="I1126" s="5" t="n">
        <v>33</v>
      </c>
      <c r="J1126" s="3" t="inlineStr">
        <is>
          <t>연서면</t>
        </is>
      </c>
    </row>
    <row r="1127">
      <c r="A1127" s="3" t="n">
        <v>2026</v>
      </c>
      <c r="B1127" s="4" t="n">
        <v>25872</v>
      </c>
      <c r="C1127" s="4" t="n">
        <v>2592</v>
      </c>
      <c r="D1127" s="3" t="inlineStr">
        <is>
          <t>연서면</t>
        </is>
      </c>
      <c r="E1127" s="3" t="inlineStr">
        <is>
          <t>청라리</t>
        </is>
      </c>
      <c r="F1127" s="3" t="inlineStr">
        <is>
          <t>생산관리지역</t>
        </is>
      </c>
      <c r="G1127" s="3" t="inlineStr">
        <is>
          <t>답</t>
        </is>
      </c>
      <c r="H1127" s="4" t="n">
        <v>784.0799999999999</v>
      </c>
      <c r="I1127" s="5" t="n">
        <v>33</v>
      </c>
      <c r="J1127" s="3" t="inlineStr">
        <is>
          <t>연서면</t>
        </is>
      </c>
    </row>
    <row r="1128">
      <c r="A1128" s="3" t="n">
        <v>2025</v>
      </c>
      <c r="B1128" s="4" t="n">
        <v>40000</v>
      </c>
      <c r="C1128" s="4" t="n">
        <v>232</v>
      </c>
      <c r="D1128" s="3" t="inlineStr">
        <is>
          <t>조치원읍</t>
        </is>
      </c>
      <c r="E1128" s="3" t="inlineStr">
        <is>
          <t>신안리</t>
        </is>
      </c>
      <c r="F1128" s="3" t="inlineStr">
        <is>
          <t>제2종일반주거지역</t>
        </is>
      </c>
      <c r="G1128" s="3" t="inlineStr">
        <is>
          <t>창고용지</t>
        </is>
      </c>
      <c r="H1128" s="4" t="n">
        <v>70.17999999999999</v>
      </c>
      <c r="I1128" s="5" t="n">
        <v>570</v>
      </c>
      <c r="J1128" s="3" t="inlineStr">
        <is>
          <t>조치원읍</t>
        </is>
      </c>
    </row>
    <row r="1129">
      <c r="A1129" s="3" t="n">
        <v>2025</v>
      </c>
      <c r="B1129" s="4" t="n">
        <v>17000</v>
      </c>
      <c r="C1129" s="4" t="n">
        <v>1121</v>
      </c>
      <c r="D1129" s="3" t="inlineStr">
        <is>
          <t>연서면</t>
        </is>
      </c>
      <c r="E1129" s="3" t="inlineStr">
        <is>
          <t>신대리</t>
        </is>
      </c>
      <c r="F1129" s="3" t="inlineStr">
        <is>
          <t>계획관리지역</t>
        </is>
      </c>
      <c r="G1129" s="3" t="inlineStr">
        <is>
          <t>과수원</t>
        </is>
      </c>
      <c r="H1129" s="4" t="n">
        <v>339.1025</v>
      </c>
      <c r="I1129" s="5" t="n">
        <v>50.1</v>
      </c>
      <c r="J1129" s="3" t="inlineStr">
        <is>
          <t>연서면</t>
        </is>
      </c>
    </row>
    <row r="1130">
      <c r="A1130" s="3" t="n">
        <v>2025</v>
      </c>
      <c r="B1130" s="4" t="n">
        <v>6600</v>
      </c>
      <c r="C1130" s="4" t="n">
        <v>73</v>
      </c>
      <c r="D1130" s="3" t="inlineStr">
        <is>
          <t>연서면</t>
        </is>
      </c>
      <c r="E1130" s="3" t="inlineStr">
        <is>
          <t>용암리</t>
        </is>
      </c>
      <c r="F1130" s="3" t="inlineStr">
        <is>
          <t>자연환경보전</t>
        </is>
      </c>
      <c r="G1130" s="3" t="inlineStr">
        <is>
          <t>대</t>
        </is>
      </c>
      <c r="H1130" s="4" t="n">
        <v>22.0825</v>
      </c>
      <c r="I1130" s="5" t="n">
        <v>298.9</v>
      </c>
      <c r="J1130" s="3" t="inlineStr">
        <is>
          <t>연서면</t>
        </is>
      </c>
    </row>
    <row r="1131">
      <c r="A1131" s="3" t="n">
        <v>2025</v>
      </c>
      <c r="B1131" s="4" t="n">
        <v>48500</v>
      </c>
      <c r="C1131" s="4" t="n">
        <v>1656</v>
      </c>
      <c r="D1131" s="3" t="inlineStr">
        <is>
          <t>연서면</t>
        </is>
      </c>
      <c r="E1131" s="3" t="inlineStr">
        <is>
          <t>부동리</t>
        </is>
      </c>
      <c r="F1131" s="3" t="inlineStr">
        <is>
          <t>계획관리지역</t>
        </is>
      </c>
      <c r="G1131" s="3" t="inlineStr">
        <is>
          <t>답</t>
        </is>
      </c>
      <c r="H1131" s="4" t="n">
        <v>500.94</v>
      </c>
      <c r="I1131" s="5" t="n">
        <v>96.8</v>
      </c>
      <c r="J1131" s="3" t="inlineStr">
        <is>
          <t>연서면</t>
        </is>
      </c>
    </row>
    <row r="1132">
      <c r="A1132" s="3" t="n">
        <v>2025</v>
      </c>
      <c r="B1132" s="4" t="n">
        <v>1800</v>
      </c>
      <c r="C1132" s="4" t="n">
        <v>6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도로</t>
        </is>
      </c>
      <c r="H1132" s="4" t="n">
        <v>1.815</v>
      </c>
      <c r="I1132" s="5" t="n">
        <v>991.7</v>
      </c>
      <c r="J1132" s="3" t="inlineStr">
        <is>
          <t>조치원읍</t>
        </is>
      </c>
    </row>
    <row r="1133">
      <c r="A1133" s="3" t="n">
        <v>2025</v>
      </c>
      <c r="B1133" s="4" t="n">
        <v>3100</v>
      </c>
      <c r="C1133" s="4" t="n">
        <v>27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도로</t>
        </is>
      </c>
      <c r="H1133" s="4" t="n">
        <v>8.1675</v>
      </c>
      <c r="I1133" s="5" t="n">
        <v>379.6</v>
      </c>
      <c r="J1133" s="3" t="inlineStr">
        <is>
          <t>조치원읍</t>
        </is>
      </c>
    </row>
    <row r="1134">
      <c r="A1134" s="3" t="n">
        <v>2025</v>
      </c>
      <c r="B1134" s="4" t="n">
        <v>33100</v>
      </c>
      <c r="C1134" s="4" t="n">
        <v>271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대</t>
        </is>
      </c>
      <c r="H1134" s="4" t="n">
        <v>81.97749999999999</v>
      </c>
      <c r="I1134" s="5" t="n">
        <v>403.8</v>
      </c>
      <c r="J1134" s="3" t="inlineStr">
        <is>
          <t>조치원읍</t>
        </is>
      </c>
    </row>
    <row r="1135">
      <c r="A1135" s="3" t="n">
        <v>2022</v>
      </c>
      <c r="B1135" s="4" t="n">
        <v>9000</v>
      </c>
      <c r="C1135" s="4" t="n">
        <v>1164</v>
      </c>
      <c r="D1135" s="3" t="inlineStr">
        <is>
          <t>강내면</t>
        </is>
      </c>
      <c r="E1135" s="3" t="inlineStr">
        <is>
          <t>다락리</t>
        </is>
      </c>
      <c r="F1135" s="3" t="inlineStr">
        <is>
          <t>자연녹지지역</t>
        </is>
      </c>
      <c r="G1135" s="3" t="inlineStr">
        <is>
          <t>전</t>
        </is>
      </c>
      <c r="H1135" s="4" t="n">
        <v>352.11</v>
      </c>
      <c r="I1135" s="5" t="n">
        <v>25.6</v>
      </c>
      <c r="J1135" s="3" t="inlineStr">
        <is>
          <t>강내면</t>
        </is>
      </c>
    </row>
    <row r="1136">
      <c r="A1136" s="3" t="n">
        <v>2022</v>
      </c>
      <c r="B1136" s="4" t="n">
        <v>3000</v>
      </c>
      <c r="C1136" s="4" t="n">
        <v>34</v>
      </c>
      <c r="D1136" s="3" t="inlineStr">
        <is>
          <t>강내면</t>
        </is>
      </c>
      <c r="E1136" s="3" t="inlineStr">
        <is>
          <t>탑연리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10.285</v>
      </c>
      <c r="I1136" s="5" t="n">
        <v>291.7</v>
      </c>
      <c r="J1136" s="3" t="inlineStr">
        <is>
          <t>강내면</t>
        </is>
      </c>
    </row>
    <row r="1137">
      <c r="A1137" s="3" t="n">
        <v>2022</v>
      </c>
      <c r="B1137" s="4" t="n">
        <v>500</v>
      </c>
      <c r="C1137" s="4" t="n">
        <v>2</v>
      </c>
      <c r="D1137" s="3" t="inlineStr">
        <is>
          <t>오송읍</t>
        </is>
      </c>
      <c r="E1137" s="3" t="inlineStr">
        <is>
          <t>봉산리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0.605</v>
      </c>
      <c r="I1137" s="5" t="n">
        <v>826.4</v>
      </c>
      <c r="J1137" s="3" t="inlineStr">
        <is>
          <t>오송읍</t>
        </is>
      </c>
    </row>
    <row r="1138">
      <c r="A1138" s="3" t="n">
        <v>2022</v>
      </c>
      <c r="B1138" s="4" t="n">
        <v>190</v>
      </c>
      <c r="C1138" s="4" t="n">
        <v>7</v>
      </c>
      <c r="D1138" s="3" t="inlineStr">
        <is>
          <t>강내면</t>
        </is>
      </c>
      <c r="E1138" s="3" t="inlineStr">
        <is>
          <t>궁현리</t>
        </is>
      </c>
      <c r="F1138" s="3" t="inlineStr">
        <is>
          <t>농림지역</t>
        </is>
      </c>
      <c r="G1138" s="3" t="inlineStr">
        <is>
          <t>답</t>
        </is>
      </c>
      <c r="H1138" s="4" t="n">
        <v>2.1175</v>
      </c>
      <c r="I1138" s="5" t="n">
        <v>89.7</v>
      </c>
      <c r="J1138" s="3" t="inlineStr">
        <is>
          <t>강내면</t>
        </is>
      </c>
    </row>
    <row r="1139">
      <c r="A1139" s="3" t="n">
        <v>2022</v>
      </c>
      <c r="B1139" s="4" t="n">
        <v>7500</v>
      </c>
      <c r="C1139" s="4" t="n">
        <v>80</v>
      </c>
      <c r="D1139" s="3" t="inlineStr">
        <is>
          <t>오송읍</t>
        </is>
      </c>
      <c r="E1139" s="3" t="inlineStr">
        <is>
          <t>오송리</t>
        </is>
      </c>
      <c r="F1139" s="3" t="inlineStr">
        <is>
          <t>제2종일반주거지역</t>
        </is>
      </c>
      <c r="G1139" s="3" t="inlineStr">
        <is>
          <t>창고용지</t>
        </is>
      </c>
      <c r="H1139" s="4" t="n">
        <v>24.2</v>
      </c>
      <c r="I1139" s="5" t="n">
        <v>309.9</v>
      </c>
      <c r="J1139" s="3" t="inlineStr">
        <is>
          <t>오송읍</t>
        </is>
      </c>
    </row>
    <row r="1140">
      <c r="A1140" s="3" t="n">
        <v>2022</v>
      </c>
      <c r="B1140" s="4" t="n">
        <v>40000</v>
      </c>
      <c r="C1140" s="4" t="n">
        <v>226.2</v>
      </c>
      <c r="D1140" s="3" t="inlineStr">
        <is>
          <t>오송읍</t>
        </is>
      </c>
      <c r="E1140" s="3" t="inlineStr">
        <is>
          <t>만수리</t>
        </is>
      </c>
      <c r="F1140" s="3" t="inlineStr">
        <is>
          <t>제1종일반주거지역</t>
        </is>
      </c>
      <c r="G1140" s="3" t="inlineStr">
        <is>
          <t>대</t>
        </is>
      </c>
      <c r="H1140" s="4" t="n">
        <v>68.4255</v>
      </c>
      <c r="I1140" s="5" t="n">
        <v>584.6</v>
      </c>
      <c r="J1140" s="3" t="inlineStr">
        <is>
          <t>오송읍</t>
        </is>
      </c>
    </row>
    <row r="1141">
      <c r="A1141" s="3" t="n">
        <v>2022</v>
      </c>
      <c r="B1141" s="4" t="n">
        <v>37000</v>
      </c>
      <c r="C1141" s="4" t="n">
        <v>226.2</v>
      </c>
      <c r="D1141" s="3" t="inlineStr">
        <is>
          <t>오송읍</t>
        </is>
      </c>
      <c r="E1141" s="3" t="inlineStr">
        <is>
          <t>만수리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68.4255</v>
      </c>
      <c r="I1141" s="5" t="n">
        <v>540.7</v>
      </c>
      <c r="J1141" s="3" t="inlineStr">
        <is>
          <t>오송읍</t>
        </is>
      </c>
    </row>
    <row r="1142">
      <c r="A1142" s="3" t="n">
        <v>2022</v>
      </c>
      <c r="B1142" s="4" t="n">
        <v>41500</v>
      </c>
      <c r="C1142" s="4" t="n">
        <v>247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74.7175</v>
      </c>
      <c r="I1142" s="5" t="n">
        <v>555.4</v>
      </c>
      <c r="J1142" s="3" t="inlineStr">
        <is>
          <t>오송읍</t>
        </is>
      </c>
    </row>
    <row r="1143">
      <c r="A1143" s="3" t="n">
        <v>2022</v>
      </c>
      <c r="B1143" s="4" t="n">
        <v>30000</v>
      </c>
      <c r="C1143" s="4" t="n">
        <v>1336</v>
      </c>
      <c r="D1143" s="3" t="inlineStr">
        <is>
          <t>오송읍</t>
        </is>
      </c>
      <c r="E1143" s="3" t="inlineStr">
        <is>
          <t>호계리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404.14</v>
      </c>
      <c r="I1143" s="5" t="n">
        <v>74.2</v>
      </c>
      <c r="J1143" s="3" t="inlineStr">
        <is>
          <t>오송읍</t>
        </is>
      </c>
    </row>
    <row r="1144">
      <c r="A1144" s="3" t="n">
        <v>2022</v>
      </c>
      <c r="B1144" s="4" t="n">
        <v>2400</v>
      </c>
      <c r="C1144" s="4" t="n">
        <v>178</v>
      </c>
      <c r="D1144" s="3" t="inlineStr">
        <is>
          <t>오송읍</t>
        </is>
      </c>
      <c r="E1144" s="3" t="inlineStr">
        <is>
          <t>연제리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53.845</v>
      </c>
      <c r="I1144" s="5" t="n">
        <v>44.6</v>
      </c>
      <c r="J1144" s="3" t="inlineStr">
        <is>
          <t>오송읍</t>
        </is>
      </c>
    </row>
    <row r="1145">
      <c r="A1145" s="3" t="n">
        <v>2022</v>
      </c>
      <c r="B1145" s="4" t="n">
        <v>200</v>
      </c>
      <c r="C1145" s="4" t="n">
        <v>9</v>
      </c>
      <c r="D1145" s="3" t="inlineStr">
        <is>
          <t>오송읍</t>
        </is>
      </c>
      <c r="E1145" s="3" t="inlineStr">
        <is>
          <t>궁평리</t>
        </is>
      </c>
      <c r="F1145" s="3" t="inlineStr">
        <is>
          <t>농림지역</t>
        </is>
      </c>
      <c r="G1145" s="3" t="inlineStr">
        <is>
          <t>도로</t>
        </is>
      </c>
      <c r="H1145" s="4" t="n">
        <v>2.7225</v>
      </c>
      <c r="I1145" s="5" t="n">
        <v>73.5</v>
      </c>
      <c r="J1145" s="3" t="inlineStr">
        <is>
          <t>오송읍</t>
        </is>
      </c>
    </row>
    <row r="1146">
      <c r="A1146" s="3" t="n">
        <v>2022</v>
      </c>
      <c r="B1146" s="4" t="n">
        <v>28960</v>
      </c>
      <c r="C1146" s="4" t="n">
        <v>1707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516.3674999999999</v>
      </c>
      <c r="I1146" s="5" t="n">
        <v>56.1</v>
      </c>
      <c r="J1146" s="3" t="inlineStr">
        <is>
          <t>강내면</t>
        </is>
      </c>
    </row>
    <row r="1147">
      <c r="A1147" s="3" t="n">
        <v>2022</v>
      </c>
      <c r="B1147" s="4" t="n">
        <v>61059</v>
      </c>
      <c r="C1147" s="4" t="n">
        <v>660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199.65</v>
      </c>
      <c r="I1147" s="5" t="n">
        <v>305.8</v>
      </c>
      <c r="J1147" s="3" t="inlineStr">
        <is>
          <t>오송읍</t>
        </is>
      </c>
    </row>
    <row r="1148">
      <c r="A1148" s="3" t="n">
        <v>2022</v>
      </c>
      <c r="B1148" s="4" t="n">
        <v>1378</v>
      </c>
      <c r="C1148" s="4" t="n">
        <v>69</v>
      </c>
      <c r="D1148" s="3" t="inlineStr">
        <is>
          <t>오송읍</t>
        </is>
      </c>
      <c r="E1148" s="3" t="inlineStr">
        <is>
          <t>궁평리</t>
        </is>
      </c>
      <c r="F1148" s="3" t="inlineStr">
        <is>
          <t>일반상업지역</t>
        </is>
      </c>
      <c r="G1148" s="3" t="inlineStr">
        <is>
          <t>전</t>
        </is>
      </c>
      <c r="H1148" s="4" t="n">
        <v>20.8725</v>
      </c>
      <c r="I1148" s="5" t="n">
        <v>66</v>
      </c>
      <c r="J1148" s="3" t="inlineStr">
        <is>
          <t>오송읍</t>
        </is>
      </c>
    </row>
    <row r="1149">
      <c r="A1149" s="3" t="n">
        <v>2022</v>
      </c>
      <c r="B1149" s="4" t="n">
        <v>65000</v>
      </c>
      <c r="C1149" s="4" t="n">
        <v>650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준주거지역</t>
        </is>
      </c>
      <c r="G1149" s="3" t="inlineStr">
        <is>
          <t>대</t>
        </is>
      </c>
      <c r="H1149" s="4" t="n">
        <v>196.625</v>
      </c>
      <c r="I1149" s="5" t="n">
        <v>330.6</v>
      </c>
      <c r="J1149" s="3" t="inlineStr">
        <is>
          <t>오송읍</t>
        </is>
      </c>
    </row>
    <row r="1150">
      <c r="A1150" s="3" t="n">
        <v>2022</v>
      </c>
      <c r="B1150" s="4" t="n">
        <v>17000</v>
      </c>
      <c r="C1150" s="4" t="n">
        <v>1326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생산관리지역</t>
        </is>
      </c>
      <c r="G1150" s="3" t="inlineStr">
        <is>
          <t>전</t>
        </is>
      </c>
      <c r="H1150" s="4" t="n">
        <v>401.115</v>
      </c>
      <c r="I1150" s="5" t="n">
        <v>42.4</v>
      </c>
      <c r="J1150" s="3" t="inlineStr">
        <is>
          <t>강내면</t>
        </is>
      </c>
    </row>
    <row r="1151">
      <c r="A1151" s="3" t="n">
        <v>2022</v>
      </c>
      <c r="B1151" s="4" t="n">
        <v>20000</v>
      </c>
      <c r="C1151" s="4" t="n">
        <v>530</v>
      </c>
      <c r="D1151" s="3" t="inlineStr">
        <is>
          <t>강내면</t>
        </is>
      </c>
      <c r="E1151" s="3" t="inlineStr">
        <is>
          <t>석화리</t>
        </is>
      </c>
      <c r="F1151" s="3" t="inlineStr">
        <is>
          <t>자연녹지지역</t>
        </is>
      </c>
      <c r="G1151" s="3" t="inlineStr">
        <is>
          <t>대</t>
        </is>
      </c>
      <c r="H1151" s="4" t="n">
        <v>160.325</v>
      </c>
      <c r="I1151" s="5" t="n">
        <v>124.7</v>
      </c>
      <c r="J1151" s="3" t="inlineStr">
        <is>
          <t>강내면</t>
        </is>
      </c>
    </row>
    <row r="1152">
      <c r="A1152" s="3" t="n">
        <v>2023</v>
      </c>
      <c r="B1152" s="4" t="n">
        <v>15372</v>
      </c>
      <c r="C1152" s="4" t="n">
        <v>528</v>
      </c>
      <c r="D1152" s="3" t="inlineStr">
        <is>
          <t>오송읍</t>
        </is>
      </c>
      <c r="E1152" s="3" t="inlineStr">
        <is>
          <t>상정리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159.72</v>
      </c>
      <c r="I1152" s="5" t="n">
        <v>96.2</v>
      </c>
      <c r="J1152" s="3" t="inlineStr">
        <is>
          <t>오송읍</t>
        </is>
      </c>
    </row>
    <row r="1153">
      <c r="A1153" s="3" t="n">
        <v>2023</v>
      </c>
      <c r="B1153" s="4" t="n">
        <v>32000</v>
      </c>
      <c r="C1153" s="4" t="n">
        <v>251.5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76.07875</v>
      </c>
      <c r="I1153" s="5" t="n">
        <v>420.6</v>
      </c>
      <c r="J1153" s="3" t="inlineStr">
        <is>
          <t>오송읍</t>
        </is>
      </c>
    </row>
    <row r="1154">
      <c r="A1154" s="3" t="n">
        <v>2023</v>
      </c>
      <c r="B1154" s="4" t="n">
        <v>35000</v>
      </c>
      <c r="C1154" s="4" t="n">
        <v>330</v>
      </c>
      <c r="D1154" s="3" t="inlineStr">
        <is>
          <t>강내면</t>
        </is>
      </c>
      <c r="E1154" s="3" t="inlineStr">
        <is>
          <t>월탄리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99.825</v>
      </c>
      <c r="I1154" s="5" t="n">
        <v>350.6</v>
      </c>
      <c r="J1154" s="3" t="inlineStr">
        <is>
          <t>강내면</t>
        </is>
      </c>
    </row>
    <row r="1155">
      <c r="A1155" s="3" t="n">
        <v>2023</v>
      </c>
      <c r="B1155" s="4" t="n">
        <v>42000</v>
      </c>
      <c r="C1155" s="4" t="n">
        <v>2529</v>
      </c>
      <c r="D1155" s="3" t="inlineStr">
        <is>
          <t>강내면</t>
        </is>
      </c>
      <c r="E1155" s="3" t="inlineStr">
        <is>
          <t>궁현리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765.0224999999999</v>
      </c>
      <c r="I1155" s="5" t="n">
        <v>54.9</v>
      </c>
      <c r="J1155" s="3" t="inlineStr">
        <is>
          <t>강내면</t>
        </is>
      </c>
    </row>
    <row r="1156">
      <c r="A1156" s="3" t="n">
        <v>2023</v>
      </c>
      <c r="B1156" s="4" t="n">
        <v>22400</v>
      </c>
      <c r="C1156" s="4" t="n">
        <v>655</v>
      </c>
      <c r="D1156" s="3" t="inlineStr">
        <is>
          <t>오송읍</t>
        </is>
      </c>
      <c r="E1156" s="3" t="inlineStr">
        <is>
          <t>연제리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198.1375</v>
      </c>
      <c r="I1156" s="5" t="n">
        <v>113.1</v>
      </c>
      <c r="J1156" s="3" t="inlineStr">
        <is>
          <t>오송읍</t>
        </is>
      </c>
    </row>
    <row r="1157">
      <c r="A1157" s="3" t="n">
        <v>2023</v>
      </c>
      <c r="B1157" s="4" t="n">
        <v>4500</v>
      </c>
      <c r="C1157" s="4" t="n">
        <v>150</v>
      </c>
      <c r="D1157" s="3" t="inlineStr">
        <is>
          <t>오송읍</t>
        </is>
      </c>
      <c r="E1157" s="3" t="inlineStr">
        <is>
          <t>정중리</t>
        </is>
      </c>
      <c r="F1157" s="3" t="inlineStr">
        <is>
          <t>보전관리지역</t>
        </is>
      </c>
      <c r="G1157" s="3" t="inlineStr">
        <is>
          <t>임야</t>
        </is>
      </c>
      <c r="H1157" s="4" t="n">
        <v>45.375</v>
      </c>
      <c r="I1157" s="5" t="n">
        <v>99.2</v>
      </c>
      <c r="J1157" s="3" t="inlineStr">
        <is>
          <t>오송읍</t>
        </is>
      </c>
    </row>
    <row r="1158">
      <c r="A1158" s="3" t="n">
        <v>2023</v>
      </c>
      <c r="B1158" s="4" t="n">
        <v>432</v>
      </c>
      <c r="C1158" s="4" t="n">
        <v>36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10.89</v>
      </c>
      <c r="I1158" s="5" t="n">
        <v>39.7</v>
      </c>
      <c r="J1158" s="3" t="inlineStr">
        <is>
          <t>강내면</t>
        </is>
      </c>
    </row>
    <row r="1159">
      <c r="A1159" s="3" t="n">
        <v>2023</v>
      </c>
      <c r="B1159" s="4" t="n">
        <v>26884</v>
      </c>
      <c r="C1159" s="4" t="n">
        <v>1891</v>
      </c>
      <c r="D1159" s="3" t="inlineStr">
        <is>
          <t>강내면</t>
        </is>
      </c>
      <c r="E1159" s="3" t="inlineStr">
        <is>
          <t>다락리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572.0275</v>
      </c>
      <c r="I1159" s="5" t="n">
        <v>47</v>
      </c>
      <c r="J1159" s="3" t="inlineStr">
        <is>
          <t>강내면</t>
        </is>
      </c>
    </row>
    <row r="1160">
      <c r="A1160" s="3" t="n">
        <v>2023</v>
      </c>
      <c r="B1160" s="4" t="n">
        <v>480</v>
      </c>
      <c r="C1160" s="4" t="n">
        <v>40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답</t>
        </is>
      </c>
      <c r="H1160" s="4" t="n">
        <v>12.1</v>
      </c>
      <c r="I1160" s="5" t="n">
        <v>39.7</v>
      </c>
      <c r="J1160" s="3" t="inlineStr">
        <is>
          <t>강내면</t>
        </is>
      </c>
    </row>
    <row r="1161">
      <c r="A1161" s="3" t="n">
        <v>2023</v>
      </c>
      <c r="B1161" s="4" t="n">
        <v>312</v>
      </c>
      <c r="C1161" s="4" t="n">
        <v>26</v>
      </c>
      <c r="D1161" s="3" t="inlineStr">
        <is>
          <t>강내면</t>
        </is>
      </c>
      <c r="E1161" s="3" t="inlineStr">
        <is>
          <t>연정리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7.865</v>
      </c>
      <c r="I1161" s="5" t="n">
        <v>39.7</v>
      </c>
      <c r="J1161" s="3" t="inlineStr">
        <is>
          <t>강내면</t>
        </is>
      </c>
    </row>
    <row r="1162">
      <c r="A1162" s="3" t="n">
        <v>2023</v>
      </c>
      <c r="B1162" s="4" t="n">
        <v>158</v>
      </c>
      <c r="C1162" s="4" t="n">
        <v>2.97</v>
      </c>
      <c r="D1162" s="3" t="inlineStr">
        <is>
          <t>오송읍</t>
        </is>
      </c>
      <c r="E1162" s="3" t="inlineStr">
        <is>
          <t>쌍청리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0.898425</v>
      </c>
      <c r="I1162" s="5" t="n">
        <v>175.9</v>
      </c>
      <c r="J1162" s="3" t="inlineStr">
        <is>
          <t>오송읍</t>
        </is>
      </c>
    </row>
    <row r="1163">
      <c r="A1163" s="3" t="n">
        <v>2023</v>
      </c>
      <c r="B1163" s="4" t="n">
        <v>3900</v>
      </c>
      <c r="C1163" s="4" t="n">
        <v>179</v>
      </c>
      <c r="D1163" s="3" t="inlineStr">
        <is>
          <t>오송읍</t>
        </is>
      </c>
      <c r="E1163" s="3" t="inlineStr">
        <is>
          <t>호계리</t>
        </is>
      </c>
      <c r="F1163" s="3" t="inlineStr">
        <is>
          <t>계획관리지역</t>
        </is>
      </c>
      <c r="G1163" s="3" t="inlineStr">
        <is>
          <t>제방</t>
        </is>
      </c>
      <c r="H1163" s="4" t="n">
        <v>54.1475</v>
      </c>
      <c r="I1163" s="5" t="n">
        <v>72</v>
      </c>
      <c r="J1163" s="3" t="inlineStr">
        <is>
          <t>오송읍</t>
        </is>
      </c>
    </row>
    <row r="1164">
      <c r="A1164" s="3" t="n">
        <v>2023</v>
      </c>
      <c r="B1164" s="4" t="n">
        <v>6100</v>
      </c>
      <c r="C1164" s="4" t="n">
        <v>281</v>
      </c>
      <c r="D1164" s="3" t="inlineStr">
        <is>
          <t>오송읍</t>
        </is>
      </c>
      <c r="E1164" s="3" t="inlineStr">
        <is>
          <t>호계리</t>
        </is>
      </c>
      <c r="F1164" s="3" t="inlineStr">
        <is>
          <t>계획관리지역</t>
        </is>
      </c>
      <c r="G1164" s="3" t="inlineStr">
        <is>
          <t>하천</t>
        </is>
      </c>
      <c r="H1164" s="4" t="n">
        <v>85.0025</v>
      </c>
      <c r="I1164" s="5" t="n">
        <v>71.8</v>
      </c>
      <c r="J1164" s="3" t="inlineStr">
        <is>
          <t>오송읍</t>
        </is>
      </c>
    </row>
    <row r="1165">
      <c r="A1165" s="3" t="n">
        <v>2023</v>
      </c>
      <c r="B1165" s="4" t="n">
        <v>27500</v>
      </c>
      <c r="C1165" s="4" t="n">
        <v>1819</v>
      </c>
      <c r="D1165" s="3" t="inlineStr">
        <is>
          <t>강내면</t>
        </is>
      </c>
      <c r="E1165" s="3" t="inlineStr">
        <is>
          <t>당곡리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550.2474999999999</v>
      </c>
      <c r="I1165" s="5" t="n">
        <v>50</v>
      </c>
      <c r="J1165" s="3" t="inlineStr">
        <is>
          <t>강내면</t>
        </is>
      </c>
    </row>
    <row r="1166">
      <c r="A1166" s="3" t="n">
        <v>2023</v>
      </c>
      <c r="B1166" s="4" t="n">
        <v>12500</v>
      </c>
      <c r="C1166" s="4" t="n">
        <v>1357.2</v>
      </c>
      <c r="D1166" s="3" t="inlineStr">
        <is>
          <t>강내면</t>
        </is>
      </c>
      <c r="E1166" s="3" t="inlineStr">
        <is>
          <t>산단리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410.553</v>
      </c>
      <c r="I1166" s="5" t="n">
        <v>30.4</v>
      </c>
      <c r="J1166" s="3" t="inlineStr">
        <is>
          <t>강내면</t>
        </is>
      </c>
    </row>
    <row r="1167">
      <c r="A1167" s="3" t="n">
        <v>2023</v>
      </c>
      <c r="B1167" s="4" t="n">
        <v>30000</v>
      </c>
      <c r="C1167" s="4" t="n">
        <v>1928</v>
      </c>
      <c r="D1167" s="3" t="inlineStr">
        <is>
          <t>강내면</t>
        </is>
      </c>
      <c r="E1167" s="3" t="inlineStr">
        <is>
          <t>다락리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583.22</v>
      </c>
      <c r="I1167" s="5" t="n">
        <v>51.4</v>
      </c>
      <c r="J1167" s="3" t="inlineStr">
        <is>
          <t>강내면</t>
        </is>
      </c>
    </row>
    <row r="1168">
      <c r="A1168" s="3" t="n">
        <v>2023</v>
      </c>
      <c r="B1168" s="4" t="n">
        <v>1900</v>
      </c>
      <c r="C1168" s="4" t="n">
        <v>66</v>
      </c>
      <c r="D1168" s="3" t="inlineStr">
        <is>
          <t>강내면</t>
        </is>
      </c>
      <c r="E1168" s="3" t="inlineStr">
        <is>
          <t>사인리</t>
        </is>
      </c>
      <c r="F1168" s="3" t="inlineStr">
        <is>
          <t>자연녹지지역</t>
        </is>
      </c>
      <c r="G1168" s="3" t="inlineStr">
        <is>
          <t>도로</t>
        </is>
      </c>
      <c r="H1168" s="4" t="n">
        <v>19.965</v>
      </c>
      <c r="I1168" s="5" t="n">
        <v>95.2</v>
      </c>
      <c r="J1168" s="3" t="inlineStr">
        <is>
          <t>강내면</t>
        </is>
      </c>
    </row>
    <row r="1169">
      <c r="A1169" s="3" t="n">
        <v>2023</v>
      </c>
      <c r="B1169" s="4" t="n">
        <v>25762</v>
      </c>
      <c r="C1169" s="4" t="n">
        <v>501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대</t>
        </is>
      </c>
      <c r="H1169" s="4" t="n">
        <v>151.5525</v>
      </c>
      <c r="I1169" s="5" t="n">
        <v>170</v>
      </c>
      <c r="J1169" s="3" t="inlineStr">
        <is>
          <t>오송읍</t>
        </is>
      </c>
    </row>
    <row r="1170">
      <c r="A1170" s="3" t="n">
        <v>2023</v>
      </c>
      <c r="B1170" s="4" t="n">
        <v>10497</v>
      </c>
      <c r="C1170" s="4" t="n">
        <v>285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86.21249999999999</v>
      </c>
      <c r="I1170" s="5" t="n">
        <v>121.8</v>
      </c>
      <c r="J1170" s="3" t="inlineStr">
        <is>
          <t>강내면</t>
        </is>
      </c>
    </row>
    <row r="1171">
      <c r="A1171" s="3" t="n">
        <v>2023</v>
      </c>
      <c r="B1171" s="4" t="n">
        <v>5303</v>
      </c>
      <c r="C1171" s="4" t="n">
        <v>144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43.56</v>
      </c>
      <c r="I1171" s="5" t="n">
        <v>121.7</v>
      </c>
      <c r="J1171" s="3" t="inlineStr">
        <is>
          <t>강내면</t>
        </is>
      </c>
    </row>
    <row r="1172">
      <c r="A1172" s="3" t="n">
        <v>2023</v>
      </c>
      <c r="B1172" s="4" t="n">
        <v>37273</v>
      </c>
      <c r="C1172" s="4" t="n">
        <v>615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186.0375</v>
      </c>
      <c r="I1172" s="5" t="n">
        <v>200.4</v>
      </c>
      <c r="J1172" s="3" t="inlineStr">
        <is>
          <t>오송읍</t>
        </is>
      </c>
    </row>
    <row r="1173">
      <c r="A1173" s="3" t="n">
        <v>2023</v>
      </c>
      <c r="B1173" s="4" t="n">
        <v>2727</v>
      </c>
      <c r="C1173" s="4" t="n">
        <v>45</v>
      </c>
      <c r="D1173" s="3" t="inlineStr">
        <is>
          <t>오송읍</t>
        </is>
      </c>
      <c r="E1173" s="3" t="inlineStr">
        <is>
          <t>궁평리</t>
        </is>
      </c>
      <c r="F1173" s="3" t="inlineStr">
        <is>
          <t>농림지역</t>
        </is>
      </c>
      <c r="G1173" s="3" t="inlineStr">
        <is>
          <t>답</t>
        </is>
      </c>
      <c r="H1173" s="4" t="n">
        <v>13.6125</v>
      </c>
      <c r="I1173" s="5" t="n">
        <v>200.3</v>
      </c>
      <c r="J1173" s="3" t="inlineStr">
        <is>
          <t>오송읍</t>
        </is>
      </c>
    </row>
    <row r="1174">
      <c r="A1174" s="3" t="n">
        <v>2023</v>
      </c>
      <c r="B1174" s="4" t="n">
        <v>3000</v>
      </c>
      <c r="C1174" s="4" t="n">
        <v>17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대</t>
        </is>
      </c>
      <c r="H1174" s="4" t="n">
        <v>5.1425</v>
      </c>
      <c r="I1174" s="5" t="n">
        <v>583.4</v>
      </c>
      <c r="J1174" s="3" t="inlineStr">
        <is>
          <t>오송읍</t>
        </is>
      </c>
    </row>
    <row r="1175">
      <c r="A1175" s="3" t="n">
        <v>2023</v>
      </c>
      <c r="B1175" s="4" t="n">
        <v>22000</v>
      </c>
      <c r="C1175" s="4" t="n">
        <v>588</v>
      </c>
      <c r="D1175" s="3" t="inlineStr">
        <is>
          <t>강내면</t>
        </is>
      </c>
      <c r="E1175" s="3" t="inlineStr">
        <is>
          <t>저산리</t>
        </is>
      </c>
      <c r="F1175" s="3" t="inlineStr">
        <is>
          <t>보전관리지역</t>
        </is>
      </c>
      <c r="G1175" s="3" t="inlineStr">
        <is>
          <t>임야</t>
        </is>
      </c>
      <c r="H1175" s="4" t="n">
        <v>177.87</v>
      </c>
      <c r="I1175" s="5" t="n">
        <v>123.7</v>
      </c>
      <c r="J1175" s="3" t="inlineStr">
        <is>
          <t>강내면</t>
        </is>
      </c>
    </row>
    <row r="1176">
      <c r="A1176" s="3" t="n">
        <v>2023</v>
      </c>
      <c r="B1176" s="4" t="n">
        <v>26000</v>
      </c>
      <c r="C1176" s="4" t="n">
        <v>307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일반상업지역</t>
        </is>
      </c>
      <c r="G1176" s="3" t="inlineStr">
        <is>
          <t>대</t>
        </is>
      </c>
      <c r="H1176" s="4" t="n">
        <v>92.86749999999999</v>
      </c>
      <c r="I1176" s="5" t="n">
        <v>280</v>
      </c>
      <c r="J1176" s="3" t="inlineStr">
        <is>
          <t>오송읍</t>
        </is>
      </c>
    </row>
    <row r="1177">
      <c r="A1177" s="3" t="n">
        <v>2024</v>
      </c>
      <c r="B1177" s="4" t="n">
        <v>1266</v>
      </c>
      <c r="C1177" s="4" t="n">
        <v>16</v>
      </c>
      <c r="D1177" s="3" t="inlineStr">
        <is>
          <t>오송읍</t>
        </is>
      </c>
      <c r="E1177" s="3" t="inlineStr">
        <is>
          <t>오송리</t>
        </is>
      </c>
      <c r="F1177" s="3" t="inlineStr">
        <is>
          <t>계획관리지역</t>
        </is>
      </c>
      <c r="G1177" s="3" t="inlineStr">
        <is>
          <t>잡종지</t>
        </is>
      </c>
      <c r="H1177" s="4" t="n">
        <v>4.84</v>
      </c>
      <c r="I1177" s="5" t="n">
        <v>261.6</v>
      </c>
      <c r="J1177" s="3" t="inlineStr">
        <is>
          <t>오송읍</t>
        </is>
      </c>
    </row>
    <row r="1178">
      <c r="A1178" s="3" t="n">
        <v>2024</v>
      </c>
      <c r="B1178" s="4" t="n">
        <v>23150</v>
      </c>
      <c r="C1178" s="4" t="n">
        <v>439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창고용지</t>
        </is>
      </c>
      <c r="H1178" s="4" t="n">
        <v>132.7975</v>
      </c>
      <c r="I1178" s="5" t="n">
        <v>174.3</v>
      </c>
      <c r="J1178" s="3" t="inlineStr">
        <is>
          <t>오송읍</t>
        </is>
      </c>
    </row>
    <row r="1179">
      <c r="A1179" s="3" t="n">
        <v>2024</v>
      </c>
      <c r="B1179" s="4" t="n">
        <v>22250</v>
      </c>
      <c r="C1179" s="4" t="n">
        <v>439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창고용지</t>
        </is>
      </c>
      <c r="H1179" s="4" t="n">
        <v>132.7975</v>
      </c>
      <c r="I1179" s="5" t="n">
        <v>167.5</v>
      </c>
      <c r="J1179" s="3" t="inlineStr">
        <is>
          <t>오송읍</t>
        </is>
      </c>
    </row>
    <row r="1180">
      <c r="A1180" s="3" t="n">
        <v>2024</v>
      </c>
      <c r="B1180" s="4" t="n">
        <v>4969</v>
      </c>
      <c r="C1180" s="4" t="n">
        <v>251</v>
      </c>
      <c r="D1180" s="3" t="inlineStr">
        <is>
          <t>강내면</t>
        </is>
      </c>
      <c r="E1180" s="3" t="inlineStr">
        <is>
          <t>당곡리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75.92749999999999</v>
      </c>
      <c r="I1180" s="5" t="n">
        <v>65.40000000000001</v>
      </c>
      <c r="J1180" s="3" t="inlineStr">
        <is>
          <t>강내면</t>
        </is>
      </c>
    </row>
    <row r="1181">
      <c r="A1181" s="3" t="n">
        <v>2024</v>
      </c>
      <c r="B1181" s="4" t="n">
        <v>11363</v>
      </c>
      <c r="C1181" s="4" t="n">
        <v>574</v>
      </c>
      <c r="D1181" s="3" t="inlineStr">
        <is>
          <t>강내면</t>
        </is>
      </c>
      <c r="E1181" s="3" t="inlineStr">
        <is>
          <t>당곡리</t>
        </is>
      </c>
      <c r="F1181" s="3" t="inlineStr">
        <is>
          <t>계획관리지역</t>
        </is>
      </c>
      <c r="G1181" s="3" t="inlineStr">
        <is>
          <t>전</t>
        </is>
      </c>
      <c r="H1181" s="4" t="n">
        <v>173.635</v>
      </c>
      <c r="I1181" s="5" t="n">
        <v>65.40000000000001</v>
      </c>
      <c r="J1181" s="3" t="inlineStr">
        <is>
          <t>강내면</t>
        </is>
      </c>
    </row>
    <row r="1182">
      <c r="A1182" s="3" t="n">
        <v>2024</v>
      </c>
      <c r="B1182" s="4" t="n">
        <v>5800</v>
      </c>
      <c r="C1182" s="4" t="n">
        <v>293</v>
      </c>
      <c r="D1182" s="3" t="inlineStr">
        <is>
          <t>강내면</t>
        </is>
      </c>
      <c r="E1182" s="3" t="inlineStr">
        <is>
          <t>당곡리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88.63249999999999</v>
      </c>
      <c r="I1182" s="5" t="n">
        <v>65.40000000000001</v>
      </c>
      <c r="J1182" s="3" t="inlineStr">
        <is>
          <t>강내면</t>
        </is>
      </c>
    </row>
    <row r="1183">
      <c r="A1183" s="3" t="n">
        <v>2024</v>
      </c>
      <c r="B1183" s="4" t="n">
        <v>145000</v>
      </c>
      <c r="C1183" s="4" t="n">
        <v>456.3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준주거지역</t>
        </is>
      </c>
      <c r="G1183" s="3" t="inlineStr">
        <is>
          <t>대</t>
        </is>
      </c>
      <c r="H1183" s="4" t="n">
        <v>138.03075</v>
      </c>
      <c r="I1183" s="5" t="n">
        <v>1050.5</v>
      </c>
      <c r="J1183" s="3" t="inlineStr">
        <is>
          <t>오송읍</t>
        </is>
      </c>
    </row>
    <row r="1184">
      <c r="A1184" s="3" t="n">
        <v>2024</v>
      </c>
      <c r="B1184" s="4" t="n">
        <v>19288</v>
      </c>
      <c r="C1184" s="4" t="n">
        <v>419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답</t>
        </is>
      </c>
      <c r="H1184" s="4" t="n">
        <v>126.7475</v>
      </c>
      <c r="I1184" s="5" t="n">
        <v>152.2</v>
      </c>
      <c r="J1184" s="3" t="inlineStr">
        <is>
          <t>오송읍</t>
        </is>
      </c>
    </row>
    <row r="1185">
      <c r="A1185" s="3" t="n">
        <v>2024</v>
      </c>
      <c r="B1185" s="4" t="n">
        <v>19000</v>
      </c>
      <c r="C1185" s="4" t="n">
        <v>595</v>
      </c>
      <c r="D1185" s="3" t="inlineStr">
        <is>
          <t>강내면</t>
        </is>
      </c>
      <c r="E1185" s="3" t="inlineStr">
        <is>
          <t>석화리</t>
        </is>
      </c>
      <c r="F1185" s="3" t="inlineStr">
        <is>
          <t>자연녹지지역</t>
        </is>
      </c>
      <c r="G1185" s="3" t="inlineStr">
        <is>
          <t>전</t>
        </is>
      </c>
      <c r="H1185" s="4" t="n">
        <v>179.9875</v>
      </c>
      <c r="I1185" s="5" t="n">
        <v>105.6</v>
      </c>
      <c r="J1185" s="3" t="inlineStr">
        <is>
          <t>강내면</t>
        </is>
      </c>
    </row>
    <row r="1186">
      <c r="A1186" s="3" t="n">
        <v>2024</v>
      </c>
      <c r="B1186" s="4" t="n">
        <v>10872</v>
      </c>
      <c r="C1186" s="4" t="n">
        <v>1894</v>
      </c>
      <c r="D1186" s="3" t="inlineStr">
        <is>
          <t>오송읍</t>
        </is>
      </c>
      <c r="E1186" s="3" t="inlineStr">
        <is>
          <t>쌍청리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572.9349999999999</v>
      </c>
      <c r="I1186" s="5" t="n">
        <v>19</v>
      </c>
      <c r="J1186" s="3" t="inlineStr">
        <is>
          <t>오송읍</t>
        </is>
      </c>
    </row>
    <row r="1187">
      <c r="A1187" s="3" t="n">
        <v>2024</v>
      </c>
      <c r="B1187" s="4" t="n">
        <v>4078</v>
      </c>
      <c r="C1187" s="4" t="n">
        <v>711</v>
      </c>
      <c r="D1187" s="3" t="inlineStr">
        <is>
          <t>오송읍</t>
        </is>
      </c>
      <c r="E1187" s="3" t="inlineStr">
        <is>
          <t>쌍청리</t>
        </is>
      </c>
      <c r="F1187" s="3" t="inlineStr">
        <is>
          <t>농림지역</t>
        </is>
      </c>
      <c r="G1187" s="3" t="inlineStr">
        <is>
          <t>전</t>
        </is>
      </c>
      <c r="H1187" s="4" t="n">
        <v>215.0775</v>
      </c>
      <c r="I1187" s="5" t="n">
        <v>19</v>
      </c>
      <c r="J1187" s="3" t="inlineStr">
        <is>
          <t>오송읍</t>
        </is>
      </c>
    </row>
    <row r="1188">
      <c r="A1188" s="3" t="n">
        <v>2024</v>
      </c>
      <c r="B1188" s="4" t="n">
        <v>763</v>
      </c>
      <c r="C1188" s="4" t="n">
        <v>9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제2종일반주거지역</t>
        </is>
      </c>
      <c r="G1188" s="3" t="inlineStr">
        <is>
          <t>전</t>
        </is>
      </c>
      <c r="H1188" s="4" t="n">
        <v>2.7225</v>
      </c>
      <c r="I1188" s="5" t="n">
        <v>280.3</v>
      </c>
      <c r="J1188" s="3" t="inlineStr">
        <is>
          <t>강내면</t>
        </is>
      </c>
    </row>
    <row r="1189">
      <c r="A1189" s="3" t="n">
        <v>2024</v>
      </c>
      <c r="B1189" s="4" t="n">
        <v>6270</v>
      </c>
      <c r="C1189" s="4" t="n">
        <v>75</v>
      </c>
      <c r="D1189" s="3" t="inlineStr">
        <is>
          <t>강내면</t>
        </is>
      </c>
      <c r="E1189" s="3" t="inlineStr">
        <is>
          <t>월곡리</t>
        </is>
      </c>
      <c r="F1189" s="3" t="inlineStr">
        <is>
          <t>제2종일반주거지역</t>
        </is>
      </c>
      <c r="G1189" s="3" t="inlineStr">
        <is>
          <t>임야</t>
        </is>
      </c>
      <c r="H1189" s="4" t="n">
        <v>22.6875</v>
      </c>
      <c r="I1189" s="5" t="n">
        <v>276.4</v>
      </c>
      <c r="J1189" s="3" t="inlineStr">
        <is>
          <t>강내면</t>
        </is>
      </c>
    </row>
    <row r="1190">
      <c r="A1190" s="3" t="n">
        <v>2024</v>
      </c>
      <c r="B1190" s="4" t="n">
        <v>1081</v>
      </c>
      <c r="C1190" s="4" t="n">
        <v>14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4.234999999999999</v>
      </c>
      <c r="I1190" s="5" t="n">
        <v>255.3</v>
      </c>
      <c r="J1190" s="3" t="inlineStr">
        <is>
          <t>강내면</t>
        </is>
      </c>
    </row>
    <row r="1191">
      <c r="A1191" s="3" t="n">
        <v>2024</v>
      </c>
      <c r="B1191" s="4" t="n">
        <v>2394</v>
      </c>
      <c r="C1191" s="4" t="n">
        <v>32</v>
      </c>
      <c r="D1191" s="3" t="inlineStr">
        <is>
          <t>강내면</t>
        </is>
      </c>
      <c r="E1191" s="3" t="inlineStr">
        <is>
          <t>월곡리</t>
        </is>
      </c>
      <c r="F1191" s="3" t="inlineStr">
        <is>
          <t>제2종일반주거지역</t>
        </is>
      </c>
      <c r="G1191" s="3" t="inlineStr">
        <is>
          <t>답</t>
        </is>
      </c>
      <c r="H1191" s="4" t="n">
        <v>9.68</v>
      </c>
      <c r="I1191" s="5" t="n">
        <v>247.3</v>
      </c>
      <c r="J1191" s="3" t="inlineStr">
        <is>
          <t>강내면</t>
        </is>
      </c>
    </row>
    <row r="1192">
      <c r="A1192" s="3" t="n">
        <v>2024</v>
      </c>
      <c r="B1192" s="4" t="n">
        <v>1047</v>
      </c>
      <c r="C1192" s="4" t="n">
        <v>14</v>
      </c>
      <c r="D1192" s="3" t="inlineStr">
        <is>
          <t>강내면</t>
        </is>
      </c>
      <c r="E1192" s="3" t="inlineStr">
        <is>
          <t>월곡리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4.234999999999999</v>
      </c>
      <c r="I1192" s="5" t="n">
        <v>247.2</v>
      </c>
      <c r="J1192" s="3" t="inlineStr">
        <is>
          <t>강내면</t>
        </is>
      </c>
    </row>
    <row r="1193">
      <c r="A1193" s="3" t="n">
        <v>2024</v>
      </c>
      <c r="B1193" s="4" t="n">
        <v>449</v>
      </c>
      <c r="C1193" s="4" t="n">
        <v>6</v>
      </c>
      <c r="D1193" s="3" t="inlineStr">
        <is>
          <t>강내면</t>
        </is>
      </c>
      <c r="E1193" s="3" t="inlineStr">
        <is>
          <t>월곡리</t>
        </is>
      </c>
      <c r="F1193" s="3" t="inlineStr">
        <is>
          <t>제2종일반주거지역</t>
        </is>
      </c>
      <c r="G1193" s="3" t="inlineStr">
        <is>
          <t>답</t>
        </is>
      </c>
      <c r="H1193" s="4" t="n">
        <v>1.815</v>
      </c>
      <c r="I1193" s="5" t="n">
        <v>247.4</v>
      </c>
      <c r="J1193" s="3" t="inlineStr">
        <is>
          <t>강내면</t>
        </is>
      </c>
    </row>
    <row r="1194">
      <c r="A1194" s="3" t="n">
        <v>2024</v>
      </c>
      <c r="B1194" s="4" t="n">
        <v>2917</v>
      </c>
      <c r="C1194" s="4" t="n">
        <v>39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제2종일반주거지역</t>
        </is>
      </c>
      <c r="G1194" s="3" t="inlineStr">
        <is>
          <t>답</t>
        </is>
      </c>
      <c r="H1194" s="4" t="n">
        <v>11.7975</v>
      </c>
      <c r="I1194" s="5" t="n">
        <v>247.3</v>
      </c>
      <c r="J1194" s="3" t="inlineStr">
        <is>
          <t>강내면</t>
        </is>
      </c>
    </row>
    <row r="1195">
      <c r="A1195" s="3" t="n">
        <v>2024</v>
      </c>
      <c r="B1195" s="4" t="n">
        <v>37600</v>
      </c>
      <c r="C1195" s="4" t="n">
        <v>1907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576.8674999999999</v>
      </c>
      <c r="I1195" s="5" t="n">
        <v>65.2</v>
      </c>
      <c r="J1195" s="3" t="inlineStr">
        <is>
          <t>오송읍</t>
        </is>
      </c>
    </row>
    <row r="1196">
      <c r="A1196" s="3" t="n">
        <v>2024</v>
      </c>
      <c r="B1196" s="4" t="n">
        <v>12000</v>
      </c>
      <c r="C1196" s="4" t="n">
        <v>435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131.5875</v>
      </c>
      <c r="I1196" s="5" t="n">
        <v>91.2</v>
      </c>
      <c r="J1196" s="3" t="inlineStr">
        <is>
          <t>강내면</t>
        </is>
      </c>
    </row>
    <row r="1197">
      <c r="A1197" s="3" t="n">
        <v>2024</v>
      </c>
      <c r="B1197" s="4" t="n">
        <v>12480</v>
      </c>
      <c r="C1197" s="4" t="n">
        <v>347</v>
      </c>
      <c r="D1197" s="3" t="inlineStr">
        <is>
          <t>강내면</t>
        </is>
      </c>
      <c r="E1197" s="3" t="inlineStr">
        <is>
          <t>태성리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104.9675</v>
      </c>
      <c r="I1197" s="5" t="n">
        <v>118.9</v>
      </c>
      <c r="J1197" s="3" t="inlineStr">
        <is>
          <t>강내면</t>
        </is>
      </c>
    </row>
    <row r="1198">
      <c r="A1198" s="3" t="n">
        <v>2023</v>
      </c>
      <c r="B1198" s="4" t="n">
        <v>47900</v>
      </c>
      <c r="C1198" s="4" t="n">
        <v>620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대</t>
        </is>
      </c>
      <c r="H1198" s="4" t="n">
        <v>187.55</v>
      </c>
      <c r="I1198" s="5" t="n">
        <v>255.4</v>
      </c>
      <c r="J1198" s="3" t="inlineStr">
        <is>
          <t>오송읍</t>
        </is>
      </c>
    </row>
    <row r="1199">
      <c r="A1199" s="3" t="n">
        <v>2023</v>
      </c>
      <c r="B1199" s="4" t="n">
        <v>55000</v>
      </c>
      <c r="C1199" s="4" t="n">
        <v>1945</v>
      </c>
      <c r="D1199" s="3" t="inlineStr">
        <is>
          <t>강내면</t>
        </is>
      </c>
      <c r="E1199" s="3" t="inlineStr">
        <is>
          <t>저산리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588.3625</v>
      </c>
      <c r="I1199" s="5" t="n">
        <v>93.5</v>
      </c>
      <c r="J1199" s="3" t="inlineStr">
        <is>
          <t>강내면</t>
        </is>
      </c>
    </row>
    <row r="1200">
      <c r="A1200" s="3" t="n">
        <v>2024</v>
      </c>
      <c r="B1200" s="4" t="n">
        <v>57598</v>
      </c>
      <c r="C1200" s="4" t="n">
        <v>267.7</v>
      </c>
      <c r="D1200" s="3" t="inlineStr">
        <is>
          <t>오송읍</t>
        </is>
      </c>
      <c r="E1200" s="3" t="inlineStr">
        <is>
          <t>봉산리</t>
        </is>
      </c>
      <c r="F1200" s="3" t="inlineStr">
        <is>
          <t>제1종일반주거지역</t>
        </is>
      </c>
      <c r="G1200" s="3" t="inlineStr">
        <is>
          <t>대</t>
        </is>
      </c>
      <c r="H1200" s="4" t="n">
        <v>80.97924999999999</v>
      </c>
      <c r="I1200" s="5" t="n">
        <v>711.3</v>
      </c>
      <c r="J1200" s="3" t="inlineStr">
        <is>
          <t>오송읍</t>
        </is>
      </c>
    </row>
    <row r="1201">
      <c r="A1201" s="3" t="n">
        <v>2024</v>
      </c>
      <c r="B1201" s="4" t="n">
        <v>43000</v>
      </c>
      <c r="C1201" s="4" t="n">
        <v>272.7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제1종일반주거지역</t>
        </is>
      </c>
      <c r="G1201" s="3" t="inlineStr">
        <is>
          <t>대</t>
        </is>
      </c>
      <c r="H1201" s="4" t="n">
        <v>82.49175</v>
      </c>
      <c r="I1201" s="5" t="n">
        <v>521.3</v>
      </c>
      <c r="J1201" s="3" t="inlineStr">
        <is>
          <t>오송읍</t>
        </is>
      </c>
    </row>
    <row r="1202">
      <c r="A1202" s="3" t="n">
        <v>2024</v>
      </c>
      <c r="B1202" s="4" t="n">
        <v>26342</v>
      </c>
      <c r="C1202" s="4" t="n">
        <v>2802.3</v>
      </c>
      <c r="D1202" s="3" t="inlineStr">
        <is>
          <t>강내면</t>
        </is>
      </c>
      <c r="E1202" s="3" t="inlineStr">
        <is>
          <t>월탄리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847.69575</v>
      </c>
      <c r="I1202" s="5" t="n">
        <v>31.1</v>
      </c>
      <c r="J1202" s="3" t="inlineStr">
        <is>
          <t>강내면</t>
        </is>
      </c>
    </row>
    <row r="1203">
      <c r="A1203" s="3" t="n">
        <v>2024</v>
      </c>
      <c r="B1203" s="4" t="n">
        <v>69000</v>
      </c>
      <c r="C1203" s="4" t="n">
        <v>1548</v>
      </c>
      <c r="D1203" s="3" t="inlineStr">
        <is>
          <t>강내면</t>
        </is>
      </c>
      <c r="E1203" s="3" t="inlineStr">
        <is>
          <t>연정리</t>
        </is>
      </c>
      <c r="F1203" s="3" t="inlineStr">
        <is>
          <t>계획관리지역</t>
        </is>
      </c>
      <c r="G1203" s="3" t="inlineStr">
        <is>
          <t>임야</t>
        </is>
      </c>
      <c r="H1203" s="4" t="n">
        <v>468.27</v>
      </c>
      <c r="I1203" s="5" t="n">
        <v>147.4</v>
      </c>
      <c r="J1203" s="3" t="inlineStr">
        <is>
          <t>강내면</t>
        </is>
      </c>
    </row>
    <row r="1204">
      <c r="A1204" s="3" t="n">
        <v>2024</v>
      </c>
      <c r="B1204" s="4" t="n">
        <v>6000</v>
      </c>
      <c r="C1204" s="4" t="n">
        <v>449.3</v>
      </c>
      <c r="D1204" s="3" t="inlineStr">
        <is>
          <t>강내면</t>
        </is>
      </c>
      <c r="E1204" s="3" t="inlineStr">
        <is>
          <t>사곡리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135.91325</v>
      </c>
      <c r="I1204" s="5" t="n">
        <v>44.1</v>
      </c>
      <c r="J1204" s="3" t="inlineStr">
        <is>
          <t>강내면</t>
        </is>
      </c>
    </row>
    <row r="1205">
      <c r="A1205" s="3" t="n">
        <v>2024</v>
      </c>
      <c r="B1205" s="4" t="n">
        <v>42121</v>
      </c>
      <c r="C1205" s="4" t="n">
        <v>2162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654.005</v>
      </c>
      <c r="I1205" s="5" t="n">
        <v>64.40000000000001</v>
      </c>
      <c r="J1205" s="3" t="inlineStr">
        <is>
          <t>오송읍</t>
        </is>
      </c>
    </row>
    <row r="1206">
      <c r="A1206" s="3" t="n">
        <v>2024</v>
      </c>
      <c r="B1206" s="4" t="n">
        <v>88879</v>
      </c>
      <c r="C1206" s="4" t="n">
        <v>4562</v>
      </c>
      <c r="D1206" s="3" t="inlineStr">
        <is>
          <t>오송읍</t>
        </is>
      </c>
      <c r="E1206" s="3" t="inlineStr">
        <is>
          <t>서평리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1380.005</v>
      </c>
      <c r="I1206" s="5" t="n">
        <v>64.40000000000001</v>
      </c>
      <c r="J1206" s="3" t="inlineStr">
        <is>
          <t>오송읍</t>
        </is>
      </c>
    </row>
    <row r="1207">
      <c r="A1207" s="3" t="n">
        <v>2024</v>
      </c>
      <c r="B1207" s="4" t="n">
        <v>28000</v>
      </c>
      <c r="C1207" s="4" t="n">
        <v>414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125.235</v>
      </c>
      <c r="I1207" s="5" t="n">
        <v>223.6</v>
      </c>
      <c r="J1207" s="3" t="inlineStr">
        <is>
          <t>강내면</t>
        </is>
      </c>
    </row>
    <row r="1208">
      <c r="A1208" s="3" t="n">
        <v>2024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2024</v>
      </c>
      <c r="B1209" s="4" t="n">
        <v>32000</v>
      </c>
      <c r="C1209" s="4" t="n">
        <v>3620</v>
      </c>
      <c r="D1209" s="3" t="inlineStr">
        <is>
          <t>강내면</t>
        </is>
      </c>
      <c r="E1209" s="3" t="inlineStr">
        <is>
          <t>저산리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1095.05</v>
      </c>
      <c r="I1209" s="5" t="n">
        <v>29.2</v>
      </c>
      <c r="J1209" s="3" t="inlineStr">
        <is>
          <t>강내면</t>
        </is>
      </c>
    </row>
    <row r="1210">
      <c r="A1210" s="3" t="n">
        <v>2024</v>
      </c>
      <c r="B1210" s="4" t="n">
        <v>47100</v>
      </c>
      <c r="C1210" s="4" t="n">
        <v>622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대</t>
        </is>
      </c>
      <c r="H1210" s="4" t="n">
        <v>188.155</v>
      </c>
      <c r="I1210" s="5" t="n">
        <v>250.3</v>
      </c>
      <c r="J1210" s="3" t="inlineStr">
        <is>
          <t>오송읍</t>
        </is>
      </c>
    </row>
    <row r="1211">
      <c r="A1211" s="3" t="n">
        <v>2024</v>
      </c>
      <c r="B1211" s="4" t="n">
        <v>1377</v>
      </c>
      <c r="C1211" s="4" t="n">
        <v>36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제2종일반주거지역</t>
        </is>
      </c>
      <c r="G1211" s="3" t="inlineStr">
        <is>
          <t>대</t>
        </is>
      </c>
      <c r="H1211" s="4" t="n">
        <v>10.89</v>
      </c>
      <c r="I1211" s="5" t="n">
        <v>126.4</v>
      </c>
      <c r="J1211" s="3" t="inlineStr">
        <is>
          <t>강내면</t>
        </is>
      </c>
    </row>
    <row r="1212">
      <c r="A1212" s="3" t="n">
        <v>2024</v>
      </c>
      <c r="B1212" s="4" t="n">
        <v>5508</v>
      </c>
      <c r="C1212" s="4" t="n">
        <v>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제2종일반주거지역</t>
        </is>
      </c>
      <c r="G1212" s="3" t="inlineStr">
        <is>
          <t>구거</t>
        </is>
      </c>
      <c r="H1212" s="4" t="n">
        <v>2.7225</v>
      </c>
      <c r="I1212" s="5" t="n">
        <v>2023.1</v>
      </c>
      <c r="J1212" s="3" t="inlineStr">
        <is>
          <t>강내면</t>
        </is>
      </c>
    </row>
    <row r="1213">
      <c r="A1213" s="3" t="n">
        <v>2024</v>
      </c>
      <c r="B1213" s="4" t="n">
        <v>153000</v>
      </c>
      <c r="C1213" s="4" t="n">
        <v>507</v>
      </c>
      <c r="D1213" s="3" t="inlineStr">
        <is>
          <t>강내면</t>
        </is>
      </c>
      <c r="E1213" s="3" t="inlineStr">
        <is>
          <t>탑연리</t>
        </is>
      </c>
      <c r="F1213" s="3" t="inlineStr">
        <is>
          <t>일반상업지역</t>
        </is>
      </c>
      <c r="G1213" s="3" t="inlineStr">
        <is>
          <t>전</t>
        </is>
      </c>
      <c r="H1213" s="4" t="n">
        <v>153.3675</v>
      </c>
      <c r="I1213" s="5" t="n">
        <v>997.6</v>
      </c>
      <c r="J1213" s="3" t="inlineStr">
        <is>
          <t>강내면</t>
        </is>
      </c>
    </row>
    <row r="1214">
      <c r="A1214" s="3" t="n">
        <v>2024</v>
      </c>
      <c r="B1214" s="4" t="n">
        <v>4000</v>
      </c>
      <c r="C1214" s="4" t="n">
        <v>13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일반상업지역</t>
        </is>
      </c>
      <c r="G1214" s="3" t="inlineStr">
        <is>
          <t>임야</t>
        </is>
      </c>
      <c r="H1214" s="4" t="n">
        <v>3.9325</v>
      </c>
      <c r="I1214" s="5" t="n">
        <v>1017.2</v>
      </c>
      <c r="J1214" s="3" t="inlineStr">
        <is>
          <t>강내면</t>
        </is>
      </c>
    </row>
    <row r="1215">
      <c r="A1215" s="3" t="n">
        <v>2024</v>
      </c>
      <c r="B1215" s="4" t="n">
        <v>450</v>
      </c>
      <c r="C1215" s="4" t="n">
        <v>15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4.5375</v>
      </c>
      <c r="I1215" s="5" t="n">
        <v>99.2</v>
      </c>
      <c r="J1215" s="3" t="inlineStr">
        <is>
          <t>강내면</t>
        </is>
      </c>
    </row>
    <row r="1216">
      <c r="A1216" s="3" t="n">
        <v>2024</v>
      </c>
      <c r="B1216" s="4" t="n">
        <v>21120</v>
      </c>
      <c r="C1216" s="4" t="n">
        <v>583</v>
      </c>
      <c r="D1216" s="3" t="inlineStr">
        <is>
          <t>강내면</t>
        </is>
      </c>
      <c r="E1216" s="3" t="inlineStr">
        <is>
          <t>저산리</t>
        </is>
      </c>
      <c r="F1216" s="3" t="inlineStr">
        <is>
          <t>보전관리지역</t>
        </is>
      </c>
      <c r="G1216" s="3" t="inlineStr">
        <is>
          <t>대</t>
        </is>
      </c>
      <c r="H1216" s="4" t="n">
        <v>176.3575</v>
      </c>
      <c r="I1216" s="5" t="n">
        <v>119.8</v>
      </c>
      <c r="J1216" s="3" t="inlineStr">
        <is>
          <t>강내면</t>
        </is>
      </c>
    </row>
    <row r="1217">
      <c r="A1217" s="3" t="n">
        <v>2024</v>
      </c>
      <c r="B1217" s="4" t="n">
        <v>18400</v>
      </c>
      <c r="C1217" s="4" t="n">
        <v>612</v>
      </c>
      <c r="D1217" s="3" t="inlineStr">
        <is>
          <t>강내면</t>
        </is>
      </c>
      <c r="E1217" s="3" t="inlineStr">
        <is>
          <t>저산리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185.13</v>
      </c>
      <c r="I1217" s="5" t="n">
        <v>99.40000000000001</v>
      </c>
      <c r="J1217" s="3" t="inlineStr">
        <is>
          <t>강내면</t>
        </is>
      </c>
    </row>
    <row r="1218">
      <c r="A1218" s="3" t="n">
        <v>2024</v>
      </c>
      <c r="B1218" s="4" t="n">
        <v>880000</v>
      </c>
      <c r="C1218" s="4" t="n">
        <v>2868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일반상업지역</t>
        </is>
      </c>
      <c r="G1218" s="3" t="inlineStr">
        <is>
          <t>대</t>
        </is>
      </c>
      <c r="H1218" s="4" t="n">
        <v>867.5699999999999</v>
      </c>
      <c r="I1218" s="5" t="n">
        <v>1014.3</v>
      </c>
      <c r="J1218" s="3" t="inlineStr">
        <is>
          <t>강내면</t>
        </is>
      </c>
    </row>
    <row r="1219">
      <c r="A1219" s="3" t="n">
        <v>2024</v>
      </c>
      <c r="B1219" s="4" t="n">
        <v>55000</v>
      </c>
      <c r="C1219" s="4" t="n">
        <v>2387</v>
      </c>
      <c r="D1219" s="3" t="inlineStr">
        <is>
          <t>강내면</t>
        </is>
      </c>
      <c r="E1219" s="3" t="inlineStr">
        <is>
          <t>다락리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722.0675</v>
      </c>
      <c r="I1219" s="5" t="n">
        <v>76.2</v>
      </c>
      <c r="J1219" s="3" t="inlineStr">
        <is>
          <t>강내면</t>
        </is>
      </c>
    </row>
    <row r="1220">
      <c r="A1220" s="3" t="n">
        <v>2024</v>
      </c>
      <c r="B1220" s="4" t="n">
        <v>64000</v>
      </c>
      <c r="C1220" s="4" t="n">
        <v>3025</v>
      </c>
      <c r="D1220" s="3" t="inlineStr">
        <is>
          <t>오송읍</t>
        </is>
      </c>
      <c r="E1220" s="3" t="inlineStr">
        <is>
          <t>서평리</t>
        </is>
      </c>
      <c r="F1220" s="3" t="inlineStr">
        <is>
          <t>농림지역</t>
        </is>
      </c>
      <c r="G1220" s="3" t="inlineStr">
        <is>
          <t>답</t>
        </is>
      </c>
      <c r="H1220" s="4" t="n">
        <v>915.0625</v>
      </c>
      <c r="I1220" s="5" t="n">
        <v>69.90000000000001</v>
      </c>
      <c r="J1220" s="3" t="inlineStr">
        <is>
          <t>오송읍</t>
        </is>
      </c>
    </row>
    <row r="1221">
      <c r="A1221" s="3" t="n">
        <v>2026</v>
      </c>
      <c r="B1221" s="4" t="n">
        <v>6000</v>
      </c>
      <c r="C1221" s="4" t="n">
        <v>3273</v>
      </c>
      <c r="D1221" s="3" t="inlineStr">
        <is>
          <t>연동면</t>
        </is>
      </c>
      <c r="E1221" s="3" t="inlineStr">
        <is>
          <t>명학리</t>
        </is>
      </c>
      <c r="F1221" s="3" t="inlineStr">
        <is>
          <t>농림지역</t>
        </is>
      </c>
      <c r="G1221" s="3" t="inlineStr">
        <is>
          <t>임야</t>
        </is>
      </c>
      <c r="H1221" s="4" t="n">
        <v>990.0825</v>
      </c>
      <c r="I1221" s="5" t="n">
        <v>6.1</v>
      </c>
      <c r="J1221" s="3" t="inlineStr">
        <is>
          <t>연동면</t>
        </is>
      </c>
    </row>
    <row r="1222">
      <c r="A1222" s="3" t="n">
        <v>2026</v>
      </c>
      <c r="B1222" s="4" t="n">
        <v>33078</v>
      </c>
      <c r="C1222" s="4" t="n">
        <v>2956</v>
      </c>
      <c r="D1222" s="3" t="inlineStr">
        <is>
          <t>연동면</t>
        </is>
      </c>
      <c r="E1222" s="3" t="inlineStr">
        <is>
          <t>송용리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894.1899999999999</v>
      </c>
      <c r="I1222" s="5" t="n">
        <v>37</v>
      </c>
      <c r="J1222" s="3" t="inlineStr">
        <is>
          <t>연동면</t>
        </is>
      </c>
    </row>
    <row r="1223">
      <c r="A1223" s="3" t="n">
        <v>2026</v>
      </c>
      <c r="B1223" s="4" t="n">
        <v>22500</v>
      </c>
      <c r="C1223" s="4" t="n">
        <v>743</v>
      </c>
      <c r="D1223" s="3" t="inlineStr">
        <is>
          <t>연서면</t>
        </is>
      </c>
      <c r="E1223" s="3" t="inlineStr">
        <is>
          <t>고복리</t>
        </is>
      </c>
      <c r="F1223" s="3" t="inlineStr">
        <is>
          <t>보전관리지역</t>
        </is>
      </c>
      <c r="G1223" s="3" t="inlineStr">
        <is>
          <t>과수원</t>
        </is>
      </c>
      <c r="H1223" s="4" t="n">
        <v>224.7575</v>
      </c>
      <c r="I1223" s="5" t="n">
        <v>100.1</v>
      </c>
      <c r="J1223" s="3" t="inlineStr">
        <is>
          <t>연서면</t>
        </is>
      </c>
    </row>
    <row r="1224">
      <c r="A1224" s="3" t="n">
        <v>2026</v>
      </c>
      <c r="B1224" s="4" t="n">
        <v>42300</v>
      </c>
      <c r="C1224" s="4" t="n">
        <v>335.9</v>
      </c>
      <c r="D1224" s="3" t="inlineStr">
        <is>
          <t>고운동</t>
        </is>
      </c>
      <c r="E1224" s="3" t="inlineStr"/>
      <c r="F1224" s="3" t="inlineStr">
        <is>
          <t>제1종전용주거지역</t>
        </is>
      </c>
      <c r="G1224" s="3" t="inlineStr">
        <is>
          <t>대</t>
        </is>
      </c>
      <c r="H1224" s="4" t="n">
        <v>101.60975</v>
      </c>
      <c r="I1224" s="5" t="n">
        <v>416.3</v>
      </c>
      <c r="J1224" s="3" t="inlineStr">
        <is>
          <t>고운동</t>
        </is>
      </c>
    </row>
    <row r="1225">
      <c r="A1225" s="3" t="n">
        <v>2026</v>
      </c>
      <c r="B1225" s="4" t="n">
        <v>27000</v>
      </c>
      <c r="C1225" s="4" t="n">
        <v>2343</v>
      </c>
      <c r="D1225" s="3" t="inlineStr">
        <is>
          <t>연서면</t>
        </is>
      </c>
      <c r="E1225" s="3" t="inlineStr">
        <is>
          <t>쌍류리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708.7574999999999</v>
      </c>
      <c r="I1225" s="5" t="n">
        <v>38.1</v>
      </c>
      <c r="J1225" s="3" t="inlineStr">
        <is>
          <t>연서면</t>
        </is>
      </c>
    </row>
    <row r="1226">
      <c r="A1226" s="3" t="n">
        <v>2026</v>
      </c>
      <c r="B1226" s="4" t="n">
        <v>12000</v>
      </c>
      <c r="C1226" s="4" t="n">
        <v>659</v>
      </c>
      <c r="D1226" s="3" t="inlineStr">
        <is>
          <t>연서면</t>
        </is>
      </c>
      <c r="E1226" s="3" t="inlineStr">
        <is>
          <t>와촌리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199.3475</v>
      </c>
      <c r="I1226" s="5" t="n">
        <v>60.2</v>
      </c>
      <c r="J1226" s="3" t="inlineStr">
        <is>
          <t>연서면</t>
        </is>
      </c>
    </row>
    <row r="1227">
      <c r="A1227" s="3" t="n">
        <v>2024</v>
      </c>
      <c r="B1227" s="4" t="n">
        <v>21000</v>
      </c>
      <c r="C1227" s="4" t="n">
        <v>1131</v>
      </c>
      <c r="D1227" s="3" t="inlineStr">
        <is>
          <t>부강면</t>
        </is>
      </c>
      <c r="E1227" s="3" t="inlineStr">
        <is>
          <t>등곡리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342.1275</v>
      </c>
      <c r="I1227" s="5" t="n">
        <v>61.4</v>
      </c>
      <c r="J1227" s="3" t="inlineStr">
        <is>
          <t>부강면</t>
        </is>
      </c>
    </row>
    <row r="1228">
      <c r="A1228" s="3" t="n">
        <v>2024</v>
      </c>
      <c r="B1228" s="4" t="n">
        <v>12600</v>
      </c>
      <c r="C1228" s="4" t="n">
        <v>1158</v>
      </c>
      <c r="D1228" s="3" t="inlineStr">
        <is>
          <t>연서면</t>
        </is>
      </c>
      <c r="E1228" s="3" t="inlineStr">
        <is>
          <t>기룡리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350.295</v>
      </c>
      <c r="I1228" s="5" t="n">
        <v>36</v>
      </c>
      <c r="J1228" s="3" t="inlineStr">
        <is>
          <t>연서면</t>
        </is>
      </c>
    </row>
    <row r="1229">
      <c r="A1229" s="3" t="n">
        <v>2024</v>
      </c>
      <c r="B1229" s="4" t="n">
        <v>11400</v>
      </c>
      <c r="C1229" s="4" t="n">
        <v>1020</v>
      </c>
      <c r="D1229" s="3" t="inlineStr">
        <is>
          <t>연서면</t>
        </is>
      </c>
      <c r="E1229" s="3" t="inlineStr">
        <is>
          <t>기룡리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308.55</v>
      </c>
      <c r="I1229" s="5" t="n">
        <v>36.9</v>
      </c>
      <c r="J1229" s="3" t="inlineStr">
        <is>
          <t>연서면</t>
        </is>
      </c>
    </row>
    <row r="1230">
      <c r="A1230" s="3" t="n">
        <v>2024</v>
      </c>
      <c r="B1230" s="4" t="n">
        <v>1165</v>
      </c>
      <c r="C1230" s="4" t="n">
        <v>27</v>
      </c>
      <c r="D1230" s="3" t="inlineStr">
        <is>
          <t>조치원읍</t>
        </is>
      </c>
      <c r="E1230" s="3" t="inlineStr">
        <is>
          <t>봉산리</t>
        </is>
      </c>
      <c r="F1230" s="3" t="inlineStr">
        <is>
          <t>자연녹지지역</t>
        </is>
      </c>
      <c r="G1230" s="3" t="inlineStr">
        <is>
          <t>답</t>
        </is>
      </c>
      <c r="H1230" s="4" t="n">
        <v>8.1675</v>
      </c>
      <c r="I1230" s="5" t="n">
        <v>142.6</v>
      </c>
      <c r="J1230" s="3" t="inlineStr">
        <is>
          <t>조치원읍</t>
        </is>
      </c>
    </row>
    <row r="1231">
      <c r="A1231" s="3" t="n">
        <v>2022</v>
      </c>
      <c r="B1231" s="4" t="n">
        <v>19000</v>
      </c>
      <c r="C1231" s="4" t="n">
        <v>575</v>
      </c>
      <c r="D1231" s="3" t="inlineStr">
        <is>
          <t>강내면</t>
        </is>
      </c>
      <c r="E1231" s="3" t="inlineStr">
        <is>
          <t>석화리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173.9375</v>
      </c>
      <c r="I1231" s="5" t="n">
        <v>109.2</v>
      </c>
      <c r="J1231" s="3" t="inlineStr">
        <is>
          <t>강내면</t>
        </is>
      </c>
    </row>
    <row r="1232">
      <c r="A1232" s="3" t="n">
        <v>2023</v>
      </c>
      <c r="B1232" s="4" t="n">
        <v>2044</v>
      </c>
      <c r="C1232" s="4" t="n">
        <v>56</v>
      </c>
      <c r="D1232" s="3" t="inlineStr">
        <is>
          <t>오송읍</t>
        </is>
      </c>
      <c r="E1232" s="3" t="inlineStr">
        <is>
          <t>상봉리</t>
        </is>
      </c>
      <c r="F1232" s="3" t="inlineStr">
        <is>
          <t>계획관리지역</t>
        </is>
      </c>
      <c r="G1232" s="3" t="inlineStr">
        <is>
          <t>구거</t>
        </is>
      </c>
      <c r="H1232" s="4" t="n">
        <v>16.94</v>
      </c>
      <c r="I1232" s="5" t="n">
        <v>120.7</v>
      </c>
      <c r="J1232" s="3" t="inlineStr">
        <is>
          <t>오송읍</t>
        </is>
      </c>
    </row>
    <row r="1233">
      <c r="A1233" s="3" t="n">
        <v>2023</v>
      </c>
      <c r="B1233" s="4" t="n">
        <v>23641</v>
      </c>
      <c r="C1233" s="4" t="n">
        <v>415.3</v>
      </c>
      <c r="D1233" s="3" t="inlineStr">
        <is>
          <t>강내면</t>
        </is>
      </c>
      <c r="E1233" s="3" t="inlineStr">
        <is>
          <t>사곡리</t>
        </is>
      </c>
      <c r="F1233" s="3" t="inlineStr">
        <is>
          <t>보전관리지역</t>
        </is>
      </c>
      <c r="G1233" s="3" t="inlineStr">
        <is>
          <t>대</t>
        </is>
      </c>
      <c r="H1233" s="4" t="n">
        <v>125.62825</v>
      </c>
      <c r="I1233" s="5" t="n">
        <v>188.2</v>
      </c>
      <c r="J1233" s="3" t="inlineStr">
        <is>
          <t>강내면</t>
        </is>
      </c>
    </row>
    <row r="1234">
      <c r="A1234" s="3" t="n">
        <v>2023</v>
      </c>
      <c r="B1234" s="4" t="n">
        <v>3632</v>
      </c>
      <c r="C1234" s="4" t="n">
        <v>63.8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대</t>
        </is>
      </c>
      <c r="H1234" s="4" t="n">
        <v>19.2995</v>
      </c>
      <c r="I1234" s="5" t="n">
        <v>188.2</v>
      </c>
      <c r="J1234" s="3" t="inlineStr">
        <is>
          <t>강내면</t>
        </is>
      </c>
    </row>
    <row r="1235">
      <c r="A1235" s="3" t="n">
        <v>2023</v>
      </c>
      <c r="B1235" s="4" t="n">
        <v>288627</v>
      </c>
      <c r="C1235" s="4" t="n">
        <v>1034.5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일반상업지역</t>
        </is>
      </c>
      <c r="G1235" s="3" t="inlineStr">
        <is>
          <t>대</t>
        </is>
      </c>
      <c r="H1235" s="4" t="n">
        <v>312.93625</v>
      </c>
      <c r="I1235" s="5" t="n">
        <v>922.3</v>
      </c>
      <c r="J1235" s="3" t="inlineStr">
        <is>
          <t>오송읍</t>
        </is>
      </c>
    </row>
    <row r="1236">
      <c r="A1236" s="3" t="n">
        <v>2023</v>
      </c>
      <c r="B1236" s="4" t="n">
        <v>30000</v>
      </c>
      <c r="C1236" s="4" t="n">
        <v>356</v>
      </c>
      <c r="D1236" s="3" t="inlineStr">
        <is>
          <t>오송읍</t>
        </is>
      </c>
      <c r="E1236" s="3" t="inlineStr">
        <is>
          <t>오송리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107.69</v>
      </c>
      <c r="I1236" s="5" t="n">
        <v>278.6</v>
      </c>
      <c r="J1236" s="3" t="inlineStr">
        <is>
          <t>오송읍</t>
        </is>
      </c>
    </row>
    <row r="1237">
      <c r="A1237" s="3" t="n">
        <v>2023</v>
      </c>
      <c r="B1237" s="4" t="n">
        <v>21000</v>
      </c>
      <c r="C1237" s="4" t="n">
        <v>182</v>
      </c>
      <c r="D1237" s="3" t="inlineStr">
        <is>
          <t>오송읍</t>
        </is>
      </c>
      <c r="E1237" s="3" t="inlineStr">
        <is>
          <t>오송리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55.055</v>
      </c>
      <c r="I1237" s="5" t="n">
        <v>381.4</v>
      </c>
      <c r="J1237" s="3" t="inlineStr">
        <is>
          <t>오송읍</t>
        </is>
      </c>
    </row>
    <row r="1238">
      <c r="A1238" s="3" t="n">
        <v>2023</v>
      </c>
      <c r="B1238" s="4" t="n">
        <v>278315</v>
      </c>
      <c r="C1238" s="4" t="n">
        <v>1017.6</v>
      </c>
      <c r="D1238" s="3" t="inlineStr">
        <is>
          <t>오송읍</t>
        </is>
      </c>
      <c r="E1238" s="3" t="inlineStr">
        <is>
          <t>봉산리</t>
        </is>
      </c>
      <c r="F1238" s="3" t="inlineStr">
        <is>
          <t>일반상업지역</t>
        </is>
      </c>
      <c r="G1238" s="3" t="inlineStr">
        <is>
          <t>대</t>
        </is>
      </c>
      <c r="H1238" s="4" t="n">
        <v>307.824</v>
      </c>
      <c r="I1238" s="5" t="n">
        <v>904.1</v>
      </c>
      <c r="J1238" s="3" t="inlineStr">
        <is>
          <t>오송읍</t>
        </is>
      </c>
    </row>
    <row r="1239">
      <c r="A1239" s="3" t="n">
        <v>2023</v>
      </c>
      <c r="B1239" s="4" t="n">
        <v>21500</v>
      </c>
      <c r="C1239" s="4" t="n">
        <v>1871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자연녹지지역</t>
        </is>
      </c>
      <c r="G1239" s="3" t="inlineStr">
        <is>
          <t>답</t>
        </is>
      </c>
      <c r="H1239" s="4" t="n">
        <v>565.9775</v>
      </c>
      <c r="I1239" s="5" t="n">
        <v>38</v>
      </c>
      <c r="J1239" s="3" t="inlineStr">
        <is>
          <t>강내면</t>
        </is>
      </c>
    </row>
    <row r="1240">
      <c r="A1240" s="3" t="n">
        <v>2023</v>
      </c>
      <c r="B1240" s="4" t="n">
        <v>20092</v>
      </c>
      <c r="C1240" s="4" t="n">
        <v>999</v>
      </c>
      <c r="D1240" s="3" t="inlineStr">
        <is>
          <t>강내면</t>
        </is>
      </c>
      <c r="E1240" s="3" t="inlineStr">
        <is>
          <t>학천리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302.1975</v>
      </c>
      <c r="I1240" s="5" t="n">
        <v>66.5</v>
      </c>
      <c r="J1240" s="3" t="inlineStr">
        <is>
          <t>강내면</t>
        </is>
      </c>
    </row>
    <row r="1241">
      <c r="A1241" s="3" t="n">
        <v>2023</v>
      </c>
      <c r="B1241" s="4" t="n">
        <v>22750</v>
      </c>
      <c r="C1241" s="4" t="n">
        <v>1131</v>
      </c>
      <c r="D1241" s="3" t="inlineStr">
        <is>
          <t>강내면</t>
        </is>
      </c>
      <c r="E1241" s="3" t="inlineStr">
        <is>
          <t>학천리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342.1275</v>
      </c>
      <c r="I1241" s="5" t="n">
        <v>66.5</v>
      </c>
      <c r="J1241" s="3" t="inlineStr">
        <is>
          <t>강내면</t>
        </is>
      </c>
    </row>
    <row r="1242">
      <c r="A1242" s="3" t="n">
        <v>2023</v>
      </c>
      <c r="B1242" s="4" t="n">
        <v>6758</v>
      </c>
      <c r="C1242" s="4" t="n">
        <v>336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전</t>
        </is>
      </c>
      <c r="H1242" s="4" t="n">
        <v>101.64</v>
      </c>
      <c r="I1242" s="5" t="n">
        <v>66.5</v>
      </c>
      <c r="J1242" s="3" t="inlineStr">
        <is>
          <t>강내면</t>
        </is>
      </c>
    </row>
    <row r="1243">
      <c r="A1243" s="3" t="n">
        <v>2023</v>
      </c>
      <c r="B1243" s="4" t="n">
        <v>6540</v>
      </c>
      <c r="C1243" s="4" t="n">
        <v>721</v>
      </c>
      <c r="D1243" s="3" t="inlineStr">
        <is>
          <t>강내면</t>
        </is>
      </c>
      <c r="E1243" s="3" t="inlineStr">
        <is>
          <t>저산리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218.1025</v>
      </c>
      <c r="I1243" s="5" t="n">
        <v>30</v>
      </c>
      <c r="J1243" s="3" t="inlineStr">
        <is>
          <t>강내면</t>
        </is>
      </c>
    </row>
    <row r="1244">
      <c r="A1244" s="3" t="n">
        <v>2023</v>
      </c>
      <c r="B1244" s="4" t="n">
        <v>21000</v>
      </c>
      <c r="C1244" s="4" t="n">
        <v>356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107.69</v>
      </c>
      <c r="I1244" s="5" t="n">
        <v>195</v>
      </c>
      <c r="J1244" s="3" t="inlineStr">
        <is>
          <t>오송읍</t>
        </is>
      </c>
    </row>
    <row r="1245">
      <c r="A1245" s="3" t="n">
        <v>2023</v>
      </c>
      <c r="B1245" s="4" t="n">
        <v>323000</v>
      </c>
      <c r="C1245" s="4" t="n">
        <v>1195.9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일반상업지역</t>
        </is>
      </c>
      <c r="G1245" s="3" t="inlineStr">
        <is>
          <t>대</t>
        </is>
      </c>
      <c r="H1245" s="4" t="n">
        <v>361.75975</v>
      </c>
      <c r="I1245" s="5" t="n">
        <v>892.9</v>
      </c>
      <c r="J1245" s="3" t="inlineStr">
        <is>
          <t>오송읍</t>
        </is>
      </c>
    </row>
    <row r="1246">
      <c r="A1246" s="3" t="n">
        <v>2023</v>
      </c>
      <c r="B1246" s="4" t="n">
        <v>58617</v>
      </c>
      <c r="C1246" s="4" t="n">
        <v>2856.1</v>
      </c>
      <c r="D1246" s="3" t="inlineStr">
        <is>
          <t>오송읍</t>
        </is>
      </c>
      <c r="E1246" s="3" t="inlineStr">
        <is>
          <t>연제리</t>
        </is>
      </c>
      <c r="F1246" s="3" t="inlineStr">
        <is>
          <t>준공업지역</t>
        </is>
      </c>
      <c r="G1246" s="3" t="inlineStr">
        <is>
          <t>대</t>
        </is>
      </c>
      <c r="H1246" s="4" t="n">
        <v>863.97025</v>
      </c>
      <c r="I1246" s="5" t="n">
        <v>67.8</v>
      </c>
      <c r="J1246" s="3" t="inlineStr">
        <is>
          <t>오송읍</t>
        </is>
      </c>
    </row>
    <row r="1247">
      <c r="A1247" s="3" t="n">
        <v>2023</v>
      </c>
      <c r="B1247" s="4" t="n">
        <v>122700</v>
      </c>
      <c r="C1247" s="4" t="n">
        <v>1022.2</v>
      </c>
      <c r="D1247" s="3" t="inlineStr">
        <is>
          <t>오송읍</t>
        </is>
      </c>
      <c r="E1247" s="3" t="inlineStr">
        <is>
          <t>봉산리</t>
        </is>
      </c>
      <c r="F1247" s="3" t="inlineStr">
        <is>
          <t>일반상업지역</t>
        </is>
      </c>
      <c r="G1247" s="3" t="inlineStr">
        <is>
          <t>주차장</t>
        </is>
      </c>
      <c r="H1247" s="4" t="n">
        <v>309.2155</v>
      </c>
      <c r="I1247" s="5" t="n">
        <v>396.8</v>
      </c>
      <c r="J1247" s="3" t="inlineStr">
        <is>
          <t>오송읍</t>
        </is>
      </c>
    </row>
    <row r="1248">
      <c r="A1248" s="3" t="n">
        <v>2023</v>
      </c>
      <c r="B1248" s="4" t="n">
        <v>300</v>
      </c>
      <c r="C1248" s="4" t="n">
        <v>3</v>
      </c>
      <c r="D1248" s="3" t="inlineStr">
        <is>
          <t>조치원읍</t>
        </is>
      </c>
      <c r="E1248" s="3" t="inlineStr">
        <is>
          <t>서창리</t>
        </is>
      </c>
      <c r="F1248" s="3" t="inlineStr">
        <is>
          <t>제1종일반주거지역</t>
        </is>
      </c>
      <c r="G1248" s="3" t="inlineStr">
        <is>
          <t>도로</t>
        </is>
      </c>
      <c r="H1248" s="4" t="n">
        <v>0.9075</v>
      </c>
      <c r="I1248" s="5" t="n">
        <v>330.6</v>
      </c>
      <c r="J1248" s="3" t="inlineStr">
        <is>
          <t>조치원읍</t>
        </is>
      </c>
    </row>
    <row r="1249">
      <c r="A1249" s="3" t="n">
        <v>2023</v>
      </c>
      <c r="B1249" s="4" t="n">
        <v>78000</v>
      </c>
      <c r="C1249" s="4" t="n">
        <v>1964</v>
      </c>
      <c r="D1249" s="3" t="inlineStr">
        <is>
          <t>연서면</t>
        </is>
      </c>
      <c r="E1249" s="3" t="inlineStr">
        <is>
          <t>봉암리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594.11</v>
      </c>
      <c r="I1249" s="5" t="n">
        <v>131.3</v>
      </c>
      <c r="J1249" s="3" t="inlineStr">
        <is>
          <t>연서면</t>
        </is>
      </c>
    </row>
    <row r="1250">
      <c r="A1250" s="3" t="n">
        <v>2023</v>
      </c>
      <c r="B1250" s="4" t="n">
        <v>60600</v>
      </c>
      <c r="C1250" s="4" t="n">
        <v>445</v>
      </c>
      <c r="D1250" s="3" t="inlineStr">
        <is>
          <t>반곡동</t>
        </is>
      </c>
      <c r="E1250" s="3" t="inlineStr"/>
      <c r="F1250" s="3" t="inlineStr">
        <is>
          <t>제1종전용주거지역</t>
        </is>
      </c>
      <c r="G1250" s="3" t="inlineStr">
        <is>
          <t>대</t>
        </is>
      </c>
      <c r="H1250" s="4" t="n">
        <v>134.6125</v>
      </c>
      <c r="I1250" s="5" t="n">
        <v>450.2</v>
      </c>
      <c r="J1250" s="3" t="inlineStr">
        <is>
          <t>반곡동</t>
        </is>
      </c>
    </row>
    <row r="1251">
      <c r="A1251" s="3" t="n">
        <v>2023</v>
      </c>
      <c r="B1251" s="4" t="n">
        <v>4690</v>
      </c>
      <c r="C1251" s="4" t="n">
        <v>100</v>
      </c>
      <c r="D1251" s="3" t="inlineStr">
        <is>
          <t>연서면</t>
        </is>
      </c>
      <c r="E1251" s="3" t="inlineStr">
        <is>
          <t>쌍전리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30.25</v>
      </c>
      <c r="I1251" s="5" t="n">
        <v>155</v>
      </c>
      <c r="J1251" s="3" t="inlineStr">
        <is>
          <t>연서면</t>
        </is>
      </c>
    </row>
    <row r="1252">
      <c r="A1252" s="3" t="n">
        <v>2022</v>
      </c>
      <c r="B1252" s="4" t="n">
        <v>9000</v>
      </c>
      <c r="C1252" s="4" t="n">
        <v>179</v>
      </c>
      <c r="D1252" s="3" t="inlineStr">
        <is>
          <t>연서면</t>
        </is>
      </c>
      <c r="E1252" s="3" t="inlineStr">
        <is>
          <t>쌍전리</t>
        </is>
      </c>
      <c r="F1252" s="3" t="inlineStr">
        <is>
          <t>자연녹지지역</t>
        </is>
      </c>
      <c r="G1252" s="3" t="inlineStr">
        <is>
          <t>과수원</t>
        </is>
      </c>
      <c r="H1252" s="4" t="n">
        <v>54.1475</v>
      </c>
      <c r="I1252" s="5" t="n">
        <v>166.2</v>
      </c>
      <c r="J1252" s="3" t="inlineStr">
        <is>
          <t>연서면</t>
        </is>
      </c>
    </row>
    <row r="1253">
      <c r="A1253" s="3" t="n">
        <v>2022</v>
      </c>
      <c r="B1253" s="4" t="n">
        <v>49000</v>
      </c>
      <c r="C1253" s="4" t="n">
        <v>1402</v>
      </c>
      <c r="D1253" s="3" t="inlineStr">
        <is>
          <t>강내면</t>
        </is>
      </c>
      <c r="E1253" s="3" t="inlineStr">
        <is>
          <t>석화리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424.105</v>
      </c>
      <c r="I1253" s="5" t="n">
        <v>115.5</v>
      </c>
      <c r="J1253" s="3" t="inlineStr">
        <is>
          <t>강내면</t>
        </is>
      </c>
    </row>
    <row r="1254">
      <c r="A1254" s="3" t="n">
        <v>2022</v>
      </c>
      <c r="B1254" s="4" t="n">
        <v>7000</v>
      </c>
      <c r="C1254" s="4" t="n">
        <v>202</v>
      </c>
      <c r="D1254" s="3" t="inlineStr">
        <is>
          <t>강내면</t>
        </is>
      </c>
      <c r="E1254" s="3" t="inlineStr">
        <is>
          <t>석화리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61.105</v>
      </c>
      <c r="I1254" s="5" t="n">
        <v>114.6</v>
      </c>
      <c r="J1254" s="3" t="inlineStr">
        <is>
          <t>강내면</t>
        </is>
      </c>
    </row>
    <row r="1255">
      <c r="A1255" s="3" t="n">
        <v>2022</v>
      </c>
      <c r="B1255" s="4" t="n">
        <v>34000</v>
      </c>
      <c r="C1255" s="4" t="n">
        <v>552.4</v>
      </c>
      <c r="D1255" s="3" t="inlineStr">
        <is>
          <t>강내면</t>
        </is>
      </c>
      <c r="E1255" s="3" t="inlineStr">
        <is>
          <t>사곡리</t>
        </is>
      </c>
      <c r="F1255" s="3" t="inlineStr">
        <is>
          <t>보전관리지역</t>
        </is>
      </c>
      <c r="G1255" s="3" t="inlineStr">
        <is>
          <t>임야</t>
        </is>
      </c>
      <c r="H1255" s="4" t="n">
        <v>167.101</v>
      </c>
      <c r="I1255" s="5" t="n">
        <v>203.5</v>
      </c>
      <c r="J1255" s="3" t="inlineStr">
        <is>
          <t>강내면</t>
        </is>
      </c>
    </row>
    <row r="1256">
      <c r="A1256" s="3" t="n">
        <v>2022</v>
      </c>
      <c r="B1256" s="4" t="n">
        <v>18000</v>
      </c>
      <c r="C1256" s="4" t="n">
        <v>1983</v>
      </c>
      <c r="D1256" s="3" t="inlineStr">
        <is>
          <t>오송읍</t>
        </is>
      </c>
      <c r="E1256" s="3" t="inlineStr">
        <is>
          <t>공북리</t>
        </is>
      </c>
      <c r="F1256" s="3" t="inlineStr">
        <is>
          <t>보전관리지역</t>
        </is>
      </c>
      <c r="G1256" s="3" t="inlineStr">
        <is>
          <t>임야</t>
        </is>
      </c>
      <c r="H1256" s="4" t="n">
        <v>599.8575</v>
      </c>
      <c r="I1256" s="5" t="n">
        <v>30</v>
      </c>
      <c r="J1256" s="3" t="inlineStr">
        <is>
          <t>오송읍</t>
        </is>
      </c>
    </row>
    <row r="1257">
      <c r="A1257" s="3" t="n">
        <v>2022</v>
      </c>
      <c r="B1257" s="4" t="n">
        <v>18000</v>
      </c>
      <c r="C1257" s="4" t="n">
        <v>2281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보전관리지역</t>
        </is>
      </c>
      <c r="G1257" s="3" t="inlineStr">
        <is>
          <t>임야</t>
        </is>
      </c>
      <c r="H1257" s="4" t="n">
        <v>690.0024999999999</v>
      </c>
      <c r="I1257" s="5" t="n">
        <v>26.1</v>
      </c>
      <c r="J1257" s="3" t="inlineStr">
        <is>
          <t>오송읍</t>
        </is>
      </c>
    </row>
    <row r="1258">
      <c r="A1258" s="3" t="n">
        <v>2022</v>
      </c>
      <c r="B1258" s="4" t="n">
        <v>13500</v>
      </c>
      <c r="C1258" s="4" t="n">
        <v>1056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319.44</v>
      </c>
      <c r="I1258" s="5" t="n">
        <v>42.3</v>
      </c>
      <c r="J1258" s="3" t="inlineStr">
        <is>
          <t>오송읍</t>
        </is>
      </c>
    </row>
    <row r="1259">
      <c r="A1259" s="3" t="n">
        <v>2022</v>
      </c>
      <c r="B1259" s="4" t="n">
        <v>5100</v>
      </c>
      <c r="C1259" s="4" t="n">
        <v>436</v>
      </c>
      <c r="D1259" s="3" t="inlineStr">
        <is>
          <t>강내면</t>
        </is>
      </c>
      <c r="E1259" s="3" t="inlineStr">
        <is>
          <t>학천리</t>
        </is>
      </c>
      <c r="F1259" s="3" t="inlineStr">
        <is>
          <t>생산녹지지역</t>
        </is>
      </c>
      <c r="G1259" s="3" t="inlineStr">
        <is>
          <t>답</t>
        </is>
      </c>
      <c r="H1259" s="4" t="n">
        <v>131.89</v>
      </c>
      <c r="I1259" s="5" t="n">
        <v>38.7</v>
      </c>
      <c r="J1259" s="3" t="inlineStr">
        <is>
          <t>강내면</t>
        </is>
      </c>
    </row>
    <row r="1260">
      <c r="A1260" s="3" t="n">
        <v>2022</v>
      </c>
      <c r="B1260" s="4" t="n">
        <v>16100</v>
      </c>
      <c r="C1260" s="4" t="n">
        <v>1369</v>
      </c>
      <c r="D1260" s="3" t="inlineStr">
        <is>
          <t>강내면</t>
        </is>
      </c>
      <c r="E1260" s="3" t="inlineStr">
        <is>
          <t>학천리</t>
        </is>
      </c>
      <c r="F1260" s="3" t="inlineStr">
        <is>
          <t>생산녹지지역</t>
        </is>
      </c>
      <c r="G1260" s="3" t="inlineStr">
        <is>
          <t>답</t>
        </is>
      </c>
      <c r="H1260" s="4" t="n">
        <v>414.1225</v>
      </c>
      <c r="I1260" s="5" t="n">
        <v>38.9</v>
      </c>
      <c r="J1260" s="3" t="inlineStr">
        <is>
          <t>강내면</t>
        </is>
      </c>
    </row>
    <row r="1261">
      <c r="A1261" s="3" t="n">
        <v>2022</v>
      </c>
      <c r="B1261" s="4" t="n">
        <v>11500</v>
      </c>
      <c r="C1261" s="4" t="n">
        <v>982</v>
      </c>
      <c r="D1261" s="3" t="inlineStr">
        <is>
          <t>강내면</t>
        </is>
      </c>
      <c r="E1261" s="3" t="inlineStr">
        <is>
          <t>학천리</t>
        </is>
      </c>
      <c r="F1261" s="3" t="inlineStr">
        <is>
          <t>생산녹지지역</t>
        </is>
      </c>
      <c r="G1261" s="3" t="inlineStr">
        <is>
          <t>답</t>
        </is>
      </c>
      <c r="H1261" s="4" t="n">
        <v>297.055</v>
      </c>
      <c r="I1261" s="5" t="n">
        <v>38.7</v>
      </c>
      <c r="J1261" s="3" t="inlineStr">
        <is>
          <t>강내면</t>
        </is>
      </c>
    </row>
    <row r="1262">
      <c r="A1262" s="3" t="n">
        <v>2022</v>
      </c>
      <c r="B1262" s="4" t="n">
        <v>56564</v>
      </c>
      <c r="C1262" s="4" t="n">
        <v>1100</v>
      </c>
      <c r="D1262" s="3" t="inlineStr">
        <is>
          <t>오송읍</t>
        </is>
      </c>
      <c r="E1262" s="3" t="inlineStr">
        <is>
          <t>궁평리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332.75</v>
      </c>
      <c r="I1262" s="5" t="n">
        <v>170</v>
      </c>
      <c r="J1262" s="3" t="inlineStr">
        <is>
          <t>오송읍</t>
        </is>
      </c>
    </row>
    <row r="1263">
      <c r="A1263" s="3" t="n">
        <v>2022</v>
      </c>
      <c r="B1263" s="4" t="n">
        <v>51525</v>
      </c>
      <c r="C1263" s="4" t="n">
        <v>1002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303.105</v>
      </c>
      <c r="I1263" s="5" t="n">
        <v>170</v>
      </c>
      <c r="J1263" s="3" t="inlineStr">
        <is>
          <t>오송읍</t>
        </is>
      </c>
    </row>
    <row r="1264">
      <c r="A1264" s="3" t="n">
        <v>2022</v>
      </c>
      <c r="B1264" s="4" t="n">
        <v>33000</v>
      </c>
      <c r="C1264" s="4" t="n">
        <v>258.6</v>
      </c>
      <c r="D1264" s="3" t="inlineStr">
        <is>
          <t>오송읍</t>
        </is>
      </c>
      <c r="E1264" s="3" t="inlineStr">
        <is>
          <t>봉산리</t>
        </is>
      </c>
      <c r="F1264" s="3" t="inlineStr">
        <is>
          <t>제1종일반주거지역</t>
        </is>
      </c>
      <c r="G1264" s="3" t="inlineStr">
        <is>
          <t>대</t>
        </is>
      </c>
      <c r="H1264" s="4" t="n">
        <v>78.2265</v>
      </c>
      <c r="I1264" s="5" t="n">
        <v>421.9</v>
      </c>
      <c r="J1264" s="3" t="inlineStr">
        <is>
          <t>오송읍</t>
        </is>
      </c>
    </row>
    <row r="1265">
      <c r="A1265" s="3" t="n">
        <v>2022</v>
      </c>
      <c r="B1265" s="4" t="n">
        <v>33000</v>
      </c>
      <c r="C1265" s="4" t="n">
        <v>2196</v>
      </c>
      <c r="D1265" s="3" t="inlineStr">
        <is>
          <t>강내면</t>
        </is>
      </c>
      <c r="E1265" s="3" t="inlineStr">
        <is>
          <t>궁현리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664.29</v>
      </c>
      <c r="I1265" s="5" t="n">
        <v>49.7</v>
      </c>
      <c r="J1265" s="3" t="inlineStr">
        <is>
          <t>강내면</t>
        </is>
      </c>
    </row>
    <row r="1266">
      <c r="A1266" s="3" t="n">
        <v>2022</v>
      </c>
      <c r="B1266" s="4" t="n">
        <v>5518</v>
      </c>
      <c r="C1266" s="4" t="n">
        <v>570</v>
      </c>
      <c r="D1266" s="3" t="inlineStr">
        <is>
          <t>강내면</t>
        </is>
      </c>
      <c r="E1266" s="3" t="inlineStr">
        <is>
          <t>다락리</t>
        </is>
      </c>
      <c r="F1266" s="3" t="inlineStr">
        <is>
          <t>일반공업지역</t>
        </is>
      </c>
      <c r="G1266" s="3" t="inlineStr">
        <is>
          <t>구거</t>
        </is>
      </c>
      <c r="H1266" s="4" t="n">
        <v>172.425</v>
      </c>
      <c r="I1266" s="5" t="n">
        <v>32</v>
      </c>
      <c r="J1266" s="3" t="inlineStr">
        <is>
          <t>강내면</t>
        </is>
      </c>
    </row>
    <row r="1267">
      <c r="A1267" s="3" t="n">
        <v>2022</v>
      </c>
      <c r="B1267" s="4" t="n">
        <v>25950</v>
      </c>
      <c r="C1267" s="4" t="n">
        <v>573</v>
      </c>
      <c r="D1267" s="3" t="inlineStr">
        <is>
          <t>강내면</t>
        </is>
      </c>
      <c r="E1267" s="3" t="inlineStr">
        <is>
          <t>월탄리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173.3325</v>
      </c>
      <c r="I1267" s="5" t="n">
        <v>149.7</v>
      </c>
      <c r="J1267" s="3" t="inlineStr">
        <is>
          <t>강내면</t>
        </is>
      </c>
    </row>
    <row r="1268">
      <c r="A1268" s="3" t="n">
        <v>2022</v>
      </c>
      <c r="B1268" s="4" t="n">
        <v>52300</v>
      </c>
      <c r="C1268" s="4" t="n">
        <v>2036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615.89</v>
      </c>
      <c r="I1268" s="5" t="n">
        <v>84.90000000000001</v>
      </c>
      <c r="J1268" s="3" t="inlineStr">
        <is>
          <t>오송읍</t>
        </is>
      </c>
    </row>
    <row r="1269">
      <c r="A1269" s="3" t="n">
        <v>2022</v>
      </c>
      <c r="B1269" s="4" t="n">
        <v>7000</v>
      </c>
      <c r="C1269" s="4" t="n">
        <v>491</v>
      </c>
      <c r="D1269" s="3" t="inlineStr">
        <is>
          <t>강내면</t>
        </is>
      </c>
      <c r="E1269" s="3" t="inlineStr">
        <is>
          <t>다락리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148.5275</v>
      </c>
      <c r="I1269" s="5" t="n">
        <v>47.1</v>
      </c>
      <c r="J1269" s="3" t="inlineStr">
        <is>
          <t>강내면</t>
        </is>
      </c>
    </row>
    <row r="1270">
      <c r="A1270" s="3" t="n">
        <v>2025</v>
      </c>
      <c r="B1270" s="4" t="n">
        <v>26000</v>
      </c>
      <c r="C1270" s="4" t="n">
        <v>628</v>
      </c>
      <c r="D1270" s="3" t="inlineStr">
        <is>
          <t>오송읍</t>
        </is>
      </c>
      <c r="E1270" s="3" t="inlineStr">
        <is>
          <t>서평리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189.97</v>
      </c>
      <c r="I1270" s="5" t="n">
        <v>136.9</v>
      </c>
      <c r="J1270" s="3" t="inlineStr">
        <is>
          <t>오송읍</t>
        </is>
      </c>
    </row>
    <row r="1271">
      <c r="A1271" s="3" t="n">
        <v>2026</v>
      </c>
      <c r="B1271" s="4" t="n">
        <v>1000</v>
      </c>
      <c r="C1271" s="4" t="n">
        <v>41</v>
      </c>
      <c r="D1271" s="3" t="inlineStr">
        <is>
          <t>강내면</t>
        </is>
      </c>
      <c r="E1271" s="3" t="inlineStr">
        <is>
          <t>연정리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12.4025</v>
      </c>
      <c r="I1271" s="5" t="n">
        <v>80.59999999999999</v>
      </c>
      <c r="J1271" s="3" t="inlineStr">
        <is>
          <t>강내면</t>
        </is>
      </c>
    </row>
    <row r="1272">
      <c r="A1272" s="3" t="n">
        <v>2025</v>
      </c>
      <c r="B1272" s="4" t="n">
        <v>5073</v>
      </c>
      <c r="C1272" s="4" t="n">
        <v>129</v>
      </c>
      <c r="D1272" s="3" t="inlineStr">
        <is>
          <t>연서면</t>
        </is>
      </c>
      <c r="E1272" s="3" t="inlineStr">
        <is>
          <t>신대리</t>
        </is>
      </c>
      <c r="F1272" s="3" t="inlineStr">
        <is>
          <t>보전관리지역</t>
        </is>
      </c>
      <c r="G1272" s="3" t="inlineStr">
        <is>
          <t>대</t>
        </is>
      </c>
      <c r="H1272" s="4" t="n">
        <v>39.0225</v>
      </c>
      <c r="I1272" s="5" t="n">
        <v>130</v>
      </c>
      <c r="J1272" s="3" t="inlineStr">
        <is>
          <t>연서면</t>
        </is>
      </c>
    </row>
    <row r="1273">
      <c r="A1273" s="3" t="n">
        <v>2026</v>
      </c>
      <c r="B1273" s="4" t="n">
        <v>1000</v>
      </c>
      <c r="C1273" s="4" t="n">
        <v>50</v>
      </c>
      <c r="D1273" s="3" t="inlineStr">
        <is>
          <t>강내면</t>
        </is>
      </c>
      <c r="E1273" s="3" t="inlineStr">
        <is>
          <t>연정리</t>
        </is>
      </c>
      <c r="F1273" s="3" t="inlineStr">
        <is>
          <t>계획관리지역</t>
        </is>
      </c>
      <c r="G1273" s="3" t="inlineStr">
        <is>
          <t>도로</t>
        </is>
      </c>
      <c r="H1273" s="4" t="n">
        <v>15.125</v>
      </c>
      <c r="I1273" s="5" t="n">
        <v>66.09999999999999</v>
      </c>
      <c r="J1273" s="3" t="inlineStr">
        <is>
          <t>강내면</t>
        </is>
      </c>
    </row>
    <row r="1274">
      <c r="A1274" s="3" t="n">
        <v>2026</v>
      </c>
      <c r="B1274" s="4" t="n">
        <v>1000</v>
      </c>
      <c r="C1274" s="4" t="n">
        <v>7</v>
      </c>
      <c r="D1274" s="3" t="inlineStr">
        <is>
          <t>강내면</t>
        </is>
      </c>
      <c r="E1274" s="3" t="inlineStr">
        <is>
          <t>연정리</t>
        </is>
      </c>
      <c r="F1274" s="3" t="inlineStr">
        <is>
          <t>계획관리지역</t>
        </is>
      </c>
      <c r="G1274" s="3" t="inlineStr">
        <is>
          <t>도로</t>
        </is>
      </c>
      <c r="H1274" s="4" t="n">
        <v>2.1175</v>
      </c>
      <c r="I1274" s="5" t="n">
        <v>472.3</v>
      </c>
      <c r="J1274" s="3" t="inlineStr">
        <is>
          <t>강내면</t>
        </is>
      </c>
    </row>
    <row r="1275">
      <c r="A1275" s="3" t="n">
        <v>2026</v>
      </c>
      <c r="B1275" s="4" t="n">
        <v>12650</v>
      </c>
      <c r="C1275" s="4" t="n">
        <v>186</v>
      </c>
      <c r="D1275" s="3" t="inlineStr">
        <is>
          <t>오송읍</t>
        </is>
      </c>
      <c r="E1275" s="3" t="inlineStr">
        <is>
          <t>정중리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56.265</v>
      </c>
      <c r="I1275" s="5" t="n">
        <v>224.8</v>
      </c>
      <c r="J1275" s="3" t="inlineStr">
        <is>
          <t>오송읍</t>
        </is>
      </c>
    </row>
    <row r="1276">
      <c r="A1276" s="3" t="n">
        <v>2026</v>
      </c>
      <c r="B1276" s="4" t="n">
        <v>10770</v>
      </c>
      <c r="C1276" s="4" t="n">
        <v>158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보전관리지역</t>
        </is>
      </c>
      <c r="G1276" s="3" t="inlineStr">
        <is>
          <t>대</t>
        </is>
      </c>
      <c r="H1276" s="4" t="n">
        <v>47.795</v>
      </c>
      <c r="I1276" s="5" t="n">
        <v>225.3</v>
      </c>
      <c r="J1276" s="3" t="inlineStr">
        <is>
          <t>오송읍</t>
        </is>
      </c>
    </row>
    <row r="1277">
      <c r="A1277" s="3" t="n">
        <v>2026</v>
      </c>
      <c r="B1277" s="4" t="n">
        <v>27500</v>
      </c>
      <c r="C1277" s="4" t="n">
        <v>260.7</v>
      </c>
      <c r="D1277" s="3" t="inlineStr">
        <is>
          <t>오송읍</t>
        </is>
      </c>
      <c r="E1277" s="3" t="inlineStr">
        <is>
          <t>봉산리</t>
        </is>
      </c>
      <c r="F1277" s="3" t="inlineStr">
        <is>
          <t>제1종일반주거지역</t>
        </is>
      </c>
      <c r="G1277" s="3" t="inlineStr">
        <is>
          <t>대</t>
        </is>
      </c>
      <c r="H1277" s="4" t="n">
        <v>78.86175</v>
      </c>
      <c r="I1277" s="5" t="n">
        <v>348.7</v>
      </c>
      <c r="J1277" s="3" t="inlineStr">
        <is>
          <t>오송읍</t>
        </is>
      </c>
    </row>
    <row r="1278">
      <c r="A1278" s="3" t="n">
        <v>2026</v>
      </c>
      <c r="B1278" s="4" t="n">
        <v>9900</v>
      </c>
      <c r="C1278" s="4" t="n">
        <v>353</v>
      </c>
      <c r="D1278" s="3" t="inlineStr">
        <is>
          <t>강내면</t>
        </is>
      </c>
      <c r="E1278" s="3" t="inlineStr">
        <is>
          <t>태성리</t>
        </is>
      </c>
      <c r="F1278" s="3" t="inlineStr">
        <is>
          <t>계획관리지역</t>
        </is>
      </c>
      <c r="G1278" s="3" t="inlineStr">
        <is>
          <t>임야</t>
        </is>
      </c>
      <c r="H1278" s="4" t="n">
        <v>106.7825</v>
      </c>
      <c r="I1278" s="5" t="n">
        <v>92.7</v>
      </c>
      <c r="J1278" s="3" t="inlineStr">
        <is>
          <t>강내면</t>
        </is>
      </c>
    </row>
    <row r="1279">
      <c r="A1279" s="3" t="n">
        <v>2026</v>
      </c>
      <c r="B1279" s="4" t="n">
        <v>46800</v>
      </c>
      <c r="C1279" s="4" t="n">
        <v>4555.2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1377.948</v>
      </c>
      <c r="I1279" s="5" t="n">
        <v>34</v>
      </c>
      <c r="J1279" s="3" t="inlineStr">
        <is>
          <t>강내면</t>
        </is>
      </c>
    </row>
    <row r="1280">
      <c r="A1280" s="3" t="n">
        <v>2026</v>
      </c>
      <c r="B1280" s="4" t="n">
        <v>24951</v>
      </c>
      <c r="C1280" s="4" t="n">
        <v>480.9</v>
      </c>
      <c r="D1280" s="3" t="inlineStr">
        <is>
          <t>강내면</t>
        </is>
      </c>
      <c r="E1280" s="3" t="inlineStr">
        <is>
          <t>사곡리</t>
        </is>
      </c>
      <c r="F1280" s="3" t="inlineStr">
        <is>
          <t>보전관리지역</t>
        </is>
      </c>
      <c r="G1280" s="3" t="inlineStr">
        <is>
          <t>대</t>
        </is>
      </c>
      <c r="H1280" s="4" t="n">
        <v>145.47225</v>
      </c>
      <c r="I1280" s="5" t="n">
        <v>171.5</v>
      </c>
      <c r="J1280" s="3" t="inlineStr">
        <is>
          <t>강내면</t>
        </is>
      </c>
    </row>
    <row r="1281">
      <c r="A1281" s="3" t="n">
        <v>2026</v>
      </c>
      <c r="B1281" s="4" t="n">
        <v>47000</v>
      </c>
      <c r="C1281" s="4" t="n">
        <v>351</v>
      </c>
      <c r="D1281" s="3" t="inlineStr">
        <is>
          <t>고운동</t>
        </is>
      </c>
      <c r="E1281" s="3" t="inlineStr"/>
      <c r="F1281" s="3" t="inlineStr">
        <is>
          <t>제1종전용주거지역</t>
        </is>
      </c>
      <c r="G1281" s="3" t="inlineStr">
        <is>
          <t>대</t>
        </is>
      </c>
      <c r="H1281" s="4" t="n">
        <v>106.1775</v>
      </c>
      <c r="I1281" s="5" t="n">
        <v>442.7</v>
      </c>
      <c r="J1281" s="3" t="inlineStr">
        <is>
          <t>고운동</t>
        </is>
      </c>
    </row>
    <row r="1282">
      <c r="A1282" s="3" t="n">
        <v>2026</v>
      </c>
      <c r="B1282" s="4" t="n">
        <v>2052650</v>
      </c>
      <c r="C1282" s="4" t="n">
        <v>18000</v>
      </c>
      <c r="D1282" s="3" t="inlineStr">
        <is>
          <t>고운동</t>
        </is>
      </c>
      <c r="E1282" s="3" t="inlineStr"/>
      <c r="F1282" s="3" t="inlineStr">
        <is>
          <t>제2종일반주거지역</t>
        </is>
      </c>
      <c r="G1282" s="3" t="inlineStr">
        <is>
          <t>대</t>
        </is>
      </c>
      <c r="H1282" s="4" t="n">
        <v>5445</v>
      </c>
      <c r="I1282" s="5" t="n">
        <v>377</v>
      </c>
      <c r="J1282" s="3" t="inlineStr">
        <is>
          <t>고운동</t>
        </is>
      </c>
    </row>
    <row r="1283">
      <c r="A1283" s="3" t="n">
        <v>2026</v>
      </c>
      <c r="B1283" s="4" t="n">
        <v>1500</v>
      </c>
      <c r="C1283" s="4" t="n">
        <v>200</v>
      </c>
      <c r="D1283" s="3" t="inlineStr">
        <is>
          <t>연동면</t>
        </is>
      </c>
      <c r="E1283" s="3" t="inlineStr">
        <is>
          <t>송용리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60.5</v>
      </c>
      <c r="I1283" s="5" t="n">
        <v>24.8</v>
      </c>
      <c r="J1283" s="3" t="inlineStr">
        <is>
          <t>연동면</t>
        </is>
      </c>
    </row>
    <row r="1284">
      <c r="A1284" s="3" t="n">
        <v>2026</v>
      </c>
      <c r="B1284" s="4" t="n">
        <v>3000</v>
      </c>
      <c r="C1284" s="4" t="n">
        <v>17</v>
      </c>
      <c r="D1284" s="3" t="inlineStr">
        <is>
          <t>연서면</t>
        </is>
      </c>
      <c r="E1284" s="3" t="inlineStr">
        <is>
          <t>월하리</t>
        </is>
      </c>
      <c r="F1284" s="3" t="inlineStr">
        <is>
          <t>자연녹지지역</t>
        </is>
      </c>
      <c r="G1284" s="3" t="inlineStr">
        <is>
          <t>과수원</t>
        </is>
      </c>
      <c r="H1284" s="4" t="n">
        <v>5.1425</v>
      </c>
      <c r="I1284" s="5" t="n">
        <v>583.4</v>
      </c>
      <c r="J1284" s="3" t="inlineStr">
        <is>
          <t>연서면</t>
        </is>
      </c>
    </row>
    <row r="1285">
      <c r="A1285" s="3" t="n">
        <v>2025</v>
      </c>
      <c r="B1285" s="4" t="n">
        <v>3700</v>
      </c>
      <c r="C1285" s="4" t="n">
        <v>68</v>
      </c>
      <c r="D1285" s="3" t="inlineStr">
        <is>
          <t>조치원읍</t>
        </is>
      </c>
      <c r="E1285" s="3" t="inlineStr">
        <is>
          <t>봉산리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20.57</v>
      </c>
      <c r="I1285" s="5" t="n">
        <v>179.9</v>
      </c>
      <c r="J1285" s="3" t="inlineStr">
        <is>
          <t>조치원읍</t>
        </is>
      </c>
    </row>
    <row r="1286">
      <c r="A1286" s="3" t="n">
        <v>2025</v>
      </c>
      <c r="B1286" s="4" t="n">
        <v>1200</v>
      </c>
      <c r="C1286" s="4" t="n">
        <v>27</v>
      </c>
      <c r="D1286" s="3" t="inlineStr">
        <is>
          <t>조치원읍</t>
        </is>
      </c>
      <c r="E1286" s="3" t="inlineStr">
        <is>
          <t>봉산리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8.1675</v>
      </c>
      <c r="I1286" s="5" t="n">
        <v>146.9</v>
      </c>
      <c r="J1286" s="3" t="inlineStr">
        <is>
          <t>조치원읍</t>
        </is>
      </c>
    </row>
    <row r="1287">
      <c r="A1287" s="3" t="n">
        <v>2025</v>
      </c>
      <c r="B1287" s="4" t="n">
        <v>18265</v>
      </c>
      <c r="C1287" s="4" t="n">
        <v>929</v>
      </c>
      <c r="D1287" s="3" t="inlineStr">
        <is>
          <t>연동면</t>
        </is>
      </c>
      <c r="E1287" s="3" t="inlineStr">
        <is>
          <t>송용리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281.0225</v>
      </c>
      <c r="I1287" s="5" t="n">
        <v>65</v>
      </c>
      <c r="J1287" s="3" t="inlineStr">
        <is>
          <t>연동면</t>
        </is>
      </c>
    </row>
    <row r="1288">
      <c r="A1288" s="3" t="n">
        <v>2025</v>
      </c>
      <c r="B1288" s="4" t="n">
        <v>30000</v>
      </c>
      <c r="C1288" s="4" t="n">
        <v>1321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399.6025</v>
      </c>
      <c r="I1288" s="5" t="n">
        <v>75.09999999999999</v>
      </c>
      <c r="J1288" s="3" t="inlineStr">
        <is>
          <t>부강면</t>
        </is>
      </c>
    </row>
    <row r="1289">
      <c r="A1289" s="3" t="n">
        <v>2025</v>
      </c>
      <c r="B1289" s="4" t="n">
        <v>29150</v>
      </c>
      <c r="C1289" s="4" t="n">
        <v>289.9</v>
      </c>
      <c r="D1289" s="3" t="inlineStr">
        <is>
          <t>집현동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87.69474999999998</v>
      </c>
      <c r="I1289" s="5" t="n">
        <v>332.4</v>
      </c>
      <c r="J1289" s="3" t="inlineStr">
        <is>
          <t>집현동</t>
        </is>
      </c>
    </row>
    <row r="1290">
      <c r="A1290" s="3" t="n">
        <v>2025</v>
      </c>
      <c r="B1290" s="4" t="n">
        <v>21000</v>
      </c>
      <c r="C1290" s="4" t="n">
        <v>3967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1200.0175</v>
      </c>
      <c r="I1290" s="5" t="n">
        <v>17.5</v>
      </c>
      <c r="J1290" s="3" t="inlineStr">
        <is>
          <t>부강면</t>
        </is>
      </c>
    </row>
    <row r="1291">
      <c r="A1291" s="3" t="n">
        <v>2025</v>
      </c>
      <c r="B1291" s="4" t="n">
        <v>14800</v>
      </c>
      <c r="C1291" s="4" t="n">
        <v>1969.7</v>
      </c>
      <c r="D1291" s="3" t="inlineStr">
        <is>
          <t>부강면</t>
        </is>
      </c>
      <c r="E1291" s="3" t="inlineStr">
        <is>
          <t>산수리</t>
        </is>
      </c>
      <c r="F1291" s="3" t="inlineStr">
        <is>
          <t>농림지역</t>
        </is>
      </c>
      <c r="G1291" s="3" t="inlineStr">
        <is>
          <t>답</t>
        </is>
      </c>
      <c r="H1291" s="4" t="n">
        <v>595.83425</v>
      </c>
      <c r="I1291" s="5" t="n">
        <v>24.8</v>
      </c>
      <c r="J1291" s="3" t="inlineStr">
        <is>
          <t>부강면</t>
        </is>
      </c>
    </row>
    <row r="1292">
      <c r="A1292" s="3" t="n">
        <v>2025</v>
      </c>
      <c r="B1292" s="4" t="n">
        <v>43110</v>
      </c>
      <c r="C1292" s="4" t="n">
        <v>294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88.935</v>
      </c>
      <c r="I1292" s="5" t="n">
        <v>484.7</v>
      </c>
      <c r="J1292" s="3" t="inlineStr">
        <is>
          <t>고운동</t>
        </is>
      </c>
    </row>
    <row r="1293">
      <c r="A1293" s="3" t="n">
        <v>2025</v>
      </c>
      <c r="B1293" s="4" t="n">
        <v>1890</v>
      </c>
      <c r="C1293" s="4" t="n">
        <v>12.9</v>
      </c>
      <c r="D1293" s="3" t="inlineStr">
        <is>
          <t>고운동</t>
        </is>
      </c>
      <c r="E1293" s="3" t="inlineStr"/>
      <c r="F1293" s="3" t="inlineStr">
        <is>
          <t>제1종전용주거지역</t>
        </is>
      </c>
      <c r="G1293" s="3" t="inlineStr">
        <is>
          <t>주차장</t>
        </is>
      </c>
      <c r="H1293" s="4" t="n">
        <v>3.90225</v>
      </c>
      <c r="I1293" s="5" t="n">
        <v>484.3</v>
      </c>
      <c r="J1293" s="3" t="inlineStr">
        <is>
          <t>고운동</t>
        </is>
      </c>
    </row>
    <row r="1294">
      <c r="A1294" s="3" t="n">
        <v>2025</v>
      </c>
      <c r="B1294" s="4" t="n">
        <v>35000</v>
      </c>
      <c r="C1294" s="4" t="n">
        <v>297.3</v>
      </c>
      <c r="D1294" s="3" t="inlineStr">
        <is>
          <t>다정동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89.93325</v>
      </c>
      <c r="I1294" s="5" t="n">
        <v>389.2</v>
      </c>
      <c r="J1294" s="3" t="inlineStr">
        <is>
          <t>다정동</t>
        </is>
      </c>
    </row>
    <row r="1295">
      <c r="A1295" s="3" t="n">
        <v>2026</v>
      </c>
      <c r="B1295" s="4" t="n">
        <v>7880</v>
      </c>
      <c r="C1295" s="4" t="n">
        <v>651</v>
      </c>
      <c r="D1295" s="3" t="inlineStr">
        <is>
          <t>연서면</t>
        </is>
      </c>
      <c r="E1295" s="3" t="inlineStr">
        <is>
          <t>부동리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196.9275</v>
      </c>
      <c r="I1295" s="5" t="n">
        <v>40</v>
      </c>
      <c r="J1295" s="3" t="inlineStr">
        <is>
          <t>연서면</t>
        </is>
      </c>
    </row>
    <row r="1296">
      <c r="A1296" s="3" t="n">
        <v>2022</v>
      </c>
      <c r="B1296" s="4" t="n">
        <v>17285</v>
      </c>
      <c r="C1296" s="4" t="n">
        <v>477</v>
      </c>
      <c r="D1296" s="3" t="inlineStr">
        <is>
          <t>강내면</t>
        </is>
      </c>
      <c r="E1296" s="3" t="inlineStr">
        <is>
          <t>사인리</t>
        </is>
      </c>
      <c r="F1296" s="3" t="inlineStr">
        <is>
          <t>자연녹지지역</t>
        </is>
      </c>
      <c r="G1296" s="3" t="inlineStr">
        <is>
          <t>전</t>
        </is>
      </c>
      <c r="H1296" s="4" t="n">
        <v>144.2925</v>
      </c>
      <c r="I1296" s="5" t="n">
        <v>119.8</v>
      </c>
      <c r="J1296" s="3" t="inlineStr">
        <is>
          <t>강내면</t>
        </is>
      </c>
    </row>
    <row r="1297">
      <c r="A1297" s="3" t="n">
        <v>2022</v>
      </c>
      <c r="B1297" s="4" t="n">
        <v>63100</v>
      </c>
      <c r="C1297" s="4" t="n">
        <v>2675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농림지역</t>
        </is>
      </c>
      <c r="G1297" s="3" t="inlineStr">
        <is>
          <t>전</t>
        </is>
      </c>
      <c r="H1297" s="4" t="n">
        <v>809.1875</v>
      </c>
      <c r="I1297" s="5" t="n">
        <v>78</v>
      </c>
      <c r="J1297" s="3" t="inlineStr">
        <is>
          <t>강내면</t>
        </is>
      </c>
    </row>
    <row r="1298">
      <c r="A1298" s="3" t="n">
        <v>2022</v>
      </c>
      <c r="B1298" s="4" t="n">
        <v>30000</v>
      </c>
      <c r="C1298" s="4" t="n">
        <v>240.8</v>
      </c>
      <c r="D1298" s="3" t="inlineStr">
        <is>
          <t>오송읍</t>
        </is>
      </c>
      <c r="E1298" s="3" t="inlineStr">
        <is>
          <t>봉산리</t>
        </is>
      </c>
      <c r="F1298" s="3" t="inlineStr">
        <is>
          <t>제1종일반주거지역</t>
        </is>
      </c>
      <c r="G1298" s="3" t="inlineStr">
        <is>
          <t>대</t>
        </is>
      </c>
      <c r="H1298" s="4" t="n">
        <v>72.842</v>
      </c>
      <c r="I1298" s="5" t="n">
        <v>411.9</v>
      </c>
      <c r="J1298" s="3" t="inlineStr">
        <is>
          <t>오송읍</t>
        </is>
      </c>
    </row>
    <row r="1299">
      <c r="A1299" s="3" t="n">
        <v>2022</v>
      </c>
      <c r="B1299" s="4" t="n">
        <v>600</v>
      </c>
      <c r="C1299" s="4" t="n">
        <v>3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일반상업지역</t>
        </is>
      </c>
      <c r="G1299" s="3" t="inlineStr">
        <is>
          <t>전</t>
        </is>
      </c>
      <c r="H1299" s="4" t="n">
        <v>0.9075</v>
      </c>
      <c r="I1299" s="5" t="n">
        <v>661.2</v>
      </c>
      <c r="J1299" s="3" t="inlineStr">
        <is>
          <t>오송읍</t>
        </is>
      </c>
    </row>
    <row r="1300">
      <c r="A1300" s="3" t="n">
        <v>2022</v>
      </c>
      <c r="B1300" s="4" t="n">
        <v>1500</v>
      </c>
      <c r="C1300" s="4" t="n">
        <v>7</v>
      </c>
      <c r="D1300" s="3" t="inlineStr">
        <is>
          <t>오송읍</t>
        </is>
      </c>
      <c r="E1300" s="3" t="inlineStr">
        <is>
          <t>봉산리</t>
        </is>
      </c>
      <c r="F1300" s="3" t="inlineStr">
        <is>
          <t>계획관리지역</t>
        </is>
      </c>
      <c r="G1300" s="3" t="inlineStr">
        <is>
          <t>도로</t>
        </is>
      </c>
      <c r="H1300" s="4" t="n">
        <v>2.1175</v>
      </c>
      <c r="I1300" s="5" t="n">
        <v>708.4</v>
      </c>
      <c r="J1300" s="3" t="inlineStr">
        <is>
          <t>오송읍</t>
        </is>
      </c>
    </row>
    <row r="1301">
      <c r="A1301" s="3" t="n">
        <v>2022</v>
      </c>
      <c r="B1301" s="4" t="n">
        <v>36600</v>
      </c>
      <c r="C1301" s="4" t="n">
        <v>2330</v>
      </c>
      <c r="D1301" s="3" t="inlineStr">
        <is>
          <t>오송읍</t>
        </is>
      </c>
      <c r="E1301" s="3" t="inlineStr">
        <is>
          <t>동평리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704.8249999999999</v>
      </c>
      <c r="I1301" s="5" t="n">
        <v>51.9</v>
      </c>
      <c r="J1301" s="3" t="inlineStr">
        <is>
          <t>오송읍</t>
        </is>
      </c>
    </row>
    <row r="1302">
      <c r="A1302" s="3" t="n">
        <v>2022</v>
      </c>
      <c r="B1302" s="4" t="n">
        <v>2000</v>
      </c>
      <c r="C1302" s="4" t="n">
        <v>15</v>
      </c>
      <c r="D1302" s="3" t="inlineStr">
        <is>
          <t>오송읍</t>
        </is>
      </c>
      <c r="E1302" s="3" t="inlineStr">
        <is>
          <t>봉산리</t>
        </is>
      </c>
      <c r="F1302" s="3" t="inlineStr">
        <is>
          <t>계획관리지역</t>
        </is>
      </c>
      <c r="G1302" s="3" t="inlineStr">
        <is>
          <t>도로</t>
        </is>
      </c>
      <c r="H1302" s="4" t="n">
        <v>4.5375</v>
      </c>
      <c r="I1302" s="5" t="n">
        <v>440.8</v>
      </c>
      <c r="J1302" s="3" t="inlineStr">
        <is>
          <t>오송읍</t>
        </is>
      </c>
    </row>
    <row r="1303">
      <c r="A1303" s="3" t="n">
        <v>2022</v>
      </c>
      <c r="B1303" s="4" t="n">
        <v>20000</v>
      </c>
      <c r="C1303" s="4" t="n">
        <v>478</v>
      </c>
      <c r="D1303" s="3" t="inlineStr">
        <is>
          <t>오송읍</t>
        </is>
      </c>
      <c r="E1303" s="3" t="inlineStr">
        <is>
          <t>오송리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144.595</v>
      </c>
      <c r="I1303" s="5" t="n">
        <v>138.3</v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50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준주거지역</t>
        </is>
      </c>
      <c r="G1304" s="3" t="inlineStr">
        <is>
          <t>답</t>
        </is>
      </c>
      <c r="H1304" s="4" t="n">
        <v>15.125</v>
      </c>
      <c r="I1304" s="5" t="n">
        <v>528.9</v>
      </c>
      <c r="J1304" s="3" t="inlineStr">
        <is>
          <t>오송읍</t>
        </is>
      </c>
    </row>
    <row r="1305">
      <c r="A1305" s="3" t="n">
        <v>2022</v>
      </c>
      <c r="B1305" s="4" t="n">
        <v>3800</v>
      </c>
      <c r="C1305" s="4" t="n">
        <v>721</v>
      </c>
      <c r="D1305" s="3" t="inlineStr">
        <is>
          <t>강내면</t>
        </is>
      </c>
      <c r="E1305" s="3" t="inlineStr">
        <is>
          <t>학천리</t>
        </is>
      </c>
      <c r="F1305" s="3" t="inlineStr">
        <is>
          <t>생산녹지지역</t>
        </is>
      </c>
      <c r="G1305" s="3" t="inlineStr">
        <is>
          <t>전</t>
        </is>
      </c>
      <c r="H1305" s="4" t="n">
        <v>218.1025</v>
      </c>
      <c r="I1305" s="5" t="n">
        <v>17.4</v>
      </c>
      <c r="J1305" s="3" t="inlineStr">
        <is>
          <t>강내면</t>
        </is>
      </c>
    </row>
    <row r="1306">
      <c r="A1306" s="3" t="n">
        <v>2022</v>
      </c>
      <c r="B1306" s="4" t="n">
        <v>3200</v>
      </c>
      <c r="C1306" s="4" t="n">
        <v>612</v>
      </c>
      <c r="D1306" s="3" t="inlineStr">
        <is>
          <t>강내면</t>
        </is>
      </c>
      <c r="E1306" s="3" t="inlineStr">
        <is>
          <t>학천리</t>
        </is>
      </c>
      <c r="F1306" s="3" t="inlineStr">
        <is>
          <t>생산녹지지역</t>
        </is>
      </c>
      <c r="G1306" s="3" t="inlineStr">
        <is>
          <t>전</t>
        </is>
      </c>
      <c r="H1306" s="4" t="n">
        <v>185.13</v>
      </c>
      <c r="I1306" s="5" t="n">
        <v>17.3</v>
      </c>
      <c r="J1306" s="3" t="inlineStr">
        <is>
          <t>강내면</t>
        </is>
      </c>
    </row>
    <row r="1307">
      <c r="A1307" s="3" t="n">
        <v>2022</v>
      </c>
      <c r="B1307" s="4" t="n">
        <v>13000</v>
      </c>
      <c r="C1307" s="4" t="n">
        <v>192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제2종일반주거지역</t>
        </is>
      </c>
      <c r="G1307" s="3" t="inlineStr">
        <is>
          <t>대</t>
        </is>
      </c>
      <c r="H1307" s="4" t="n">
        <v>58.08</v>
      </c>
      <c r="I1307" s="5" t="n">
        <v>223.8</v>
      </c>
      <c r="J1307" s="3" t="inlineStr">
        <is>
          <t>강내면</t>
        </is>
      </c>
    </row>
    <row r="1308">
      <c r="A1308" s="3" t="n">
        <v>2022</v>
      </c>
      <c r="B1308" s="4" t="n">
        <v>27000</v>
      </c>
      <c r="C1308" s="4" t="n">
        <v>244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제1종일반주거지역</t>
        </is>
      </c>
      <c r="G1308" s="3" t="inlineStr">
        <is>
          <t>대</t>
        </is>
      </c>
      <c r="H1308" s="4" t="n">
        <v>73.81</v>
      </c>
      <c r="I1308" s="5" t="n">
        <v>365.8</v>
      </c>
      <c r="J1308" s="3" t="inlineStr">
        <is>
          <t>오송읍</t>
        </is>
      </c>
    </row>
    <row r="1309">
      <c r="A1309" s="3" t="n">
        <v>2022</v>
      </c>
      <c r="B1309" s="4" t="n">
        <v>45000</v>
      </c>
      <c r="C1309" s="4" t="n">
        <v>252.1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76.26025</v>
      </c>
      <c r="I1309" s="5" t="n">
        <v>590.1</v>
      </c>
      <c r="J1309" s="3" t="inlineStr">
        <is>
          <t>오송읍</t>
        </is>
      </c>
    </row>
    <row r="1310">
      <c r="A1310" s="3" t="n">
        <v>2023</v>
      </c>
      <c r="B1310" s="4" t="n">
        <v>460</v>
      </c>
      <c r="C1310" s="4" t="n">
        <v>87</v>
      </c>
      <c r="D1310" s="3" t="inlineStr">
        <is>
          <t>강내면</t>
        </is>
      </c>
      <c r="E1310" s="3" t="inlineStr">
        <is>
          <t>월탄리</t>
        </is>
      </c>
      <c r="F1310" s="3" t="inlineStr">
        <is>
          <t>계획관리지역</t>
        </is>
      </c>
      <c r="G1310" s="3" t="inlineStr">
        <is>
          <t>도로</t>
        </is>
      </c>
      <c r="H1310" s="4" t="n">
        <v>26.3175</v>
      </c>
      <c r="I1310" s="5" t="n">
        <v>17.5</v>
      </c>
      <c r="J1310" s="3" t="inlineStr">
        <is>
          <t>강내면</t>
        </is>
      </c>
    </row>
    <row r="1311">
      <c r="A1311" s="3" t="n">
        <v>2023</v>
      </c>
      <c r="B1311" s="4" t="n">
        <v>440</v>
      </c>
      <c r="C1311" s="4" t="n">
        <v>83</v>
      </c>
      <c r="D1311" s="3" t="inlineStr">
        <is>
          <t>강내면</t>
        </is>
      </c>
      <c r="E1311" s="3" t="inlineStr">
        <is>
          <t>월탄리</t>
        </is>
      </c>
      <c r="F1311" s="3" t="inlineStr">
        <is>
          <t>계획관리지역</t>
        </is>
      </c>
      <c r="G1311" s="3" t="inlineStr">
        <is>
          <t>도로</t>
        </is>
      </c>
      <c r="H1311" s="4" t="n">
        <v>25.1075</v>
      </c>
      <c r="I1311" s="5" t="n">
        <v>17.5</v>
      </c>
      <c r="J1311" s="3" t="inlineStr">
        <is>
          <t>강내면</t>
        </is>
      </c>
    </row>
    <row r="1312">
      <c r="A1312" s="3" t="n">
        <v>2023</v>
      </c>
      <c r="B1312" s="4" t="n">
        <v>3800</v>
      </c>
      <c r="C1312" s="4" t="n">
        <v>64</v>
      </c>
      <c r="D1312" s="3" t="inlineStr">
        <is>
          <t>오송읍</t>
        </is>
      </c>
      <c r="E1312" s="3" t="inlineStr">
        <is>
          <t>오송리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19.36</v>
      </c>
      <c r="I1312" s="5" t="n">
        <v>196.3</v>
      </c>
      <c r="J1312" s="3" t="inlineStr">
        <is>
          <t>오송읍</t>
        </is>
      </c>
    </row>
    <row r="1313">
      <c r="A1313" s="3" t="n">
        <v>2023</v>
      </c>
      <c r="B1313" s="4" t="n">
        <v>19200</v>
      </c>
      <c r="C1313" s="4" t="n">
        <v>318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96.19499999999999</v>
      </c>
      <c r="I1313" s="5" t="n">
        <v>199.6</v>
      </c>
      <c r="J1313" s="3" t="inlineStr">
        <is>
          <t>오송읍</t>
        </is>
      </c>
    </row>
    <row r="1314">
      <c r="A1314" s="3" t="n">
        <v>2023</v>
      </c>
      <c r="B1314" s="4" t="n">
        <v>200</v>
      </c>
      <c r="C1314" s="4" t="n">
        <v>5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1.5125</v>
      </c>
      <c r="I1314" s="5" t="n">
        <v>132.2</v>
      </c>
      <c r="J1314" s="3" t="inlineStr">
        <is>
          <t>오송읍</t>
        </is>
      </c>
    </row>
    <row r="1315">
      <c r="A1315" s="3" t="n">
        <v>2023</v>
      </c>
      <c r="B1315" s="4" t="n">
        <v>60100</v>
      </c>
      <c r="C1315" s="4" t="n">
        <v>783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236.8575</v>
      </c>
      <c r="I1315" s="5" t="n">
        <v>253.7</v>
      </c>
      <c r="J1315" s="3" t="inlineStr">
        <is>
          <t>오송읍</t>
        </is>
      </c>
    </row>
    <row r="1316">
      <c r="A1316" s="3" t="n">
        <v>2023</v>
      </c>
      <c r="B1316" s="4" t="n">
        <v>10200</v>
      </c>
      <c r="C1316" s="4" t="n">
        <v>225</v>
      </c>
      <c r="D1316" s="3" t="inlineStr">
        <is>
          <t>오송읍</t>
        </is>
      </c>
      <c r="E1316" s="3" t="inlineStr">
        <is>
          <t>동평리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68.0625</v>
      </c>
      <c r="I1316" s="5" t="n">
        <v>149.9</v>
      </c>
      <c r="J1316" s="3" t="inlineStr">
        <is>
          <t>오송읍</t>
        </is>
      </c>
    </row>
    <row r="1317">
      <c r="A1317" s="3" t="n">
        <v>2023</v>
      </c>
      <c r="B1317" s="4" t="n">
        <v>9000</v>
      </c>
      <c r="C1317" s="4" t="n">
        <v>893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270.1325</v>
      </c>
      <c r="I1317" s="5" t="n">
        <v>33.3</v>
      </c>
      <c r="J1317" s="3" t="inlineStr">
        <is>
          <t>강내면</t>
        </is>
      </c>
    </row>
    <row r="1318">
      <c r="A1318" s="3" t="n">
        <v>2023</v>
      </c>
      <c r="B1318" s="4" t="n">
        <v>3000</v>
      </c>
      <c r="C1318" s="4" t="n">
        <v>308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93.17</v>
      </c>
      <c r="I1318" s="5" t="n">
        <v>32.2</v>
      </c>
      <c r="J1318" s="3" t="inlineStr">
        <is>
          <t>강내면</t>
        </is>
      </c>
    </row>
    <row r="1319">
      <c r="A1319" s="3" t="n">
        <v>2023</v>
      </c>
      <c r="B1319" s="4" t="n">
        <v>4000</v>
      </c>
      <c r="C1319" s="4" t="n">
        <v>250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자연녹지지역</t>
        </is>
      </c>
      <c r="G1319" s="3" t="inlineStr">
        <is>
          <t>전</t>
        </is>
      </c>
      <c r="H1319" s="4" t="n">
        <v>75.625</v>
      </c>
      <c r="I1319" s="5" t="n">
        <v>52.9</v>
      </c>
      <c r="J1319" s="3" t="inlineStr">
        <is>
          <t>강내면</t>
        </is>
      </c>
    </row>
    <row r="1320">
      <c r="A1320" s="3" t="n">
        <v>2023</v>
      </c>
      <c r="B1320" s="4" t="n">
        <v>240000</v>
      </c>
      <c r="C1320" s="4" t="n">
        <v>17005</v>
      </c>
      <c r="D1320" s="3" t="inlineStr">
        <is>
          <t>강내면</t>
        </is>
      </c>
      <c r="E1320" s="3" t="inlineStr">
        <is>
          <t>황탄리</t>
        </is>
      </c>
      <c r="F1320" s="3" t="inlineStr">
        <is>
          <t>보전관리지역</t>
        </is>
      </c>
      <c r="G1320" s="3" t="inlineStr">
        <is>
          <t>임야</t>
        </is>
      </c>
      <c r="H1320" s="4" t="n">
        <v>5144.0125</v>
      </c>
      <c r="I1320" s="5" t="n">
        <v>46.7</v>
      </c>
      <c r="J1320" s="3" t="inlineStr">
        <is>
          <t>강내면</t>
        </is>
      </c>
    </row>
    <row r="1321">
      <c r="A1321" s="3" t="n">
        <v>2023</v>
      </c>
      <c r="B1321" s="4" t="n">
        <v>19000</v>
      </c>
      <c r="C1321" s="4" t="n">
        <v>2083</v>
      </c>
      <c r="D1321" s="3" t="inlineStr">
        <is>
          <t>강내면</t>
        </is>
      </c>
      <c r="E1321" s="3" t="inlineStr">
        <is>
          <t>저산리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630.1075</v>
      </c>
      <c r="I1321" s="5" t="n">
        <v>30.2</v>
      </c>
      <c r="J1321" s="3" t="inlineStr">
        <is>
          <t>강내면</t>
        </is>
      </c>
    </row>
    <row r="1322">
      <c r="A1322" s="3" t="n">
        <v>2023</v>
      </c>
      <c r="B1322" s="4" t="n">
        <v>19200</v>
      </c>
      <c r="C1322" s="4" t="n">
        <v>1322</v>
      </c>
      <c r="D1322" s="3" t="inlineStr">
        <is>
          <t>강내면</t>
        </is>
      </c>
      <c r="E1322" s="3" t="inlineStr">
        <is>
          <t>궁현리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399.905</v>
      </c>
      <c r="I1322" s="5" t="n">
        <v>48</v>
      </c>
      <c r="J1322" s="3" t="inlineStr">
        <is>
          <t>강내면</t>
        </is>
      </c>
    </row>
    <row r="1323">
      <c r="A1323" s="3" t="n">
        <v>2023</v>
      </c>
      <c r="B1323" s="4" t="n">
        <v>31644</v>
      </c>
      <c r="C1323" s="4" t="n">
        <v>758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전</t>
        </is>
      </c>
      <c r="H1323" s="4" t="n">
        <v>229.295</v>
      </c>
      <c r="I1323" s="5" t="n">
        <v>138</v>
      </c>
      <c r="J1323" s="3" t="inlineStr">
        <is>
          <t>오송읍</t>
        </is>
      </c>
    </row>
    <row r="1324">
      <c r="A1324" s="3" t="n">
        <v>2023</v>
      </c>
      <c r="B1324" s="4" t="n">
        <v>48080</v>
      </c>
      <c r="C1324" s="4" t="n">
        <v>620</v>
      </c>
      <c r="D1324" s="3" t="inlineStr">
        <is>
          <t>오송읍</t>
        </is>
      </c>
      <c r="E1324" s="3" t="inlineStr">
        <is>
          <t>궁평리</t>
        </is>
      </c>
      <c r="F1324" s="3" t="inlineStr">
        <is>
          <t>농림지역</t>
        </is>
      </c>
      <c r="G1324" s="3" t="inlineStr">
        <is>
          <t>대</t>
        </is>
      </c>
      <c r="H1324" s="4" t="n">
        <v>187.55</v>
      </c>
      <c r="I1324" s="5" t="n">
        <v>256.4</v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273.8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82.8245</v>
      </c>
      <c r="I1325" s="5" t="n">
        <v>362.2</v>
      </c>
      <c r="J1325" s="3" t="inlineStr">
        <is>
          <t>오송읍</t>
        </is>
      </c>
    </row>
    <row r="1326">
      <c r="A1326" s="3" t="n">
        <v>2023</v>
      </c>
      <c r="B1326" s="4" t="n">
        <v>13892</v>
      </c>
      <c r="C1326" s="4" t="n">
        <v>418</v>
      </c>
      <c r="D1326" s="3" t="inlineStr">
        <is>
          <t>강내면</t>
        </is>
      </c>
      <c r="E1326" s="3" t="inlineStr">
        <is>
          <t>저산리</t>
        </is>
      </c>
      <c r="F1326" s="3" t="inlineStr">
        <is>
          <t>보전관리지역</t>
        </is>
      </c>
      <c r="G1326" s="3" t="inlineStr">
        <is>
          <t>대</t>
        </is>
      </c>
      <c r="H1326" s="4" t="n">
        <v>126.445</v>
      </c>
      <c r="I1326" s="5" t="n">
        <v>109.9</v>
      </c>
      <c r="J1326" s="3" t="inlineStr">
        <is>
          <t>강내면</t>
        </is>
      </c>
    </row>
    <row r="1327">
      <c r="A1327" s="3" t="n">
        <v>2023</v>
      </c>
      <c r="B1327" s="4" t="n">
        <v>36310</v>
      </c>
      <c r="C1327" s="4" t="n">
        <v>532</v>
      </c>
      <c r="D1327" s="3" t="inlineStr">
        <is>
          <t>오송읍</t>
        </is>
      </c>
      <c r="E1327" s="3" t="inlineStr">
        <is>
          <t>정중리</t>
        </is>
      </c>
      <c r="F1327" s="3" t="inlineStr">
        <is>
          <t>생산관리지역</t>
        </is>
      </c>
      <c r="G1327" s="3" t="inlineStr">
        <is>
          <t>임야</t>
        </is>
      </c>
      <c r="H1327" s="4" t="n">
        <v>160.93</v>
      </c>
      <c r="I1327" s="5" t="n">
        <v>225.6</v>
      </c>
      <c r="J1327" s="3" t="inlineStr">
        <is>
          <t>오송읍</t>
        </is>
      </c>
    </row>
    <row r="1328">
      <c r="A1328" s="3" t="n">
        <v>2023</v>
      </c>
      <c r="B1328" s="4" t="n">
        <v>50000</v>
      </c>
      <c r="C1328" s="4" t="n">
        <v>1083</v>
      </c>
      <c r="D1328" s="3" t="inlineStr">
        <is>
          <t>오송읍</t>
        </is>
      </c>
      <c r="E1328" s="3" t="inlineStr">
        <is>
          <t>연제리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327.6075</v>
      </c>
      <c r="I1328" s="5" t="n">
        <v>152.6</v>
      </c>
      <c r="J1328" s="3" t="inlineStr">
        <is>
          <t>오송읍</t>
        </is>
      </c>
    </row>
    <row r="1329">
      <c r="A1329" s="3" t="n">
        <v>2025</v>
      </c>
      <c r="B1329" s="4" t="n">
        <v>983</v>
      </c>
      <c r="C1329" s="4" t="n">
        <v>25</v>
      </c>
      <c r="D1329" s="3" t="inlineStr">
        <is>
          <t>연서면</t>
        </is>
      </c>
      <c r="E1329" s="3" t="inlineStr">
        <is>
          <t>신대리</t>
        </is>
      </c>
      <c r="F1329" s="3" t="inlineStr">
        <is>
          <t>보전관리지역</t>
        </is>
      </c>
      <c r="G1329" s="3" t="inlineStr">
        <is>
          <t>대</t>
        </is>
      </c>
      <c r="H1329" s="4" t="n">
        <v>7.5625</v>
      </c>
      <c r="I1329" s="5" t="n">
        <v>130</v>
      </c>
      <c r="J1329" s="3" t="inlineStr">
        <is>
          <t>연서면</t>
        </is>
      </c>
    </row>
    <row r="1330">
      <c r="A1330" s="3" t="n">
        <v>2025</v>
      </c>
      <c r="B1330" s="4" t="n">
        <v>22730</v>
      </c>
      <c r="C1330" s="4" t="n">
        <v>578</v>
      </c>
      <c r="D1330" s="3" t="inlineStr">
        <is>
          <t>연서면</t>
        </is>
      </c>
      <c r="E1330" s="3" t="inlineStr">
        <is>
          <t>신대리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174.845</v>
      </c>
      <c r="I1330" s="5" t="n">
        <v>130</v>
      </c>
      <c r="J1330" s="3" t="inlineStr">
        <is>
          <t>연서면</t>
        </is>
      </c>
    </row>
    <row r="1331">
      <c r="A1331" s="3" t="n">
        <v>2024</v>
      </c>
      <c r="B1331" s="4" t="n">
        <v>1658</v>
      </c>
      <c r="C1331" s="4" t="n">
        <v>24</v>
      </c>
      <c r="D1331" s="3" t="inlineStr">
        <is>
          <t>오송읍</t>
        </is>
      </c>
      <c r="E1331" s="3" t="inlineStr">
        <is>
          <t>궁평리</t>
        </is>
      </c>
      <c r="F1331" s="3" t="inlineStr">
        <is>
          <t>계획관리지역</t>
        </is>
      </c>
      <c r="G1331" s="3" t="inlineStr">
        <is>
          <t>도로</t>
        </is>
      </c>
      <c r="H1331" s="4" t="n">
        <v>7.26</v>
      </c>
      <c r="I1331" s="5" t="n">
        <v>228.4</v>
      </c>
      <c r="J1331" s="3" t="inlineStr">
        <is>
          <t>오송읍</t>
        </is>
      </c>
    </row>
    <row r="1332">
      <c r="A1332" s="3" t="n">
        <v>2024</v>
      </c>
      <c r="B1332" s="4" t="n">
        <v>34600</v>
      </c>
      <c r="C1332" s="4" t="n">
        <v>2084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630.41</v>
      </c>
      <c r="I1332" s="5" t="n">
        <v>54.9</v>
      </c>
      <c r="J1332" s="3" t="inlineStr">
        <is>
          <t>오송읍</t>
        </is>
      </c>
    </row>
    <row r="1333">
      <c r="A1333" s="3" t="n">
        <v>2024</v>
      </c>
      <c r="B1333" s="4" t="n">
        <v>1200</v>
      </c>
      <c r="C1333" s="4" t="n">
        <v>15</v>
      </c>
      <c r="D1333" s="3" t="inlineStr">
        <is>
          <t>오송읍</t>
        </is>
      </c>
      <c r="E1333" s="3" t="inlineStr">
        <is>
          <t>오송리</t>
        </is>
      </c>
      <c r="F1333" s="3" t="inlineStr">
        <is>
          <t>계획관리지역</t>
        </is>
      </c>
      <c r="G1333" s="3" t="inlineStr">
        <is>
          <t>대</t>
        </is>
      </c>
      <c r="H1333" s="4" t="n">
        <v>4.5375</v>
      </c>
      <c r="I1333" s="5" t="n">
        <v>264.5</v>
      </c>
      <c r="J1333" s="3" t="inlineStr">
        <is>
          <t>오송읍</t>
        </is>
      </c>
    </row>
    <row r="1334">
      <c r="A1334" s="3" t="n">
        <v>2024</v>
      </c>
      <c r="B1334" s="4" t="n">
        <v>19600</v>
      </c>
      <c r="C1334" s="4" t="n">
        <v>1617</v>
      </c>
      <c r="D1334" s="3" t="inlineStr">
        <is>
          <t>오송읍</t>
        </is>
      </c>
      <c r="E1334" s="3" t="inlineStr">
        <is>
          <t>호계리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489.1425</v>
      </c>
      <c r="I1334" s="5" t="n">
        <v>40.1</v>
      </c>
      <c r="J1334" s="3" t="inlineStr">
        <is>
          <t>오송읍</t>
        </is>
      </c>
    </row>
    <row r="1335">
      <c r="A1335" s="3" t="n">
        <v>2024</v>
      </c>
      <c r="B1335" s="4" t="n">
        <v>4520</v>
      </c>
      <c r="C1335" s="4" t="n">
        <v>377</v>
      </c>
      <c r="D1335" s="3" t="inlineStr">
        <is>
          <t>오송읍</t>
        </is>
      </c>
      <c r="E1335" s="3" t="inlineStr">
        <is>
          <t>호계리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114.0425</v>
      </c>
      <c r="I1335" s="5" t="n">
        <v>39.6</v>
      </c>
      <c r="J1335" s="3" t="inlineStr">
        <is>
          <t>오송읍</t>
        </is>
      </c>
    </row>
    <row r="1336">
      <c r="A1336" s="3" t="n">
        <v>2024</v>
      </c>
      <c r="B1336" s="4" t="n">
        <v>23000</v>
      </c>
      <c r="C1336" s="4" t="n">
        <v>460</v>
      </c>
      <c r="D1336" s="3" t="inlineStr">
        <is>
          <t>강내면</t>
        </is>
      </c>
      <c r="E1336" s="3" t="inlineStr">
        <is>
          <t>사곡리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139.15</v>
      </c>
      <c r="I1336" s="5" t="n">
        <v>165.3</v>
      </c>
      <c r="J1336" s="3" t="inlineStr">
        <is>
          <t>강내면</t>
        </is>
      </c>
    </row>
    <row r="1337">
      <c r="A1337" s="3" t="n">
        <v>2024</v>
      </c>
      <c r="B1337" s="4" t="n">
        <v>55000</v>
      </c>
      <c r="C1337" s="4" t="n">
        <v>257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제2종일반주거지역</t>
        </is>
      </c>
      <c r="G1337" s="3" t="inlineStr">
        <is>
          <t>답</t>
        </is>
      </c>
      <c r="H1337" s="4" t="n">
        <v>77.74249999999999</v>
      </c>
      <c r="I1337" s="5" t="n">
        <v>707.5</v>
      </c>
      <c r="J1337" s="3" t="inlineStr">
        <is>
          <t>강내면</t>
        </is>
      </c>
    </row>
    <row r="1338">
      <c r="A1338" s="3" t="n">
        <v>2024</v>
      </c>
      <c r="B1338" s="4" t="n">
        <v>316</v>
      </c>
      <c r="C1338" s="4" t="n">
        <v>10</v>
      </c>
      <c r="D1338" s="3" t="inlineStr">
        <is>
          <t>오송읍</t>
        </is>
      </c>
      <c r="E1338" s="3" t="inlineStr">
        <is>
          <t>상정리</t>
        </is>
      </c>
      <c r="F1338" s="3" t="inlineStr">
        <is>
          <t>보전관리지역</t>
        </is>
      </c>
      <c r="G1338" s="3" t="inlineStr">
        <is>
          <t>대</t>
        </is>
      </c>
      <c r="H1338" s="4" t="n">
        <v>3.025</v>
      </c>
      <c r="I1338" s="5" t="n">
        <v>104.5</v>
      </c>
      <c r="J1338" s="3" t="inlineStr">
        <is>
          <t>오송읍</t>
        </is>
      </c>
    </row>
    <row r="1339">
      <c r="A1339" s="3" t="n">
        <v>2024</v>
      </c>
      <c r="B1339" s="4" t="n">
        <v>37296</v>
      </c>
      <c r="C1339" s="4" t="n">
        <v>1102</v>
      </c>
      <c r="D1339" s="3" t="inlineStr">
        <is>
          <t>오송읍</t>
        </is>
      </c>
      <c r="E1339" s="3" t="inlineStr">
        <is>
          <t>쌍청리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333.355</v>
      </c>
      <c r="I1339" s="5" t="n">
        <v>111.9</v>
      </c>
      <c r="J1339" s="3" t="inlineStr">
        <is>
          <t>오송읍</t>
        </is>
      </c>
    </row>
    <row r="1340">
      <c r="A1340" s="3" t="n">
        <v>2024</v>
      </c>
      <c r="B1340" s="4" t="n">
        <v>12849</v>
      </c>
      <c r="C1340" s="4" t="n">
        <v>390</v>
      </c>
      <c r="D1340" s="3" t="inlineStr">
        <is>
          <t>강내면</t>
        </is>
      </c>
      <c r="E1340" s="3" t="inlineStr">
        <is>
          <t>저산리</t>
        </is>
      </c>
      <c r="F1340" s="3" t="inlineStr">
        <is>
          <t>계획관리지역</t>
        </is>
      </c>
      <c r="G1340" s="3" t="inlineStr">
        <is>
          <t>임야</t>
        </is>
      </c>
      <c r="H1340" s="4" t="n">
        <v>117.975</v>
      </c>
      <c r="I1340" s="5" t="n">
        <v>108.9</v>
      </c>
      <c r="J1340" s="3" t="inlineStr">
        <is>
          <t>강내면</t>
        </is>
      </c>
    </row>
    <row r="1341">
      <c r="A1341" s="3" t="n">
        <v>2024</v>
      </c>
      <c r="B1341" s="4" t="n">
        <v>320</v>
      </c>
      <c r="C1341" s="4" t="n">
        <v>37</v>
      </c>
      <c r="D1341" s="3" t="inlineStr">
        <is>
          <t>강내면</t>
        </is>
      </c>
      <c r="E1341" s="3" t="inlineStr">
        <is>
          <t>당곡리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11.1925</v>
      </c>
      <c r="I1341" s="5" t="n">
        <v>28.6</v>
      </c>
      <c r="J1341" s="3" t="inlineStr">
        <is>
          <t>강내면</t>
        </is>
      </c>
    </row>
    <row r="1342">
      <c r="A1342" s="3" t="n">
        <v>2023</v>
      </c>
      <c r="B1342" s="4" t="n">
        <v>33600</v>
      </c>
      <c r="C1342" s="4" t="n">
        <v>529.9</v>
      </c>
      <c r="D1342" s="3" t="inlineStr">
        <is>
          <t>강내면</t>
        </is>
      </c>
      <c r="E1342" s="3" t="inlineStr">
        <is>
          <t>사곡리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160.29475</v>
      </c>
      <c r="I1342" s="5" t="n">
        <v>209.6</v>
      </c>
      <c r="J1342" s="3" t="inlineStr">
        <is>
          <t>강내면</t>
        </is>
      </c>
    </row>
    <row r="1343">
      <c r="A1343" s="3" t="n">
        <v>2026</v>
      </c>
      <c r="B1343" s="4" t="n">
        <v>59944</v>
      </c>
      <c r="C1343" s="4" t="n">
        <v>1649.9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일반공업지역</t>
        </is>
      </c>
      <c r="G1343" s="3" t="inlineStr">
        <is>
          <t>공장용지</t>
        </is>
      </c>
      <c r="H1343" s="4" t="n">
        <v>499.09475</v>
      </c>
      <c r="I1343" s="5" t="n">
        <v>120.1</v>
      </c>
      <c r="J1343" s="3" t="inlineStr">
        <is>
          <t>오송읍</t>
        </is>
      </c>
    </row>
    <row r="1344">
      <c r="A1344" s="3" t="n">
        <v>2026</v>
      </c>
      <c r="B1344" s="4" t="n">
        <v>12327</v>
      </c>
      <c r="C1344" s="4" t="n">
        <v>168.7</v>
      </c>
      <c r="D1344" s="3" t="inlineStr">
        <is>
          <t>오송읍</t>
        </is>
      </c>
      <c r="E1344" s="3" t="inlineStr">
        <is>
          <t>만수리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51.03175</v>
      </c>
      <c r="I1344" s="5" t="n">
        <v>241.6</v>
      </c>
      <c r="J1344" s="3" t="inlineStr">
        <is>
          <t>오송읍</t>
        </is>
      </c>
    </row>
    <row r="1345">
      <c r="A1345" s="3" t="n">
        <v>2026</v>
      </c>
      <c r="B1345" s="4" t="n">
        <v>7673</v>
      </c>
      <c r="C1345" s="4" t="n">
        <v>105</v>
      </c>
      <c r="D1345" s="3" t="inlineStr">
        <is>
          <t>오송읍</t>
        </is>
      </c>
      <c r="E1345" s="3" t="inlineStr">
        <is>
          <t>봉산리</t>
        </is>
      </c>
      <c r="F1345" s="3" t="inlineStr">
        <is>
          <t>제1종일반주거지역</t>
        </is>
      </c>
      <c r="G1345" s="3" t="inlineStr">
        <is>
          <t>대</t>
        </is>
      </c>
      <c r="H1345" s="4" t="n">
        <v>31.7625</v>
      </c>
      <c r="I1345" s="5" t="n">
        <v>241.6</v>
      </c>
      <c r="J1345" s="3" t="inlineStr">
        <is>
          <t>오송읍</t>
        </is>
      </c>
    </row>
    <row r="1346">
      <c r="A1346" s="3" t="n">
        <v>2026</v>
      </c>
      <c r="B1346" s="4" t="n">
        <v>24668</v>
      </c>
      <c r="C1346" s="4" t="n">
        <v>524.1</v>
      </c>
      <c r="D1346" s="3" t="inlineStr">
        <is>
          <t>강내면</t>
        </is>
      </c>
      <c r="E1346" s="3" t="inlineStr">
        <is>
          <t>사곡리</t>
        </is>
      </c>
      <c r="F1346" s="3" t="inlineStr">
        <is>
          <t>보전관리지역</t>
        </is>
      </c>
      <c r="G1346" s="3" t="inlineStr">
        <is>
          <t>대</t>
        </is>
      </c>
      <c r="H1346" s="4" t="n">
        <v>158.54025</v>
      </c>
      <c r="I1346" s="5" t="n">
        <v>155.6</v>
      </c>
      <c r="J1346" s="3" t="inlineStr">
        <is>
          <t>강내면</t>
        </is>
      </c>
    </row>
    <row r="1347">
      <c r="A1347" s="3" t="n">
        <v>2026</v>
      </c>
      <c r="B1347" s="4" t="n">
        <v>26000</v>
      </c>
      <c r="C1347" s="4" t="n">
        <v>873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자연녹지지역</t>
        </is>
      </c>
      <c r="G1347" s="3" t="inlineStr">
        <is>
          <t>전</t>
        </is>
      </c>
      <c r="H1347" s="4" t="n">
        <v>264.0825</v>
      </c>
      <c r="I1347" s="5" t="n">
        <v>98.5</v>
      </c>
      <c r="J1347" s="3" t="inlineStr">
        <is>
          <t>강내면</t>
        </is>
      </c>
    </row>
    <row r="1348">
      <c r="A1348" s="3" t="n">
        <v>2026</v>
      </c>
      <c r="B1348" s="4" t="n">
        <v>42700</v>
      </c>
      <c r="C1348" s="4" t="n">
        <v>2016</v>
      </c>
      <c r="D1348" s="3" t="inlineStr">
        <is>
          <t>오송읍</t>
        </is>
      </c>
      <c r="E1348" s="3" t="inlineStr">
        <is>
          <t>서평리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609.84</v>
      </c>
      <c r="I1348" s="5" t="n">
        <v>70</v>
      </c>
      <c r="J1348" s="3" t="inlineStr">
        <is>
          <t>오송읍</t>
        </is>
      </c>
    </row>
    <row r="1349">
      <c r="A1349" s="3" t="n">
        <v>2026</v>
      </c>
      <c r="B1349" s="4" t="n">
        <v>20610</v>
      </c>
      <c r="C1349" s="4" t="n">
        <v>2272.1</v>
      </c>
      <c r="D1349" s="3" t="inlineStr">
        <is>
          <t>강내면</t>
        </is>
      </c>
      <c r="E1349" s="3" t="inlineStr">
        <is>
          <t>저산리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687.31025</v>
      </c>
      <c r="I1349" s="5" t="n">
        <v>30</v>
      </c>
      <c r="J1349" s="3" t="inlineStr">
        <is>
          <t>강내면</t>
        </is>
      </c>
    </row>
    <row r="1350">
      <c r="A1350" s="3" t="n">
        <v>2026</v>
      </c>
      <c r="B1350" s="4" t="n">
        <v>5500</v>
      </c>
      <c r="C1350" s="4" t="n">
        <v>99</v>
      </c>
      <c r="D1350" s="3" t="inlineStr">
        <is>
          <t>오송읍</t>
        </is>
      </c>
      <c r="E1350" s="3" t="inlineStr">
        <is>
          <t>만수리</t>
        </is>
      </c>
      <c r="F1350" s="3" t="inlineStr">
        <is>
          <t>농림지역</t>
        </is>
      </c>
      <c r="G1350" s="3" t="inlineStr">
        <is>
          <t>대</t>
        </is>
      </c>
      <c r="H1350" s="4" t="n">
        <v>29.9475</v>
      </c>
      <c r="I1350" s="5" t="n">
        <v>183.7</v>
      </c>
      <c r="J1350" s="3" t="inlineStr">
        <is>
          <t>오송읍</t>
        </is>
      </c>
    </row>
    <row r="1351">
      <c r="A1351" s="3" t="n">
        <v>2026</v>
      </c>
      <c r="B1351" s="4" t="n">
        <v>45000</v>
      </c>
      <c r="C1351" s="4" t="n">
        <v>2618</v>
      </c>
      <c r="D1351" s="3" t="inlineStr">
        <is>
          <t>오송읍</t>
        </is>
      </c>
      <c r="E1351" s="3" t="inlineStr">
        <is>
          <t>서평리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791.9449999999999</v>
      </c>
      <c r="I1351" s="5" t="n">
        <v>56.8</v>
      </c>
      <c r="J1351" s="3" t="inlineStr">
        <is>
          <t>오송읍</t>
        </is>
      </c>
    </row>
    <row r="1352">
      <c r="A1352" s="3" t="n">
        <v>2026</v>
      </c>
      <c r="B1352" s="4" t="n">
        <v>24000</v>
      </c>
      <c r="C1352" s="4" t="n">
        <v>2304</v>
      </c>
      <c r="D1352" s="3" t="inlineStr">
        <is>
          <t>강내면</t>
        </is>
      </c>
      <c r="E1352" s="3" t="inlineStr">
        <is>
          <t>학천리</t>
        </is>
      </c>
      <c r="F1352" s="3" t="inlineStr">
        <is>
          <t>생산녹지지역</t>
        </is>
      </c>
      <c r="G1352" s="3" t="inlineStr">
        <is>
          <t>답</t>
        </is>
      </c>
      <c r="H1352" s="4" t="n">
        <v>696.96</v>
      </c>
      <c r="I1352" s="5" t="n">
        <v>34.4</v>
      </c>
      <c r="J1352" s="3" t="inlineStr">
        <is>
          <t>강내면</t>
        </is>
      </c>
    </row>
    <row r="1353">
      <c r="A1353" s="3" t="n">
        <v>2026</v>
      </c>
      <c r="B1353" s="4" t="n">
        <v>12000</v>
      </c>
      <c r="C1353" s="4" t="n">
        <v>426</v>
      </c>
      <c r="D1353" s="3" t="inlineStr">
        <is>
          <t>강내면</t>
        </is>
      </c>
      <c r="E1353" s="3" t="inlineStr">
        <is>
          <t>석화리</t>
        </is>
      </c>
      <c r="F1353" s="3" t="inlineStr">
        <is>
          <t>자연녹지지역</t>
        </is>
      </c>
      <c r="G1353" s="3" t="inlineStr">
        <is>
          <t>전</t>
        </is>
      </c>
      <c r="H1353" s="4" t="n">
        <v>128.865</v>
      </c>
      <c r="I1353" s="5" t="n">
        <v>93.09999999999999</v>
      </c>
      <c r="J1353" s="3" t="inlineStr">
        <is>
          <t>강내면</t>
        </is>
      </c>
    </row>
    <row r="1354">
      <c r="A1354" s="3" t="n">
        <v>2026</v>
      </c>
      <c r="B1354" s="4" t="n">
        <v>6000</v>
      </c>
      <c r="C1354" s="4" t="n">
        <v>1137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농림지역</t>
        </is>
      </c>
      <c r="G1354" s="3" t="inlineStr">
        <is>
          <t>전</t>
        </is>
      </c>
      <c r="H1354" s="4" t="n">
        <v>343.9425</v>
      </c>
      <c r="I1354" s="5" t="n">
        <v>17.4</v>
      </c>
      <c r="J1354" s="3" t="inlineStr">
        <is>
          <t>강내면</t>
        </is>
      </c>
    </row>
    <row r="1355">
      <c r="A1355" s="3" t="n">
        <v>2026</v>
      </c>
      <c r="B1355" s="4" t="n">
        <v>94000</v>
      </c>
      <c r="C1355" s="4" t="n">
        <v>3132</v>
      </c>
      <c r="D1355" s="3" t="inlineStr">
        <is>
          <t>오송읍</t>
        </is>
      </c>
      <c r="E1355" s="3" t="inlineStr">
        <is>
          <t>서평리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947.4299999999999</v>
      </c>
      <c r="I1355" s="5" t="n">
        <v>99.2</v>
      </c>
      <c r="J1355" s="3" t="inlineStr">
        <is>
          <t>오송읍</t>
        </is>
      </c>
    </row>
    <row r="1356">
      <c r="A1356" s="3" t="n">
        <v>2026</v>
      </c>
      <c r="B1356" s="4" t="n">
        <v>35420</v>
      </c>
      <c r="C1356" s="4" t="n">
        <v>1954</v>
      </c>
      <c r="D1356" s="3" t="inlineStr">
        <is>
          <t>오송읍</t>
        </is>
      </c>
      <c r="E1356" s="3" t="inlineStr">
        <is>
          <t>서평리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591.085</v>
      </c>
      <c r="I1356" s="5" t="n">
        <v>59.9</v>
      </c>
      <c r="J1356" s="3" t="inlineStr">
        <is>
          <t>오송읍</t>
        </is>
      </c>
    </row>
    <row r="1357">
      <c r="A1357" s="3" t="n">
        <v>2026</v>
      </c>
      <c r="B1357" s="4" t="n">
        <v>17800</v>
      </c>
      <c r="C1357" s="4" t="n">
        <v>982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297.055</v>
      </c>
      <c r="I1357" s="5" t="n">
        <v>59.9</v>
      </c>
      <c r="J1357" s="3" t="inlineStr">
        <is>
          <t>오송읍</t>
        </is>
      </c>
    </row>
    <row r="1358">
      <c r="A1358" s="3" t="n">
        <v>2026</v>
      </c>
      <c r="B1358" s="4" t="n">
        <v>6780</v>
      </c>
      <c r="C1358" s="4" t="n">
        <v>375</v>
      </c>
      <c r="D1358" s="3" t="inlineStr">
        <is>
          <t>오송읍</t>
        </is>
      </c>
      <c r="E1358" s="3" t="inlineStr">
        <is>
          <t>서평리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113.4375</v>
      </c>
      <c r="I1358" s="5" t="n">
        <v>59.8</v>
      </c>
      <c r="J1358" s="3" t="inlineStr">
        <is>
          <t>오송읍</t>
        </is>
      </c>
    </row>
    <row r="1359">
      <c r="A1359" s="3" t="n">
        <v>2023</v>
      </c>
      <c r="B1359" s="4" t="n">
        <v>9535</v>
      </c>
      <c r="C1359" s="4" t="n">
        <v>97</v>
      </c>
      <c r="D1359" s="3" t="inlineStr">
        <is>
          <t>오송읍</t>
        </is>
      </c>
      <c r="E1359" s="3" t="inlineStr">
        <is>
          <t>정중리</t>
        </is>
      </c>
      <c r="F1359" s="3" t="inlineStr">
        <is>
          <t>계획관리지역</t>
        </is>
      </c>
      <c r="G1359" s="3" t="inlineStr">
        <is>
          <t>대</t>
        </is>
      </c>
      <c r="H1359" s="4" t="n">
        <v>29.3425</v>
      </c>
      <c r="I1359" s="5" t="n">
        <v>325</v>
      </c>
      <c r="J1359" s="3" t="inlineStr">
        <is>
          <t>오송읍</t>
        </is>
      </c>
    </row>
    <row r="1360">
      <c r="A1360" s="3" t="n">
        <v>2023</v>
      </c>
      <c r="B1360" s="4" t="n">
        <v>22820</v>
      </c>
      <c r="C1360" s="4" t="n">
        <v>1247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377.2175</v>
      </c>
      <c r="I1360" s="5" t="n">
        <v>60.5</v>
      </c>
      <c r="J1360" s="3" t="inlineStr">
        <is>
          <t>강내면</t>
        </is>
      </c>
    </row>
    <row r="1361">
      <c r="A1361" s="3" t="n">
        <v>2023</v>
      </c>
      <c r="B1361" s="4" t="n">
        <v>31231</v>
      </c>
      <c r="C1361" s="4" t="n">
        <v>958</v>
      </c>
      <c r="D1361" s="3" t="inlineStr">
        <is>
          <t>오송읍</t>
        </is>
      </c>
      <c r="E1361" s="3" t="inlineStr">
        <is>
          <t>연제리</t>
        </is>
      </c>
      <c r="F1361" s="3" t="inlineStr">
        <is>
          <t>계획관리지역</t>
        </is>
      </c>
      <c r="G1361" s="3" t="inlineStr">
        <is>
          <t>구거</t>
        </is>
      </c>
      <c r="H1361" s="4" t="n">
        <v>289.795</v>
      </c>
      <c r="I1361" s="5" t="n">
        <v>107.8</v>
      </c>
      <c r="J1361" s="3" t="inlineStr">
        <is>
          <t>오송읍</t>
        </is>
      </c>
    </row>
    <row r="1362">
      <c r="A1362" s="3" t="n">
        <v>2023</v>
      </c>
      <c r="B1362" s="4" t="n">
        <v>12714</v>
      </c>
      <c r="C1362" s="4" t="n">
        <v>390</v>
      </c>
      <c r="D1362" s="3" t="inlineStr">
        <is>
          <t>오송읍</t>
        </is>
      </c>
      <c r="E1362" s="3" t="inlineStr">
        <is>
          <t>연제리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117.975</v>
      </c>
      <c r="I1362" s="5" t="n">
        <v>107.8</v>
      </c>
      <c r="J1362" s="3" t="inlineStr">
        <is>
          <t>오송읍</t>
        </is>
      </c>
    </row>
    <row r="1363">
      <c r="A1363" s="3" t="n">
        <v>2023</v>
      </c>
      <c r="B1363" s="4" t="n">
        <v>18700</v>
      </c>
      <c r="C1363" s="4" t="n">
        <v>1031</v>
      </c>
      <c r="D1363" s="3" t="inlineStr">
        <is>
          <t>강내면</t>
        </is>
      </c>
      <c r="E1363" s="3" t="inlineStr">
        <is>
          <t>월곡리</t>
        </is>
      </c>
      <c r="F1363" s="3" t="inlineStr">
        <is>
          <t>자연녹지지역</t>
        </is>
      </c>
      <c r="G1363" s="3" t="inlineStr">
        <is>
          <t>답</t>
        </is>
      </c>
      <c r="H1363" s="4" t="n">
        <v>311.8775</v>
      </c>
      <c r="I1363" s="5" t="n">
        <v>60</v>
      </c>
      <c r="J1363" s="3" t="inlineStr">
        <is>
          <t>강내면</t>
        </is>
      </c>
    </row>
    <row r="1364">
      <c r="A1364" s="3" t="n">
        <v>2023</v>
      </c>
      <c r="B1364" s="4" t="n">
        <v>7011</v>
      </c>
      <c r="C1364" s="4" t="n">
        <v>155.8</v>
      </c>
      <c r="D1364" s="3" t="inlineStr">
        <is>
          <t>오송읍</t>
        </is>
      </c>
      <c r="E1364" s="3" t="inlineStr">
        <is>
          <t>공북리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47.1295</v>
      </c>
      <c r="I1364" s="5" t="n">
        <v>148.8</v>
      </c>
      <c r="J1364" s="3" t="inlineStr">
        <is>
          <t>오송읍</t>
        </is>
      </c>
    </row>
    <row r="1365">
      <c r="A1365" s="3" t="n">
        <v>2023</v>
      </c>
      <c r="B1365" s="4" t="n">
        <v>3312</v>
      </c>
      <c r="C1365" s="4" t="n">
        <v>73.59999999999999</v>
      </c>
      <c r="D1365" s="3" t="inlineStr">
        <is>
          <t>오송읍</t>
        </is>
      </c>
      <c r="E1365" s="3" t="inlineStr">
        <is>
          <t>공북리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22.264</v>
      </c>
      <c r="I1365" s="5" t="n">
        <v>148.8</v>
      </c>
      <c r="J1365" s="3" t="inlineStr">
        <is>
          <t>오송읍</t>
        </is>
      </c>
    </row>
    <row r="1366">
      <c r="A1366" s="3" t="n">
        <v>2023</v>
      </c>
      <c r="B1366" s="4" t="n">
        <v>21000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195</v>
      </c>
      <c r="J1366" s="3" t="inlineStr">
        <is>
          <t>오송읍</t>
        </is>
      </c>
    </row>
    <row r="1367">
      <c r="A1367" s="3" t="n">
        <v>2023</v>
      </c>
      <c r="B1367" s="4" t="n">
        <v>28282</v>
      </c>
      <c r="C1367" s="4" t="n">
        <v>550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대</t>
        </is>
      </c>
      <c r="H1367" s="4" t="n">
        <v>166.375</v>
      </c>
      <c r="I1367" s="5" t="n">
        <v>170</v>
      </c>
      <c r="J1367" s="3" t="inlineStr">
        <is>
          <t>오송읍</t>
        </is>
      </c>
    </row>
    <row r="1368">
      <c r="A1368" s="3" t="n">
        <v>2023</v>
      </c>
      <c r="B1368" s="4" t="n">
        <v>12000</v>
      </c>
      <c r="C1368" s="4" t="n">
        <v>182</v>
      </c>
      <c r="D1368" s="3" t="inlineStr">
        <is>
          <t>오송읍</t>
        </is>
      </c>
      <c r="E1368" s="3" t="inlineStr">
        <is>
          <t>오송리</t>
        </is>
      </c>
      <c r="F1368" s="3" t="inlineStr">
        <is>
          <t>계획관리지역</t>
        </is>
      </c>
      <c r="G1368" s="3" t="inlineStr">
        <is>
          <t>대</t>
        </is>
      </c>
      <c r="H1368" s="4" t="n">
        <v>55.055</v>
      </c>
      <c r="I1368" s="5" t="n">
        <v>218</v>
      </c>
      <c r="J1368" s="3" t="inlineStr">
        <is>
          <t>오송읍</t>
        </is>
      </c>
    </row>
    <row r="1369">
      <c r="A1369" s="3" t="n">
        <v>2023</v>
      </c>
      <c r="B1369" s="4" t="n">
        <v>5162</v>
      </c>
      <c r="C1369" s="4" t="n">
        <v>99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대</t>
        </is>
      </c>
      <c r="H1369" s="4" t="n">
        <v>29.9475</v>
      </c>
      <c r="I1369" s="5" t="n">
        <v>172.4</v>
      </c>
      <c r="J1369" s="3" t="inlineStr">
        <is>
          <t>오송읍</t>
        </is>
      </c>
    </row>
    <row r="1370">
      <c r="A1370" s="3" t="n">
        <v>2025</v>
      </c>
      <c r="B1370" s="4" t="n">
        <v>30000</v>
      </c>
      <c r="C1370" s="4" t="n">
        <v>267.6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80.949</v>
      </c>
      <c r="I1370" s="5" t="n">
        <v>370.6</v>
      </c>
      <c r="J1370" s="3" t="inlineStr">
        <is>
          <t>오송읍</t>
        </is>
      </c>
    </row>
    <row r="1371">
      <c r="A1371" s="3" t="n">
        <v>2025</v>
      </c>
      <c r="B1371" s="4" t="n">
        <v>37500</v>
      </c>
      <c r="C1371" s="4" t="n">
        <v>249.1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75.35275</v>
      </c>
      <c r="I1371" s="5" t="n">
        <v>497.7</v>
      </c>
      <c r="J1371" s="3" t="inlineStr">
        <is>
          <t>오송읍</t>
        </is>
      </c>
    </row>
    <row r="1372">
      <c r="A1372" s="3" t="n">
        <v>2025</v>
      </c>
      <c r="B1372" s="4" t="n">
        <v>32000</v>
      </c>
      <c r="C1372" s="4" t="n">
        <v>287.1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86.84775</v>
      </c>
      <c r="I1372" s="5" t="n">
        <v>368.5</v>
      </c>
      <c r="J1372" s="3" t="inlineStr">
        <is>
          <t>오송읍</t>
        </is>
      </c>
    </row>
    <row r="1373">
      <c r="A1373" s="3" t="n">
        <v>2025</v>
      </c>
      <c r="B1373" s="4" t="n">
        <v>55000</v>
      </c>
      <c r="C1373" s="4" t="n">
        <v>3306</v>
      </c>
      <c r="D1373" s="3" t="inlineStr">
        <is>
          <t>오송읍</t>
        </is>
      </c>
      <c r="E1373" s="3" t="inlineStr">
        <is>
          <t>서평리</t>
        </is>
      </c>
      <c r="F1373" s="3" t="inlineStr">
        <is>
          <t>생산관리지역</t>
        </is>
      </c>
      <c r="G1373" s="3" t="inlineStr">
        <is>
          <t>전</t>
        </is>
      </c>
      <c r="H1373" s="4" t="n">
        <v>1000.065</v>
      </c>
      <c r="I1373" s="5" t="n">
        <v>55</v>
      </c>
      <c r="J1373" s="3" t="inlineStr">
        <is>
          <t>오송읍</t>
        </is>
      </c>
    </row>
    <row r="1374">
      <c r="A1374" s="3" t="n">
        <v>2025</v>
      </c>
      <c r="B1374" s="4" t="n">
        <v>30000</v>
      </c>
      <c r="C1374" s="4" t="n">
        <v>1653</v>
      </c>
      <c r="D1374" s="3" t="inlineStr">
        <is>
          <t>오송읍</t>
        </is>
      </c>
      <c r="E1374" s="3" t="inlineStr">
        <is>
          <t>서평리</t>
        </is>
      </c>
      <c r="F1374" s="3" t="inlineStr">
        <is>
          <t>생산관리지역</t>
        </is>
      </c>
      <c r="G1374" s="3" t="inlineStr">
        <is>
          <t>전</t>
        </is>
      </c>
      <c r="H1374" s="4" t="n">
        <v>500.0325</v>
      </c>
      <c r="I1374" s="5" t="n">
        <v>60</v>
      </c>
      <c r="J1374" s="3" t="inlineStr">
        <is>
          <t>오송읍</t>
        </is>
      </c>
    </row>
    <row r="1375">
      <c r="A1375" s="3" t="n">
        <v>2025</v>
      </c>
      <c r="B1375" s="4" t="n">
        <v>10000</v>
      </c>
      <c r="C1375" s="4" t="n">
        <v>340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농림지역</t>
        </is>
      </c>
      <c r="G1375" s="3" t="inlineStr">
        <is>
          <t>답</t>
        </is>
      </c>
      <c r="H1375" s="4" t="n">
        <v>102.85</v>
      </c>
      <c r="I1375" s="5" t="n">
        <v>97.2</v>
      </c>
      <c r="J1375" s="3" t="inlineStr">
        <is>
          <t>강내면</t>
        </is>
      </c>
    </row>
    <row r="1376">
      <c r="A1376" s="3" t="n">
        <v>2025</v>
      </c>
      <c r="B1376" s="4" t="n">
        <v>28992</v>
      </c>
      <c r="C1376" s="4" t="n">
        <v>1997</v>
      </c>
      <c r="D1376" s="3" t="inlineStr">
        <is>
          <t>오송읍</t>
        </is>
      </c>
      <c r="E1376" s="3" t="inlineStr">
        <is>
          <t>호계리</t>
        </is>
      </c>
      <c r="F1376" s="3" t="inlineStr">
        <is>
          <t>농림지역</t>
        </is>
      </c>
      <c r="G1376" s="3" t="inlineStr">
        <is>
          <t>답</t>
        </is>
      </c>
      <c r="H1376" s="4" t="n">
        <v>604.0925</v>
      </c>
      <c r="I1376" s="5" t="n">
        <v>48</v>
      </c>
      <c r="J1376" s="3" t="inlineStr">
        <is>
          <t>오송읍</t>
        </is>
      </c>
    </row>
    <row r="1377">
      <c r="A1377" s="3" t="n">
        <v>2025</v>
      </c>
      <c r="B1377" s="4" t="n">
        <v>28944</v>
      </c>
      <c r="C1377" s="4" t="n">
        <v>1993</v>
      </c>
      <c r="D1377" s="3" t="inlineStr">
        <is>
          <t>오송읍</t>
        </is>
      </c>
      <c r="E1377" s="3" t="inlineStr">
        <is>
          <t>호계리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602.8824999999999</v>
      </c>
      <c r="I1377" s="5" t="n">
        <v>48</v>
      </c>
      <c r="J1377" s="3" t="inlineStr">
        <is>
          <t>오송읍</t>
        </is>
      </c>
    </row>
    <row r="1378">
      <c r="A1378" s="3" t="n">
        <v>2025</v>
      </c>
      <c r="B1378" s="4" t="n">
        <v>55000</v>
      </c>
      <c r="C1378" s="4" t="n">
        <v>2340</v>
      </c>
      <c r="D1378" s="3" t="inlineStr">
        <is>
          <t>강내면</t>
        </is>
      </c>
      <c r="E1378" s="3" t="inlineStr">
        <is>
          <t>사곡리</t>
        </is>
      </c>
      <c r="F1378" s="3" t="inlineStr">
        <is>
          <t>계획관리지역</t>
        </is>
      </c>
      <c r="G1378" s="3" t="inlineStr">
        <is>
          <t>전</t>
        </is>
      </c>
      <c r="H1378" s="4" t="n">
        <v>707.85</v>
      </c>
      <c r="I1378" s="5" t="n">
        <v>77.7</v>
      </c>
      <c r="J1378" s="3" t="inlineStr">
        <is>
          <t>강내면</t>
        </is>
      </c>
    </row>
    <row r="1379">
      <c r="A1379" s="3" t="n">
        <v>2025</v>
      </c>
      <c r="B1379" s="4" t="n">
        <v>61000</v>
      </c>
      <c r="C1379" s="4" t="n">
        <v>1125</v>
      </c>
      <c r="D1379" s="3" t="inlineStr">
        <is>
          <t>강내면</t>
        </is>
      </c>
      <c r="E1379" s="3" t="inlineStr">
        <is>
          <t>탑연리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340.3125</v>
      </c>
      <c r="I1379" s="5" t="n">
        <v>179.2</v>
      </c>
      <c r="J1379" s="3" t="inlineStr">
        <is>
          <t>강내면</t>
        </is>
      </c>
    </row>
    <row r="1380">
      <c r="A1380" s="3" t="n">
        <v>2025</v>
      </c>
      <c r="B1380" s="4" t="n">
        <v>15000</v>
      </c>
      <c r="C1380" s="4" t="n">
        <v>365</v>
      </c>
      <c r="D1380" s="3" t="inlineStr">
        <is>
          <t>오송읍</t>
        </is>
      </c>
      <c r="E1380" s="3" t="inlineStr">
        <is>
          <t>공북리</t>
        </is>
      </c>
      <c r="F1380" s="3" t="inlineStr">
        <is>
          <t>계획관리지역</t>
        </is>
      </c>
      <c r="G1380" s="3" t="inlineStr">
        <is>
          <t>답</t>
        </is>
      </c>
      <c r="H1380" s="4" t="n">
        <v>110.4125</v>
      </c>
      <c r="I1380" s="5" t="n">
        <v>135.9</v>
      </c>
      <c r="J1380" s="3" t="inlineStr">
        <is>
          <t>오송읍</t>
        </is>
      </c>
    </row>
    <row r="1381">
      <c r="A1381" s="3" t="n">
        <v>2025</v>
      </c>
      <c r="B1381" s="4" t="n">
        <v>24400</v>
      </c>
      <c r="C1381" s="4" t="n">
        <v>1375</v>
      </c>
      <c r="D1381" s="3" t="inlineStr">
        <is>
          <t>오송읍</t>
        </is>
      </c>
      <c r="E1381" s="3" t="inlineStr">
        <is>
          <t>서평리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415.9375</v>
      </c>
      <c r="I1381" s="5" t="n">
        <v>58.7</v>
      </c>
      <c r="J1381" s="3" t="inlineStr">
        <is>
          <t>오송읍</t>
        </is>
      </c>
    </row>
    <row r="1382">
      <c r="A1382" s="3" t="n">
        <v>2024</v>
      </c>
      <c r="B1382" s="4" t="n">
        <v>52000</v>
      </c>
      <c r="C1382" s="4" t="n">
        <v>2565</v>
      </c>
      <c r="D1382" s="3" t="inlineStr">
        <is>
          <t>연서면</t>
        </is>
      </c>
      <c r="E1382" s="3" t="inlineStr">
        <is>
          <t>쌍류리</t>
        </is>
      </c>
      <c r="F1382" s="3" t="inlineStr">
        <is>
          <t>생산관리지역</t>
        </is>
      </c>
      <c r="G1382" s="3" t="inlineStr">
        <is>
          <t>과수원</t>
        </is>
      </c>
      <c r="H1382" s="4" t="n">
        <v>775.9125</v>
      </c>
      <c r="I1382" s="5" t="n">
        <v>67</v>
      </c>
      <c r="J1382" s="3" t="inlineStr">
        <is>
          <t>연서면</t>
        </is>
      </c>
    </row>
    <row r="1383">
      <c r="A1383" s="3" t="n">
        <v>2024</v>
      </c>
      <c r="B1383" s="4" t="n">
        <v>43000</v>
      </c>
      <c r="C1383" s="4" t="n">
        <v>303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과수원</t>
        </is>
      </c>
      <c r="H1383" s="4" t="n">
        <v>91.6575</v>
      </c>
      <c r="I1383" s="5" t="n">
        <v>469.1</v>
      </c>
      <c r="J1383" s="3" t="inlineStr">
        <is>
          <t>연동면</t>
        </is>
      </c>
    </row>
    <row r="1384">
      <c r="A1384" s="3" t="n">
        <v>2024</v>
      </c>
      <c r="B1384" s="4" t="n">
        <v>15480</v>
      </c>
      <c r="C1384" s="4" t="n">
        <v>1279</v>
      </c>
      <c r="D1384" s="3" t="inlineStr">
        <is>
          <t>부강면</t>
        </is>
      </c>
      <c r="E1384" s="3" t="inlineStr">
        <is>
          <t>노호리</t>
        </is>
      </c>
      <c r="F1384" s="3" t="inlineStr">
        <is>
          <t>계획관리지역</t>
        </is>
      </c>
      <c r="G1384" s="3" t="inlineStr">
        <is>
          <t>답</t>
        </is>
      </c>
      <c r="H1384" s="4" t="n">
        <v>386.8975</v>
      </c>
      <c r="I1384" s="5" t="n">
        <v>40</v>
      </c>
      <c r="J1384" s="3" t="inlineStr">
        <is>
          <t>부강면</t>
        </is>
      </c>
    </row>
    <row r="1385">
      <c r="A1385" s="3" t="n">
        <v>2024</v>
      </c>
      <c r="B1385" s="4" t="n">
        <v>16680</v>
      </c>
      <c r="C1385" s="4" t="n">
        <v>1838</v>
      </c>
      <c r="D1385" s="3" t="inlineStr">
        <is>
          <t>부강면</t>
        </is>
      </c>
      <c r="E1385" s="3" t="inlineStr">
        <is>
          <t>노호리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555.995</v>
      </c>
      <c r="I1385" s="5" t="n">
        <v>30</v>
      </c>
      <c r="J1385" s="3" t="inlineStr">
        <is>
          <t>부강면</t>
        </is>
      </c>
    </row>
    <row r="1386">
      <c r="A1386" s="3" t="n">
        <v>2023</v>
      </c>
      <c r="B1386" s="4" t="n">
        <v>40300</v>
      </c>
      <c r="C1386" s="4" t="n">
        <v>277.8</v>
      </c>
      <c r="D1386" s="3" t="inlineStr">
        <is>
          <t>한솔동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84.03449999999999</v>
      </c>
      <c r="I1386" s="5" t="n">
        <v>479.6</v>
      </c>
      <c r="J1386" s="3" t="inlineStr">
        <is>
          <t>한솔동</t>
        </is>
      </c>
    </row>
    <row r="1387">
      <c r="A1387" s="3" t="n">
        <v>2023</v>
      </c>
      <c r="B1387" s="4" t="n">
        <v>57600</v>
      </c>
      <c r="C1387" s="4" t="n">
        <v>1709</v>
      </c>
      <c r="D1387" s="3" t="inlineStr">
        <is>
          <t>부강면</t>
        </is>
      </c>
      <c r="E1387" s="3" t="inlineStr">
        <is>
          <t>노호리</t>
        </is>
      </c>
      <c r="F1387" s="3" t="inlineStr">
        <is>
          <t>계획관리지역</t>
        </is>
      </c>
      <c r="G1387" s="3" t="inlineStr">
        <is>
          <t>철도용지</t>
        </is>
      </c>
      <c r="H1387" s="4" t="n">
        <v>516.9725</v>
      </c>
      <c r="I1387" s="5" t="n">
        <v>111.4</v>
      </c>
      <c r="J1387" s="3" t="inlineStr">
        <is>
          <t>부강면</t>
        </is>
      </c>
    </row>
    <row r="1388">
      <c r="A1388" s="3" t="n">
        <v>2025</v>
      </c>
      <c r="B1388" s="4" t="n">
        <v>15400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계획관리지역</t>
        </is>
      </c>
      <c r="G1388" s="3" t="inlineStr">
        <is>
          <t>대</t>
        </is>
      </c>
      <c r="H1388" s="4" t="n">
        <v>25.41</v>
      </c>
      <c r="I1388" s="5" t="n">
        <v>606.1</v>
      </c>
      <c r="J1388" s="3" t="inlineStr">
        <is>
          <t>오송읍</t>
        </is>
      </c>
    </row>
    <row r="1389">
      <c r="A1389" s="3" t="n">
        <v>2025</v>
      </c>
      <c r="B1389" s="4" t="n">
        <v>590000</v>
      </c>
      <c r="C1389" s="4" t="n">
        <v>1436.7</v>
      </c>
      <c r="D1389" s="3" t="inlineStr">
        <is>
          <t>오송읍</t>
        </is>
      </c>
      <c r="E1389" s="3" t="inlineStr">
        <is>
          <t>봉산리</t>
        </is>
      </c>
      <c r="F1389" s="3" t="inlineStr">
        <is>
          <t>일반상업지역</t>
        </is>
      </c>
      <c r="G1389" s="3" t="inlineStr">
        <is>
          <t>대</t>
        </is>
      </c>
      <c r="H1389" s="4" t="n">
        <v>434.60175</v>
      </c>
      <c r="I1389" s="5" t="n">
        <v>1357.6</v>
      </c>
      <c r="J1389" s="3" t="inlineStr">
        <is>
          <t>오송읍</t>
        </is>
      </c>
    </row>
    <row r="1390">
      <c r="A1390" s="3" t="n">
        <v>2025</v>
      </c>
      <c r="B1390" s="4" t="n">
        <v>8220</v>
      </c>
      <c r="C1390" s="4" t="n">
        <v>143</v>
      </c>
      <c r="D1390" s="3" t="inlineStr">
        <is>
          <t>오송읍</t>
        </is>
      </c>
      <c r="E1390" s="3" t="inlineStr">
        <is>
          <t>궁평리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43.2575</v>
      </c>
      <c r="I1390" s="5" t="n">
        <v>190</v>
      </c>
      <c r="J1390" s="3" t="inlineStr">
        <is>
          <t>오송읍</t>
        </is>
      </c>
    </row>
    <row r="1391">
      <c r="A1391" s="3" t="n">
        <v>2025</v>
      </c>
      <c r="B1391" s="4" t="n">
        <v>4140</v>
      </c>
      <c r="C1391" s="4" t="n">
        <v>72</v>
      </c>
      <c r="D1391" s="3" t="inlineStr">
        <is>
          <t>오송읍</t>
        </is>
      </c>
      <c r="E1391" s="3" t="inlineStr">
        <is>
          <t>궁평리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21.78</v>
      </c>
      <c r="I1391" s="5" t="n">
        <v>190.1</v>
      </c>
      <c r="J1391" s="3" t="inlineStr">
        <is>
          <t>오송읍</t>
        </is>
      </c>
    </row>
    <row r="1392">
      <c r="A1392" s="3" t="n">
        <v>2025</v>
      </c>
      <c r="B1392" s="4" t="n">
        <v>30500</v>
      </c>
      <c r="C1392" s="4" t="n">
        <v>273.4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82.70349999999999</v>
      </c>
      <c r="I1392" s="5" t="n">
        <v>368.8</v>
      </c>
      <c r="J1392" s="3" t="inlineStr">
        <is>
          <t>오송읍</t>
        </is>
      </c>
    </row>
    <row r="1393">
      <c r="A1393" s="3" t="n">
        <v>2025</v>
      </c>
      <c r="B1393" s="4" t="n">
        <v>500</v>
      </c>
      <c r="C1393" s="4" t="n">
        <v>134</v>
      </c>
      <c r="D1393" s="3" t="inlineStr">
        <is>
          <t>강내면</t>
        </is>
      </c>
      <c r="E1393" s="3" t="inlineStr">
        <is>
          <t>사인리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40.535</v>
      </c>
      <c r="I1393" s="5" t="n">
        <v>12.3</v>
      </c>
      <c r="J1393" s="3" t="inlineStr">
        <is>
          <t>강내면</t>
        </is>
      </c>
    </row>
    <row r="1394">
      <c r="A1394" s="3" t="n">
        <v>2022</v>
      </c>
      <c r="B1394" s="4" t="n">
        <v>64800</v>
      </c>
      <c r="C1394" s="4" t="n">
        <v>2144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전</t>
        </is>
      </c>
      <c r="H1394" s="4" t="n">
        <v>648.5599999999999</v>
      </c>
      <c r="I1394" s="5" t="n">
        <v>99.90000000000001</v>
      </c>
      <c r="J1394" s="3" t="inlineStr">
        <is>
          <t>오송읍</t>
        </is>
      </c>
    </row>
    <row r="1395">
      <c r="A1395" s="3" t="n">
        <v>2022</v>
      </c>
      <c r="B1395" s="4" t="n">
        <v>9120</v>
      </c>
      <c r="C1395" s="4" t="n">
        <v>383</v>
      </c>
      <c r="D1395" s="3" t="inlineStr">
        <is>
          <t>강내면</t>
        </is>
      </c>
      <c r="E1395" s="3" t="inlineStr">
        <is>
          <t>당곡리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115.8575</v>
      </c>
      <c r="I1395" s="5" t="n">
        <v>78.7</v>
      </c>
      <c r="J1395" s="3" t="inlineStr">
        <is>
          <t>강내면</t>
        </is>
      </c>
    </row>
    <row r="1396">
      <c r="A1396" s="3" t="n">
        <v>2022</v>
      </c>
      <c r="B1396" s="4" t="n">
        <v>28000</v>
      </c>
      <c r="C1396" s="4" t="n">
        <v>296.7</v>
      </c>
      <c r="D1396" s="3" t="inlineStr">
        <is>
          <t>오송읍</t>
        </is>
      </c>
      <c r="E1396" s="3" t="inlineStr">
        <is>
          <t>봉산리</t>
        </is>
      </c>
      <c r="F1396" s="3" t="inlineStr">
        <is>
          <t>제1종일반주거지역</t>
        </is>
      </c>
      <c r="G1396" s="3" t="inlineStr">
        <is>
          <t>대</t>
        </is>
      </c>
      <c r="H1396" s="4" t="n">
        <v>89.75174999999999</v>
      </c>
      <c r="I1396" s="5" t="n">
        <v>312</v>
      </c>
      <c r="J1396" s="3" t="inlineStr">
        <is>
          <t>오송읍</t>
        </is>
      </c>
    </row>
    <row r="1397">
      <c r="A1397" s="3" t="n">
        <v>2022</v>
      </c>
      <c r="B1397" s="4" t="n">
        <v>28000</v>
      </c>
      <c r="C1397" s="4" t="n">
        <v>274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82.88499999999999</v>
      </c>
      <c r="I1397" s="5" t="n">
        <v>337.8</v>
      </c>
      <c r="J1397" s="3" t="inlineStr">
        <is>
          <t>오송읍</t>
        </is>
      </c>
    </row>
    <row r="1398">
      <c r="A1398" s="3" t="n">
        <v>2022</v>
      </c>
      <c r="B1398" s="4" t="n">
        <v>18950</v>
      </c>
      <c r="C1398" s="4" t="n">
        <v>1160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농림지역</t>
        </is>
      </c>
      <c r="G1398" s="3" t="inlineStr">
        <is>
          <t>답</t>
        </is>
      </c>
      <c r="H1398" s="4" t="n">
        <v>350.9</v>
      </c>
      <c r="I1398" s="5" t="n">
        <v>54</v>
      </c>
      <c r="J1398" s="3" t="inlineStr">
        <is>
          <t>오송읍</t>
        </is>
      </c>
    </row>
    <row r="1399">
      <c r="A1399" s="3" t="n">
        <v>2022</v>
      </c>
      <c r="B1399" s="4" t="n">
        <v>42000</v>
      </c>
      <c r="C1399" s="4" t="n">
        <v>517</v>
      </c>
      <c r="D1399" s="3" t="inlineStr">
        <is>
          <t>오송읍</t>
        </is>
      </c>
      <c r="E1399" s="3" t="inlineStr">
        <is>
          <t>연제리</t>
        </is>
      </c>
      <c r="F1399" s="3" t="inlineStr">
        <is>
          <t>계획관리지역</t>
        </is>
      </c>
      <c r="G1399" s="3" t="inlineStr">
        <is>
          <t>공장용지</t>
        </is>
      </c>
      <c r="H1399" s="4" t="n">
        <v>156.3925</v>
      </c>
      <c r="I1399" s="5" t="n">
        <v>268.6</v>
      </c>
      <c r="J1399" s="3" t="inlineStr">
        <is>
          <t>오송읍</t>
        </is>
      </c>
    </row>
    <row r="1400">
      <c r="A1400" s="3" t="n">
        <v>2022</v>
      </c>
      <c r="B1400" s="4" t="n">
        <v>30500</v>
      </c>
      <c r="C1400" s="4" t="n">
        <v>2537</v>
      </c>
      <c r="D1400" s="3" t="inlineStr">
        <is>
          <t>강내면</t>
        </is>
      </c>
      <c r="E1400" s="3" t="inlineStr">
        <is>
          <t>학천리</t>
        </is>
      </c>
      <c r="F1400" s="3" t="inlineStr">
        <is>
          <t>생산녹지지역</t>
        </is>
      </c>
      <c r="G1400" s="3" t="inlineStr">
        <is>
          <t>답</t>
        </is>
      </c>
      <c r="H1400" s="4" t="n">
        <v>767.4425</v>
      </c>
      <c r="I1400" s="5" t="n">
        <v>39.7</v>
      </c>
      <c r="J1400" s="3" t="inlineStr">
        <is>
          <t>강내면</t>
        </is>
      </c>
    </row>
    <row r="1401">
      <c r="A1401" s="3" t="n">
        <v>2022</v>
      </c>
      <c r="B1401" s="4" t="n">
        <v>1939</v>
      </c>
      <c r="C1401" s="4" t="n">
        <v>115</v>
      </c>
      <c r="D1401" s="3" t="inlineStr">
        <is>
          <t>강내면</t>
        </is>
      </c>
      <c r="E1401" s="3" t="inlineStr">
        <is>
          <t>저산리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34.7875</v>
      </c>
      <c r="I1401" s="5" t="n">
        <v>55.7</v>
      </c>
      <c r="J1401" s="3" t="inlineStr">
        <is>
          <t>강내면</t>
        </is>
      </c>
    </row>
    <row r="1402">
      <c r="A1402" s="3" t="n">
        <v>2022</v>
      </c>
      <c r="B1402" s="4" t="n">
        <v>3760</v>
      </c>
      <c r="C1402" s="4" t="n">
        <v>223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67.4575</v>
      </c>
      <c r="I1402" s="5" t="n">
        <v>55.7</v>
      </c>
      <c r="J1402" s="3" t="inlineStr">
        <is>
          <t>강내면</t>
        </is>
      </c>
    </row>
    <row r="1403">
      <c r="A1403" s="3" t="n">
        <v>2022</v>
      </c>
      <c r="B1403" s="4" t="n">
        <v>22600</v>
      </c>
      <c r="C1403" s="4" t="n">
        <v>1410</v>
      </c>
      <c r="D1403" s="3" t="inlineStr">
        <is>
          <t>오송읍</t>
        </is>
      </c>
      <c r="E1403" s="3" t="inlineStr">
        <is>
          <t>상정리</t>
        </is>
      </c>
      <c r="F1403" s="3" t="inlineStr">
        <is>
          <t>농림지역</t>
        </is>
      </c>
      <c r="G1403" s="3" t="inlineStr">
        <is>
          <t>답</t>
        </is>
      </c>
      <c r="H1403" s="4" t="n">
        <v>426.525</v>
      </c>
      <c r="I1403" s="5" t="n">
        <v>53</v>
      </c>
      <c r="J1403" s="3" t="inlineStr">
        <is>
          <t>오송읍</t>
        </is>
      </c>
    </row>
    <row r="1404">
      <c r="A1404" s="3" t="n">
        <v>2022</v>
      </c>
      <c r="B1404" s="4" t="n">
        <v>28000</v>
      </c>
      <c r="C1404" s="4" t="n">
        <v>234.7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70.99674999999999</v>
      </c>
      <c r="I1404" s="5" t="n">
        <v>394.4</v>
      </c>
      <c r="J1404" s="3" t="inlineStr">
        <is>
          <t>오송읍</t>
        </is>
      </c>
    </row>
    <row r="1405">
      <c r="A1405" s="3" t="n">
        <v>2022</v>
      </c>
      <c r="B1405" s="4" t="n">
        <v>55000</v>
      </c>
      <c r="C1405" s="4" t="n">
        <v>156</v>
      </c>
      <c r="D1405" s="3" t="inlineStr">
        <is>
          <t>강내면</t>
        </is>
      </c>
      <c r="E1405" s="3" t="inlineStr">
        <is>
          <t>탑연리</t>
        </is>
      </c>
      <c r="F1405" s="3" t="inlineStr">
        <is>
          <t>일반상업지역</t>
        </is>
      </c>
      <c r="G1405" s="3" t="inlineStr">
        <is>
          <t>대</t>
        </is>
      </c>
      <c r="H1405" s="4" t="n">
        <v>47.19</v>
      </c>
      <c r="I1405" s="5" t="n">
        <v>1165.5</v>
      </c>
      <c r="J1405" s="3" t="inlineStr">
        <is>
          <t>강내면</t>
        </is>
      </c>
    </row>
    <row r="1406">
      <c r="A1406" s="3" t="n">
        <v>2022</v>
      </c>
      <c r="B1406" s="4" t="n">
        <v>29340</v>
      </c>
      <c r="C1406" s="4" t="n">
        <v>664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일반상업지역</t>
        </is>
      </c>
      <c r="G1406" s="3" t="inlineStr">
        <is>
          <t>답</t>
        </is>
      </c>
      <c r="H1406" s="4" t="n">
        <v>200.86</v>
      </c>
      <c r="I1406" s="5" t="n">
        <v>146.1</v>
      </c>
      <c r="J1406" s="3" t="inlineStr">
        <is>
          <t>오송읍</t>
        </is>
      </c>
    </row>
    <row r="1407">
      <c r="A1407" s="3" t="n">
        <v>2022</v>
      </c>
      <c r="B1407" s="4" t="n">
        <v>84920</v>
      </c>
      <c r="C1407" s="4" t="n">
        <v>1983</v>
      </c>
      <c r="D1407" s="3" t="inlineStr">
        <is>
          <t>오송읍</t>
        </is>
      </c>
      <c r="E1407" s="3" t="inlineStr">
        <is>
          <t>오송리</t>
        </is>
      </c>
      <c r="F1407" s="3" t="inlineStr">
        <is>
          <t>일반상업지역</t>
        </is>
      </c>
      <c r="G1407" s="3" t="inlineStr">
        <is>
          <t>답</t>
        </is>
      </c>
      <c r="H1407" s="4" t="n">
        <v>599.8575</v>
      </c>
      <c r="I1407" s="5" t="n">
        <v>141.6</v>
      </c>
      <c r="J1407" s="3" t="inlineStr">
        <is>
          <t>오송읍</t>
        </is>
      </c>
    </row>
    <row r="1408">
      <c r="A1408" s="3" t="n">
        <v>2022</v>
      </c>
      <c r="B1408" s="4" t="n">
        <v>84540</v>
      </c>
      <c r="C1408" s="4" t="n">
        <v>1983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일반상업지역</t>
        </is>
      </c>
      <c r="G1408" s="3" t="inlineStr">
        <is>
          <t>답</t>
        </is>
      </c>
      <c r="H1408" s="4" t="n">
        <v>599.8575</v>
      </c>
      <c r="I1408" s="5" t="n">
        <v>140.9</v>
      </c>
      <c r="J1408" s="3" t="inlineStr">
        <is>
          <t>오송읍</t>
        </is>
      </c>
    </row>
    <row r="1409">
      <c r="A1409" s="3" t="n">
        <v>2022</v>
      </c>
      <c r="B1409" s="4" t="n">
        <v>12600</v>
      </c>
      <c r="C1409" s="4" t="n">
        <v>463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140.0575</v>
      </c>
      <c r="I1409" s="5" t="n">
        <v>90</v>
      </c>
      <c r="J1409" s="3" t="inlineStr">
        <is>
          <t>강내면</t>
        </is>
      </c>
    </row>
    <row r="1410">
      <c r="A1410" s="3" t="n">
        <v>2022</v>
      </c>
      <c r="B1410" s="4" t="n">
        <v>9400</v>
      </c>
      <c r="C1410" s="4" t="n">
        <v>417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126.1425</v>
      </c>
      <c r="I1410" s="5" t="n">
        <v>74.5</v>
      </c>
      <c r="J1410" s="3" t="inlineStr">
        <is>
          <t>강내면</t>
        </is>
      </c>
    </row>
    <row r="1411">
      <c r="A1411" s="3" t="n">
        <v>2023</v>
      </c>
      <c r="B1411" s="4" t="n">
        <v>43300</v>
      </c>
      <c r="C1411" s="4" t="n">
        <v>1431</v>
      </c>
      <c r="D1411" s="3" t="inlineStr">
        <is>
          <t>부강면</t>
        </is>
      </c>
      <c r="E1411" s="3" t="inlineStr">
        <is>
          <t>노호리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432.8775</v>
      </c>
      <c r="I1411" s="5" t="n">
        <v>100</v>
      </c>
      <c r="J1411" s="3" t="inlineStr">
        <is>
          <t>부강면</t>
        </is>
      </c>
    </row>
    <row r="1412">
      <c r="A1412" s="3" t="n">
        <v>2023</v>
      </c>
      <c r="B1412" s="4" t="n">
        <v>4465</v>
      </c>
      <c r="C1412" s="4" t="n">
        <v>123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37.2075</v>
      </c>
      <c r="I1412" s="5" t="n">
        <v>120</v>
      </c>
      <c r="J1412" s="3" t="inlineStr">
        <is>
          <t>부강면</t>
        </is>
      </c>
    </row>
    <row r="1413">
      <c r="A1413" s="3" t="n">
        <v>2023</v>
      </c>
      <c r="B1413" s="4" t="n">
        <v>334000</v>
      </c>
      <c r="C1413" s="4" t="n">
        <v>1425</v>
      </c>
      <c r="D1413" s="3" t="inlineStr">
        <is>
          <t>조치원읍</t>
        </is>
      </c>
      <c r="E1413" s="3" t="inlineStr">
        <is>
          <t>죽림리</t>
        </is>
      </c>
      <c r="F1413" s="3" t="inlineStr">
        <is>
          <t>일반상업지역</t>
        </is>
      </c>
      <c r="G1413" s="3" t="inlineStr">
        <is>
          <t>대</t>
        </is>
      </c>
      <c r="H1413" s="4" t="n">
        <v>431.0625</v>
      </c>
      <c r="I1413" s="5" t="n">
        <v>774.8</v>
      </c>
      <c r="J1413" s="3" t="inlineStr">
        <is>
          <t>조치원읍</t>
        </is>
      </c>
    </row>
    <row r="1414">
      <c r="A1414" s="3" t="n">
        <v>2023</v>
      </c>
      <c r="B1414" s="4" t="n">
        <v>3442</v>
      </c>
      <c r="C1414" s="4" t="n">
        <v>66</v>
      </c>
      <c r="D1414" s="3" t="inlineStr">
        <is>
          <t>오송읍</t>
        </is>
      </c>
      <c r="E1414" s="3" t="inlineStr">
        <is>
          <t>정중리</t>
        </is>
      </c>
      <c r="F1414" s="3" t="inlineStr">
        <is>
          <t>생산관리지역</t>
        </is>
      </c>
      <c r="G1414" s="3" t="inlineStr">
        <is>
          <t>대</t>
        </is>
      </c>
      <c r="H1414" s="4" t="n">
        <v>19.965</v>
      </c>
      <c r="I1414" s="5" t="n">
        <v>172.4</v>
      </c>
      <c r="J1414" s="3" t="inlineStr">
        <is>
          <t>오송읍</t>
        </is>
      </c>
    </row>
    <row r="1415">
      <c r="A1415" s="3" t="n">
        <v>2023</v>
      </c>
      <c r="B1415" s="4" t="n">
        <v>8640</v>
      </c>
      <c r="C1415" s="4" t="n">
        <v>714</v>
      </c>
      <c r="D1415" s="3" t="inlineStr">
        <is>
          <t>강내면</t>
        </is>
      </c>
      <c r="E1415" s="3" t="inlineStr">
        <is>
          <t>월곡리</t>
        </is>
      </c>
      <c r="F1415" s="3" t="inlineStr">
        <is>
          <t>자연녹지지역</t>
        </is>
      </c>
      <c r="G1415" s="3" t="inlineStr">
        <is>
          <t>전</t>
        </is>
      </c>
      <c r="H1415" s="4" t="n">
        <v>215.985</v>
      </c>
      <c r="I1415" s="5" t="n">
        <v>40</v>
      </c>
      <c r="J1415" s="3" t="inlineStr">
        <is>
          <t>강내면</t>
        </is>
      </c>
    </row>
    <row r="1416">
      <c r="A1416" s="3" t="n">
        <v>2023</v>
      </c>
      <c r="B1416" s="4" t="n">
        <v>3500</v>
      </c>
      <c r="C1416" s="4" t="n">
        <v>374</v>
      </c>
      <c r="D1416" s="3" t="inlineStr">
        <is>
          <t>강내면</t>
        </is>
      </c>
      <c r="E1416" s="3" t="inlineStr">
        <is>
          <t>다락리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113.135</v>
      </c>
      <c r="I1416" s="5" t="n">
        <v>30.9</v>
      </c>
      <c r="J1416" s="3" t="inlineStr">
        <is>
          <t>강내면</t>
        </is>
      </c>
    </row>
    <row r="1417">
      <c r="A1417" s="3" t="n">
        <v>2023</v>
      </c>
      <c r="B1417" s="4" t="n">
        <v>2160</v>
      </c>
      <c r="C1417" s="4" t="n">
        <v>53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대</t>
        </is>
      </c>
      <c r="H1417" s="4" t="n">
        <v>16.0325</v>
      </c>
      <c r="I1417" s="5" t="n">
        <v>134.7</v>
      </c>
      <c r="J1417" s="3" t="inlineStr">
        <is>
          <t>강내면</t>
        </is>
      </c>
    </row>
    <row r="1418">
      <c r="A1418" s="3" t="n">
        <v>2023</v>
      </c>
      <c r="B1418" s="4" t="n">
        <v>34210</v>
      </c>
      <c r="C1418" s="4" t="n">
        <v>504</v>
      </c>
      <c r="D1418" s="3" t="inlineStr">
        <is>
          <t>강내면</t>
        </is>
      </c>
      <c r="E1418" s="3" t="inlineStr">
        <is>
          <t>월탄리</t>
        </is>
      </c>
      <c r="F1418" s="3" t="inlineStr">
        <is>
          <t>계획관리지역</t>
        </is>
      </c>
      <c r="G1418" s="3" t="inlineStr">
        <is>
          <t>전</t>
        </is>
      </c>
      <c r="H1418" s="4" t="n">
        <v>152.46</v>
      </c>
      <c r="I1418" s="5" t="n">
        <v>224.4</v>
      </c>
      <c r="J1418" s="3" t="inlineStr">
        <is>
          <t>강내면</t>
        </is>
      </c>
    </row>
    <row r="1419">
      <c r="A1419" s="3" t="n">
        <v>2023</v>
      </c>
      <c r="B1419" s="4" t="n">
        <v>34003</v>
      </c>
      <c r="C1419" s="4" t="n">
        <v>501</v>
      </c>
      <c r="D1419" s="3" t="inlineStr">
        <is>
          <t>강내면</t>
        </is>
      </c>
      <c r="E1419" s="3" t="inlineStr">
        <is>
          <t>월탄리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151.5525</v>
      </c>
      <c r="I1419" s="5" t="n">
        <v>224.4</v>
      </c>
      <c r="J1419" s="3" t="inlineStr">
        <is>
          <t>강내면</t>
        </is>
      </c>
    </row>
    <row r="1420">
      <c r="A1420" s="3" t="n">
        <v>2023</v>
      </c>
      <c r="B1420" s="4" t="n">
        <v>136</v>
      </c>
      <c r="C1420" s="4" t="n">
        <v>2</v>
      </c>
      <c r="D1420" s="3" t="inlineStr">
        <is>
          <t>강내면</t>
        </is>
      </c>
      <c r="E1420" s="3" t="inlineStr">
        <is>
          <t>월탄리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0.605</v>
      </c>
      <c r="I1420" s="5" t="n">
        <v>224.8</v>
      </c>
      <c r="J1420" s="3" t="inlineStr">
        <is>
          <t>강내면</t>
        </is>
      </c>
    </row>
    <row r="1421">
      <c r="A1421" s="3" t="n">
        <v>2023</v>
      </c>
      <c r="B1421" s="4" t="n">
        <v>36175</v>
      </c>
      <c r="C1421" s="4" t="n">
        <v>533</v>
      </c>
      <c r="D1421" s="3" t="inlineStr">
        <is>
          <t>강내면</t>
        </is>
      </c>
      <c r="E1421" s="3" t="inlineStr">
        <is>
          <t>월탄리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161.2325</v>
      </c>
      <c r="I1421" s="5" t="n">
        <v>224.4</v>
      </c>
      <c r="J1421" s="3" t="inlineStr">
        <is>
          <t>강내면</t>
        </is>
      </c>
    </row>
    <row r="1422">
      <c r="A1422" s="3" t="n">
        <v>2023</v>
      </c>
      <c r="B1422" s="4" t="n">
        <v>62000</v>
      </c>
      <c r="C1422" s="4" t="n">
        <v>261.7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79.16425</v>
      </c>
      <c r="I1422" s="5" t="n">
        <v>783.2</v>
      </c>
      <c r="J1422" s="3" t="inlineStr">
        <is>
          <t>오송읍</t>
        </is>
      </c>
    </row>
    <row r="1423">
      <c r="A1423" s="3" t="n">
        <v>2023</v>
      </c>
      <c r="B1423" s="4" t="n">
        <v>68375</v>
      </c>
      <c r="C1423" s="4" t="n">
        <v>1811</v>
      </c>
      <c r="D1423" s="3" t="inlineStr">
        <is>
          <t>강내면</t>
        </is>
      </c>
      <c r="E1423" s="3" t="inlineStr">
        <is>
          <t>다락리</t>
        </is>
      </c>
      <c r="F1423" s="3" t="inlineStr">
        <is>
          <t>계획관리지역</t>
        </is>
      </c>
      <c r="G1423" s="3" t="inlineStr">
        <is>
          <t>답</t>
        </is>
      </c>
      <c r="H1423" s="4" t="n">
        <v>547.8275</v>
      </c>
      <c r="I1423" s="5" t="n">
        <v>124.8</v>
      </c>
      <c r="J1423" s="3" t="inlineStr">
        <is>
          <t>강내면</t>
        </is>
      </c>
    </row>
    <row r="1424">
      <c r="A1424" s="3" t="n">
        <v>2023</v>
      </c>
      <c r="B1424" s="4" t="n">
        <v>17625</v>
      </c>
      <c r="C1424" s="4" t="n">
        <v>465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140.6625</v>
      </c>
      <c r="I1424" s="5" t="n">
        <v>125.3</v>
      </c>
      <c r="J1424" s="3" t="inlineStr">
        <is>
          <t>강내면</t>
        </is>
      </c>
    </row>
    <row r="1425">
      <c r="A1425" s="3" t="n">
        <v>2023</v>
      </c>
      <c r="B1425" s="4" t="n">
        <v>29541</v>
      </c>
      <c r="C1425" s="4" t="n">
        <v>501.2</v>
      </c>
      <c r="D1425" s="3" t="inlineStr">
        <is>
          <t>강내면</t>
        </is>
      </c>
      <c r="E1425" s="3" t="inlineStr">
        <is>
          <t>사곡리</t>
        </is>
      </c>
      <c r="F1425" s="3" t="inlineStr">
        <is>
          <t>보전관리지역</t>
        </is>
      </c>
      <c r="G1425" s="3" t="inlineStr">
        <is>
          <t>대</t>
        </is>
      </c>
      <c r="H1425" s="4" t="n">
        <v>151.613</v>
      </c>
      <c r="I1425" s="5" t="n">
        <v>194.8</v>
      </c>
      <c r="J1425" s="3" t="inlineStr">
        <is>
          <t>강내면</t>
        </is>
      </c>
    </row>
    <row r="1426">
      <c r="A1426" s="3" t="n">
        <v>2023</v>
      </c>
      <c r="B1426" s="4" t="n">
        <v>5988</v>
      </c>
      <c r="C1426" s="4" t="n">
        <v>101.6</v>
      </c>
      <c r="D1426" s="3" t="inlineStr">
        <is>
          <t>강내면</t>
        </is>
      </c>
      <c r="E1426" s="3" t="inlineStr">
        <is>
          <t>사곡리</t>
        </is>
      </c>
      <c r="F1426" s="3" t="inlineStr">
        <is>
          <t>보전관리지역</t>
        </is>
      </c>
      <c r="G1426" s="3" t="inlineStr">
        <is>
          <t>대</t>
        </is>
      </c>
      <c r="H1426" s="4" t="n">
        <v>30.734</v>
      </c>
      <c r="I1426" s="5" t="n">
        <v>194.8</v>
      </c>
      <c r="J1426" s="3" t="inlineStr">
        <is>
          <t>강내면</t>
        </is>
      </c>
    </row>
    <row r="1427">
      <c r="A1427" s="3" t="n">
        <v>2023</v>
      </c>
      <c r="B1427" s="4" t="n">
        <v>35000</v>
      </c>
      <c r="C1427" s="4" t="n">
        <v>271.4</v>
      </c>
      <c r="D1427" s="3" t="inlineStr">
        <is>
          <t>오송읍</t>
        </is>
      </c>
      <c r="E1427" s="3" t="inlineStr">
        <is>
          <t>봉산리</t>
        </is>
      </c>
      <c r="F1427" s="3" t="inlineStr">
        <is>
          <t>제1종일반주거지역</t>
        </is>
      </c>
      <c r="G1427" s="3" t="inlineStr">
        <is>
          <t>대</t>
        </is>
      </c>
      <c r="H1427" s="4" t="n">
        <v>82.09849999999999</v>
      </c>
      <c r="I1427" s="5" t="n">
        <v>426.3</v>
      </c>
      <c r="J1427" s="3" t="inlineStr">
        <is>
          <t>오송읍</t>
        </is>
      </c>
    </row>
    <row r="1428">
      <c r="A1428" s="3" t="n">
        <v>2023</v>
      </c>
      <c r="B1428" s="4" t="n">
        <v>26040</v>
      </c>
      <c r="C1428" s="4" t="n">
        <v>287</v>
      </c>
      <c r="D1428" s="3" t="inlineStr">
        <is>
          <t>오송읍</t>
        </is>
      </c>
      <c r="E1428" s="3" t="inlineStr">
        <is>
          <t>정중리</t>
        </is>
      </c>
      <c r="F1428" s="3" t="inlineStr">
        <is>
          <t>계획관리지역</t>
        </is>
      </c>
      <c r="G1428" s="3" t="inlineStr">
        <is>
          <t>대</t>
        </is>
      </c>
      <c r="H1428" s="4" t="n">
        <v>86.8175</v>
      </c>
      <c r="I1428" s="5" t="n">
        <v>299.9</v>
      </c>
      <c r="J1428" s="3" t="inlineStr">
        <is>
          <t>오송읍</t>
        </is>
      </c>
    </row>
    <row r="1429">
      <c r="A1429" s="3" t="n">
        <v>2023</v>
      </c>
      <c r="B1429" s="4" t="n">
        <v>9430</v>
      </c>
      <c r="C1429" s="4" t="n">
        <v>104</v>
      </c>
      <c r="D1429" s="3" t="inlineStr">
        <is>
          <t>오송읍</t>
        </is>
      </c>
      <c r="E1429" s="3" t="inlineStr">
        <is>
          <t>정중리</t>
        </is>
      </c>
      <c r="F1429" s="3" t="inlineStr">
        <is>
          <t>생산관리지역</t>
        </is>
      </c>
      <c r="G1429" s="3" t="inlineStr">
        <is>
          <t>임야</t>
        </is>
      </c>
      <c r="H1429" s="4" t="n">
        <v>31.46</v>
      </c>
      <c r="I1429" s="5" t="n">
        <v>299.7</v>
      </c>
      <c r="J1429" s="3" t="inlineStr">
        <is>
          <t>오송읍</t>
        </is>
      </c>
    </row>
    <row r="1430">
      <c r="A1430" s="3" t="n">
        <v>2024</v>
      </c>
      <c r="B1430" s="4" t="n">
        <v>63300</v>
      </c>
      <c r="C1430" s="4" t="n">
        <v>3270.3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989.26575</v>
      </c>
      <c r="I1430" s="5" t="n">
        <v>64</v>
      </c>
      <c r="J1430" s="3" t="inlineStr">
        <is>
          <t>오송읍</t>
        </is>
      </c>
    </row>
    <row r="1431">
      <c r="A1431" s="3" t="n">
        <v>2024</v>
      </c>
      <c r="B1431" s="4" t="n">
        <v>15800</v>
      </c>
      <c r="C1431" s="4" t="n">
        <v>1954</v>
      </c>
      <c r="D1431" s="3" t="inlineStr">
        <is>
          <t>강내면</t>
        </is>
      </c>
      <c r="E1431" s="3" t="inlineStr">
        <is>
          <t>학천리</t>
        </is>
      </c>
      <c r="F1431" s="3" t="inlineStr">
        <is>
          <t>생산녹지지역</t>
        </is>
      </c>
      <c r="G1431" s="3" t="inlineStr">
        <is>
          <t>답</t>
        </is>
      </c>
      <c r="H1431" s="4" t="n">
        <v>591.085</v>
      </c>
      <c r="I1431" s="5" t="n">
        <v>26.7</v>
      </c>
      <c r="J1431" s="3" t="inlineStr">
        <is>
          <t>강내면</t>
        </is>
      </c>
    </row>
    <row r="1432">
      <c r="A1432" s="3" t="n">
        <v>2024</v>
      </c>
      <c r="B1432" s="4" t="n">
        <v>50400</v>
      </c>
      <c r="C1432" s="4" t="n">
        <v>1111</v>
      </c>
      <c r="D1432" s="3" t="inlineStr">
        <is>
          <t>강내면</t>
        </is>
      </c>
      <c r="E1432" s="3" t="inlineStr">
        <is>
          <t>궁현리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336.0775</v>
      </c>
      <c r="I1432" s="5" t="n">
        <v>150</v>
      </c>
      <c r="J1432" s="3" t="inlineStr">
        <is>
          <t>강내면</t>
        </is>
      </c>
    </row>
    <row r="1433">
      <c r="A1433" s="3" t="n">
        <v>2024</v>
      </c>
      <c r="B1433" s="4" t="n">
        <v>4070</v>
      </c>
      <c r="C1433" s="4" t="n">
        <v>275</v>
      </c>
      <c r="D1433" s="3" t="inlineStr">
        <is>
          <t>오송읍</t>
        </is>
      </c>
      <c r="E1433" s="3" t="inlineStr">
        <is>
          <t>정중리</t>
        </is>
      </c>
      <c r="F1433" s="3" t="inlineStr">
        <is>
          <t>농림지역</t>
        </is>
      </c>
      <c r="G1433" s="3" t="inlineStr">
        <is>
          <t>목장용지</t>
        </is>
      </c>
      <c r="H1433" s="4" t="n">
        <v>83.1875</v>
      </c>
      <c r="I1433" s="5" t="n">
        <v>48.9</v>
      </c>
      <c r="J1433" s="3" t="inlineStr">
        <is>
          <t>오송읍</t>
        </is>
      </c>
    </row>
    <row r="1434">
      <c r="A1434" s="3" t="n">
        <v>2024</v>
      </c>
      <c r="B1434" s="4" t="n">
        <v>2192</v>
      </c>
      <c r="C1434" s="4" t="n">
        <v>189</v>
      </c>
      <c r="D1434" s="3" t="inlineStr">
        <is>
          <t>강내면</t>
        </is>
      </c>
      <c r="E1434" s="3" t="inlineStr">
        <is>
          <t>저산리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57.1725</v>
      </c>
      <c r="I1434" s="5" t="n">
        <v>38.3</v>
      </c>
      <c r="J1434" s="3" t="inlineStr">
        <is>
          <t>강내면</t>
        </is>
      </c>
    </row>
    <row r="1435">
      <c r="A1435" s="3" t="n">
        <v>2024</v>
      </c>
      <c r="B1435" s="4" t="n">
        <v>20000</v>
      </c>
      <c r="C1435" s="4" t="n">
        <v>2688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813.12</v>
      </c>
      <c r="I1435" s="5" t="n">
        <v>24.6</v>
      </c>
      <c r="J1435" s="3" t="inlineStr">
        <is>
          <t>강내면</t>
        </is>
      </c>
    </row>
    <row r="1436">
      <c r="A1436" s="3" t="n">
        <v>2024</v>
      </c>
      <c r="B1436" s="4" t="n">
        <v>32600</v>
      </c>
      <c r="C1436" s="4" t="n">
        <v>980</v>
      </c>
      <c r="D1436" s="3" t="inlineStr">
        <is>
          <t>오송읍</t>
        </is>
      </c>
      <c r="E1436" s="3" t="inlineStr">
        <is>
          <t>쌍청리</t>
        </is>
      </c>
      <c r="F1436" s="3" t="inlineStr">
        <is>
          <t>생산관리지역</t>
        </is>
      </c>
      <c r="G1436" s="3" t="inlineStr">
        <is>
          <t>답</t>
        </is>
      </c>
      <c r="H1436" s="4" t="n">
        <v>296.45</v>
      </c>
      <c r="I1436" s="5" t="n">
        <v>110</v>
      </c>
      <c r="J1436" s="3" t="inlineStr">
        <is>
          <t>오송읍</t>
        </is>
      </c>
    </row>
    <row r="1437">
      <c r="A1437" s="3" t="n">
        <v>2024</v>
      </c>
      <c r="B1437" s="4" t="n">
        <v>145062</v>
      </c>
      <c r="C1437" s="4" t="n">
        <v>7495</v>
      </c>
      <c r="D1437" s="3" t="inlineStr">
        <is>
          <t>오송읍</t>
        </is>
      </c>
      <c r="E1437" s="3" t="inlineStr">
        <is>
          <t>연제리</t>
        </is>
      </c>
      <c r="F1437" s="3" t="inlineStr">
        <is>
          <t>준공업지역</t>
        </is>
      </c>
      <c r="G1437" s="3" t="inlineStr">
        <is>
          <t>대</t>
        </is>
      </c>
      <c r="H1437" s="4" t="n">
        <v>2267.2375</v>
      </c>
      <c r="I1437" s="5" t="n">
        <v>64</v>
      </c>
      <c r="J1437" s="3" t="inlineStr">
        <is>
          <t>오송읍</t>
        </is>
      </c>
    </row>
    <row r="1438">
      <c r="A1438" s="3" t="n">
        <v>2024</v>
      </c>
      <c r="B1438" s="4" t="n">
        <v>71200</v>
      </c>
      <c r="C1438" s="4" t="n">
        <v>4076</v>
      </c>
      <c r="D1438" s="3" t="inlineStr">
        <is>
          <t>오송읍</t>
        </is>
      </c>
      <c r="E1438" s="3" t="inlineStr">
        <is>
          <t>서평리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1232.99</v>
      </c>
      <c r="I1438" s="5" t="n">
        <v>57.7</v>
      </c>
      <c r="J1438" s="3" t="inlineStr">
        <is>
          <t>오송읍</t>
        </is>
      </c>
    </row>
    <row r="1439">
      <c r="A1439" s="3" t="n">
        <v>2024</v>
      </c>
      <c r="B1439" s="4" t="n">
        <v>22800</v>
      </c>
      <c r="C1439" s="4" t="n">
        <v>1299</v>
      </c>
      <c r="D1439" s="3" t="inlineStr">
        <is>
          <t>오송읍</t>
        </is>
      </c>
      <c r="E1439" s="3" t="inlineStr">
        <is>
          <t>서평리</t>
        </is>
      </c>
      <c r="F1439" s="3" t="inlineStr">
        <is>
          <t>농림지역</t>
        </is>
      </c>
      <c r="G1439" s="3" t="inlineStr">
        <is>
          <t>답</t>
        </is>
      </c>
      <c r="H1439" s="4" t="n">
        <v>392.9475</v>
      </c>
      <c r="I1439" s="5" t="n">
        <v>58</v>
      </c>
      <c r="J1439" s="3" t="inlineStr">
        <is>
          <t>오송읍</t>
        </is>
      </c>
    </row>
    <row r="1440">
      <c r="A1440" s="3" t="n">
        <v>2024</v>
      </c>
      <c r="B1440" s="4" t="n">
        <v>2380</v>
      </c>
      <c r="C1440" s="4" t="n">
        <v>704</v>
      </c>
      <c r="D1440" s="3" t="inlineStr">
        <is>
          <t>오송읍</t>
        </is>
      </c>
      <c r="E1440" s="3" t="inlineStr">
        <is>
          <t>상봉리</t>
        </is>
      </c>
      <c r="F1440" s="3" t="inlineStr">
        <is>
          <t>계획관리지역</t>
        </is>
      </c>
      <c r="G1440" s="3" t="inlineStr">
        <is>
          <t>도로</t>
        </is>
      </c>
      <c r="H1440" s="4" t="n">
        <v>212.96</v>
      </c>
      <c r="I1440" s="5" t="n">
        <v>11.2</v>
      </c>
      <c r="J1440" s="3" t="inlineStr">
        <is>
          <t>오송읍</t>
        </is>
      </c>
    </row>
    <row r="1441">
      <c r="A1441" s="3" t="n">
        <v>2024</v>
      </c>
      <c r="B1441" s="4" t="n">
        <v>53500</v>
      </c>
      <c r="C1441" s="4" t="n">
        <v>3216.4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농림지역</t>
        </is>
      </c>
      <c r="G1441" s="3" t="inlineStr">
        <is>
          <t>답</t>
        </is>
      </c>
      <c r="H1441" s="4" t="n">
        <v>972.961</v>
      </c>
      <c r="I1441" s="5" t="n">
        <v>55</v>
      </c>
      <c r="J1441" s="3" t="inlineStr">
        <is>
          <t>오송읍</t>
        </is>
      </c>
    </row>
    <row r="1442">
      <c r="A1442" s="3" t="n">
        <v>2024</v>
      </c>
      <c r="B1442" s="4" t="n">
        <v>23350</v>
      </c>
      <c r="C1442" s="4" t="n">
        <v>1838</v>
      </c>
      <c r="D1442" s="3" t="inlineStr">
        <is>
          <t>오송읍</t>
        </is>
      </c>
      <c r="E1442" s="3" t="inlineStr">
        <is>
          <t>상봉리</t>
        </is>
      </c>
      <c r="F1442" s="3" t="inlineStr">
        <is>
          <t>농림지역</t>
        </is>
      </c>
      <c r="G1442" s="3" t="inlineStr">
        <is>
          <t>답</t>
        </is>
      </c>
      <c r="H1442" s="4" t="n">
        <v>555.995</v>
      </c>
      <c r="I1442" s="5" t="n">
        <v>42</v>
      </c>
      <c r="J1442" s="3" t="inlineStr">
        <is>
          <t>오송읍</t>
        </is>
      </c>
    </row>
    <row r="1443">
      <c r="A1443" s="3" t="n">
        <v>2024</v>
      </c>
      <c r="B1443" s="4" t="n">
        <v>33357</v>
      </c>
      <c r="C1443" s="4" t="n">
        <v>919</v>
      </c>
      <c r="D1443" s="3" t="inlineStr">
        <is>
          <t>강내면</t>
        </is>
      </c>
      <c r="E1443" s="3" t="inlineStr">
        <is>
          <t>다락리</t>
        </is>
      </c>
      <c r="F1443" s="3" t="inlineStr">
        <is>
          <t>계획관리지역</t>
        </is>
      </c>
      <c r="G1443" s="3" t="inlineStr">
        <is>
          <t>대</t>
        </is>
      </c>
      <c r="H1443" s="4" t="n">
        <v>277.9975</v>
      </c>
      <c r="I1443" s="5" t="n">
        <v>120</v>
      </c>
      <c r="J1443" s="3" t="inlineStr">
        <is>
          <t>강내면</t>
        </is>
      </c>
    </row>
    <row r="1444">
      <c r="A1444" s="3" t="n">
        <v>2024</v>
      </c>
      <c r="B1444" s="4" t="n">
        <v>81165</v>
      </c>
      <c r="C1444" s="4" t="n">
        <v>2117</v>
      </c>
      <c r="D1444" s="3" t="inlineStr">
        <is>
          <t>강내면</t>
        </is>
      </c>
      <c r="E1444" s="3" t="inlineStr">
        <is>
          <t>산단리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640.3924999999999</v>
      </c>
      <c r="I1444" s="5" t="n">
        <v>126.7</v>
      </c>
      <c r="J1444" s="3" t="inlineStr">
        <is>
          <t>강내면</t>
        </is>
      </c>
    </row>
    <row r="1445">
      <c r="A1445" s="3" t="n">
        <v>2024</v>
      </c>
      <c r="B1445" s="4" t="n">
        <v>63375</v>
      </c>
      <c r="C1445" s="4" t="n">
        <v>1653</v>
      </c>
      <c r="D1445" s="3" t="inlineStr">
        <is>
          <t>강내면</t>
        </is>
      </c>
      <c r="E1445" s="3" t="inlineStr">
        <is>
          <t>궁현리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500.0325</v>
      </c>
      <c r="I1445" s="5" t="n">
        <v>126.7</v>
      </c>
      <c r="J1445" s="3" t="inlineStr">
        <is>
          <t>강내면</t>
        </is>
      </c>
    </row>
    <row r="1446">
      <c r="A1446" s="3" t="n">
        <v>2024</v>
      </c>
      <c r="B1446" s="4" t="n">
        <v>460</v>
      </c>
      <c r="C1446" s="4" t="n">
        <v>12</v>
      </c>
      <c r="D1446" s="3" t="inlineStr">
        <is>
          <t>강내면</t>
        </is>
      </c>
      <c r="E1446" s="3" t="inlineStr">
        <is>
          <t>산단리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3.63</v>
      </c>
      <c r="I1446" s="5" t="n">
        <v>126.7</v>
      </c>
      <c r="J1446" s="3" t="inlineStr">
        <is>
          <t>강내면</t>
        </is>
      </c>
    </row>
    <row r="1447">
      <c r="A1447" s="3" t="n">
        <v>2024</v>
      </c>
      <c r="B1447" s="4" t="n">
        <v>32920</v>
      </c>
      <c r="C1447" s="4" t="n">
        <v>302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대</t>
        </is>
      </c>
      <c r="H1447" s="4" t="n">
        <v>91.355</v>
      </c>
      <c r="I1447" s="5" t="n">
        <v>360.4</v>
      </c>
      <c r="J1447" s="3" t="inlineStr">
        <is>
          <t>오송읍</t>
        </is>
      </c>
    </row>
    <row r="1448">
      <c r="A1448" s="3" t="n">
        <v>2024</v>
      </c>
      <c r="B1448" s="4" t="n">
        <v>81165</v>
      </c>
      <c r="C1448" s="4" t="n">
        <v>2117</v>
      </c>
      <c r="D1448" s="3" t="inlineStr">
        <is>
          <t>강내면</t>
        </is>
      </c>
      <c r="E1448" s="3" t="inlineStr">
        <is>
          <t>산단리</t>
        </is>
      </c>
      <c r="F1448" s="3" t="inlineStr">
        <is>
          <t>계획관리지역</t>
        </is>
      </c>
      <c r="G1448" s="3" t="inlineStr">
        <is>
          <t>임야</t>
        </is>
      </c>
      <c r="H1448" s="4" t="n">
        <v>640.3924999999999</v>
      </c>
      <c r="I1448" s="5" t="n">
        <v>126.7</v>
      </c>
      <c r="J1448" s="3" t="inlineStr">
        <is>
          <t>강내면</t>
        </is>
      </c>
    </row>
    <row r="1449">
      <c r="A1449" s="3" t="n">
        <v>2024</v>
      </c>
      <c r="B1449" s="4" t="n">
        <v>63375</v>
      </c>
      <c r="C1449" s="4" t="n">
        <v>1653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500.0325</v>
      </c>
      <c r="I1449" s="5" t="n">
        <v>126.7</v>
      </c>
      <c r="J1449" s="3" t="inlineStr">
        <is>
          <t>강내면</t>
        </is>
      </c>
    </row>
    <row r="1450">
      <c r="A1450" s="3" t="n">
        <v>2024</v>
      </c>
      <c r="B1450" s="4" t="n">
        <v>460</v>
      </c>
      <c r="C1450" s="4" t="n">
        <v>12</v>
      </c>
      <c r="D1450" s="3" t="inlineStr">
        <is>
          <t>강내면</t>
        </is>
      </c>
      <c r="E1450" s="3" t="inlineStr">
        <is>
          <t>산단리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3.63</v>
      </c>
      <c r="I1450" s="5" t="n">
        <v>126.7</v>
      </c>
      <c r="J1450" s="3" t="inlineStr">
        <is>
          <t>강내면</t>
        </is>
      </c>
    </row>
    <row r="1451">
      <c r="A1451" s="3" t="n">
        <v>2024</v>
      </c>
      <c r="B1451" s="4" t="n">
        <v>16700</v>
      </c>
      <c r="C1451" s="4" t="n">
        <v>688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208.12</v>
      </c>
      <c r="I1451" s="5" t="n">
        <v>80.2</v>
      </c>
      <c r="J1451" s="3" t="inlineStr">
        <is>
          <t>강내면</t>
        </is>
      </c>
    </row>
    <row r="1452">
      <c r="A1452" s="3" t="n">
        <v>2024</v>
      </c>
      <c r="B1452" s="4" t="n">
        <v>3620</v>
      </c>
      <c r="C1452" s="4" t="n">
        <v>505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도로</t>
        </is>
      </c>
      <c r="H1452" s="4" t="n">
        <v>152.7625</v>
      </c>
      <c r="I1452" s="5" t="n">
        <v>23.7</v>
      </c>
      <c r="J1452" s="3" t="inlineStr">
        <is>
          <t>강내면</t>
        </is>
      </c>
    </row>
    <row r="1453">
      <c r="A1453" s="3" t="n">
        <v>2025</v>
      </c>
      <c r="B1453" s="4" t="n">
        <v>13500</v>
      </c>
      <c r="C1453" s="4" t="n">
        <v>149</v>
      </c>
      <c r="D1453" s="3" t="inlineStr">
        <is>
          <t>오송읍</t>
        </is>
      </c>
      <c r="E1453" s="3" t="inlineStr">
        <is>
          <t>오송리</t>
        </is>
      </c>
      <c r="F1453" s="3" t="inlineStr">
        <is>
          <t>계획관리지역</t>
        </is>
      </c>
      <c r="G1453" s="3" t="inlineStr">
        <is>
          <t>대</t>
        </is>
      </c>
      <c r="H1453" s="4" t="n">
        <v>45.0725</v>
      </c>
      <c r="I1453" s="5" t="n">
        <v>299.5</v>
      </c>
      <c r="J1453" s="3" t="inlineStr">
        <is>
          <t>오송읍</t>
        </is>
      </c>
    </row>
    <row r="1454">
      <c r="A1454" s="3" t="n">
        <v>2025</v>
      </c>
      <c r="B1454" s="4" t="n">
        <v>235412</v>
      </c>
      <c r="C1454" s="4" t="n">
        <v>13274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계획관리지역</t>
        </is>
      </c>
      <c r="G1454" s="3" t="inlineStr">
        <is>
          <t>임야</t>
        </is>
      </c>
      <c r="H1454" s="4" t="n">
        <v>4015.385</v>
      </c>
      <c r="I1454" s="5" t="n">
        <v>58.6</v>
      </c>
      <c r="J1454" s="3" t="inlineStr">
        <is>
          <t>강내면</t>
        </is>
      </c>
    </row>
    <row r="1455">
      <c r="A1455" s="3" t="n">
        <v>2025</v>
      </c>
      <c r="B1455" s="4" t="n">
        <v>263703</v>
      </c>
      <c r="C1455" s="4" t="n">
        <v>13126</v>
      </c>
      <c r="D1455" s="3" t="inlineStr">
        <is>
          <t>강내면</t>
        </is>
      </c>
      <c r="E1455" s="3" t="inlineStr">
        <is>
          <t>궁현리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3970.615</v>
      </c>
      <c r="I1455" s="5" t="n">
        <v>66.40000000000001</v>
      </c>
      <c r="J1455" s="3" t="inlineStr">
        <is>
          <t>강내면</t>
        </is>
      </c>
    </row>
    <row r="1456">
      <c r="A1456" s="3" t="n">
        <v>2025</v>
      </c>
      <c r="B1456" s="4" t="n">
        <v>19820</v>
      </c>
      <c r="C1456" s="4" t="n">
        <v>819</v>
      </c>
      <c r="D1456" s="3" t="inlineStr">
        <is>
          <t>강내면</t>
        </is>
      </c>
      <c r="E1456" s="3" t="inlineStr">
        <is>
          <t>궁현리</t>
        </is>
      </c>
      <c r="F1456" s="3" t="inlineStr">
        <is>
          <t>계획관리지역</t>
        </is>
      </c>
      <c r="G1456" s="3" t="inlineStr">
        <is>
          <t>임야</t>
        </is>
      </c>
      <c r="H1456" s="4" t="n">
        <v>247.7475</v>
      </c>
      <c r="I1456" s="5" t="n">
        <v>80</v>
      </c>
      <c r="J1456" s="3" t="inlineStr">
        <is>
          <t>강내면</t>
        </is>
      </c>
    </row>
    <row r="1457">
      <c r="A1457" s="3" t="n">
        <v>2025</v>
      </c>
      <c r="B1457" s="4" t="n">
        <v>1906</v>
      </c>
      <c r="C1457" s="4" t="n">
        <v>90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27.225</v>
      </c>
      <c r="I1457" s="5" t="n">
        <v>70</v>
      </c>
      <c r="J1457" s="3" t="inlineStr">
        <is>
          <t>강내면</t>
        </is>
      </c>
    </row>
    <row r="1458">
      <c r="A1458" s="3" t="n">
        <v>2025</v>
      </c>
      <c r="B1458" s="4" t="n">
        <v>21562</v>
      </c>
      <c r="C1458" s="4" t="n">
        <v>891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269.5275</v>
      </c>
      <c r="I1458" s="5" t="n">
        <v>80</v>
      </c>
      <c r="J1458" s="3" t="inlineStr">
        <is>
          <t>강내면</t>
        </is>
      </c>
    </row>
    <row r="1459">
      <c r="A1459" s="3" t="n">
        <v>2025</v>
      </c>
      <c r="B1459" s="4" t="n">
        <v>17220</v>
      </c>
      <c r="C1459" s="4" t="n">
        <v>877</v>
      </c>
      <c r="D1459" s="3" t="inlineStr">
        <is>
          <t>강내면</t>
        </is>
      </c>
      <c r="E1459" s="3" t="inlineStr">
        <is>
          <t>사곡리</t>
        </is>
      </c>
      <c r="F1459" s="3" t="inlineStr">
        <is>
          <t>농림지역</t>
        </is>
      </c>
      <c r="G1459" s="3" t="inlineStr">
        <is>
          <t>답</t>
        </is>
      </c>
      <c r="H1459" s="4" t="n">
        <v>265.2925</v>
      </c>
      <c r="I1459" s="5" t="n">
        <v>64.90000000000001</v>
      </c>
      <c r="J1459" s="3" t="inlineStr">
        <is>
          <t>강내면</t>
        </is>
      </c>
    </row>
    <row r="1460">
      <c r="A1460" s="3" t="n">
        <v>2025</v>
      </c>
      <c r="B1460" s="4" t="n">
        <v>38000</v>
      </c>
      <c r="C1460" s="4" t="n">
        <v>517</v>
      </c>
      <c r="D1460" s="3" t="inlineStr">
        <is>
          <t>오송읍</t>
        </is>
      </c>
      <c r="E1460" s="3" t="inlineStr">
        <is>
          <t>궁평리</t>
        </is>
      </c>
      <c r="F1460" s="3" t="inlineStr">
        <is>
          <t>일반상업지역</t>
        </is>
      </c>
      <c r="G1460" s="3" t="inlineStr">
        <is>
          <t>대</t>
        </is>
      </c>
      <c r="H1460" s="4" t="n">
        <v>156.3925</v>
      </c>
      <c r="I1460" s="5" t="n">
        <v>243</v>
      </c>
      <c r="J1460" s="3" t="inlineStr">
        <is>
          <t>오송읍</t>
        </is>
      </c>
    </row>
    <row r="1461">
      <c r="A1461" s="3" t="n">
        <v>2025</v>
      </c>
      <c r="B1461" s="4" t="n">
        <v>163056</v>
      </c>
      <c r="C1461" s="4" t="n">
        <v>6626.3</v>
      </c>
      <c r="D1461" s="3" t="inlineStr">
        <is>
          <t>오송읍</t>
        </is>
      </c>
      <c r="E1461" s="3" t="inlineStr">
        <is>
          <t>연제리</t>
        </is>
      </c>
      <c r="F1461" s="3" t="inlineStr">
        <is>
          <t>준공업지역</t>
        </is>
      </c>
      <c r="G1461" s="3" t="inlineStr">
        <is>
          <t>대</t>
        </is>
      </c>
      <c r="H1461" s="4" t="n">
        <v>2004.45575</v>
      </c>
      <c r="I1461" s="5" t="n">
        <v>81.3</v>
      </c>
      <c r="J1461" s="3" t="inlineStr">
        <is>
          <t>오송읍</t>
        </is>
      </c>
    </row>
    <row r="1462">
      <c r="A1462" s="3" t="n">
        <v>2025</v>
      </c>
      <c r="B1462" s="4" t="n">
        <v>21000</v>
      </c>
      <c r="C1462" s="4" t="n">
        <v>545</v>
      </c>
      <c r="D1462" s="3" t="inlineStr">
        <is>
          <t>강내면</t>
        </is>
      </c>
      <c r="E1462" s="3" t="inlineStr">
        <is>
          <t>사곡리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164.8625</v>
      </c>
      <c r="I1462" s="5" t="n">
        <v>127.4</v>
      </c>
      <c r="J1462" s="3" t="inlineStr">
        <is>
          <t>강내면</t>
        </is>
      </c>
    </row>
    <row r="1463">
      <c r="A1463" s="3" t="n">
        <v>2025</v>
      </c>
      <c r="B1463" s="4" t="n">
        <v>82626</v>
      </c>
      <c r="C1463" s="4" t="n">
        <v>1630</v>
      </c>
      <c r="D1463" s="3" t="inlineStr">
        <is>
          <t>오송읍</t>
        </is>
      </c>
      <c r="E1463" s="3" t="inlineStr">
        <is>
          <t>봉산리</t>
        </is>
      </c>
      <c r="F1463" s="3" t="inlineStr">
        <is>
          <t>계획관리지역</t>
        </is>
      </c>
      <c r="G1463" s="3" t="inlineStr">
        <is>
          <t>철도용지</t>
        </is>
      </c>
      <c r="H1463" s="4" t="n">
        <v>493.075</v>
      </c>
      <c r="I1463" s="5" t="n">
        <v>167.6</v>
      </c>
      <c r="J1463" s="3" t="inlineStr">
        <is>
          <t>오송읍</t>
        </is>
      </c>
    </row>
    <row r="1464">
      <c r="A1464" s="3" t="n">
        <v>2025</v>
      </c>
      <c r="B1464" s="4" t="n">
        <v>30636</v>
      </c>
      <c r="C1464" s="4" t="n">
        <v>273.8</v>
      </c>
      <c r="D1464" s="3" t="inlineStr">
        <is>
          <t>오송읍</t>
        </is>
      </c>
      <c r="E1464" s="3" t="inlineStr">
        <is>
          <t>봉산리</t>
        </is>
      </c>
      <c r="F1464" s="3" t="inlineStr">
        <is>
          <t>제1종일반주거지역</t>
        </is>
      </c>
      <c r="G1464" s="3" t="inlineStr">
        <is>
          <t>대</t>
        </is>
      </c>
      <c r="H1464" s="4" t="n">
        <v>82.8245</v>
      </c>
      <c r="I1464" s="5" t="n">
        <v>369.9</v>
      </c>
      <c r="J1464" s="3" t="inlineStr">
        <is>
          <t>오송읍</t>
        </is>
      </c>
    </row>
    <row r="1465">
      <c r="A1465" s="3" t="n">
        <v>2022</v>
      </c>
      <c r="B1465" s="4" t="n">
        <v>9200</v>
      </c>
      <c r="C1465" s="4" t="n">
        <v>241</v>
      </c>
      <c r="D1465" s="3" t="inlineStr">
        <is>
          <t>부강면</t>
        </is>
      </c>
      <c r="E1465" s="3" t="inlineStr">
        <is>
          <t>금호리</t>
        </is>
      </c>
      <c r="F1465" s="3" t="inlineStr">
        <is>
          <t>생산관리지역</t>
        </is>
      </c>
      <c r="G1465" s="3" t="inlineStr">
        <is>
          <t>대</t>
        </is>
      </c>
      <c r="H1465" s="4" t="n">
        <v>72.9025</v>
      </c>
      <c r="I1465" s="5" t="n">
        <v>126.2</v>
      </c>
      <c r="J1465" s="3" t="inlineStr">
        <is>
          <t>부강면</t>
        </is>
      </c>
    </row>
    <row r="1466">
      <c r="A1466" s="3" t="n">
        <v>2022</v>
      </c>
      <c r="B1466" s="4" t="n">
        <v>18200</v>
      </c>
      <c r="C1466" s="4" t="n">
        <v>475</v>
      </c>
      <c r="D1466" s="3" t="inlineStr">
        <is>
          <t>부강면</t>
        </is>
      </c>
      <c r="E1466" s="3" t="inlineStr">
        <is>
          <t>금호리</t>
        </is>
      </c>
      <c r="F1466" s="3" t="inlineStr">
        <is>
          <t>생산관리지역</t>
        </is>
      </c>
      <c r="G1466" s="3" t="inlineStr">
        <is>
          <t>대</t>
        </is>
      </c>
      <c r="H1466" s="4" t="n">
        <v>143.6875</v>
      </c>
      <c r="I1466" s="5" t="n">
        <v>126.7</v>
      </c>
      <c r="J1466" s="3" t="inlineStr">
        <is>
          <t>부강면</t>
        </is>
      </c>
    </row>
    <row r="1467">
      <c r="A1467" s="3" t="n">
        <v>2022</v>
      </c>
      <c r="B1467" s="4" t="n">
        <v>10056</v>
      </c>
      <c r="C1467" s="4" t="n">
        <v>262</v>
      </c>
      <c r="D1467" s="3" t="inlineStr">
        <is>
          <t>부강면</t>
        </is>
      </c>
      <c r="E1467" s="3" t="inlineStr">
        <is>
          <t>금호리</t>
        </is>
      </c>
      <c r="F1467" s="3" t="inlineStr">
        <is>
          <t>생산관리지역</t>
        </is>
      </c>
      <c r="G1467" s="3" t="inlineStr">
        <is>
          <t>답</t>
        </is>
      </c>
      <c r="H1467" s="4" t="n">
        <v>79.255</v>
      </c>
      <c r="I1467" s="5" t="n">
        <v>126.9</v>
      </c>
      <c r="J1467" s="3" t="inlineStr">
        <is>
          <t>부강면</t>
        </is>
      </c>
    </row>
    <row r="1468">
      <c r="A1468" s="3" t="n">
        <v>2022</v>
      </c>
      <c r="B1468" s="4" t="n">
        <v>17464</v>
      </c>
      <c r="C1468" s="4" t="n">
        <v>455</v>
      </c>
      <c r="D1468" s="3" t="inlineStr">
        <is>
          <t>부강면</t>
        </is>
      </c>
      <c r="E1468" s="3" t="inlineStr">
        <is>
          <t>금호리</t>
        </is>
      </c>
      <c r="F1468" s="3" t="inlineStr">
        <is>
          <t>생산관리지역</t>
        </is>
      </c>
      <c r="G1468" s="3" t="inlineStr">
        <is>
          <t>답</t>
        </is>
      </c>
      <c r="H1468" s="4" t="n">
        <v>137.6375</v>
      </c>
      <c r="I1468" s="5" t="n">
        <v>126.9</v>
      </c>
      <c r="J1468" s="3" t="inlineStr">
        <is>
          <t>부강면</t>
        </is>
      </c>
    </row>
    <row r="1469">
      <c r="A1469" s="3" t="n">
        <v>2022</v>
      </c>
      <c r="B1469" s="4" t="n">
        <v>24200</v>
      </c>
      <c r="C1469" s="4" t="n">
        <v>801</v>
      </c>
      <c r="D1469" s="3" t="inlineStr">
        <is>
          <t>연서면</t>
        </is>
      </c>
      <c r="E1469" s="3" t="inlineStr">
        <is>
          <t>쌍류리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242.3025</v>
      </c>
      <c r="I1469" s="5" t="n">
        <v>99.90000000000001</v>
      </c>
      <c r="J1469" s="3" t="inlineStr">
        <is>
          <t>연서면</t>
        </is>
      </c>
    </row>
    <row r="1470">
      <c r="A1470" s="3" t="n">
        <v>2022</v>
      </c>
      <c r="B1470" s="4" t="n">
        <v>50880</v>
      </c>
      <c r="C1470" s="4" t="n">
        <v>1051</v>
      </c>
      <c r="D1470" s="3" t="inlineStr">
        <is>
          <t>연서면</t>
        </is>
      </c>
      <c r="E1470" s="3" t="inlineStr">
        <is>
          <t>쌍전리</t>
        </is>
      </c>
      <c r="F1470" s="3" t="inlineStr">
        <is>
          <t>자연녹지지역</t>
        </is>
      </c>
      <c r="G1470" s="3" t="inlineStr">
        <is>
          <t>과수원</t>
        </is>
      </c>
      <c r="H1470" s="4" t="n">
        <v>317.9275</v>
      </c>
      <c r="I1470" s="5" t="n">
        <v>160</v>
      </c>
      <c r="J1470" s="3" t="inlineStr">
        <is>
          <t>연서면</t>
        </is>
      </c>
    </row>
    <row r="1471">
      <c r="A1471" s="3" t="n">
        <v>2023</v>
      </c>
      <c r="B1471" s="4" t="n">
        <v>2400</v>
      </c>
      <c r="C1471" s="4" t="n">
        <v>72</v>
      </c>
      <c r="D1471" s="3" t="inlineStr">
        <is>
          <t>부강면</t>
        </is>
      </c>
      <c r="E1471" s="3" t="inlineStr">
        <is>
          <t>노호리</t>
        </is>
      </c>
      <c r="F1471" s="3" t="inlineStr">
        <is>
          <t>계획관리지역</t>
        </is>
      </c>
      <c r="G1471" s="3" t="inlineStr">
        <is>
          <t>철도용지</t>
        </is>
      </c>
      <c r="H1471" s="4" t="n">
        <v>21.78</v>
      </c>
      <c r="I1471" s="5" t="n">
        <v>110.2</v>
      </c>
      <c r="J1471" s="3" t="inlineStr">
        <is>
          <t>부강면</t>
        </is>
      </c>
    </row>
    <row r="1472">
      <c r="A1472" s="3" t="n">
        <v>2022</v>
      </c>
      <c r="B1472" s="4" t="n">
        <v>9000</v>
      </c>
      <c r="C1472" s="4" t="n">
        <v>60</v>
      </c>
      <c r="D1472" s="3" t="inlineStr">
        <is>
          <t>오송읍</t>
        </is>
      </c>
      <c r="E1472" s="3" t="inlineStr">
        <is>
          <t>오송리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18.15</v>
      </c>
      <c r="I1472" s="5" t="n">
        <v>495.9</v>
      </c>
      <c r="J1472" s="3" t="inlineStr">
        <is>
          <t>오송읍</t>
        </is>
      </c>
    </row>
    <row r="1473">
      <c r="A1473" s="3" t="n">
        <v>2022</v>
      </c>
      <c r="B1473" s="4" t="n">
        <v>50000</v>
      </c>
      <c r="C1473" s="4" t="n">
        <v>286.9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86.78724999999999</v>
      </c>
      <c r="I1473" s="5" t="n">
        <v>576.1</v>
      </c>
      <c r="J1473" s="3" t="inlineStr">
        <is>
          <t>오송읍</t>
        </is>
      </c>
    </row>
    <row r="1474">
      <c r="A1474" s="3" t="n">
        <v>2022</v>
      </c>
      <c r="B1474" s="4" t="n">
        <v>16000</v>
      </c>
      <c r="C1474" s="4" t="n">
        <v>573</v>
      </c>
      <c r="D1474" s="3" t="inlineStr">
        <is>
          <t>오송읍</t>
        </is>
      </c>
      <c r="E1474" s="3" t="inlineStr">
        <is>
          <t>상봉리</t>
        </is>
      </c>
      <c r="F1474" s="3" t="inlineStr">
        <is>
          <t>생산관리지역</t>
        </is>
      </c>
      <c r="G1474" s="3" t="inlineStr">
        <is>
          <t>답</t>
        </is>
      </c>
      <c r="H1474" s="4" t="n">
        <v>173.3325</v>
      </c>
      <c r="I1474" s="5" t="n">
        <v>92.3</v>
      </c>
      <c r="J1474" s="3" t="inlineStr">
        <is>
          <t>오송읍</t>
        </is>
      </c>
    </row>
    <row r="1475">
      <c r="A1475" s="3" t="n">
        <v>2022</v>
      </c>
      <c r="B1475" s="4" t="n">
        <v>15000</v>
      </c>
      <c r="C1475" s="4" t="n">
        <v>1111</v>
      </c>
      <c r="D1475" s="3" t="inlineStr">
        <is>
          <t>강내면</t>
        </is>
      </c>
      <c r="E1475" s="3" t="inlineStr">
        <is>
          <t>학천리</t>
        </is>
      </c>
      <c r="F1475" s="3" t="inlineStr">
        <is>
          <t>자연녹지지역</t>
        </is>
      </c>
      <c r="G1475" s="3" t="inlineStr">
        <is>
          <t>임야</t>
        </is>
      </c>
      <c r="H1475" s="4" t="n">
        <v>336.0775</v>
      </c>
      <c r="I1475" s="5" t="n">
        <v>44.6</v>
      </c>
      <c r="J1475" s="3" t="inlineStr">
        <is>
          <t>강내면</t>
        </is>
      </c>
    </row>
    <row r="1476">
      <c r="A1476" s="3" t="n">
        <v>2022</v>
      </c>
      <c r="B1476" s="4" t="n">
        <v>12000</v>
      </c>
      <c r="C1476" s="4" t="n">
        <v>568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생산녹지지역</t>
        </is>
      </c>
      <c r="G1476" s="3" t="inlineStr">
        <is>
          <t>전</t>
        </is>
      </c>
      <c r="H1476" s="4" t="n">
        <v>171.82</v>
      </c>
      <c r="I1476" s="5" t="n">
        <v>69.8</v>
      </c>
      <c r="J1476" s="3" t="inlineStr">
        <is>
          <t>강내면</t>
        </is>
      </c>
    </row>
    <row r="1477">
      <c r="A1477" s="3" t="n">
        <v>2023</v>
      </c>
      <c r="B1477" s="4" t="n">
        <v>12056</v>
      </c>
      <c r="C1477" s="4" t="n">
        <v>848</v>
      </c>
      <c r="D1477" s="3" t="inlineStr">
        <is>
          <t>오송읍</t>
        </is>
      </c>
      <c r="E1477" s="3" t="inlineStr">
        <is>
          <t>정중리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256.52</v>
      </c>
      <c r="I1477" s="5" t="n">
        <v>47</v>
      </c>
      <c r="J1477" s="3" t="inlineStr">
        <is>
          <t>오송읍</t>
        </is>
      </c>
    </row>
    <row r="1478">
      <c r="A1478" s="3" t="n">
        <v>2023</v>
      </c>
      <c r="B1478" s="4" t="n">
        <v>2000</v>
      </c>
      <c r="C1478" s="4" t="n">
        <v>24</v>
      </c>
      <c r="D1478" s="3" t="inlineStr">
        <is>
          <t>오송읍</t>
        </is>
      </c>
      <c r="E1478" s="3" t="inlineStr">
        <is>
          <t>오송리</t>
        </is>
      </c>
      <c r="F1478" s="3" t="inlineStr">
        <is>
          <t>농림지역</t>
        </is>
      </c>
      <c r="G1478" s="3" t="inlineStr">
        <is>
          <t>도로</t>
        </is>
      </c>
      <c r="H1478" s="4" t="n">
        <v>7.26</v>
      </c>
      <c r="I1478" s="5" t="n">
        <v>275.5</v>
      </c>
      <c r="J1478" s="3" t="inlineStr">
        <is>
          <t>오송읍</t>
        </is>
      </c>
    </row>
    <row r="1479">
      <c r="A1479" s="3" t="n">
        <v>2023</v>
      </c>
      <c r="B1479" s="4" t="n">
        <v>42500</v>
      </c>
      <c r="C1479" s="4" t="n">
        <v>1653</v>
      </c>
      <c r="D1479" s="3" t="inlineStr">
        <is>
          <t>강내면</t>
        </is>
      </c>
      <c r="E1479" s="3" t="inlineStr">
        <is>
          <t>궁현리</t>
        </is>
      </c>
      <c r="F1479" s="3" t="inlineStr">
        <is>
          <t>계획관리지역</t>
        </is>
      </c>
      <c r="G1479" s="3" t="inlineStr">
        <is>
          <t>임야</t>
        </is>
      </c>
      <c r="H1479" s="4" t="n">
        <v>500.0325</v>
      </c>
      <c r="I1479" s="5" t="n">
        <v>85</v>
      </c>
      <c r="J1479" s="3" t="inlineStr">
        <is>
          <t>강내면</t>
        </is>
      </c>
    </row>
    <row r="1480">
      <c r="A1480" s="3" t="n">
        <v>2023</v>
      </c>
      <c r="B1480" s="4" t="n">
        <v>7020</v>
      </c>
      <c r="C1480" s="4" t="n">
        <v>143</v>
      </c>
      <c r="D1480" s="3" t="inlineStr">
        <is>
          <t>오송읍</t>
        </is>
      </c>
      <c r="E1480" s="3" t="inlineStr">
        <is>
          <t>연제리</t>
        </is>
      </c>
      <c r="F1480" s="3" t="inlineStr">
        <is>
          <t>계획관리지역</t>
        </is>
      </c>
      <c r="G1480" s="3" t="inlineStr">
        <is>
          <t>답</t>
        </is>
      </c>
      <c r="H1480" s="4" t="n">
        <v>43.2575</v>
      </c>
      <c r="I1480" s="5" t="n">
        <v>162.3</v>
      </c>
      <c r="J1480" s="3" t="inlineStr">
        <is>
          <t>오송읍</t>
        </is>
      </c>
    </row>
    <row r="1481">
      <c r="A1481" s="3" t="n">
        <v>2023</v>
      </c>
      <c r="B1481" s="4" t="n">
        <v>23000</v>
      </c>
      <c r="C1481" s="4" t="n">
        <v>263</v>
      </c>
      <c r="D1481" s="3" t="inlineStr">
        <is>
          <t>오송읍</t>
        </is>
      </c>
      <c r="E1481" s="3" t="inlineStr">
        <is>
          <t>서평리</t>
        </is>
      </c>
      <c r="F1481" s="3" t="inlineStr">
        <is>
          <t>계획관리지역</t>
        </is>
      </c>
      <c r="G1481" s="3" t="inlineStr">
        <is>
          <t>답</t>
        </is>
      </c>
      <c r="H1481" s="4" t="n">
        <v>79.5575</v>
      </c>
      <c r="I1481" s="5" t="n">
        <v>289.1</v>
      </c>
      <c r="J1481" s="3" t="inlineStr">
        <is>
          <t>오송읍</t>
        </is>
      </c>
    </row>
    <row r="1482">
      <c r="A1482" s="3" t="n">
        <v>2023</v>
      </c>
      <c r="B1482" s="4" t="n">
        <v>7000</v>
      </c>
      <c r="C1482" s="4" t="n">
        <v>66</v>
      </c>
      <c r="D1482" s="3" t="inlineStr">
        <is>
          <t>오송읍</t>
        </is>
      </c>
      <c r="E1482" s="3" t="inlineStr">
        <is>
          <t>서평리</t>
        </is>
      </c>
      <c r="F1482" s="3" t="inlineStr">
        <is>
          <t>계획관리지역</t>
        </is>
      </c>
      <c r="G1482" s="3" t="inlineStr">
        <is>
          <t>답</t>
        </is>
      </c>
      <c r="H1482" s="4" t="n">
        <v>19.965</v>
      </c>
      <c r="I1482" s="5" t="n">
        <v>350.6</v>
      </c>
      <c r="J1482" s="3" t="inlineStr">
        <is>
          <t>오송읍</t>
        </is>
      </c>
    </row>
    <row r="1483">
      <c r="A1483" s="3" t="n">
        <v>2023</v>
      </c>
      <c r="B1483" s="4" t="n">
        <v>38000</v>
      </c>
      <c r="C1483" s="4" t="n">
        <v>938</v>
      </c>
      <c r="D1483" s="3" t="inlineStr">
        <is>
          <t>강내면</t>
        </is>
      </c>
      <c r="E1483" s="3" t="inlineStr">
        <is>
          <t>탑연리</t>
        </is>
      </c>
      <c r="F1483" s="3" t="inlineStr">
        <is>
          <t>자연녹지지역</t>
        </is>
      </c>
      <c r="G1483" s="3" t="inlineStr">
        <is>
          <t>답</t>
        </is>
      </c>
      <c r="H1483" s="4" t="n">
        <v>283.745</v>
      </c>
      <c r="I1483" s="5" t="n">
        <v>133.9</v>
      </c>
      <c r="J1483" s="3" t="inlineStr">
        <is>
          <t>강내면</t>
        </is>
      </c>
    </row>
    <row r="1484">
      <c r="A1484" s="3" t="n">
        <v>2023</v>
      </c>
      <c r="B1484" s="4" t="n">
        <v>64100</v>
      </c>
      <c r="C1484" s="4" t="n">
        <v>3363.9</v>
      </c>
      <c r="D1484" s="3" t="inlineStr">
        <is>
          <t>오송읍</t>
        </is>
      </c>
      <c r="E1484" s="3" t="inlineStr">
        <is>
          <t>공북리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1017.57975</v>
      </c>
      <c r="I1484" s="5" t="n">
        <v>63</v>
      </c>
      <c r="J1484" s="3" t="inlineStr">
        <is>
          <t>오송읍</t>
        </is>
      </c>
    </row>
    <row r="1485">
      <c r="A1485" s="3" t="n">
        <v>2023</v>
      </c>
      <c r="B1485" s="4" t="n">
        <v>38000</v>
      </c>
      <c r="C1485" s="4" t="n">
        <v>3589.2</v>
      </c>
      <c r="D1485" s="3" t="inlineStr">
        <is>
          <t>강내면</t>
        </is>
      </c>
      <c r="E1485" s="3" t="inlineStr">
        <is>
          <t>저산리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1085.733</v>
      </c>
      <c r="I1485" s="5" t="n">
        <v>35</v>
      </c>
      <c r="J1485" s="3" t="inlineStr">
        <is>
          <t>강내면</t>
        </is>
      </c>
    </row>
    <row r="1486">
      <c r="A1486" s="3" t="n">
        <v>2023</v>
      </c>
      <c r="B1486" s="4" t="n">
        <v>7020</v>
      </c>
      <c r="C1486" s="4" t="n">
        <v>143</v>
      </c>
      <c r="D1486" s="3" t="inlineStr">
        <is>
          <t>오송읍</t>
        </is>
      </c>
      <c r="E1486" s="3" t="inlineStr">
        <is>
          <t>연제리</t>
        </is>
      </c>
      <c r="F1486" s="3" t="inlineStr">
        <is>
          <t>계획관리지역</t>
        </is>
      </c>
      <c r="G1486" s="3" t="inlineStr">
        <is>
          <t>답</t>
        </is>
      </c>
      <c r="H1486" s="4" t="n">
        <v>43.2575</v>
      </c>
      <c r="I1486" s="5" t="n">
        <v>162.3</v>
      </c>
      <c r="J1486" s="3" t="inlineStr">
        <is>
          <t>오송읍</t>
        </is>
      </c>
    </row>
    <row r="1487">
      <c r="A1487" s="3" t="n">
        <v>2023</v>
      </c>
      <c r="B1487" s="4" t="n">
        <v>7020</v>
      </c>
      <c r="C1487" s="4" t="n">
        <v>143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계획관리지역</t>
        </is>
      </c>
      <c r="G1487" s="3" t="inlineStr">
        <is>
          <t>답</t>
        </is>
      </c>
      <c r="H1487" s="4" t="n">
        <v>43.2575</v>
      </c>
      <c r="I1487" s="5" t="n">
        <v>162.3</v>
      </c>
      <c r="J1487" s="3" t="inlineStr">
        <is>
          <t>오송읍</t>
        </is>
      </c>
    </row>
    <row r="1488">
      <c r="A1488" s="3" t="n">
        <v>2023</v>
      </c>
      <c r="B1488" s="4" t="n">
        <v>21000</v>
      </c>
      <c r="C1488" s="4" t="n">
        <v>356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107.69</v>
      </c>
      <c r="I1488" s="5" t="n">
        <v>195</v>
      </c>
      <c r="J1488" s="3" t="inlineStr">
        <is>
          <t>오송읍</t>
        </is>
      </c>
    </row>
    <row r="1489">
      <c r="A1489" s="3" t="n">
        <v>2023</v>
      </c>
      <c r="B1489" s="4" t="n">
        <v>12000</v>
      </c>
      <c r="C1489" s="4" t="n">
        <v>182</v>
      </c>
      <c r="D1489" s="3" t="inlineStr">
        <is>
          <t>오송읍</t>
        </is>
      </c>
      <c r="E1489" s="3" t="inlineStr">
        <is>
          <t>오송리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55.055</v>
      </c>
      <c r="I1489" s="5" t="n">
        <v>218</v>
      </c>
      <c r="J1489" s="3" t="inlineStr">
        <is>
          <t>오송읍</t>
        </is>
      </c>
    </row>
    <row r="1490">
      <c r="A1490" s="3" t="n">
        <v>2023</v>
      </c>
      <c r="B1490" s="4" t="n">
        <v>40000</v>
      </c>
      <c r="C1490" s="4" t="n">
        <v>1707</v>
      </c>
      <c r="D1490" s="3" t="inlineStr">
        <is>
          <t>강내면</t>
        </is>
      </c>
      <c r="E1490" s="3" t="inlineStr">
        <is>
          <t>연정리</t>
        </is>
      </c>
      <c r="F1490" s="3" t="inlineStr">
        <is>
          <t>계획관리지역</t>
        </is>
      </c>
      <c r="G1490" s="3" t="inlineStr">
        <is>
          <t>전</t>
        </is>
      </c>
      <c r="H1490" s="4" t="n">
        <v>516.3674999999999</v>
      </c>
      <c r="I1490" s="5" t="n">
        <v>77.5</v>
      </c>
      <c r="J1490" s="3" t="inlineStr">
        <is>
          <t>강내면</t>
        </is>
      </c>
    </row>
    <row r="1491">
      <c r="A1491" s="3" t="n">
        <v>2023</v>
      </c>
      <c r="B1491" s="4" t="n">
        <v>2214</v>
      </c>
      <c r="C1491" s="4" t="n">
        <v>144</v>
      </c>
      <c r="D1491" s="3" t="inlineStr">
        <is>
          <t>강내면</t>
        </is>
      </c>
      <c r="E1491" s="3" t="inlineStr">
        <is>
          <t>궁현리</t>
        </is>
      </c>
      <c r="F1491" s="3" t="inlineStr">
        <is>
          <t>계획관리지역</t>
        </is>
      </c>
      <c r="G1491" s="3" t="inlineStr">
        <is>
          <t>대</t>
        </is>
      </c>
      <c r="H1491" s="4" t="n">
        <v>43.56</v>
      </c>
      <c r="I1491" s="5" t="n">
        <v>50.8</v>
      </c>
      <c r="J1491" s="3" t="inlineStr">
        <is>
          <t>강내면</t>
        </is>
      </c>
    </row>
    <row r="1492">
      <c r="A1492" s="3" t="n">
        <v>2023</v>
      </c>
      <c r="B1492" s="4" t="n">
        <v>12180</v>
      </c>
      <c r="C1492" s="4" t="n">
        <v>370</v>
      </c>
      <c r="D1492" s="3" t="inlineStr">
        <is>
          <t>강내면</t>
        </is>
      </c>
      <c r="E1492" s="3" t="inlineStr">
        <is>
          <t>월곡리</t>
        </is>
      </c>
      <c r="F1492" s="3" t="inlineStr">
        <is>
          <t>자연녹지지역</t>
        </is>
      </c>
      <c r="G1492" s="3" t="inlineStr">
        <is>
          <t>구거</t>
        </is>
      </c>
      <c r="H1492" s="4" t="n">
        <v>111.925</v>
      </c>
      <c r="I1492" s="5" t="n">
        <v>108.8</v>
      </c>
      <c r="J1492" s="3" t="inlineStr">
        <is>
          <t>강내면</t>
        </is>
      </c>
    </row>
    <row r="1493">
      <c r="A1493" s="3" t="n">
        <v>2023</v>
      </c>
      <c r="B1493" s="4" t="n">
        <v>47328</v>
      </c>
      <c r="C1493" s="4" t="n">
        <v>2301</v>
      </c>
      <c r="D1493" s="3" t="inlineStr">
        <is>
          <t>강내면</t>
        </is>
      </c>
      <c r="E1493" s="3" t="inlineStr">
        <is>
          <t>저산리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696.0525</v>
      </c>
      <c r="I1493" s="5" t="n">
        <v>68</v>
      </c>
      <c r="J1493" s="3" t="inlineStr">
        <is>
          <t>강내면</t>
        </is>
      </c>
    </row>
    <row r="1494">
      <c r="A1494" s="3" t="n">
        <v>2023</v>
      </c>
      <c r="B1494" s="4" t="n">
        <v>39310</v>
      </c>
      <c r="C1494" s="4" t="n">
        <v>551</v>
      </c>
      <c r="D1494" s="3" t="inlineStr">
        <is>
          <t>오송읍</t>
        </is>
      </c>
      <c r="E1494" s="3" t="inlineStr">
        <is>
          <t>정중리</t>
        </is>
      </c>
      <c r="F1494" s="3" t="inlineStr">
        <is>
          <t>생산관리지역</t>
        </is>
      </c>
      <c r="G1494" s="3" t="inlineStr">
        <is>
          <t>임야</t>
        </is>
      </c>
      <c r="H1494" s="4" t="n">
        <v>166.6775</v>
      </c>
      <c r="I1494" s="5" t="n">
        <v>235.8</v>
      </c>
      <c r="J1494" s="3" t="inlineStr">
        <is>
          <t>오송읍</t>
        </is>
      </c>
    </row>
    <row r="1495">
      <c r="A1495" s="3" t="n">
        <v>2023</v>
      </c>
      <c r="B1495" s="4" t="n">
        <v>31396</v>
      </c>
      <c r="C1495" s="4" t="n">
        <v>328</v>
      </c>
      <c r="D1495" s="3" t="inlineStr">
        <is>
          <t>오송읍</t>
        </is>
      </c>
      <c r="E1495" s="3" t="inlineStr">
        <is>
          <t>정중리</t>
        </is>
      </c>
      <c r="F1495" s="3" t="inlineStr">
        <is>
          <t>계획관리지역</t>
        </is>
      </c>
      <c r="G1495" s="3" t="inlineStr">
        <is>
          <t>대</t>
        </is>
      </c>
      <c r="H1495" s="4" t="n">
        <v>99.22</v>
      </c>
      <c r="I1495" s="5" t="n">
        <v>316.4</v>
      </c>
      <c r="J1495" s="3" t="inlineStr">
        <is>
          <t>오송읍</t>
        </is>
      </c>
    </row>
    <row r="1496">
      <c r="A1496" s="3" t="n">
        <v>2023</v>
      </c>
      <c r="B1496" s="4" t="n">
        <v>32000</v>
      </c>
      <c r="C1496" s="4" t="n">
        <v>1627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전</t>
        </is>
      </c>
      <c r="H1496" s="4" t="n">
        <v>492.1675</v>
      </c>
      <c r="I1496" s="5" t="n">
        <v>65</v>
      </c>
      <c r="J1496" s="3" t="inlineStr">
        <is>
          <t>오송읍</t>
        </is>
      </c>
    </row>
    <row r="1497">
      <c r="A1497" s="3" t="n">
        <v>2024</v>
      </c>
      <c r="B1497" s="4" t="n">
        <v>5373</v>
      </c>
      <c r="C1497" s="4" t="n">
        <v>162</v>
      </c>
      <c r="D1497" s="3" t="inlineStr">
        <is>
          <t>강내면</t>
        </is>
      </c>
      <c r="E1497" s="3" t="inlineStr">
        <is>
          <t>저산리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49.005</v>
      </c>
      <c r="I1497" s="5" t="n">
        <v>109.6</v>
      </c>
      <c r="J1497" s="3" t="inlineStr">
        <is>
          <t>강내면</t>
        </is>
      </c>
    </row>
    <row r="1498">
      <c r="A1498" s="3" t="n">
        <v>2024</v>
      </c>
      <c r="B1498" s="4" t="n">
        <v>662</v>
      </c>
      <c r="C1498" s="4" t="n">
        <v>20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대</t>
        </is>
      </c>
      <c r="H1498" s="4" t="n">
        <v>6.05</v>
      </c>
      <c r="I1498" s="5" t="n">
        <v>109.4</v>
      </c>
      <c r="J1498" s="3" t="inlineStr">
        <is>
          <t>강내면</t>
        </is>
      </c>
    </row>
    <row r="1499">
      <c r="A1499" s="3" t="n">
        <v>2024</v>
      </c>
      <c r="B1499" s="4" t="n">
        <v>133</v>
      </c>
      <c r="C1499" s="4" t="n">
        <v>4</v>
      </c>
      <c r="D1499" s="3" t="inlineStr">
        <is>
          <t>강내면</t>
        </is>
      </c>
      <c r="E1499" s="3" t="inlineStr">
        <is>
          <t>저산리</t>
        </is>
      </c>
      <c r="F1499" s="3" t="inlineStr">
        <is>
          <t>계획관리지역</t>
        </is>
      </c>
      <c r="G1499" s="3" t="inlineStr">
        <is>
          <t>대</t>
        </is>
      </c>
      <c r="H1499" s="4" t="n">
        <v>1.21</v>
      </c>
      <c r="I1499" s="5" t="n">
        <v>109.9</v>
      </c>
      <c r="J1499" s="3" t="inlineStr">
        <is>
          <t>강내면</t>
        </is>
      </c>
    </row>
    <row r="1500">
      <c r="A1500" s="3" t="n">
        <v>2024</v>
      </c>
      <c r="B1500" s="4" t="n">
        <v>9344</v>
      </c>
      <c r="C1500" s="4" t="n">
        <v>282</v>
      </c>
      <c r="D1500" s="3" t="inlineStr">
        <is>
          <t>강내면</t>
        </is>
      </c>
      <c r="E1500" s="3" t="inlineStr">
        <is>
          <t>저산리</t>
        </is>
      </c>
      <c r="F1500" s="3" t="inlineStr">
        <is>
          <t>계획관리지역</t>
        </is>
      </c>
      <c r="G1500" s="3" t="inlineStr">
        <is>
          <t>대</t>
        </is>
      </c>
      <c r="H1500" s="4" t="n">
        <v>85.30499999999999</v>
      </c>
      <c r="I1500" s="5" t="n">
        <v>109.5</v>
      </c>
      <c r="J1500" s="3" t="inlineStr">
        <is>
          <t>강내면</t>
        </is>
      </c>
    </row>
    <row r="1501">
      <c r="A1501" s="3" t="n">
        <v>2024</v>
      </c>
      <c r="B1501" s="4" t="n">
        <v>3745</v>
      </c>
      <c r="C1501" s="4" t="n">
        <v>113</v>
      </c>
      <c r="D1501" s="3" t="inlineStr">
        <is>
          <t>강내면</t>
        </is>
      </c>
      <c r="E1501" s="3" t="inlineStr">
        <is>
          <t>저산리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34.1825</v>
      </c>
      <c r="I1501" s="5" t="n">
        <v>109.6</v>
      </c>
      <c r="J1501" s="3" t="inlineStr">
        <is>
          <t>강내면</t>
        </is>
      </c>
    </row>
    <row r="1502">
      <c r="A1502" s="3" t="n">
        <v>2024</v>
      </c>
      <c r="B1502" s="4" t="n">
        <v>9000</v>
      </c>
      <c r="C1502" s="4" t="n">
        <v>545</v>
      </c>
      <c r="D1502" s="3" t="inlineStr">
        <is>
          <t>오송읍</t>
        </is>
      </c>
      <c r="E1502" s="3" t="inlineStr">
        <is>
          <t>공북리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164.8625</v>
      </c>
      <c r="I1502" s="5" t="n">
        <v>54.6</v>
      </c>
      <c r="J1502" s="3" t="inlineStr">
        <is>
          <t>오송읍</t>
        </is>
      </c>
    </row>
    <row r="1503">
      <c r="A1503" s="3" t="n">
        <v>2024</v>
      </c>
      <c r="B1503" s="4" t="n">
        <v>466736</v>
      </c>
      <c r="C1503" s="4" t="n">
        <v>55116</v>
      </c>
      <c r="D1503" s="3" t="inlineStr">
        <is>
          <t>오송읍</t>
        </is>
      </c>
      <c r="E1503" s="3" t="inlineStr">
        <is>
          <t>정중리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16672.59</v>
      </c>
      <c r="I1503" s="5" t="n">
        <v>28</v>
      </c>
      <c r="J1503" s="3" t="inlineStr">
        <is>
          <t>오송읍</t>
        </is>
      </c>
    </row>
    <row r="1504">
      <c r="A1504" s="3" t="n">
        <v>2024</v>
      </c>
      <c r="B1504" s="4" t="n">
        <v>5101</v>
      </c>
      <c r="C1504" s="4" t="n">
        <v>326</v>
      </c>
      <c r="D1504" s="3" t="inlineStr">
        <is>
          <t>오송읍</t>
        </is>
      </c>
      <c r="E1504" s="3" t="inlineStr">
        <is>
          <t>정중리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98.61499999999999</v>
      </c>
      <c r="I1504" s="5" t="n">
        <v>51.7</v>
      </c>
      <c r="J1504" s="3" t="inlineStr">
        <is>
          <t>오송읍</t>
        </is>
      </c>
    </row>
    <row r="1505">
      <c r="A1505" s="3" t="n">
        <v>2024</v>
      </c>
      <c r="B1505" s="4" t="n">
        <v>115380</v>
      </c>
      <c r="C1505" s="4" t="n">
        <v>8022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생산관리지역</t>
        </is>
      </c>
      <c r="G1505" s="3" t="inlineStr">
        <is>
          <t>답</t>
        </is>
      </c>
      <c r="H1505" s="4" t="n">
        <v>2426.655</v>
      </c>
      <c r="I1505" s="5" t="n">
        <v>47.5</v>
      </c>
      <c r="J1505" s="3" t="inlineStr">
        <is>
          <t>오송읍</t>
        </is>
      </c>
    </row>
    <row r="1506">
      <c r="A1506" s="3" t="n">
        <v>2024</v>
      </c>
      <c r="B1506" s="4" t="n">
        <v>13361</v>
      </c>
      <c r="C1506" s="4" t="n">
        <v>1038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답</t>
        </is>
      </c>
      <c r="H1506" s="4" t="n">
        <v>313.995</v>
      </c>
      <c r="I1506" s="5" t="n">
        <v>42.6</v>
      </c>
      <c r="J1506" s="3" t="inlineStr">
        <is>
          <t>오송읍</t>
        </is>
      </c>
    </row>
    <row r="1507">
      <c r="A1507" s="3" t="n">
        <v>2024</v>
      </c>
      <c r="B1507" s="4" t="n">
        <v>8069</v>
      </c>
      <c r="C1507" s="4" t="n">
        <v>661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생산관리지역</t>
        </is>
      </c>
      <c r="G1507" s="3" t="inlineStr">
        <is>
          <t>답</t>
        </is>
      </c>
      <c r="H1507" s="4" t="n">
        <v>199.9525</v>
      </c>
      <c r="I1507" s="5" t="n">
        <v>40.4</v>
      </c>
      <c r="J1507" s="3" t="inlineStr">
        <is>
          <t>오송읍</t>
        </is>
      </c>
    </row>
    <row r="1508">
      <c r="A1508" s="3" t="n">
        <v>2024</v>
      </c>
      <c r="B1508" s="4" t="n">
        <v>86</v>
      </c>
      <c r="C1508" s="4" t="n">
        <v>7</v>
      </c>
      <c r="D1508" s="3" t="inlineStr">
        <is>
          <t>오송읍</t>
        </is>
      </c>
      <c r="E1508" s="3" t="inlineStr">
        <is>
          <t>정중리</t>
        </is>
      </c>
      <c r="F1508" s="3" t="inlineStr">
        <is>
          <t>생산관리지역</t>
        </is>
      </c>
      <c r="G1508" s="3" t="inlineStr">
        <is>
          <t>답</t>
        </is>
      </c>
      <c r="H1508" s="4" t="n">
        <v>2.1175</v>
      </c>
      <c r="I1508" s="5" t="n">
        <v>40.6</v>
      </c>
      <c r="J1508" s="3" t="inlineStr">
        <is>
          <t>오송읍</t>
        </is>
      </c>
    </row>
    <row r="1509">
      <c r="A1509" s="3" t="n">
        <v>2024</v>
      </c>
      <c r="B1509" s="4" t="n">
        <v>9</v>
      </c>
      <c r="C1509" s="4" t="n">
        <v>2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생산관리지역</t>
        </is>
      </c>
      <c r="G1509" s="3" t="inlineStr">
        <is>
          <t>제방</t>
        </is>
      </c>
      <c r="H1509" s="4" t="n">
        <v>0.605</v>
      </c>
      <c r="I1509" s="5" t="n">
        <v>14.9</v>
      </c>
      <c r="J1509" s="3" t="inlineStr">
        <is>
          <t>오송읍</t>
        </is>
      </c>
    </row>
    <row r="1510">
      <c r="A1510" s="3" t="n">
        <v>2024</v>
      </c>
      <c r="B1510" s="4" t="n">
        <v>189</v>
      </c>
      <c r="C1510" s="4" t="n">
        <v>40</v>
      </c>
      <c r="D1510" s="3" t="inlineStr">
        <is>
          <t>오송읍</t>
        </is>
      </c>
      <c r="E1510" s="3" t="inlineStr">
        <is>
          <t>정중리</t>
        </is>
      </c>
      <c r="F1510" s="3" t="inlineStr">
        <is>
          <t>생산관리지역</t>
        </is>
      </c>
      <c r="G1510" s="3" t="inlineStr">
        <is>
          <t>답</t>
        </is>
      </c>
      <c r="H1510" s="4" t="n">
        <v>12.1</v>
      </c>
      <c r="I1510" s="5" t="n">
        <v>15.6</v>
      </c>
      <c r="J1510" s="3" t="inlineStr">
        <is>
          <t>오송읍</t>
        </is>
      </c>
    </row>
    <row r="1511">
      <c r="A1511" s="3" t="n">
        <v>2024</v>
      </c>
      <c r="B1511" s="4" t="n">
        <v>924</v>
      </c>
      <c r="C1511" s="4" t="n">
        <v>196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59.29</v>
      </c>
      <c r="I1511" s="5" t="n">
        <v>15.6</v>
      </c>
      <c r="J1511" s="3" t="inlineStr">
        <is>
          <t>오송읍</t>
        </is>
      </c>
    </row>
    <row r="1512">
      <c r="A1512" s="3" t="n">
        <v>2024</v>
      </c>
      <c r="B1512" s="4" t="n">
        <v>4739</v>
      </c>
      <c r="C1512" s="4" t="n">
        <v>411</v>
      </c>
      <c r="D1512" s="3" t="inlineStr">
        <is>
          <t>오송읍</t>
        </is>
      </c>
      <c r="E1512" s="3" t="inlineStr">
        <is>
          <t>정중리</t>
        </is>
      </c>
      <c r="F1512" s="3" t="inlineStr">
        <is>
          <t>생산관리지역</t>
        </is>
      </c>
      <c r="G1512" s="3" t="inlineStr">
        <is>
          <t>전</t>
        </is>
      </c>
      <c r="H1512" s="4" t="n">
        <v>124.3275</v>
      </c>
      <c r="I1512" s="5" t="n">
        <v>38.1</v>
      </c>
      <c r="J1512" s="3" t="inlineStr">
        <is>
          <t>오송읍</t>
        </is>
      </c>
    </row>
    <row r="1513">
      <c r="A1513" s="3" t="n">
        <v>2024</v>
      </c>
      <c r="B1513" s="4" t="n">
        <v>427</v>
      </c>
      <c r="C1513" s="4" t="n">
        <v>37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11.1925</v>
      </c>
      <c r="I1513" s="5" t="n">
        <v>38.2</v>
      </c>
      <c r="J1513" s="3" t="inlineStr">
        <is>
          <t>오송읍</t>
        </is>
      </c>
    </row>
    <row r="1514">
      <c r="A1514" s="3" t="n">
        <v>2024</v>
      </c>
      <c r="B1514" s="4" t="n">
        <v>2652</v>
      </c>
      <c r="C1514" s="4" t="n">
        <v>230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69.575</v>
      </c>
      <c r="I1514" s="5" t="n">
        <v>38.1</v>
      </c>
      <c r="J1514" s="3" t="inlineStr">
        <is>
          <t>오송읍</t>
        </is>
      </c>
    </row>
    <row r="1515">
      <c r="A1515" s="3" t="n">
        <v>2024</v>
      </c>
      <c r="B1515" s="4" t="n">
        <v>484</v>
      </c>
      <c r="C1515" s="4" t="n">
        <v>42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답</t>
        </is>
      </c>
      <c r="H1515" s="4" t="n">
        <v>12.705</v>
      </c>
      <c r="I1515" s="5" t="n">
        <v>38.1</v>
      </c>
      <c r="J1515" s="3" t="inlineStr">
        <is>
          <t>오송읍</t>
        </is>
      </c>
    </row>
    <row r="1516">
      <c r="A1516" s="3" t="n">
        <v>2024</v>
      </c>
      <c r="B1516" s="4" t="n">
        <v>5233</v>
      </c>
      <c r="C1516" s="4" t="n">
        <v>431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전</t>
        </is>
      </c>
      <c r="H1516" s="4" t="n">
        <v>130.3775</v>
      </c>
      <c r="I1516" s="5" t="n">
        <v>40.1</v>
      </c>
      <c r="J1516" s="3" t="inlineStr">
        <is>
          <t>오송읍</t>
        </is>
      </c>
    </row>
    <row r="1517">
      <c r="A1517" s="3" t="n">
        <v>2024</v>
      </c>
      <c r="B1517" s="4" t="n">
        <v>2779</v>
      </c>
      <c r="C1517" s="4" t="n">
        <v>241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전</t>
        </is>
      </c>
      <c r="H1517" s="4" t="n">
        <v>72.9025</v>
      </c>
      <c r="I1517" s="5" t="n">
        <v>38.1</v>
      </c>
      <c r="J1517" s="3" t="inlineStr">
        <is>
          <t>오송읍</t>
        </is>
      </c>
    </row>
    <row r="1518">
      <c r="A1518" s="3" t="n">
        <v>2024</v>
      </c>
      <c r="B1518" s="4" t="n">
        <v>1535</v>
      </c>
      <c r="C1518" s="4" t="n">
        <v>112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임야</t>
        </is>
      </c>
      <c r="H1518" s="4" t="n">
        <v>33.88</v>
      </c>
      <c r="I1518" s="5" t="n">
        <v>45.3</v>
      </c>
      <c r="J1518" s="3" t="inlineStr">
        <is>
          <t>오송읍</t>
        </is>
      </c>
    </row>
    <row r="1519">
      <c r="A1519" s="3" t="n">
        <v>2024</v>
      </c>
      <c r="B1519" s="4" t="n">
        <v>415</v>
      </c>
      <c r="C1519" s="4" t="n">
        <v>88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구거</t>
        </is>
      </c>
      <c r="H1519" s="4" t="n">
        <v>26.62</v>
      </c>
      <c r="I1519" s="5" t="n">
        <v>15.6</v>
      </c>
      <c r="J1519" s="3" t="inlineStr">
        <is>
          <t>오송읍</t>
        </is>
      </c>
    </row>
    <row r="1520">
      <c r="A1520" s="3" t="n">
        <v>2024</v>
      </c>
      <c r="B1520" s="4" t="n">
        <v>5495</v>
      </c>
      <c r="C1520" s="4" t="n">
        <v>363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109.8075</v>
      </c>
      <c r="I1520" s="5" t="n">
        <v>50</v>
      </c>
      <c r="J1520" s="3" t="inlineStr">
        <is>
          <t>오송읍</t>
        </is>
      </c>
    </row>
    <row r="1521">
      <c r="A1521" s="3" t="n">
        <v>2024</v>
      </c>
      <c r="B1521" s="4" t="n">
        <v>344</v>
      </c>
      <c r="C1521" s="4" t="n">
        <v>73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제방</t>
        </is>
      </c>
      <c r="H1521" s="4" t="n">
        <v>22.0825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57</v>
      </c>
      <c r="C1522" s="4" t="n">
        <v>12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제방</t>
        </is>
      </c>
      <c r="H1522" s="4" t="n">
        <v>3.63</v>
      </c>
      <c r="I1522" s="5" t="n">
        <v>15.7</v>
      </c>
      <c r="J1522" s="3" t="inlineStr">
        <is>
          <t>오송읍</t>
        </is>
      </c>
    </row>
    <row r="1523">
      <c r="A1523" s="3" t="n">
        <v>2024</v>
      </c>
      <c r="B1523" s="4" t="n">
        <v>19705</v>
      </c>
      <c r="C1523" s="4" t="n">
        <v>1370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414.425</v>
      </c>
      <c r="I1523" s="5" t="n">
        <v>47.5</v>
      </c>
      <c r="J1523" s="3" t="inlineStr">
        <is>
          <t>오송읍</t>
        </is>
      </c>
    </row>
    <row r="1524">
      <c r="A1524" s="3" t="n">
        <v>2024</v>
      </c>
      <c r="B1524" s="4" t="n">
        <v>62090</v>
      </c>
      <c r="C1524" s="4" t="n">
        <v>3881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전</t>
        </is>
      </c>
      <c r="H1524" s="4" t="n">
        <v>1174.0025</v>
      </c>
      <c r="I1524" s="5" t="n">
        <v>52.9</v>
      </c>
      <c r="J1524" s="3" t="inlineStr">
        <is>
          <t>오송읍</t>
        </is>
      </c>
    </row>
    <row r="1525">
      <c r="A1525" s="3" t="n">
        <v>2024</v>
      </c>
      <c r="B1525" s="4" t="n">
        <v>3674</v>
      </c>
      <c r="C1525" s="4" t="n">
        <v>301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전</t>
        </is>
      </c>
      <c r="H1525" s="4" t="n">
        <v>91.05249999999999</v>
      </c>
      <c r="I1525" s="5" t="n">
        <v>40.4</v>
      </c>
      <c r="J1525" s="3" t="inlineStr">
        <is>
          <t>오송읍</t>
        </is>
      </c>
    </row>
    <row r="1526">
      <c r="A1526" s="3" t="n">
        <v>2024</v>
      </c>
      <c r="B1526" s="4" t="n">
        <v>1892</v>
      </c>
      <c r="C1526" s="4" t="n">
        <v>155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46.8875</v>
      </c>
      <c r="I1526" s="5" t="n">
        <v>40.4</v>
      </c>
      <c r="J1526" s="3" t="inlineStr">
        <is>
          <t>오송읍</t>
        </is>
      </c>
    </row>
    <row r="1527">
      <c r="A1527" s="3" t="n">
        <v>2024</v>
      </c>
      <c r="B1527" s="4" t="n">
        <v>3855</v>
      </c>
      <c r="C1527" s="4" t="n">
        <v>268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81.06999999999999</v>
      </c>
      <c r="I1527" s="5" t="n">
        <v>47.6</v>
      </c>
      <c r="J1527" s="3" t="inlineStr">
        <is>
          <t>오송읍</t>
        </is>
      </c>
    </row>
    <row r="1528">
      <c r="A1528" s="3" t="n">
        <v>2024</v>
      </c>
      <c r="B1528" s="4" t="n">
        <v>1537</v>
      </c>
      <c r="C1528" s="4" t="n">
        <v>122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농림지역</t>
        </is>
      </c>
      <c r="G1528" s="3" t="inlineStr">
        <is>
          <t>목장용지</t>
        </is>
      </c>
      <c r="H1528" s="4" t="n">
        <v>36.905</v>
      </c>
      <c r="I1528" s="5" t="n">
        <v>41.6</v>
      </c>
      <c r="J1528" s="3" t="inlineStr">
        <is>
          <t>오송읍</t>
        </is>
      </c>
    </row>
    <row r="1529">
      <c r="A1529" s="3" t="n">
        <v>2024</v>
      </c>
      <c r="B1529" s="4" t="n">
        <v>52000</v>
      </c>
      <c r="C1529" s="4" t="n">
        <v>1646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답</t>
        </is>
      </c>
      <c r="H1529" s="4" t="n">
        <v>497.915</v>
      </c>
      <c r="I1529" s="5" t="n">
        <v>104.4</v>
      </c>
      <c r="J1529" s="3" t="inlineStr">
        <is>
          <t>강내면</t>
        </is>
      </c>
    </row>
    <row r="1530">
      <c r="A1530" s="3" t="n">
        <v>2024</v>
      </c>
      <c r="B1530" s="4" t="n">
        <v>21360</v>
      </c>
      <c r="C1530" s="4" t="n">
        <v>1177</v>
      </c>
      <c r="D1530" s="3" t="inlineStr">
        <is>
          <t>강내면</t>
        </is>
      </c>
      <c r="E1530" s="3" t="inlineStr">
        <is>
          <t>다락리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356.0425</v>
      </c>
      <c r="I1530" s="5" t="n">
        <v>60</v>
      </c>
      <c r="J1530" s="3" t="inlineStr">
        <is>
          <t>강내면</t>
        </is>
      </c>
    </row>
    <row r="1531">
      <c r="A1531" s="3" t="n">
        <v>2024</v>
      </c>
      <c r="B1531" s="4" t="n">
        <v>74800</v>
      </c>
      <c r="C1531" s="4" t="n">
        <v>3297.8</v>
      </c>
      <c r="D1531" s="3" t="inlineStr">
        <is>
          <t>오송읍</t>
        </is>
      </c>
      <c r="E1531" s="3" t="inlineStr">
        <is>
          <t>공북리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997.5845</v>
      </c>
      <c r="I1531" s="5" t="n">
        <v>75</v>
      </c>
      <c r="J1531" s="3" t="inlineStr">
        <is>
          <t>오송읍</t>
        </is>
      </c>
    </row>
    <row r="1532">
      <c r="A1532" s="3" t="n">
        <v>2024</v>
      </c>
      <c r="B1532" s="4" t="n">
        <v>500</v>
      </c>
      <c r="C1532" s="4" t="n">
        <v>5</v>
      </c>
      <c r="D1532" s="3" t="inlineStr">
        <is>
          <t>오송읍</t>
        </is>
      </c>
      <c r="E1532" s="3" t="inlineStr">
        <is>
          <t>오송리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1.5125</v>
      </c>
      <c r="I1532" s="5" t="n">
        <v>330.6</v>
      </c>
      <c r="J1532" s="3" t="inlineStr">
        <is>
          <t>오송읍</t>
        </is>
      </c>
    </row>
    <row r="1533">
      <c r="A1533" s="3" t="n">
        <v>2024</v>
      </c>
      <c r="B1533" s="4" t="n">
        <v>12700</v>
      </c>
      <c r="C1533" s="4" t="n">
        <v>349</v>
      </c>
      <c r="D1533" s="3" t="inlineStr">
        <is>
          <t>강내면</t>
        </is>
      </c>
      <c r="E1533" s="3" t="inlineStr">
        <is>
          <t>저산리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105.5725</v>
      </c>
      <c r="I1533" s="5" t="n">
        <v>120.3</v>
      </c>
      <c r="J1533" s="3" t="inlineStr">
        <is>
          <t>강내면</t>
        </is>
      </c>
    </row>
    <row r="1534">
      <c r="A1534" s="3" t="n">
        <v>2024</v>
      </c>
      <c r="B1534" s="4" t="n">
        <v>1710</v>
      </c>
      <c r="C1534" s="4" t="n">
        <v>47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14.2175</v>
      </c>
      <c r="I1534" s="5" t="n">
        <v>120.3</v>
      </c>
      <c r="J1534" s="3" t="inlineStr">
        <is>
          <t>강내면</t>
        </is>
      </c>
    </row>
    <row r="1535">
      <c r="A1535" s="3" t="n">
        <v>2024</v>
      </c>
      <c r="B1535" s="4" t="n">
        <v>28000</v>
      </c>
      <c r="C1535" s="4" t="n">
        <v>276</v>
      </c>
      <c r="D1535" s="3" t="inlineStr">
        <is>
          <t>오송읍</t>
        </is>
      </c>
      <c r="E1535" s="3" t="inlineStr">
        <is>
          <t>봉산리</t>
        </is>
      </c>
      <c r="F1535" s="3" t="inlineStr">
        <is>
          <t>제1종일반주거지역</t>
        </is>
      </c>
      <c r="G1535" s="3" t="inlineStr">
        <is>
          <t>대</t>
        </is>
      </c>
      <c r="H1535" s="4" t="n">
        <v>83.48999999999999</v>
      </c>
      <c r="I1535" s="5" t="n">
        <v>335.4</v>
      </c>
      <c r="J1535" s="3" t="inlineStr">
        <is>
          <t>오송읍</t>
        </is>
      </c>
    </row>
    <row r="1536">
      <c r="A1536" s="3" t="n">
        <v>2024</v>
      </c>
      <c r="B1536" s="4" t="n">
        <v>6750</v>
      </c>
      <c r="C1536" s="4" t="n">
        <v>460.5</v>
      </c>
      <c r="D1536" s="3" t="inlineStr">
        <is>
          <t>강내면</t>
        </is>
      </c>
      <c r="E1536" s="3" t="inlineStr">
        <is>
          <t>석화리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139.30125</v>
      </c>
      <c r="I1536" s="5" t="n">
        <v>48.5</v>
      </c>
      <c r="J1536" s="3" t="inlineStr">
        <is>
          <t>강내면</t>
        </is>
      </c>
    </row>
    <row r="1537">
      <c r="A1537" s="3" t="n">
        <v>2024</v>
      </c>
      <c r="B1537" s="4" t="n">
        <v>27900</v>
      </c>
      <c r="C1537" s="4" t="n">
        <v>1536</v>
      </c>
      <c r="D1537" s="3" t="inlineStr">
        <is>
          <t>강내면</t>
        </is>
      </c>
      <c r="E1537" s="3" t="inlineStr">
        <is>
          <t>다락리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464.64</v>
      </c>
      <c r="I1537" s="5" t="n">
        <v>60</v>
      </c>
      <c r="J1537" s="3" t="inlineStr">
        <is>
          <t>강내면</t>
        </is>
      </c>
    </row>
    <row r="1538">
      <c r="A1538" s="3" t="n">
        <v>2024</v>
      </c>
      <c r="B1538" s="4" t="n">
        <v>40000</v>
      </c>
      <c r="C1538" s="4" t="n">
        <v>2684</v>
      </c>
      <c r="D1538" s="3" t="inlineStr">
        <is>
          <t>오송읍</t>
        </is>
      </c>
      <c r="E1538" s="3" t="inlineStr">
        <is>
          <t>동평리</t>
        </is>
      </c>
      <c r="F1538" s="3" t="inlineStr">
        <is>
          <t>농림지역</t>
        </is>
      </c>
      <c r="G1538" s="3" t="inlineStr">
        <is>
          <t>전</t>
        </is>
      </c>
      <c r="H1538" s="4" t="n">
        <v>811.91</v>
      </c>
      <c r="I1538" s="5" t="n">
        <v>49.3</v>
      </c>
      <c r="J1538" s="3" t="inlineStr">
        <is>
          <t>오송읍</t>
        </is>
      </c>
    </row>
    <row r="1539">
      <c r="A1539" s="3" t="n">
        <v>2024</v>
      </c>
      <c r="B1539" s="4" t="n">
        <v>3000</v>
      </c>
      <c r="C1539" s="4" t="n">
        <v>201</v>
      </c>
      <c r="D1539" s="3" t="inlineStr">
        <is>
          <t>오송읍</t>
        </is>
      </c>
      <c r="E1539" s="3" t="inlineStr">
        <is>
          <t>동평리</t>
        </is>
      </c>
      <c r="F1539" s="3" t="inlineStr">
        <is>
          <t>농림지역</t>
        </is>
      </c>
      <c r="G1539" s="3" t="inlineStr">
        <is>
          <t>전</t>
        </is>
      </c>
      <c r="H1539" s="4" t="n">
        <v>60.80249999999999</v>
      </c>
      <c r="I1539" s="5" t="n">
        <v>49.3</v>
      </c>
      <c r="J1539" s="3" t="inlineStr">
        <is>
          <t>오송읍</t>
        </is>
      </c>
    </row>
    <row r="1540">
      <c r="A1540" s="3" t="n">
        <v>2024</v>
      </c>
      <c r="B1540" s="4" t="n">
        <v>9072</v>
      </c>
      <c r="C1540" s="4" t="n">
        <v>250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75.625</v>
      </c>
      <c r="I1540" s="5" t="n">
        <v>120</v>
      </c>
      <c r="J1540" s="3" t="inlineStr">
        <is>
          <t>강내면</t>
        </is>
      </c>
    </row>
    <row r="1541">
      <c r="A1541" s="3" t="n">
        <v>2024</v>
      </c>
      <c r="B1541" s="4" t="n">
        <v>3000</v>
      </c>
      <c r="C1541" s="4" t="n">
        <v>168</v>
      </c>
      <c r="D1541" s="3" t="inlineStr">
        <is>
          <t>강내면</t>
        </is>
      </c>
      <c r="E1541" s="3" t="inlineStr">
        <is>
          <t>궁현리</t>
        </is>
      </c>
      <c r="F1541" s="3" t="inlineStr">
        <is>
          <t>계획관리지역</t>
        </is>
      </c>
      <c r="G1541" s="3" t="inlineStr">
        <is>
          <t>임야</t>
        </is>
      </c>
      <c r="H1541" s="4" t="n">
        <v>50.82</v>
      </c>
      <c r="I1541" s="5" t="n">
        <v>59</v>
      </c>
      <c r="J1541" s="3" t="inlineStr">
        <is>
          <t>강내면</t>
        </is>
      </c>
    </row>
    <row r="1542">
      <c r="A1542" s="3" t="n">
        <v>2024</v>
      </c>
      <c r="B1542" s="4" t="n">
        <v>1500</v>
      </c>
      <c r="C1542" s="4" t="n">
        <v>16</v>
      </c>
      <c r="D1542" s="3" t="inlineStr">
        <is>
          <t>오송읍</t>
        </is>
      </c>
      <c r="E1542" s="3" t="inlineStr">
        <is>
          <t>오송리</t>
        </is>
      </c>
      <c r="F1542" s="3" t="inlineStr">
        <is>
          <t>농림지역</t>
        </is>
      </c>
      <c r="G1542" s="3" t="inlineStr">
        <is>
          <t>도로</t>
        </is>
      </c>
      <c r="H1542" s="4" t="n">
        <v>4.84</v>
      </c>
      <c r="I1542" s="5" t="n">
        <v>309.9</v>
      </c>
      <c r="J1542" s="3" t="inlineStr">
        <is>
          <t>오송읍</t>
        </is>
      </c>
    </row>
    <row r="1543">
      <c r="A1543" s="3" t="n">
        <v>2024</v>
      </c>
      <c r="B1543" s="4" t="n">
        <v>150000</v>
      </c>
      <c r="C1543" s="4" t="n">
        <v>819.4</v>
      </c>
      <c r="D1543" s="3" t="inlineStr">
        <is>
          <t>오송읍</t>
        </is>
      </c>
      <c r="E1543" s="3" t="inlineStr">
        <is>
          <t>연제리</t>
        </is>
      </c>
      <c r="F1543" s="3" t="inlineStr">
        <is>
          <t>일반상업지역</t>
        </is>
      </c>
      <c r="G1543" s="3" t="inlineStr">
        <is>
          <t>대</t>
        </is>
      </c>
      <c r="H1543" s="4" t="n">
        <v>247.8685</v>
      </c>
      <c r="I1543" s="5" t="n">
        <v>605.2</v>
      </c>
      <c r="J1543" s="3" t="inlineStr">
        <is>
          <t>오송읍</t>
        </is>
      </c>
    </row>
    <row r="1544">
      <c r="A1544" s="3" t="n">
        <v>2022</v>
      </c>
      <c r="B1544" s="4" t="n">
        <v>1600</v>
      </c>
      <c r="C1544" s="4" t="n">
        <v>20</v>
      </c>
      <c r="D1544" s="3" t="inlineStr">
        <is>
          <t>오송읍</t>
        </is>
      </c>
      <c r="E1544" s="3" t="inlineStr">
        <is>
          <t>오송리</t>
        </is>
      </c>
      <c r="F1544" s="3" t="inlineStr">
        <is>
          <t>제1종일반주거지역</t>
        </is>
      </c>
      <c r="G1544" s="3" t="inlineStr">
        <is>
          <t>도로</t>
        </is>
      </c>
      <c r="H1544" s="4" t="n">
        <v>6.05</v>
      </c>
      <c r="I1544" s="5" t="n">
        <v>264.5</v>
      </c>
      <c r="J1544" s="3" t="inlineStr">
        <is>
          <t>오송읍</t>
        </is>
      </c>
    </row>
    <row r="1545">
      <c r="A1545" s="3" t="n">
        <v>2022</v>
      </c>
      <c r="B1545" s="4" t="n">
        <v>28000</v>
      </c>
      <c r="C1545" s="4" t="n">
        <v>241</v>
      </c>
      <c r="D1545" s="3" t="inlineStr">
        <is>
          <t>오송읍</t>
        </is>
      </c>
      <c r="E1545" s="3" t="inlineStr">
        <is>
          <t>봉산리</t>
        </is>
      </c>
      <c r="F1545" s="3" t="inlineStr">
        <is>
          <t>제1종일반주거지역</t>
        </is>
      </c>
      <c r="G1545" s="3" t="inlineStr">
        <is>
          <t>대</t>
        </is>
      </c>
      <c r="H1545" s="4" t="n">
        <v>72.9025</v>
      </c>
      <c r="I1545" s="5" t="n">
        <v>384.1</v>
      </c>
      <c r="J1545" s="3" t="inlineStr">
        <is>
          <t>오송읍</t>
        </is>
      </c>
    </row>
    <row r="1546">
      <c r="A1546" s="3" t="n">
        <v>2022</v>
      </c>
      <c r="B1546" s="4" t="n">
        <v>155700</v>
      </c>
      <c r="C1546" s="4" t="n">
        <v>2059</v>
      </c>
      <c r="D1546" s="3" t="inlineStr">
        <is>
          <t>오송읍</t>
        </is>
      </c>
      <c r="E1546" s="3" t="inlineStr">
        <is>
          <t>만수리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622.8475</v>
      </c>
      <c r="I1546" s="5" t="n">
        <v>250</v>
      </c>
      <c r="J1546" s="3" t="inlineStr">
        <is>
          <t>오송읍</t>
        </is>
      </c>
    </row>
    <row r="1547">
      <c r="A1547" s="3" t="n">
        <v>2022</v>
      </c>
      <c r="B1547" s="4" t="n">
        <v>1500</v>
      </c>
      <c r="C1547" s="4" t="n">
        <v>20</v>
      </c>
      <c r="D1547" s="3" t="inlineStr">
        <is>
          <t>오송읍</t>
        </is>
      </c>
      <c r="E1547" s="3" t="inlineStr">
        <is>
          <t>오송리</t>
        </is>
      </c>
      <c r="F1547" s="3" t="inlineStr">
        <is>
          <t>준주거지역</t>
        </is>
      </c>
      <c r="G1547" s="3" t="inlineStr">
        <is>
          <t>도로</t>
        </is>
      </c>
      <c r="H1547" s="4" t="n">
        <v>6.05</v>
      </c>
      <c r="I1547" s="5" t="n">
        <v>247.9</v>
      </c>
      <c r="J1547" s="3" t="inlineStr">
        <is>
          <t>오송읍</t>
        </is>
      </c>
    </row>
    <row r="1548">
      <c r="A1548" s="3" t="n">
        <v>2022</v>
      </c>
      <c r="B1548" s="4" t="n">
        <v>98000</v>
      </c>
      <c r="C1548" s="4" t="n">
        <v>3978</v>
      </c>
      <c r="D1548" s="3" t="inlineStr">
        <is>
          <t>오송읍</t>
        </is>
      </c>
      <c r="E1548" s="3" t="inlineStr">
        <is>
          <t>공북리</t>
        </is>
      </c>
      <c r="F1548" s="3" t="inlineStr">
        <is>
          <t>농림지역</t>
        </is>
      </c>
      <c r="G1548" s="3" t="inlineStr">
        <is>
          <t>답</t>
        </is>
      </c>
      <c r="H1548" s="4" t="n">
        <v>1203.345</v>
      </c>
      <c r="I1548" s="5" t="n">
        <v>81.40000000000001</v>
      </c>
      <c r="J1548" s="3" t="inlineStr">
        <is>
          <t>오송읍</t>
        </is>
      </c>
    </row>
    <row r="1549">
      <c r="A1549" s="3" t="n">
        <v>2022</v>
      </c>
      <c r="B1549" s="4" t="n">
        <v>4500</v>
      </c>
      <c r="C1549" s="4" t="n">
        <v>588</v>
      </c>
      <c r="D1549" s="3" t="inlineStr">
        <is>
          <t>오송읍</t>
        </is>
      </c>
      <c r="E1549" s="3" t="inlineStr">
        <is>
          <t>연제리</t>
        </is>
      </c>
      <c r="F1549" s="3" t="inlineStr">
        <is>
          <t>농림지역</t>
        </is>
      </c>
      <c r="G1549" s="3" t="inlineStr">
        <is>
          <t>전</t>
        </is>
      </c>
      <c r="H1549" s="4" t="n">
        <v>177.87</v>
      </c>
      <c r="I1549" s="5" t="n">
        <v>25.3</v>
      </c>
      <c r="J1549" s="3" t="inlineStr">
        <is>
          <t>오송읍</t>
        </is>
      </c>
    </row>
    <row r="1550">
      <c r="A1550" s="3" t="n">
        <v>2022</v>
      </c>
      <c r="B1550" s="4" t="n">
        <v>1200</v>
      </c>
      <c r="C1550" s="4" t="n">
        <v>20</v>
      </c>
      <c r="D1550" s="3" t="inlineStr">
        <is>
          <t>오송읍</t>
        </is>
      </c>
      <c r="E1550" s="3" t="inlineStr">
        <is>
          <t>오송리</t>
        </is>
      </c>
      <c r="F1550" s="3" t="inlineStr">
        <is>
          <t>제1종일반주거지역</t>
        </is>
      </c>
      <c r="G1550" s="3" t="inlineStr">
        <is>
          <t>도로</t>
        </is>
      </c>
      <c r="H1550" s="4" t="n">
        <v>6.05</v>
      </c>
      <c r="I1550" s="5" t="n">
        <v>198.3</v>
      </c>
      <c r="J1550" s="3" t="inlineStr">
        <is>
          <t>오송읍</t>
        </is>
      </c>
    </row>
    <row r="1551">
      <c r="A1551" s="3" t="n">
        <v>2022</v>
      </c>
      <c r="B1551" s="4" t="n">
        <v>43000</v>
      </c>
      <c r="C1551" s="4" t="n">
        <v>2387.3</v>
      </c>
      <c r="D1551" s="3" t="inlineStr">
        <is>
          <t>강내면</t>
        </is>
      </c>
      <c r="E1551" s="3" t="inlineStr">
        <is>
          <t>산단리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722.1582500000001</v>
      </c>
      <c r="I1551" s="5" t="n">
        <v>59.5</v>
      </c>
      <c r="J1551" s="3" t="inlineStr">
        <is>
          <t>강내면</t>
        </is>
      </c>
    </row>
    <row r="1552">
      <c r="A1552" s="3" t="n">
        <v>2022</v>
      </c>
      <c r="B1552" s="4" t="n">
        <v>4500</v>
      </c>
      <c r="C1552" s="4" t="n">
        <v>440</v>
      </c>
      <c r="D1552" s="3" t="inlineStr">
        <is>
          <t>오송읍</t>
        </is>
      </c>
      <c r="E1552" s="3" t="inlineStr">
        <is>
          <t>상봉리</t>
        </is>
      </c>
      <c r="F1552" s="3" t="inlineStr">
        <is>
          <t>생산관리지역</t>
        </is>
      </c>
      <c r="G1552" s="3" t="inlineStr">
        <is>
          <t>답</t>
        </is>
      </c>
      <c r="H1552" s="4" t="n">
        <v>133.1</v>
      </c>
      <c r="I1552" s="5" t="n">
        <v>33.8</v>
      </c>
      <c r="J1552" s="3" t="inlineStr">
        <is>
          <t>오송읍</t>
        </is>
      </c>
    </row>
    <row r="1553">
      <c r="A1553" s="3" t="n">
        <v>2022</v>
      </c>
      <c r="B1553" s="4" t="n">
        <v>14500</v>
      </c>
      <c r="C1553" s="4" t="n">
        <v>306</v>
      </c>
      <c r="D1553" s="3" t="inlineStr">
        <is>
          <t>강내면</t>
        </is>
      </c>
      <c r="E1553" s="3" t="inlineStr">
        <is>
          <t>탑연리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92.565</v>
      </c>
      <c r="I1553" s="5" t="n">
        <v>156.6</v>
      </c>
      <c r="J1553" s="3" t="inlineStr">
        <is>
          <t>강내면</t>
        </is>
      </c>
    </row>
    <row r="1554">
      <c r="A1554" s="3" t="n">
        <v>2022</v>
      </c>
      <c r="B1554" s="4" t="n">
        <v>1100</v>
      </c>
      <c r="C1554" s="4" t="n">
        <v>20</v>
      </c>
      <c r="D1554" s="3" t="inlineStr">
        <is>
          <t>오송읍</t>
        </is>
      </c>
      <c r="E1554" s="3" t="inlineStr">
        <is>
          <t>오송리</t>
        </is>
      </c>
      <c r="F1554" s="3" t="inlineStr">
        <is>
          <t>준주거지역</t>
        </is>
      </c>
      <c r="G1554" s="3" t="inlineStr">
        <is>
          <t>도로</t>
        </is>
      </c>
      <c r="H1554" s="4" t="n">
        <v>6.05</v>
      </c>
      <c r="I1554" s="5" t="n">
        <v>181.8</v>
      </c>
      <c r="J1554" s="3" t="inlineStr">
        <is>
          <t>오송읍</t>
        </is>
      </c>
    </row>
    <row r="1555">
      <c r="A1555" s="3" t="n">
        <v>2022</v>
      </c>
      <c r="B1555" s="4" t="n">
        <v>150000</v>
      </c>
      <c r="C1555" s="4" t="n">
        <v>1738</v>
      </c>
      <c r="D1555" s="3" t="inlineStr">
        <is>
          <t>오송읍</t>
        </is>
      </c>
      <c r="E1555" s="3" t="inlineStr">
        <is>
          <t>오송리</t>
        </is>
      </c>
      <c r="F1555" s="3" t="inlineStr">
        <is>
          <t>농림지역</t>
        </is>
      </c>
      <c r="G1555" s="3" t="inlineStr">
        <is>
          <t>답</t>
        </is>
      </c>
      <c r="H1555" s="4" t="n">
        <v>525.745</v>
      </c>
      <c r="I1555" s="5" t="n">
        <v>285.3</v>
      </c>
      <c r="J1555" s="3" t="inlineStr">
        <is>
          <t>오송읍</t>
        </is>
      </c>
    </row>
    <row r="1556">
      <c r="A1556" s="3" t="n">
        <v>2025</v>
      </c>
      <c r="B1556" s="4" t="n">
        <v>228</v>
      </c>
      <c r="C1556" s="4" t="n">
        <v>21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6.3525</v>
      </c>
      <c r="I1556" s="5" t="n">
        <v>35.9</v>
      </c>
      <c r="J1556" s="3" t="inlineStr">
        <is>
          <t>조치원읍</t>
        </is>
      </c>
    </row>
    <row r="1557">
      <c r="A1557" s="3" t="n">
        <v>2025</v>
      </c>
      <c r="B1557" s="4" t="n">
        <v>25000</v>
      </c>
      <c r="C1557" s="4" t="n">
        <v>173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제1종일반주거지역</t>
        </is>
      </c>
      <c r="G1557" s="3" t="inlineStr">
        <is>
          <t>대</t>
        </is>
      </c>
      <c r="H1557" s="4" t="n">
        <v>52.3325</v>
      </c>
      <c r="I1557" s="5" t="n">
        <v>477.7</v>
      </c>
      <c r="J1557" s="3" t="inlineStr">
        <is>
          <t>조치원읍</t>
        </is>
      </c>
    </row>
    <row r="1558">
      <c r="A1558" s="3" t="n">
        <v>2025</v>
      </c>
      <c r="B1558" s="4" t="n">
        <v>25000</v>
      </c>
      <c r="C1558" s="4" t="n">
        <v>190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제1종일반주거지역</t>
        </is>
      </c>
      <c r="G1558" s="3" t="inlineStr">
        <is>
          <t>대</t>
        </is>
      </c>
      <c r="H1558" s="4" t="n">
        <v>57.475</v>
      </c>
      <c r="I1558" s="5" t="n">
        <v>435</v>
      </c>
      <c r="J1558" s="3" t="inlineStr">
        <is>
          <t>조치원읍</t>
        </is>
      </c>
    </row>
    <row r="1559">
      <c r="A1559" s="3" t="n">
        <v>2025</v>
      </c>
      <c r="B1559" s="4" t="n">
        <v>34000</v>
      </c>
      <c r="C1559" s="4" t="n">
        <v>270.7</v>
      </c>
      <c r="D1559" s="3" t="inlineStr">
        <is>
          <t>아름동</t>
        </is>
      </c>
      <c r="E1559" s="3" t="inlineStr"/>
      <c r="F1559" s="3" t="inlineStr">
        <is>
          <t>제1종전용주거지역</t>
        </is>
      </c>
      <c r="G1559" s="3" t="inlineStr">
        <is>
          <t>대</t>
        </is>
      </c>
      <c r="H1559" s="4" t="n">
        <v>81.88674999999999</v>
      </c>
      <c r="I1559" s="5" t="n">
        <v>415.2</v>
      </c>
      <c r="J1559" s="3" t="inlineStr">
        <is>
          <t>아름동</t>
        </is>
      </c>
    </row>
    <row r="1560">
      <c r="A1560" s="3" t="n">
        <v>2025</v>
      </c>
      <c r="B1560" s="4" t="n">
        <v>2572</v>
      </c>
      <c r="C1560" s="4" t="n">
        <v>109</v>
      </c>
      <c r="D1560" s="3" t="inlineStr">
        <is>
          <t>부강면</t>
        </is>
      </c>
      <c r="E1560" s="3" t="inlineStr">
        <is>
          <t>산수리</t>
        </is>
      </c>
      <c r="F1560" s="3" t="inlineStr">
        <is>
          <t>보전관리지역</t>
        </is>
      </c>
      <c r="G1560" s="3" t="inlineStr">
        <is>
          <t>답</t>
        </is>
      </c>
      <c r="H1560" s="4" t="n">
        <v>32.9725</v>
      </c>
      <c r="I1560" s="5" t="n">
        <v>78</v>
      </c>
      <c r="J1560" s="3" t="inlineStr">
        <is>
          <t>부강면</t>
        </is>
      </c>
    </row>
    <row r="1561">
      <c r="A1561" s="3" t="n">
        <v>2025</v>
      </c>
      <c r="B1561" s="4" t="n">
        <v>10827</v>
      </c>
      <c r="C1561" s="4" t="n">
        <v>374</v>
      </c>
      <c r="D1561" s="3" t="inlineStr">
        <is>
          <t>부강면</t>
        </is>
      </c>
      <c r="E1561" s="3" t="inlineStr">
        <is>
          <t>산수리</t>
        </is>
      </c>
      <c r="F1561" s="3" t="inlineStr">
        <is>
          <t>계획관리지역</t>
        </is>
      </c>
      <c r="G1561" s="3" t="inlineStr">
        <is>
          <t>전</t>
        </is>
      </c>
      <c r="H1561" s="4" t="n">
        <v>113.135</v>
      </c>
      <c r="I1561" s="5" t="n">
        <v>95.7</v>
      </c>
      <c r="J1561" s="3" t="inlineStr">
        <is>
          <t>부강면</t>
        </is>
      </c>
    </row>
    <row r="1562">
      <c r="A1562" s="3" t="n">
        <v>2025</v>
      </c>
      <c r="B1562" s="4" t="n">
        <v>33000</v>
      </c>
      <c r="C1562" s="4" t="n">
        <v>2448</v>
      </c>
      <c r="D1562" s="3" t="inlineStr">
        <is>
          <t>연동면</t>
        </is>
      </c>
      <c r="E1562" s="3" t="inlineStr">
        <is>
          <t>송용리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740.52</v>
      </c>
      <c r="I1562" s="5" t="n">
        <v>44.6</v>
      </c>
      <c r="J1562" s="3" t="inlineStr">
        <is>
          <t>연동면</t>
        </is>
      </c>
    </row>
    <row r="1563">
      <c r="A1563" s="3" t="n">
        <v>2025</v>
      </c>
      <c r="B1563" s="4" t="n">
        <v>16614</v>
      </c>
      <c r="C1563" s="4" t="n">
        <v>704</v>
      </c>
      <c r="D1563" s="3" t="inlineStr">
        <is>
          <t>부강면</t>
        </is>
      </c>
      <c r="E1563" s="3" t="inlineStr">
        <is>
          <t>산수리</t>
        </is>
      </c>
      <c r="F1563" s="3" t="inlineStr">
        <is>
          <t>보전관리지역</t>
        </is>
      </c>
      <c r="G1563" s="3" t="inlineStr">
        <is>
          <t>답</t>
        </is>
      </c>
      <c r="H1563" s="4" t="n">
        <v>212.96</v>
      </c>
      <c r="I1563" s="5" t="n">
        <v>78</v>
      </c>
      <c r="J1563" s="3" t="inlineStr">
        <is>
          <t>부강면</t>
        </is>
      </c>
    </row>
    <row r="1564">
      <c r="A1564" s="3" t="n">
        <v>2025</v>
      </c>
      <c r="B1564" s="4" t="n">
        <v>57500</v>
      </c>
      <c r="C1564" s="4" t="n">
        <v>356.9</v>
      </c>
      <c r="D1564" s="3" t="inlineStr">
        <is>
          <t>고운동</t>
        </is>
      </c>
      <c r="E1564" s="3" t="inlineStr"/>
      <c r="F1564" s="3" t="inlineStr">
        <is>
          <t>제1종전용주거지역</t>
        </is>
      </c>
      <c r="G1564" s="3" t="inlineStr">
        <is>
          <t>대</t>
        </is>
      </c>
      <c r="H1564" s="4" t="n">
        <v>107.96225</v>
      </c>
      <c r="I1564" s="5" t="n">
        <v>532.6</v>
      </c>
      <c r="J1564" s="3" t="inlineStr">
        <is>
          <t>고운동</t>
        </is>
      </c>
    </row>
    <row r="1565">
      <c r="A1565" s="3" t="n">
        <v>2025</v>
      </c>
      <c r="B1565" s="4" t="n">
        <v>40000</v>
      </c>
      <c r="C1565" s="4" t="n">
        <v>317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대</t>
        </is>
      </c>
      <c r="H1565" s="4" t="n">
        <v>95.8925</v>
      </c>
      <c r="I1565" s="5" t="n">
        <v>417.1</v>
      </c>
      <c r="J1565" s="3" t="inlineStr">
        <is>
          <t>조치원읍</t>
        </is>
      </c>
    </row>
    <row r="1566">
      <c r="A1566" s="3" t="n">
        <v>2025</v>
      </c>
      <c r="B1566" s="4" t="n">
        <v>40000</v>
      </c>
      <c r="C1566" s="4" t="n">
        <v>294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대</t>
        </is>
      </c>
      <c r="H1566" s="4" t="n">
        <v>88.935</v>
      </c>
      <c r="I1566" s="5" t="n">
        <v>449.8</v>
      </c>
      <c r="J1566" s="3" t="inlineStr">
        <is>
          <t>조치원읍</t>
        </is>
      </c>
    </row>
    <row r="1567">
      <c r="A1567" s="3" t="n">
        <v>2025</v>
      </c>
      <c r="B1567" s="4" t="n">
        <v>16500</v>
      </c>
      <c r="C1567" s="4" t="n">
        <v>314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과수원</t>
        </is>
      </c>
      <c r="H1567" s="4" t="n">
        <v>94.985</v>
      </c>
      <c r="I1567" s="5" t="n">
        <v>173.7</v>
      </c>
      <c r="J1567" s="3" t="inlineStr">
        <is>
          <t>조치원읍</t>
        </is>
      </c>
    </row>
    <row r="1568">
      <c r="A1568" s="3" t="n">
        <v>2023</v>
      </c>
      <c r="B1568" s="4" t="n">
        <v>2100</v>
      </c>
      <c r="C1568" s="4" t="n">
        <v>24</v>
      </c>
      <c r="D1568" s="3" t="inlineStr">
        <is>
          <t>오송읍</t>
        </is>
      </c>
      <c r="E1568" s="3" t="inlineStr">
        <is>
          <t>오송리</t>
        </is>
      </c>
      <c r="F1568" s="3" t="inlineStr">
        <is>
          <t>농림지역</t>
        </is>
      </c>
      <c r="G1568" s="3" t="inlineStr">
        <is>
          <t>도로</t>
        </is>
      </c>
      <c r="H1568" s="4" t="n">
        <v>7.26</v>
      </c>
      <c r="I1568" s="5" t="n">
        <v>289.3</v>
      </c>
      <c r="J1568" s="3" t="inlineStr">
        <is>
          <t>오송읍</t>
        </is>
      </c>
    </row>
    <row r="1569">
      <c r="A1569" s="3" t="n">
        <v>2023</v>
      </c>
      <c r="B1569" s="4" t="n">
        <v>13500</v>
      </c>
      <c r="C1569" s="4" t="n">
        <v>1488</v>
      </c>
      <c r="D1569" s="3" t="inlineStr">
        <is>
          <t>오송읍</t>
        </is>
      </c>
      <c r="E1569" s="3" t="inlineStr">
        <is>
          <t>호계리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450.12</v>
      </c>
      <c r="I1569" s="5" t="n">
        <v>30</v>
      </c>
      <c r="J1569" s="3" t="inlineStr">
        <is>
          <t>오송읍</t>
        </is>
      </c>
    </row>
    <row r="1570">
      <c r="A1570" s="3" t="n">
        <v>2023</v>
      </c>
      <c r="B1570" s="4" t="n">
        <v>31800</v>
      </c>
      <c r="C1570" s="4" t="n">
        <v>1607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농림지역</t>
        </is>
      </c>
      <c r="G1570" s="3" t="inlineStr">
        <is>
          <t>답</t>
        </is>
      </c>
      <c r="H1570" s="4" t="n">
        <v>486.1175</v>
      </c>
      <c r="I1570" s="5" t="n">
        <v>65.40000000000001</v>
      </c>
      <c r="J1570" s="3" t="inlineStr">
        <is>
          <t>강내면</t>
        </is>
      </c>
    </row>
    <row r="1571">
      <c r="A1571" s="3" t="n">
        <v>2023</v>
      </c>
      <c r="B1571" s="4" t="n">
        <v>400092</v>
      </c>
      <c r="C1571" s="4" t="n">
        <v>11497.5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일반공업지역</t>
        </is>
      </c>
      <c r="G1571" s="3" t="inlineStr">
        <is>
          <t>대</t>
        </is>
      </c>
      <c r="H1571" s="4" t="n">
        <v>3477.99375</v>
      </c>
      <c r="I1571" s="5" t="n">
        <v>115</v>
      </c>
      <c r="J1571" s="3" t="inlineStr">
        <is>
          <t>오송읍</t>
        </is>
      </c>
    </row>
    <row r="1572">
      <c r="A1572" s="3" t="n">
        <v>2023</v>
      </c>
      <c r="B1572" s="4" t="n">
        <v>1000</v>
      </c>
      <c r="C1572" s="4" t="n">
        <v>224</v>
      </c>
      <c r="D1572" s="3" t="inlineStr">
        <is>
          <t>오송읍</t>
        </is>
      </c>
      <c r="E1572" s="3" t="inlineStr">
        <is>
          <t>동평리</t>
        </is>
      </c>
      <c r="F1572" s="3" t="inlineStr">
        <is>
          <t>농림지역</t>
        </is>
      </c>
      <c r="G1572" s="3" t="inlineStr">
        <is>
          <t>도로</t>
        </is>
      </c>
      <c r="H1572" s="4" t="n">
        <v>67.75999999999999</v>
      </c>
      <c r="I1572" s="5" t="n">
        <v>14.8</v>
      </c>
      <c r="J1572" s="3" t="inlineStr">
        <is>
          <t>오송읍</t>
        </is>
      </c>
    </row>
    <row r="1573">
      <c r="A1573" s="3" t="n">
        <v>2023</v>
      </c>
      <c r="B1573" s="4" t="n">
        <v>2400</v>
      </c>
      <c r="C1573" s="4" t="n">
        <v>66</v>
      </c>
      <c r="D1573" s="3" t="inlineStr">
        <is>
          <t>오송읍</t>
        </is>
      </c>
      <c r="E1573" s="3" t="inlineStr">
        <is>
          <t>공북리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19.965</v>
      </c>
      <c r="I1573" s="5" t="n">
        <v>120.2</v>
      </c>
      <c r="J1573" s="3" t="inlineStr">
        <is>
          <t>오송읍</t>
        </is>
      </c>
    </row>
    <row r="1574">
      <c r="A1574" s="3" t="n">
        <v>2023</v>
      </c>
      <c r="B1574" s="4" t="n">
        <v>150000</v>
      </c>
      <c r="C1574" s="4" t="n">
        <v>978.1</v>
      </c>
      <c r="D1574" s="3" t="inlineStr">
        <is>
          <t>오송읍</t>
        </is>
      </c>
      <c r="E1574" s="3" t="inlineStr">
        <is>
          <t>봉산리</t>
        </is>
      </c>
      <c r="F1574" s="3" t="inlineStr">
        <is>
          <t>제1종일반주거지역</t>
        </is>
      </c>
      <c r="G1574" s="3" t="inlineStr">
        <is>
          <t>주차장</t>
        </is>
      </c>
      <c r="H1574" s="4" t="n">
        <v>295.87525</v>
      </c>
      <c r="I1574" s="5" t="n">
        <v>507</v>
      </c>
      <c r="J1574" s="3" t="inlineStr">
        <is>
          <t>오송읍</t>
        </is>
      </c>
    </row>
    <row r="1575">
      <c r="A1575" s="3" t="n">
        <v>2023</v>
      </c>
      <c r="B1575" s="4" t="n">
        <v>33100</v>
      </c>
      <c r="C1575" s="4" t="n">
        <v>1093</v>
      </c>
      <c r="D1575" s="3" t="inlineStr">
        <is>
          <t>강내면</t>
        </is>
      </c>
      <c r="E1575" s="3" t="inlineStr">
        <is>
          <t>저산리</t>
        </is>
      </c>
      <c r="F1575" s="3" t="inlineStr">
        <is>
          <t>계획관리지역</t>
        </is>
      </c>
      <c r="G1575" s="3" t="inlineStr">
        <is>
          <t>임야</t>
        </is>
      </c>
      <c r="H1575" s="4" t="n">
        <v>330.6325</v>
      </c>
      <c r="I1575" s="5" t="n">
        <v>100.1</v>
      </c>
      <c r="J1575" s="3" t="inlineStr">
        <is>
          <t>강내면</t>
        </is>
      </c>
    </row>
    <row r="1576">
      <c r="A1576" s="3" t="n">
        <v>2023</v>
      </c>
      <c r="B1576" s="4" t="n">
        <v>79000</v>
      </c>
      <c r="C1576" s="4" t="n">
        <v>3494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전</t>
        </is>
      </c>
      <c r="H1576" s="4" t="n">
        <v>1056.935</v>
      </c>
      <c r="I1576" s="5" t="n">
        <v>74.7</v>
      </c>
      <c r="J1576" s="3" t="inlineStr">
        <is>
          <t>오송읍</t>
        </is>
      </c>
    </row>
    <row r="1577">
      <c r="A1577" s="3" t="n">
        <v>2023</v>
      </c>
      <c r="B1577" s="4" t="n">
        <v>21000</v>
      </c>
      <c r="C1577" s="4" t="n">
        <v>1584</v>
      </c>
      <c r="D1577" s="3" t="inlineStr">
        <is>
          <t>오송읍</t>
        </is>
      </c>
      <c r="E1577" s="3" t="inlineStr">
        <is>
          <t>호계리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479.16</v>
      </c>
      <c r="I1577" s="5" t="n">
        <v>43.8</v>
      </c>
      <c r="J1577" s="3" t="inlineStr">
        <is>
          <t>오송읍</t>
        </is>
      </c>
    </row>
    <row r="1578">
      <c r="A1578" s="3" t="n">
        <v>2023</v>
      </c>
      <c r="B1578" s="4" t="n">
        <v>13500</v>
      </c>
      <c r="C1578" s="4" t="n">
        <v>137</v>
      </c>
      <c r="D1578" s="3" t="inlineStr">
        <is>
          <t>강내면</t>
        </is>
      </c>
      <c r="E1578" s="3" t="inlineStr">
        <is>
          <t>월곡리</t>
        </is>
      </c>
      <c r="F1578" s="3" t="inlineStr">
        <is>
          <t>제2종일반주거지역</t>
        </is>
      </c>
      <c r="G1578" s="3" t="inlineStr">
        <is>
          <t>대</t>
        </is>
      </c>
      <c r="H1578" s="4" t="n">
        <v>41.4425</v>
      </c>
      <c r="I1578" s="5" t="n">
        <v>325.8</v>
      </c>
      <c r="J1578" s="3" t="inlineStr">
        <is>
          <t>강내면</t>
        </is>
      </c>
    </row>
    <row r="1579">
      <c r="A1579" s="3" t="n">
        <v>2023</v>
      </c>
      <c r="B1579" s="4" t="n">
        <v>32000</v>
      </c>
      <c r="C1579" s="4" t="n">
        <v>276.5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83.64125</v>
      </c>
      <c r="I1579" s="5" t="n">
        <v>382.6</v>
      </c>
      <c r="J1579" s="3" t="inlineStr">
        <is>
          <t>오송읍</t>
        </is>
      </c>
    </row>
    <row r="1580">
      <c r="A1580" s="3" t="n">
        <v>2023</v>
      </c>
      <c r="B1580" s="4" t="n">
        <v>6600</v>
      </c>
      <c r="C1580" s="4" t="n">
        <v>460.5</v>
      </c>
      <c r="D1580" s="3" t="inlineStr">
        <is>
          <t>강내면</t>
        </is>
      </c>
      <c r="E1580" s="3" t="inlineStr">
        <is>
          <t>석화리</t>
        </is>
      </c>
      <c r="F1580" s="3" t="inlineStr">
        <is>
          <t>자연녹지지역</t>
        </is>
      </c>
      <c r="G1580" s="3" t="inlineStr">
        <is>
          <t>대</t>
        </is>
      </c>
      <c r="H1580" s="4" t="n">
        <v>139.30125</v>
      </c>
      <c r="I1580" s="5" t="n">
        <v>47.4</v>
      </c>
      <c r="J1580" s="3" t="inlineStr">
        <is>
          <t>강내면</t>
        </is>
      </c>
    </row>
    <row r="1581">
      <c r="A1581" s="3" t="n">
        <v>2023</v>
      </c>
      <c r="B1581" s="4" t="n">
        <v>35000</v>
      </c>
      <c r="C1581" s="4" t="n">
        <v>257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77.74249999999999</v>
      </c>
      <c r="I1581" s="5" t="n">
        <v>450.2</v>
      </c>
      <c r="J1581" s="3" t="inlineStr">
        <is>
          <t>오송읍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2024</v>
      </c>
      <c r="B1586" s="4" t="n">
        <v>13671</v>
      </c>
      <c r="C1586" s="4" t="n">
        <v>1653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500.0325</v>
      </c>
      <c r="I1586" s="5" t="n">
        <v>27.3</v>
      </c>
      <c r="J1586" s="3" t="inlineStr">
        <is>
          <t>연서면</t>
        </is>
      </c>
    </row>
    <row r="1587">
      <c r="A1587" s="3" t="n">
        <v>2023</v>
      </c>
      <c r="B1587" s="4" t="n">
        <v>50000</v>
      </c>
      <c r="C1587" s="4" t="n">
        <v>350</v>
      </c>
      <c r="D1587" s="3" t="inlineStr">
        <is>
          <t>반곡동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105.875</v>
      </c>
      <c r="I1587" s="5" t="n">
        <v>472.3</v>
      </c>
      <c r="J1587" s="3" t="inlineStr">
        <is>
          <t>반곡동</t>
        </is>
      </c>
    </row>
    <row r="1588">
      <c r="A1588" s="3" t="n">
        <v>2023</v>
      </c>
      <c r="B1588" s="4" t="n">
        <v>64000</v>
      </c>
      <c r="C1588" s="4" t="n">
        <v>661</v>
      </c>
      <c r="D1588" s="3" t="inlineStr">
        <is>
          <t>조치원읍</t>
        </is>
      </c>
      <c r="E1588" s="3" t="inlineStr">
        <is>
          <t>침산리</t>
        </is>
      </c>
      <c r="F1588" s="3" t="inlineStr">
        <is>
          <t>제1종일반주거지역</t>
        </is>
      </c>
      <c r="G1588" s="3" t="inlineStr">
        <is>
          <t>전</t>
        </is>
      </c>
      <c r="H1588" s="4" t="n">
        <v>199.9525</v>
      </c>
      <c r="I1588" s="5" t="n">
        <v>320.1</v>
      </c>
      <c r="J1588" s="3" t="inlineStr">
        <is>
          <t>조치원읍</t>
        </is>
      </c>
    </row>
    <row r="1589">
      <c r="A1589" s="3" t="n">
        <v>2023</v>
      </c>
      <c r="B1589" s="4" t="n">
        <v>13500</v>
      </c>
      <c r="C1589" s="4" t="n">
        <v>132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전</t>
        </is>
      </c>
      <c r="H1589" s="4" t="n">
        <v>39.93</v>
      </c>
      <c r="I1589" s="5" t="n">
        <v>338.1</v>
      </c>
      <c r="J1589" s="3" t="inlineStr">
        <is>
          <t>조치원읍</t>
        </is>
      </c>
    </row>
    <row r="1590">
      <c r="A1590" s="3" t="n">
        <v>2023</v>
      </c>
      <c r="B1590" s="4" t="n">
        <v>13500</v>
      </c>
      <c r="C1590" s="4" t="n">
        <v>132</v>
      </c>
      <c r="D1590" s="3" t="inlineStr">
        <is>
          <t>조치원읍</t>
        </is>
      </c>
      <c r="E1590" s="3" t="inlineStr">
        <is>
          <t>서창리</t>
        </is>
      </c>
      <c r="F1590" s="3" t="inlineStr">
        <is>
          <t>제1종일반주거지역</t>
        </is>
      </c>
      <c r="G1590" s="3" t="inlineStr">
        <is>
          <t>전</t>
        </is>
      </c>
      <c r="H1590" s="4" t="n">
        <v>39.93</v>
      </c>
      <c r="I1590" s="5" t="n">
        <v>338.1</v>
      </c>
      <c r="J1590" s="3" t="inlineStr">
        <is>
          <t>조치원읍</t>
        </is>
      </c>
    </row>
    <row r="1591">
      <c r="A1591" s="3" t="n">
        <v>2023</v>
      </c>
      <c r="B1591" s="4" t="n">
        <v>44850</v>
      </c>
      <c r="C1591" s="4" t="n">
        <v>2964</v>
      </c>
      <c r="D1591" s="3" t="inlineStr">
        <is>
          <t>부강면</t>
        </is>
      </c>
      <c r="E1591" s="3" t="inlineStr">
        <is>
          <t>금호리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896.61</v>
      </c>
      <c r="I1591" s="5" t="n">
        <v>50</v>
      </c>
      <c r="J1591" s="3" t="inlineStr">
        <is>
          <t>부강면</t>
        </is>
      </c>
    </row>
    <row r="1592">
      <c r="A1592" s="3" t="n">
        <v>2023</v>
      </c>
      <c r="B1592" s="4" t="n">
        <v>13100</v>
      </c>
      <c r="C1592" s="4" t="n">
        <v>274</v>
      </c>
      <c r="D1592" s="3" t="inlineStr">
        <is>
          <t>연서면</t>
        </is>
      </c>
      <c r="E1592" s="3" t="inlineStr">
        <is>
          <t>와촌리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82.88499999999999</v>
      </c>
      <c r="I1592" s="5" t="n">
        <v>158.1</v>
      </c>
      <c r="J1592" s="3" t="inlineStr">
        <is>
          <t>연서면</t>
        </is>
      </c>
    </row>
    <row r="1593">
      <c r="A1593" s="3" t="n">
        <v>2022</v>
      </c>
      <c r="B1593" s="4" t="n">
        <v>15000</v>
      </c>
      <c r="C1593" s="4" t="n">
        <v>6612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농림지역</t>
        </is>
      </c>
      <c r="G1593" s="3" t="inlineStr">
        <is>
          <t>임야</t>
        </is>
      </c>
      <c r="H1593" s="4" t="n">
        <v>2000.13</v>
      </c>
      <c r="I1593" s="5" t="n">
        <v>7.5</v>
      </c>
      <c r="J1593" s="3" t="inlineStr">
        <is>
          <t>연서면</t>
        </is>
      </c>
    </row>
    <row r="1594">
      <c r="A1594" s="3" t="n">
        <v>2022</v>
      </c>
      <c r="B1594" s="4" t="n">
        <v>21250</v>
      </c>
      <c r="C1594" s="4" t="n">
        <v>8265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농림지역</t>
        </is>
      </c>
      <c r="G1594" s="3" t="inlineStr">
        <is>
          <t>임야</t>
        </is>
      </c>
      <c r="H1594" s="4" t="n">
        <v>2500.1625</v>
      </c>
      <c r="I1594" s="5" t="n">
        <v>8.5</v>
      </c>
      <c r="J1594" s="3" t="inlineStr">
        <is>
          <t>연서면</t>
        </is>
      </c>
    </row>
    <row r="1595">
      <c r="A1595" s="3" t="n">
        <v>2022</v>
      </c>
      <c r="B1595" s="4" t="n">
        <v>32200</v>
      </c>
      <c r="C1595" s="4" t="n">
        <v>1745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527.8625</v>
      </c>
      <c r="I1595" s="5" t="n">
        <v>61</v>
      </c>
      <c r="J1595" s="3" t="inlineStr">
        <is>
          <t>부강면</t>
        </is>
      </c>
    </row>
    <row r="1596">
      <c r="A1596" s="3" t="n">
        <v>2022</v>
      </c>
      <c r="B1596" s="4" t="n">
        <v>15800</v>
      </c>
      <c r="C1596" s="4" t="n">
        <v>856</v>
      </c>
      <c r="D1596" s="3" t="inlineStr">
        <is>
          <t>부강면</t>
        </is>
      </c>
      <c r="E1596" s="3" t="inlineStr">
        <is>
          <t>금호리</t>
        </is>
      </c>
      <c r="F1596" s="3" t="inlineStr">
        <is>
          <t>계획관리지역</t>
        </is>
      </c>
      <c r="G1596" s="3" t="inlineStr">
        <is>
          <t>전</t>
        </is>
      </c>
      <c r="H1596" s="4" t="n">
        <v>258.94</v>
      </c>
      <c r="I1596" s="5" t="n">
        <v>61</v>
      </c>
      <c r="J1596" s="3" t="inlineStr">
        <is>
          <t>부강면</t>
        </is>
      </c>
    </row>
    <row r="1597">
      <c r="A1597" s="3" t="n">
        <v>2022</v>
      </c>
      <c r="B1597" s="4" t="n">
        <v>2120</v>
      </c>
      <c r="C1597" s="4" t="n">
        <v>132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39.93</v>
      </c>
      <c r="I1597" s="5" t="n">
        <v>53.1</v>
      </c>
      <c r="J1597" s="3" t="inlineStr">
        <is>
          <t>연서면</t>
        </is>
      </c>
    </row>
    <row r="1598">
      <c r="A1598" s="3" t="n">
        <v>2022</v>
      </c>
      <c r="B1598" s="4" t="n">
        <v>47100</v>
      </c>
      <c r="C1598" s="4" t="n">
        <v>2946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과수원</t>
        </is>
      </c>
      <c r="H1598" s="4" t="n">
        <v>891.165</v>
      </c>
      <c r="I1598" s="5" t="n">
        <v>52.9</v>
      </c>
      <c r="J1598" s="3" t="inlineStr">
        <is>
          <t>연서면</t>
        </is>
      </c>
    </row>
    <row r="1599">
      <c r="A1599" s="3" t="n">
        <v>2022</v>
      </c>
      <c r="B1599" s="4" t="n">
        <v>13690</v>
      </c>
      <c r="C1599" s="4" t="n">
        <v>856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과수원</t>
        </is>
      </c>
      <c r="H1599" s="4" t="n">
        <v>258.94</v>
      </c>
      <c r="I1599" s="5" t="n">
        <v>52.9</v>
      </c>
      <c r="J1599" s="3" t="inlineStr">
        <is>
          <t>연서면</t>
        </is>
      </c>
    </row>
    <row r="1600">
      <c r="A1600" s="3" t="n">
        <v>2022</v>
      </c>
      <c r="B1600" s="4" t="n">
        <v>37210</v>
      </c>
      <c r="C1600" s="4" t="n">
        <v>2328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704.22</v>
      </c>
      <c r="I1600" s="5" t="n">
        <v>52.8</v>
      </c>
      <c r="J1600" s="3" t="inlineStr">
        <is>
          <t>연서면</t>
        </is>
      </c>
    </row>
    <row r="1601">
      <c r="A1601" s="3" t="n">
        <v>2022</v>
      </c>
      <c r="B1601" s="4" t="n">
        <v>48000</v>
      </c>
      <c r="C1601" s="4" t="n">
        <v>993</v>
      </c>
      <c r="D1601" s="3" t="inlineStr">
        <is>
          <t>조치원읍</t>
        </is>
      </c>
      <c r="E1601" s="3" t="inlineStr">
        <is>
          <t>신안리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300.3825</v>
      </c>
      <c r="I1601" s="5" t="n">
        <v>159.8</v>
      </c>
      <c r="J1601" s="3" t="inlineStr">
        <is>
          <t>조치원읍</t>
        </is>
      </c>
    </row>
    <row r="1602">
      <c r="A1602" s="3" t="n">
        <v>2022</v>
      </c>
      <c r="B1602" s="4" t="n">
        <v>48606</v>
      </c>
      <c r="C1602" s="4" t="n">
        <v>1339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405.0475</v>
      </c>
      <c r="I1602" s="5" t="n">
        <v>120</v>
      </c>
      <c r="J1602" s="3" t="inlineStr">
        <is>
          <t>연서면</t>
        </is>
      </c>
    </row>
    <row r="1603">
      <c r="A1603" s="3" t="n">
        <v>2024</v>
      </c>
      <c r="B1603" s="4" t="n">
        <v>25000</v>
      </c>
      <c r="C1603" s="4" t="n">
        <v>286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제1종일반주거지역</t>
        </is>
      </c>
      <c r="G1603" s="3" t="inlineStr">
        <is>
          <t>대</t>
        </is>
      </c>
      <c r="H1603" s="4" t="n">
        <v>86.515</v>
      </c>
      <c r="I1603" s="5" t="n">
        <v>289</v>
      </c>
      <c r="J1603" s="3" t="inlineStr">
        <is>
          <t>조치원읍</t>
        </is>
      </c>
    </row>
    <row r="1604">
      <c r="A1604" s="3" t="n">
        <v>2024</v>
      </c>
      <c r="B1604" s="4" t="n">
        <v>48000</v>
      </c>
      <c r="C1604" s="4" t="n">
        <v>297</v>
      </c>
      <c r="D1604" s="3" t="inlineStr">
        <is>
          <t>해밀동</t>
        </is>
      </c>
      <c r="E1604" s="3" t="inlineStr"/>
      <c r="F1604" s="3" t="inlineStr">
        <is>
          <t>제2종전용주거지역</t>
        </is>
      </c>
      <c r="G1604" s="3" t="inlineStr">
        <is>
          <t>대</t>
        </is>
      </c>
      <c r="H1604" s="4" t="n">
        <v>89.8425</v>
      </c>
      <c r="I1604" s="5" t="n">
        <v>534.3</v>
      </c>
      <c r="J1604" s="3" t="inlineStr">
        <is>
          <t>해밀동</t>
        </is>
      </c>
    </row>
    <row r="1605">
      <c r="A1605" s="3" t="n">
        <v>2022</v>
      </c>
      <c r="B1605" s="4" t="n">
        <v>30080</v>
      </c>
      <c r="C1605" s="4" t="n">
        <v>622</v>
      </c>
      <c r="D1605" s="3" t="inlineStr">
        <is>
          <t>연서면</t>
        </is>
      </c>
      <c r="E1605" s="3" t="inlineStr">
        <is>
          <t>쌍전리</t>
        </is>
      </c>
      <c r="F1605" s="3" t="inlineStr">
        <is>
          <t>자연녹지지역</t>
        </is>
      </c>
      <c r="G1605" s="3" t="inlineStr">
        <is>
          <t>과수원</t>
        </is>
      </c>
      <c r="H1605" s="4" t="n">
        <v>188.155</v>
      </c>
      <c r="I1605" s="5" t="n">
        <v>159.9</v>
      </c>
      <c r="J1605" s="3" t="inlineStr">
        <is>
          <t>연서면</t>
        </is>
      </c>
    </row>
    <row r="1606">
      <c r="A1606" s="3" t="n">
        <v>2022</v>
      </c>
      <c r="B1606" s="4" t="n">
        <v>69000</v>
      </c>
      <c r="C1606" s="4" t="n">
        <v>993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300.3825</v>
      </c>
      <c r="I1606" s="5" t="n">
        <v>229.7</v>
      </c>
      <c r="J1606" s="3" t="inlineStr">
        <is>
          <t>연서면</t>
        </is>
      </c>
    </row>
    <row r="1607">
      <c r="A1607" s="3" t="n">
        <v>2022</v>
      </c>
      <c r="B1607" s="4" t="n">
        <v>1204</v>
      </c>
      <c r="C1607" s="4" t="n">
        <v>17</v>
      </c>
      <c r="D1607" s="3" t="inlineStr">
        <is>
          <t>조치원읍</t>
        </is>
      </c>
      <c r="E1607" s="3" t="inlineStr">
        <is>
          <t>명리</t>
        </is>
      </c>
      <c r="F1607" s="3" t="inlineStr">
        <is>
          <t>제2종일반주거지역</t>
        </is>
      </c>
      <c r="G1607" s="3" t="inlineStr">
        <is>
          <t>잡종지</t>
        </is>
      </c>
      <c r="H1607" s="4" t="n">
        <v>5.1425</v>
      </c>
      <c r="I1607" s="5" t="n">
        <v>234.1</v>
      </c>
      <c r="J1607" s="3" t="inlineStr">
        <is>
          <t>조치원읍</t>
        </is>
      </c>
    </row>
    <row r="1608">
      <c r="A1608" s="3" t="n">
        <v>2022</v>
      </c>
      <c r="B1608" s="4" t="n">
        <v>23400</v>
      </c>
      <c r="C1608" s="4" t="n">
        <v>150</v>
      </c>
      <c r="D1608" s="3" t="inlineStr">
        <is>
          <t>조치원읍</t>
        </is>
      </c>
      <c r="E1608" s="3" t="inlineStr">
        <is>
          <t>정리</t>
        </is>
      </c>
      <c r="F1608" s="3" t="inlineStr">
        <is>
          <t>준주거지역</t>
        </is>
      </c>
      <c r="G1608" s="3" t="inlineStr">
        <is>
          <t>대</t>
        </is>
      </c>
      <c r="H1608" s="4" t="n">
        <v>45.375</v>
      </c>
      <c r="I1608" s="5" t="n">
        <v>515.7</v>
      </c>
      <c r="J1608" s="3" t="inlineStr">
        <is>
          <t>조치원읍</t>
        </is>
      </c>
    </row>
    <row r="1609">
      <c r="A1609" s="3" t="n">
        <v>2022</v>
      </c>
      <c r="B1609" s="4" t="n">
        <v>38900</v>
      </c>
      <c r="C1609" s="4" t="n">
        <v>249</v>
      </c>
      <c r="D1609" s="3" t="inlineStr">
        <is>
          <t>조치원읍</t>
        </is>
      </c>
      <c r="E1609" s="3" t="inlineStr">
        <is>
          <t>정리</t>
        </is>
      </c>
      <c r="F1609" s="3" t="inlineStr">
        <is>
          <t>준주거지역</t>
        </is>
      </c>
      <c r="G1609" s="3" t="inlineStr">
        <is>
          <t>대</t>
        </is>
      </c>
      <c r="H1609" s="4" t="n">
        <v>75.32249999999999</v>
      </c>
      <c r="I1609" s="5" t="n">
        <v>516.4</v>
      </c>
      <c r="J1609" s="3" t="inlineStr">
        <is>
          <t>조치원읍</t>
        </is>
      </c>
    </row>
    <row r="1610">
      <c r="A1610" s="3" t="n">
        <v>2022</v>
      </c>
      <c r="B1610" s="4" t="n">
        <v>6200</v>
      </c>
      <c r="C1610" s="4" t="n">
        <v>40</v>
      </c>
      <c r="D1610" s="3" t="inlineStr">
        <is>
          <t>조치원읍</t>
        </is>
      </c>
      <c r="E1610" s="3" t="inlineStr">
        <is>
          <t>정리</t>
        </is>
      </c>
      <c r="F1610" s="3" t="inlineStr">
        <is>
          <t>준주거지역</t>
        </is>
      </c>
      <c r="G1610" s="3" t="inlineStr">
        <is>
          <t>대</t>
        </is>
      </c>
      <c r="H1610" s="4" t="n">
        <v>12.1</v>
      </c>
      <c r="I1610" s="5" t="n">
        <v>512.4</v>
      </c>
      <c r="J1610" s="3" t="inlineStr">
        <is>
          <t>조치원읍</t>
        </is>
      </c>
    </row>
    <row r="1611">
      <c r="A1611" s="3" t="n">
        <v>2022</v>
      </c>
      <c r="B1611" s="4" t="n">
        <v>7300</v>
      </c>
      <c r="C1611" s="4" t="n">
        <v>46</v>
      </c>
      <c r="D1611" s="3" t="inlineStr">
        <is>
          <t>조치원읍</t>
        </is>
      </c>
      <c r="E1611" s="3" t="inlineStr">
        <is>
          <t>정리</t>
        </is>
      </c>
      <c r="F1611" s="3" t="inlineStr">
        <is>
          <t>준주거지역</t>
        </is>
      </c>
      <c r="G1611" s="3" t="inlineStr">
        <is>
          <t>답</t>
        </is>
      </c>
      <c r="H1611" s="4" t="n">
        <v>13.915</v>
      </c>
      <c r="I1611" s="5" t="n">
        <v>524.6</v>
      </c>
      <c r="J1611" s="3" t="inlineStr">
        <is>
          <t>조치원읍</t>
        </is>
      </c>
    </row>
    <row r="1612">
      <c r="A1612" s="3" t="n">
        <v>2022</v>
      </c>
      <c r="B1612" s="4" t="n">
        <v>8300</v>
      </c>
      <c r="C1612" s="4" t="n">
        <v>330</v>
      </c>
      <c r="D1612" s="3" t="inlineStr">
        <is>
          <t>연동면</t>
        </is>
      </c>
      <c r="E1612" s="3" t="inlineStr">
        <is>
          <t>명학리</t>
        </is>
      </c>
      <c r="F1612" s="3" t="inlineStr">
        <is>
          <t>농림지역</t>
        </is>
      </c>
      <c r="G1612" s="3" t="inlineStr">
        <is>
          <t>임야</t>
        </is>
      </c>
      <c r="H1612" s="4" t="n">
        <v>99.825</v>
      </c>
      <c r="I1612" s="5" t="n">
        <v>83.09999999999999</v>
      </c>
      <c r="J1612" s="3" t="inlineStr">
        <is>
          <t>연동면</t>
        </is>
      </c>
    </row>
    <row r="1613">
      <c r="A1613" s="3" t="n">
        <v>2022</v>
      </c>
      <c r="B1613" s="4" t="n">
        <v>1610</v>
      </c>
      <c r="C1613" s="4" t="n">
        <v>83</v>
      </c>
      <c r="D1613" s="3" t="inlineStr">
        <is>
          <t>부강면</t>
        </is>
      </c>
      <c r="E1613" s="3" t="inlineStr">
        <is>
          <t>문곡리</t>
        </is>
      </c>
      <c r="F1613" s="3" t="inlineStr">
        <is>
          <t>계획관리지역</t>
        </is>
      </c>
      <c r="G1613" s="3" t="inlineStr">
        <is>
          <t>답</t>
        </is>
      </c>
      <c r="H1613" s="4" t="n">
        <v>25.1075</v>
      </c>
      <c r="I1613" s="5" t="n">
        <v>64.09999999999999</v>
      </c>
      <c r="J1613" s="3" t="inlineStr">
        <is>
          <t>부강면</t>
        </is>
      </c>
    </row>
    <row r="1614">
      <c r="A1614" s="3" t="n">
        <v>2022</v>
      </c>
      <c r="B1614" s="4" t="n">
        <v>390</v>
      </c>
      <c r="C1614" s="4" t="n">
        <v>20</v>
      </c>
      <c r="D1614" s="3" t="inlineStr">
        <is>
          <t>부강면</t>
        </is>
      </c>
      <c r="E1614" s="3" t="inlineStr">
        <is>
          <t>문곡리</t>
        </is>
      </c>
      <c r="F1614" s="3" t="inlineStr">
        <is>
          <t>계획관리지역</t>
        </is>
      </c>
      <c r="G1614" s="3" t="inlineStr">
        <is>
          <t>답</t>
        </is>
      </c>
      <c r="H1614" s="4" t="n">
        <v>6.05</v>
      </c>
      <c r="I1614" s="5" t="n">
        <v>64.5</v>
      </c>
      <c r="J1614" s="3" t="inlineStr">
        <is>
          <t>부강면</t>
        </is>
      </c>
    </row>
    <row r="1615">
      <c r="A1615" s="3" t="n">
        <v>2025</v>
      </c>
      <c r="B1615" s="4" t="n">
        <v>1000</v>
      </c>
      <c r="C1615" s="4" t="n">
        <v>140</v>
      </c>
      <c r="D1615" s="3" t="inlineStr">
        <is>
          <t>부강면</t>
        </is>
      </c>
      <c r="E1615" s="3" t="inlineStr">
        <is>
          <t>문곡리</t>
        </is>
      </c>
      <c r="F1615" s="3" t="inlineStr">
        <is>
          <t>계획관리지역</t>
        </is>
      </c>
      <c r="G1615" s="3" t="inlineStr">
        <is>
          <t>답</t>
        </is>
      </c>
      <c r="H1615" s="4" t="n">
        <v>42.35</v>
      </c>
      <c r="I1615" s="5" t="n">
        <v>23.6</v>
      </c>
      <c r="J1615" s="3" t="inlineStr">
        <is>
          <t>부강면</t>
        </is>
      </c>
    </row>
    <row r="1616">
      <c r="A1616" s="3" t="n">
        <v>2025</v>
      </c>
      <c r="B1616" s="4" t="n">
        <v>179</v>
      </c>
      <c r="C1616" s="4" t="n">
        <v>12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3.63</v>
      </c>
      <c r="I1616" s="5" t="n">
        <v>49.3</v>
      </c>
      <c r="J1616" s="3" t="inlineStr">
        <is>
          <t>부강면</t>
        </is>
      </c>
    </row>
    <row r="1617">
      <c r="A1617" s="3" t="n">
        <v>2025</v>
      </c>
      <c r="B1617" s="4" t="n">
        <v>209</v>
      </c>
      <c r="C1617" s="4" t="n">
        <v>14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4.234999999999999</v>
      </c>
      <c r="I1617" s="5" t="n">
        <v>49.4</v>
      </c>
      <c r="J1617" s="3" t="inlineStr">
        <is>
          <t>부강면</t>
        </is>
      </c>
    </row>
    <row r="1618">
      <c r="A1618" s="3" t="n">
        <v>2025</v>
      </c>
      <c r="B1618" s="4" t="n">
        <v>1571</v>
      </c>
      <c r="C1618" s="4" t="n">
        <v>105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31.7625</v>
      </c>
      <c r="I1618" s="5" t="n">
        <v>49.5</v>
      </c>
      <c r="J1618" s="3" t="inlineStr">
        <is>
          <t>부강면</t>
        </is>
      </c>
    </row>
    <row r="1619">
      <c r="A1619" s="3" t="n">
        <v>2025</v>
      </c>
      <c r="B1619" s="4" t="n">
        <v>299</v>
      </c>
      <c r="C1619" s="4" t="n">
        <v>20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6.05</v>
      </c>
      <c r="I1619" s="5" t="n">
        <v>49.4</v>
      </c>
      <c r="J1619" s="3" t="inlineStr">
        <is>
          <t>부강면</t>
        </is>
      </c>
    </row>
    <row r="1620">
      <c r="A1620" s="3" t="n">
        <v>2025</v>
      </c>
      <c r="B1620" s="4" t="n">
        <v>823</v>
      </c>
      <c r="C1620" s="4" t="n">
        <v>55</v>
      </c>
      <c r="D1620" s="3" t="inlineStr">
        <is>
          <t>부강면</t>
        </is>
      </c>
      <c r="E1620" s="3" t="inlineStr">
        <is>
          <t>등곡리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16.6375</v>
      </c>
      <c r="I1620" s="5" t="n">
        <v>49.5</v>
      </c>
      <c r="J1620" s="3" t="inlineStr">
        <is>
          <t>부강면</t>
        </is>
      </c>
    </row>
    <row r="1621">
      <c r="A1621" s="3" t="n">
        <v>2025</v>
      </c>
      <c r="B1621" s="4" t="n">
        <v>419</v>
      </c>
      <c r="C1621" s="4" t="n">
        <v>28</v>
      </c>
      <c r="D1621" s="3" t="inlineStr">
        <is>
          <t>부강면</t>
        </is>
      </c>
      <c r="E1621" s="3" t="inlineStr">
        <is>
          <t>등곡리</t>
        </is>
      </c>
      <c r="F1621" s="3" t="inlineStr">
        <is>
          <t>계획관리지역</t>
        </is>
      </c>
      <c r="G1621" s="3" t="inlineStr">
        <is>
          <t>임야</t>
        </is>
      </c>
      <c r="H1621" s="4" t="n">
        <v>8.469999999999999</v>
      </c>
      <c r="I1621" s="5" t="n">
        <v>49.5</v>
      </c>
      <c r="J1621" s="3" t="inlineStr">
        <is>
          <t>부강면</t>
        </is>
      </c>
    </row>
    <row r="1622">
      <c r="A1622" s="3" t="n">
        <v>2024</v>
      </c>
      <c r="B1622" s="4" t="n">
        <v>55800</v>
      </c>
      <c r="C1622" s="4" t="n">
        <v>2528.5</v>
      </c>
      <c r="D1622" s="3" t="inlineStr">
        <is>
          <t>연동면</t>
        </is>
      </c>
      <c r="E1622" s="3" t="inlineStr">
        <is>
          <t>명학리</t>
        </is>
      </c>
      <c r="F1622" s="3" t="inlineStr">
        <is>
          <t>자연녹지지역</t>
        </is>
      </c>
      <c r="G1622" s="3" t="inlineStr">
        <is>
          <t>답</t>
        </is>
      </c>
      <c r="H1622" s="4" t="n">
        <v>764.87125</v>
      </c>
      <c r="I1622" s="5" t="n">
        <v>73</v>
      </c>
      <c r="J1622" s="3" t="inlineStr">
        <is>
          <t>연동면</t>
        </is>
      </c>
    </row>
    <row r="1623">
      <c r="A1623" s="3" t="n">
        <v>2025</v>
      </c>
      <c r="B1623" s="4" t="n">
        <v>42500</v>
      </c>
      <c r="C1623" s="4" t="n">
        <v>309.9</v>
      </c>
      <c r="D1623" s="3" t="inlineStr">
        <is>
          <t>한솔동</t>
        </is>
      </c>
      <c r="E1623" s="3" t="inlineStr"/>
      <c r="F1623" s="3" t="inlineStr">
        <is>
          <t>제1종전용주거지역</t>
        </is>
      </c>
      <c r="G1623" s="3" t="inlineStr">
        <is>
          <t>대</t>
        </is>
      </c>
      <c r="H1623" s="4" t="n">
        <v>93.74475</v>
      </c>
      <c r="I1623" s="5" t="n">
        <v>453.4</v>
      </c>
      <c r="J1623" s="3" t="inlineStr">
        <is>
          <t>한솔동</t>
        </is>
      </c>
    </row>
    <row r="1624">
      <c r="A1624" s="3" t="n">
        <v>2025</v>
      </c>
      <c r="B1624" s="4" t="n">
        <v>35210</v>
      </c>
      <c r="C1624" s="4" t="n">
        <v>1663</v>
      </c>
      <c r="D1624" s="3" t="inlineStr">
        <is>
          <t>연서면</t>
        </is>
      </c>
      <c r="E1624" s="3" t="inlineStr">
        <is>
          <t>국촌리</t>
        </is>
      </c>
      <c r="F1624" s="3" t="inlineStr">
        <is>
          <t>농림지역</t>
        </is>
      </c>
      <c r="G1624" s="3" t="inlineStr">
        <is>
          <t>답</t>
        </is>
      </c>
      <c r="H1624" s="4" t="n">
        <v>503.0575</v>
      </c>
      <c r="I1624" s="5" t="n">
        <v>70</v>
      </c>
      <c r="J1624" s="3" t="inlineStr">
        <is>
          <t>연서면</t>
        </is>
      </c>
    </row>
    <row r="1625">
      <c r="A1625" s="3" t="n">
        <v>2025</v>
      </c>
      <c r="B1625" s="4" t="n">
        <v>38000</v>
      </c>
      <c r="C1625" s="4" t="n">
        <v>384</v>
      </c>
      <c r="D1625" s="3" t="inlineStr">
        <is>
          <t>조치원읍</t>
        </is>
      </c>
      <c r="E1625" s="3" t="inlineStr">
        <is>
          <t>신안리</t>
        </is>
      </c>
      <c r="F1625" s="3" t="inlineStr">
        <is>
          <t>제1종일반주거지역</t>
        </is>
      </c>
      <c r="G1625" s="3" t="inlineStr">
        <is>
          <t>대</t>
        </is>
      </c>
      <c r="H1625" s="4" t="n">
        <v>116.16</v>
      </c>
      <c r="I1625" s="5" t="n">
        <v>327.1</v>
      </c>
      <c r="J1625" s="3" t="inlineStr">
        <is>
          <t>조치원읍</t>
        </is>
      </c>
    </row>
    <row r="1626">
      <c r="A1626" s="3" t="n">
        <v>2025</v>
      </c>
      <c r="B1626" s="4" t="n">
        <v>5000</v>
      </c>
      <c r="C1626" s="4" t="n">
        <v>50</v>
      </c>
      <c r="D1626" s="3" t="inlineStr">
        <is>
          <t>조치원읍</t>
        </is>
      </c>
      <c r="E1626" s="3" t="inlineStr">
        <is>
          <t>신안리</t>
        </is>
      </c>
      <c r="F1626" s="3" t="inlineStr">
        <is>
          <t>제1종일반주거지역</t>
        </is>
      </c>
      <c r="G1626" s="3" t="inlineStr">
        <is>
          <t>대</t>
        </is>
      </c>
      <c r="H1626" s="4" t="n">
        <v>15.125</v>
      </c>
      <c r="I1626" s="5" t="n">
        <v>330.6</v>
      </c>
      <c r="J1626" s="3" t="inlineStr">
        <is>
          <t>조치원읍</t>
        </is>
      </c>
    </row>
    <row r="1627">
      <c r="A1627" s="3" t="n">
        <v>2025</v>
      </c>
      <c r="B1627" s="4" t="n">
        <v>252177</v>
      </c>
      <c r="C1627" s="4" t="n">
        <v>4128.8</v>
      </c>
      <c r="D1627" s="3" t="inlineStr">
        <is>
          <t>집현동</t>
        </is>
      </c>
      <c r="E1627" s="3" t="inlineStr"/>
      <c r="F1627" s="3" t="inlineStr">
        <is>
          <t>준주거지역</t>
        </is>
      </c>
      <c r="G1627" s="3" t="inlineStr">
        <is>
          <t>대</t>
        </is>
      </c>
      <c r="H1627" s="4" t="n">
        <v>1248.962</v>
      </c>
      <c r="I1627" s="5" t="n">
        <v>201.9</v>
      </c>
      <c r="J1627" s="3" t="inlineStr">
        <is>
          <t>집현동</t>
        </is>
      </c>
    </row>
    <row r="1628">
      <c r="A1628" s="3" t="n">
        <v>2025</v>
      </c>
      <c r="B1628" s="4" t="n">
        <v>10000</v>
      </c>
      <c r="C1628" s="4" t="n">
        <v>190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제1종일반주거지역</t>
        </is>
      </c>
      <c r="G1628" s="3" t="inlineStr">
        <is>
          <t>대</t>
        </is>
      </c>
      <c r="H1628" s="4" t="n">
        <v>57.475</v>
      </c>
      <c r="I1628" s="5" t="n">
        <v>174</v>
      </c>
      <c r="J1628" s="3" t="inlineStr">
        <is>
          <t>조치원읍</t>
        </is>
      </c>
    </row>
    <row r="1629">
      <c r="A1629" s="3" t="n">
        <v>2025</v>
      </c>
      <c r="B1629" s="4" t="n">
        <v>6000</v>
      </c>
      <c r="C1629" s="4" t="n">
        <v>110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33.275</v>
      </c>
      <c r="I1629" s="5" t="n">
        <v>180.3</v>
      </c>
      <c r="J1629" s="3" t="inlineStr">
        <is>
          <t>조치원읍</t>
        </is>
      </c>
    </row>
    <row r="1630">
      <c r="A1630" s="3" t="n">
        <v>2023</v>
      </c>
      <c r="B1630" s="4" t="n">
        <v>1523</v>
      </c>
      <c r="C1630" s="4" t="n">
        <v>12.8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주차장</t>
        </is>
      </c>
      <c r="H1630" s="4" t="n">
        <v>3.872</v>
      </c>
      <c r="I1630" s="5" t="n">
        <v>393.3</v>
      </c>
      <c r="J1630" s="3" t="inlineStr">
        <is>
          <t>고운동</t>
        </is>
      </c>
    </row>
    <row r="1631">
      <c r="A1631" s="3" t="n">
        <v>2023</v>
      </c>
      <c r="B1631" s="4" t="n">
        <v>95000</v>
      </c>
      <c r="C1631" s="4" t="n">
        <v>23405</v>
      </c>
      <c r="D1631" s="3" t="inlineStr">
        <is>
          <t>부강면</t>
        </is>
      </c>
      <c r="E1631" s="3" t="inlineStr">
        <is>
          <t>문곡리</t>
        </is>
      </c>
      <c r="F1631" s="3" t="inlineStr">
        <is>
          <t>농림지역</t>
        </is>
      </c>
      <c r="G1631" s="3" t="inlineStr">
        <is>
          <t>임야</t>
        </is>
      </c>
      <c r="H1631" s="4" t="n">
        <v>7080.0125</v>
      </c>
      <c r="I1631" s="5" t="n">
        <v>13.4</v>
      </c>
      <c r="J1631" s="3" t="inlineStr">
        <is>
          <t>부강면</t>
        </is>
      </c>
    </row>
    <row r="1632">
      <c r="A1632" s="3" t="n">
        <v>2023</v>
      </c>
      <c r="B1632" s="4" t="n">
        <v>20460</v>
      </c>
      <c r="C1632" s="4" t="n">
        <v>428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과수원</t>
        </is>
      </c>
      <c r="H1632" s="4" t="n">
        <v>129.47</v>
      </c>
      <c r="I1632" s="5" t="n">
        <v>158</v>
      </c>
      <c r="J1632" s="3" t="inlineStr">
        <is>
          <t>연서면</t>
        </is>
      </c>
    </row>
    <row r="1633">
      <c r="A1633" s="3" t="n">
        <v>2023</v>
      </c>
      <c r="B1633" s="4" t="n">
        <v>6490</v>
      </c>
      <c r="C1633" s="4" t="n">
        <v>200</v>
      </c>
      <c r="D1633" s="3" t="inlineStr">
        <is>
          <t>연서면</t>
        </is>
      </c>
      <c r="E1633" s="3" t="inlineStr">
        <is>
          <t>신대리</t>
        </is>
      </c>
      <c r="F1633" s="3" t="inlineStr">
        <is>
          <t>보전관리지역</t>
        </is>
      </c>
      <c r="G1633" s="3" t="inlineStr">
        <is>
          <t>과수원</t>
        </is>
      </c>
      <c r="H1633" s="4" t="n">
        <v>60.5</v>
      </c>
      <c r="I1633" s="5" t="n">
        <v>107.3</v>
      </c>
      <c r="J1633" s="3" t="inlineStr">
        <is>
          <t>연서면</t>
        </is>
      </c>
    </row>
    <row r="1634">
      <c r="A1634" s="3" t="n">
        <v>2023</v>
      </c>
      <c r="B1634" s="4" t="n">
        <v>19710</v>
      </c>
      <c r="C1634" s="4" t="n">
        <v>608</v>
      </c>
      <c r="D1634" s="3" t="inlineStr">
        <is>
          <t>연서면</t>
        </is>
      </c>
      <c r="E1634" s="3" t="inlineStr">
        <is>
          <t>신대리</t>
        </is>
      </c>
      <c r="F1634" s="3" t="inlineStr">
        <is>
          <t>보전관리지역</t>
        </is>
      </c>
      <c r="G1634" s="3" t="inlineStr">
        <is>
          <t>과수원</t>
        </is>
      </c>
      <c r="H1634" s="4" t="n">
        <v>183.92</v>
      </c>
      <c r="I1634" s="5" t="n">
        <v>107.2</v>
      </c>
      <c r="J1634" s="3" t="inlineStr">
        <is>
          <t>연서면</t>
        </is>
      </c>
    </row>
    <row r="1635">
      <c r="A1635" s="3" t="n">
        <v>2023</v>
      </c>
      <c r="B1635" s="4" t="n">
        <v>44850</v>
      </c>
      <c r="C1635" s="4" t="n">
        <v>2964</v>
      </c>
      <c r="D1635" s="3" t="inlineStr">
        <is>
          <t>부강면</t>
        </is>
      </c>
      <c r="E1635" s="3" t="inlineStr">
        <is>
          <t>금호리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896.61</v>
      </c>
      <c r="I1635" s="5" t="n">
        <v>50</v>
      </c>
      <c r="J1635" s="3" t="inlineStr">
        <is>
          <t>부강면</t>
        </is>
      </c>
    </row>
    <row r="1636">
      <c r="A1636" s="3" t="n">
        <v>2023</v>
      </c>
      <c r="B1636" s="4" t="n">
        <v>17843</v>
      </c>
      <c r="C1636" s="4" t="n">
        <v>407</v>
      </c>
      <c r="D1636" s="3" t="inlineStr">
        <is>
          <t>연서면</t>
        </is>
      </c>
      <c r="E1636" s="3" t="inlineStr">
        <is>
          <t>고복리</t>
        </is>
      </c>
      <c r="F1636" s="3" t="inlineStr">
        <is>
          <t>생산관리지역</t>
        </is>
      </c>
      <c r="G1636" s="3" t="inlineStr">
        <is>
          <t>과수원</t>
        </is>
      </c>
      <c r="H1636" s="4" t="n">
        <v>123.1175</v>
      </c>
      <c r="I1636" s="5" t="n">
        <v>144.9</v>
      </c>
      <c r="J1636" s="3" t="inlineStr">
        <is>
          <t>연서면</t>
        </is>
      </c>
    </row>
    <row r="1637">
      <c r="A1637" s="3" t="n">
        <v>2023</v>
      </c>
      <c r="B1637" s="4" t="n">
        <v>30732</v>
      </c>
      <c r="C1637" s="4" t="n">
        <v>701</v>
      </c>
      <c r="D1637" s="3" t="inlineStr">
        <is>
          <t>연서면</t>
        </is>
      </c>
      <c r="E1637" s="3" t="inlineStr">
        <is>
          <t>고복리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212.0525</v>
      </c>
      <c r="I1637" s="5" t="n">
        <v>144.9</v>
      </c>
      <c r="J1637" s="3" t="inlineStr">
        <is>
          <t>연서면</t>
        </is>
      </c>
    </row>
    <row r="1638">
      <c r="A1638" s="3" t="n">
        <v>2023</v>
      </c>
      <c r="B1638" s="4" t="n">
        <v>21560</v>
      </c>
      <c r="C1638" s="4" t="n">
        <v>509</v>
      </c>
      <c r="D1638" s="3" t="inlineStr">
        <is>
          <t>연서면</t>
        </is>
      </c>
      <c r="E1638" s="3" t="inlineStr">
        <is>
          <t>고복리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153.9725</v>
      </c>
      <c r="I1638" s="5" t="n">
        <v>140</v>
      </c>
      <c r="J1638" s="3" t="inlineStr">
        <is>
          <t>연서면</t>
        </is>
      </c>
    </row>
    <row r="1639">
      <c r="A1639" s="3" t="n">
        <v>2023</v>
      </c>
      <c r="B1639" s="4" t="n">
        <v>13000</v>
      </c>
      <c r="C1639" s="4" t="n">
        <v>664</v>
      </c>
      <c r="D1639" s="3" t="inlineStr">
        <is>
          <t>연서면</t>
        </is>
      </c>
      <c r="E1639" s="3" t="inlineStr">
        <is>
          <t>쌍전리</t>
        </is>
      </c>
      <c r="F1639" s="3" t="inlineStr">
        <is>
          <t>자연녹지지역</t>
        </is>
      </c>
      <c r="G1639" s="3" t="inlineStr">
        <is>
          <t>전</t>
        </is>
      </c>
      <c r="H1639" s="4" t="n">
        <v>200.86</v>
      </c>
      <c r="I1639" s="5" t="n">
        <v>64.7</v>
      </c>
      <c r="J1639" s="3" t="inlineStr">
        <is>
          <t>연서면</t>
        </is>
      </c>
    </row>
    <row r="1640">
      <c r="A1640" s="3" t="n">
        <v>2022</v>
      </c>
      <c r="B1640" s="4" t="n">
        <v>3600</v>
      </c>
      <c r="C1640" s="4" t="n">
        <v>40</v>
      </c>
      <c r="D1640" s="3" t="inlineStr">
        <is>
          <t>조치원읍</t>
        </is>
      </c>
      <c r="E1640" s="3" t="inlineStr">
        <is>
          <t>서창리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12.1</v>
      </c>
      <c r="I1640" s="5" t="n">
        <v>297.5</v>
      </c>
      <c r="J1640" s="3" t="inlineStr">
        <is>
          <t>조치원읍</t>
        </is>
      </c>
    </row>
    <row r="1641">
      <c r="A1641" s="3" t="n">
        <v>2022</v>
      </c>
      <c r="B1641" s="4" t="n">
        <v>2000</v>
      </c>
      <c r="C1641" s="4" t="n">
        <v>233</v>
      </c>
      <c r="D1641" s="3" t="inlineStr">
        <is>
          <t>부강면</t>
        </is>
      </c>
      <c r="E1641" s="3" t="inlineStr">
        <is>
          <t>노호리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70.4825</v>
      </c>
      <c r="I1641" s="5" t="n">
        <v>28.4</v>
      </c>
      <c r="J1641" s="3" t="inlineStr">
        <is>
          <t>부강면</t>
        </is>
      </c>
    </row>
    <row r="1642">
      <c r="A1642" s="3" t="n">
        <v>2022</v>
      </c>
      <c r="B1642" s="4" t="n">
        <v>90000</v>
      </c>
      <c r="C1642" s="4" t="n">
        <v>660</v>
      </c>
      <c r="D1642" s="3" t="inlineStr">
        <is>
          <t>부강면</t>
        </is>
      </c>
      <c r="E1642" s="3" t="inlineStr">
        <is>
          <t>금호리</t>
        </is>
      </c>
      <c r="F1642" s="3" t="inlineStr">
        <is>
          <t>계획관리지역</t>
        </is>
      </c>
      <c r="G1642" s="3" t="inlineStr">
        <is>
          <t>전</t>
        </is>
      </c>
      <c r="H1642" s="4" t="n">
        <v>199.65</v>
      </c>
      <c r="I1642" s="5" t="n">
        <v>450.8</v>
      </c>
      <c r="J1642" s="3" t="inlineStr">
        <is>
          <t>부강면</t>
        </is>
      </c>
    </row>
    <row r="1643">
      <c r="A1643" s="3" t="n">
        <v>2022</v>
      </c>
      <c r="B1643" s="4" t="n">
        <v>1656</v>
      </c>
      <c r="C1643" s="4" t="n">
        <v>81</v>
      </c>
      <c r="D1643" s="3" t="inlineStr">
        <is>
          <t>연서면</t>
        </is>
      </c>
      <c r="E1643" s="3" t="inlineStr">
        <is>
          <t>월하리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24.5025</v>
      </c>
      <c r="I1643" s="5" t="n">
        <v>67.59999999999999</v>
      </c>
      <c r="J1643" s="3" t="inlineStr">
        <is>
          <t>연서면</t>
        </is>
      </c>
    </row>
    <row r="1644">
      <c r="A1644" s="3" t="n">
        <v>2022</v>
      </c>
      <c r="B1644" s="4" t="n">
        <v>6500</v>
      </c>
      <c r="C1644" s="4" t="n">
        <v>288</v>
      </c>
      <c r="D1644" s="3" t="inlineStr">
        <is>
          <t>연서면</t>
        </is>
      </c>
      <c r="E1644" s="3" t="inlineStr">
        <is>
          <t>와촌리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87.12</v>
      </c>
      <c r="I1644" s="5" t="n">
        <v>74.59999999999999</v>
      </c>
      <c r="J1644" s="3" t="inlineStr">
        <is>
          <t>연서면</t>
        </is>
      </c>
    </row>
    <row r="1645">
      <c r="A1645" s="3" t="n">
        <v>2022</v>
      </c>
      <c r="B1645" s="4" t="n">
        <v>47500</v>
      </c>
      <c r="C1645" s="4" t="n">
        <v>2833</v>
      </c>
      <c r="D1645" s="3" t="inlineStr">
        <is>
          <t>연서면</t>
        </is>
      </c>
      <c r="E1645" s="3" t="inlineStr">
        <is>
          <t>청라리</t>
        </is>
      </c>
      <c r="F1645" s="3" t="inlineStr">
        <is>
          <t>생산관리지역</t>
        </is>
      </c>
      <c r="G1645" s="3" t="inlineStr">
        <is>
          <t>답</t>
        </is>
      </c>
      <c r="H1645" s="4" t="n">
        <v>856.9825</v>
      </c>
      <c r="I1645" s="5" t="n">
        <v>55.4</v>
      </c>
      <c r="J1645" s="3" t="inlineStr">
        <is>
          <t>연서면</t>
        </is>
      </c>
    </row>
    <row r="1646">
      <c r="A1646" s="3" t="n">
        <v>2022</v>
      </c>
      <c r="B1646" s="4" t="n">
        <v>196000</v>
      </c>
      <c r="C1646" s="4" t="n">
        <v>1674</v>
      </c>
      <c r="D1646" s="3" t="inlineStr">
        <is>
          <t>부강면</t>
        </is>
      </c>
      <c r="E1646" s="3" t="inlineStr">
        <is>
          <t>부강리</t>
        </is>
      </c>
      <c r="F1646" s="3" t="inlineStr">
        <is>
          <t>생산녹지지역</t>
        </is>
      </c>
      <c r="G1646" s="3" t="inlineStr">
        <is>
          <t>대</t>
        </is>
      </c>
      <c r="H1646" s="4" t="n">
        <v>506.385</v>
      </c>
      <c r="I1646" s="5" t="n">
        <v>387.1</v>
      </c>
      <c r="J1646" s="3" t="inlineStr">
        <is>
          <t>부강면</t>
        </is>
      </c>
    </row>
    <row r="1647">
      <c r="A1647" s="3" t="n">
        <v>2022</v>
      </c>
      <c r="B1647" s="4" t="n">
        <v>103700</v>
      </c>
      <c r="C1647" s="4" t="n">
        <v>1550</v>
      </c>
      <c r="D1647" s="3" t="inlineStr">
        <is>
          <t>부강면</t>
        </is>
      </c>
      <c r="E1647" s="3" t="inlineStr">
        <is>
          <t>부강리</t>
        </is>
      </c>
      <c r="F1647" s="3" t="inlineStr">
        <is>
          <t>생산녹지지역</t>
        </is>
      </c>
      <c r="G1647" s="3" t="inlineStr">
        <is>
          <t>대</t>
        </is>
      </c>
      <c r="H1647" s="4" t="n">
        <v>468.875</v>
      </c>
      <c r="I1647" s="5" t="n">
        <v>221.2</v>
      </c>
      <c r="J1647" s="3" t="inlineStr">
        <is>
          <t>부강면</t>
        </is>
      </c>
    </row>
    <row r="1648">
      <c r="A1648" s="3" t="n">
        <v>2022</v>
      </c>
      <c r="B1648" s="4" t="n">
        <v>71000</v>
      </c>
      <c r="C1648" s="4" t="n">
        <v>285.9</v>
      </c>
      <c r="D1648" s="3" t="inlineStr">
        <is>
          <t>아름동</t>
        </is>
      </c>
      <c r="E1648" s="3" t="inlineStr"/>
      <c r="F1648" s="3" t="inlineStr">
        <is>
          <t>제1종전용주거지역</t>
        </is>
      </c>
      <c r="G1648" s="3" t="inlineStr">
        <is>
          <t>대</t>
        </is>
      </c>
      <c r="H1648" s="4" t="n">
        <v>86.48474999999999</v>
      </c>
      <c r="I1648" s="5" t="n">
        <v>821</v>
      </c>
      <c r="J1648" s="3" t="inlineStr">
        <is>
          <t>아름동</t>
        </is>
      </c>
    </row>
    <row r="1649">
      <c r="A1649" s="3" t="n">
        <v>2026</v>
      </c>
      <c r="B1649" s="4" t="n">
        <v>16670</v>
      </c>
      <c r="C1649" s="4" t="n">
        <v>1782</v>
      </c>
      <c r="D1649" s="3" t="inlineStr">
        <is>
          <t>연서면</t>
        </is>
      </c>
      <c r="E1649" s="3" t="inlineStr">
        <is>
          <t>청라리</t>
        </is>
      </c>
      <c r="F1649" s="3" t="inlineStr">
        <is>
          <t>생산관리지역</t>
        </is>
      </c>
      <c r="G1649" s="3" t="inlineStr">
        <is>
          <t>답</t>
        </is>
      </c>
      <c r="H1649" s="4" t="n">
        <v>539.0549999999999</v>
      </c>
      <c r="I1649" s="5" t="n">
        <v>30.9</v>
      </c>
      <c r="J1649" s="3" t="inlineStr">
        <is>
          <t>연서면</t>
        </is>
      </c>
    </row>
    <row r="1650">
      <c r="A1650" s="3" t="n">
        <v>2026</v>
      </c>
      <c r="B1650" s="4" t="n">
        <v>38250</v>
      </c>
      <c r="C1650" s="4" t="n">
        <v>294.2</v>
      </c>
      <c r="D1650" s="3" t="inlineStr">
        <is>
          <t>한솔동</t>
        </is>
      </c>
      <c r="E1650" s="3" t="inlineStr"/>
      <c r="F1650" s="3" t="inlineStr">
        <is>
          <t>제1종전용주거지역</t>
        </is>
      </c>
      <c r="G1650" s="3" t="inlineStr">
        <is>
          <t>대</t>
        </is>
      </c>
      <c r="H1650" s="4" t="n">
        <v>88.99549999999999</v>
      </c>
      <c r="I1650" s="5" t="n">
        <v>429.8</v>
      </c>
      <c r="J1650" s="3" t="inlineStr">
        <is>
          <t>한솔동</t>
        </is>
      </c>
    </row>
    <row r="1651">
      <c r="A1651" s="3" t="n">
        <v>2026</v>
      </c>
      <c r="B1651" s="4" t="n">
        <v>49500</v>
      </c>
      <c r="C1651" s="4" t="n">
        <v>319.9</v>
      </c>
      <c r="D1651" s="3" t="inlineStr">
        <is>
          <t>한솔동</t>
        </is>
      </c>
      <c r="E1651" s="3" t="inlineStr"/>
      <c r="F1651" s="3" t="inlineStr">
        <is>
          <t>제1종전용주거지역</t>
        </is>
      </c>
      <c r="G1651" s="3" t="inlineStr">
        <is>
          <t>대</t>
        </is>
      </c>
      <c r="H1651" s="4" t="n">
        <v>96.76974999999999</v>
      </c>
      <c r="I1651" s="5" t="n">
        <v>511.5</v>
      </c>
      <c r="J1651" s="3" t="inlineStr">
        <is>
          <t>한솔동</t>
        </is>
      </c>
    </row>
    <row r="1652">
      <c r="A1652" s="3" t="n">
        <v>2025</v>
      </c>
      <c r="B1652" s="4" t="n">
        <v>87243</v>
      </c>
      <c r="C1652" s="4" t="n">
        <v>400</v>
      </c>
      <c r="D1652" s="3" t="inlineStr">
        <is>
          <t>도담동</t>
        </is>
      </c>
      <c r="E1652" s="3" t="inlineStr"/>
      <c r="F1652" s="3" t="inlineStr">
        <is>
          <t>제1종전용주거지역</t>
        </is>
      </c>
      <c r="G1652" s="3" t="inlineStr">
        <is>
          <t>대</t>
        </is>
      </c>
      <c r="H1652" s="4" t="n">
        <v>121</v>
      </c>
      <c r="I1652" s="5" t="n">
        <v>721</v>
      </c>
      <c r="J1652" s="3" t="inlineStr">
        <is>
          <t>도담동</t>
        </is>
      </c>
    </row>
    <row r="1653">
      <c r="A1653" s="3" t="n">
        <v>2025</v>
      </c>
      <c r="B1653" s="4" t="n">
        <v>14000</v>
      </c>
      <c r="C1653" s="4" t="n">
        <v>190</v>
      </c>
      <c r="D1653" s="3" t="inlineStr">
        <is>
          <t>조치원읍</t>
        </is>
      </c>
      <c r="E1653" s="3" t="inlineStr">
        <is>
          <t>신안리</t>
        </is>
      </c>
      <c r="F1653" s="3" t="inlineStr">
        <is>
          <t>제1종일반주거지역</t>
        </is>
      </c>
      <c r="G1653" s="3" t="inlineStr">
        <is>
          <t>대</t>
        </is>
      </c>
      <c r="H1653" s="4" t="n">
        <v>57.475</v>
      </c>
      <c r="I1653" s="5" t="n">
        <v>243.6</v>
      </c>
      <c r="J1653" s="3" t="inlineStr">
        <is>
          <t>조치원읍</t>
        </is>
      </c>
    </row>
    <row r="1654">
      <c r="A1654" s="3" t="n">
        <v>2025</v>
      </c>
      <c r="B1654" s="4" t="n">
        <v>11000</v>
      </c>
      <c r="C1654" s="4" t="n">
        <v>110</v>
      </c>
      <c r="D1654" s="3" t="inlineStr">
        <is>
          <t>조치원읍</t>
        </is>
      </c>
      <c r="E1654" s="3" t="inlineStr">
        <is>
          <t>신안리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33.275</v>
      </c>
      <c r="I1654" s="5" t="n">
        <v>330.6</v>
      </c>
      <c r="J1654" s="3" t="inlineStr">
        <is>
          <t>조치원읍</t>
        </is>
      </c>
    </row>
    <row r="1655">
      <c r="A1655" s="3" t="n">
        <v>2025</v>
      </c>
      <c r="B1655" s="4" t="n">
        <v>10</v>
      </c>
      <c r="C1655" s="4" t="n">
        <v>10</v>
      </c>
      <c r="D1655" s="3" t="inlineStr">
        <is>
          <t>조치원읍</t>
        </is>
      </c>
      <c r="E1655" s="3" t="inlineStr">
        <is>
          <t>신안리</t>
        </is>
      </c>
      <c r="F1655" s="3" t="inlineStr">
        <is>
          <t>제1종일반주거지역</t>
        </is>
      </c>
      <c r="G1655" s="3" t="inlineStr">
        <is>
          <t>대</t>
        </is>
      </c>
      <c r="H1655" s="4" t="n">
        <v>3.025</v>
      </c>
      <c r="I1655" s="5" t="n">
        <v>3.3</v>
      </c>
      <c r="J1655" s="3" t="inlineStr">
        <is>
          <t>조치원읍</t>
        </is>
      </c>
    </row>
    <row r="1656">
      <c r="A1656" s="3" t="n">
        <v>2025</v>
      </c>
      <c r="B1656" s="4" t="n">
        <v>3500</v>
      </c>
      <c r="C1656" s="4" t="n">
        <v>236</v>
      </c>
      <c r="D1656" s="3" t="inlineStr">
        <is>
          <t>연서면</t>
        </is>
      </c>
      <c r="E1656" s="3" t="inlineStr">
        <is>
          <t>고복리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71.39</v>
      </c>
      <c r="I1656" s="5" t="n">
        <v>49</v>
      </c>
      <c r="J1656" s="3" t="inlineStr">
        <is>
          <t>연서면</t>
        </is>
      </c>
    </row>
    <row r="1657">
      <c r="A1657" s="3" t="n">
        <v>2025</v>
      </c>
      <c r="B1657" s="4" t="n">
        <v>20037</v>
      </c>
      <c r="C1657" s="4" t="n">
        <v>541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자연녹지지역</t>
        </is>
      </c>
      <c r="G1657" s="3" t="inlineStr">
        <is>
          <t>대</t>
        </is>
      </c>
      <c r="H1657" s="4" t="n">
        <v>163.6525</v>
      </c>
      <c r="I1657" s="5" t="n">
        <v>122.4</v>
      </c>
      <c r="J1657" s="3" t="inlineStr">
        <is>
          <t>부강면</t>
        </is>
      </c>
    </row>
    <row r="1658">
      <c r="A1658" s="3" t="n">
        <v>2025</v>
      </c>
      <c r="B1658" s="4" t="n">
        <v>16063</v>
      </c>
      <c r="C1658" s="4" t="n">
        <v>450</v>
      </c>
      <c r="D1658" s="3" t="inlineStr">
        <is>
          <t>부강면</t>
        </is>
      </c>
      <c r="E1658" s="3" t="inlineStr">
        <is>
          <t>부강리</t>
        </is>
      </c>
      <c r="F1658" s="3" t="inlineStr">
        <is>
          <t>자연녹지지역</t>
        </is>
      </c>
      <c r="G1658" s="3" t="inlineStr">
        <is>
          <t>대</t>
        </is>
      </c>
      <c r="H1658" s="4" t="n">
        <v>136.125</v>
      </c>
      <c r="I1658" s="5" t="n">
        <v>118</v>
      </c>
      <c r="J1658" s="3" t="inlineStr">
        <is>
          <t>부강면</t>
        </is>
      </c>
    </row>
    <row r="1659">
      <c r="A1659" s="3" t="n">
        <v>2026</v>
      </c>
      <c r="B1659" s="4" t="n">
        <v>28000</v>
      </c>
      <c r="C1659" s="4" t="n">
        <v>1553</v>
      </c>
      <c r="D1659" s="3" t="inlineStr">
        <is>
          <t>부강면</t>
        </is>
      </c>
      <c r="E1659" s="3" t="inlineStr">
        <is>
          <t>행산리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469.7825</v>
      </c>
      <c r="I1659" s="5" t="n">
        <v>59.6</v>
      </c>
      <c r="J1659" s="3" t="inlineStr">
        <is>
          <t>부강면</t>
        </is>
      </c>
    </row>
    <row r="1660">
      <c r="A1660" s="3" t="n">
        <v>2026</v>
      </c>
      <c r="B1660" s="4" t="n">
        <v>2000</v>
      </c>
      <c r="C1660" s="4" t="n">
        <v>200</v>
      </c>
      <c r="D1660" s="3" t="inlineStr">
        <is>
          <t>연서면</t>
        </is>
      </c>
      <c r="E1660" s="3" t="inlineStr">
        <is>
          <t>신대리</t>
        </is>
      </c>
      <c r="F1660" s="3" t="inlineStr">
        <is>
          <t>보전관리지역</t>
        </is>
      </c>
      <c r="G1660" s="3" t="inlineStr">
        <is>
          <t>전</t>
        </is>
      </c>
      <c r="H1660" s="4" t="n">
        <v>60.5</v>
      </c>
      <c r="I1660" s="5" t="n">
        <v>33.1</v>
      </c>
      <c r="J1660" s="3" t="inlineStr">
        <is>
          <t>연서면</t>
        </is>
      </c>
    </row>
    <row r="1661">
      <c r="A1661" s="3" t="n">
        <v>2026</v>
      </c>
      <c r="B1661" s="4" t="n">
        <v>20037</v>
      </c>
      <c r="C1661" s="4" t="n">
        <v>541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자연녹지지역</t>
        </is>
      </c>
      <c r="G1661" s="3" t="inlineStr">
        <is>
          <t>대</t>
        </is>
      </c>
      <c r="H1661" s="4" t="n">
        <v>163.6525</v>
      </c>
      <c r="I1661" s="5" t="n">
        <v>122.4</v>
      </c>
      <c r="J1661" s="3" t="inlineStr">
        <is>
          <t>부강면</t>
        </is>
      </c>
    </row>
    <row r="1662">
      <c r="A1662" s="3" t="n">
        <v>2024</v>
      </c>
      <c r="B1662" s="4" t="n">
        <v>40000</v>
      </c>
      <c r="C1662" s="4" t="n">
        <v>891</v>
      </c>
      <c r="D1662" s="3" t="inlineStr">
        <is>
          <t>부강면</t>
        </is>
      </c>
      <c r="E1662" s="3" t="inlineStr">
        <is>
          <t>행산리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269.5275</v>
      </c>
      <c r="I1662" s="5" t="n">
        <v>148.4</v>
      </c>
      <c r="J1662" s="3" t="inlineStr">
        <is>
          <t>부강면</t>
        </is>
      </c>
    </row>
    <row r="1663">
      <c r="A1663" s="3" t="n">
        <v>2024</v>
      </c>
      <c r="B1663" s="4" t="n">
        <v>48000</v>
      </c>
      <c r="C1663" s="4" t="n">
        <v>793</v>
      </c>
      <c r="D1663" s="3" t="inlineStr">
        <is>
          <t>연서면</t>
        </is>
      </c>
      <c r="E1663" s="3" t="inlineStr">
        <is>
          <t>고복리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239.8825</v>
      </c>
      <c r="I1663" s="5" t="n">
        <v>200.1</v>
      </c>
      <c r="J1663" s="3" t="inlineStr">
        <is>
          <t>연서면</t>
        </is>
      </c>
    </row>
    <row r="1664">
      <c r="A1664" s="3" t="n">
        <v>2024</v>
      </c>
      <c r="B1664" s="4" t="n">
        <v>35000</v>
      </c>
      <c r="C1664" s="4" t="n">
        <v>255</v>
      </c>
      <c r="D1664" s="3" t="inlineStr">
        <is>
          <t>조치원읍</t>
        </is>
      </c>
      <c r="E1664" s="3" t="inlineStr">
        <is>
          <t>번암리</t>
        </is>
      </c>
      <c r="F1664" s="3" t="inlineStr">
        <is>
          <t>제2종일반주거지역</t>
        </is>
      </c>
      <c r="G1664" s="3" t="inlineStr">
        <is>
          <t>대</t>
        </is>
      </c>
      <c r="H1664" s="4" t="n">
        <v>77.1375</v>
      </c>
      <c r="I1664" s="5" t="n">
        <v>453.7</v>
      </c>
      <c r="J1664" s="3" t="inlineStr">
        <is>
          <t>조치원읍</t>
        </is>
      </c>
    </row>
    <row r="1665">
      <c r="A1665" s="3" t="n">
        <v>2024</v>
      </c>
      <c r="B1665" s="4" t="n">
        <v>1000</v>
      </c>
      <c r="C1665" s="4" t="n">
        <v>17</v>
      </c>
      <c r="D1665" s="3" t="inlineStr">
        <is>
          <t>조치원읍</t>
        </is>
      </c>
      <c r="E1665" s="3" t="inlineStr">
        <is>
          <t>서창리</t>
        </is>
      </c>
      <c r="F1665" s="3" t="inlineStr">
        <is>
          <t>제1종일반주거지역</t>
        </is>
      </c>
      <c r="G1665" s="3" t="inlineStr">
        <is>
          <t>대</t>
        </is>
      </c>
      <c r="H1665" s="4" t="n">
        <v>5.1425</v>
      </c>
      <c r="I1665" s="5" t="n">
        <v>194.5</v>
      </c>
      <c r="J1665" s="3" t="inlineStr">
        <is>
          <t>조치원읍</t>
        </is>
      </c>
    </row>
    <row r="1666">
      <c r="A1666" s="3" t="n">
        <v>2026</v>
      </c>
      <c r="B1666" s="4" t="n">
        <v>62000</v>
      </c>
      <c r="C1666" s="4" t="n">
        <v>11008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자연녹지지역</t>
        </is>
      </c>
      <c r="G1666" s="3" t="inlineStr">
        <is>
          <t>임야</t>
        </is>
      </c>
      <c r="H1666" s="4" t="n">
        <v>3329.92</v>
      </c>
      <c r="I1666" s="5" t="n">
        <v>18.6</v>
      </c>
      <c r="J1666" s="3" t="inlineStr">
        <is>
          <t>조치원읍</t>
        </is>
      </c>
    </row>
    <row r="1667">
      <c r="A1667" s="3" t="n">
        <v>2026</v>
      </c>
      <c r="B1667" s="4" t="n">
        <v>38000</v>
      </c>
      <c r="C1667" s="4" t="n">
        <v>308.7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93.38175</v>
      </c>
      <c r="I1667" s="5" t="n">
        <v>406.9</v>
      </c>
      <c r="J1667" s="3" t="inlineStr">
        <is>
          <t>집현동</t>
        </is>
      </c>
    </row>
    <row r="1668">
      <c r="A1668" s="3" t="n">
        <v>2025</v>
      </c>
      <c r="B1668" s="4" t="n">
        <v>350000</v>
      </c>
      <c r="C1668" s="4" t="n">
        <v>1554</v>
      </c>
      <c r="D1668" s="3" t="inlineStr">
        <is>
          <t>집현동</t>
        </is>
      </c>
      <c r="E1668" s="3" t="inlineStr"/>
      <c r="F1668" s="3" t="inlineStr">
        <is>
          <t>제2종일반주거지역</t>
        </is>
      </c>
      <c r="G1668" s="3" t="inlineStr">
        <is>
          <t>종교용지</t>
        </is>
      </c>
      <c r="H1668" s="4" t="n">
        <v>470.085</v>
      </c>
      <c r="I1668" s="5" t="n">
        <v>744.5</v>
      </c>
      <c r="J1668" s="3" t="inlineStr">
        <is>
          <t>집현동</t>
        </is>
      </c>
    </row>
    <row r="1669">
      <c r="A1669" s="3" t="n">
        <v>2025</v>
      </c>
      <c r="B1669" s="4" t="n">
        <v>70000</v>
      </c>
      <c r="C1669" s="4" t="n">
        <v>3328.1</v>
      </c>
      <c r="D1669" s="3" t="inlineStr">
        <is>
          <t>연서면</t>
        </is>
      </c>
      <c r="E1669" s="3" t="inlineStr">
        <is>
          <t>쌍류리</t>
        </is>
      </c>
      <c r="F1669" s="3" t="inlineStr">
        <is>
          <t>생산관리지역</t>
        </is>
      </c>
      <c r="G1669" s="3" t="inlineStr">
        <is>
          <t>전</t>
        </is>
      </c>
      <c r="H1669" s="4" t="n">
        <v>1006.75025</v>
      </c>
      <c r="I1669" s="5" t="n">
        <v>69.5</v>
      </c>
      <c r="J1669" s="3" t="inlineStr">
        <is>
          <t>연서면</t>
        </is>
      </c>
    </row>
    <row r="1670">
      <c r="A1670" s="3" t="n">
        <v>2025</v>
      </c>
      <c r="B1670" s="4" t="n">
        <v>43926</v>
      </c>
      <c r="C1670" s="4" t="n">
        <v>753</v>
      </c>
      <c r="D1670" s="3" t="inlineStr">
        <is>
          <t>연동면</t>
        </is>
      </c>
      <c r="E1670" s="3" t="inlineStr">
        <is>
          <t>내판리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227.7825</v>
      </c>
      <c r="I1670" s="5" t="n">
        <v>192.8</v>
      </c>
      <c r="J1670" s="3" t="inlineStr">
        <is>
          <t>연동면</t>
        </is>
      </c>
    </row>
    <row r="1671">
      <c r="A1671" s="3" t="n">
        <v>2025</v>
      </c>
      <c r="B1671" s="4" t="n">
        <v>12775</v>
      </c>
      <c r="C1671" s="4" t="n">
        <v>219</v>
      </c>
      <c r="D1671" s="3" t="inlineStr">
        <is>
          <t>연동면</t>
        </is>
      </c>
      <c r="E1671" s="3" t="inlineStr">
        <is>
          <t>내판리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66.2475</v>
      </c>
      <c r="I1671" s="5" t="n">
        <v>192.8</v>
      </c>
      <c r="J1671" s="3" t="inlineStr">
        <is>
          <t>연동면</t>
        </is>
      </c>
    </row>
    <row r="1672">
      <c r="A1672" s="3" t="n">
        <v>2025</v>
      </c>
      <c r="B1672" s="4" t="n">
        <v>3500</v>
      </c>
      <c r="C1672" s="4" t="n">
        <v>60</v>
      </c>
      <c r="D1672" s="3" t="inlineStr">
        <is>
          <t>연동면</t>
        </is>
      </c>
      <c r="E1672" s="3" t="inlineStr">
        <is>
          <t>내판리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18.15</v>
      </c>
      <c r="I1672" s="5" t="n">
        <v>192.8</v>
      </c>
      <c r="J1672" s="3" t="inlineStr">
        <is>
          <t>연동면</t>
        </is>
      </c>
    </row>
    <row r="1673">
      <c r="A1673" s="3" t="n">
        <v>2024</v>
      </c>
      <c r="B1673" s="4" t="n">
        <v>5000</v>
      </c>
      <c r="C1673" s="4" t="n">
        <v>1924</v>
      </c>
      <c r="D1673" s="3" t="inlineStr">
        <is>
          <t>부강면</t>
        </is>
      </c>
      <c r="E1673" s="3" t="inlineStr">
        <is>
          <t>행산리</t>
        </is>
      </c>
      <c r="F1673" s="3" t="inlineStr">
        <is>
          <t>계획관리지역</t>
        </is>
      </c>
      <c r="G1673" s="3" t="inlineStr">
        <is>
          <t>답</t>
        </is>
      </c>
      <c r="H1673" s="4" t="n">
        <v>582.01</v>
      </c>
      <c r="I1673" s="5" t="n">
        <v>8.6</v>
      </c>
      <c r="J1673" s="3" t="inlineStr">
        <is>
          <t>부강면</t>
        </is>
      </c>
    </row>
    <row r="1674">
      <c r="A1674" s="3" t="n">
        <v>2024</v>
      </c>
      <c r="B1674" s="4" t="n">
        <v>5614</v>
      </c>
      <c r="C1674" s="4" t="n">
        <v>54</v>
      </c>
      <c r="D1674" s="3" t="inlineStr">
        <is>
          <t>조치원읍</t>
        </is>
      </c>
      <c r="E1674" s="3" t="inlineStr">
        <is>
          <t>평리</t>
        </is>
      </c>
      <c r="F1674" s="3" t="inlineStr">
        <is>
          <t>제2종일반주거지역</t>
        </is>
      </c>
      <c r="G1674" s="3" t="inlineStr">
        <is>
          <t>대</t>
        </is>
      </c>
      <c r="H1674" s="4" t="n">
        <v>16.335</v>
      </c>
      <c r="I1674" s="5" t="n">
        <v>343.7</v>
      </c>
      <c r="J1674" s="3" t="inlineStr">
        <is>
          <t>조치원읍</t>
        </is>
      </c>
    </row>
    <row r="1675">
      <c r="A1675" s="3" t="n">
        <v>2024</v>
      </c>
      <c r="B1675" s="4" t="n">
        <v>25000</v>
      </c>
      <c r="C1675" s="4" t="n">
        <v>2202.8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666.347</v>
      </c>
      <c r="I1675" s="5" t="n">
        <v>37.5</v>
      </c>
      <c r="J1675" s="3" t="inlineStr">
        <is>
          <t>연동면</t>
        </is>
      </c>
    </row>
    <row r="1676">
      <c r="A1676" s="3" t="n">
        <v>2024</v>
      </c>
      <c r="B1676" s="4" t="n">
        <v>182000</v>
      </c>
      <c r="C1676" s="4" t="n">
        <v>1041</v>
      </c>
      <c r="D1676" s="3" t="inlineStr">
        <is>
          <t>연동면</t>
        </is>
      </c>
      <c r="E1676" s="3" t="inlineStr">
        <is>
          <t>내판리</t>
        </is>
      </c>
      <c r="F1676" s="3" t="inlineStr">
        <is>
          <t>계획관리지역</t>
        </is>
      </c>
      <c r="G1676" s="3" t="inlineStr">
        <is>
          <t>잡종지</t>
        </is>
      </c>
      <c r="H1676" s="4" t="n">
        <v>314.9025</v>
      </c>
      <c r="I1676" s="5" t="n">
        <v>578</v>
      </c>
      <c r="J1676" s="3" t="inlineStr">
        <is>
          <t>연동면</t>
        </is>
      </c>
    </row>
    <row r="1677">
      <c r="A1677" s="3" t="n">
        <v>2024</v>
      </c>
      <c r="B1677" s="4" t="n">
        <v>13000</v>
      </c>
      <c r="C1677" s="4" t="n">
        <v>294</v>
      </c>
      <c r="D1677" s="3" t="inlineStr">
        <is>
          <t>조치원읍</t>
        </is>
      </c>
      <c r="E1677" s="3" t="inlineStr">
        <is>
          <t>서창리</t>
        </is>
      </c>
      <c r="F1677" s="3" t="inlineStr">
        <is>
          <t>제1종일반주거지역</t>
        </is>
      </c>
      <c r="G1677" s="3" t="inlineStr">
        <is>
          <t>대</t>
        </is>
      </c>
      <c r="H1677" s="4" t="n">
        <v>88.935</v>
      </c>
      <c r="I1677" s="5" t="n">
        <v>146.2</v>
      </c>
      <c r="J1677" s="3" t="inlineStr">
        <is>
          <t>조치원읍</t>
        </is>
      </c>
    </row>
    <row r="1678">
      <c r="A1678" s="3" t="n">
        <v>2023</v>
      </c>
      <c r="B1678" s="4" t="n">
        <v>5000</v>
      </c>
      <c r="C1678" s="4" t="n">
        <v>526</v>
      </c>
      <c r="D1678" s="3" t="inlineStr">
        <is>
          <t>연서면</t>
        </is>
      </c>
      <c r="E1678" s="3" t="inlineStr">
        <is>
          <t>쌍류리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159.115</v>
      </c>
      <c r="I1678" s="5" t="n">
        <v>31.4</v>
      </c>
      <c r="J1678" s="3" t="inlineStr">
        <is>
          <t>연서면</t>
        </is>
      </c>
    </row>
    <row r="1679">
      <c r="A1679" s="3" t="n">
        <v>2023</v>
      </c>
      <c r="B1679" s="4" t="n">
        <v>21351</v>
      </c>
      <c r="C1679" s="4" t="n">
        <v>178</v>
      </c>
      <c r="D1679" s="3" t="inlineStr">
        <is>
          <t>연동면</t>
        </is>
      </c>
      <c r="E1679" s="3" t="inlineStr">
        <is>
          <t>명학리</t>
        </is>
      </c>
      <c r="F1679" s="3" t="inlineStr">
        <is>
          <t>계획관리지역</t>
        </is>
      </c>
      <c r="G1679" s="3" t="inlineStr">
        <is>
          <t>잡종지</t>
        </is>
      </c>
      <c r="H1679" s="4" t="n">
        <v>53.845</v>
      </c>
      <c r="I1679" s="5" t="n">
        <v>396.5</v>
      </c>
      <c r="J1679" s="3" t="inlineStr">
        <is>
          <t>연동면</t>
        </is>
      </c>
    </row>
    <row r="1680">
      <c r="A1680" s="3" t="n">
        <v>2023</v>
      </c>
      <c r="B1680" s="4" t="n">
        <v>11348</v>
      </c>
      <c r="C1680" s="4" t="n">
        <v>95</v>
      </c>
      <c r="D1680" s="3" t="inlineStr">
        <is>
          <t>연동면</t>
        </is>
      </c>
      <c r="E1680" s="3" t="inlineStr">
        <is>
          <t>명학리</t>
        </is>
      </c>
      <c r="F1680" s="3" t="inlineStr">
        <is>
          <t>계획관리지역</t>
        </is>
      </c>
      <c r="G1680" s="3" t="inlineStr">
        <is>
          <t>잡종지</t>
        </is>
      </c>
      <c r="H1680" s="4" t="n">
        <v>28.7375</v>
      </c>
      <c r="I1680" s="5" t="n">
        <v>394.9</v>
      </c>
      <c r="J1680" s="3" t="inlineStr">
        <is>
          <t>연동면</t>
        </is>
      </c>
    </row>
    <row r="1681">
      <c r="A1681" s="3" t="n">
        <v>2023</v>
      </c>
      <c r="B1681" s="4" t="n">
        <v>64715</v>
      </c>
      <c r="C1681" s="4" t="n">
        <v>537</v>
      </c>
      <c r="D1681" s="3" t="inlineStr">
        <is>
          <t>연동면</t>
        </is>
      </c>
      <c r="E1681" s="3" t="inlineStr">
        <is>
          <t>명학리</t>
        </is>
      </c>
      <c r="F1681" s="3" t="inlineStr">
        <is>
          <t>계획관리지역</t>
        </is>
      </c>
      <c r="G1681" s="3" t="inlineStr">
        <is>
          <t>대</t>
        </is>
      </c>
      <c r="H1681" s="4" t="n">
        <v>162.4425</v>
      </c>
      <c r="I1681" s="5" t="n">
        <v>398.4</v>
      </c>
      <c r="J1681" s="3" t="inlineStr">
        <is>
          <t>연동면</t>
        </is>
      </c>
    </row>
    <row r="1682">
      <c r="A1682" s="3" t="n">
        <v>2023</v>
      </c>
      <c r="B1682" s="4" t="n">
        <v>34700</v>
      </c>
      <c r="C1682" s="4" t="n">
        <v>258</v>
      </c>
      <c r="D1682" s="3" t="inlineStr">
        <is>
          <t>조치원읍</t>
        </is>
      </c>
      <c r="E1682" s="3" t="inlineStr">
        <is>
          <t>서창리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78.045</v>
      </c>
      <c r="I1682" s="5" t="n">
        <v>444.6</v>
      </c>
      <c r="J1682" s="3" t="inlineStr">
        <is>
          <t>조치원읍</t>
        </is>
      </c>
    </row>
    <row r="1683">
      <c r="A1683" s="3" t="n">
        <v>2023</v>
      </c>
      <c r="B1683" s="4" t="n">
        <v>82800</v>
      </c>
      <c r="C1683" s="4" t="n">
        <v>348</v>
      </c>
      <c r="D1683" s="3" t="inlineStr">
        <is>
          <t>도담동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105.27</v>
      </c>
      <c r="I1683" s="5" t="n">
        <v>786.5</v>
      </c>
      <c r="J1683" s="3" t="inlineStr">
        <is>
          <t>도담동</t>
        </is>
      </c>
    </row>
    <row r="1684">
      <c r="A1684" s="3" t="n">
        <v>2023</v>
      </c>
      <c r="B1684" s="4" t="n">
        <v>30000</v>
      </c>
      <c r="C1684" s="4" t="n">
        <v>2185</v>
      </c>
      <c r="D1684" s="3" t="inlineStr">
        <is>
          <t>부강면</t>
        </is>
      </c>
      <c r="E1684" s="3" t="inlineStr">
        <is>
          <t>노호리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660.9625</v>
      </c>
      <c r="I1684" s="5" t="n">
        <v>45.4</v>
      </c>
      <c r="J1684" s="3" t="inlineStr">
        <is>
          <t>부강면</t>
        </is>
      </c>
    </row>
    <row r="1685">
      <c r="A1685" s="3" t="n">
        <v>2023</v>
      </c>
      <c r="B1685" s="4" t="n">
        <v>6000</v>
      </c>
      <c r="C1685" s="4" t="n">
        <v>400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자연녹지지역</t>
        </is>
      </c>
      <c r="G1685" s="3" t="inlineStr">
        <is>
          <t>전</t>
        </is>
      </c>
      <c r="H1685" s="4" t="n">
        <v>121</v>
      </c>
      <c r="I1685" s="5" t="n">
        <v>49.6</v>
      </c>
      <c r="J1685" s="3" t="inlineStr">
        <is>
          <t>연서면</t>
        </is>
      </c>
    </row>
    <row r="1686">
      <c r="A1686" s="3" t="n">
        <v>2023</v>
      </c>
      <c r="B1686" s="4" t="n">
        <v>31000</v>
      </c>
      <c r="C1686" s="4" t="n">
        <v>405</v>
      </c>
      <c r="D1686" s="3" t="inlineStr">
        <is>
          <t>연서면</t>
        </is>
      </c>
      <c r="E1686" s="3" t="inlineStr">
        <is>
          <t>와촌리</t>
        </is>
      </c>
      <c r="F1686" s="3" t="inlineStr">
        <is>
          <t>계획관리지역</t>
        </is>
      </c>
      <c r="G1686" s="3" t="inlineStr">
        <is>
          <t>전</t>
        </is>
      </c>
      <c r="H1686" s="4" t="n">
        <v>122.5125</v>
      </c>
      <c r="I1686" s="5" t="n">
        <v>253</v>
      </c>
      <c r="J1686" s="3" t="inlineStr">
        <is>
          <t>연서면</t>
        </is>
      </c>
    </row>
    <row r="1687">
      <c r="A1687" s="3" t="n">
        <v>2022</v>
      </c>
      <c r="B1687" s="4" t="n">
        <v>25000</v>
      </c>
      <c r="C1687" s="4" t="n">
        <v>631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190.8775</v>
      </c>
      <c r="I1687" s="5" t="n">
        <v>131</v>
      </c>
      <c r="J1687" s="3" t="inlineStr">
        <is>
          <t>연서면</t>
        </is>
      </c>
    </row>
    <row r="1688">
      <c r="A1688" s="3" t="n">
        <v>2022</v>
      </c>
      <c r="B1688" s="4" t="n">
        <v>211400</v>
      </c>
      <c r="C1688" s="4" t="n">
        <v>2410</v>
      </c>
      <c r="D1688" s="3" t="inlineStr">
        <is>
          <t>연동면</t>
        </is>
      </c>
      <c r="E1688" s="3" t="inlineStr">
        <is>
          <t>문주리</t>
        </is>
      </c>
      <c r="F1688" s="3" t="inlineStr">
        <is>
          <t>계획관리지역</t>
        </is>
      </c>
      <c r="G1688" s="3" t="inlineStr">
        <is>
          <t>답</t>
        </is>
      </c>
      <c r="H1688" s="4" t="n">
        <v>729.025</v>
      </c>
      <c r="I1688" s="5" t="n">
        <v>290</v>
      </c>
      <c r="J1688" s="3" t="inlineStr">
        <is>
          <t>연동면</t>
        </is>
      </c>
    </row>
    <row r="1689">
      <c r="A1689" s="3" t="n">
        <v>2022</v>
      </c>
      <c r="B1689" s="4" t="n">
        <v>39000</v>
      </c>
      <c r="C1689" s="4" t="n">
        <v>1078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326.095</v>
      </c>
      <c r="I1689" s="5" t="n">
        <v>119.6</v>
      </c>
      <c r="J1689" s="3" t="inlineStr">
        <is>
          <t>부강면</t>
        </is>
      </c>
    </row>
    <row r="1690">
      <c r="A1690" s="3" t="n">
        <v>2022</v>
      </c>
      <c r="B1690" s="4" t="n">
        <v>35000</v>
      </c>
      <c r="C1690" s="4" t="n">
        <v>973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294.3325</v>
      </c>
      <c r="I1690" s="5" t="n">
        <v>118.9</v>
      </c>
      <c r="J1690" s="3" t="inlineStr">
        <is>
          <t>부강면</t>
        </is>
      </c>
    </row>
    <row r="1691">
      <c r="A1691" s="3" t="n">
        <v>2022</v>
      </c>
      <c r="B1691" s="4" t="n">
        <v>6000</v>
      </c>
      <c r="C1691" s="4" t="n">
        <v>171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도로</t>
        </is>
      </c>
      <c r="H1691" s="4" t="n">
        <v>51.7275</v>
      </c>
      <c r="I1691" s="5" t="n">
        <v>116</v>
      </c>
      <c r="J1691" s="3" t="inlineStr">
        <is>
          <t>부강면</t>
        </is>
      </c>
    </row>
    <row r="1692">
      <c r="A1692" s="3" t="n">
        <v>2022</v>
      </c>
      <c r="B1692" s="4" t="n">
        <v>96500</v>
      </c>
      <c r="C1692" s="4" t="n">
        <v>427</v>
      </c>
      <c r="D1692" s="3" t="inlineStr">
        <is>
          <t>조치원읍</t>
        </is>
      </c>
      <c r="E1692" s="3" t="inlineStr">
        <is>
          <t>상리</t>
        </is>
      </c>
      <c r="F1692" s="3" t="inlineStr">
        <is>
          <t>일반상업지역</t>
        </is>
      </c>
      <c r="G1692" s="3" t="inlineStr">
        <is>
          <t>대</t>
        </is>
      </c>
      <c r="H1692" s="4" t="n">
        <v>129.1675</v>
      </c>
      <c r="I1692" s="5" t="n">
        <v>747.1</v>
      </c>
      <c r="J1692" s="3" t="inlineStr">
        <is>
          <t>조치원읍</t>
        </is>
      </c>
    </row>
    <row r="1693">
      <c r="A1693" s="3" t="n">
        <v>2022</v>
      </c>
      <c r="B1693" s="4" t="n">
        <v>142000</v>
      </c>
      <c r="C1693" s="4" t="n">
        <v>1423</v>
      </c>
      <c r="D1693" s="3" t="inlineStr">
        <is>
          <t>부강면</t>
        </is>
      </c>
      <c r="E1693" s="3" t="inlineStr">
        <is>
          <t>부강리</t>
        </is>
      </c>
      <c r="F1693" s="3" t="inlineStr">
        <is>
          <t>계획관리지역</t>
        </is>
      </c>
      <c r="G1693" s="3" t="inlineStr">
        <is>
          <t>공장용지</t>
        </is>
      </c>
      <c r="H1693" s="4" t="n">
        <v>430.4575</v>
      </c>
      <c r="I1693" s="5" t="n">
        <v>329.9</v>
      </c>
      <c r="J1693" s="3" t="inlineStr">
        <is>
          <t>부강면</t>
        </is>
      </c>
    </row>
    <row r="1694">
      <c r="A1694" s="3" t="n">
        <v>2022</v>
      </c>
      <c r="B1694" s="4" t="n">
        <v>56000</v>
      </c>
      <c r="C1694" s="4" t="n">
        <v>2106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637.0649999999999</v>
      </c>
      <c r="I1694" s="5" t="n">
        <v>87.90000000000001</v>
      </c>
      <c r="J1694" s="3" t="inlineStr">
        <is>
          <t>연서면</t>
        </is>
      </c>
    </row>
    <row r="1695">
      <c r="A1695" s="3" t="n">
        <v>2023</v>
      </c>
      <c r="B1695" s="4" t="n">
        <v>48000</v>
      </c>
      <c r="C1695" s="4" t="n">
        <v>425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계획관리지역</t>
        </is>
      </c>
      <c r="G1695" s="3" t="inlineStr">
        <is>
          <t>잡종지</t>
        </is>
      </c>
      <c r="H1695" s="4" t="n">
        <v>128.5625</v>
      </c>
      <c r="I1695" s="5" t="n">
        <v>373.4</v>
      </c>
      <c r="J1695" s="3" t="inlineStr">
        <is>
          <t>연동면</t>
        </is>
      </c>
    </row>
    <row r="1696">
      <c r="A1696" s="3" t="n">
        <v>2026</v>
      </c>
      <c r="B1696" s="4" t="n">
        <v>175</v>
      </c>
      <c r="C1696" s="4" t="n">
        <v>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계획관리지역</t>
        </is>
      </c>
      <c r="G1696" s="3" t="inlineStr">
        <is>
          <t>답</t>
        </is>
      </c>
      <c r="H1696" s="4" t="n">
        <v>0.605</v>
      </c>
      <c r="I1696" s="5" t="n">
        <v>289.3</v>
      </c>
      <c r="J1696" s="3" t="inlineStr">
        <is>
          <t>연서면</t>
        </is>
      </c>
    </row>
    <row r="1697">
      <c r="A1697" s="3" t="n">
        <v>2026</v>
      </c>
      <c r="B1697" s="4" t="n">
        <v>87500</v>
      </c>
      <c r="C1697" s="4" t="n">
        <v>1000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302.5</v>
      </c>
      <c r="I1697" s="5" t="n">
        <v>289.3</v>
      </c>
      <c r="J1697" s="3" t="inlineStr">
        <is>
          <t>연서면</t>
        </is>
      </c>
    </row>
    <row r="1698">
      <c r="A1698" s="3" t="n">
        <v>2026</v>
      </c>
      <c r="B1698" s="4" t="n">
        <v>34000</v>
      </c>
      <c r="C1698" s="4" t="n">
        <v>652</v>
      </c>
      <c r="D1698" s="3" t="inlineStr">
        <is>
          <t>연동면</t>
        </is>
      </c>
      <c r="E1698" s="3" t="inlineStr">
        <is>
          <t>합강리</t>
        </is>
      </c>
      <c r="F1698" s="3" t="inlineStr">
        <is>
          <t>보전관리지역</t>
        </is>
      </c>
      <c r="G1698" s="3" t="inlineStr">
        <is>
          <t>전</t>
        </is>
      </c>
      <c r="H1698" s="4" t="n">
        <v>197.23</v>
      </c>
      <c r="I1698" s="5" t="n">
        <v>172.4</v>
      </c>
      <c r="J1698" s="3" t="inlineStr">
        <is>
          <t>연동면</t>
        </is>
      </c>
    </row>
    <row r="1699">
      <c r="A1699" s="3" t="n">
        <v>2026</v>
      </c>
      <c r="B1699" s="4" t="n">
        <v>6000</v>
      </c>
      <c r="C1699" s="4" t="n">
        <v>1094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330.935</v>
      </c>
      <c r="I1699" s="5" t="n">
        <v>18.1</v>
      </c>
      <c r="J1699" s="3" t="inlineStr">
        <is>
          <t>부강면</t>
        </is>
      </c>
    </row>
    <row r="1700">
      <c r="A1700" s="3" t="n">
        <v>2026</v>
      </c>
      <c r="B1700" s="4" t="n">
        <v>1000</v>
      </c>
      <c r="C1700" s="4" t="n">
        <v>205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62.0125</v>
      </c>
      <c r="I1700" s="5" t="n">
        <v>16.1</v>
      </c>
      <c r="J1700" s="3" t="inlineStr">
        <is>
          <t>부강면</t>
        </is>
      </c>
    </row>
    <row r="1701">
      <c r="A1701" s="3" t="n">
        <v>2025</v>
      </c>
      <c r="B1701" s="4" t="n">
        <v>6000</v>
      </c>
      <c r="C1701" s="4" t="n">
        <v>46</v>
      </c>
      <c r="D1701" s="3" t="inlineStr">
        <is>
          <t>조치원읍</t>
        </is>
      </c>
      <c r="E1701" s="3" t="inlineStr">
        <is>
          <t>명리</t>
        </is>
      </c>
      <c r="F1701" s="3" t="inlineStr">
        <is>
          <t>제2종일반주거지역</t>
        </is>
      </c>
      <c r="G1701" s="3" t="inlineStr">
        <is>
          <t>대</t>
        </is>
      </c>
      <c r="H1701" s="4" t="n">
        <v>13.915</v>
      </c>
      <c r="I1701" s="5" t="n">
        <v>431.2</v>
      </c>
      <c r="J1701" s="3" t="inlineStr">
        <is>
          <t>조치원읍</t>
        </is>
      </c>
    </row>
    <row r="1702">
      <c r="A1702" s="3" t="n">
        <v>2025</v>
      </c>
      <c r="B1702" s="4" t="n">
        <v>45000</v>
      </c>
      <c r="C1702" s="4" t="n">
        <v>303.8</v>
      </c>
      <c r="D1702" s="3" t="inlineStr">
        <is>
          <t>아름동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91.8995</v>
      </c>
      <c r="I1702" s="5" t="n">
        <v>489.7</v>
      </c>
      <c r="J1702" s="3" t="inlineStr">
        <is>
          <t>아름동</t>
        </is>
      </c>
    </row>
    <row r="1703">
      <c r="A1703" s="3" t="n">
        <v>2025</v>
      </c>
      <c r="B1703" s="4" t="n">
        <v>77670</v>
      </c>
      <c r="C1703" s="4" t="n">
        <v>412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계획관리지역</t>
        </is>
      </c>
      <c r="G1703" s="3" t="inlineStr">
        <is>
          <t>대</t>
        </is>
      </c>
      <c r="H1703" s="4" t="n">
        <v>124.63</v>
      </c>
      <c r="I1703" s="5" t="n">
        <v>623.2</v>
      </c>
      <c r="J1703" s="3" t="inlineStr">
        <is>
          <t>연서면</t>
        </is>
      </c>
    </row>
    <row r="1704">
      <c r="A1704" s="3" t="n">
        <v>2025</v>
      </c>
      <c r="B1704" s="4" t="n">
        <v>17500</v>
      </c>
      <c r="C1704" s="4" t="n">
        <v>1157</v>
      </c>
      <c r="D1704" s="3" t="inlineStr">
        <is>
          <t>부강면</t>
        </is>
      </c>
      <c r="E1704" s="3" t="inlineStr">
        <is>
          <t>노호리</t>
        </is>
      </c>
      <c r="F1704" s="3" t="inlineStr">
        <is>
          <t>계획관리지역</t>
        </is>
      </c>
      <c r="G1704" s="3" t="inlineStr">
        <is>
          <t>임야</t>
        </is>
      </c>
      <c r="H1704" s="4" t="n">
        <v>349.9925</v>
      </c>
      <c r="I1704" s="5" t="n">
        <v>50</v>
      </c>
      <c r="J1704" s="3" t="inlineStr">
        <is>
          <t>부강면</t>
        </is>
      </c>
    </row>
    <row r="1705">
      <c r="A1705" s="3" t="n">
        <v>2025</v>
      </c>
      <c r="B1705" s="4" t="n">
        <v>52000</v>
      </c>
      <c r="C1705" s="4" t="n">
        <v>337</v>
      </c>
      <c r="D1705" s="3" t="inlineStr">
        <is>
          <t>고운동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101.9425</v>
      </c>
      <c r="I1705" s="5" t="n">
        <v>510.1</v>
      </c>
      <c r="J1705" s="3" t="inlineStr">
        <is>
          <t>고운동</t>
        </is>
      </c>
    </row>
    <row r="1706">
      <c r="A1706" s="3" t="n">
        <v>2025</v>
      </c>
      <c r="B1706" s="4" t="n">
        <v>15000</v>
      </c>
      <c r="C1706" s="4" t="n">
        <v>187</v>
      </c>
      <c r="D1706" s="3" t="inlineStr">
        <is>
          <t>조치원읍</t>
        </is>
      </c>
      <c r="E1706" s="3" t="inlineStr">
        <is>
          <t>명리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56.5675</v>
      </c>
      <c r="I1706" s="5" t="n">
        <v>265.2</v>
      </c>
      <c r="J1706" s="3" t="inlineStr">
        <is>
          <t>조치원읍</t>
        </is>
      </c>
    </row>
    <row r="1707">
      <c r="A1707" s="3" t="n">
        <v>2025</v>
      </c>
      <c r="B1707" s="4" t="n">
        <v>38000</v>
      </c>
      <c r="C1707" s="4" t="n">
        <v>331.8</v>
      </c>
      <c r="D1707" s="3" t="inlineStr">
        <is>
          <t>아름동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100.3695</v>
      </c>
      <c r="I1707" s="5" t="n">
        <v>378.6</v>
      </c>
      <c r="J1707" s="3" t="inlineStr">
        <is>
          <t>아름동</t>
        </is>
      </c>
    </row>
    <row r="1708">
      <c r="A1708" s="3" t="n">
        <v>2026</v>
      </c>
      <c r="B1708" s="4" t="n">
        <v>16063</v>
      </c>
      <c r="C1708" s="4" t="n">
        <v>450</v>
      </c>
      <c r="D1708" s="3" t="inlineStr">
        <is>
          <t>부강면</t>
        </is>
      </c>
      <c r="E1708" s="3" t="inlineStr">
        <is>
          <t>부강리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136.125</v>
      </c>
      <c r="I1708" s="5" t="n">
        <v>118</v>
      </c>
      <c r="J1708" s="3" t="inlineStr">
        <is>
          <t>부강면</t>
        </is>
      </c>
    </row>
    <row r="1709">
      <c r="A1709" s="3" t="n">
        <v>2026</v>
      </c>
      <c r="B1709" s="4" t="n">
        <v>48633</v>
      </c>
      <c r="C1709" s="4" t="n">
        <v>3740.9</v>
      </c>
      <c r="D1709" s="3" t="inlineStr">
        <is>
          <t>연동면</t>
        </is>
      </c>
      <c r="E1709" s="3" t="inlineStr">
        <is>
          <t>응암리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1131.62225</v>
      </c>
      <c r="I1709" s="5" t="n">
        <v>43</v>
      </c>
      <c r="J1709" s="3" t="inlineStr">
        <is>
          <t>연동면</t>
        </is>
      </c>
    </row>
    <row r="1710">
      <c r="A1710" s="3" t="n">
        <v>2026</v>
      </c>
      <c r="B1710" s="4" t="n">
        <v>229000</v>
      </c>
      <c r="C1710" s="4" t="n">
        <v>2410</v>
      </c>
      <c r="D1710" s="3" t="inlineStr">
        <is>
          <t>연동면</t>
        </is>
      </c>
      <c r="E1710" s="3" t="inlineStr">
        <is>
          <t>문주리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729.025</v>
      </c>
      <c r="I1710" s="5" t="n">
        <v>314.1</v>
      </c>
      <c r="J1710" s="3" t="inlineStr">
        <is>
          <t>연동면</t>
        </is>
      </c>
    </row>
    <row r="1711">
      <c r="A1711" s="3" t="n">
        <v>2026</v>
      </c>
      <c r="B1711" s="4" t="n">
        <v>58650</v>
      </c>
      <c r="C1711" s="4" t="n">
        <v>2985</v>
      </c>
      <c r="D1711" s="3" t="inlineStr">
        <is>
          <t>연서면</t>
        </is>
      </c>
      <c r="E1711" s="3" t="inlineStr">
        <is>
          <t>성제리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902.9625</v>
      </c>
      <c r="I1711" s="5" t="n">
        <v>65</v>
      </c>
      <c r="J1711" s="3" t="inlineStr">
        <is>
          <t>연서면</t>
        </is>
      </c>
    </row>
    <row r="1712">
      <c r="A1712" s="3" t="n">
        <v>2026</v>
      </c>
      <c r="B1712" s="4" t="n">
        <v>36316</v>
      </c>
      <c r="C1712" s="4" t="n">
        <v>2760.7</v>
      </c>
      <c r="D1712" s="3" t="inlineStr">
        <is>
          <t>연동면</t>
        </is>
      </c>
      <c r="E1712" s="3" t="inlineStr">
        <is>
          <t>송용리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835.1117499999999</v>
      </c>
      <c r="I1712" s="5" t="n">
        <v>43.5</v>
      </c>
      <c r="J1712" s="3" t="inlineStr">
        <is>
          <t>연동면</t>
        </is>
      </c>
    </row>
    <row r="1713">
      <c r="A1713" s="3" t="n">
        <v>2026</v>
      </c>
      <c r="B1713" s="4" t="n">
        <v>36111</v>
      </c>
      <c r="C1713" s="4" t="n">
        <v>2743.5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829.9087499999999</v>
      </c>
      <c r="I1713" s="5" t="n">
        <v>43.5</v>
      </c>
      <c r="J1713" s="3" t="inlineStr">
        <is>
          <t>연동면</t>
        </is>
      </c>
    </row>
    <row r="1714">
      <c r="A1714" s="3" t="n">
        <v>2026</v>
      </c>
      <c r="B1714" s="4" t="n">
        <v>48500</v>
      </c>
      <c r="C1714" s="4" t="n">
        <v>300.9</v>
      </c>
      <c r="D1714" s="3" t="inlineStr">
        <is>
          <t>해밀동</t>
        </is>
      </c>
      <c r="E1714" s="3" t="inlineStr"/>
      <c r="F1714" s="3" t="inlineStr">
        <is>
          <t>제1종전용주거지역</t>
        </is>
      </c>
      <c r="G1714" s="3" t="inlineStr">
        <is>
          <t>대</t>
        </is>
      </c>
      <c r="H1714" s="4" t="n">
        <v>91.02224999999999</v>
      </c>
      <c r="I1714" s="5" t="n">
        <v>532.8</v>
      </c>
      <c r="J1714" s="3" t="inlineStr">
        <is>
          <t>해밀동</t>
        </is>
      </c>
    </row>
    <row r="1715">
      <c r="A1715" s="3" t="n">
        <v>2026</v>
      </c>
      <c r="B1715" s="4" t="n">
        <v>6000</v>
      </c>
      <c r="C1715" s="4" t="n">
        <v>67</v>
      </c>
      <c r="D1715" s="3" t="inlineStr">
        <is>
          <t>연서면</t>
        </is>
      </c>
      <c r="E1715" s="3" t="inlineStr">
        <is>
          <t>국촌리</t>
        </is>
      </c>
      <c r="F1715" s="3" t="inlineStr">
        <is>
          <t>계획관리지역</t>
        </is>
      </c>
      <c r="G1715" s="3" t="inlineStr">
        <is>
          <t>과수원</t>
        </is>
      </c>
      <c r="H1715" s="4" t="n">
        <v>20.2675</v>
      </c>
      <c r="I1715" s="5" t="n">
        <v>296</v>
      </c>
      <c r="J1715" s="3" t="inlineStr">
        <is>
          <t>연서면</t>
        </is>
      </c>
    </row>
    <row r="1716">
      <c r="A1716" s="3" t="n">
        <v>2026</v>
      </c>
      <c r="B1716" s="4" t="n">
        <v>3950</v>
      </c>
      <c r="C1716" s="4" t="n">
        <v>238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71.995</v>
      </c>
      <c r="I1716" s="5" t="n">
        <v>54.9</v>
      </c>
      <c r="J1716" s="3" t="inlineStr">
        <is>
          <t>부강면</t>
        </is>
      </c>
    </row>
    <row r="1717">
      <c r="A1717" s="3" t="n">
        <v>2024</v>
      </c>
      <c r="B1717" s="4" t="n">
        <v>31033</v>
      </c>
      <c r="C1717" s="4" t="n">
        <v>698</v>
      </c>
      <c r="D1717" s="3" t="inlineStr">
        <is>
          <t>연동면</t>
        </is>
      </c>
      <c r="E1717" s="3" t="inlineStr">
        <is>
          <t>노송리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211.145</v>
      </c>
      <c r="I1717" s="5" t="n">
        <v>147</v>
      </c>
      <c r="J1717" s="3" t="inlineStr">
        <is>
          <t>연동면</t>
        </is>
      </c>
    </row>
    <row r="1718">
      <c r="A1718" s="3" t="n">
        <v>2024</v>
      </c>
      <c r="B1718" s="4" t="n">
        <v>3512</v>
      </c>
      <c r="C1718" s="4" t="n">
        <v>79</v>
      </c>
      <c r="D1718" s="3" t="inlineStr">
        <is>
          <t>연동면</t>
        </is>
      </c>
      <c r="E1718" s="3" t="inlineStr">
        <is>
          <t>노송리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23.8975</v>
      </c>
      <c r="I1718" s="5" t="n">
        <v>147</v>
      </c>
      <c r="J1718" s="3" t="inlineStr">
        <is>
          <t>연동면</t>
        </is>
      </c>
    </row>
    <row r="1719">
      <c r="A1719" s="3" t="n">
        <v>2024</v>
      </c>
      <c r="B1719" s="4" t="n">
        <v>4950</v>
      </c>
      <c r="C1719" s="4" t="n">
        <v>151</v>
      </c>
      <c r="D1719" s="3" t="inlineStr">
        <is>
          <t>연동면</t>
        </is>
      </c>
      <c r="E1719" s="3" t="inlineStr">
        <is>
          <t>명학리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45.6775</v>
      </c>
      <c r="I1719" s="5" t="n">
        <v>108.4</v>
      </c>
      <c r="J1719" s="3" t="inlineStr">
        <is>
          <t>연동면</t>
        </is>
      </c>
    </row>
    <row r="1720">
      <c r="A1720" s="3" t="n">
        <v>2024</v>
      </c>
      <c r="B1720" s="4" t="n">
        <v>68500</v>
      </c>
      <c r="C1720" s="4" t="n">
        <v>372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112.53</v>
      </c>
      <c r="I1720" s="5" t="n">
        <v>608.7</v>
      </c>
      <c r="J1720" s="3" t="inlineStr">
        <is>
          <t>조치원읍</t>
        </is>
      </c>
    </row>
    <row r="1721">
      <c r="A1721" s="3" t="n">
        <v>2024</v>
      </c>
      <c r="B1721" s="4" t="n">
        <v>137000</v>
      </c>
      <c r="C1721" s="4" t="n">
        <v>2297</v>
      </c>
      <c r="D1721" s="3" t="inlineStr">
        <is>
          <t>연서면</t>
        </is>
      </c>
      <c r="E1721" s="3" t="inlineStr">
        <is>
          <t>쌍전리</t>
        </is>
      </c>
      <c r="F1721" s="3" t="inlineStr">
        <is>
          <t>자연녹지지역</t>
        </is>
      </c>
      <c r="G1721" s="3" t="inlineStr">
        <is>
          <t>임야</t>
        </is>
      </c>
      <c r="H1721" s="4" t="n">
        <v>694.8425</v>
      </c>
      <c r="I1721" s="5" t="n">
        <v>197.2</v>
      </c>
      <c r="J1721" s="3" t="inlineStr">
        <is>
          <t>연서면</t>
        </is>
      </c>
    </row>
    <row r="1722">
      <c r="A1722" s="3" t="n">
        <v>2024</v>
      </c>
      <c r="B1722" s="4" t="n">
        <v>13000</v>
      </c>
      <c r="C1722" s="4" t="n">
        <v>224</v>
      </c>
      <c r="D1722" s="3" t="inlineStr">
        <is>
          <t>연서면</t>
        </is>
      </c>
      <c r="E1722" s="3" t="inlineStr">
        <is>
          <t>쌍전리</t>
        </is>
      </c>
      <c r="F1722" s="3" t="inlineStr">
        <is>
          <t>자연녹지지역</t>
        </is>
      </c>
      <c r="G1722" s="3" t="inlineStr">
        <is>
          <t>임야</t>
        </is>
      </c>
      <c r="H1722" s="4" t="n">
        <v>67.75999999999999</v>
      </c>
      <c r="I1722" s="5" t="n">
        <v>191.9</v>
      </c>
      <c r="J1722" s="3" t="inlineStr">
        <is>
          <t>연서면</t>
        </is>
      </c>
    </row>
    <row r="1723">
      <c r="A1723" s="3" t="n">
        <v>2024</v>
      </c>
      <c r="B1723" s="4" t="n">
        <v>42800</v>
      </c>
      <c r="C1723" s="4" t="n">
        <v>1345</v>
      </c>
      <c r="D1723" s="3" t="inlineStr">
        <is>
          <t>연서면</t>
        </is>
      </c>
      <c r="E1723" s="3" t="inlineStr">
        <is>
          <t>쌍전리</t>
        </is>
      </c>
      <c r="F1723" s="3" t="inlineStr">
        <is>
          <t>자연녹지지역</t>
        </is>
      </c>
      <c r="G1723" s="3" t="inlineStr">
        <is>
          <t>과수원</t>
        </is>
      </c>
      <c r="H1723" s="4" t="n">
        <v>406.8625</v>
      </c>
      <c r="I1723" s="5" t="n">
        <v>105.2</v>
      </c>
      <c r="J1723" s="3" t="inlineStr">
        <is>
          <t>연서면</t>
        </is>
      </c>
    </row>
    <row r="1724">
      <c r="A1724" s="3" t="n">
        <v>2024</v>
      </c>
      <c r="B1724" s="4" t="n">
        <v>87300</v>
      </c>
      <c r="C1724" s="4" t="n">
        <v>1580</v>
      </c>
      <c r="D1724" s="3" t="inlineStr">
        <is>
          <t>연서면</t>
        </is>
      </c>
      <c r="E1724" s="3" t="inlineStr">
        <is>
          <t>쌍전리</t>
        </is>
      </c>
      <c r="F1724" s="3" t="inlineStr">
        <is>
          <t>자연녹지지역</t>
        </is>
      </c>
      <c r="G1724" s="3" t="inlineStr">
        <is>
          <t>과수원</t>
        </is>
      </c>
      <c r="H1724" s="4" t="n">
        <v>477.95</v>
      </c>
      <c r="I1724" s="5" t="n">
        <v>182.7</v>
      </c>
      <c r="J1724" s="3" t="inlineStr">
        <is>
          <t>연서면</t>
        </is>
      </c>
    </row>
    <row r="1725">
      <c r="A1725" s="3" t="n">
        <v>2026</v>
      </c>
      <c r="B1725" s="4" t="n">
        <v>11000</v>
      </c>
      <c r="C1725" s="4" t="n">
        <v>945</v>
      </c>
      <c r="D1725" s="3" t="inlineStr">
        <is>
          <t>부강면</t>
        </is>
      </c>
      <c r="E1725" s="3" t="inlineStr">
        <is>
          <t>등곡리</t>
        </is>
      </c>
      <c r="F1725" s="3" t="inlineStr">
        <is>
          <t>계획관리지역</t>
        </is>
      </c>
      <c r="G1725" s="3" t="inlineStr">
        <is>
          <t>전</t>
        </is>
      </c>
      <c r="H1725" s="4" t="n">
        <v>285.8625</v>
      </c>
      <c r="I1725" s="5" t="n">
        <v>38.5</v>
      </c>
      <c r="J1725" s="3" t="inlineStr">
        <is>
          <t>부강면</t>
        </is>
      </c>
    </row>
    <row r="1726">
      <c r="A1726" s="3" t="n">
        <v>2026</v>
      </c>
      <c r="B1726" s="4" t="n">
        <v>59200</v>
      </c>
      <c r="C1726" s="4" t="n">
        <v>2646</v>
      </c>
      <c r="D1726" s="3" t="inlineStr">
        <is>
          <t>연동면</t>
        </is>
      </c>
      <c r="E1726" s="3" t="inlineStr">
        <is>
          <t>송용리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800.415</v>
      </c>
      <c r="I1726" s="5" t="n">
        <v>74</v>
      </c>
      <c r="J1726" s="3" t="inlineStr">
        <is>
          <t>연동면</t>
        </is>
      </c>
    </row>
    <row r="1727">
      <c r="A1727" s="3" t="n">
        <v>2026</v>
      </c>
      <c r="B1727" s="4" t="n">
        <v>41000</v>
      </c>
      <c r="C1727" s="4" t="n">
        <v>1108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자연녹지지역</t>
        </is>
      </c>
      <c r="G1727" s="3" t="inlineStr">
        <is>
          <t>대</t>
        </is>
      </c>
      <c r="H1727" s="4" t="n">
        <v>335.17</v>
      </c>
      <c r="I1727" s="5" t="n">
        <v>122.3</v>
      </c>
      <c r="J1727" s="3" t="inlineStr">
        <is>
          <t>연서면</t>
        </is>
      </c>
    </row>
    <row r="1728">
      <c r="A1728" s="3" t="n">
        <v>2026</v>
      </c>
      <c r="B1728" s="4" t="n">
        <v>10800</v>
      </c>
      <c r="C1728" s="4" t="n">
        <v>893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270.1325</v>
      </c>
      <c r="I1728" s="5" t="n">
        <v>40</v>
      </c>
      <c r="J1728" s="3" t="inlineStr">
        <is>
          <t>연동면</t>
        </is>
      </c>
    </row>
    <row r="1729">
      <c r="A1729" s="3" t="n">
        <v>2026</v>
      </c>
      <c r="B1729" s="4" t="n">
        <v>65300</v>
      </c>
      <c r="C1729" s="4" t="n">
        <v>2921.4</v>
      </c>
      <c r="D1729" s="3" t="inlineStr">
        <is>
          <t>연동면</t>
        </is>
      </c>
      <c r="E1729" s="3" t="inlineStr">
        <is>
          <t>송용리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883.7235000000001</v>
      </c>
      <c r="I1729" s="5" t="n">
        <v>73.90000000000001</v>
      </c>
      <c r="J1729" s="3" t="inlineStr">
        <is>
          <t>연동면</t>
        </is>
      </c>
    </row>
    <row r="1730">
      <c r="A1730" s="3" t="n">
        <v>2026</v>
      </c>
      <c r="B1730" s="4" t="n">
        <v>107600</v>
      </c>
      <c r="C1730" s="4" t="n">
        <v>2152</v>
      </c>
      <c r="D1730" s="3" t="inlineStr">
        <is>
          <t>연서면</t>
        </is>
      </c>
      <c r="E1730" s="3" t="inlineStr">
        <is>
          <t>성제리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650.98</v>
      </c>
      <c r="I1730" s="5" t="n">
        <v>165.3</v>
      </c>
      <c r="J1730" s="3" t="inlineStr">
        <is>
          <t>연서면</t>
        </is>
      </c>
    </row>
    <row r="1731">
      <c r="A1731" s="3" t="n">
        <v>2026</v>
      </c>
      <c r="B1731" s="4" t="n">
        <v>285956</v>
      </c>
      <c r="C1731" s="4" t="n">
        <v>6809</v>
      </c>
      <c r="D1731" s="3" t="inlineStr">
        <is>
          <t>연서면</t>
        </is>
      </c>
      <c r="E1731" s="3" t="inlineStr">
        <is>
          <t>성제리</t>
        </is>
      </c>
      <c r="F1731" s="3" t="inlineStr">
        <is>
          <t>자연녹지지역</t>
        </is>
      </c>
      <c r="G1731" s="3" t="inlineStr">
        <is>
          <t>임야</t>
        </is>
      </c>
      <c r="H1731" s="4" t="n">
        <v>2059.7225</v>
      </c>
      <c r="I1731" s="5" t="n">
        <v>138.8</v>
      </c>
      <c r="J1731" s="3" t="inlineStr">
        <is>
          <t>연서면</t>
        </is>
      </c>
    </row>
    <row r="1732">
      <c r="A1732" s="3" t="n">
        <v>2026</v>
      </c>
      <c r="B1732" s="4" t="n">
        <v>51545</v>
      </c>
      <c r="C1732" s="4" t="n">
        <v>845</v>
      </c>
      <c r="D1732" s="3" t="inlineStr">
        <is>
          <t>연서면</t>
        </is>
      </c>
      <c r="E1732" s="3" t="inlineStr">
        <is>
          <t>성제리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255.6125</v>
      </c>
      <c r="I1732" s="5" t="n">
        <v>201.7</v>
      </c>
      <c r="J1732" s="3" t="inlineStr">
        <is>
          <t>연서면</t>
        </is>
      </c>
    </row>
    <row r="1733">
      <c r="A1733" s="3" t="n">
        <v>2026</v>
      </c>
      <c r="B1733" s="4" t="n">
        <v>4074</v>
      </c>
      <c r="C1733" s="4" t="n">
        <v>97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자연녹지지역</t>
        </is>
      </c>
      <c r="G1733" s="3" t="inlineStr">
        <is>
          <t>임야</t>
        </is>
      </c>
      <c r="H1733" s="4" t="n">
        <v>29.3425</v>
      </c>
      <c r="I1733" s="5" t="n">
        <v>138.8</v>
      </c>
      <c r="J1733" s="3" t="inlineStr">
        <is>
          <t>연서면</t>
        </is>
      </c>
    </row>
    <row r="1734">
      <c r="A1734" s="3" t="n">
        <v>2026</v>
      </c>
      <c r="B1734" s="4" t="n">
        <v>825</v>
      </c>
      <c r="C1734" s="4" t="n">
        <v>15</v>
      </c>
      <c r="D1734" s="3" t="inlineStr">
        <is>
          <t>연서면</t>
        </is>
      </c>
      <c r="E1734" s="3" t="inlineStr">
        <is>
          <t>성제리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4.5375</v>
      </c>
      <c r="I1734" s="5" t="n">
        <v>181.8</v>
      </c>
      <c r="J1734" s="3" t="inlineStr">
        <is>
          <t>연서면</t>
        </is>
      </c>
    </row>
    <row r="1735">
      <c r="A1735" s="3" t="n">
        <v>2026</v>
      </c>
      <c r="B1735" s="4" t="n">
        <v>5000</v>
      </c>
      <c r="C1735" s="4" t="n">
        <v>81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자연녹지지역</t>
        </is>
      </c>
      <c r="G1735" s="3" t="inlineStr">
        <is>
          <t>답</t>
        </is>
      </c>
      <c r="H1735" s="4" t="n">
        <v>24.5025</v>
      </c>
      <c r="I1735" s="5" t="n">
        <v>204.1</v>
      </c>
      <c r="J1735" s="3" t="inlineStr">
        <is>
          <t>연서면</t>
        </is>
      </c>
    </row>
    <row r="1736">
      <c r="A1736" s="3" t="n">
        <v>2025</v>
      </c>
      <c r="B1736" s="4" t="n">
        <v>55000</v>
      </c>
      <c r="C1736" s="4" t="n">
        <v>2180</v>
      </c>
      <c r="D1736" s="3" t="inlineStr">
        <is>
          <t>연서면</t>
        </is>
      </c>
      <c r="E1736" s="3" t="inlineStr">
        <is>
          <t>성제리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659.4499999999999</v>
      </c>
      <c r="I1736" s="5" t="n">
        <v>83.40000000000001</v>
      </c>
      <c r="J1736" s="3" t="inlineStr">
        <is>
          <t>연서면</t>
        </is>
      </c>
    </row>
    <row r="1737">
      <c r="A1737" s="3" t="n">
        <v>2025</v>
      </c>
      <c r="B1737" s="4" t="n">
        <v>12000</v>
      </c>
      <c r="C1737" s="4" t="n">
        <v>51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제2종일반주거지역</t>
        </is>
      </c>
      <c r="G1737" s="3" t="inlineStr">
        <is>
          <t>대</t>
        </is>
      </c>
      <c r="H1737" s="4" t="n">
        <v>15.4275</v>
      </c>
      <c r="I1737" s="5" t="n">
        <v>777.8</v>
      </c>
      <c r="J1737" s="3" t="inlineStr">
        <is>
          <t>조치원읍</t>
        </is>
      </c>
    </row>
    <row r="1738">
      <c r="A1738" s="3" t="n">
        <v>2025</v>
      </c>
      <c r="B1738" s="4" t="n">
        <v>26700</v>
      </c>
      <c r="C1738" s="4" t="n">
        <v>635</v>
      </c>
      <c r="D1738" s="3" t="inlineStr">
        <is>
          <t>연서면</t>
        </is>
      </c>
      <c r="E1738" s="3" t="inlineStr">
        <is>
          <t>와촌리</t>
        </is>
      </c>
      <c r="F1738" s="3" t="inlineStr">
        <is>
          <t>계획관리지역</t>
        </is>
      </c>
      <c r="G1738" s="3" t="inlineStr">
        <is>
          <t>전</t>
        </is>
      </c>
      <c r="H1738" s="4" t="n">
        <v>192.0875</v>
      </c>
      <c r="I1738" s="5" t="n">
        <v>139</v>
      </c>
      <c r="J1738" s="3" t="inlineStr">
        <is>
          <t>연서면</t>
        </is>
      </c>
    </row>
    <row r="1739">
      <c r="A1739" s="3" t="n">
        <v>2025</v>
      </c>
      <c r="B1739" s="4" t="n">
        <v>152800</v>
      </c>
      <c r="C1739" s="4" t="n">
        <v>8782</v>
      </c>
      <c r="D1739" s="3" t="inlineStr">
        <is>
          <t>연서면</t>
        </is>
      </c>
      <c r="E1739" s="3" t="inlineStr">
        <is>
          <t>와촌리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2656.555</v>
      </c>
      <c r="I1739" s="5" t="n">
        <v>57.5</v>
      </c>
      <c r="J1739" s="3" t="inlineStr">
        <is>
          <t>연서면</t>
        </is>
      </c>
    </row>
    <row r="1740">
      <c r="A1740" s="3" t="n">
        <v>2025</v>
      </c>
      <c r="B1740" s="4" t="n">
        <v>74400</v>
      </c>
      <c r="C1740" s="4" t="n">
        <v>4463</v>
      </c>
      <c r="D1740" s="3" t="inlineStr">
        <is>
          <t>연서면</t>
        </is>
      </c>
      <c r="E1740" s="3" t="inlineStr">
        <is>
          <t>와촌리</t>
        </is>
      </c>
      <c r="F1740" s="3" t="inlineStr">
        <is>
          <t>계획관리지역</t>
        </is>
      </c>
      <c r="G1740" s="3" t="inlineStr">
        <is>
          <t>임야</t>
        </is>
      </c>
      <c r="H1740" s="4" t="n">
        <v>1350.0575</v>
      </c>
      <c r="I1740" s="5" t="n">
        <v>55.1</v>
      </c>
      <c r="J1740" s="3" t="inlineStr">
        <is>
          <t>연서면</t>
        </is>
      </c>
    </row>
    <row r="1741">
      <c r="A1741" s="3" t="n">
        <v>2025</v>
      </c>
      <c r="B1741" s="4" t="n">
        <v>195400</v>
      </c>
      <c r="C1741" s="4" t="n">
        <v>11710</v>
      </c>
      <c r="D1741" s="3" t="inlineStr">
        <is>
          <t>연서면</t>
        </is>
      </c>
      <c r="E1741" s="3" t="inlineStr">
        <is>
          <t>와촌리</t>
        </is>
      </c>
      <c r="F1741" s="3" t="inlineStr">
        <is>
          <t>계획관리지역</t>
        </is>
      </c>
      <c r="G1741" s="3" t="inlineStr">
        <is>
          <t>임야</t>
        </is>
      </c>
      <c r="H1741" s="4" t="n">
        <v>3542.275</v>
      </c>
      <c r="I1741" s="5" t="n">
        <v>55.2</v>
      </c>
      <c r="J1741" s="3" t="inlineStr">
        <is>
          <t>연서면</t>
        </is>
      </c>
    </row>
    <row r="1742">
      <c r="A1742" s="3" t="n">
        <v>2025</v>
      </c>
      <c r="B1742" s="4" t="n">
        <v>25700</v>
      </c>
      <c r="C1742" s="4" t="n">
        <v>1487</v>
      </c>
      <c r="D1742" s="3" t="inlineStr">
        <is>
          <t>연서면</t>
        </is>
      </c>
      <c r="E1742" s="3" t="inlineStr">
        <is>
          <t>와촌리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449.8175</v>
      </c>
      <c r="I1742" s="5" t="n">
        <v>57.1</v>
      </c>
      <c r="J1742" s="3" t="inlineStr">
        <is>
          <t>연서면</t>
        </is>
      </c>
    </row>
    <row r="1743">
      <c r="A1743" s="3" t="n">
        <v>2025</v>
      </c>
      <c r="B1743" s="4" t="n">
        <v>13300</v>
      </c>
      <c r="C1743" s="4" t="n">
        <v>200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답</t>
        </is>
      </c>
      <c r="H1743" s="4" t="n">
        <v>60.5</v>
      </c>
      <c r="I1743" s="5" t="n">
        <v>219.8</v>
      </c>
      <c r="J1743" s="3" t="inlineStr">
        <is>
          <t>연동면</t>
        </is>
      </c>
    </row>
    <row r="1744">
      <c r="A1744" s="3" t="n">
        <v>2024</v>
      </c>
      <c r="B1744" s="4" t="n">
        <v>60000</v>
      </c>
      <c r="C1744" s="4" t="n">
        <v>326</v>
      </c>
      <c r="D1744" s="3" t="inlineStr">
        <is>
          <t>해밀동</t>
        </is>
      </c>
      <c r="E1744" s="3" t="inlineStr"/>
      <c r="F1744" s="3" t="inlineStr">
        <is>
          <t>기타</t>
        </is>
      </c>
      <c r="G1744" s="3" t="inlineStr">
        <is>
          <t>대</t>
        </is>
      </c>
      <c r="H1744" s="4" t="n">
        <v>98.61499999999999</v>
      </c>
      <c r="I1744" s="5" t="n">
        <v>608.4</v>
      </c>
      <c r="J1744" s="3" t="inlineStr">
        <is>
          <t>해밀동</t>
        </is>
      </c>
    </row>
    <row r="1745">
      <c r="A1745" s="3" t="n">
        <v>2024</v>
      </c>
      <c r="B1745" s="4" t="n">
        <v>50000</v>
      </c>
      <c r="C1745" s="4" t="n">
        <v>322</v>
      </c>
      <c r="D1745" s="3" t="inlineStr">
        <is>
          <t>반곡동</t>
        </is>
      </c>
      <c r="E1745" s="3" t="inlineStr"/>
      <c r="F1745" s="3" t="inlineStr">
        <is>
          <t>제1종전용주거지역</t>
        </is>
      </c>
      <c r="G1745" s="3" t="inlineStr">
        <is>
          <t>대</t>
        </is>
      </c>
      <c r="H1745" s="4" t="n">
        <v>97.405</v>
      </c>
      <c r="I1745" s="5" t="n">
        <v>513.3</v>
      </c>
      <c r="J1745" s="3" t="inlineStr">
        <is>
          <t>반곡동</t>
        </is>
      </c>
    </row>
    <row r="1746">
      <c r="A1746" s="3" t="n">
        <v>2024</v>
      </c>
      <c r="B1746" s="4" t="n">
        <v>24350</v>
      </c>
      <c r="C1746" s="4" t="n">
        <v>256</v>
      </c>
      <c r="D1746" s="3" t="inlineStr">
        <is>
          <t>집현동</t>
        </is>
      </c>
      <c r="E1746" s="3" t="inlineStr"/>
      <c r="F1746" s="3" t="inlineStr">
        <is>
          <t>기타</t>
        </is>
      </c>
      <c r="G1746" s="3" t="inlineStr">
        <is>
          <t>대</t>
        </is>
      </c>
      <c r="H1746" s="4" t="n">
        <v>77.44</v>
      </c>
      <c r="I1746" s="5" t="n">
        <v>314.4</v>
      </c>
      <c r="J1746" s="3" t="inlineStr">
        <is>
          <t>집현동</t>
        </is>
      </c>
    </row>
    <row r="1747">
      <c r="A1747" s="3" t="n">
        <v>2024</v>
      </c>
      <c r="B1747" s="4" t="n">
        <v>49400</v>
      </c>
      <c r="C1747" s="4" t="n">
        <v>358.7</v>
      </c>
      <c r="D1747" s="3" t="inlineStr">
        <is>
          <t>고운동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108.50675</v>
      </c>
      <c r="I1747" s="5" t="n">
        <v>455.3</v>
      </c>
      <c r="J1747" s="3" t="inlineStr">
        <is>
          <t>고운동</t>
        </is>
      </c>
    </row>
    <row r="1748">
      <c r="A1748" s="3" t="n">
        <v>2023</v>
      </c>
      <c r="B1748" s="4" t="n">
        <v>60000</v>
      </c>
      <c r="C1748" s="4" t="n">
        <v>2985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902.9625</v>
      </c>
      <c r="I1748" s="5" t="n">
        <v>66.40000000000001</v>
      </c>
      <c r="J1748" s="3" t="inlineStr">
        <is>
          <t>연서면</t>
        </is>
      </c>
    </row>
    <row r="1749">
      <c r="A1749" s="3" t="n">
        <v>2023</v>
      </c>
      <c r="B1749" s="4" t="n">
        <v>45590</v>
      </c>
      <c r="C1749" s="4" t="n">
        <v>320.7</v>
      </c>
      <c r="D1749" s="3" t="inlineStr">
        <is>
          <t>조치원읍</t>
        </is>
      </c>
      <c r="E1749" s="3" t="inlineStr">
        <is>
          <t>침산리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97.01174999999999</v>
      </c>
      <c r="I1749" s="5" t="n">
        <v>469.9</v>
      </c>
      <c r="J1749" s="3" t="inlineStr">
        <is>
          <t>조치원읍</t>
        </is>
      </c>
    </row>
    <row r="1750">
      <c r="A1750" s="3" t="n">
        <v>2023</v>
      </c>
      <c r="B1750" s="4" t="n">
        <v>68858</v>
      </c>
      <c r="C1750" s="4" t="n">
        <v>1669</v>
      </c>
      <c r="D1750" s="3" t="inlineStr">
        <is>
          <t>부강면</t>
        </is>
      </c>
      <c r="E1750" s="3" t="inlineStr">
        <is>
          <t>문곡리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504.8725</v>
      </c>
      <c r="I1750" s="5" t="n">
        <v>136.4</v>
      </c>
      <c r="J1750" s="3" t="inlineStr">
        <is>
          <t>부강면</t>
        </is>
      </c>
    </row>
    <row r="1751">
      <c r="A1751" s="3" t="n">
        <v>2023</v>
      </c>
      <c r="B1751" s="4" t="n">
        <v>49142</v>
      </c>
      <c r="C1751" s="4" t="n">
        <v>1024</v>
      </c>
      <c r="D1751" s="3" t="inlineStr">
        <is>
          <t>부강면</t>
        </is>
      </c>
      <c r="E1751" s="3" t="inlineStr">
        <is>
          <t>문곡리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309.76</v>
      </c>
      <c r="I1751" s="5" t="n">
        <v>158.6</v>
      </c>
      <c r="J1751" s="3" t="inlineStr">
        <is>
          <t>부강면</t>
        </is>
      </c>
    </row>
    <row r="1752">
      <c r="A1752" s="3" t="n">
        <v>2023</v>
      </c>
      <c r="B1752" s="4" t="n">
        <v>56900</v>
      </c>
      <c r="C1752" s="4" t="n">
        <v>2889</v>
      </c>
      <c r="D1752" s="3" t="inlineStr">
        <is>
          <t>연서면</t>
        </is>
      </c>
      <c r="E1752" s="3" t="inlineStr">
        <is>
          <t>신대리</t>
        </is>
      </c>
      <c r="F1752" s="3" t="inlineStr">
        <is>
          <t>생산관리지역</t>
        </is>
      </c>
      <c r="G1752" s="3" t="inlineStr">
        <is>
          <t>답</t>
        </is>
      </c>
      <c r="H1752" s="4" t="n">
        <v>873.9225</v>
      </c>
      <c r="I1752" s="5" t="n">
        <v>65.09999999999999</v>
      </c>
      <c r="J1752" s="3" t="inlineStr">
        <is>
          <t>연서면</t>
        </is>
      </c>
    </row>
    <row r="1753">
      <c r="A1753" s="3" t="n">
        <v>2023</v>
      </c>
      <c r="B1753" s="4" t="n">
        <v>46000</v>
      </c>
      <c r="C1753" s="4" t="n">
        <v>295.1</v>
      </c>
      <c r="D1753" s="3" t="inlineStr">
        <is>
          <t>고운동</t>
        </is>
      </c>
      <c r="E1753" s="3" t="inlineStr"/>
      <c r="F1753" s="3" t="inlineStr">
        <is>
          <t>제1종전용주거지역</t>
        </is>
      </c>
      <c r="G1753" s="3" t="inlineStr">
        <is>
          <t>대</t>
        </is>
      </c>
      <c r="H1753" s="4" t="n">
        <v>89.26775000000001</v>
      </c>
      <c r="I1753" s="5" t="n">
        <v>515.3</v>
      </c>
      <c r="J1753" s="3" t="inlineStr">
        <is>
          <t>고운동</t>
        </is>
      </c>
    </row>
    <row r="1754">
      <c r="A1754" s="3" t="n">
        <v>2023</v>
      </c>
      <c r="B1754" s="4" t="n">
        <v>61650</v>
      </c>
      <c r="C1754" s="4" t="n">
        <v>2265</v>
      </c>
      <c r="D1754" s="3" t="inlineStr">
        <is>
          <t>연서면</t>
        </is>
      </c>
      <c r="E1754" s="3" t="inlineStr">
        <is>
          <t>국촌리</t>
        </is>
      </c>
      <c r="F1754" s="3" t="inlineStr">
        <is>
          <t>농림지역</t>
        </is>
      </c>
      <c r="G1754" s="3" t="inlineStr">
        <is>
          <t>과수원</t>
        </is>
      </c>
      <c r="H1754" s="4" t="n">
        <v>685.1625</v>
      </c>
      <c r="I1754" s="5" t="n">
        <v>90</v>
      </c>
      <c r="J1754" s="3" t="inlineStr">
        <is>
          <t>연서면</t>
        </is>
      </c>
    </row>
    <row r="1755">
      <c r="A1755" s="3" t="n">
        <v>2023</v>
      </c>
      <c r="B1755" s="4" t="n">
        <v>36000</v>
      </c>
      <c r="C1755" s="4" t="n">
        <v>1041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314.9025</v>
      </c>
      <c r="I1755" s="5" t="n">
        <v>114.3</v>
      </c>
      <c r="J1755" s="3" t="inlineStr">
        <is>
          <t>연서면</t>
        </is>
      </c>
    </row>
    <row r="1756">
      <c r="A1756" s="3" t="n">
        <v>2023</v>
      </c>
      <c r="B1756" s="4" t="n">
        <v>16410</v>
      </c>
      <c r="C1756" s="4" t="n">
        <v>162</v>
      </c>
      <c r="D1756" s="3" t="inlineStr">
        <is>
          <t>반곡동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49.005</v>
      </c>
      <c r="I1756" s="5" t="n">
        <v>334.9</v>
      </c>
      <c r="J1756" s="3" t="inlineStr">
        <is>
          <t>반곡동</t>
        </is>
      </c>
    </row>
    <row r="1757">
      <c r="A1757" s="3" t="n">
        <v>2022</v>
      </c>
      <c r="B1757" s="4" t="n">
        <v>71000</v>
      </c>
      <c r="C1757" s="4" t="n">
        <v>285.9</v>
      </c>
      <c r="D1757" s="3" t="inlineStr">
        <is>
          <t>아름동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86.48474999999999</v>
      </c>
      <c r="I1757" s="5" t="n">
        <v>821</v>
      </c>
      <c r="J1757" s="3" t="inlineStr">
        <is>
          <t>아름동</t>
        </is>
      </c>
    </row>
    <row r="1758">
      <c r="A1758" s="3" t="n">
        <v>2022</v>
      </c>
      <c r="B1758" s="4" t="n">
        <v>75500</v>
      </c>
      <c r="C1758" s="4" t="n">
        <v>303.1</v>
      </c>
      <c r="D1758" s="3" t="inlineStr">
        <is>
          <t>한솔동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91.68775000000001</v>
      </c>
      <c r="I1758" s="5" t="n">
        <v>823.4</v>
      </c>
      <c r="J1758" s="3" t="inlineStr">
        <is>
          <t>한솔동</t>
        </is>
      </c>
    </row>
    <row r="1759">
      <c r="A1759" s="3" t="n">
        <v>2024</v>
      </c>
      <c r="B1759" s="4" t="n">
        <v>1650</v>
      </c>
      <c r="C1759" s="4" t="n">
        <v>30</v>
      </c>
      <c r="D1759" s="3" t="inlineStr">
        <is>
          <t>연서면</t>
        </is>
      </c>
      <c r="E1759" s="3" t="inlineStr">
        <is>
          <t>쌍전리</t>
        </is>
      </c>
      <c r="F1759" s="3" t="inlineStr">
        <is>
          <t>자연녹지지역</t>
        </is>
      </c>
      <c r="G1759" s="3" t="inlineStr">
        <is>
          <t>전</t>
        </is>
      </c>
      <c r="H1759" s="4" t="n">
        <v>9.074999999999999</v>
      </c>
      <c r="I1759" s="5" t="n">
        <v>181.8</v>
      </c>
      <c r="J1759" s="3" t="inlineStr">
        <is>
          <t>연서면</t>
        </is>
      </c>
    </row>
    <row r="1760">
      <c r="A1760" s="3" t="n">
        <v>2025</v>
      </c>
      <c r="B1760" s="4" t="n">
        <v>104500</v>
      </c>
      <c r="C1760" s="4" t="n">
        <v>397.3</v>
      </c>
      <c r="D1760" s="3" t="inlineStr">
        <is>
          <t>한솔동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120.18325</v>
      </c>
      <c r="I1760" s="5" t="n">
        <v>869.5</v>
      </c>
      <c r="J1760" s="3" t="inlineStr">
        <is>
          <t>한솔동</t>
        </is>
      </c>
    </row>
    <row r="1761">
      <c r="A1761" s="3" t="n">
        <v>2025</v>
      </c>
      <c r="B1761" s="4" t="n">
        <v>48450</v>
      </c>
      <c r="C1761" s="4" t="n">
        <v>317.2</v>
      </c>
      <c r="D1761" s="3" t="inlineStr">
        <is>
          <t>고운동</t>
        </is>
      </c>
      <c r="E1761" s="3" t="inlineStr"/>
      <c r="F1761" s="3" t="inlineStr">
        <is>
          <t>제1종전용주거지역</t>
        </is>
      </c>
      <c r="G1761" s="3" t="inlineStr">
        <is>
          <t>대</t>
        </is>
      </c>
      <c r="H1761" s="4" t="n">
        <v>95.95299999999999</v>
      </c>
      <c r="I1761" s="5" t="n">
        <v>504.9</v>
      </c>
      <c r="J1761" s="3" t="inlineStr">
        <is>
          <t>고운동</t>
        </is>
      </c>
    </row>
    <row r="1762">
      <c r="A1762" s="3" t="n">
        <v>2025</v>
      </c>
      <c r="B1762" s="4" t="n">
        <v>77500</v>
      </c>
      <c r="C1762" s="4" t="n">
        <v>299.5</v>
      </c>
      <c r="D1762" s="3" t="inlineStr">
        <is>
          <t>한솔동</t>
        </is>
      </c>
      <c r="E1762" s="3" t="inlineStr"/>
      <c r="F1762" s="3" t="inlineStr">
        <is>
          <t>제1종전용주거지역</t>
        </is>
      </c>
      <c r="G1762" s="3" t="inlineStr">
        <is>
          <t>대</t>
        </is>
      </c>
      <c r="H1762" s="4" t="n">
        <v>90.59875</v>
      </c>
      <c r="I1762" s="5" t="n">
        <v>855.4</v>
      </c>
      <c r="J1762" s="3" t="inlineStr">
        <is>
          <t>한솔동</t>
        </is>
      </c>
    </row>
    <row r="1763">
      <c r="A1763" s="3" t="n">
        <v>2025</v>
      </c>
      <c r="B1763" s="4" t="n">
        <v>18439</v>
      </c>
      <c r="C1763" s="4" t="n">
        <v>237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과수원</t>
        </is>
      </c>
      <c r="H1763" s="4" t="n">
        <v>71.6925</v>
      </c>
      <c r="I1763" s="5" t="n">
        <v>257.2</v>
      </c>
      <c r="J1763" s="3" t="inlineStr">
        <is>
          <t>연서면</t>
        </is>
      </c>
    </row>
    <row r="1764">
      <c r="A1764" s="3" t="n">
        <v>2025</v>
      </c>
      <c r="B1764" s="4" t="n">
        <v>3820</v>
      </c>
      <c r="C1764" s="4" t="n">
        <v>97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29.3425</v>
      </c>
      <c r="I1764" s="5" t="n">
        <v>130.2</v>
      </c>
      <c r="J1764" s="3" t="inlineStr">
        <is>
          <t>연서면</t>
        </is>
      </c>
    </row>
    <row r="1765">
      <c r="A1765" s="3" t="n">
        <v>2025</v>
      </c>
      <c r="B1765" s="4" t="n">
        <v>8180</v>
      </c>
      <c r="C1765" s="4" t="n">
        <v>208</v>
      </c>
      <c r="D1765" s="3" t="inlineStr">
        <is>
          <t>연서면</t>
        </is>
      </c>
      <c r="E1765" s="3" t="inlineStr">
        <is>
          <t>국촌리</t>
        </is>
      </c>
      <c r="F1765" s="3" t="inlineStr">
        <is>
          <t>계획관리지역</t>
        </is>
      </c>
      <c r="G1765" s="3" t="inlineStr">
        <is>
          <t>창고용지</t>
        </is>
      </c>
      <c r="H1765" s="4" t="n">
        <v>62.92</v>
      </c>
      <c r="I1765" s="5" t="n">
        <v>130</v>
      </c>
      <c r="J1765" s="3" t="inlineStr">
        <is>
          <t>연서면</t>
        </is>
      </c>
    </row>
    <row r="1766">
      <c r="A1766" s="3" t="n">
        <v>2025</v>
      </c>
      <c r="B1766" s="4" t="n">
        <v>400000</v>
      </c>
      <c r="C1766" s="4" t="n">
        <v>3472</v>
      </c>
      <c r="D1766" s="3" t="inlineStr">
        <is>
          <t>조치원읍</t>
        </is>
      </c>
      <c r="E1766" s="3" t="inlineStr">
        <is>
          <t>침산리</t>
        </is>
      </c>
      <c r="F1766" s="3" t="inlineStr">
        <is>
          <t>제1종일반주거지역</t>
        </is>
      </c>
      <c r="G1766" s="3" t="inlineStr">
        <is>
          <t>전</t>
        </is>
      </c>
      <c r="H1766" s="4" t="n">
        <v>1050.28</v>
      </c>
      <c r="I1766" s="5" t="n">
        <v>380.9</v>
      </c>
      <c r="J1766" s="3" t="inlineStr">
        <is>
          <t>조치원읍</t>
        </is>
      </c>
    </row>
    <row r="1767">
      <c r="A1767" s="3" t="n">
        <v>2025</v>
      </c>
      <c r="B1767" s="4" t="n">
        <v>56000</v>
      </c>
      <c r="C1767" s="4" t="n">
        <v>279.3</v>
      </c>
      <c r="D1767" s="3" t="inlineStr">
        <is>
          <t>해밀동</t>
        </is>
      </c>
      <c r="E1767" s="3" t="inlineStr"/>
      <c r="F1767" s="3" t="inlineStr">
        <is>
          <t>제1종전용주거지역</t>
        </is>
      </c>
      <c r="G1767" s="3" t="inlineStr">
        <is>
          <t>대</t>
        </is>
      </c>
      <c r="H1767" s="4" t="n">
        <v>84.48825000000001</v>
      </c>
      <c r="I1767" s="5" t="n">
        <v>662.8</v>
      </c>
      <c r="J1767" s="3" t="inlineStr">
        <is>
          <t>해밀동</t>
        </is>
      </c>
    </row>
    <row r="1768">
      <c r="A1768" s="3" t="n">
        <v>2025</v>
      </c>
      <c r="B1768" s="4" t="n">
        <v>10000</v>
      </c>
      <c r="C1768" s="4" t="n">
        <v>129</v>
      </c>
      <c r="D1768" s="3" t="inlineStr">
        <is>
          <t>조치원읍</t>
        </is>
      </c>
      <c r="E1768" s="3" t="inlineStr">
        <is>
          <t>신안리</t>
        </is>
      </c>
      <c r="F1768" s="3" t="inlineStr">
        <is>
          <t>제2종일반주거지역</t>
        </is>
      </c>
      <c r="G1768" s="3" t="inlineStr">
        <is>
          <t>전</t>
        </is>
      </c>
      <c r="H1768" s="4" t="n">
        <v>39.0225</v>
      </c>
      <c r="I1768" s="5" t="n">
        <v>256.3</v>
      </c>
      <c r="J1768" s="3" t="inlineStr">
        <is>
          <t>조치원읍</t>
        </is>
      </c>
    </row>
    <row r="1769">
      <c r="A1769" s="3" t="n">
        <v>2025</v>
      </c>
      <c r="B1769" s="4" t="n">
        <v>125</v>
      </c>
      <c r="C1769" s="4" t="n">
        <v>12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도로</t>
        </is>
      </c>
      <c r="H1769" s="4" t="n">
        <v>3.63</v>
      </c>
      <c r="I1769" s="5" t="n">
        <v>34.4</v>
      </c>
      <c r="J1769" s="3" t="inlineStr">
        <is>
          <t>연서면</t>
        </is>
      </c>
    </row>
    <row r="1770">
      <c r="A1770" s="3" t="n">
        <v>2026</v>
      </c>
      <c r="B1770" s="4" t="n">
        <v>5800</v>
      </c>
      <c r="C1770" s="4" t="n">
        <v>66</v>
      </c>
      <c r="D1770" s="3" t="inlineStr">
        <is>
          <t>부강면</t>
        </is>
      </c>
      <c r="E1770" s="3" t="inlineStr">
        <is>
          <t>부강리</t>
        </is>
      </c>
      <c r="F1770" s="3" t="inlineStr">
        <is>
          <t>제2종일반주거지역</t>
        </is>
      </c>
      <c r="G1770" s="3" t="inlineStr">
        <is>
          <t>대</t>
        </is>
      </c>
      <c r="H1770" s="4" t="n">
        <v>19.965</v>
      </c>
      <c r="I1770" s="5" t="n">
        <v>290.5</v>
      </c>
      <c r="J1770" s="3" t="inlineStr">
        <is>
          <t>부강면</t>
        </is>
      </c>
    </row>
    <row r="1771">
      <c r="A1771" s="3" t="n">
        <v>2026</v>
      </c>
      <c r="B1771" s="4" t="n">
        <v>14562</v>
      </c>
      <c r="C1771" s="4" t="n">
        <v>192</v>
      </c>
      <c r="D1771" s="3" t="inlineStr">
        <is>
          <t>부강면</t>
        </is>
      </c>
      <c r="E1771" s="3" t="inlineStr">
        <is>
          <t>금호리</t>
        </is>
      </c>
      <c r="F1771" s="3" t="inlineStr">
        <is>
          <t>생산관리지역</t>
        </is>
      </c>
      <c r="G1771" s="3" t="inlineStr">
        <is>
          <t>공장용지</t>
        </is>
      </c>
      <c r="H1771" s="4" t="n">
        <v>58.08</v>
      </c>
      <c r="I1771" s="5" t="n">
        <v>250.7</v>
      </c>
      <c r="J1771" s="3" t="inlineStr">
        <is>
          <t>부강면</t>
        </is>
      </c>
    </row>
    <row r="1772">
      <c r="A1772" s="3" t="n">
        <v>2026</v>
      </c>
      <c r="B1772" s="4" t="n">
        <v>275</v>
      </c>
      <c r="C1772" s="4" t="n">
        <v>7</v>
      </c>
      <c r="D1772" s="3" t="inlineStr">
        <is>
          <t>부강면</t>
        </is>
      </c>
      <c r="E1772" s="3" t="inlineStr">
        <is>
          <t>금호리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2.1175</v>
      </c>
      <c r="I1772" s="5" t="n">
        <v>129.9</v>
      </c>
      <c r="J1772" s="3" t="inlineStr">
        <is>
          <t>부강면</t>
        </is>
      </c>
    </row>
    <row r="1773">
      <c r="A1773" s="3" t="n">
        <v>2024</v>
      </c>
      <c r="B1773" s="4" t="n">
        <v>11050</v>
      </c>
      <c r="C1773" s="4" t="n">
        <v>200</v>
      </c>
      <c r="D1773" s="3" t="inlineStr">
        <is>
          <t>연서면</t>
        </is>
      </c>
      <c r="E1773" s="3" t="inlineStr">
        <is>
          <t>쌍전리</t>
        </is>
      </c>
      <c r="F1773" s="3" t="inlineStr">
        <is>
          <t>자연녹지지역</t>
        </is>
      </c>
      <c r="G1773" s="3" t="inlineStr">
        <is>
          <t>전</t>
        </is>
      </c>
      <c r="H1773" s="4" t="n">
        <v>60.5</v>
      </c>
      <c r="I1773" s="5" t="n">
        <v>182.6</v>
      </c>
      <c r="J1773" s="3" t="inlineStr">
        <is>
          <t>연서면</t>
        </is>
      </c>
    </row>
    <row r="1774">
      <c r="A1774" s="3" t="n">
        <v>2024</v>
      </c>
      <c r="B1774" s="4" t="n">
        <v>2783</v>
      </c>
      <c r="C1774" s="4" t="n">
        <v>46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보전관리지역</t>
        </is>
      </c>
      <c r="G1774" s="3" t="inlineStr">
        <is>
          <t>대</t>
        </is>
      </c>
      <c r="H1774" s="4" t="n">
        <v>13.915</v>
      </c>
      <c r="I1774" s="5" t="n">
        <v>200</v>
      </c>
      <c r="J1774" s="3" t="inlineStr">
        <is>
          <t>연동면</t>
        </is>
      </c>
    </row>
    <row r="1775">
      <c r="A1775" s="3" t="n">
        <v>2026</v>
      </c>
      <c r="B1775" s="4" t="n">
        <v>150</v>
      </c>
      <c r="C1775" s="4" t="n">
        <v>19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농림지역</t>
        </is>
      </c>
      <c r="G1775" s="3" t="inlineStr">
        <is>
          <t>과수원</t>
        </is>
      </c>
      <c r="H1775" s="4" t="n">
        <v>5.7475</v>
      </c>
      <c r="I1775" s="5" t="n">
        <v>26.1</v>
      </c>
      <c r="J1775" s="3" t="inlineStr">
        <is>
          <t>연서면</t>
        </is>
      </c>
    </row>
    <row r="1776">
      <c r="A1776" s="3" t="n">
        <v>2026</v>
      </c>
      <c r="B1776" s="4" t="n">
        <v>2350</v>
      </c>
      <c r="C1776" s="4" t="n">
        <v>297</v>
      </c>
      <c r="D1776" s="3" t="inlineStr">
        <is>
          <t>연서면</t>
        </is>
      </c>
      <c r="E1776" s="3" t="inlineStr">
        <is>
          <t>용암리</t>
        </is>
      </c>
      <c r="F1776" s="3" t="inlineStr">
        <is>
          <t>농림지역</t>
        </is>
      </c>
      <c r="G1776" s="3" t="inlineStr">
        <is>
          <t>과수원</t>
        </is>
      </c>
      <c r="H1776" s="4" t="n">
        <v>89.8425</v>
      </c>
      <c r="I1776" s="5" t="n">
        <v>26.2</v>
      </c>
      <c r="J1776" s="3" t="inlineStr">
        <is>
          <t>연서면</t>
        </is>
      </c>
    </row>
    <row r="1777">
      <c r="A1777" s="3" t="n">
        <v>2026</v>
      </c>
      <c r="B1777" s="4" t="n">
        <v>500</v>
      </c>
      <c r="C1777" s="4" t="n">
        <v>60</v>
      </c>
      <c r="D1777" s="3" t="inlineStr">
        <is>
          <t>연서면</t>
        </is>
      </c>
      <c r="E1777" s="3" t="inlineStr">
        <is>
          <t>용암리</t>
        </is>
      </c>
      <c r="F1777" s="3" t="inlineStr">
        <is>
          <t>농림지역</t>
        </is>
      </c>
      <c r="G1777" s="3" t="inlineStr">
        <is>
          <t>도로</t>
        </is>
      </c>
      <c r="H1777" s="4" t="n">
        <v>18.15</v>
      </c>
      <c r="I1777" s="5" t="n">
        <v>27.5</v>
      </c>
      <c r="J1777" s="3" t="inlineStr">
        <is>
          <t>연서면</t>
        </is>
      </c>
    </row>
    <row r="1778">
      <c r="A1778" s="3" t="n">
        <v>2026</v>
      </c>
      <c r="B1778" s="4" t="n">
        <v>35000</v>
      </c>
      <c r="C1778" s="4" t="n">
        <v>262.4</v>
      </c>
      <c r="D1778" s="3" t="inlineStr">
        <is>
          <t>집현동</t>
        </is>
      </c>
      <c r="E1778" s="3" t="inlineStr"/>
      <c r="F1778" s="3" t="inlineStr">
        <is>
          <t>제1종전용주거지역</t>
        </is>
      </c>
      <c r="G1778" s="3" t="inlineStr">
        <is>
          <t>대</t>
        </is>
      </c>
      <c r="H1778" s="4" t="n">
        <v>79.37599999999999</v>
      </c>
      <c r="I1778" s="5" t="n">
        <v>440.9</v>
      </c>
      <c r="J1778" s="3" t="inlineStr">
        <is>
          <t>집현동</t>
        </is>
      </c>
    </row>
    <row r="1779">
      <c r="A1779" s="3" t="n">
        <v>2026</v>
      </c>
      <c r="B1779" s="4" t="n">
        <v>125000</v>
      </c>
      <c r="C1779" s="4" t="n">
        <v>411</v>
      </c>
      <c r="D1779" s="3" t="inlineStr">
        <is>
          <t>해밀동</t>
        </is>
      </c>
      <c r="E1779" s="3" t="inlineStr"/>
      <c r="F1779" s="3" t="inlineStr">
        <is>
          <t>제2종일반주거지역</t>
        </is>
      </c>
      <c r="G1779" s="3" t="inlineStr">
        <is>
          <t>대</t>
        </is>
      </c>
      <c r="H1779" s="4" t="n">
        <v>124.3275</v>
      </c>
      <c r="I1779" s="5" t="n">
        <v>1005.4</v>
      </c>
      <c r="J1779" s="3" t="inlineStr">
        <is>
          <t>해밀동</t>
        </is>
      </c>
    </row>
    <row r="1780">
      <c r="A1780" s="3" t="n">
        <v>2026</v>
      </c>
      <c r="B1780" s="4" t="n">
        <v>125220</v>
      </c>
      <c r="C1780" s="4" t="n">
        <v>10348</v>
      </c>
      <c r="D1780" s="3" t="inlineStr">
        <is>
          <t>연서면</t>
        </is>
      </c>
      <c r="E1780" s="3" t="inlineStr">
        <is>
          <t>쌍류리</t>
        </is>
      </c>
      <c r="F1780" s="3" t="inlineStr">
        <is>
          <t>생산관리지역</t>
        </is>
      </c>
      <c r="G1780" s="3" t="inlineStr">
        <is>
          <t>과수원</t>
        </is>
      </c>
      <c r="H1780" s="4" t="n">
        <v>3130.27</v>
      </c>
      <c r="I1780" s="5" t="n">
        <v>40</v>
      </c>
      <c r="J1780" s="3" t="inlineStr">
        <is>
          <t>연서면</t>
        </is>
      </c>
    </row>
    <row r="1781">
      <c r="A1781" s="3" t="n">
        <v>2026</v>
      </c>
      <c r="B1781" s="4" t="n">
        <v>5000</v>
      </c>
      <c r="C1781" s="4" t="n">
        <v>201.1</v>
      </c>
      <c r="D1781" s="3" t="inlineStr">
        <is>
          <t>연서면</t>
        </is>
      </c>
      <c r="E1781" s="3" t="inlineStr">
        <is>
          <t>청라리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60.83275</v>
      </c>
      <c r="I1781" s="5" t="n">
        <v>82.2</v>
      </c>
      <c r="J1781" s="3" t="inlineStr">
        <is>
          <t>연서면</t>
        </is>
      </c>
    </row>
    <row r="1782">
      <c r="A1782" s="3" t="n">
        <v>2025</v>
      </c>
      <c r="B1782" s="4" t="n">
        <v>10000</v>
      </c>
      <c r="C1782" s="4" t="n">
        <v>764</v>
      </c>
      <c r="D1782" s="3" t="inlineStr">
        <is>
          <t>부강면</t>
        </is>
      </c>
      <c r="E1782" s="3" t="inlineStr">
        <is>
          <t>갈산리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231.11</v>
      </c>
      <c r="I1782" s="5" t="n">
        <v>43.3</v>
      </c>
      <c r="J1782" s="3" t="inlineStr">
        <is>
          <t>부강면</t>
        </is>
      </c>
    </row>
    <row r="1783">
      <c r="A1783" s="3" t="n">
        <v>2025</v>
      </c>
      <c r="B1783" s="4" t="n">
        <v>5000</v>
      </c>
      <c r="C1783" s="4" t="n">
        <v>50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도로</t>
        </is>
      </c>
      <c r="H1783" s="4" t="n">
        <v>15.125</v>
      </c>
      <c r="I1783" s="5" t="n">
        <v>330.6</v>
      </c>
      <c r="J1783" s="3" t="inlineStr">
        <is>
          <t>부강면</t>
        </is>
      </c>
    </row>
    <row r="1784">
      <c r="A1784" s="3" t="n">
        <v>2025</v>
      </c>
      <c r="B1784" s="4" t="n">
        <v>5748</v>
      </c>
      <c r="C1784" s="4" t="n">
        <v>19</v>
      </c>
      <c r="D1784" s="3" t="inlineStr">
        <is>
          <t>조치원읍</t>
        </is>
      </c>
      <c r="E1784" s="3" t="inlineStr">
        <is>
          <t>명리</t>
        </is>
      </c>
      <c r="F1784" s="3" t="inlineStr">
        <is>
          <t>일반상업지역</t>
        </is>
      </c>
      <c r="G1784" s="3" t="inlineStr">
        <is>
          <t>대</t>
        </is>
      </c>
      <c r="H1784" s="4" t="n">
        <v>5.7475</v>
      </c>
      <c r="I1784" s="5" t="n">
        <v>1000.1</v>
      </c>
      <c r="J1784" s="3" t="inlineStr">
        <is>
          <t>조치원읍</t>
        </is>
      </c>
    </row>
    <row r="1785">
      <c r="A1785" s="3" t="n">
        <v>2025</v>
      </c>
      <c r="B1785" s="4" t="n">
        <v>3049</v>
      </c>
      <c r="C1785" s="4" t="n">
        <v>71</v>
      </c>
      <c r="D1785" s="3" t="inlineStr">
        <is>
          <t>연동면</t>
        </is>
      </c>
      <c r="E1785" s="3" t="inlineStr">
        <is>
          <t>합강리</t>
        </is>
      </c>
      <c r="F1785" s="3" t="inlineStr">
        <is>
          <t>보전관리지역</t>
        </is>
      </c>
      <c r="G1785" s="3" t="inlineStr">
        <is>
          <t>전</t>
        </is>
      </c>
      <c r="H1785" s="4" t="n">
        <v>21.4775</v>
      </c>
      <c r="I1785" s="5" t="n">
        <v>142</v>
      </c>
      <c r="J1785" s="3" t="inlineStr">
        <is>
          <t>연동면</t>
        </is>
      </c>
    </row>
    <row r="1786">
      <c r="A1786" s="3" t="n">
        <v>2025</v>
      </c>
      <c r="B1786" s="4" t="n">
        <v>37000</v>
      </c>
      <c r="C1786" s="4" t="n">
        <v>518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제2종일반주거지역</t>
        </is>
      </c>
      <c r="G1786" s="3" t="inlineStr">
        <is>
          <t>답</t>
        </is>
      </c>
      <c r="H1786" s="4" t="n">
        <v>156.695</v>
      </c>
      <c r="I1786" s="5" t="n">
        <v>236.1</v>
      </c>
      <c r="J1786" s="3" t="inlineStr">
        <is>
          <t>부강면</t>
        </is>
      </c>
    </row>
    <row r="1787">
      <c r="A1787" s="3" t="n">
        <v>2025</v>
      </c>
      <c r="B1787" s="4" t="n">
        <v>36000</v>
      </c>
      <c r="C1787" s="4" t="n">
        <v>546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제2종일반주거지역</t>
        </is>
      </c>
      <c r="G1787" s="3" t="inlineStr">
        <is>
          <t>답</t>
        </is>
      </c>
      <c r="H1787" s="4" t="n">
        <v>165.165</v>
      </c>
      <c r="I1787" s="5" t="n">
        <v>218</v>
      </c>
      <c r="J1787" s="3" t="inlineStr">
        <is>
          <t>부강면</t>
        </is>
      </c>
    </row>
    <row r="1788">
      <c r="A1788" s="3" t="n">
        <v>2024</v>
      </c>
      <c r="B1788" s="4" t="n">
        <v>14000</v>
      </c>
      <c r="C1788" s="4" t="n">
        <v>155</v>
      </c>
      <c r="D1788" s="3" t="inlineStr">
        <is>
          <t>조치원읍</t>
        </is>
      </c>
      <c r="E1788" s="3" t="inlineStr">
        <is>
          <t>남리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46.8875</v>
      </c>
      <c r="I1788" s="5" t="n">
        <v>298.6</v>
      </c>
      <c r="J1788" s="3" t="inlineStr">
        <is>
          <t>조치원읍</t>
        </is>
      </c>
    </row>
    <row r="1789">
      <c r="A1789" s="3" t="n">
        <v>2024</v>
      </c>
      <c r="B1789" s="4" t="n">
        <v>18000</v>
      </c>
      <c r="C1789" s="4" t="n">
        <v>841</v>
      </c>
      <c r="D1789" s="3" t="inlineStr">
        <is>
          <t>연서면</t>
        </is>
      </c>
      <c r="E1789" s="3" t="inlineStr">
        <is>
          <t>기룡리</t>
        </is>
      </c>
      <c r="F1789" s="3" t="inlineStr">
        <is>
          <t>계획관리지역</t>
        </is>
      </c>
      <c r="G1789" s="3" t="inlineStr">
        <is>
          <t>답</t>
        </is>
      </c>
      <c r="H1789" s="4" t="n">
        <v>254.4025</v>
      </c>
      <c r="I1789" s="5" t="n">
        <v>70.8</v>
      </c>
      <c r="J1789" s="3" t="inlineStr">
        <is>
          <t>연서면</t>
        </is>
      </c>
    </row>
    <row r="1790">
      <c r="A1790" s="3" t="n">
        <v>2024</v>
      </c>
      <c r="B1790" s="4" t="n">
        <v>59000</v>
      </c>
      <c r="C1790" s="4" t="n">
        <v>707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213.8675</v>
      </c>
      <c r="I1790" s="5" t="n">
        <v>275.9</v>
      </c>
      <c r="J1790" s="3" t="inlineStr">
        <is>
          <t>연동면</t>
        </is>
      </c>
    </row>
    <row r="1791">
      <c r="A1791" s="3" t="n">
        <v>2024</v>
      </c>
      <c r="B1791" s="4" t="n">
        <v>7500</v>
      </c>
      <c r="C1791" s="4" t="n">
        <v>595</v>
      </c>
      <c r="D1791" s="3" t="inlineStr">
        <is>
          <t>조치원읍</t>
        </is>
      </c>
      <c r="E1791" s="3" t="inlineStr">
        <is>
          <t>서창리</t>
        </is>
      </c>
      <c r="F1791" s="3" t="inlineStr">
        <is>
          <t>자연녹지지역</t>
        </is>
      </c>
      <c r="G1791" s="3" t="inlineStr">
        <is>
          <t>도로</t>
        </is>
      </c>
      <c r="H1791" s="4" t="n">
        <v>179.9875</v>
      </c>
      <c r="I1791" s="5" t="n">
        <v>41.7</v>
      </c>
      <c r="J1791" s="3" t="inlineStr">
        <is>
          <t>조치원읍</t>
        </is>
      </c>
    </row>
    <row r="1792">
      <c r="A1792" s="3" t="n">
        <v>2024</v>
      </c>
      <c r="B1792" s="4" t="n">
        <v>50094</v>
      </c>
      <c r="C1792" s="4" t="n">
        <v>552</v>
      </c>
      <c r="D1792" s="3" t="inlineStr">
        <is>
          <t>연서면</t>
        </is>
      </c>
      <c r="E1792" s="3" t="inlineStr">
        <is>
          <t>신대리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166.98</v>
      </c>
      <c r="I1792" s="5" t="n">
        <v>300</v>
      </c>
      <c r="J1792" s="3" t="inlineStr">
        <is>
          <t>연서면</t>
        </is>
      </c>
    </row>
    <row r="1793">
      <c r="A1793" s="3" t="n">
        <v>2024</v>
      </c>
      <c r="B1793" s="4" t="n">
        <v>29900</v>
      </c>
      <c r="C1793" s="4" t="n">
        <v>161</v>
      </c>
      <c r="D1793" s="3" t="inlineStr">
        <is>
          <t>조치원읍</t>
        </is>
      </c>
      <c r="E1793" s="3" t="inlineStr">
        <is>
          <t>침산리</t>
        </is>
      </c>
      <c r="F1793" s="3" t="inlineStr">
        <is>
          <t>제2종일반주거지역</t>
        </is>
      </c>
      <c r="G1793" s="3" t="inlineStr">
        <is>
          <t>대</t>
        </is>
      </c>
      <c r="H1793" s="4" t="n">
        <v>48.7025</v>
      </c>
      <c r="I1793" s="5" t="n">
        <v>613.9</v>
      </c>
      <c r="J1793" s="3" t="inlineStr">
        <is>
          <t>조치원읍</t>
        </is>
      </c>
    </row>
    <row r="1794">
      <c r="A1794" s="3" t="n">
        <v>2023</v>
      </c>
      <c r="B1794" s="4" t="n">
        <v>13500</v>
      </c>
      <c r="C1794" s="4" t="n">
        <v>132</v>
      </c>
      <c r="D1794" s="3" t="inlineStr">
        <is>
          <t>조치원읍</t>
        </is>
      </c>
      <c r="E1794" s="3" t="inlineStr">
        <is>
          <t>서창리</t>
        </is>
      </c>
      <c r="F1794" s="3" t="inlineStr">
        <is>
          <t>제1종일반주거지역</t>
        </is>
      </c>
      <c r="G1794" s="3" t="inlineStr">
        <is>
          <t>전</t>
        </is>
      </c>
      <c r="H1794" s="4" t="n">
        <v>39.93</v>
      </c>
      <c r="I1794" s="5" t="n">
        <v>338.1</v>
      </c>
      <c r="J1794" s="3" t="inlineStr">
        <is>
          <t>조치원읍</t>
        </is>
      </c>
    </row>
    <row r="1795">
      <c r="A1795" s="3" t="n">
        <v>2022</v>
      </c>
      <c r="B1795" s="4" t="n">
        <v>70000</v>
      </c>
      <c r="C1795" s="4" t="n">
        <v>2359.4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713.7185000000001</v>
      </c>
      <c r="I1795" s="5" t="n">
        <v>98.09999999999999</v>
      </c>
      <c r="J1795" s="3" t="inlineStr">
        <is>
          <t>연동면</t>
        </is>
      </c>
    </row>
    <row r="1796">
      <c r="A1796" s="3" t="n">
        <v>2024</v>
      </c>
      <c r="B1796" s="4" t="n">
        <v>34000</v>
      </c>
      <c r="C1796" s="4" t="n">
        <v>283.7</v>
      </c>
      <c r="D1796" s="3" t="inlineStr">
        <is>
          <t>다정동</t>
        </is>
      </c>
      <c r="E1796" s="3" t="inlineStr"/>
      <c r="F1796" s="3" t="inlineStr">
        <is>
          <t>제2종전용주거지역</t>
        </is>
      </c>
      <c r="G1796" s="3" t="inlineStr">
        <is>
          <t>대</t>
        </is>
      </c>
      <c r="H1796" s="4" t="n">
        <v>85.81925</v>
      </c>
      <c r="I1796" s="5" t="n">
        <v>396.2</v>
      </c>
      <c r="J1796" s="3" t="inlineStr">
        <is>
          <t>다정동</t>
        </is>
      </c>
    </row>
    <row r="1797">
      <c r="A1797" s="3" t="n">
        <v>2025</v>
      </c>
      <c r="B1797" s="4" t="n">
        <v>2000</v>
      </c>
      <c r="C1797" s="4" t="n">
        <v>38</v>
      </c>
      <c r="D1797" s="3" t="inlineStr">
        <is>
          <t>부강면</t>
        </is>
      </c>
      <c r="E1797" s="3" t="inlineStr">
        <is>
          <t>부강리</t>
        </is>
      </c>
      <c r="F1797" s="3" t="inlineStr">
        <is>
          <t>제2종일반주거지역</t>
        </is>
      </c>
      <c r="G1797" s="3" t="inlineStr">
        <is>
          <t>답</t>
        </is>
      </c>
      <c r="H1797" s="4" t="n">
        <v>11.495</v>
      </c>
      <c r="I1797" s="5" t="n">
        <v>174</v>
      </c>
      <c r="J1797" s="3" t="inlineStr">
        <is>
          <t>부강면</t>
        </is>
      </c>
    </row>
    <row r="1798">
      <c r="A1798" s="3" t="n">
        <v>2025</v>
      </c>
      <c r="B1798" s="4" t="n">
        <v>52000</v>
      </c>
      <c r="C1798" s="4" t="n">
        <v>352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106.48</v>
      </c>
      <c r="I1798" s="5" t="n">
        <v>488.4</v>
      </c>
      <c r="J1798" s="3" t="inlineStr">
        <is>
          <t>고운동</t>
        </is>
      </c>
    </row>
    <row r="1799">
      <c r="A1799" s="3" t="n">
        <v>2024</v>
      </c>
      <c r="B1799" s="4" t="n">
        <v>8000</v>
      </c>
      <c r="C1799" s="4" t="n">
        <v>46</v>
      </c>
      <c r="D1799" s="3" t="inlineStr">
        <is>
          <t>조치원읍</t>
        </is>
      </c>
      <c r="E1799" s="3" t="inlineStr">
        <is>
          <t>원리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13.915</v>
      </c>
      <c r="I1799" s="5" t="n">
        <v>574.9</v>
      </c>
      <c r="J1799" s="3" t="inlineStr">
        <is>
          <t>조치원읍</t>
        </is>
      </c>
    </row>
    <row r="1800">
      <c r="A1800" s="3" t="n">
        <v>2024</v>
      </c>
      <c r="B1800" s="4" t="n">
        <v>4052</v>
      </c>
      <c r="C1800" s="4" t="n">
        <v>67</v>
      </c>
      <c r="D1800" s="3" t="inlineStr">
        <is>
          <t>부강면</t>
        </is>
      </c>
      <c r="E1800" s="3" t="inlineStr">
        <is>
          <t>부강리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20.2675</v>
      </c>
      <c r="I1800" s="5" t="n">
        <v>199.9</v>
      </c>
      <c r="J1800" s="3" t="inlineStr">
        <is>
          <t>부강면</t>
        </is>
      </c>
    </row>
    <row r="1801">
      <c r="A1801" s="3" t="n">
        <v>2024</v>
      </c>
      <c r="B1801" s="4" t="n">
        <v>3200</v>
      </c>
      <c r="C1801" s="4" t="n">
        <v>200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60.5</v>
      </c>
      <c r="I1801" s="5" t="n">
        <v>52.9</v>
      </c>
      <c r="J1801" s="3" t="inlineStr">
        <is>
          <t>부강면</t>
        </is>
      </c>
    </row>
    <row r="1802">
      <c r="A1802" s="3" t="n">
        <v>2024</v>
      </c>
      <c r="B1802" s="4" t="n">
        <v>69000</v>
      </c>
      <c r="C1802" s="4" t="n">
        <v>330</v>
      </c>
      <c r="D1802" s="3" t="inlineStr">
        <is>
          <t>반곡동</t>
        </is>
      </c>
      <c r="E1802" s="3" t="inlineStr"/>
      <c r="F1802" s="3" t="inlineStr">
        <is>
          <t>제2종전용주거지역</t>
        </is>
      </c>
      <c r="G1802" s="3" t="inlineStr">
        <is>
          <t>대</t>
        </is>
      </c>
      <c r="H1802" s="4" t="n">
        <v>99.825</v>
      </c>
      <c r="I1802" s="5" t="n">
        <v>691.2</v>
      </c>
      <c r="J1802" s="3" t="inlineStr">
        <is>
          <t>반곡동</t>
        </is>
      </c>
    </row>
    <row r="1803">
      <c r="A1803" s="3" t="n">
        <v>2024</v>
      </c>
      <c r="B1803" s="4" t="n">
        <v>64073</v>
      </c>
      <c r="C1803" s="4" t="n">
        <v>2777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자연녹지지역</t>
        </is>
      </c>
      <c r="G1803" s="3" t="inlineStr">
        <is>
          <t>전</t>
        </is>
      </c>
      <c r="H1803" s="4" t="n">
        <v>840.0425</v>
      </c>
      <c r="I1803" s="5" t="n">
        <v>76.3</v>
      </c>
      <c r="J1803" s="3" t="inlineStr">
        <is>
          <t>조치원읍</t>
        </is>
      </c>
    </row>
    <row r="1804">
      <c r="A1804" s="3" t="n">
        <v>2024</v>
      </c>
      <c r="B1804" s="4" t="n">
        <v>10000</v>
      </c>
      <c r="C1804" s="4" t="n">
        <v>234</v>
      </c>
      <c r="D1804" s="3" t="inlineStr">
        <is>
          <t>연서면</t>
        </is>
      </c>
      <c r="E1804" s="3" t="inlineStr">
        <is>
          <t>봉암리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70.785</v>
      </c>
      <c r="I1804" s="5" t="n">
        <v>141.3</v>
      </c>
      <c r="J1804" s="3" t="inlineStr">
        <is>
          <t>연서면</t>
        </is>
      </c>
    </row>
    <row r="1805">
      <c r="A1805" s="3" t="n">
        <v>2024</v>
      </c>
      <c r="B1805" s="4" t="n">
        <v>34000</v>
      </c>
      <c r="C1805" s="4" t="n">
        <v>319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제1종일반주거지역</t>
        </is>
      </c>
      <c r="G1805" s="3" t="inlineStr">
        <is>
          <t>대</t>
        </is>
      </c>
      <c r="H1805" s="4" t="n">
        <v>96.4975</v>
      </c>
      <c r="I1805" s="5" t="n">
        <v>352.3</v>
      </c>
      <c r="J1805" s="3" t="inlineStr">
        <is>
          <t>연서면</t>
        </is>
      </c>
    </row>
    <row r="1806">
      <c r="A1806" s="3" t="n">
        <v>2024</v>
      </c>
      <c r="B1806" s="4" t="n">
        <v>39806</v>
      </c>
      <c r="C1806" s="4" t="n">
        <v>595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과수원</t>
        </is>
      </c>
      <c r="H1806" s="4" t="n">
        <v>179.9875</v>
      </c>
      <c r="I1806" s="5" t="n">
        <v>221.2</v>
      </c>
      <c r="J1806" s="3" t="inlineStr">
        <is>
          <t>조치원읍</t>
        </is>
      </c>
    </row>
    <row r="1807">
      <c r="A1807" s="3" t="n">
        <v>2024</v>
      </c>
      <c r="B1807" s="4" t="n">
        <v>12922</v>
      </c>
      <c r="C1807" s="4" t="n">
        <v>521.6</v>
      </c>
      <c r="D1807" s="3" t="inlineStr">
        <is>
          <t>연동면</t>
        </is>
      </c>
      <c r="E1807" s="3" t="inlineStr">
        <is>
          <t>예양리</t>
        </is>
      </c>
      <c r="F1807" s="3" t="inlineStr">
        <is>
          <t>농림지역</t>
        </is>
      </c>
      <c r="G1807" s="3" t="inlineStr">
        <is>
          <t>전</t>
        </is>
      </c>
      <c r="H1807" s="4" t="n">
        <v>157.784</v>
      </c>
      <c r="I1807" s="5" t="n">
        <v>81.90000000000001</v>
      </c>
      <c r="J1807" s="3" t="inlineStr">
        <is>
          <t>연동면</t>
        </is>
      </c>
    </row>
    <row r="1808">
      <c r="A1808" s="3" t="n">
        <v>2024</v>
      </c>
      <c r="B1808" s="4" t="n">
        <v>2702</v>
      </c>
      <c r="C1808" s="4" t="n">
        <v>61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자연녹지지역</t>
        </is>
      </c>
      <c r="G1808" s="3" t="inlineStr">
        <is>
          <t>전</t>
        </is>
      </c>
      <c r="H1808" s="4" t="n">
        <v>18.4525</v>
      </c>
      <c r="I1808" s="5" t="n">
        <v>146.4</v>
      </c>
      <c r="J1808" s="3" t="inlineStr">
        <is>
          <t>조치원읍</t>
        </is>
      </c>
    </row>
    <row r="1809">
      <c r="A1809" s="3" t="n">
        <v>2023</v>
      </c>
      <c r="B1809" s="4" t="n">
        <v>9000</v>
      </c>
      <c r="C1809" s="4" t="n">
        <v>146</v>
      </c>
      <c r="D1809" s="3" t="inlineStr">
        <is>
          <t>조치원읍</t>
        </is>
      </c>
      <c r="E1809" s="3" t="inlineStr">
        <is>
          <t>신흥리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44.165</v>
      </c>
      <c r="I1809" s="5" t="n">
        <v>203.8</v>
      </c>
      <c r="J1809" s="3" t="inlineStr">
        <is>
          <t>조치원읍</t>
        </is>
      </c>
    </row>
    <row r="1810">
      <c r="A1810" s="3" t="n">
        <v>2023</v>
      </c>
      <c r="B1810" s="4" t="n">
        <v>100</v>
      </c>
      <c r="C1810" s="4" t="n">
        <v>2</v>
      </c>
      <c r="D1810" s="3" t="inlineStr">
        <is>
          <t>조치원읍</t>
        </is>
      </c>
      <c r="E1810" s="3" t="inlineStr">
        <is>
          <t>신흥리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0.605</v>
      </c>
      <c r="I1810" s="5" t="n">
        <v>165.3</v>
      </c>
      <c r="J1810" s="3" t="inlineStr">
        <is>
          <t>조치원읍</t>
        </is>
      </c>
    </row>
    <row r="1811">
      <c r="A1811" s="3" t="n">
        <v>2023</v>
      </c>
      <c r="B1811" s="4" t="n">
        <v>9000</v>
      </c>
      <c r="C1811" s="4" t="n">
        <v>146</v>
      </c>
      <c r="D1811" s="3" t="inlineStr">
        <is>
          <t>조치원읍</t>
        </is>
      </c>
      <c r="E1811" s="3" t="inlineStr">
        <is>
          <t>신흥리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44.165</v>
      </c>
      <c r="I1811" s="5" t="n">
        <v>203.8</v>
      </c>
      <c r="J1811" s="3" t="inlineStr">
        <is>
          <t>조치원읍</t>
        </is>
      </c>
    </row>
    <row r="1812">
      <c r="A1812" s="3" t="n">
        <v>2023</v>
      </c>
      <c r="B1812" s="4" t="n">
        <v>100</v>
      </c>
      <c r="C1812" s="4" t="n">
        <v>2</v>
      </c>
      <c r="D1812" s="3" t="inlineStr">
        <is>
          <t>조치원읍</t>
        </is>
      </c>
      <c r="E1812" s="3" t="inlineStr">
        <is>
          <t>신흥리</t>
        </is>
      </c>
      <c r="F1812" s="3" t="inlineStr">
        <is>
          <t>제2종일반주거지역</t>
        </is>
      </c>
      <c r="G1812" s="3" t="inlineStr">
        <is>
          <t>전</t>
        </is>
      </c>
      <c r="H1812" s="4" t="n">
        <v>0.605</v>
      </c>
      <c r="I1812" s="5" t="n">
        <v>165.3</v>
      </c>
      <c r="J1812" s="3" t="inlineStr">
        <is>
          <t>조치원읍</t>
        </is>
      </c>
    </row>
    <row r="1813">
      <c r="A1813" s="3" t="n">
        <v>2023</v>
      </c>
      <c r="B1813" s="4" t="n">
        <v>48400</v>
      </c>
      <c r="C1813" s="4" t="n">
        <v>2964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농림지역</t>
        </is>
      </c>
      <c r="G1813" s="3" t="inlineStr">
        <is>
          <t>답</t>
        </is>
      </c>
      <c r="H1813" s="4" t="n">
        <v>896.61</v>
      </c>
      <c r="I1813" s="5" t="n">
        <v>54</v>
      </c>
      <c r="J1813" s="3" t="inlineStr">
        <is>
          <t>부강면</t>
        </is>
      </c>
    </row>
    <row r="1814">
      <c r="A1814" s="3" t="n">
        <v>2023</v>
      </c>
      <c r="B1814" s="4" t="n">
        <v>40000</v>
      </c>
      <c r="C1814" s="4" t="n">
        <v>318</v>
      </c>
      <c r="D1814" s="3" t="inlineStr">
        <is>
          <t>한솔동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96.19499999999999</v>
      </c>
      <c r="I1814" s="5" t="n">
        <v>415.8</v>
      </c>
      <c r="J1814" s="3" t="inlineStr">
        <is>
          <t>한솔동</t>
        </is>
      </c>
    </row>
    <row r="1815">
      <c r="A1815" s="3" t="n">
        <v>2023</v>
      </c>
      <c r="B1815" s="4" t="n">
        <v>30160</v>
      </c>
      <c r="C1815" s="4" t="n">
        <v>767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232.0175</v>
      </c>
      <c r="I1815" s="5" t="n">
        <v>130</v>
      </c>
      <c r="J1815" s="3" t="inlineStr">
        <is>
          <t>연동면</t>
        </is>
      </c>
    </row>
    <row r="1816">
      <c r="A1816" s="3" t="n">
        <v>2023</v>
      </c>
      <c r="B1816" s="4" t="n">
        <v>17200</v>
      </c>
      <c r="C1816" s="4" t="n">
        <v>264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답</t>
        </is>
      </c>
      <c r="H1816" s="4" t="n">
        <v>79.86</v>
      </c>
      <c r="I1816" s="5" t="n">
        <v>215.4</v>
      </c>
      <c r="J1816" s="3" t="inlineStr">
        <is>
          <t>부강면</t>
        </is>
      </c>
    </row>
    <row r="1817">
      <c r="A1817" s="3" t="n">
        <v>2023</v>
      </c>
      <c r="B1817" s="4" t="n">
        <v>300</v>
      </c>
      <c r="C1817" s="4" t="n">
        <v>10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도로</t>
        </is>
      </c>
      <c r="H1817" s="4" t="n">
        <v>3.025</v>
      </c>
      <c r="I1817" s="5" t="n">
        <v>99.2</v>
      </c>
      <c r="J1817" s="3" t="inlineStr">
        <is>
          <t>부강면</t>
        </is>
      </c>
    </row>
    <row r="1818">
      <c r="A1818" s="3" t="n">
        <v>2023</v>
      </c>
      <c r="B1818" s="4" t="n">
        <v>95000</v>
      </c>
      <c r="C1818" s="4" t="n">
        <v>438.2</v>
      </c>
      <c r="D1818" s="3" t="inlineStr">
        <is>
          <t>반곡동</t>
        </is>
      </c>
      <c r="E1818" s="3" t="inlineStr"/>
      <c r="F1818" s="3" t="inlineStr">
        <is>
          <t>용도미지정</t>
        </is>
      </c>
      <c r="G1818" s="3" t="inlineStr">
        <is>
          <t>대</t>
        </is>
      </c>
      <c r="H1818" s="4" t="n">
        <v>132.5555</v>
      </c>
      <c r="I1818" s="5" t="n">
        <v>716.7</v>
      </c>
      <c r="J1818" s="3" t="inlineStr">
        <is>
          <t>반곡동</t>
        </is>
      </c>
    </row>
    <row r="1819">
      <c r="A1819" s="3" t="n">
        <v>2023</v>
      </c>
      <c r="B1819" s="4" t="n">
        <v>19600</v>
      </c>
      <c r="C1819" s="4" t="n">
        <v>2637</v>
      </c>
      <c r="D1819" s="3" t="inlineStr">
        <is>
          <t>연서면</t>
        </is>
      </c>
      <c r="E1819" s="3" t="inlineStr">
        <is>
          <t>월하리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797.6925</v>
      </c>
      <c r="I1819" s="5" t="n">
        <v>24.6</v>
      </c>
      <c r="J1819" s="3" t="inlineStr">
        <is>
          <t>연서면</t>
        </is>
      </c>
    </row>
    <row r="1820">
      <c r="A1820" s="3" t="n">
        <v>2023</v>
      </c>
      <c r="B1820" s="4" t="n">
        <v>7700</v>
      </c>
      <c r="C1820" s="4" t="n">
        <v>522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157.905</v>
      </c>
      <c r="I1820" s="5" t="n">
        <v>48.8</v>
      </c>
      <c r="J1820" s="3" t="inlineStr">
        <is>
          <t>부강면</t>
        </is>
      </c>
    </row>
    <row r="1821">
      <c r="A1821" s="3" t="n">
        <v>2022</v>
      </c>
      <c r="B1821" s="4" t="n">
        <v>32000</v>
      </c>
      <c r="C1821" s="4" t="n">
        <v>265</v>
      </c>
      <c r="D1821" s="3" t="inlineStr">
        <is>
          <t>조치원읍</t>
        </is>
      </c>
      <c r="E1821" s="3" t="inlineStr">
        <is>
          <t>신안리</t>
        </is>
      </c>
      <c r="F1821" s="3" t="inlineStr">
        <is>
          <t>제2종일반주거지역</t>
        </is>
      </c>
      <c r="G1821" s="3" t="inlineStr">
        <is>
          <t>답</t>
        </is>
      </c>
      <c r="H1821" s="4" t="n">
        <v>80.16249999999999</v>
      </c>
      <c r="I1821" s="5" t="n">
        <v>399.2</v>
      </c>
      <c r="J1821" s="3" t="inlineStr">
        <is>
          <t>조치원읍</t>
        </is>
      </c>
    </row>
    <row r="1822">
      <c r="A1822" s="3" t="n">
        <v>2022</v>
      </c>
      <c r="B1822" s="4" t="n">
        <v>56800</v>
      </c>
      <c r="C1822" s="4" t="n">
        <v>2086</v>
      </c>
      <c r="D1822" s="3" t="inlineStr">
        <is>
          <t>연서면</t>
        </is>
      </c>
      <c r="E1822" s="3" t="inlineStr">
        <is>
          <t>쌍류리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631.015</v>
      </c>
      <c r="I1822" s="5" t="n">
        <v>90</v>
      </c>
      <c r="J1822" s="3" t="inlineStr">
        <is>
          <t>연서면</t>
        </is>
      </c>
    </row>
    <row r="1823">
      <c r="A1823" s="3" t="n">
        <v>2022</v>
      </c>
      <c r="B1823" s="4" t="n">
        <v>62200</v>
      </c>
      <c r="C1823" s="4" t="n">
        <v>2290</v>
      </c>
      <c r="D1823" s="3" t="inlineStr">
        <is>
          <t>연서면</t>
        </is>
      </c>
      <c r="E1823" s="3" t="inlineStr">
        <is>
          <t>쌍류리</t>
        </is>
      </c>
      <c r="F1823" s="3" t="inlineStr">
        <is>
          <t>생산관리지역</t>
        </is>
      </c>
      <c r="G1823" s="3" t="inlineStr">
        <is>
          <t>과수원</t>
        </is>
      </c>
      <c r="H1823" s="4" t="n">
        <v>692.725</v>
      </c>
      <c r="I1823" s="5" t="n">
        <v>89.8</v>
      </c>
      <c r="J1823" s="3" t="inlineStr">
        <is>
          <t>연서면</t>
        </is>
      </c>
    </row>
    <row r="1824">
      <c r="A1824" s="3" t="n">
        <v>2022</v>
      </c>
      <c r="B1824" s="4" t="n">
        <v>480</v>
      </c>
      <c r="C1824" s="4" t="n">
        <v>20</v>
      </c>
      <c r="D1824" s="3" t="inlineStr">
        <is>
          <t>부강면</t>
        </is>
      </c>
      <c r="E1824" s="3" t="inlineStr">
        <is>
          <t>금호리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6.05</v>
      </c>
      <c r="I1824" s="5" t="n">
        <v>79.3</v>
      </c>
      <c r="J1824" s="3" t="inlineStr">
        <is>
          <t>부강면</t>
        </is>
      </c>
    </row>
    <row r="1825">
      <c r="A1825" s="3" t="n">
        <v>2022</v>
      </c>
      <c r="B1825" s="4" t="n">
        <v>7600</v>
      </c>
      <c r="C1825" s="4" t="n">
        <v>125</v>
      </c>
      <c r="D1825" s="3" t="inlineStr">
        <is>
          <t>부강면</t>
        </is>
      </c>
      <c r="E1825" s="3" t="inlineStr">
        <is>
          <t>금호리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37.8125</v>
      </c>
      <c r="I1825" s="5" t="n">
        <v>201</v>
      </c>
      <c r="J1825" s="3" t="inlineStr">
        <is>
          <t>부강면</t>
        </is>
      </c>
    </row>
    <row r="1826">
      <c r="A1826" s="3" t="n">
        <v>2022</v>
      </c>
      <c r="B1826" s="4" t="n">
        <v>19784</v>
      </c>
      <c r="C1826" s="4" t="n">
        <v>545</v>
      </c>
      <c r="D1826" s="3" t="inlineStr">
        <is>
          <t>연서면</t>
        </is>
      </c>
      <c r="E1826" s="3" t="inlineStr">
        <is>
          <t>쌍류리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164.8625</v>
      </c>
      <c r="I1826" s="5" t="n">
        <v>120</v>
      </c>
      <c r="J1826" s="3" t="inlineStr">
        <is>
          <t>연서면</t>
        </is>
      </c>
    </row>
    <row r="1827">
      <c r="A1827" s="3" t="n">
        <v>2022</v>
      </c>
      <c r="B1827" s="4" t="n">
        <v>62700</v>
      </c>
      <c r="C1827" s="4" t="n">
        <v>886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계획관리지역</t>
        </is>
      </c>
      <c r="G1827" s="3" t="inlineStr">
        <is>
          <t>대</t>
        </is>
      </c>
      <c r="H1827" s="4" t="n">
        <v>268.015</v>
      </c>
      <c r="I1827" s="5" t="n">
        <v>233.9</v>
      </c>
      <c r="J1827" s="3" t="inlineStr">
        <is>
          <t>연서면</t>
        </is>
      </c>
    </row>
    <row r="1828">
      <c r="A1828" s="3" t="n">
        <v>2025</v>
      </c>
      <c r="B1828" s="4" t="n">
        <v>30000</v>
      </c>
      <c r="C1828" s="4" t="n">
        <v>214</v>
      </c>
      <c r="D1828" s="3" t="inlineStr">
        <is>
          <t>조치원읍</t>
        </is>
      </c>
      <c r="E1828" s="3" t="inlineStr">
        <is>
          <t>신안리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64.735</v>
      </c>
      <c r="I1828" s="5" t="n">
        <v>463.4</v>
      </c>
      <c r="J1828" s="3" t="inlineStr">
        <is>
          <t>조치원읍</t>
        </is>
      </c>
    </row>
    <row r="1829">
      <c r="A1829" s="3" t="n">
        <v>2025</v>
      </c>
      <c r="B1829" s="4" t="n">
        <v>3750</v>
      </c>
      <c r="C1829" s="4" t="n">
        <v>51</v>
      </c>
      <c r="D1829" s="3" t="inlineStr">
        <is>
          <t>조치원읍</t>
        </is>
      </c>
      <c r="E1829" s="3" t="inlineStr">
        <is>
          <t>신안리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15.4275</v>
      </c>
      <c r="I1829" s="5" t="n">
        <v>243.1</v>
      </c>
      <c r="J1829" s="3" t="inlineStr">
        <is>
          <t>조치원읍</t>
        </is>
      </c>
    </row>
    <row r="1830">
      <c r="A1830" s="3" t="n">
        <v>2023</v>
      </c>
      <c r="B1830" s="4" t="n">
        <v>36935</v>
      </c>
      <c r="C1830" s="4" t="n">
        <v>310</v>
      </c>
      <c r="D1830" s="3" t="inlineStr">
        <is>
          <t>조치원읍</t>
        </is>
      </c>
      <c r="E1830" s="3" t="inlineStr">
        <is>
          <t>신흥리</t>
        </is>
      </c>
      <c r="F1830" s="3" t="inlineStr">
        <is>
          <t>제2종일반주거지역</t>
        </is>
      </c>
      <c r="G1830" s="3" t="inlineStr">
        <is>
          <t>전</t>
        </is>
      </c>
      <c r="H1830" s="4" t="n">
        <v>93.77499999999999</v>
      </c>
      <c r="I1830" s="5" t="n">
        <v>393.9</v>
      </c>
      <c r="J1830" s="3" t="inlineStr">
        <is>
          <t>조치원읍</t>
        </is>
      </c>
    </row>
    <row r="1831">
      <c r="A1831" s="3" t="n">
        <v>2023</v>
      </c>
      <c r="B1831" s="4" t="n">
        <v>27642</v>
      </c>
      <c r="C1831" s="4" t="n">
        <v>232</v>
      </c>
      <c r="D1831" s="3" t="inlineStr">
        <is>
          <t>조치원읍</t>
        </is>
      </c>
      <c r="E1831" s="3" t="inlineStr">
        <is>
          <t>신흥리</t>
        </is>
      </c>
      <c r="F1831" s="3" t="inlineStr">
        <is>
          <t>제2종일반주거지역</t>
        </is>
      </c>
      <c r="G1831" s="3" t="inlineStr">
        <is>
          <t>전</t>
        </is>
      </c>
      <c r="H1831" s="4" t="n">
        <v>70.17999999999999</v>
      </c>
      <c r="I1831" s="5" t="n">
        <v>393.9</v>
      </c>
      <c r="J1831" s="3" t="inlineStr">
        <is>
          <t>조치원읍</t>
        </is>
      </c>
    </row>
    <row r="1832">
      <c r="A1832" s="3" t="n">
        <v>2023</v>
      </c>
      <c r="B1832" s="4" t="n">
        <v>15423</v>
      </c>
      <c r="C1832" s="4" t="n">
        <v>165</v>
      </c>
      <c r="D1832" s="3" t="inlineStr">
        <is>
          <t>조치원읍</t>
        </is>
      </c>
      <c r="E1832" s="3" t="inlineStr">
        <is>
          <t>신흥리</t>
        </is>
      </c>
      <c r="F1832" s="3" t="inlineStr">
        <is>
          <t>제2종일반주거지역</t>
        </is>
      </c>
      <c r="G1832" s="3" t="inlineStr">
        <is>
          <t>전</t>
        </is>
      </c>
      <c r="H1832" s="4" t="n">
        <v>49.9125</v>
      </c>
      <c r="I1832" s="5" t="n">
        <v>309</v>
      </c>
      <c r="J1832" s="3" t="inlineStr">
        <is>
          <t>조치원읍</t>
        </is>
      </c>
    </row>
    <row r="1833">
      <c r="A1833" s="3" t="n">
        <v>2022</v>
      </c>
      <c r="B1833" s="4" t="n">
        <v>6300</v>
      </c>
      <c r="C1833" s="4" t="n">
        <v>2675</v>
      </c>
      <c r="D1833" s="3" t="inlineStr">
        <is>
          <t>연서면</t>
        </is>
      </c>
      <c r="E1833" s="3" t="inlineStr">
        <is>
          <t>쌍류리</t>
        </is>
      </c>
      <c r="F1833" s="3" t="inlineStr">
        <is>
          <t>보전관리지역</t>
        </is>
      </c>
      <c r="G1833" s="3" t="inlineStr">
        <is>
          <t>임야</t>
        </is>
      </c>
      <c r="H1833" s="4" t="n">
        <v>809.1875</v>
      </c>
      <c r="I1833" s="5" t="n">
        <v>7.8</v>
      </c>
      <c r="J1833" s="3" t="inlineStr">
        <is>
          <t>연서면</t>
        </is>
      </c>
    </row>
    <row r="1834">
      <c r="A1834" s="3" t="n">
        <v>2022</v>
      </c>
      <c r="B1834" s="4" t="n">
        <v>1000</v>
      </c>
      <c r="C1834" s="4" t="n">
        <v>345</v>
      </c>
      <c r="D1834" s="3" t="inlineStr">
        <is>
          <t>연서면</t>
        </is>
      </c>
      <c r="E1834" s="3" t="inlineStr">
        <is>
          <t>쌍류리</t>
        </is>
      </c>
      <c r="F1834" s="3" t="inlineStr">
        <is>
          <t>보전관리지역</t>
        </is>
      </c>
      <c r="G1834" s="3" t="inlineStr">
        <is>
          <t>임야</t>
        </is>
      </c>
      <c r="H1834" s="4" t="n">
        <v>104.3625</v>
      </c>
      <c r="I1834" s="5" t="n">
        <v>9.6</v>
      </c>
      <c r="J1834" s="3" t="inlineStr">
        <is>
          <t>연서면</t>
        </is>
      </c>
    </row>
    <row r="1835">
      <c r="A1835" s="3" t="n">
        <v>2022</v>
      </c>
      <c r="B1835" s="4" t="n">
        <v>2700</v>
      </c>
      <c r="C1835" s="4" t="n">
        <v>318</v>
      </c>
      <c r="D1835" s="3" t="inlineStr">
        <is>
          <t>연서면</t>
        </is>
      </c>
      <c r="E1835" s="3" t="inlineStr">
        <is>
          <t>쌍류리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96.19499999999999</v>
      </c>
      <c r="I1835" s="5" t="n">
        <v>28.1</v>
      </c>
      <c r="J1835" s="3" t="inlineStr">
        <is>
          <t>연서면</t>
        </is>
      </c>
    </row>
    <row r="1836">
      <c r="A1836" s="3" t="n">
        <v>2022</v>
      </c>
      <c r="B1836" s="4" t="n">
        <v>6300</v>
      </c>
      <c r="C1836" s="4" t="n">
        <v>2675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809.1875</v>
      </c>
      <c r="I1836" s="5" t="n">
        <v>7.8</v>
      </c>
      <c r="J1836" s="3" t="inlineStr">
        <is>
          <t>연서면</t>
        </is>
      </c>
    </row>
    <row r="1837">
      <c r="A1837" s="3" t="n">
        <v>2022</v>
      </c>
      <c r="B1837" s="4" t="n">
        <v>1000</v>
      </c>
      <c r="C1837" s="4" t="n">
        <v>345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임야</t>
        </is>
      </c>
      <c r="H1837" s="4" t="n">
        <v>104.3625</v>
      </c>
      <c r="I1837" s="5" t="n">
        <v>9.6</v>
      </c>
      <c r="J1837" s="3" t="inlineStr">
        <is>
          <t>연서면</t>
        </is>
      </c>
    </row>
    <row r="1838">
      <c r="A1838" s="3" t="n">
        <v>2022</v>
      </c>
      <c r="B1838" s="4" t="n">
        <v>2700</v>
      </c>
      <c r="C1838" s="4" t="n">
        <v>318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보전관리지역</t>
        </is>
      </c>
      <c r="G1838" s="3" t="inlineStr">
        <is>
          <t>임야</t>
        </is>
      </c>
      <c r="H1838" s="4" t="n">
        <v>96.19499999999999</v>
      </c>
      <c r="I1838" s="5" t="n">
        <v>28.1</v>
      </c>
      <c r="J1838" s="3" t="inlineStr">
        <is>
          <t>연서면</t>
        </is>
      </c>
    </row>
    <row r="1839">
      <c r="A1839" s="3" t="n">
        <v>2022</v>
      </c>
      <c r="B1839" s="4" t="n">
        <v>11365</v>
      </c>
      <c r="C1839" s="4" t="n">
        <v>6522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1972.905</v>
      </c>
      <c r="I1839" s="5" t="n">
        <v>5.8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12478</v>
      </c>
      <c r="C1841" s="4" t="n">
        <v>1650</v>
      </c>
      <c r="D1841" s="3" t="inlineStr">
        <is>
          <t>연서면</t>
        </is>
      </c>
      <c r="E1841" s="3" t="inlineStr">
        <is>
          <t>쌍류리</t>
        </is>
      </c>
      <c r="F1841" s="3" t="inlineStr">
        <is>
          <t>농림지역</t>
        </is>
      </c>
      <c r="G1841" s="3" t="inlineStr">
        <is>
          <t>임야</t>
        </is>
      </c>
      <c r="H1841" s="4" t="n">
        <v>499.125</v>
      </c>
      <c r="I1841" s="5" t="n">
        <v>25</v>
      </c>
      <c r="J1841" s="3" t="inlineStr">
        <is>
          <t>연서면</t>
        </is>
      </c>
    </row>
    <row r="1842">
      <c r="A1842" s="3" t="n">
        <v>2022</v>
      </c>
      <c r="B1842" s="4" t="n">
        <v>12478</v>
      </c>
      <c r="C1842" s="4" t="n">
        <v>1650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농림지역</t>
        </is>
      </c>
      <c r="G1842" s="3" t="inlineStr">
        <is>
          <t>임야</t>
        </is>
      </c>
      <c r="H1842" s="4" t="n">
        <v>499.125</v>
      </c>
      <c r="I1842" s="5" t="n">
        <v>25</v>
      </c>
      <c r="J1842" s="3" t="inlineStr">
        <is>
          <t>연서면</t>
        </is>
      </c>
    </row>
    <row r="1843">
      <c r="A1843" s="3" t="n">
        <v>2022</v>
      </c>
      <c r="B1843" s="4" t="n">
        <v>24956</v>
      </c>
      <c r="C1843" s="4" t="n">
        <v>3300</v>
      </c>
      <c r="D1843" s="3" t="inlineStr">
        <is>
          <t>연서면</t>
        </is>
      </c>
      <c r="E1843" s="3" t="inlineStr">
        <is>
          <t>쌍류리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998.25</v>
      </c>
      <c r="I1843" s="5" t="n">
        <v>25</v>
      </c>
      <c r="J1843" s="3" t="inlineStr">
        <is>
          <t>연서면</t>
        </is>
      </c>
    </row>
    <row r="1844">
      <c r="A1844" s="3" t="n">
        <v>2022</v>
      </c>
      <c r="B1844" s="4" t="n">
        <v>10000</v>
      </c>
      <c r="C1844" s="4" t="n">
        <v>298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자연녹지지역</t>
        </is>
      </c>
      <c r="G1844" s="3" t="inlineStr">
        <is>
          <t>답</t>
        </is>
      </c>
      <c r="H1844" s="4" t="n">
        <v>90.145</v>
      </c>
      <c r="I1844" s="5" t="n">
        <v>110.9</v>
      </c>
      <c r="J1844" s="3" t="inlineStr">
        <is>
          <t>조치원읍</t>
        </is>
      </c>
    </row>
    <row r="1845">
      <c r="A1845" s="3" t="n">
        <v>2022</v>
      </c>
      <c r="B1845" s="4" t="n">
        <v>25000</v>
      </c>
      <c r="C1845" s="4" t="n">
        <v>729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자연녹지지역</t>
        </is>
      </c>
      <c r="G1845" s="3" t="inlineStr">
        <is>
          <t>답</t>
        </is>
      </c>
      <c r="H1845" s="4" t="n">
        <v>220.5225</v>
      </c>
      <c r="I1845" s="5" t="n">
        <v>113.4</v>
      </c>
      <c r="J1845" s="3" t="inlineStr">
        <is>
          <t>조치원읍</t>
        </is>
      </c>
    </row>
    <row r="1846">
      <c r="A1846" s="3" t="n">
        <v>2022</v>
      </c>
      <c r="B1846" s="4" t="n">
        <v>9300</v>
      </c>
      <c r="C1846" s="4" t="n">
        <v>307</v>
      </c>
      <c r="D1846" s="3" t="inlineStr">
        <is>
          <t>연서면</t>
        </is>
      </c>
      <c r="E1846" s="3" t="inlineStr">
        <is>
          <t>신대리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92.86749999999999</v>
      </c>
      <c r="I1846" s="5" t="n">
        <v>100.1</v>
      </c>
      <c r="J1846" s="3" t="inlineStr">
        <is>
          <t>연서면</t>
        </is>
      </c>
    </row>
    <row r="1847">
      <c r="A1847" s="3" t="n">
        <v>2024</v>
      </c>
      <c r="B1847" s="4" t="n">
        <v>31000</v>
      </c>
      <c r="C1847" s="4" t="n">
        <v>168</v>
      </c>
      <c r="D1847" s="3" t="inlineStr">
        <is>
          <t>반곡동</t>
        </is>
      </c>
      <c r="E1847" s="3" t="inlineStr"/>
      <c r="F1847" s="3" t="inlineStr">
        <is>
          <t>제1종일반주거지역</t>
        </is>
      </c>
      <c r="G1847" s="3" t="inlineStr">
        <is>
          <t>대</t>
        </is>
      </c>
      <c r="H1847" s="4" t="n">
        <v>50.82</v>
      </c>
      <c r="I1847" s="5" t="n">
        <v>610</v>
      </c>
      <c r="J1847" s="3" t="inlineStr">
        <is>
          <t>반곡동</t>
        </is>
      </c>
    </row>
    <row r="1848">
      <c r="A1848" s="3" t="n">
        <v>2024</v>
      </c>
      <c r="B1848" s="4" t="n">
        <v>3200</v>
      </c>
      <c r="C1848" s="4" t="n">
        <v>509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153.9725</v>
      </c>
      <c r="I1848" s="5" t="n">
        <v>20.8</v>
      </c>
      <c r="J1848" s="3" t="inlineStr">
        <is>
          <t>부강면</t>
        </is>
      </c>
    </row>
    <row r="1849">
      <c r="A1849" s="3" t="n">
        <v>2024</v>
      </c>
      <c r="B1849" s="4" t="n">
        <v>7300</v>
      </c>
      <c r="C1849" s="4" t="n">
        <v>1193</v>
      </c>
      <c r="D1849" s="3" t="inlineStr">
        <is>
          <t>부강면</t>
        </is>
      </c>
      <c r="E1849" s="3" t="inlineStr">
        <is>
          <t>노호리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360.8825</v>
      </c>
      <c r="I1849" s="5" t="n">
        <v>20.2</v>
      </c>
      <c r="J1849" s="3" t="inlineStr">
        <is>
          <t>부강면</t>
        </is>
      </c>
    </row>
    <row r="1850">
      <c r="A1850" s="3" t="n">
        <v>2024</v>
      </c>
      <c r="B1850" s="4" t="n">
        <v>21500</v>
      </c>
      <c r="C1850" s="4" t="n">
        <v>1279</v>
      </c>
      <c r="D1850" s="3" t="inlineStr">
        <is>
          <t>연서면</t>
        </is>
      </c>
      <c r="E1850" s="3" t="inlineStr">
        <is>
          <t>청라리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386.8975</v>
      </c>
      <c r="I1850" s="5" t="n">
        <v>55.6</v>
      </c>
      <c r="J1850" s="3" t="inlineStr">
        <is>
          <t>연서면</t>
        </is>
      </c>
    </row>
    <row r="1851">
      <c r="A1851" s="3" t="n">
        <v>2024</v>
      </c>
      <c r="B1851" s="4" t="n">
        <v>18000</v>
      </c>
      <c r="C1851" s="4" t="n">
        <v>737</v>
      </c>
      <c r="D1851" s="3" t="inlineStr">
        <is>
          <t>연서면</t>
        </is>
      </c>
      <c r="E1851" s="3" t="inlineStr">
        <is>
          <t>용암리</t>
        </is>
      </c>
      <c r="F1851" s="3" t="inlineStr">
        <is>
          <t>농림지역</t>
        </is>
      </c>
      <c r="G1851" s="3" t="inlineStr">
        <is>
          <t>과수원</t>
        </is>
      </c>
      <c r="H1851" s="4" t="n">
        <v>222.9425</v>
      </c>
      <c r="I1851" s="5" t="n">
        <v>80.7</v>
      </c>
      <c r="J1851" s="3" t="inlineStr">
        <is>
          <t>연서면</t>
        </is>
      </c>
    </row>
    <row r="1852">
      <c r="A1852" s="3" t="n">
        <v>2024</v>
      </c>
      <c r="B1852" s="4" t="n">
        <v>1378</v>
      </c>
      <c r="C1852" s="4" t="n">
        <v>23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자연녹지지역</t>
        </is>
      </c>
      <c r="G1852" s="3" t="inlineStr">
        <is>
          <t>양어장</t>
        </is>
      </c>
      <c r="H1852" s="4" t="n">
        <v>6.9575</v>
      </c>
      <c r="I1852" s="5" t="n">
        <v>198.1</v>
      </c>
      <c r="J1852" s="3" t="inlineStr">
        <is>
          <t>조치원읍</t>
        </is>
      </c>
    </row>
    <row r="1853">
      <c r="A1853" s="3" t="n">
        <v>2024</v>
      </c>
      <c r="B1853" s="4" t="n">
        <v>180</v>
      </c>
      <c r="C1853" s="4" t="n">
        <v>3</v>
      </c>
      <c r="D1853" s="3" t="inlineStr">
        <is>
          <t>조치원읍</t>
        </is>
      </c>
      <c r="E1853" s="3" t="inlineStr">
        <is>
          <t>신안리</t>
        </is>
      </c>
      <c r="F1853" s="3" t="inlineStr">
        <is>
          <t>자연녹지지역</t>
        </is>
      </c>
      <c r="G1853" s="3" t="inlineStr">
        <is>
          <t>양어장</t>
        </is>
      </c>
      <c r="H1853" s="4" t="n">
        <v>0.9075</v>
      </c>
      <c r="I1853" s="5" t="n">
        <v>198.3</v>
      </c>
      <c r="J1853" s="3" t="inlineStr">
        <is>
          <t>조치원읍</t>
        </is>
      </c>
    </row>
    <row r="1854">
      <c r="A1854" s="3" t="n">
        <v>2024</v>
      </c>
      <c r="B1854" s="4" t="n">
        <v>1355</v>
      </c>
      <c r="C1854" s="4" t="n">
        <v>25</v>
      </c>
      <c r="D1854" s="3" t="inlineStr">
        <is>
          <t>조치원읍</t>
        </is>
      </c>
      <c r="E1854" s="3" t="inlineStr">
        <is>
          <t>신안리</t>
        </is>
      </c>
      <c r="F1854" s="3" t="inlineStr">
        <is>
          <t>자연녹지지역</t>
        </is>
      </c>
      <c r="G1854" s="3" t="inlineStr">
        <is>
          <t>공원</t>
        </is>
      </c>
      <c r="H1854" s="4" t="n">
        <v>7.5625</v>
      </c>
      <c r="I1854" s="5" t="n">
        <v>179.2</v>
      </c>
      <c r="J1854" s="3" t="inlineStr">
        <is>
          <t>조치원읍</t>
        </is>
      </c>
    </row>
    <row r="1855">
      <c r="A1855" s="3" t="n">
        <v>2024</v>
      </c>
      <c r="B1855" s="4" t="n">
        <v>20000</v>
      </c>
      <c r="C1855" s="4" t="n">
        <v>248</v>
      </c>
      <c r="D1855" s="3" t="inlineStr">
        <is>
          <t>조치원읍</t>
        </is>
      </c>
      <c r="E1855" s="3" t="inlineStr">
        <is>
          <t>교리</t>
        </is>
      </c>
      <c r="F1855" s="3" t="inlineStr">
        <is>
          <t>준주거지역</t>
        </is>
      </c>
      <c r="G1855" s="3" t="inlineStr">
        <is>
          <t>대</t>
        </is>
      </c>
      <c r="H1855" s="4" t="n">
        <v>75.02</v>
      </c>
      <c r="I1855" s="5" t="n">
        <v>266.6</v>
      </c>
      <c r="J1855" s="3" t="inlineStr">
        <is>
          <t>조치원읍</t>
        </is>
      </c>
    </row>
    <row r="1856">
      <c r="A1856" s="3" t="n">
        <v>2024</v>
      </c>
      <c r="B1856" s="4" t="n">
        <v>22824</v>
      </c>
      <c r="C1856" s="4" t="n">
        <v>503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보전관리지역</t>
        </is>
      </c>
      <c r="G1856" s="3" t="inlineStr">
        <is>
          <t>대</t>
        </is>
      </c>
      <c r="H1856" s="4" t="n">
        <v>152.1575</v>
      </c>
      <c r="I1856" s="5" t="n">
        <v>150</v>
      </c>
      <c r="J1856" s="3" t="inlineStr">
        <is>
          <t>연동면</t>
        </is>
      </c>
    </row>
    <row r="1857">
      <c r="A1857" s="3" t="n">
        <v>2024</v>
      </c>
      <c r="B1857" s="4" t="n">
        <v>11661</v>
      </c>
      <c r="C1857" s="4" t="n">
        <v>257</v>
      </c>
      <c r="D1857" s="3" t="inlineStr">
        <is>
          <t>연동면</t>
        </is>
      </c>
      <c r="E1857" s="3" t="inlineStr">
        <is>
          <t>내판리</t>
        </is>
      </c>
      <c r="F1857" s="3" t="inlineStr">
        <is>
          <t>보전관리지역</t>
        </is>
      </c>
      <c r="G1857" s="3" t="inlineStr">
        <is>
          <t>공원</t>
        </is>
      </c>
      <c r="H1857" s="4" t="n">
        <v>77.74249999999999</v>
      </c>
      <c r="I1857" s="5" t="n">
        <v>150</v>
      </c>
      <c r="J1857" s="3" t="inlineStr">
        <is>
          <t>연동면</t>
        </is>
      </c>
    </row>
    <row r="1858">
      <c r="A1858" s="3" t="n">
        <v>2024</v>
      </c>
      <c r="B1858" s="4" t="n">
        <v>71000</v>
      </c>
      <c r="C1858" s="4" t="n">
        <v>385.5</v>
      </c>
      <c r="D1858" s="3" t="inlineStr">
        <is>
          <t>고운동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116.61375</v>
      </c>
      <c r="I1858" s="5" t="n">
        <v>608.8</v>
      </c>
      <c r="J1858" s="3" t="inlineStr">
        <is>
          <t>고운동</t>
        </is>
      </c>
    </row>
    <row r="1859">
      <c r="A1859" s="3" t="n">
        <v>2024</v>
      </c>
      <c r="B1859" s="4" t="n">
        <v>16900</v>
      </c>
      <c r="C1859" s="4" t="n">
        <v>187</v>
      </c>
      <c r="D1859" s="3" t="inlineStr">
        <is>
          <t>연동면</t>
        </is>
      </c>
      <c r="E1859" s="3" t="inlineStr">
        <is>
          <t>문주리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56.5675</v>
      </c>
      <c r="I1859" s="5" t="n">
        <v>298.8</v>
      </c>
      <c r="J1859" s="3" t="inlineStr">
        <is>
          <t>연동면</t>
        </is>
      </c>
    </row>
    <row r="1860">
      <c r="A1860" s="3" t="n">
        <v>2024</v>
      </c>
      <c r="B1860" s="4" t="n">
        <v>2700</v>
      </c>
      <c r="C1860" s="4" t="n">
        <v>99</v>
      </c>
      <c r="D1860" s="3" t="inlineStr">
        <is>
          <t>연동면</t>
        </is>
      </c>
      <c r="E1860" s="3" t="inlineStr">
        <is>
          <t>문주리</t>
        </is>
      </c>
      <c r="F1860" s="3" t="inlineStr">
        <is>
          <t>보전관리지역</t>
        </is>
      </c>
      <c r="G1860" s="3" t="inlineStr">
        <is>
          <t>과수원</t>
        </is>
      </c>
      <c r="H1860" s="4" t="n">
        <v>29.9475</v>
      </c>
      <c r="I1860" s="5" t="n">
        <v>90.2</v>
      </c>
      <c r="J1860" s="3" t="inlineStr">
        <is>
          <t>연동면</t>
        </is>
      </c>
    </row>
    <row r="1861">
      <c r="A1861" s="3" t="n">
        <v>2024</v>
      </c>
      <c r="B1861" s="4" t="n">
        <v>2100</v>
      </c>
      <c r="C1861" s="4" t="n">
        <v>78</v>
      </c>
      <c r="D1861" s="3" t="inlineStr">
        <is>
          <t>연동면</t>
        </is>
      </c>
      <c r="E1861" s="3" t="inlineStr">
        <is>
          <t>문주리</t>
        </is>
      </c>
      <c r="F1861" s="3" t="inlineStr">
        <is>
          <t>보전관리지역</t>
        </is>
      </c>
      <c r="G1861" s="3" t="inlineStr">
        <is>
          <t>과수원</t>
        </is>
      </c>
      <c r="H1861" s="4" t="n">
        <v>23.595</v>
      </c>
      <c r="I1861" s="5" t="n">
        <v>89</v>
      </c>
      <c r="J1861" s="3" t="inlineStr">
        <is>
          <t>연동면</t>
        </is>
      </c>
    </row>
    <row r="1862">
      <c r="A1862" s="3" t="n">
        <v>2023</v>
      </c>
      <c r="B1862" s="4" t="n">
        <v>58113</v>
      </c>
      <c r="C1862" s="4" t="n">
        <v>484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잡종지</t>
        </is>
      </c>
      <c r="H1862" s="4" t="n">
        <v>146.41</v>
      </c>
      <c r="I1862" s="5" t="n">
        <v>396.9</v>
      </c>
      <c r="J1862" s="3" t="inlineStr">
        <is>
          <t>연동면</t>
        </is>
      </c>
    </row>
    <row r="1863">
      <c r="A1863" s="3" t="n">
        <v>2023</v>
      </c>
      <c r="B1863" s="4" t="n">
        <v>4089</v>
      </c>
      <c r="C1863" s="4" t="n">
        <v>250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75.625</v>
      </c>
      <c r="I1863" s="5" t="n">
        <v>54.1</v>
      </c>
      <c r="J1863" s="3" t="inlineStr">
        <is>
          <t>연동면</t>
        </is>
      </c>
    </row>
    <row r="1864">
      <c r="A1864" s="3" t="n">
        <v>2023</v>
      </c>
      <c r="B1864" s="4" t="n">
        <v>23448</v>
      </c>
      <c r="C1864" s="4" t="n">
        <v>1650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계획관리지역</t>
        </is>
      </c>
      <c r="G1864" s="3" t="inlineStr">
        <is>
          <t>전</t>
        </is>
      </c>
      <c r="H1864" s="4" t="n">
        <v>499.125</v>
      </c>
      <c r="I1864" s="5" t="n">
        <v>47</v>
      </c>
      <c r="J1864" s="3" t="inlineStr">
        <is>
          <t>연동면</t>
        </is>
      </c>
    </row>
    <row r="1865">
      <c r="A1865" s="3" t="n">
        <v>2023</v>
      </c>
      <c r="B1865" s="4" t="n">
        <v>464</v>
      </c>
      <c r="C1865" s="4" t="n">
        <v>43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계획관리지역</t>
        </is>
      </c>
      <c r="G1865" s="3" t="inlineStr">
        <is>
          <t>전</t>
        </is>
      </c>
      <c r="H1865" s="4" t="n">
        <v>13.0075</v>
      </c>
      <c r="I1865" s="5" t="n">
        <v>35.7</v>
      </c>
      <c r="J1865" s="3" t="inlineStr">
        <is>
          <t>연동면</t>
        </is>
      </c>
    </row>
    <row r="1866">
      <c r="A1866" s="3" t="n">
        <v>2023</v>
      </c>
      <c r="B1866" s="4" t="n">
        <v>9420</v>
      </c>
      <c r="C1866" s="4" t="n">
        <v>1799</v>
      </c>
      <c r="D1866" s="3" t="inlineStr">
        <is>
          <t>부강면</t>
        </is>
      </c>
      <c r="E1866" s="3" t="inlineStr">
        <is>
          <t>금호리</t>
        </is>
      </c>
      <c r="F1866" s="3" t="inlineStr">
        <is>
          <t>보전관리지역</t>
        </is>
      </c>
      <c r="G1866" s="3" t="inlineStr">
        <is>
          <t>도로</t>
        </is>
      </c>
      <c r="H1866" s="4" t="n">
        <v>544.1975</v>
      </c>
      <c r="I1866" s="5" t="n">
        <v>17.3</v>
      </c>
      <c r="J1866" s="3" t="inlineStr">
        <is>
          <t>부강면</t>
        </is>
      </c>
    </row>
    <row r="1867">
      <c r="A1867" s="3" t="n">
        <v>2023</v>
      </c>
      <c r="B1867" s="4" t="n">
        <v>220</v>
      </c>
      <c r="C1867" s="4" t="n">
        <v>42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12.705</v>
      </c>
      <c r="I1867" s="5" t="n">
        <v>17.3</v>
      </c>
      <c r="J1867" s="3" t="inlineStr">
        <is>
          <t>부강면</t>
        </is>
      </c>
    </row>
    <row r="1868">
      <c r="A1868" s="3" t="n">
        <v>2023</v>
      </c>
      <c r="B1868" s="4" t="n">
        <v>30000</v>
      </c>
      <c r="C1868" s="4" t="n">
        <v>1321</v>
      </c>
      <c r="D1868" s="3" t="inlineStr">
        <is>
          <t>부강면</t>
        </is>
      </c>
      <c r="E1868" s="3" t="inlineStr">
        <is>
          <t>금호리</t>
        </is>
      </c>
      <c r="F1868" s="3" t="inlineStr">
        <is>
          <t>생산관리지역</t>
        </is>
      </c>
      <c r="G1868" s="3" t="inlineStr">
        <is>
          <t>전</t>
        </is>
      </c>
      <c r="H1868" s="4" t="n">
        <v>399.6025</v>
      </c>
      <c r="I1868" s="5" t="n">
        <v>75.09999999999999</v>
      </c>
      <c r="J1868" s="3" t="inlineStr">
        <is>
          <t>부강면</t>
        </is>
      </c>
    </row>
    <row r="1869">
      <c r="A1869" s="3" t="n">
        <v>2023</v>
      </c>
      <c r="B1869" s="4" t="n">
        <v>95000</v>
      </c>
      <c r="C1869" s="4" t="n">
        <v>2686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계획관리지역</t>
        </is>
      </c>
      <c r="G1869" s="3" t="inlineStr">
        <is>
          <t>잡종지</t>
        </is>
      </c>
      <c r="H1869" s="4" t="n">
        <v>812.515</v>
      </c>
      <c r="I1869" s="5" t="n">
        <v>116.9</v>
      </c>
      <c r="J1869" s="3" t="inlineStr">
        <is>
          <t>연서면</t>
        </is>
      </c>
    </row>
    <row r="1870">
      <c r="A1870" s="3" t="n">
        <v>2023</v>
      </c>
      <c r="B1870" s="4" t="n">
        <v>11300</v>
      </c>
      <c r="C1870" s="4" t="n">
        <v>473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보전관리지역</t>
        </is>
      </c>
      <c r="G1870" s="3" t="inlineStr">
        <is>
          <t>답</t>
        </is>
      </c>
      <c r="H1870" s="4" t="n">
        <v>143.0825</v>
      </c>
      <c r="I1870" s="5" t="n">
        <v>79</v>
      </c>
      <c r="J1870" s="3" t="inlineStr">
        <is>
          <t>연서면</t>
        </is>
      </c>
    </row>
    <row r="1871">
      <c r="A1871" s="3" t="n">
        <v>2023</v>
      </c>
      <c r="B1871" s="4" t="n">
        <v>58700</v>
      </c>
      <c r="C1871" s="4" t="n">
        <v>2460</v>
      </c>
      <c r="D1871" s="3" t="inlineStr">
        <is>
          <t>연서면</t>
        </is>
      </c>
      <c r="E1871" s="3" t="inlineStr">
        <is>
          <t>신대리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744.15</v>
      </c>
      <c r="I1871" s="5" t="n">
        <v>78.90000000000001</v>
      </c>
      <c r="J1871" s="3" t="inlineStr">
        <is>
          <t>연서면</t>
        </is>
      </c>
    </row>
    <row r="1872">
      <c r="A1872" s="3" t="n">
        <v>2023</v>
      </c>
      <c r="B1872" s="4" t="n">
        <v>98000</v>
      </c>
      <c r="C1872" s="4" t="n">
        <v>2686</v>
      </c>
      <c r="D1872" s="3" t="inlineStr">
        <is>
          <t>연서면</t>
        </is>
      </c>
      <c r="E1872" s="3" t="inlineStr">
        <is>
          <t>신대리</t>
        </is>
      </c>
      <c r="F1872" s="3" t="inlineStr">
        <is>
          <t>계획관리지역</t>
        </is>
      </c>
      <c r="G1872" s="3" t="inlineStr">
        <is>
          <t>잡종지</t>
        </is>
      </c>
      <c r="H1872" s="4" t="n">
        <v>812.515</v>
      </c>
      <c r="I1872" s="5" t="n">
        <v>120.6</v>
      </c>
      <c r="J1872" s="3" t="inlineStr">
        <is>
          <t>연서면</t>
        </is>
      </c>
    </row>
    <row r="1873">
      <c r="A1873" s="3" t="n">
        <v>2023</v>
      </c>
      <c r="B1873" s="4" t="n">
        <v>16800</v>
      </c>
      <c r="C1873" s="4" t="n">
        <v>1388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생산관리지역</t>
        </is>
      </c>
      <c r="G1873" s="3" t="inlineStr">
        <is>
          <t>답</t>
        </is>
      </c>
      <c r="H1873" s="4" t="n">
        <v>419.87</v>
      </c>
      <c r="I1873" s="5" t="n">
        <v>40</v>
      </c>
      <c r="J1873" s="3" t="inlineStr">
        <is>
          <t>부강면</t>
        </is>
      </c>
    </row>
    <row r="1874">
      <c r="A1874" s="3" t="n">
        <v>2023</v>
      </c>
      <c r="B1874" s="4" t="n">
        <v>8500</v>
      </c>
      <c r="C1874" s="4" t="n">
        <v>704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212.96</v>
      </c>
      <c r="I1874" s="5" t="n">
        <v>39.9</v>
      </c>
      <c r="J1874" s="3" t="inlineStr">
        <is>
          <t>부강면</t>
        </is>
      </c>
    </row>
    <row r="1875">
      <c r="A1875" s="3" t="n">
        <v>2023</v>
      </c>
      <c r="B1875" s="4" t="n">
        <v>2600</v>
      </c>
      <c r="C1875" s="4" t="n">
        <v>110</v>
      </c>
      <c r="D1875" s="3" t="inlineStr">
        <is>
          <t>연서면</t>
        </is>
      </c>
      <c r="E1875" s="3" t="inlineStr">
        <is>
          <t>쌍류리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33.275</v>
      </c>
      <c r="I1875" s="5" t="n">
        <v>78.09999999999999</v>
      </c>
      <c r="J1875" s="3" t="inlineStr">
        <is>
          <t>연서면</t>
        </is>
      </c>
    </row>
    <row r="1876">
      <c r="A1876" s="3" t="n">
        <v>2023</v>
      </c>
      <c r="B1876" s="4" t="n">
        <v>154</v>
      </c>
      <c r="C1876" s="4" t="n">
        <v>11</v>
      </c>
      <c r="D1876" s="3" t="inlineStr">
        <is>
          <t>연동면</t>
        </is>
      </c>
      <c r="E1876" s="3" t="inlineStr">
        <is>
          <t>내판리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3.3275</v>
      </c>
      <c r="I1876" s="5" t="n">
        <v>46.3</v>
      </c>
      <c r="J1876" s="3" t="inlineStr">
        <is>
          <t>연동면</t>
        </is>
      </c>
    </row>
    <row r="1877">
      <c r="A1877" s="3" t="n">
        <v>2023</v>
      </c>
      <c r="B1877" s="4" t="n">
        <v>8346</v>
      </c>
      <c r="C1877" s="4" t="n">
        <v>597</v>
      </c>
      <c r="D1877" s="3" t="inlineStr">
        <is>
          <t>연동면</t>
        </is>
      </c>
      <c r="E1877" s="3" t="inlineStr">
        <is>
          <t>내판리</t>
        </is>
      </c>
      <c r="F1877" s="3" t="inlineStr">
        <is>
          <t>계획관리지역</t>
        </is>
      </c>
      <c r="G1877" s="3" t="inlineStr">
        <is>
          <t>대</t>
        </is>
      </c>
      <c r="H1877" s="4" t="n">
        <v>180.5925</v>
      </c>
      <c r="I1877" s="5" t="n">
        <v>46.2</v>
      </c>
      <c r="J1877" s="3" t="inlineStr">
        <is>
          <t>연동면</t>
        </is>
      </c>
    </row>
    <row r="1878">
      <c r="A1878" s="3" t="n">
        <v>2023</v>
      </c>
      <c r="B1878" s="4" t="n">
        <v>50</v>
      </c>
      <c r="C1878" s="4" t="n">
        <v>5</v>
      </c>
      <c r="D1878" s="3" t="inlineStr">
        <is>
          <t>연동면</t>
        </is>
      </c>
      <c r="E1878" s="3" t="inlineStr">
        <is>
          <t>내판리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1.5125</v>
      </c>
      <c r="I1878" s="5" t="n">
        <v>33.1</v>
      </c>
      <c r="J1878" s="3" t="inlineStr">
        <is>
          <t>연동면</t>
        </is>
      </c>
    </row>
    <row r="1879">
      <c r="A1879" s="3" t="n">
        <v>2023</v>
      </c>
      <c r="B1879" s="4" t="n">
        <v>7500</v>
      </c>
      <c r="C1879" s="4" t="n">
        <v>167</v>
      </c>
      <c r="D1879" s="3" t="inlineStr">
        <is>
          <t>연동면</t>
        </is>
      </c>
      <c r="E1879" s="3" t="inlineStr">
        <is>
          <t>내판리</t>
        </is>
      </c>
      <c r="F1879" s="3" t="inlineStr">
        <is>
          <t>계획관리지역</t>
        </is>
      </c>
      <c r="G1879" s="3" t="inlineStr">
        <is>
          <t>대</t>
        </is>
      </c>
      <c r="H1879" s="4" t="n">
        <v>50.5175</v>
      </c>
      <c r="I1879" s="5" t="n">
        <v>148.5</v>
      </c>
      <c r="J1879" s="3" t="inlineStr">
        <is>
          <t>연동면</t>
        </is>
      </c>
    </row>
    <row r="1880">
      <c r="A1880" s="3" t="n">
        <v>2023</v>
      </c>
      <c r="B1880" s="4" t="n">
        <v>3300</v>
      </c>
      <c r="C1880" s="4" t="n">
        <v>74</v>
      </c>
      <c r="D1880" s="3" t="inlineStr">
        <is>
          <t>연동면</t>
        </is>
      </c>
      <c r="E1880" s="3" t="inlineStr">
        <is>
          <t>내판리</t>
        </is>
      </c>
      <c r="F1880" s="3" t="inlineStr">
        <is>
          <t>계획관리지역</t>
        </is>
      </c>
      <c r="G1880" s="3" t="inlineStr">
        <is>
          <t>대</t>
        </is>
      </c>
      <c r="H1880" s="4" t="n">
        <v>22.385</v>
      </c>
      <c r="I1880" s="5" t="n">
        <v>147.4</v>
      </c>
      <c r="J1880" s="3" t="inlineStr">
        <is>
          <t>연동면</t>
        </is>
      </c>
    </row>
    <row r="1881">
      <c r="A1881" s="3" t="n">
        <v>2023</v>
      </c>
      <c r="B1881" s="4" t="n">
        <v>3930</v>
      </c>
      <c r="C1881" s="4" t="n">
        <v>89</v>
      </c>
      <c r="D1881" s="3" t="inlineStr">
        <is>
          <t>연동면</t>
        </is>
      </c>
      <c r="E1881" s="3" t="inlineStr">
        <is>
          <t>내판리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26.9225</v>
      </c>
      <c r="I1881" s="5" t="n">
        <v>146</v>
      </c>
      <c r="J1881" s="3" t="inlineStr">
        <is>
          <t>연동면</t>
        </is>
      </c>
    </row>
    <row r="1882">
      <c r="A1882" s="3" t="n">
        <v>2022</v>
      </c>
      <c r="B1882" s="4" t="n">
        <v>130000</v>
      </c>
      <c r="C1882" s="4" t="n">
        <v>45841</v>
      </c>
      <c r="D1882" s="3" t="inlineStr">
        <is>
          <t>부강면</t>
        </is>
      </c>
      <c r="E1882" s="3" t="inlineStr">
        <is>
          <t>등곡리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13866.9025</v>
      </c>
      <c r="I1882" s="5" t="n">
        <v>9.4</v>
      </c>
      <c r="J1882" s="3" t="inlineStr">
        <is>
          <t>부강면</t>
        </is>
      </c>
    </row>
    <row r="1883">
      <c r="A1883" s="3" t="n">
        <v>2022</v>
      </c>
      <c r="B1883" s="4" t="n">
        <v>20000</v>
      </c>
      <c r="C1883" s="4" t="n">
        <v>839</v>
      </c>
      <c r="D1883" s="3" t="inlineStr">
        <is>
          <t>부강면</t>
        </is>
      </c>
      <c r="E1883" s="3" t="inlineStr">
        <is>
          <t>등곡리</t>
        </is>
      </c>
      <c r="F1883" s="3" t="inlineStr">
        <is>
          <t>계획관리지역</t>
        </is>
      </c>
      <c r="G1883" s="3" t="inlineStr">
        <is>
          <t>목장용지</t>
        </is>
      </c>
      <c r="H1883" s="4" t="n">
        <v>253.7975</v>
      </c>
      <c r="I1883" s="5" t="n">
        <v>78.8</v>
      </c>
      <c r="J1883" s="3" t="inlineStr">
        <is>
          <t>부강면</t>
        </is>
      </c>
    </row>
    <row r="1884">
      <c r="A1884" s="3" t="n">
        <v>2022</v>
      </c>
      <c r="B1884" s="4" t="n">
        <v>13500</v>
      </c>
      <c r="C1884" s="4" t="n">
        <v>446</v>
      </c>
      <c r="D1884" s="3" t="inlineStr">
        <is>
          <t>연서면</t>
        </is>
      </c>
      <c r="E1884" s="3" t="inlineStr">
        <is>
          <t>국촌리</t>
        </is>
      </c>
      <c r="F1884" s="3" t="inlineStr">
        <is>
          <t>계획관리지역</t>
        </is>
      </c>
      <c r="G1884" s="3" t="inlineStr">
        <is>
          <t>전</t>
        </is>
      </c>
      <c r="H1884" s="4" t="n">
        <v>134.915</v>
      </c>
      <c r="I1884" s="5" t="n">
        <v>100.1</v>
      </c>
      <c r="J1884" s="3" t="inlineStr">
        <is>
          <t>연서면</t>
        </is>
      </c>
    </row>
    <row r="1885">
      <c r="A1885" s="3" t="n">
        <v>2022</v>
      </c>
      <c r="B1885" s="4" t="n">
        <v>140000</v>
      </c>
      <c r="C1885" s="4" t="n">
        <v>11901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3600.0525</v>
      </c>
      <c r="I1885" s="5" t="n">
        <v>38.9</v>
      </c>
      <c r="J1885" s="3" t="inlineStr">
        <is>
          <t>연서면</t>
        </is>
      </c>
    </row>
    <row r="1886">
      <c r="A1886" s="3" t="n">
        <v>2023</v>
      </c>
      <c r="B1886" s="4" t="n">
        <v>270</v>
      </c>
      <c r="C1886" s="4" t="n">
        <v>6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계획관리지역</t>
        </is>
      </c>
      <c r="G1886" s="3" t="inlineStr">
        <is>
          <t>대</t>
        </is>
      </c>
      <c r="H1886" s="4" t="n">
        <v>1.815</v>
      </c>
      <c r="I1886" s="5" t="n">
        <v>148.8</v>
      </c>
      <c r="J1886" s="3" t="inlineStr">
        <is>
          <t>연동면</t>
        </is>
      </c>
    </row>
    <row r="1887">
      <c r="A1887" s="3" t="n">
        <v>2025</v>
      </c>
      <c r="B1887" s="4" t="n">
        <v>39000</v>
      </c>
      <c r="C1887" s="4" t="n">
        <v>315</v>
      </c>
      <c r="D1887" s="3" t="inlineStr">
        <is>
          <t>다정동</t>
        </is>
      </c>
      <c r="E1887" s="3" t="inlineStr"/>
      <c r="F1887" s="3" t="inlineStr">
        <is>
          <t>제1종전용주거지역</t>
        </is>
      </c>
      <c r="G1887" s="3" t="inlineStr">
        <is>
          <t>대</t>
        </is>
      </c>
      <c r="H1887" s="4" t="n">
        <v>95.28749999999999</v>
      </c>
      <c r="I1887" s="5" t="n">
        <v>409.3</v>
      </c>
      <c r="J1887" s="3" t="inlineStr">
        <is>
          <t>다정동</t>
        </is>
      </c>
    </row>
    <row r="1888">
      <c r="A1888" s="3" t="n">
        <v>2025</v>
      </c>
      <c r="B1888" s="4" t="n">
        <v>31530</v>
      </c>
      <c r="C1888" s="4" t="n">
        <v>330.7</v>
      </c>
      <c r="D1888" s="3" t="inlineStr">
        <is>
          <t>해밀동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100.03675</v>
      </c>
      <c r="I1888" s="5" t="n">
        <v>315.2</v>
      </c>
      <c r="J1888" s="3" t="inlineStr">
        <is>
          <t>해밀동</t>
        </is>
      </c>
    </row>
    <row r="1889">
      <c r="A1889" s="3" t="n">
        <v>2025</v>
      </c>
      <c r="B1889" s="4" t="n">
        <v>32100</v>
      </c>
      <c r="C1889" s="4" t="n">
        <v>319.9</v>
      </c>
      <c r="D1889" s="3" t="inlineStr">
        <is>
          <t>집현동</t>
        </is>
      </c>
      <c r="E1889" s="3" t="inlineStr"/>
      <c r="F1889" s="3" t="inlineStr">
        <is>
          <t>제1종일반주거지역</t>
        </is>
      </c>
      <c r="G1889" s="3" t="inlineStr">
        <is>
          <t>대</t>
        </is>
      </c>
      <c r="H1889" s="4" t="n">
        <v>96.76974999999999</v>
      </c>
      <c r="I1889" s="5" t="n">
        <v>331.7</v>
      </c>
      <c r="J1889" s="3" t="inlineStr">
        <is>
          <t>집현동</t>
        </is>
      </c>
    </row>
    <row r="1890">
      <c r="A1890" s="3" t="n">
        <v>2025</v>
      </c>
      <c r="B1890" s="4" t="n">
        <v>29630</v>
      </c>
      <c r="C1890" s="4" t="n">
        <v>279.3</v>
      </c>
      <c r="D1890" s="3" t="inlineStr">
        <is>
          <t>해밀동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84.48825000000001</v>
      </c>
      <c r="I1890" s="5" t="n">
        <v>350.7</v>
      </c>
      <c r="J1890" s="3" t="inlineStr">
        <is>
          <t>해밀동</t>
        </is>
      </c>
    </row>
    <row r="1891">
      <c r="A1891" s="3" t="n">
        <v>2025</v>
      </c>
      <c r="B1891" s="4" t="n">
        <v>1500</v>
      </c>
      <c r="C1891" s="4" t="n">
        <v>165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생산관리지역</t>
        </is>
      </c>
      <c r="G1891" s="3" t="inlineStr">
        <is>
          <t>전</t>
        </is>
      </c>
      <c r="H1891" s="4" t="n">
        <v>49.9125</v>
      </c>
      <c r="I1891" s="5" t="n">
        <v>30.1</v>
      </c>
      <c r="J1891" s="3" t="inlineStr">
        <is>
          <t>연서면</t>
        </is>
      </c>
    </row>
    <row r="1892">
      <c r="A1892" s="3" t="n">
        <v>2025</v>
      </c>
      <c r="B1892" s="4" t="n">
        <v>1500</v>
      </c>
      <c r="C1892" s="4" t="n">
        <v>165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49.9125</v>
      </c>
      <c r="I1892" s="5" t="n">
        <v>30.1</v>
      </c>
      <c r="J1892" s="3" t="inlineStr">
        <is>
          <t>연서면</t>
        </is>
      </c>
    </row>
    <row r="1893">
      <c r="A1893" s="3" t="n">
        <v>2025</v>
      </c>
      <c r="B1893" s="4" t="n">
        <v>5280</v>
      </c>
      <c r="C1893" s="4" t="n">
        <v>88</v>
      </c>
      <c r="D1893" s="3" t="inlineStr">
        <is>
          <t>연서면</t>
        </is>
      </c>
      <c r="E1893" s="3" t="inlineStr">
        <is>
          <t>쌍전리</t>
        </is>
      </c>
      <c r="F1893" s="3" t="inlineStr">
        <is>
          <t>자연녹지지역</t>
        </is>
      </c>
      <c r="G1893" s="3" t="inlineStr">
        <is>
          <t>잡종지</t>
        </is>
      </c>
      <c r="H1893" s="4" t="n">
        <v>26.62</v>
      </c>
      <c r="I1893" s="5" t="n">
        <v>198.3</v>
      </c>
      <c r="J1893" s="3" t="inlineStr">
        <is>
          <t>연서면</t>
        </is>
      </c>
    </row>
    <row r="1894">
      <c r="A1894" s="3" t="n">
        <v>2025</v>
      </c>
      <c r="B1894" s="4" t="n">
        <v>4720</v>
      </c>
      <c r="C1894" s="4" t="n">
        <v>78</v>
      </c>
      <c r="D1894" s="3" t="inlineStr">
        <is>
          <t>연서면</t>
        </is>
      </c>
      <c r="E1894" s="3" t="inlineStr">
        <is>
          <t>쌍전리</t>
        </is>
      </c>
      <c r="F1894" s="3" t="inlineStr">
        <is>
          <t>자연녹지지역</t>
        </is>
      </c>
      <c r="G1894" s="3" t="inlineStr">
        <is>
          <t>잡종지</t>
        </is>
      </c>
      <c r="H1894" s="4" t="n">
        <v>23.595</v>
      </c>
      <c r="I1894" s="5" t="n">
        <v>200</v>
      </c>
      <c r="J1894" s="3" t="inlineStr">
        <is>
          <t>연서면</t>
        </is>
      </c>
    </row>
    <row r="1895">
      <c r="A1895" s="3" t="n">
        <v>2025</v>
      </c>
      <c r="B1895" s="4" t="n">
        <v>13700</v>
      </c>
      <c r="C1895" s="4" t="n">
        <v>1372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전</t>
        </is>
      </c>
      <c r="H1895" s="4" t="n">
        <v>415.03</v>
      </c>
      <c r="I1895" s="5" t="n">
        <v>33</v>
      </c>
      <c r="J1895" s="3" t="inlineStr">
        <is>
          <t>연서면</t>
        </is>
      </c>
    </row>
    <row r="1896">
      <c r="A1896" s="3" t="n">
        <v>2025</v>
      </c>
      <c r="B1896" s="4" t="n">
        <v>7800</v>
      </c>
      <c r="C1896" s="4" t="n">
        <v>783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전</t>
        </is>
      </c>
      <c r="H1896" s="4" t="n">
        <v>236.8575</v>
      </c>
      <c r="I1896" s="5" t="n">
        <v>32.9</v>
      </c>
      <c r="J1896" s="3" t="inlineStr">
        <is>
          <t>연서면</t>
        </is>
      </c>
    </row>
    <row r="1897">
      <c r="A1897" s="3" t="n">
        <v>2026</v>
      </c>
      <c r="B1897" s="4" t="n">
        <v>1000</v>
      </c>
      <c r="C1897" s="4" t="n">
        <v>102</v>
      </c>
      <c r="D1897" s="3" t="inlineStr">
        <is>
          <t>부강면</t>
        </is>
      </c>
      <c r="E1897" s="3" t="inlineStr">
        <is>
          <t>산수리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30.855</v>
      </c>
      <c r="I1897" s="5" t="n">
        <v>32.4</v>
      </c>
      <c r="J1897" s="3" t="inlineStr">
        <is>
          <t>부강면</t>
        </is>
      </c>
    </row>
    <row r="1898">
      <c r="A1898" s="3" t="n">
        <v>2026</v>
      </c>
      <c r="B1898" s="4" t="n">
        <v>4200</v>
      </c>
      <c r="C1898" s="4" t="n">
        <v>393</v>
      </c>
      <c r="D1898" s="3" t="inlineStr">
        <is>
          <t>부강면</t>
        </is>
      </c>
      <c r="E1898" s="3" t="inlineStr">
        <is>
          <t>산수리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118.8825</v>
      </c>
      <c r="I1898" s="5" t="n">
        <v>35.3</v>
      </c>
      <c r="J1898" s="3" t="inlineStr">
        <is>
          <t>부강면</t>
        </is>
      </c>
    </row>
    <row r="1899">
      <c r="A1899" s="3" t="n">
        <v>2026</v>
      </c>
      <c r="B1899" s="4" t="n">
        <v>62360</v>
      </c>
      <c r="C1899" s="4" t="n">
        <v>4820</v>
      </c>
      <c r="D1899" s="3" t="inlineStr">
        <is>
          <t>부강면</t>
        </is>
      </c>
      <c r="E1899" s="3" t="inlineStr">
        <is>
          <t>갈산리</t>
        </is>
      </c>
      <c r="F1899" s="3" t="inlineStr">
        <is>
          <t>계획관리지역</t>
        </is>
      </c>
      <c r="G1899" s="3" t="inlineStr">
        <is>
          <t>전</t>
        </is>
      </c>
      <c r="H1899" s="4" t="n">
        <v>1458.05</v>
      </c>
      <c r="I1899" s="5" t="n">
        <v>42.8</v>
      </c>
      <c r="J1899" s="3" t="inlineStr">
        <is>
          <t>부강면</t>
        </is>
      </c>
    </row>
    <row r="1900">
      <c r="A1900" s="3" t="n">
        <v>2026</v>
      </c>
      <c r="B1900" s="4" t="n">
        <v>7340</v>
      </c>
      <c r="C1900" s="4" t="n">
        <v>122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36.905</v>
      </c>
      <c r="I1900" s="5" t="n">
        <v>198.9</v>
      </c>
      <c r="J1900" s="3" t="inlineStr">
        <is>
          <t>부강면</t>
        </is>
      </c>
    </row>
    <row r="1901">
      <c r="A1901" s="3" t="n">
        <v>2024</v>
      </c>
      <c r="B1901" s="4" t="n">
        <v>39204</v>
      </c>
      <c r="C1901" s="4" t="n">
        <v>540</v>
      </c>
      <c r="D1901" s="3" t="inlineStr">
        <is>
          <t>연서면</t>
        </is>
      </c>
      <c r="E1901" s="3" t="inlineStr">
        <is>
          <t>신대리</t>
        </is>
      </c>
      <c r="F1901" s="3" t="inlineStr">
        <is>
          <t>계획관리지역</t>
        </is>
      </c>
      <c r="G1901" s="3" t="inlineStr">
        <is>
          <t>대</t>
        </is>
      </c>
      <c r="H1901" s="4" t="n">
        <v>163.35</v>
      </c>
      <c r="I1901" s="5" t="n">
        <v>240</v>
      </c>
      <c r="J1901" s="3" t="inlineStr">
        <is>
          <t>연서면</t>
        </is>
      </c>
    </row>
    <row r="1902">
      <c r="A1902" s="3" t="n">
        <v>2024</v>
      </c>
      <c r="B1902" s="4" t="n">
        <v>35638</v>
      </c>
      <c r="C1902" s="4" t="n">
        <v>561</v>
      </c>
      <c r="D1902" s="3" t="inlineStr">
        <is>
          <t>연서면</t>
        </is>
      </c>
      <c r="E1902" s="3" t="inlineStr">
        <is>
          <t>신대리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169.7025</v>
      </c>
      <c r="I1902" s="5" t="n">
        <v>210</v>
      </c>
      <c r="J1902" s="3" t="inlineStr">
        <is>
          <t>연서면</t>
        </is>
      </c>
    </row>
    <row r="1903">
      <c r="A1903" s="3" t="n">
        <v>2024</v>
      </c>
      <c r="B1903" s="4" t="n">
        <v>1300</v>
      </c>
      <c r="C1903" s="4" t="n">
        <v>42</v>
      </c>
      <c r="D1903" s="3" t="inlineStr">
        <is>
          <t>연서면</t>
        </is>
      </c>
      <c r="E1903" s="3" t="inlineStr">
        <is>
          <t>국촌리</t>
        </is>
      </c>
      <c r="F1903" s="3" t="inlineStr">
        <is>
          <t>계획관리지역</t>
        </is>
      </c>
      <c r="G1903" s="3" t="inlineStr">
        <is>
          <t>임야</t>
        </is>
      </c>
      <c r="H1903" s="4" t="n">
        <v>12.705</v>
      </c>
      <c r="I1903" s="5" t="n">
        <v>102.3</v>
      </c>
      <c r="J1903" s="3" t="inlineStr">
        <is>
          <t>연서면</t>
        </is>
      </c>
    </row>
    <row r="1904">
      <c r="A1904" s="3" t="n">
        <v>2024</v>
      </c>
      <c r="B1904" s="4" t="n">
        <v>50000</v>
      </c>
      <c r="C1904" s="4" t="n">
        <v>331.9</v>
      </c>
      <c r="D1904" s="3" t="inlineStr">
        <is>
          <t>고운동</t>
        </is>
      </c>
      <c r="E1904" s="3" t="inlineStr"/>
      <c r="F1904" s="3" t="inlineStr">
        <is>
          <t>제1종전용주거지역</t>
        </is>
      </c>
      <c r="G1904" s="3" t="inlineStr">
        <is>
          <t>대</t>
        </is>
      </c>
      <c r="H1904" s="4" t="n">
        <v>100.39975</v>
      </c>
      <c r="I1904" s="5" t="n">
        <v>498</v>
      </c>
      <c r="J1904" s="3" t="inlineStr">
        <is>
          <t>고운동</t>
        </is>
      </c>
    </row>
    <row r="1905">
      <c r="A1905" s="3" t="n">
        <v>2024</v>
      </c>
      <c r="B1905" s="4" t="n">
        <v>5200</v>
      </c>
      <c r="C1905" s="4" t="n">
        <v>139</v>
      </c>
      <c r="D1905" s="3" t="inlineStr">
        <is>
          <t>연서면</t>
        </is>
      </c>
      <c r="E1905" s="3" t="inlineStr">
        <is>
          <t>봉암리</t>
        </is>
      </c>
      <c r="F1905" s="3" t="inlineStr">
        <is>
          <t>계획관리지역</t>
        </is>
      </c>
      <c r="G1905" s="3" t="inlineStr">
        <is>
          <t>대</t>
        </is>
      </c>
      <c r="H1905" s="4" t="n">
        <v>42.0475</v>
      </c>
      <c r="I1905" s="5" t="n">
        <v>123.7</v>
      </c>
      <c r="J1905" s="3" t="inlineStr">
        <is>
          <t>연서면</t>
        </is>
      </c>
    </row>
    <row r="1906">
      <c r="A1906" s="3" t="n">
        <v>2024</v>
      </c>
      <c r="B1906" s="4" t="n">
        <v>55000</v>
      </c>
      <c r="C1906" s="4" t="n">
        <v>353.6</v>
      </c>
      <c r="D1906" s="3" t="inlineStr">
        <is>
          <t>고운동</t>
        </is>
      </c>
      <c r="E1906" s="3" t="inlineStr"/>
      <c r="F1906" s="3" t="inlineStr">
        <is>
          <t>제1종전용주거지역</t>
        </is>
      </c>
      <c r="G1906" s="3" t="inlineStr">
        <is>
          <t>대</t>
        </is>
      </c>
      <c r="H1906" s="4" t="n">
        <v>106.964</v>
      </c>
      <c r="I1906" s="5" t="n">
        <v>514.2</v>
      </c>
      <c r="J1906" s="3" t="inlineStr">
        <is>
          <t>고운동</t>
        </is>
      </c>
    </row>
    <row r="1907">
      <c r="A1907" s="3" t="n">
        <v>2024</v>
      </c>
      <c r="B1907" s="4" t="n">
        <v>22500</v>
      </c>
      <c r="C1907" s="4" t="n">
        <v>163</v>
      </c>
      <c r="D1907" s="3" t="inlineStr">
        <is>
          <t>반곡동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49.3075</v>
      </c>
      <c r="I1907" s="5" t="n">
        <v>456.3</v>
      </c>
      <c r="J1907" s="3" t="inlineStr">
        <is>
          <t>반곡동</t>
        </is>
      </c>
    </row>
    <row r="1908">
      <c r="A1908" s="3" t="n">
        <v>2024</v>
      </c>
      <c r="B1908" s="4" t="n">
        <v>122390</v>
      </c>
      <c r="C1908" s="4" t="n">
        <v>2749</v>
      </c>
      <c r="D1908" s="3" t="inlineStr">
        <is>
          <t>연서면</t>
        </is>
      </c>
      <c r="E1908" s="3" t="inlineStr">
        <is>
          <t>와촌리</t>
        </is>
      </c>
      <c r="F1908" s="3" t="inlineStr">
        <is>
          <t>계획관리지역</t>
        </is>
      </c>
      <c r="G1908" s="3" t="inlineStr">
        <is>
          <t>과수원</t>
        </is>
      </c>
      <c r="H1908" s="4" t="n">
        <v>831.5725</v>
      </c>
      <c r="I1908" s="5" t="n">
        <v>147.2</v>
      </c>
      <c r="J1908" s="3" t="inlineStr">
        <is>
          <t>연서면</t>
        </is>
      </c>
    </row>
    <row r="1909">
      <c r="A1909" s="3" t="n">
        <v>2024</v>
      </c>
      <c r="B1909" s="4" t="n">
        <v>2000</v>
      </c>
      <c r="C1909" s="4" t="n">
        <v>28</v>
      </c>
      <c r="D1909" s="3" t="inlineStr">
        <is>
          <t>조치원읍</t>
        </is>
      </c>
      <c r="E1909" s="3" t="inlineStr">
        <is>
          <t>신안리</t>
        </is>
      </c>
      <c r="F1909" s="3" t="inlineStr">
        <is>
          <t>제2종일반주거지역</t>
        </is>
      </c>
      <c r="G1909" s="3" t="inlineStr">
        <is>
          <t>제방</t>
        </is>
      </c>
      <c r="H1909" s="4" t="n">
        <v>8.469999999999999</v>
      </c>
      <c r="I1909" s="5" t="n">
        <v>236.1</v>
      </c>
      <c r="J1909" s="3" t="inlineStr">
        <is>
          <t>조치원읍</t>
        </is>
      </c>
    </row>
    <row r="1910">
      <c r="A1910" s="3" t="n">
        <v>2024</v>
      </c>
      <c r="B1910" s="4" t="n">
        <v>9000</v>
      </c>
      <c r="C1910" s="4" t="n">
        <v>83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대</t>
        </is>
      </c>
      <c r="H1910" s="4" t="n">
        <v>25.1075</v>
      </c>
      <c r="I1910" s="5" t="n">
        <v>358.5</v>
      </c>
      <c r="J1910" s="3" t="inlineStr">
        <is>
          <t>조치원읍</t>
        </is>
      </c>
    </row>
    <row r="1911">
      <c r="A1911" s="3" t="n">
        <v>2024</v>
      </c>
      <c r="B1911" s="4" t="n">
        <v>9120</v>
      </c>
      <c r="C1911" s="4" t="n">
        <v>754</v>
      </c>
      <c r="D1911" s="3" t="inlineStr">
        <is>
          <t>부강면</t>
        </is>
      </c>
      <c r="E1911" s="3" t="inlineStr">
        <is>
          <t>노호리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228.085</v>
      </c>
      <c r="I1911" s="5" t="n">
        <v>40</v>
      </c>
      <c r="J1911" s="3" t="inlineStr">
        <is>
          <t>부강면</t>
        </is>
      </c>
    </row>
    <row r="1912">
      <c r="A1912" s="3" t="n">
        <v>2024</v>
      </c>
      <c r="B1912" s="4" t="n">
        <v>3506</v>
      </c>
      <c r="C1912" s="4" t="n">
        <v>68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20.57</v>
      </c>
      <c r="I1912" s="5" t="n">
        <v>170.4</v>
      </c>
      <c r="J1912" s="3" t="inlineStr">
        <is>
          <t>조치원읍</t>
        </is>
      </c>
    </row>
    <row r="1913">
      <c r="A1913" s="3" t="n">
        <v>2024</v>
      </c>
      <c r="B1913" s="4" t="n">
        <v>45000</v>
      </c>
      <c r="C1913" s="4" t="n">
        <v>769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생산관리지역</t>
        </is>
      </c>
      <c r="G1913" s="3" t="inlineStr">
        <is>
          <t>답</t>
        </is>
      </c>
      <c r="H1913" s="4" t="n">
        <v>232.6225</v>
      </c>
      <c r="I1913" s="5" t="n">
        <v>193.4</v>
      </c>
      <c r="J1913" s="3" t="inlineStr">
        <is>
          <t>연서면</t>
        </is>
      </c>
    </row>
    <row r="1914">
      <c r="A1914" s="3" t="n">
        <v>2024</v>
      </c>
      <c r="B1914" s="4" t="n">
        <v>5000</v>
      </c>
      <c r="C1914" s="4" t="n">
        <v>119</v>
      </c>
      <c r="D1914" s="3" t="inlineStr">
        <is>
          <t>연서면</t>
        </is>
      </c>
      <c r="E1914" s="3" t="inlineStr">
        <is>
          <t>와촌리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35.9975</v>
      </c>
      <c r="I1914" s="5" t="n">
        <v>138.9</v>
      </c>
      <c r="J1914" s="3" t="inlineStr">
        <is>
          <t>연서면</t>
        </is>
      </c>
    </row>
    <row r="1915">
      <c r="A1915" s="3" t="n">
        <v>2026</v>
      </c>
      <c r="B1915" s="4" t="n">
        <v>15000</v>
      </c>
      <c r="C1915" s="4" t="n">
        <v>1068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323.07</v>
      </c>
      <c r="I1915" s="5" t="n">
        <v>46.4</v>
      </c>
      <c r="J1915" s="3" t="inlineStr">
        <is>
          <t>연서면</t>
        </is>
      </c>
    </row>
    <row r="1916">
      <c r="A1916" s="3" t="n">
        <v>2026</v>
      </c>
      <c r="B1916" s="4" t="n">
        <v>4300</v>
      </c>
      <c r="C1916" s="4" t="n">
        <v>522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보전관리지역</t>
        </is>
      </c>
      <c r="G1916" s="3" t="inlineStr">
        <is>
          <t>전</t>
        </is>
      </c>
      <c r="H1916" s="4" t="n">
        <v>157.905</v>
      </c>
      <c r="I1916" s="5" t="n">
        <v>27.2</v>
      </c>
      <c r="J1916" s="3" t="inlineStr">
        <is>
          <t>연서면</t>
        </is>
      </c>
    </row>
    <row r="1917">
      <c r="A1917" s="3" t="n">
        <v>2026</v>
      </c>
      <c r="B1917" s="4" t="n">
        <v>51500</v>
      </c>
      <c r="C1917" s="4" t="n">
        <v>354</v>
      </c>
      <c r="D1917" s="3" t="inlineStr">
        <is>
          <t>한솔동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107.085</v>
      </c>
      <c r="I1917" s="5" t="n">
        <v>480.9</v>
      </c>
      <c r="J1917" s="3" t="inlineStr">
        <is>
          <t>한솔동</t>
        </is>
      </c>
    </row>
    <row r="1918">
      <c r="A1918" s="3" t="n">
        <v>2023</v>
      </c>
      <c r="B1918" s="4" t="n">
        <v>3000</v>
      </c>
      <c r="C1918" s="4" t="n">
        <v>238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보전관리지역</t>
        </is>
      </c>
      <c r="G1918" s="3" t="inlineStr">
        <is>
          <t>답</t>
        </is>
      </c>
      <c r="H1918" s="4" t="n">
        <v>71.995</v>
      </c>
      <c r="I1918" s="5" t="n">
        <v>41.7</v>
      </c>
      <c r="J1918" s="3" t="inlineStr">
        <is>
          <t>연서면</t>
        </is>
      </c>
    </row>
    <row r="1919">
      <c r="A1919" s="3" t="n">
        <v>2023</v>
      </c>
      <c r="B1919" s="4" t="n">
        <v>150</v>
      </c>
      <c r="C1919" s="4" t="n">
        <v>18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전</t>
        </is>
      </c>
      <c r="H1919" s="4" t="n">
        <v>5.445</v>
      </c>
      <c r="I1919" s="5" t="n">
        <v>27.5</v>
      </c>
      <c r="J1919" s="3" t="inlineStr">
        <is>
          <t>조치원읍</t>
        </is>
      </c>
    </row>
    <row r="1920">
      <c r="A1920" s="3" t="n">
        <v>2023</v>
      </c>
      <c r="B1920" s="4" t="n">
        <v>2200</v>
      </c>
      <c r="C1920" s="4" t="n">
        <v>91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주차장</t>
        </is>
      </c>
      <c r="H1920" s="4" t="n">
        <v>27.5275</v>
      </c>
      <c r="I1920" s="5" t="n">
        <v>79.90000000000001</v>
      </c>
      <c r="J1920" s="3" t="inlineStr">
        <is>
          <t>조치원읍</t>
        </is>
      </c>
    </row>
    <row r="1921">
      <c r="A1921" s="3" t="n">
        <v>2023</v>
      </c>
      <c r="B1921" s="4" t="n">
        <v>3500</v>
      </c>
      <c r="C1921" s="4" t="n">
        <v>311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94.0775</v>
      </c>
      <c r="I1921" s="5" t="n">
        <v>37.2</v>
      </c>
      <c r="J1921" s="3" t="inlineStr">
        <is>
          <t>조치원읍</t>
        </is>
      </c>
    </row>
    <row r="1922">
      <c r="A1922" s="3" t="n">
        <v>2023</v>
      </c>
      <c r="B1922" s="4" t="n">
        <v>550</v>
      </c>
      <c r="C1922" s="4" t="n">
        <v>12</v>
      </c>
      <c r="D1922" s="3" t="inlineStr">
        <is>
          <t>연동면</t>
        </is>
      </c>
      <c r="E1922" s="3" t="inlineStr">
        <is>
          <t>내판리</t>
        </is>
      </c>
      <c r="F1922" s="3" t="inlineStr">
        <is>
          <t>계획관리지역</t>
        </is>
      </c>
      <c r="G1922" s="3" t="inlineStr">
        <is>
          <t>대</t>
        </is>
      </c>
      <c r="H1922" s="4" t="n">
        <v>3.63</v>
      </c>
      <c r="I1922" s="5" t="n">
        <v>151.5</v>
      </c>
      <c r="J1922" s="3" t="inlineStr">
        <is>
          <t>연동면</t>
        </is>
      </c>
    </row>
    <row r="1923">
      <c r="A1923" s="3" t="n">
        <v>2023</v>
      </c>
      <c r="B1923" s="4" t="n">
        <v>19500</v>
      </c>
      <c r="C1923" s="4" t="n">
        <v>163</v>
      </c>
      <c r="D1923" s="3" t="inlineStr">
        <is>
          <t>반곡동</t>
        </is>
      </c>
      <c r="E1923" s="3" t="inlineStr"/>
      <c r="F1923" s="3" t="inlineStr">
        <is>
          <t>제1종전용주거지역</t>
        </is>
      </c>
      <c r="G1923" s="3" t="inlineStr">
        <is>
          <t>대</t>
        </is>
      </c>
      <c r="H1923" s="4" t="n">
        <v>49.3075</v>
      </c>
      <c r="I1923" s="5" t="n">
        <v>395.5</v>
      </c>
      <c r="J1923" s="3" t="inlineStr">
        <is>
          <t>반곡동</t>
        </is>
      </c>
    </row>
    <row r="1924">
      <c r="A1924" s="3" t="n">
        <v>2023</v>
      </c>
      <c r="B1924" s="4" t="n">
        <v>239564</v>
      </c>
      <c r="C1924" s="4" t="n">
        <v>19800</v>
      </c>
      <c r="D1924" s="3" t="inlineStr">
        <is>
          <t>부강면</t>
        </is>
      </c>
      <c r="E1924" s="3" t="inlineStr">
        <is>
          <t>갈산리</t>
        </is>
      </c>
      <c r="F1924" s="3" t="inlineStr">
        <is>
          <t>계획관리지역</t>
        </is>
      </c>
      <c r="G1924" s="3" t="inlineStr">
        <is>
          <t>임야</t>
        </is>
      </c>
      <c r="H1924" s="4" t="n">
        <v>5989.5</v>
      </c>
      <c r="I1924" s="5" t="n">
        <v>40</v>
      </c>
      <c r="J1924" s="3" t="inlineStr">
        <is>
          <t>부강면</t>
        </is>
      </c>
    </row>
    <row r="1925">
      <c r="A1925" s="3" t="n">
        <v>2023</v>
      </c>
      <c r="B1925" s="4" t="n">
        <v>168156</v>
      </c>
      <c r="C1925" s="4" t="n">
        <v>13898</v>
      </c>
      <c r="D1925" s="3" t="inlineStr">
        <is>
          <t>부강면</t>
        </is>
      </c>
      <c r="E1925" s="3" t="inlineStr">
        <is>
          <t>갈산리</t>
        </is>
      </c>
      <c r="F1925" s="3" t="inlineStr">
        <is>
          <t>계획관리지역</t>
        </is>
      </c>
      <c r="G1925" s="3" t="inlineStr">
        <is>
          <t>임야</t>
        </is>
      </c>
      <c r="H1925" s="4" t="n">
        <v>4204.145</v>
      </c>
      <c r="I1925" s="5" t="n">
        <v>40</v>
      </c>
      <c r="J1925" s="3" t="inlineStr">
        <is>
          <t>부강면</t>
        </is>
      </c>
    </row>
    <row r="1926">
      <c r="A1926" s="3" t="n">
        <v>2023</v>
      </c>
      <c r="B1926" s="4" t="n">
        <v>62000</v>
      </c>
      <c r="C1926" s="4" t="n">
        <v>821</v>
      </c>
      <c r="D1926" s="3" t="inlineStr">
        <is>
          <t>연동면</t>
        </is>
      </c>
      <c r="E1926" s="3" t="inlineStr">
        <is>
          <t>명학리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248.3525</v>
      </c>
      <c r="I1926" s="5" t="n">
        <v>249.6</v>
      </c>
      <c r="J1926" s="3" t="inlineStr">
        <is>
          <t>연동면</t>
        </is>
      </c>
    </row>
    <row r="1927">
      <c r="A1927" s="3" t="n">
        <v>2022</v>
      </c>
      <c r="B1927" s="4" t="n">
        <v>7680</v>
      </c>
      <c r="C1927" s="4" t="n">
        <v>640</v>
      </c>
      <c r="D1927" s="3" t="inlineStr">
        <is>
          <t>연서면</t>
        </is>
      </c>
      <c r="E1927" s="3" t="inlineStr">
        <is>
          <t>와촌리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193.6</v>
      </c>
      <c r="I1927" s="5" t="n">
        <v>39.7</v>
      </c>
      <c r="J1927" s="3" t="inlineStr">
        <is>
          <t>연서면</t>
        </is>
      </c>
    </row>
    <row r="1928">
      <c r="A1928" s="3" t="n">
        <v>2022</v>
      </c>
      <c r="B1928" s="4" t="n">
        <v>7800</v>
      </c>
      <c r="C1928" s="4" t="n">
        <v>650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농림지역</t>
        </is>
      </c>
      <c r="G1928" s="3" t="inlineStr">
        <is>
          <t>답</t>
        </is>
      </c>
      <c r="H1928" s="4" t="n">
        <v>196.625</v>
      </c>
      <c r="I1928" s="5" t="n">
        <v>39.7</v>
      </c>
      <c r="J1928" s="3" t="inlineStr">
        <is>
          <t>연서면</t>
        </is>
      </c>
    </row>
    <row r="1929">
      <c r="A1929" s="3" t="n">
        <v>2022</v>
      </c>
      <c r="B1929" s="4" t="n">
        <v>1000</v>
      </c>
      <c r="C1929" s="4" t="n">
        <v>18</v>
      </c>
      <c r="D1929" s="3" t="inlineStr">
        <is>
          <t>부강면</t>
        </is>
      </c>
      <c r="E1929" s="3" t="inlineStr">
        <is>
          <t>행산리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5.445</v>
      </c>
      <c r="I1929" s="5" t="n">
        <v>183.7</v>
      </c>
      <c r="J1929" s="3" t="inlineStr">
        <is>
          <t>부강면</t>
        </is>
      </c>
    </row>
    <row r="1930">
      <c r="A1930" s="3" t="n">
        <v>2024</v>
      </c>
      <c r="B1930" s="4" t="n">
        <v>55500</v>
      </c>
      <c r="C1930" s="4" t="n">
        <v>415.6</v>
      </c>
      <c r="D1930" s="3" t="inlineStr">
        <is>
          <t>조치원읍</t>
        </is>
      </c>
      <c r="E1930" s="3" t="inlineStr">
        <is>
          <t>서창리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125.719</v>
      </c>
      <c r="I1930" s="5" t="n">
        <v>441.5</v>
      </c>
      <c r="J1930" s="3" t="inlineStr">
        <is>
          <t>조치원읍</t>
        </is>
      </c>
    </row>
    <row r="1931">
      <c r="A1931" s="3" t="n">
        <v>2024</v>
      </c>
      <c r="B1931" s="4" t="n">
        <v>50000</v>
      </c>
      <c r="C1931" s="4" t="n">
        <v>896</v>
      </c>
      <c r="D1931" s="3" t="inlineStr">
        <is>
          <t>부강면</t>
        </is>
      </c>
      <c r="E1931" s="3" t="inlineStr">
        <is>
          <t>산수리</t>
        </is>
      </c>
      <c r="F1931" s="3" t="inlineStr">
        <is>
          <t>계획관리지역</t>
        </is>
      </c>
      <c r="G1931" s="3" t="inlineStr">
        <is>
          <t>공장용지</t>
        </is>
      </c>
      <c r="H1931" s="4" t="n">
        <v>271.04</v>
      </c>
      <c r="I1931" s="5" t="n">
        <v>184.5</v>
      </c>
      <c r="J1931" s="3" t="inlineStr">
        <is>
          <t>부강면</t>
        </is>
      </c>
    </row>
    <row r="1932">
      <c r="A1932" s="3" t="n">
        <v>2024</v>
      </c>
      <c r="B1932" s="4" t="n">
        <v>45000</v>
      </c>
      <c r="C1932" s="4" t="n">
        <v>690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제2종일반주거지역</t>
        </is>
      </c>
      <c r="G1932" s="3" t="inlineStr">
        <is>
          <t>대</t>
        </is>
      </c>
      <c r="H1932" s="4" t="n">
        <v>208.725</v>
      </c>
      <c r="I1932" s="5" t="n">
        <v>215.6</v>
      </c>
      <c r="J1932" s="3" t="inlineStr">
        <is>
          <t>부강면</t>
        </is>
      </c>
    </row>
    <row r="1933">
      <c r="A1933" s="3" t="n">
        <v>2024</v>
      </c>
      <c r="B1933" s="4" t="n">
        <v>300</v>
      </c>
      <c r="C1933" s="4" t="n">
        <v>7</v>
      </c>
      <c r="D1933" s="3" t="inlineStr">
        <is>
          <t>조치원읍</t>
        </is>
      </c>
      <c r="E1933" s="3" t="inlineStr">
        <is>
          <t>평리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2.1175</v>
      </c>
      <c r="I1933" s="5" t="n">
        <v>141.7</v>
      </c>
      <c r="J1933" s="3" t="inlineStr">
        <is>
          <t>조치원읍</t>
        </is>
      </c>
    </row>
    <row r="1934">
      <c r="A1934" s="3" t="n">
        <v>2024</v>
      </c>
      <c r="B1934" s="4" t="n">
        <v>150000</v>
      </c>
      <c r="C1934" s="4" t="n">
        <v>6616.8</v>
      </c>
      <c r="D1934" s="3" t="inlineStr">
        <is>
          <t>연서면</t>
        </is>
      </c>
      <c r="E1934" s="3" t="inlineStr">
        <is>
          <t>쌍전리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2001.582</v>
      </c>
      <c r="I1934" s="5" t="n">
        <v>74.90000000000001</v>
      </c>
      <c r="J1934" s="3" t="inlineStr">
        <is>
          <t>연서면</t>
        </is>
      </c>
    </row>
    <row r="1935">
      <c r="A1935" s="3" t="n">
        <v>2024</v>
      </c>
      <c r="B1935" s="4" t="n">
        <v>48750</v>
      </c>
      <c r="C1935" s="4" t="n">
        <v>2148</v>
      </c>
      <c r="D1935" s="3" t="inlineStr">
        <is>
          <t>조치원읍</t>
        </is>
      </c>
      <c r="E1935" s="3" t="inlineStr">
        <is>
          <t>신안리</t>
        </is>
      </c>
      <c r="F1935" s="3" t="inlineStr">
        <is>
          <t>자연녹지지역</t>
        </is>
      </c>
      <c r="G1935" s="3" t="inlineStr">
        <is>
          <t>임야</t>
        </is>
      </c>
      <c r="H1935" s="4" t="n">
        <v>649.77</v>
      </c>
      <c r="I1935" s="5" t="n">
        <v>75</v>
      </c>
      <c r="J1935" s="3" t="inlineStr">
        <is>
          <t>조치원읍</t>
        </is>
      </c>
    </row>
    <row r="1936">
      <c r="A1936" s="3" t="n">
        <v>2024</v>
      </c>
      <c r="B1936" s="4" t="n">
        <v>44500</v>
      </c>
      <c r="C1936" s="4" t="n">
        <v>346.5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104.81625</v>
      </c>
      <c r="I1936" s="5" t="n">
        <v>424.6</v>
      </c>
      <c r="J1936" s="3" t="inlineStr">
        <is>
          <t>고운동</t>
        </is>
      </c>
    </row>
    <row r="1937">
      <c r="A1937" s="3" t="n">
        <v>2024</v>
      </c>
      <c r="B1937" s="4" t="n">
        <v>10800</v>
      </c>
      <c r="C1937" s="4" t="n">
        <v>1021</v>
      </c>
      <c r="D1937" s="3" t="inlineStr">
        <is>
          <t>연서면</t>
        </is>
      </c>
      <c r="E1937" s="3" t="inlineStr">
        <is>
          <t>고복리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308.8525</v>
      </c>
      <c r="I1937" s="5" t="n">
        <v>35</v>
      </c>
      <c r="J1937" s="3" t="inlineStr">
        <is>
          <t>연서면</t>
        </is>
      </c>
    </row>
    <row r="1938">
      <c r="A1938" s="3" t="n">
        <v>2024</v>
      </c>
      <c r="B1938" s="4" t="n">
        <v>41600</v>
      </c>
      <c r="C1938" s="4" t="n">
        <v>690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답</t>
        </is>
      </c>
      <c r="H1938" s="4" t="n">
        <v>208.725</v>
      </c>
      <c r="I1938" s="5" t="n">
        <v>199.3</v>
      </c>
      <c r="J1938" s="3" t="inlineStr">
        <is>
          <t>연서면</t>
        </is>
      </c>
    </row>
    <row r="1939">
      <c r="A1939" s="3" t="n">
        <v>2024</v>
      </c>
      <c r="B1939" s="4" t="n">
        <v>12100</v>
      </c>
      <c r="C1939" s="4" t="n">
        <v>200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전</t>
        </is>
      </c>
      <c r="H1939" s="4" t="n">
        <v>60.5</v>
      </c>
      <c r="I1939" s="5" t="n">
        <v>200</v>
      </c>
      <c r="J1939" s="3" t="inlineStr">
        <is>
          <t>연서면</t>
        </is>
      </c>
    </row>
    <row r="1940">
      <c r="A1940" s="3" t="n">
        <v>2023</v>
      </c>
      <c r="B1940" s="4" t="n">
        <v>20000</v>
      </c>
      <c r="C1940" s="4" t="n">
        <v>833</v>
      </c>
      <c r="D1940" s="3" t="inlineStr">
        <is>
          <t>연서면</t>
        </is>
      </c>
      <c r="E1940" s="3" t="inlineStr">
        <is>
          <t>청라리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251.9825</v>
      </c>
      <c r="I1940" s="5" t="n">
        <v>79.40000000000001</v>
      </c>
      <c r="J1940" s="3" t="inlineStr">
        <is>
          <t>연서면</t>
        </is>
      </c>
    </row>
    <row r="1941">
      <c r="A1941" s="3" t="n">
        <v>2023</v>
      </c>
      <c r="B1941" s="4" t="n">
        <v>25000</v>
      </c>
      <c r="C1941" s="4" t="n">
        <v>343</v>
      </c>
      <c r="D1941" s="3" t="inlineStr">
        <is>
          <t>조치원읍</t>
        </is>
      </c>
      <c r="E1941" s="3" t="inlineStr">
        <is>
          <t>신안리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103.7575</v>
      </c>
      <c r="I1941" s="5" t="n">
        <v>240.9</v>
      </c>
      <c r="J1941" s="3" t="inlineStr">
        <is>
          <t>조치원읍</t>
        </is>
      </c>
    </row>
    <row r="1942">
      <c r="A1942" s="3" t="n">
        <v>2023</v>
      </c>
      <c r="B1942" s="4" t="n">
        <v>25000</v>
      </c>
      <c r="C1942" s="4" t="n">
        <v>343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전</t>
        </is>
      </c>
      <c r="H1942" s="4" t="n">
        <v>103.7575</v>
      </c>
      <c r="I1942" s="5" t="n">
        <v>240.9</v>
      </c>
      <c r="J1942" s="3" t="inlineStr">
        <is>
          <t>조치원읍</t>
        </is>
      </c>
    </row>
    <row r="1943">
      <c r="A1943" s="3" t="n">
        <v>2023</v>
      </c>
      <c r="B1943" s="4" t="n">
        <v>24000</v>
      </c>
      <c r="C1943" s="4" t="n">
        <v>500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151.25</v>
      </c>
      <c r="I1943" s="5" t="n">
        <v>158.7</v>
      </c>
      <c r="J1943" s="3" t="inlineStr">
        <is>
          <t>연서면</t>
        </is>
      </c>
    </row>
    <row r="1944">
      <c r="A1944" s="3" t="n">
        <v>2023</v>
      </c>
      <c r="B1944" s="4" t="n">
        <v>67600</v>
      </c>
      <c r="C1944" s="4" t="n">
        <v>3306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67.59999999999999</v>
      </c>
      <c r="J1944" s="3" t="inlineStr">
        <is>
          <t>연동면</t>
        </is>
      </c>
    </row>
    <row r="1945">
      <c r="A1945" s="3" t="n">
        <v>2023</v>
      </c>
      <c r="B1945" s="4" t="n">
        <v>25000</v>
      </c>
      <c r="C1945" s="4" t="n">
        <v>248</v>
      </c>
      <c r="D1945" s="3" t="inlineStr">
        <is>
          <t>조치원읍</t>
        </is>
      </c>
      <c r="E1945" s="3" t="inlineStr">
        <is>
          <t>서창리</t>
        </is>
      </c>
      <c r="F1945" s="3" t="inlineStr">
        <is>
          <t>준주거지역</t>
        </is>
      </c>
      <c r="G1945" s="3" t="inlineStr">
        <is>
          <t>대</t>
        </is>
      </c>
      <c r="H1945" s="4" t="n">
        <v>75.02</v>
      </c>
      <c r="I1945" s="5" t="n">
        <v>333.2</v>
      </c>
      <c r="J1945" s="3" t="inlineStr">
        <is>
          <t>조치원읍</t>
        </is>
      </c>
    </row>
    <row r="1946">
      <c r="A1946" s="3" t="n">
        <v>2023</v>
      </c>
      <c r="B1946" s="4" t="n">
        <v>686</v>
      </c>
      <c r="C1946" s="4" t="n">
        <v>70</v>
      </c>
      <c r="D1946" s="3" t="inlineStr">
        <is>
          <t>연서면</t>
        </is>
      </c>
      <c r="E1946" s="3" t="inlineStr">
        <is>
          <t>월하리</t>
        </is>
      </c>
      <c r="F1946" s="3" t="inlineStr">
        <is>
          <t>제1종일반주거지역</t>
        </is>
      </c>
      <c r="G1946" s="3" t="inlineStr">
        <is>
          <t>도로</t>
        </is>
      </c>
      <c r="H1946" s="4" t="n">
        <v>21.175</v>
      </c>
      <c r="I1946" s="5" t="n">
        <v>32.4</v>
      </c>
      <c r="J1946" s="3" t="inlineStr">
        <is>
          <t>연서면</t>
        </is>
      </c>
    </row>
    <row r="1947">
      <c r="A1947" s="3" t="n">
        <v>2023</v>
      </c>
      <c r="B1947" s="4" t="n">
        <v>69</v>
      </c>
      <c r="C1947" s="4" t="n">
        <v>7</v>
      </c>
      <c r="D1947" s="3" t="inlineStr">
        <is>
          <t>연서면</t>
        </is>
      </c>
      <c r="E1947" s="3" t="inlineStr">
        <is>
          <t>월하리</t>
        </is>
      </c>
      <c r="F1947" s="3" t="inlineStr">
        <is>
          <t>제1종일반주거지역</t>
        </is>
      </c>
      <c r="G1947" s="3" t="inlineStr">
        <is>
          <t>도로</t>
        </is>
      </c>
      <c r="H1947" s="4" t="n">
        <v>2.1175</v>
      </c>
      <c r="I1947" s="5" t="n">
        <v>32.6</v>
      </c>
      <c r="J1947" s="3" t="inlineStr">
        <is>
          <t>연서면</t>
        </is>
      </c>
    </row>
    <row r="1948">
      <c r="A1948" s="3" t="n">
        <v>2023</v>
      </c>
      <c r="B1948" s="4" t="n">
        <v>402</v>
      </c>
      <c r="C1948" s="4" t="n">
        <v>41</v>
      </c>
      <c r="D1948" s="3" t="inlineStr">
        <is>
          <t>연서면</t>
        </is>
      </c>
      <c r="E1948" s="3" t="inlineStr">
        <is>
          <t>월하리</t>
        </is>
      </c>
      <c r="F1948" s="3" t="inlineStr">
        <is>
          <t>제1종일반주거지역</t>
        </is>
      </c>
      <c r="G1948" s="3" t="inlineStr">
        <is>
          <t>도로</t>
        </is>
      </c>
      <c r="H1948" s="4" t="n">
        <v>12.4025</v>
      </c>
      <c r="I1948" s="5" t="n">
        <v>32.4</v>
      </c>
      <c r="J1948" s="3" t="inlineStr">
        <is>
          <t>연서면</t>
        </is>
      </c>
    </row>
    <row r="1949">
      <c r="A1949" s="3" t="n">
        <v>2023</v>
      </c>
      <c r="B1949" s="4" t="n">
        <v>206</v>
      </c>
      <c r="C1949" s="4" t="n">
        <v>21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6.3525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27000</v>
      </c>
      <c r="C1950" s="4" t="n">
        <v>934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282.535</v>
      </c>
      <c r="I1950" s="5" t="n">
        <v>95.59999999999999</v>
      </c>
      <c r="J1950" s="3" t="inlineStr">
        <is>
          <t>연서면</t>
        </is>
      </c>
    </row>
    <row r="1951">
      <c r="A1951" s="3" t="n">
        <v>2023</v>
      </c>
      <c r="B1951" s="4" t="n">
        <v>3000</v>
      </c>
      <c r="C1951" s="4" t="n">
        <v>346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보전관리지역</t>
        </is>
      </c>
      <c r="G1951" s="3" t="inlineStr">
        <is>
          <t>전</t>
        </is>
      </c>
      <c r="H1951" s="4" t="n">
        <v>104.665</v>
      </c>
      <c r="I1951" s="5" t="n">
        <v>28.7</v>
      </c>
      <c r="J1951" s="3" t="inlineStr">
        <is>
          <t>연서면</t>
        </is>
      </c>
    </row>
    <row r="1952">
      <c r="A1952" s="3" t="n">
        <v>2022</v>
      </c>
      <c r="B1952" s="4" t="n">
        <v>2540</v>
      </c>
      <c r="C1952" s="4" t="n">
        <v>1159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농림지역</t>
        </is>
      </c>
      <c r="G1952" s="3" t="inlineStr">
        <is>
          <t>임야</t>
        </is>
      </c>
      <c r="H1952" s="4" t="n">
        <v>350.5975</v>
      </c>
      <c r="I1952" s="5" t="n">
        <v>7.2</v>
      </c>
      <c r="J1952" s="3" t="inlineStr">
        <is>
          <t>부강면</t>
        </is>
      </c>
    </row>
    <row r="1953">
      <c r="A1953" s="3" t="n">
        <v>2023</v>
      </c>
      <c r="B1953" s="4" t="n">
        <v>24000</v>
      </c>
      <c r="C1953" s="4" t="n">
        <v>200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60.5</v>
      </c>
      <c r="I1953" s="5" t="n">
        <v>396.7</v>
      </c>
      <c r="J1953" s="3" t="inlineStr">
        <is>
          <t>연서면</t>
        </is>
      </c>
    </row>
    <row r="1954">
      <c r="A1954" s="3" t="n">
        <v>2025</v>
      </c>
      <c r="B1954" s="4" t="n">
        <v>21100</v>
      </c>
      <c r="C1954" s="4" t="n">
        <v>1531</v>
      </c>
      <c r="D1954" s="3" t="inlineStr">
        <is>
          <t>부강면</t>
        </is>
      </c>
      <c r="E1954" s="3" t="inlineStr">
        <is>
          <t>문곡리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463.1275</v>
      </c>
      <c r="I1954" s="5" t="n">
        <v>45.6</v>
      </c>
      <c r="J1954" s="3" t="inlineStr">
        <is>
          <t>부강면</t>
        </is>
      </c>
    </row>
    <row r="1955">
      <c r="A1955" s="3" t="n">
        <v>2025</v>
      </c>
      <c r="B1955" s="4" t="n">
        <v>2800</v>
      </c>
      <c r="C1955" s="4" t="n">
        <v>200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60.5</v>
      </c>
      <c r="I1955" s="5" t="n">
        <v>46.3</v>
      </c>
      <c r="J1955" s="3" t="inlineStr">
        <is>
          <t>부강면</t>
        </is>
      </c>
    </row>
    <row r="1956">
      <c r="A1956" s="3" t="n">
        <v>2025</v>
      </c>
      <c r="B1956" s="4" t="n">
        <v>13100</v>
      </c>
      <c r="C1956" s="4" t="n">
        <v>855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258.6375</v>
      </c>
      <c r="I1956" s="5" t="n">
        <v>50.7</v>
      </c>
      <c r="J1956" s="3" t="inlineStr">
        <is>
          <t>부강면</t>
        </is>
      </c>
    </row>
    <row r="1957">
      <c r="A1957" s="3" t="n">
        <v>2025</v>
      </c>
      <c r="B1957" s="4" t="n">
        <v>21000</v>
      </c>
      <c r="C1957" s="4" t="n">
        <v>1501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454.0525</v>
      </c>
      <c r="I1957" s="5" t="n">
        <v>46.3</v>
      </c>
      <c r="J1957" s="3" t="inlineStr">
        <is>
          <t>부강면</t>
        </is>
      </c>
    </row>
    <row r="1958">
      <c r="A1958" s="3" t="n">
        <v>2025</v>
      </c>
      <c r="B1958" s="4" t="n">
        <v>21100</v>
      </c>
      <c r="C1958" s="4" t="n">
        <v>1531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계획관리지역</t>
        </is>
      </c>
      <c r="G1958" s="3" t="inlineStr">
        <is>
          <t>답</t>
        </is>
      </c>
      <c r="H1958" s="4" t="n">
        <v>463.1275</v>
      </c>
      <c r="I1958" s="5" t="n">
        <v>45.6</v>
      </c>
      <c r="J1958" s="3" t="inlineStr">
        <is>
          <t>부강면</t>
        </is>
      </c>
    </row>
    <row r="1959">
      <c r="A1959" s="3" t="n">
        <v>2025</v>
      </c>
      <c r="B1959" s="4" t="n">
        <v>2800</v>
      </c>
      <c r="C1959" s="4" t="n">
        <v>200</v>
      </c>
      <c r="D1959" s="3" t="inlineStr">
        <is>
          <t>부강면</t>
        </is>
      </c>
      <c r="E1959" s="3" t="inlineStr">
        <is>
          <t>문곡리</t>
        </is>
      </c>
      <c r="F1959" s="3" t="inlineStr">
        <is>
          <t>계획관리지역</t>
        </is>
      </c>
      <c r="G1959" s="3" t="inlineStr">
        <is>
          <t>답</t>
        </is>
      </c>
      <c r="H1959" s="4" t="n">
        <v>60.5</v>
      </c>
      <c r="I1959" s="5" t="n">
        <v>46.3</v>
      </c>
      <c r="J1959" s="3" t="inlineStr">
        <is>
          <t>부강면</t>
        </is>
      </c>
    </row>
    <row r="1960">
      <c r="A1960" s="3" t="n">
        <v>2023</v>
      </c>
      <c r="B1960" s="4" t="n">
        <v>54000</v>
      </c>
      <c r="C1960" s="4" t="n">
        <v>342.7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103.66675</v>
      </c>
      <c r="I1960" s="5" t="n">
        <v>520.9</v>
      </c>
      <c r="J1960" s="3" t="inlineStr">
        <is>
          <t>다정동</t>
        </is>
      </c>
    </row>
    <row r="1961">
      <c r="A1961" s="3" t="n">
        <v>2023</v>
      </c>
      <c r="B1961" s="4" t="n">
        <v>82500</v>
      </c>
      <c r="C1961" s="4" t="n">
        <v>827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250.1675</v>
      </c>
      <c r="I1961" s="5" t="n">
        <v>329.8</v>
      </c>
      <c r="J1961" s="3" t="inlineStr">
        <is>
          <t>연동면</t>
        </is>
      </c>
    </row>
    <row r="1962">
      <c r="A1962" s="3" t="n">
        <v>2023</v>
      </c>
      <c r="B1962" s="4" t="n">
        <v>55000</v>
      </c>
      <c r="C1962" s="4" t="n">
        <v>345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104.3625</v>
      </c>
      <c r="I1962" s="5" t="n">
        <v>527</v>
      </c>
      <c r="J1962" s="3" t="inlineStr">
        <is>
          <t>고운동</t>
        </is>
      </c>
    </row>
    <row r="1963">
      <c r="A1963" s="3" t="n">
        <v>2023</v>
      </c>
      <c r="B1963" s="4" t="n">
        <v>31853</v>
      </c>
      <c r="C1963" s="4" t="n">
        <v>702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212.355</v>
      </c>
      <c r="I1963" s="5" t="n">
        <v>150</v>
      </c>
      <c r="J1963" s="3" t="inlineStr">
        <is>
          <t>부강면</t>
        </is>
      </c>
    </row>
    <row r="1964">
      <c r="A1964" s="3" t="n">
        <v>2023</v>
      </c>
      <c r="B1964" s="4" t="n">
        <v>120000</v>
      </c>
      <c r="C1964" s="4" t="n">
        <v>702</v>
      </c>
      <c r="D1964" s="3" t="inlineStr">
        <is>
          <t>부강면</t>
        </is>
      </c>
      <c r="E1964" s="3" t="inlineStr">
        <is>
          <t>금호리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212.355</v>
      </c>
      <c r="I1964" s="5" t="n">
        <v>565.1</v>
      </c>
      <c r="J1964" s="3" t="inlineStr">
        <is>
          <t>부강면</t>
        </is>
      </c>
    </row>
    <row r="1965">
      <c r="A1965" s="3" t="n">
        <v>2023</v>
      </c>
      <c r="B1965" s="4" t="n">
        <v>5000</v>
      </c>
      <c r="C1965" s="4" t="n">
        <v>298</v>
      </c>
      <c r="D1965" s="3" t="inlineStr">
        <is>
          <t>연서면</t>
        </is>
      </c>
      <c r="E1965" s="3" t="inlineStr">
        <is>
          <t>성제리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90.145</v>
      </c>
      <c r="I1965" s="5" t="n">
        <v>55.5</v>
      </c>
      <c r="J1965" s="3" t="inlineStr">
        <is>
          <t>연서면</t>
        </is>
      </c>
    </row>
    <row r="1966">
      <c r="A1966" s="3" t="n">
        <v>2023</v>
      </c>
      <c r="B1966" s="4" t="n">
        <v>1211</v>
      </c>
      <c r="C1966" s="4" t="n">
        <v>9</v>
      </c>
      <c r="D1966" s="3" t="inlineStr">
        <is>
          <t>조치원읍</t>
        </is>
      </c>
      <c r="E1966" s="3" t="inlineStr">
        <is>
          <t>상리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2.7225</v>
      </c>
      <c r="I1966" s="5" t="n">
        <v>444.8</v>
      </c>
      <c r="J1966" s="3" t="inlineStr">
        <is>
          <t>조치원읍</t>
        </is>
      </c>
    </row>
    <row r="1967">
      <c r="A1967" s="3" t="n">
        <v>2023</v>
      </c>
      <c r="B1967" s="4" t="n">
        <v>25830</v>
      </c>
      <c r="C1967" s="4" t="n">
        <v>1957</v>
      </c>
      <c r="D1967" s="3" t="inlineStr">
        <is>
          <t>부강면</t>
        </is>
      </c>
      <c r="E1967" s="3" t="inlineStr">
        <is>
          <t>노호리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591.9924999999999</v>
      </c>
      <c r="I1967" s="5" t="n">
        <v>43.6</v>
      </c>
      <c r="J1967" s="3" t="inlineStr">
        <is>
          <t>부강면</t>
        </is>
      </c>
    </row>
    <row r="1968">
      <c r="A1968" s="3" t="n">
        <v>2023</v>
      </c>
      <c r="B1968" s="4" t="n">
        <v>110000</v>
      </c>
      <c r="C1968" s="4" t="n">
        <v>660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199.65</v>
      </c>
      <c r="I1968" s="5" t="n">
        <v>551</v>
      </c>
      <c r="J1968" s="3" t="inlineStr">
        <is>
          <t>부강면</t>
        </is>
      </c>
    </row>
    <row r="1969">
      <c r="A1969" s="3" t="n">
        <v>2023</v>
      </c>
      <c r="B1969" s="4" t="n">
        <v>23200</v>
      </c>
      <c r="C1969" s="4" t="n">
        <v>698</v>
      </c>
      <c r="D1969" s="3" t="inlineStr">
        <is>
          <t>연동면</t>
        </is>
      </c>
      <c r="E1969" s="3" t="inlineStr">
        <is>
          <t>내판리</t>
        </is>
      </c>
      <c r="F1969" s="3" t="inlineStr">
        <is>
          <t>계획관리지역</t>
        </is>
      </c>
      <c r="G1969" s="3" t="inlineStr">
        <is>
          <t>전</t>
        </is>
      </c>
      <c r="H1969" s="4" t="n">
        <v>211.145</v>
      </c>
      <c r="I1969" s="5" t="n">
        <v>109.9</v>
      </c>
      <c r="J1969" s="3" t="inlineStr">
        <is>
          <t>연동면</t>
        </is>
      </c>
    </row>
    <row r="1970">
      <c r="A1970" s="3" t="n">
        <v>2023</v>
      </c>
      <c r="B1970" s="4" t="n">
        <v>1860</v>
      </c>
      <c r="C1970" s="4" t="n">
        <v>474</v>
      </c>
      <c r="D1970" s="3" t="inlineStr">
        <is>
          <t>연서면</t>
        </is>
      </c>
      <c r="E1970" s="3" t="inlineStr">
        <is>
          <t>고복리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143.385</v>
      </c>
      <c r="I1970" s="5" t="n">
        <v>13</v>
      </c>
      <c r="J1970" s="3" t="inlineStr">
        <is>
          <t>연서면</t>
        </is>
      </c>
    </row>
    <row r="1971">
      <c r="A1971" s="3" t="n">
        <v>2023</v>
      </c>
      <c r="B1971" s="4" t="n">
        <v>1524</v>
      </c>
      <c r="C1971" s="4" t="n">
        <v>103</v>
      </c>
      <c r="D1971" s="3" t="inlineStr">
        <is>
          <t>부강면</t>
        </is>
      </c>
      <c r="E1971" s="3" t="inlineStr">
        <is>
          <t>산수리</t>
        </is>
      </c>
      <c r="F1971" s="3" t="inlineStr">
        <is>
          <t>계획관리지역</t>
        </is>
      </c>
      <c r="G1971" s="3" t="inlineStr">
        <is>
          <t>도로</t>
        </is>
      </c>
      <c r="H1971" s="4" t="n">
        <v>31.1575</v>
      </c>
      <c r="I1971" s="5" t="n">
        <v>48.9</v>
      </c>
      <c r="J1971" s="3" t="inlineStr">
        <is>
          <t>부강면</t>
        </is>
      </c>
    </row>
    <row r="1972">
      <c r="A1972" s="3" t="n">
        <v>2023</v>
      </c>
      <c r="B1972" s="4" t="n">
        <v>531</v>
      </c>
      <c r="C1972" s="4" t="n">
        <v>18</v>
      </c>
      <c r="D1972" s="3" t="inlineStr">
        <is>
          <t>부강면</t>
        </is>
      </c>
      <c r="E1972" s="3" t="inlineStr">
        <is>
          <t>산수리</t>
        </is>
      </c>
      <c r="F1972" s="3" t="inlineStr">
        <is>
          <t>계획관리지역</t>
        </is>
      </c>
      <c r="G1972" s="3" t="inlineStr">
        <is>
          <t>도로</t>
        </is>
      </c>
      <c r="H1972" s="4" t="n">
        <v>5.445</v>
      </c>
      <c r="I1972" s="5" t="n">
        <v>97.5</v>
      </c>
      <c r="J1972" s="3" t="inlineStr">
        <is>
          <t>부강면</t>
        </is>
      </c>
    </row>
    <row r="1973">
      <c r="A1973" s="3" t="n">
        <v>2023</v>
      </c>
      <c r="B1973" s="4" t="n">
        <v>10000</v>
      </c>
      <c r="C1973" s="4" t="n">
        <v>512</v>
      </c>
      <c r="D1973" s="3" t="inlineStr">
        <is>
          <t>연서면</t>
        </is>
      </c>
      <c r="E1973" s="3" t="inlineStr">
        <is>
          <t>신대리</t>
        </is>
      </c>
      <c r="F1973" s="3" t="inlineStr">
        <is>
          <t>보전관리지역</t>
        </is>
      </c>
      <c r="G1973" s="3" t="inlineStr">
        <is>
          <t>과수원</t>
        </is>
      </c>
      <c r="H1973" s="4" t="n">
        <v>154.88</v>
      </c>
      <c r="I1973" s="5" t="n">
        <v>64.59999999999999</v>
      </c>
      <c r="J1973" s="3" t="inlineStr">
        <is>
          <t>연서면</t>
        </is>
      </c>
    </row>
    <row r="1974">
      <c r="A1974" s="3" t="n">
        <v>2023</v>
      </c>
      <c r="B1974" s="4" t="n">
        <v>17720</v>
      </c>
      <c r="C1974" s="4" t="n">
        <v>160</v>
      </c>
      <c r="D1974" s="3" t="inlineStr">
        <is>
          <t>반곡동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48.4</v>
      </c>
      <c r="I1974" s="5" t="n">
        <v>366.1</v>
      </c>
      <c r="J1974" s="3" t="inlineStr">
        <is>
          <t>반곡동</t>
        </is>
      </c>
    </row>
    <row r="1975">
      <c r="A1975" s="3" t="n">
        <v>2022</v>
      </c>
      <c r="B1975" s="4" t="n">
        <v>5000</v>
      </c>
      <c r="C1975" s="4" t="n">
        <v>601</v>
      </c>
      <c r="D1975" s="3" t="inlineStr">
        <is>
          <t>연동면</t>
        </is>
      </c>
      <c r="E1975" s="3" t="inlineStr">
        <is>
          <t>노송리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181.8025</v>
      </c>
      <c r="I1975" s="5" t="n">
        <v>27.5</v>
      </c>
      <c r="J1975" s="3" t="inlineStr">
        <is>
          <t>연동면</t>
        </is>
      </c>
    </row>
    <row r="1976">
      <c r="A1976" s="3" t="n">
        <v>2022</v>
      </c>
      <c r="B1976" s="4" t="n">
        <v>32600</v>
      </c>
      <c r="C1976" s="4" t="n">
        <v>1078</v>
      </c>
      <c r="D1976" s="3" t="inlineStr">
        <is>
          <t>연서면</t>
        </is>
      </c>
      <c r="E1976" s="3" t="inlineStr">
        <is>
          <t>신대리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326.095</v>
      </c>
      <c r="I1976" s="5" t="n">
        <v>100</v>
      </c>
      <c r="J1976" s="3" t="inlineStr">
        <is>
          <t>연서면</t>
        </is>
      </c>
    </row>
    <row r="1977">
      <c r="A1977" s="3" t="n">
        <v>2022</v>
      </c>
      <c r="B1977" s="4" t="n">
        <v>22400</v>
      </c>
      <c r="C1977" s="4" t="n">
        <v>739</v>
      </c>
      <c r="D1977" s="3" t="inlineStr">
        <is>
          <t>연서면</t>
        </is>
      </c>
      <c r="E1977" s="3" t="inlineStr">
        <is>
          <t>신대리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223.5475</v>
      </c>
      <c r="I1977" s="5" t="n">
        <v>100.2</v>
      </c>
      <c r="J1977" s="3" t="inlineStr">
        <is>
          <t>연서면</t>
        </is>
      </c>
    </row>
    <row r="1978">
      <c r="A1978" s="3" t="n">
        <v>2022</v>
      </c>
      <c r="B1978" s="4" t="n">
        <v>13350</v>
      </c>
      <c r="C1978" s="4" t="n">
        <v>833</v>
      </c>
      <c r="D1978" s="3" t="inlineStr">
        <is>
          <t>부강면</t>
        </is>
      </c>
      <c r="E1978" s="3" t="inlineStr">
        <is>
          <t>문곡리</t>
        </is>
      </c>
      <c r="F1978" s="3" t="inlineStr">
        <is>
          <t>생산관리지역</t>
        </is>
      </c>
      <c r="G1978" s="3" t="inlineStr">
        <is>
          <t>답</t>
        </is>
      </c>
      <c r="H1978" s="4" t="n">
        <v>251.9825</v>
      </c>
      <c r="I1978" s="5" t="n">
        <v>53</v>
      </c>
      <c r="J1978" s="3" t="inlineStr">
        <is>
          <t>부강면</t>
        </is>
      </c>
    </row>
    <row r="1979">
      <c r="A1979" s="3" t="n">
        <v>2023</v>
      </c>
      <c r="B1979" s="4" t="n">
        <v>100000</v>
      </c>
      <c r="C1979" s="4" t="n">
        <v>11901</v>
      </c>
      <c r="D1979" s="3" t="inlineStr">
        <is>
          <t>연서면</t>
        </is>
      </c>
      <c r="E1979" s="3" t="inlineStr">
        <is>
          <t>와촌리</t>
        </is>
      </c>
      <c r="F1979" s="3" t="inlineStr">
        <is>
          <t>농림지역</t>
        </is>
      </c>
      <c r="G1979" s="3" t="inlineStr">
        <is>
          <t>임야</t>
        </is>
      </c>
      <c r="H1979" s="4" t="n">
        <v>3600.0525</v>
      </c>
      <c r="I1979" s="5" t="n">
        <v>27.8</v>
      </c>
      <c r="J1979" s="3" t="inlineStr">
        <is>
          <t>연서면</t>
        </is>
      </c>
    </row>
    <row r="1980">
      <c r="A1980" s="3" t="n">
        <v>2023</v>
      </c>
      <c r="B1980" s="4" t="n">
        <v>38000</v>
      </c>
      <c r="C1980" s="4" t="n">
        <v>4261.9</v>
      </c>
      <c r="D1980" s="3" t="inlineStr">
        <is>
          <t>부강면</t>
        </is>
      </c>
      <c r="E1980" s="3" t="inlineStr">
        <is>
          <t>행산리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1289.22475</v>
      </c>
      <c r="I1980" s="5" t="n">
        <v>29.5</v>
      </c>
      <c r="J1980" s="3" t="inlineStr">
        <is>
          <t>부강면</t>
        </is>
      </c>
    </row>
    <row r="1981">
      <c r="A1981" s="3" t="n">
        <v>2023</v>
      </c>
      <c r="B1981" s="4" t="n">
        <v>300</v>
      </c>
      <c r="C1981" s="4" t="n">
        <v>74</v>
      </c>
      <c r="D1981" s="3" t="inlineStr">
        <is>
          <t>부강면</t>
        </is>
      </c>
      <c r="E1981" s="3" t="inlineStr">
        <is>
          <t>문곡리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22.385</v>
      </c>
      <c r="I1981" s="5" t="n">
        <v>13.4</v>
      </c>
      <c r="J1981" s="3" t="inlineStr">
        <is>
          <t>부강면</t>
        </is>
      </c>
    </row>
    <row r="1982">
      <c r="A1982" s="3" t="n">
        <v>2023</v>
      </c>
      <c r="B1982" s="4" t="n">
        <v>10000</v>
      </c>
      <c r="C1982" s="4" t="n">
        <v>161</v>
      </c>
      <c r="D1982" s="3" t="inlineStr">
        <is>
          <t>부강면</t>
        </is>
      </c>
      <c r="E1982" s="3" t="inlineStr">
        <is>
          <t>문곡리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48.7025</v>
      </c>
      <c r="I1982" s="5" t="n">
        <v>205.3</v>
      </c>
      <c r="J1982" s="3" t="inlineStr">
        <is>
          <t>부강면</t>
        </is>
      </c>
    </row>
    <row r="1983">
      <c r="A1983" s="3" t="n">
        <v>2023</v>
      </c>
      <c r="B1983" s="4" t="n">
        <v>22000</v>
      </c>
      <c r="C1983" s="4" t="n">
        <v>667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201.7675</v>
      </c>
      <c r="I1983" s="5" t="n">
        <v>109</v>
      </c>
      <c r="J1983" s="3" t="inlineStr">
        <is>
          <t>연동면</t>
        </is>
      </c>
    </row>
    <row r="1984">
      <c r="A1984" s="3" t="n">
        <v>2023</v>
      </c>
      <c r="B1984" s="4" t="n">
        <v>27000</v>
      </c>
      <c r="C1984" s="4" t="n">
        <v>944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285.56</v>
      </c>
      <c r="I1984" s="5" t="n">
        <v>94.59999999999999</v>
      </c>
      <c r="J1984" s="3" t="inlineStr">
        <is>
          <t>연동면</t>
        </is>
      </c>
    </row>
    <row r="1985">
      <c r="A1985" s="3" t="n">
        <v>2023</v>
      </c>
      <c r="B1985" s="4" t="n">
        <v>30000</v>
      </c>
      <c r="C1985" s="4" t="n">
        <v>1090</v>
      </c>
      <c r="D1985" s="3" t="inlineStr">
        <is>
          <t>연동면</t>
        </is>
      </c>
      <c r="E1985" s="3" t="inlineStr">
        <is>
          <t>노송리</t>
        </is>
      </c>
      <c r="F1985" s="3" t="inlineStr">
        <is>
          <t>계획관리지역</t>
        </is>
      </c>
      <c r="G1985" s="3" t="inlineStr">
        <is>
          <t>과수원</t>
        </is>
      </c>
      <c r="H1985" s="4" t="n">
        <v>329.725</v>
      </c>
      <c r="I1985" s="5" t="n">
        <v>91</v>
      </c>
      <c r="J1985" s="3" t="inlineStr">
        <is>
          <t>연동면</t>
        </is>
      </c>
    </row>
    <row r="1986">
      <c r="A1986" s="3" t="n">
        <v>2023</v>
      </c>
      <c r="B1986" s="4" t="n">
        <v>62620</v>
      </c>
      <c r="C1986" s="4" t="n">
        <v>414</v>
      </c>
      <c r="D1986" s="3" t="inlineStr">
        <is>
          <t>연서면</t>
        </is>
      </c>
      <c r="E1986" s="3" t="inlineStr">
        <is>
          <t>와촌리</t>
        </is>
      </c>
      <c r="F1986" s="3" t="inlineStr">
        <is>
          <t>계획관리지역</t>
        </is>
      </c>
      <c r="G1986" s="3" t="inlineStr">
        <is>
          <t>과수원</t>
        </is>
      </c>
      <c r="H1986" s="4" t="n">
        <v>125.235</v>
      </c>
      <c r="I1986" s="5" t="n">
        <v>500</v>
      </c>
      <c r="J1986" s="3" t="inlineStr">
        <is>
          <t>연서면</t>
        </is>
      </c>
    </row>
    <row r="1987">
      <c r="A1987" s="3" t="n">
        <v>2025</v>
      </c>
      <c r="B1987" s="4" t="n">
        <v>15000</v>
      </c>
      <c r="C1987" s="4" t="n">
        <v>298</v>
      </c>
      <c r="D1987" s="3" t="inlineStr">
        <is>
          <t>조치원읍</t>
        </is>
      </c>
      <c r="E1987" s="3" t="inlineStr">
        <is>
          <t>봉산리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90.145</v>
      </c>
      <c r="I1987" s="5" t="n">
        <v>166.4</v>
      </c>
      <c r="J1987" s="3" t="inlineStr">
        <is>
          <t>조치원읍</t>
        </is>
      </c>
    </row>
    <row r="1988">
      <c r="A1988" s="3" t="n">
        <v>2025</v>
      </c>
      <c r="B1988" s="4" t="n">
        <v>5436</v>
      </c>
      <c r="C1988" s="4" t="n">
        <v>154</v>
      </c>
      <c r="D1988" s="3" t="inlineStr">
        <is>
          <t>연서면</t>
        </is>
      </c>
      <c r="E1988" s="3" t="inlineStr">
        <is>
          <t>성제리</t>
        </is>
      </c>
      <c r="F1988" s="3" t="inlineStr">
        <is>
          <t>계획관리지역</t>
        </is>
      </c>
      <c r="G1988" s="3" t="inlineStr">
        <is>
          <t>과수원</t>
        </is>
      </c>
      <c r="H1988" s="4" t="n">
        <v>46.585</v>
      </c>
      <c r="I1988" s="5" t="n">
        <v>116.7</v>
      </c>
      <c r="J1988" s="3" t="inlineStr">
        <is>
          <t>연서면</t>
        </is>
      </c>
    </row>
    <row r="1989">
      <c r="A1989" s="3" t="n">
        <v>2025</v>
      </c>
      <c r="B1989" s="4" t="n">
        <v>35596</v>
      </c>
      <c r="C1989" s="4" t="n">
        <v>1569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474.6225</v>
      </c>
      <c r="I1989" s="5" t="n">
        <v>75</v>
      </c>
      <c r="J1989" s="3" t="inlineStr">
        <is>
          <t>연서면</t>
        </is>
      </c>
    </row>
    <row r="1990">
      <c r="A1990" s="3" t="n">
        <v>2026</v>
      </c>
      <c r="B1990" s="4" t="n">
        <v>14562</v>
      </c>
      <c r="C1990" s="4" t="n">
        <v>192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생산관리지역</t>
        </is>
      </c>
      <c r="G1990" s="3" t="inlineStr">
        <is>
          <t>공장용지</t>
        </is>
      </c>
      <c r="H1990" s="4" t="n">
        <v>58.08</v>
      </c>
      <c r="I1990" s="5" t="n">
        <v>250.7</v>
      </c>
      <c r="J1990" s="3" t="inlineStr">
        <is>
          <t>부강면</t>
        </is>
      </c>
    </row>
    <row r="1991">
      <c r="A1991" s="3" t="n">
        <v>2026</v>
      </c>
      <c r="B1991" s="4" t="n">
        <v>275</v>
      </c>
      <c r="C1991" s="4" t="n">
        <v>7</v>
      </c>
      <c r="D1991" s="3" t="inlineStr">
        <is>
          <t>부강면</t>
        </is>
      </c>
      <c r="E1991" s="3" t="inlineStr">
        <is>
          <t>금호리</t>
        </is>
      </c>
      <c r="F1991" s="3" t="inlineStr">
        <is>
          <t>계획관리지역</t>
        </is>
      </c>
      <c r="G1991" s="3" t="inlineStr">
        <is>
          <t>도로</t>
        </is>
      </c>
      <c r="H1991" s="4" t="n">
        <v>2.1175</v>
      </c>
      <c r="I1991" s="5" t="n">
        <v>129.9</v>
      </c>
      <c r="J1991" s="3" t="inlineStr">
        <is>
          <t>부강면</t>
        </is>
      </c>
    </row>
    <row r="1992">
      <c r="A1992" s="3" t="n">
        <v>2026</v>
      </c>
      <c r="B1992" s="4" t="n">
        <v>20200</v>
      </c>
      <c r="C1992" s="4" t="n">
        <v>1668.9</v>
      </c>
      <c r="D1992" s="3" t="inlineStr">
        <is>
          <t>연동면</t>
        </is>
      </c>
      <c r="E1992" s="3" t="inlineStr">
        <is>
          <t>예양리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504.84225</v>
      </c>
      <c r="I1992" s="5" t="n">
        <v>40</v>
      </c>
      <c r="J1992" s="3" t="inlineStr">
        <is>
          <t>연동면</t>
        </is>
      </c>
    </row>
    <row r="1993">
      <c r="A1993" s="3" t="n">
        <v>2026</v>
      </c>
      <c r="B1993" s="4" t="n">
        <v>42178</v>
      </c>
      <c r="C1993" s="4" t="n">
        <v>711</v>
      </c>
      <c r="D1993" s="3" t="inlineStr">
        <is>
          <t>연서면</t>
        </is>
      </c>
      <c r="E1993" s="3" t="inlineStr">
        <is>
          <t>월하리</t>
        </is>
      </c>
      <c r="F1993" s="3" t="inlineStr">
        <is>
          <t>자연녹지지역</t>
        </is>
      </c>
      <c r="G1993" s="3" t="inlineStr">
        <is>
          <t>과수원</t>
        </is>
      </c>
      <c r="H1993" s="4" t="n">
        <v>215.0775</v>
      </c>
      <c r="I1993" s="5" t="n">
        <v>196.1</v>
      </c>
      <c r="J1993" s="3" t="inlineStr">
        <is>
          <t>연서면</t>
        </is>
      </c>
    </row>
    <row r="1994">
      <c r="A1994" s="3" t="n">
        <v>2026</v>
      </c>
      <c r="B1994" s="4" t="n">
        <v>13822</v>
      </c>
      <c r="C1994" s="4" t="n">
        <v>233</v>
      </c>
      <c r="D1994" s="3" t="inlineStr">
        <is>
          <t>연서면</t>
        </is>
      </c>
      <c r="E1994" s="3" t="inlineStr">
        <is>
          <t>월하리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70.4825</v>
      </c>
      <c r="I1994" s="5" t="n">
        <v>196.1</v>
      </c>
      <c r="J1994" s="3" t="inlineStr">
        <is>
          <t>연서면</t>
        </is>
      </c>
    </row>
    <row r="1995">
      <c r="A1995" s="3" t="n">
        <v>2026</v>
      </c>
      <c r="B1995" s="4" t="n">
        <v>28000</v>
      </c>
      <c r="C1995" s="4" t="n">
        <v>1553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계획관리지역</t>
        </is>
      </c>
      <c r="G1995" s="3" t="inlineStr">
        <is>
          <t>답</t>
        </is>
      </c>
      <c r="H1995" s="4" t="n">
        <v>469.7825</v>
      </c>
      <c r="I1995" s="5" t="n">
        <v>59.6</v>
      </c>
      <c r="J1995" s="3" t="inlineStr">
        <is>
          <t>부강면</t>
        </is>
      </c>
    </row>
    <row r="1996">
      <c r="A1996" s="3" t="n">
        <v>2026</v>
      </c>
      <c r="B1996" s="4" t="n">
        <v>50500</v>
      </c>
      <c r="C1996" s="4" t="n">
        <v>427</v>
      </c>
      <c r="D1996" s="3" t="inlineStr">
        <is>
          <t>다정동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129.1675</v>
      </c>
      <c r="I1996" s="5" t="n">
        <v>391</v>
      </c>
      <c r="J1996" s="3" t="inlineStr">
        <is>
          <t>다정동</t>
        </is>
      </c>
    </row>
    <row r="1997">
      <c r="A1997" s="3" t="n">
        <v>2026</v>
      </c>
      <c r="B1997" s="4" t="n">
        <v>7700</v>
      </c>
      <c r="C1997" s="4" t="n">
        <v>349</v>
      </c>
      <c r="D1997" s="3" t="inlineStr">
        <is>
          <t>연동면</t>
        </is>
      </c>
      <c r="E1997" s="3" t="inlineStr">
        <is>
          <t>명학리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105.5725</v>
      </c>
      <c r="I1997" s="5" t="n">
        <v>72.90000000000001</v>
      </c>
      <c r="J1997" s="3" t="inlineStr">
        <is>
          <t>연동면</t>
        </is>
      </c>
    </row>
    <row r="1998">
      <c r="A1998" s="3" t="n">
        <v>2026</v>
      </c>
      <c r="B1998" s="4" t="n">
        <v>12300</v>
      </c>
      <c r="C1998" s="4" t="n">
        <v>559</v>
      </c>
      <c r="D1998" s="3" t="inlineStr">
        <is>
          <t>연동면</t>
        </is>
      </c>
      <c r="E1998" s="3" t="inlineStr">
        <is>
          <t>명학리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169.0975</v>
      </c>
      <c r="I1998" s="5" t="n">
        <v>72.7</v>
      </c>
      <c r="J1998" s="3" t="inlineStr">
        <is>
          <t>연동면</t>
        </is>
      </c>
    </row>
    <row r="1999">
      <c r="A1999" s="3" t="n">
        <v>2026</v>
      </c>
      <c r="B1999" s="4" t="n">
        <v>9000</v>
      </c>
      <c r="C1999" s="4" t="n">
        <v>804.8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답</t>
        </is>
      </c>
      <c r="H1999" s="4" t="n">
        <v>243.452</v>
      </c>
      <c r="I1999" s="5" t="n">
        <v>37</v>
      </c>
      <c r="J1999" s="3" t="inlineStr">
        <is>
          <t>연동면</t>
        </is>
      </c>
    </row>
    <row r="2000">
      <c r="A2000" s="3" t="n">
        <v>2026</v>
      </c>
      <c r="B2000" s="4" t="n">
        <v>7000</v>
      </c>
      <c r="C2000" s="4" t="n">
        <v>535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보전녹지지역</t>
        </is>
      </c>
      <c r="G2000" s="3" t="inlineStr">
        <is>
          <t>임야</t>
        </is>
      </c>
      <c r="H2000" s="4" t="n">
        <v>161.8375</v>
      </c>
      <c r="I2000" s="5" t="n">
        <v>43.3</v>
      </c>
      <c r="J2000" s="3" t="inlineStr">
        <is>
          <t>조치원읍</t>
        </is>
      </c>
    </row>
    <row r="2001">
      <c r="A2001" s="3" t="n">
        <v>2026</v>
      </c>
      <c r="B2001" s="4" t="n">
        <v>2000</v>
      </c>
      <c r="C2001" s="4" t="n">
        <v>288</v>
      </c>
      <c r="D2001" s="3" t="inlineStr">
        <is>
          <t>조치원읍</t>
        </is>
      </c>
      <c r="E2001" s="3" t="inlineStr">
        <is>
          <t>죽림리</t>
        </is>
      </c>
      <c r="F2001" s="3" t="inlineStr">
        <is>
          <t>제2종일반주거지역</t>
        </is>
      </c>
      <c r="G2001" s="3" t="inlineStr">
        <is>
          <t>답</t>
        </is>
      </c>
      <c r="H2001" s="4" t="n">
        <v>87.12</v>
      </c>
      <c r="I2001" s="5" t="n">
        <v>23</v>
      </c>
      <c r="J2001" s="3" t="inlineStr">
        <is>
          <t>조치원읍</t>
        </is>
      </c>
    </row>
    <row r="2002">
      <c r="A2002" s="3" t="n">
        <v>2025</v>
      </c>
      <c r="B2002" s="4" t="n">
        <v>33421</v>
      </c>
      <c r="C2002" s="4" t="n">
        <v>256.5</v>
      </c>
      <c r="D2002" s="3" t="inlineStr">
        <is>
          <t>고운동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77.59125</v>
      </c>
      <c r="I2002" s="5" t="n">
        <v>430.7</v>
      </c>
      <c r="J2002" s="3" t="inlineStr">
        <is>
          <t>고운동</t>
        </is>
      </c>
    </row>
    <row r="2003">
      <c r="A2003" s="3" t="n">
        <v>2025</v>
      </c>
      <c r="B2003" s="4" t="n">
        <v>7480</v>
      </c>
      <c r="C2003" s="4" t="n">
        <v>1127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340.9175</v>
      </c>
      <c r="I2003" s="5" t="n">
        <v>21.9</v>
      </c>
      <c r="J2003" s="3" t="inlineStr">
        <is>
          <t>부강면</t>
        </is>
      </c>
    </row>
    <row r="2004">
      <c r="A2004" s="3" t="n">
        <v>2025</v>
      </c>
      <c r="B2004" s="4" t="n">
        <v>6800</v>
      </c>
      <c r="C2004" s="4" t="n">
        <v>1008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보전관리지역</t>
        </is>
      </c>
      <c r="G2004" s="3" t="inlineStr">
        <is>
          <t>임야</t>
        </is>
      </c>
      <c r="H2004" s="4" t="n">
        <v>304.92</v>
      </c>
      <c r="I2004" s="5" t="n">
        <v>22.3</v>
      </c>
      <c r="J2004" s="3" t="inlineStr">
        <is>
          <t>연서면</t>
        </is>
      </c>
    </row>
    <row r="2005">
      <c r="A2005" s="3" t="n">
        <v>2025</v>
      </c>
      <c r="B2005" s="4" t="n">
        <v>177135</v>
      </c>
      <c r="C2005" s="4" t="n">
        <v>3209.5</v>
      </c>
      <c r="D2005" s="3" t="inlineStr">
        <is>
          <t>집현동</t>
        </is>
      </c>
      <c r="E2005" s="3" t="inlineStr"/>
      <c r="F2005" s="3" t="inlineStr">
        <is>
          <t>준주거지역</t>
        </is>
      </c>
      <c r="G2005" s="3" t="inlineStr">
        <is>
          <t>대</t>
        </is>
      </c>
      <c r="H2005" s="4" t="n">
        <v>970.87375</v>
      </c>
      <c r="I2005" s="5" t="n">
        <v>182.4</v>
      </c>
      <c r="J2005" s="3" t="inlineStr">
        <is>
          <t>집현동</t>
        </is>
      </c>
    </row>
    <row r="2006">
      <c r="A2006" s="3" t="n">
        <v>2024</v>
      </c>
      <c r="B2006" s="4" t="n">
        <v>22230</v>
      </c>
      <c r="C2006" s="4" t="n">
        <v>1132</v>
      </c>
      <c r="D2006" s="3" t="inlineStr">
        <is>
          <t>부강면</t>
        </is>
      </c>
      <c r="E2006" s="3" t="inlineStr">
        <is>
          <t>갈산리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342.43</v>
      </c>
      <c r="I2006" s="5" t="n">
        <v>64.90000000000001</v>
      </c>
      <c r="J2006" s="3" t="inlineStr">
        <is>
          <t>부강면</t>
        </is>
      </c>
    </row>
    <row r="2007">
      <c r="A2007" s="3" t="n">
        <v>2024</v>
      </c>
      <c r="B2007" s="4" t="n">
        <v>12100</v>
      </c>
      <c r="C2007" s="4" t="n">
        <v>113</v>
      </c>
      <c r="D2007" s="3" t="inlineStr">
        <is>
          <t>조치원읍</t>
        </is>
      </c>
      <c r="E2007" s="3" t="inlineStr">
        <is>
          <t>번암리</t>
        </is>
      </c>
      <c r="F2007" s="3" t="inlineStr">
        <is>
          <t>제2종일반주거지역</t>
        </is>
      </c>
      <c r="G2007" s="3" t="inlineStr">
        <is>
          <t>전</t>
        </is>
      </c>
      <c r="H2007" s="4" t="n">
        <v>34.1825</v>
      </c>
      <c r="I2007" s="5" t="n">
        <v>354</v>
      </c>
      <c r="J2007" s="3" t="inlineStr">
        <is>
          <t>조치원읍</t>
        </is>
      </c>
    </row>
    <row r="2008">
      <c r="A2008" s="3" t="n">
        <v>2024</v>
      </c>
      <c r="B2008" s="4" t="n">
        <v>60000</v>
      </c>
      <c r="C2008" s="4" t="n">
        <v>32826</v>
      </c>
      <c r="D2008" s="3" t="inlineStr">
        <is>
          <t>연서면</t>
        </is>
      </c>
      <c r="E2008" s="3" t="inlineStr">
        <is>
          <t>기룡리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9929.865</v>
      </c>
      <c r="I2008" s="5" t="n">
        <v>6</v>
      </c>
      <c r="J2008" s="3" t="inlineStr">
        <is>
          <t>연서면</t>
        </is>
      </c>
    </row>
    <row r="2009">
      <c r="A2009" s="3" t="n">
        <v>2024</v>
      </c>
      <c r="B2009" s="4" t="n">
        <v>52000</v>
      </c>
      <c r="C2009" s="4" t="n">
        <v>2149</v>
      </c>
      <c r="D2009" s="3" t="inlineStr">
        <is>
          <t>연서면</t>
        </is>
      </c>
      <c r="E2009" s="3" t="inlineStr">
        <is>
          <t>국촌리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650.0725</v>
      </c>
      <c r="I2009" s="5" t="n">
        <v>80</v>
      </c>
      <c r="J2009" s="3" t="inlineStr">
        <is>
          <t>연서면</t>
        </is>
      </c>
    </row>
    <row r="2010">
      <c r="A2010" s="3" t="n">
        <v>2024</v>
      </c>
      <c r="B2010" s="4" t="n">
        <v>6800</v>
      </c>
      <c r="C2010" s="4" t="n">
        <v>799</v>
      </c>
      <c r="D2010" s="3" t="inlineStr">
        <is>
          <t>연서면</t>
        </is>
      </c>
      <c r="E2010" s="3" t="inlineStr">
        <is>
          <t>청라리</t>
        </is>
      </c>
      <c r="F2010" s="3" t="inlineStr">
        <is>
          <t>생산관리지역</t>
        </is>
      </c>
      <c r="G2010" s="3" t="inlineStr">
        <is>
          <t>답</t>
        </is>
      </c>
      <c r="H2010" s="4" t="n">
        <v>241.6975</v>
      </c>
      <c r="I2010" s="5" t="n">
        <v>28.1</v>
      </c>
      <c r="J2010" s="3" t="inlineStr">
        <is>
          <t>연서면</t>
        </is>
      </c>
    </row>
    <row r="2011">
      <c r="A2011" s="3" t="n">
        <v>2024</v>
      </c>
      <c r="B2011" s="4" t="n">
        <v>3200</v>
      </c>
      <c r="C2011" s="4" t="n">
        <v>372</v>
      </c>
      <c r="D2011" s="3" t="inlineStr">
        <is>
          <t>연서면</t>
        </is>
      </c>
      <c r="E2011" s="3" t="inlineStr">
        <is>
          <t>청라리</t>
        </is>
      </c>
      <c r="F2011" s="3" t="inlineStr">
        <is>
          <t>생산관리지역</t>
        </is>
      </c>
      <c r="G2011" s="3" t="inlineStr">
        <is>
          <t>답</t>
        </is>
      </c>
      <c r="H2011" s="4" t="n">
        <v>112.53</v>
      </c>
      <c r="I2011" s="5" t="n">
        <v>28.4</v>
      </c>
      <c r="J2011" s="3" t="inlineStr">
        <is>
          <t>연서면</t>
        </is>
      </c>
    </row>
    <row r="2012">
      <c r="A2012" s="3" t="n">
        <v>2023</v>
      </c>
      <c r="B2012" s="4" t="n">
        <v>53000</v>
      </c>
      <c r="C2012" s="4" t="n">
        <v>337.9</v>
      </c>
      <c r="D2012" s="3" t="inlineStr">
        <is>
          <t>아름동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102.21475</v>
      </c>
      <c r="I2012" s="5" t="n">
        <v>518.5</v>
      </c>
      <c r="J2012" s="3" t="inlineStr">
        <is>
          <t>아름동</t>
        </is>
      </c>
    </row>
    <row r="2013">
      <c r="A2013" s="3" t="n">
        <v>2023</v>
      </c>
      <c r="B2013" s="4" t="n">
        <v>100000</v>
      </c>
      <c r="C2013" s="4" t="n">
        <v>11901</v>
      </c>
      <c r="D2013" s="3" t="inlineStr">
        <is>
          <t>연서면</t>
        </is>
      </c>
      <c r="E2013" s="3" t="inlineStr">
        <is>
          <t>와촌리</t>
        </is>
      </c>
      <c r="F2013" s="3" t="inlineStr">
        <is>
          <t>농림지역</t>
        </is>
      </c>
      <c r="G2013" s="3" t="inlineStr">
        <is>
          <t>임야</t>
        </is>
      </c>
      <c r="H2013" s="4" t="n">
        <v>3600.0525</v>
      </c>
      <c r="I2013" s="5" t="n">
        <v>27.8</v>
      </c>
      <c r="J2013" s="3" t="inlineStr">
        <is>
          <t>연서면</t>
        </is>
      </c>
    </row>
    <row r="2014">
      <c r="A2014" s="3" t="n">
        <v>2023</v>
      </c>
      <c r="B2014" s="4" t="n">
        <v>30000</v>
      </c>
      <c r="C2014" s="4" t="n">
        <v>660</v>
      </c>
      <c r="D2014" s="3" t="inlineStr">
        <is>
          <t>부강면</t>
        </is>
      </c>
      <c r="E2014" s="3" t="inlineStr">
        <is>
          <t>금호리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199.65</v>
      </c>
      <c r="I2014" s="5" t="n">
        <v>150.3</v>
      </c>
      <c r="J2014" s="3" t="inlineStr">
        <is>
          <t>부강면</t>
        </is>
      </c>
    </row>
    <row r="2015">
      <c r="A2015" s="3" t="n">
        <v>2023</v>
      </c>
      <c r="B2015" s="4" t="n">
        <v>20000</v>
      </c>
      <c r="C2015" s="4" t="n">
        <v>441</v>
      </c>
      <c r="D2015" s="3" t="inlineStr">
        <is>
          <t>부강면</t>
        </is>
      </c>
      <c r="E2015" s="3" t="inlineStr">
        <is>
          <t>금호리</t>
        </is>
      </c>
      <c r="F2015" s="3" t="inlineStr">
        <is>
          <t>계획관리지역</t>
        </is>
      </c>
      <c r="G2015" s="3" t="inlineStr">
        <is>
          <t>전</t>
        </is>
      </c>
      <c r="H2015" s="4" t="n">
        <v>133.4025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230000</v>
      </c>
      <c r="C2016" s="4" t="n">
        <v>549</v>
      </c>
      <c r="D2016" s="3" t="inlineStr">
        <is>
          <t>다정동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166.0725</v>
      </c>
      <c r="I2016" s="5" t="n">
        <v>1384.9</v>
      </c>
      <c r="J2016" s="3" t="inlineStr">
        <is>
          <t>다정동</t>
        </is>
      </c>
    </row>
    <row r="2017">
      <c r="A2017" s="3" t="n">
        <v>2022</v>
      </c>
      <c r="B2017" s="4" t="n">
        <v>140000</v>
      </c>
      <c r="C2017" s="4" t="n">
        <v>11901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3600.0525</v>
      </c>
      <c r="I2017" s="5" t="n">
        <v>38.9</v>
      </c>
      <c r="J2017" s="3" t="inlineStr">
        <is>
          <t>연서면</t>
        </is>
      </c>
    </row>
    <row r="2018">
      <c r="A2018" s="3" t="n">
        <v>2022</v>
      </c>
      <c r="B2018" s="4" t="n">
        <v>31112</v>
      </c>
      <c r="C2018" s="4" t="n">
        <v>1753</v>
      </c>
      <c r="D2018" s="3" t="inlineStr">
        <is>
          <t>부강면</t>
        </is>
      </c>
      <c r="E2018" s="3" t="inlineStr">
        <is>
          <t>등곡리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530.2825</v>
      </c>
      <c r="I2018" s="5" t="n">
        <v>58.7</v>
      </c>
      <c r="J2018" s="3" t="inlineStr">
        <is>
          <t>부강면</t>
        </is>
      </c>
    </row>
    <row r="2019">
      <c r="A2019" s="3" t="n">
        <v>2022</v>
      </c>
      <c r="B2019" s="4" t="n">
        <v>8520</v>
      </c>
      <c r="C2019" s="4" t="n">
        <v>1753</v>
      </c>
      <c r="D2019" s="3" t="inlineStr">
        <is>
          <t>부강면</t>
        </is>
      </c>
      <c r="E2019" s="3" t="inlineStr">
        <is>
          <t>등곡리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530.2825</v>
      </c>
      <c r="I2019" s="5" t="n">
        <v>16.1</v>
      </c>
      <c r="J2019" s="3" t="inlineStr">
        <is>
          <t>부강면</t>
        </is>
      </c>
    </row>
    <row r="2020">
      <c r="A2020" s="3" t="n">
        <v>2022</v>
      </c>
      <c r="B2020" s="4" t="n">
        <v>300000</v>
      </c>
      <c r="C2020" s="4" t="n">
        <v>3224</v>
      </c>
      <c r="D2020" s="3" t="inlineStr">
        <is>
          <t>부강면</t>
        </is>
      </c>
      <c r="E2020" s="3" t="inlineStr">
        <is>
          <t>부강리</t>
        </is>
      </c>
      <c r="F2020" s="3" t="inlineStr">
        <is>
          <t>생산녹지지역</t>
        </is>
      </c>
      <c r="G2020" s="3" t="inlineStr">
        <is>
          <t>답</t>
        </is>
      </c>
      <c r="H2020" s="4" t="n">
        <v>975.26</v>
      </c>
      <c r="I2020" s="5" t="n">
        <v>307.6</v>
      </c>
      <c r="J2020" s="3" t="inlineStr">
        <is>
          <t>부강면</t>
        </is>
      </c>
    </row>
    <row r="2021">
      <c r="A2021" s="3" t="n">
        <v>2025</v>
      </c>
      <c r="B2021" s="4" t="n">
        <v>8900</v>
      </c>
      <c r="C2021" s="4" t="n">
        <v>635</v>
      </c>
      <c r="D2021" s="3" t="inlineStr">
        <is>
          <t>부강면</t>
        </is>
      </c>
      <c r="E2021" s="3" t="inlineStr">
        <is>
          <t>행산리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192.0875</v>
      </c>
      <c r="I2021" s="5" t="n">
        <v>46.3</v>
      </c>
      <c r="J2021" s="3" t="inlineStr">
        <is>
          <t>부강면</t>
        </is>
      </c>
    </row>
    <row r="2022">
      <c r="A2022" s="3" t="n">
        <v>2023</v>
      </c>
      <c r="B2022" s="4" t="n">
        <v>9793</v>
      </c>
      <c r="C2022" s="4" t="n">
        <v>819</v>
      </c>
      <c r="D2022" s="3" t="inlineStr">
        <is>
          <t>부강면</t>
        </is>
      </c>
      <c r="E2022" s="3" t="inlineStr">
        <is>
          <t>부강리</t>
        </is>
      </c>
      <c r="F2022" s="3" t="inlineStr">
        <is>
          <t>보전관리지역</t>
        </is>
      </c>
      <c r="G2022" s="3" t="inlineStr">
        <is>
          <t>전</t>
        </is>
      </c>
      <c r="H2022" s="4" t="n">
        <v>247.7475</v>
      </c>
      <c r="I2022" s="5" t="n">
        <v>39.5</v>
      </c>
      <c r="J2022" s="3" t="inlineStr">
        <is>
          <t>부강면</t>
        </is>
      </c>
    </row>
    <row r="2023">
      <c r="A2023" s="3" t="n">
        <v>2023</v>
      </c>
      <c r="B2023" s="4" t="n">
        <v>52541</v>
      </c>
      <c r="C2023" s="4" t="n">
        <v>4395</v>
      </c>
      <c r="D2023" s="3" t="inlineStr">
        <is>
          <t>부강면</t>
        </is>
      </c>
      <c r="E2023" s="3" t="inlineStr">
        <is>
          <t>부강리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1329.4875</v>
      </c>
      <c r="I2023" s="5" t="n">
        <v>39.5</v>
      </c>
      <c r="J2023" s="3" t="inlineStr">
        <is>
          <t>부강면</t>
        </is>
      </c>
    </row>
    <row r="2024">
      <c r="A2024" s="3" t="n">
        <v>2023</v>
      </c>
      <c r="B2024" s="4" t="n">
        <v>24301</v>
      </c>
      <c r="C2024" s="4" t="n">
        <v>2033</v>
      </c>
      <c r="D2024" s="3" t="inlineStr">
        <is>
          <t>부강면</t>
        </is>
      </c>
      <c r="E2024" s="3" t="inlineStr">
        <is>
          <t>부강리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614.9825</v>
      </c>
      <c r="I2024" s="5" t="n">
        <v>39.5</v>
      </c>
      <c r="J2024" s="3" t="inlineStr">
        <is>
          <t>부강면</t>
        </is>
      </c>
    </row>
    <row r="2025">
      <c r="A2025" s="3" t="n">
        <v>2023</v>
      </c>
      <c r="B2025" s="4" t="n">
        <v>15850</v>
      </c>
      <c r="C2025" s="4" t="n">
        <v>577</v>
      </c>
      <c r="D2025" s="3" t="inlineStr">
        <is>
          <t>연서면</t>
        </is>
      </c>
      <c r="E2025" s="3" t="inlineStr">
        <is>
          <t>용암리</t>
        </is>
      </c>
      <c r="F2025" s="3" t="inlineStr">
        <is>
          <t>생산관리지역</t>
        </is>
      </c>
      <c r="G2025" s="3" t="inlineStr">
        <is>
          <t>과수원</t>
        </is>
      </c>
      <c r="H2025" s="4" t="n">
        <v>174.5425</v>
      </c>
      <c r="I2025" s="5" t="n">
        <v>90.8</v>
      </c>
      <c r="J2025" s="3" t="inlineStr">
        <is>
          <t>연서면</t>
        </is>
      </c>
    </row>
    <row r="2026">
      <c r="A2026" s="3" t="n">
        <v>2023</v>
      </c>
      <c r="B2026" s="4" t="n">
        <v>2739</v>
      </c>
      <c r="C2026" s="4" t="n">
        <v>43</v>
      </c>
      <c r="D2026" s="3" t="inlineStr">
        <is>
          <t>연서면</t>
        </is>
      </c>
      <c r="E2026" s="3" t="inlineStr">
        <is>
          <t>봉암리</t>
        </is>
      </c>
      <c r="F2026" s="3" t="inlineStr">
        <is>
          <t>계획관리지역</t>
        </is>
      </c>
      <c r="G2026" s="3" t="inlineStr">
        <is>
          <t>잡종지</t>
        </is>
      </c>
      <c r="H2026" s="4" t="n">
        <v>13.0075</v>
      </c>
      <c r="I2026" s="5" t="n">
        <v>210.6</v>
      </c>
      <c r="J2026" s="3" t="inlineStr">
        <is>
          <t>연서면</t>
        </is>
      </c>
    </row>
    <row r="2027">
      <c r="A2027" s="3" t="n">
        <v>2023</v>
      </c>
      <c r="B2027" s="4" t="n">
        <v>4000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145.3</v>
      </c>
      <c r="J2027" s="3" t="inlineStr">
        <is>
          <t>연동면</t>
        </is>
      </c>
    </row>
    <row r="2028">
      <c r="A2028" s="3" t="n">
        <v>2023</v>
      </c>
      <c r="B2028" s="4" t="n">
        <v>11330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146.3</v>
      </c>
      <c r="J2028" s="3" t="inlineStr">
        <is>
          <t>연동면</t>
        </is>
      </c>
    </row>
    <row r="2029">
      <c r="A2029" s="3" t="n">
        <v>2022</v>
      </c>
      <c r="B2029" s="4" t="n">
        <v>84000</v>
      </c>
      <c r="C2029" s="4" t="n">
        <v>330</v>
      </c>
      <c r="D2029" s="3" t="inlineStr">
        <is>
          <t>아름동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99.825</v>
      </c>
      <c r="I2029" s="5" t="n">
        <v>841.5</v>
      </c>
      <c r="J2029" s="3" t="inlineStr">
        <is>
          <t>아름동</t>
        </is>
      </c>
    </row>
    <row r="2030">
      <c r="A2030" s="3" t="n">
        <v>2022</v>
      </c>
      <c r="B2030" s="4" t="n">
        <v>1200</v>
      </c>
      <c r="C2030" s="4" t="n">
        <v>47</v>
      </c>
      <c r="D2030" s="3" t="inlineStr">
        <is>
          <t>연동면</t>
        </is>
      </c>
      <c r="E2030" s="3" t="inlineStr">
        <is>
          <t>송용리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14.2175</v>
      </c>
      <c r="I2030" s="5" t="n">
        <v>84.40000000000001</v>
      </c>
      <c r="J2030" s="3" t="inlineStr">
        <is>
          <t>연동면</t>
        </is>
      </c>
    </row>
    <row r="2031">
      <c r="A2031" s="3" t="n">
        <v>2022</v>
      </c>
      <c r="B2031" s="4" t="n">
        <v>203000</v>
      </c>
      <c r="C2031" s="4" t="n">
        <v>1523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일반공업지역</t>
        </is>
      </c>
      <c r="G2031" s="3" t="inlineStr">
        <is>
          <t>답</t>
        </is>
      </c>
      <c r="H2031" s="4" t="n">
        <v>460.7075</v>
      </c>
      <c r="I2031" s="5" t="n">
        <v>440.6</v>
      </c>
      <c r="J2031" s="3" t="inlineStr">
        <is>
          <t>부강면</t>
        </is>
      </c>
    </row>
    <row r="2032">
      <c r="A2032" s="3" t="n">
        <v>2022</v>
      </c>
      <c r="B2032" s="4" t="n">
        <v>25000</v>
      </c>
      <c r="C2032" s="4" t="n">
        <v>232.5</v>
      </c>
      <c r="D2032" s="3" t="inlineStr">
        <is>
          <t>오송읍</t>
        </is>
      </c>
      <c r="E2032" s="3" t="inlineStr">
        <is>
          <t>봉산리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70.33125</v>
      </c>
      <c r="I2032" s="5" t="n">
        <v>355.5</v>
      </c>
      <c r="J2032" s="3" t="inlineStr">
        <is>
          <t>오송읍</t>
        </is>
      </c>
    </row>
    <row r="2033">
      <c r="A2033" s="3" t="n">
        <v>2023</v>
      </c>
      <c r="B2033" s="4" t="n">
        <v>15500</v>
      </c>
      <c r="C2033" s="4" t="n">
        <v>2228</v>
      </c>
      <c r="D2033" s="3" t="inlineStr">
        <is>
          <t>강내면</t>
        </is>
      </c>
      <c r="E2033" s="3" t="inlineStr">
        <is>
          <t>사곡리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673.97</v>
      </c>
      <c r="I2033" s="5" t="n">
        <v>23</v>
      </c>
      <c r="J2033" s="3" t="inlineStr">
        <is>
          <t>강내면</t>
        </is>
      </c>
    </row>
    <row r="2034">
      <c r="A2034" s="3" t="n">
        <v>2023</v>
      </c>
      <c r="B2034" s="4" t="n">
        <v>1044</v>
      </c>
      <c r="C2034" s="4" t="n">
        <v>417</v>
      </c>
      <c r="D2034" s="3" t="inlineStr">
        <is>
          <t>강내면</t>
        </is>
      </c>
      <c r="E2034" s="3" t="inlineStr">
        <is>
          <t>황탄리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126.1425</v>
      </c>
      <c r="I2034" s="5" t="n">
        <v>8.300000000000001</v>
      </c>
      <c r="J2034" s="3" t="inlineStr">
        <is>
          <t>강내면</t>
        </is>
      </c>
    </row>
    <row r="2035">
      <c r="A2035" s="3" t="n">
        <v>2023</v>
      </c>
      <c r="B2035" s="4" t="n">
        <v>156</v>
      </c>
      <c r="C2035" s="4" t="n">
        <v>80</v>
      </c>
      <c r="D2035" s="3" t="inlineStr">
        <is>
          <t>강내면</t>
        </is>
      </c>
      <c r="E2035" s="3" t="inlineStr">
        <is>
          <t>황탄리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24.2</v>
      </c>
      <c r="I2035" s="5" t="n">
        <v>6.4</v>
      </c>
      <c r="J2035" s="3" t="inlineStr">
        <is>
          <t>강내면</t>
        </is>
      </c>
    </row>
    <row r="2036">
      <c r="A2036" s="3" t="n">
        <v>2023</v>
      </c>
      <c r="B2036" s="4" t="n">
        <v>40600</v>
      </c>
      <c r="C2036" s="4" t="n">
        <v>671</v>
      </c>
      <c r="D2036" s="3" t="inlineStr">
        <is>
          <t>강내면</t>
        </is>
      </c>
      <c r="E2036" s="3" t="inlineStr">
        <is>
          <t>월탄리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202.9775</v>
      </c>
      <c r="I2036" s="5" t="n">
        <v>200</v>
      </c>
      <c r="J2036" s="3" t="inlineStr">
        <is>
          <t>강내면</t>
        </is>
      </c>
    </row>
    <row r="2037">
      <c r="A2037" s="3" t="n">
        <v>2023</v>
      </c>
      <c r="B2037" s="4" t="n">
        <v>1400</v>
      </c>
      <c r="C2037" s="4" t="n">
        <v>23</v>
      </c>
      <c r="D2037" s="3" t="inlineStr">
        <is>
          <t>강내면</t>
        </is>
      </c>
      <c r="E2037" s="3" t="inlineStr">
        <is>
          <t>월탄리</t>
        </is>
      </c>
      <c r="F2037" s="3" t="inlineStr">
        <is>
          <t>용도미지정</t>
        </is>
      </c>
      <c r="G2037" s="3" t="inlineStr">
        <is>
          <t>답</t>
        </is>
      </c>
      <c r="H2037" s="4" t="n">
        <v>6.9575</v>
      </c>
      <c r="I2037" s="5" t="n">
        <v>201.2</v>
      </c>
      <c r="J2037" s="3" t="inlineStr">
        <is>
          <t>강내면</t>
        </is>
      </c>
    </row>
    <row r="2038">
      <c r="A2038" s="3" t="n">
        <v>2023</v>
      </c>
      <c r="B2038" s="4" t="n">
        <v>2928</v>
      </c>
      <c r="C2038" s="4" t="n">
        <v>44</v>
      </c>
      <c r="D2038" s="3" t="inlineStr">
        <is>
          <t>강내면</t>
        </is>
      </c>
      <c r="E2038" s="3" t="inlineStr">
        <is>
          <t>월곡리</t>
        </is>
      </c>
      <c r="F2038" s="3" t="inlineStr">
        <is>
          <t>제2종일반주거지역</t>
        </is>
      </c>
      <c r="G2038" s="3" t="inlineStr">
        <is>
          <t>답</t>
        </is>
      </c>
      <c r="H2038" s="4" t="n">
        <v>13.31</v>
      </c>
      <c r="I2038" s="5" t="n">
        <v>220</v>
      </c>
      <c r="J2038" s="3" t="inlineStr">
        <is>
          <t>강내면</t>
        </is>
      </c>
    </row>
    <row r="2039">
      <c r="A2039" s="3" t="n">
        <v>2023</v>
      </c>
      <c r="B2039" s="4" t="n">
        <v>6500</v>
      </c>
      <c r="C2039" s="4" t="n">
        <v>380</v>
      </c>
      <c r="D2039" s="3" t="inlineStr">
        <is>
          <t>강내면</t>
        </is>
      </c>
      <c r="E2039" s="3" t="inlineStr">
        <is>
          <t>태성리</t>
        </is>
      </c>
      <c r="F2039" s="3" t="inlineStr">
        <is>
          <t>계획관리지역</t>
        </is>
      </c>
      <c r="G2039" s="3" t="inlineStr">
        <is>
          <t>답</t>
        </is>
      </c>
      <c r="H2039" s="4" t="n">
        <v>114.95</v>
      </c>
      <c r="I2039" s="5" t="n">
        <v>56.5</v>
      </c>
      <c r="J2039" s="3" t="inlineStr">
        <is>
          <t>강내면</t>
        </is>
      </c>
    </row>
    <row r="2040">
      <c r="A2040" s="3" t="n">
        <v>2023</v>
      </c>
      <c r="B2040" s="4" t="n">
        <v>1380</v>
      </c>
      <c r="C2040" s="4" t="n">
        <v>38</v>
      </c>
      <c r="D2040" s="3" t="inlineStr">
        <is>
          <t>오송읍</t>
        </is>
      </c>
      <c r="E2040" s="3" t="inlineStr">
        <is>
          <t>상정리</t>
        </is>
      </c>
      <c r="F2040" s="3" t="inlineStr">
        <is>
          <t>생산관리지역</t>
        </is>
      </c>
      <c r="G2040" s="3" t="inlineStr">
        <is>
          <t>구거</t>
        </is>
      </c>
      <c r="H2040" s="4" t="n">
        <v>11.495</v>
      </c>
      <c r="I2040" s="5" t="n">
        <v>120.1</v>
      </c>
      <c r="J2040" s="3" t="inlineStr">
        <is>
          <t>오송읍</t>
        </is>
      </c>
    </row>
    <row r="2041">
      <c r="A2041" s="3" t="n">
        <v>2025</v>
      </c>
      <c r="B2041" s="4" t="n">
        <v>3000</v>
      </c>
      <c r="C2041" s="4" t="n">
        <v>218</v>
      </c>
      <c r="D2041" s="3" t="inlineStr">
        <is>
          <t>부강면</t>
        </is>
      </c>
      <c r="E2041" s="3" t="inlineStr">
        <is>
          <t>행산리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65.94499999999999</v>
      </c>
      <c r="I2041" s="5" t="n">
        <v>45.5</v>
      </c>
      <c r="J2041" s="3" t="inlineStr">
        <is>
          <t>부강면</t>
        </is>
      </c>
    </row>
    <row r="2042">
      <c r="A2042" s="3" t="n">
        <v>2025</v>
      </c>
      <c r="B2042" s="4" t="n">
        <v>900</v>
      </c>
      <c r="C2042" s="4" t="n">
        <v>298</v>
      </c>
      <c r="D2042" s="3" t="inlineStr">
        <is>
          <t>부강면</t>
        </is>
      </c>
      <c r="E2042" s="3" t="inlineStr">
        <is>
          <t>행산리</t>
        </is>
      </c>
      <c r="F2042" s="3" t="inlineStr">
        <is>
          <t>계획관리지역</t>
        </is>
      </c>
      <c r="G2042" s="3" t="inlineStr">
        <is>
          <t>임야</t>
        </is>
      </c>
      <c r="H2042" s="4" t="n">
        <v>90.145</v>
      </c>
      <c r="I2042" s="5" t="n">
        <v>10</v>
      </c>
      <c r="J2042" s="3" t="inlineStr">
        <is>
          <t>부강면</t>
        </is>
      </c>
    </row>
    <row r="2043">
      <c r="A2043" s="3" t="n">
        <v>2025</v>
      </c>
      <c r="B2043" s="4" t="n">
        <v>3900</v>
      </c>
      <c r="C2043" s="4" t="n">
        <v>1288</v>
      </c>
      <c r="D2043" s="3" t="inlineStr">
        <is>
          <t>부강면</t>
        </is>
      </c>
      <c r="E2043" s="3" t="inlineStr">
        <is>
          <t>행산리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389.62</v>
      </c>
      <c r="I2043" s="5" t="n">
        <v>10</v>
      </c>
      <c r="J2043" s="3" t="inlineStr">
        <is>
          <t>부강면</t>
        </is>
      </c>
    </row>
    <row r="2044">
      <c r="A2044" s="3" t="n">
        <v>2025</v>
      </c>
      <c r="B2044" s="4" t="n">
        <v>2095</v>
      </c>
      <c r="C2044" s="4" t="n">
        <v>16</v>
      </c>
      <c r="D2044" s="3" t="inlineStr">
        <is>
          <t>조치원읍</t>
        </is>
      </c>
      <c r="E2044" s="3" t="inlineStr">
        <is>
          <t>신흥리</t>
        </is>
      </c>
      <c r="F2044" s="3" t="inlineStr">
        <is>
          <t>제2종일반주거지역</t>
        </is>
      </c>
      <c r="G2044" s="3" t="inlineStr">
        <is>
          <t>대</t>
        </is>
      </c>
      <c r="H2044" s="4" t="n">
        <v>4.84</v>
      </c>
      <c r="I2044" s="5" t="n">
        <v>432.9</v>
      </c>
      <c r="J2044" s="3" t="inlineStr">
        <is>
          <t>조치원읍</t>
        </is>
      </c>
    </row>
    <row r="2045">
      <c r="A2045" s="3" t="n">
        <v>2025</v>
      </c>
      <c r="B2045" s="4" t="n">
        <v>6100</v>
      </c>
      <c r="C2045" s="4" t="n">
        <v>367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생산관리지역</t>
        </is>
      </c>
      <c r="G2045" s="3" t="inlineStr">
        <is>
          <t>과수원</t>
        </is>
      </c>
      <c r="H2045" s="4" t="n">
        <v>111.0175</v>
      </c>
      <c r="I2045" s="5" t="n">
        <v>54.9</v>
      </c>
      <c r="J2045" s="3" t="inlineStr">
        <is>
          <t>연서면</t>
        </is>
      </c>
    </row>
    <row r="2046">
      <c r="A2046" s="3" t="n">
        <v>2025</v>
      </c>
      <c r="B2046" s="4" t="n">
        <v>59350</v>
      </c>
      <c r="C2046" s="4" t="n">
        <v>3020</v>
      </c>
      <c r="D2046" s="3" t="inlineStr">
        <is>
          <t>연서면</t>
        </is>
      </c>
      <c r="E2046" s="3" t="inlineStr">
        <is>
          <t>성제리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913.55</v>
      </c>
      <c r="I2046" s="5" t="n">
        <v>65</v>
      </c>
      <c r="J2046" s="3" t="inlineStr">
        <is>
          <t>연서면</t>
        </is>
      </c>
    </row>
    <row r="2047">
      <c r="A2047" s="3" t="n">
        <v>2025</v>
      </c>
      <c r="B2047" s="4" t="n">
        <v>9500</v>
      </c>
      <c r="C2047" s="4" t="n">
        <v>325</v>
      </c>
      <c r="D2047" s="3" t="inlineStr">
        <is>
          <t>연서면</t>
        </is>
      </c>
      <c r="E2047" s="3" t="inlineStr">
        <is>
          <t>월하리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98.3125</v>
      </c>
      <c r="I2047" s="5" t="n">
        <v>96.59999999999999</v>
      </c>
      <c r="J2047" s="3" t="inlineStr">
        <is>
          <t>연서면</t>
        </is>
      </c>
    </row>
    <row r="2048">
      <c r="A2048" s="3" t="n">
        <v>2025</v>
      </c>
      <c r="B2048" s="4" t="n">
        <v>360</v>
      </c>
      <c r="C2048" s="4" t="n">
        <v>12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도로</t>
        </is>
      </c>
      <c r="H2048" s="4" t="n">
        <v>3.63</v>
      </c>
      <c r="I2048" s="5" t="n">
        <v>99.2</v>
      </c>
      <c r="J2048" s="3" t="inlineStr">
        <is>
          <t>연서면</t>
        </is>
      </c>
    </row>
    <row r="2049">
      <c r="A2049" s="3" t="n">
        <v>2025</v>
      </c>
      <c r="B2049" s="4" t="n">
        <v>85700</v>
      </c>
      <c r="C2049" s="4" t="n">
        <v>1425</v>
      </c>
      <c r="D2049" s="3" t="inlineStr">
        <is>
          <t>연서면</t>
        </is>
      </c>
      <c r="E2049" s="3" t="inlineStr">
        <is>
          <t>월하리</t>
        </is>
      </c>
      <c r="F2049" s="3" t="inlineStr">
        <is>
          <t>자연녹지지역</t>
        </is>
      </c>
      <c r="G2049" s="3" t="inlineStr">
        <is>
          <t>전</t>
        </is>
      </c>
      <c r="H2049" s="4" t="n">
        <v>431.0625</v>
      </c>
      <c r="I2049" s="5" t="n">
        <v>198.8</v>
      </c>
      <c r="J2049" s="3" t="inlineStr">
        <is>
          <t>연서면</t>
        </is>
      </c>
    </row>
    <row r="2050">
      <c r="A2050" s="3" t="n">
        <v>2024</v>
      </c>
      <c r="B2050" s="4" t="n">
        <v>48053</v>
      </c>
      <c r="C2050" s="4" t="n">
        <v>311.3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94.16825</v>
      </c>
      <c r="I2050" s="5" t="n">
        <v>510.3</v>
      </c>
      <c r="J2050" s="3" t="inlineStr">
        <is>
          <t>고운동</t>
        </is>
      </c>
    </row>
    <row r="2051">
      <c r="A2051" s="3" t="n">
        <v>2026</v>
      </c>
      <c r="B2051" s="4" t="n">
        <v>8850</v>
      </c>
      <c r="C2051" s="4" t="n">
        <v>489</v>
      </c>
      <c r="D2051" s="3" t="inlineStr">
        <is>
          <t>연서면</t>
        </is>
      </c>
      <c r="E2051" s="3" t="inlineStr">
        <is>
          <t>청라리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147.9225</v>
      </c>
      <c r="I2051" s="5" t="n">
        <v>59.8</v>
      </c>
      <c r="J2051" s="3" t="inlineStr">
        <is>
          <t>연서면</t>
        </is>
      </c>
    </row>
    <row r="2052">
      <c r="A2052" s="3" t="n">
        <v>2026</v>
      </c>
      <c r="B2052" s="4" t="n">
        <v>9500</v>
      </c>
      <c r="C2052" s="4" t="n">
        <v>169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51.1225</v>
      </c>
      <c r="I2052" s="5" t="n">
        <v>185.8</v>
      </c>
      <c r="J2052" s="3" t="inlineStr">
        <is>
          <t>연동면</t>
        </is>
      </c>
    </row>
    <row r="2053">
      <c r="A2053" s="3" t="n">
        <v>2026</v>
      </c>
      <c r="B2053" s="4" t="n">
        <v>67000</v>
      </c>
      <c r="C2053" s="4" t="n">
        <v>316.4</v>
      </c>
      <c r="D2053" s="3" t="inlineStr">
        <is>
          <t>도담동</t>
        </is>
      </c>
      <c r="E2053" s="3" t="inlineStr"/>
      <c r="F2053" s="3" t="inlineStr">
        <is>
          <t>제1종전용주거지역</t>
        </is>
      </c>
      <c r="G2053" s="3" t="inlineStr">
        <is>
          <t>대</t>
        </is>
      </c>
      <c r="H2053" s="4" t="n">
        <v>95.71099999999998</v>
      </c>
      <c r="I2053" s="5" t="n">
        <v>700</v>
      </c>
      <c r="J2053" s="3" t="inlineStr">
        <is>
          <t>도담동</t>
        </is>
      </c>
    </row>
    <row r="2054">
      <c r="A2054" s="3" t="n">
        <v>2026</v>
      </c>
      <c r="B2054" s="4" t="n">
        <v>30000</v>
      </c>
      <c r="C2054" s="4" t="n">
        <v>288</v>
      </c>
      <c r="D2054" s="3" t="inlineStr">
        <is>
          <t>조치원읍</t>
        </is>
      </c>
      <c r="E2054" s="3" t="inlineStr">
        <is>
          <t>죽림리</t>
        </is>
      </c>
      <c r="F2054" s="3" t="inlineStr">
        <is>
          <t>제2종일반주거지역</t>
        </is>
      </c>
      <c r="G2054" s="3" t="inlineStr">
        <is>
          <t>답</t>
        </is>
      </c>
      <c r="H2054" s="4" t="n">
        <v>87.12</v>
      </c>
      <c r="I2054" s="5" t="n">
        <v>344.4</v>
      </c>
      <c r="J2054" s="3" t="inlineStr">
        <is>
          <t>조치원읍</t>
        </is>
      </c>
    </row>
    <row r="2055">
      <c r="A2055" s="3" t="n">
        <v>2026</v>
      </c>
      <c r="B2055" s="4" t="n">
        <v>30000</v>
      </c>
      <c r="C2055" s="4" t="n">
        <v>288</v>
      </c>
      <c r="D2055" s="3" t="inlineStr">
        <is>
          <t>조치원읍</t>
        </is>
      </c>
      <c r="E2055" s="3" t="inlineStr">
        <is>
          <t>죽림리</t>
        </is>
      </c>
      <c r="F2055" s="3" t="inlineStr">
        <is>
          <t>제2종일반주거지역</t>
        </is>
      </c>
      <c r="G2055" s="3" t="inlineStr">
        <is>
          <t>답</t>
        </is>
      </c>
      <c r="H2055" s="4" t="n">
        <v>87.12</v>
      </c>
      <c r="I2055" s="5" t="n">
        <v>344.4</v>
      </c>
      <c r="J2055" s="3" t="inlineStr">
        <is>
          <t>조치원읍</t>
        </is>
      </c>
    </row>
    <row r="2056">
      <c r="A2056" s="3" t="n">
        <v>2025</v>
      </c>
      <c r="B2056" s="4" t="n">
        <v>60000</v>
      </c>
      <c r="C2056" s="4" t="n">
        <v>351.6</v>
      </c>
      <c r="D2056" s="3" t="inlineStr">
        <is>
          <t>집현동</t>
        </is>
      </c>
      <c r="E2056" s="3" t="inlineStr"/>
      <c r="F2056" s="3" t="inlineStr">
        <is>
          <t>제1종전용주거지역</t>
        </is>
      </c>
      <c r="G2056" s="3" t="inlineStr">
        <is>
          <t>대</t>
        </is>
      </c>
      <c r="H2056" s="4" t="n">
        <v>106.359</v>
      </c>
      <c r="I2056" s="5" t="n">
        <v>564.1</v>
      </c>
      <c r="J2056" s="3" t="inlineStr">
        <is>
          <t>집현동</t>
        </is>
      </c>
    </row>
    <row r="2057">
      <c r="A2057" s="3" t="n">
        <v>2025</v>
      </c>
      <c r="B2057" s="4" t="n">
        <v>760</v>
      </c>
      <c r="C2057" s="4" t="n">
        <v>155</v>
      </c>
      <c r="D2057" s="3" t="inlineStr">
        <is>
          <t>부강면</t>
        </is>
      </c>
      <c r="E2057" s="3" t="inlineStr">
        <is>
          <t>노호리</t>
        </is>
      </c>
      <c r="F2057" s="3" t="inlineStr">
        <is>
          <t>계획관리지역</t>
        </is>
      </c>
      <c r="G2057" s="3" t="inlineStr">
        <is>
          <t>도로</t>
        </is>
      </c>
      <c r="H2057" s="4" t="n">
        <v>46.8875</v>
      </c>
      <c r="I2057" s="5" t="n">
        <v>16.2</v>
      </c>
      <c r="J2057" s="3" t="inlineStr">
        <is>
          <t>부강면</t>
        </is>
      </c>
    </row>
    <row r="2058">
      <c r="A2058" s="3" t="n">
        <v>2025</v>
      </c>
      <c r="B2058" s="4" t="n">
        <v>167339</v>
      </c>
      <c r="C2058" s="4" t="n">
        <v>3010.7</v>
      </c>
      <c r="D2058" s="3" t="inlineStr">
        <is>
          <t>집현동</t>
        </is>
      </c>
      <c r="E2058" s="3" t="inlineStr"/>
      <c r="F2058" s="3" t="inlineStr">
        <is>
          <t>준주거지역</t>
        </is>
      </c>
      <c r="G2058" s="3" t="inlineStr">
        <is>
          <t>대</t>
        </is>
      </c>
      <c r="H2058" s="4" t="n">
        <v>910.7367499999999</v>
      </c>
      <c r="I2058" s="5" t="n">
        <v>183.7</v>
      </c>
      <c r="J2058" s="3" t="inlineStr">
        <is>
          <t>집현동</t>
        </is>
      </c>
    </row>
    <row r="2059">
      <c r="A2059" s="3" t="n">
        <v>2025</v>
      </c>
      <c r="B2059" s="4" t="n">
        <v>42500</v>
      </c>
      <c r="C2059" s="4" t="n">
        <v>290</v>
      </c>
      <c r="D2059" s="3" t="inlineStr">
        <is>
          <t>고운동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87.72499999999999</v>
      </c>
      <c r="I2059" s="5" t="n">
        <v>484.5</v>
      </c>
      <c r="J2059" s="3" t="inlineStr">
        <is>
          <t>고운동</t>
        </is>
      </c>
    </row>
    <row r="2060">
      <c r="A2060" s="3" t="n">
        <v>2025</v>
      </c>
      <c r="B2060" s="4" t="n">
        <v>15333</v>
      </c>
      <c r="C2060" s="4" t="n">
        <v>220</v>
      </c>
      <c r="D2060" s="3" t="inlineStr">
        <is>
          <t>연동면</t>
        </is>
      </c>
      <c r="E2060" s="3" t="inlineStr">
        <is>
          <t>내판리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66.55</v>
      </c>
      <c r="I2060" s="5" t="n">
        <v>230.4</v>
      </c>
      <c r="J2060" s="3" t="inlineStr">
        <is>
          <t>연동면</t>
        </is>
      </c>
    </row>
    <row r="2061">
      <c r="A2061" s="3" t="n">
        <v>2025</v>
      </c>
      <c r="B2061" s="4" t="n">
        <v>19167</v>
      </c>
      <c r="C2061" s="4" t="n">
        <v>275</v>
      </c>
      <c r="D2061" s="3" t="inlineStr">
        <is>
          <t>연동면</t>
        </is>
      </c>
      <c r="E2061" s="3" t="inlineStr">
        <is>
          <t>내판리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83.1875</v>
      </c>
      <c r="I2061" s="5" t="n">
        <v>230.4</v>
      </c>
      <c r="J2061" s="3" t="inlineStr">
        <is>
          <t>연동면</t>
        </is>
      </c>
    </row>
    <row r="2062">
      <c r="A2062" s="3" t="n">
        <v>2025</v>
      </c>
      <c r="B2062" s="4" t="n">
        <v>1195</v>
      </c>
      <c r="C2062" s="4" t="n">
        <v>1580</v>
      </c>
      <c r="D2062" s="3" t="inlineStr">
        <is>
          <t>부강면</t>
        </is>
      </c>
      <c r="E2062" s="3" t="inlineStr">
        <is>
          <t>등곡리</t>
        </is>
      </c>
      <c r="F2062" s="3" t="inlineStr">
        <is>
          <t>보전관리지역</t>
        </is>
      </c>
      <c r="G2062" s="3" t="inlineStr">
        <is>
          <t>답</t>
        </is>
      </c>
      <c r="H2062" s="4" t="n">
        <v>477.95</v>
      </c>
      <c r="I2062" s="5" t="n">
        <v>2.5</v>
      </c>
      <c r="J2062" s="3" t="inlineStr">
        <is>
          <t>부강면</t>
        </is>
      </c>
    </row>
    <row r="2063">
      <c r="A2063" s="3" t="n">
        <v>2024</v>
      </c>
      <c r="B2063" s="4" t="n">
        <v>22450</v>
      </c>
      <c r="C2063" s="4" t="n">
        <v>190.6</v>
      </c>
      <c r="D2063" s="3" t="inlineStr">
        <is>
          <t>조치원읍</t>
        </is>
      </c>
      <c r="E2063" s="3" t="inlineStr">
        <is>
          <t>남리</t>
        </is>
      </c>
      <c r="F2063" s="3" t="inlineStr">
        <is>
          <t>제2종일반주거지역</t>
        </is>
      </c>
      <c r="G2063" s="3" t="inlineStr">
        <is>
          <t>대</t>
        </is>
      </c>
      <c r="H2063" s="4" t="n">
        <v>57.65649999999999</v>
      </c>
      <c r="I2063" s="5" t="n">
        <v>389.4</v>
      </c>
      <c r="J2063" s="3" t="inlineStr">
        <is>
          <t>조치원읍</t>
        </is>
      </c>
    </row>
    <row r="2064">
      <c r="A2064" s="3" t="n">
        <v>2024</v>
      </c>
      <c r="B2064" s="4" t="n">
        <v>37000</v>
      </c>
      <c r="C2064" s="4" t="n">
        <v>990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자연녹지지역</t>
        </is>
      </c>
      <c r="G2064" s="3" t="inlineStr">
        <is>
          <t>전</t>
        </is>
      </c>
      <c r="H2064" s="4" t="n">
        <v>299.475</v>
      </c>
      <c r="I2064" s="5" t="n">
        <v>123.5</v>
      </c>
      <c r="J2064" s="3" t="inlineStr">
        <is>
          <t>조치원읍</t>
        </is>
      </c>
    </row>
    <row r="2065">
      <c r="A2065" s="3" t="n">
        <v>2024</v>
      </c>
      <c r="B2065" s="4" t="n">
        <v>23000</v>
      </c>
      <c r="C2065" s="4" t="n">
        <v>617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186.6425</v>
      </c>
      <c r="I2065" s="5" t="n">
        <v>123.2</v>
      </c>
      <c r="J2065" s="3" t="inlineStr">
        <is>
          <t>조치원읍</t>
        </is>
      </c>
    </row>
    <row r="2066">
      <c r="A2066" s="3" t="n">
        <v>2024</v>
      </c>
      <c r="B2066" s="4" t="n">
        <v>10</v>
      </c>
      <c r="C2066" s="4" t="n">
        <v>1</v>
      </c>
      <c r="D2066" s="3" t="inlineStr">
        <is>
          <t>조치원읍</t>
        </is>
      </c>
      <c r="E2066" s="3" t="inlineStr">
        <is>
          <t>신안리</t>
        </is>
      </c>
      <c r="F2066" s="3" t="inlineStr">
        <is>
          <t>자연녹지지역</t>
        </is>
      </c>
      <c r="G2066" s="3" t="inlineStr">
        <is>
          <t>도로</t>
        </is>
      </c>
      <c r="H2066" s="4" t="n">
        <v>0.3025</v>
      </c>
      <c r="I2066" s="5" t="n">
        <v>33.1</v>
      </c>
      <c r="J2066" s="3" t="inlineStr">
        <is>
          <t>조치원읍</t>
        </is>
      </c>
    </row>
    <row r="2067">
      <c r="A2067" s="3" t="n">
        <v>2024</v>
      </c>
      <c r="B2067" s="4" t="n">
        <v>56000</v>
      </c>
      <c r="C2067" s="4" t="n">
        <v>1409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426.2225</v>
      </c>
      <c r="I2067" s="5" t="n">
        <v>131.4</v>
      </c>
      <c r="J2067" s="3" t="inlineStr">
        <is>
          <t>부강면</t>
        </is>
      </c>
    </row>
    <row r="2068">
      <c r="A2068" s="3" t="n">
        <v>2024</v>
      </c>
      <c r="B2068" s="4" t="n">
        <v>16500</v>
      </c>
      <c r="C2068" s="4" t="n">
        <v>236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71.39</v>
      </c>
      <c r="I2068" s="5" t="n">
        <v>231.1</v>
      </c>
      <c r="J2068" s="3" t="inlineStr">
        <is>
          <t>부강면</t>
        </is>
      </c>
    </row>
    <row r="2069">
      <c r="A2069" s="3" t="n">
        <v>2023</v>
      </c>
      <c r="B2069" s="4" t="n">
        <v>3000</v>
      </c>
      <c r="C2069" s="4" t="n">
        <v>290</v>
      </c>
      <c r="D2069" s="3" t="inlineStr">
        <is>
          <t>연서면</t>
        </is>
      </c>
      <c r="E2069" s="3" t="inlineStr">
        <is>
          <t>용암리</t>
        </is>
      </c>
      <c r="F2069" s="3" t="inlineStr">
        <is>
          <t>자연환경보전</t>
        </is>
      </c>
      <c r="G2069" s="3" t="inlineStr">
        <is>
          <t>임야</t>
        </is>
      </c>
      <c r="H2069" s="4" t="n">
        <v>87.72499999999999</v>
      </c>
      <c r="I2069" s="5" t="n">
        <v>34.2</v>
      </c>
      <c r="J2069" s="3" t="inlineStr">
        <is>
          <t>연서면</t>
        </is>
      </c>
    </row>
    <row r="2070">
      <c r="A2070" s="3" t="n">
        <v>2023</v>
      </c>
      <c r="B2070" s="4" t="n">
        <v>40795</v>
      </c>
      <c r="C2070" s="4" t="n">
        <v>161.7</v>
      </c>
      <c r="D2070" s="3" t="inlineStr">
        <is>
          <t>조치원읍</t>
        </is>
      </c>
      <c r="E2070" s="3" t="inlineStr">
        <is>
          <t>교리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48.91425</v>
      </c>
      <c r="I2070" s="5" t="n">
        <v>834</v>
      </c>
      <c r="J2070" s="3" t="inlineStr">
        <is>
          <t>조치원읍</t>
        </is>
      </c>
    </row>
    <row r="2071">
      <c r="A2071" s="3" t="n">
        <v>2023</v>
      </c>
      <c r="B2071" s="4" t="n">
        <v>39205</v>
      </c>
      <c r="C2071" s="4" t="n">
        <v>155.4</v>
      </c>
      <c r="D2071" s="3" t="inlineStr">
        <is>
          <t>조치원읍</t>
        </is>
      </c>
      <c r="E2071" s="3" t="inlineStr">
        <is>
          <t>교리</t>
        </is>
      </c>
      <c r="F2071" s="3" t="inlineStr">
        <is>
          <t>제2종일반주거지역</t>
        </is>
      </c>
      <c r="G2071" s="3" t="inlineStr">
        <is>
          <t>대</t>
        </is>
      </c>
      <c r="H2071" s="4" t="n">
        <v>47.0085</v>
      </c>
      <c r="I2071" s="5" t="n">
        <v>834</v>
      </c>
      <c r="J2071" s="3" t="inlineStr">
        <is>
          <t>조치원읍</t>
        </is>
      </c>
    </row>
    <row r="2072">
      <c r="A2072" s="3" t="n">
        <v>2023</v>
      </c>
      <c r="B2072" s="4" t="n">
        <v>52000</v>
      </c>
      <c r="C2072" s="4" t="n">
        <v>2876</v>
      </c>
      <c r="D2072" s="3" t="inlineStr">
        <is>
          <t>부강면</t>
        </is>
      </c>
      <c r="E2072" s="3" t="inlineStr">
        <is>
          <t>노호리</t>
        </is>
      </c>
      <c r="F2072" s="3" t="inlineStr">
        <is>
          <t>계획관리지역</t>
        </is>
      </c>
      <c r="G2072" s="3" t="inlineStr">
        <is>
          <t>임야</t>
        </is>
      </c>
      <c r="H2072" s="4" t="n">
        <v>869.99</v>
      </c>
      <c r="I2072" s="5" t="n">
        <v>59.8</v>
      </c>
      <c r="J2072" s="3" t="inlineStr">
        <is>
          <t>부강면</t>
        </is>
      </c>
    </row>
    <row r="2073">
      <c r="A2073" s="3" t="n">
        <v>2023</v>
      </c>
      <c r="B2073" s="4" t="n">
        <v>10685</v>
      </c>
      <c r="C2073" s="4" t="n">
        <v>1802</v>
      </c>
      <c r="D2073" s="3" t="inlineStr">
        <is>
          <t>부강면</t>
        </is>
      </c>
      <c r="E2073" s="3" t="inlineStr">
        <is>
          <t>노호리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545.105</v>
      </c>
      <c r="I2073" s="5" t="n">
        <v>19.6</v>
      </c>
      <c r="J2073" s="3" t="inlineStr">
        <is>
          <t>부강면</t>
        </is>
      </c>
    </row>
    <row r="2074">
      <c r="A2074" s="3" t="n">
        <v>2023</v>
      </c>
      <c r="B2074" s="4" t="n">
        <v>2235</v>
      </c>
      <c r="C2074" s="4" t="n">
        <v>377</v>
      </c>
      <c r="D2074" s="3" t="inlineStr">
        <is>
          <t>부강면</t>
        </is>
      </c>
      <c r="E2074" s="3" t="inlineStr">
        <is>
          <t>노호리</t>
        </is>
      </c>
      <c r="F2074" s="3" t="inlineStr">
        <is>
          <t>계획관리지역</t>
        </is>
      </c>
      <c r="G2074" s="3" t="inlineStr">
        <is>
          <t>답</t>
        </is>
      </c>
      <c r="H2074" s="4" t="n">
        <v>114.0425</v>
      </c>
      <c r="I2074" s="5" t="n">
        <v>19.6</v>
      </c>
      <c r="J2074" s="3" t="inlineStr">
        <is>
          <t>부강면</t>
        </is>
      </c>
    </row>
    <row r="2075">
      <c r="A2075" s="3" t="n">
        <v>2023</v>
      </c>
      <c r="B2075" s="4" t="n">
        <v>10080</v>
      </c>
      <c r="C2075" s="4" t="n">
        <v>417</v>
      </c>
      <c r="D2075" s="3" t="inlineStr">
        <is>
          <t>부강면</t>
        </is>
      </c>
      <c r="E2075" s="3" t="inlineStr">
        <is>
          <t>노호리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126.1425</v>
      </c>
      <c r="I2075" s="5" t="n">
        <v>79.90000000000001</v>
      </c>
      <c r="J2075" s="3" t="inlineStr">
        <is>
          <t>부강면</t>
        </is>
      </c>
    </row>
    <row r="2076">
      <c r="A2076" s="3" t="n">
        <v>2023</v>
      </c>
      <c r="B2076" s="4" t="n">
        <v>69000</v>
      </c>
      <c r="C2076" s="4" t="n">
        <v>370.6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112.1065</v>
      </c>
      <c r="I2076" s="5" t="n">
        <v>615.5</v>
      </c>
      <c r="J2076" s="3" t="inlineStr">
        <is>
          <t>고운동</t>
        </is>
      </c>
    </row>
    <row r="2077">
      <c r="A2077" s="3" t="n">
        <v>2023</v>
      </c>
      <c r="B2077" s="4" t="n">
        <v>80000</v>
      </c>
      <c r="C2077" s="4" t="n">
        <v>1395</v>
      </c>
      <c r="D2077" s="3" t="inlineStr">
        <is>
          <t>연서면</t>
        </is>
      </c>
      <c r="E2077" s="3" t="inlineStr">
        <is>
          <t>와촌리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421.9875</v>
      </c>
      <c r="I2077" s="5" t="n">
        <v>189.6</v>
      </c>
      <c r="J2077" s="3" t="inlineStr">
        <is>
          <t>연서면</t>
        </is>
      </c>
    </row>
    <row r="2078">
      <c r="A2078" s="3" t="n">
        <v>2023</v>
      </c>
      <c r="B2078" s="4" t="n">
        <v>13400</v>
      </c>
      <c r="C2078" s="4" t="n">
        <v>332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생산관리지역</t>
        </is>
      </c>
      <c r="G2078" s="3" t="inlineStr">
        <is>
          <t>대</t>
        </is>
      </c>
      <c r="H2078" s="4" t="n">
        <v>100.43</v>
      </c>
      <c r="I2078" s="5" t="n">
        <v>133.4</v>
      </c>
      <c r="J2078" s="3" t="inlineStr">
        <is>
          <t>연서면</t>
        </is>
      </c>
    </row>
    <row r="2079">
      <c r="A2079" s="3" t="n">
        <v>2023</v>
      </c>
      <c r="B2079" s="4" t="n">
        <v>51045</v>
      </c>
      <c r="C2079" s="4" t="n">
        <v>1258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생산관리지역</t>
        </is>
      </c>
      <c r="G2079" s="3" t="inlineStr">
        <is>
          <t>잡종지</t>
        </is>
      </c>
      <c r="H2079" s="4" t="n">
        <v>380.545</v>
      </c>
      <c r="I2079" s="5" t="n">
        <v>134.1</v>
      </c>
      <c r="J2079" s="3" t="inlineStr">
        <is>
          <t>연서면</t>
        </is>
      </c>
    </row>
    <row r="2080">
      <c r="A2080" s="3" t="n">
        <v>2023</v>
      </c>
      <c r="B2080" s="4" t="n">
        <v>5140</v>
      </c>
      <c r="C2080" s="4" t="n">
        <v>242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73.205</v>
      </c>
      <c r="I2080" s="5" t="n">
        <v>70.2</v>
      </c>
      <c r="J2080" s="3" t="inlineStr">
        <is>
          <t>연서면</t>
        </is>
      </c>
    </row>
    <row r="2081">
      <c r="A2081" s="3" t="n">
        <v>2023</v>
      </c>
      <c r="B2081" s="4" t="n">
        <v>10099</v>
      </c>
      <c r="C2081" s="4" t="n">
        <v>257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답</t>
        </is>
      </c>
      <c r="H2081" s="4" t="n">
        <v>77.74249999999999</v>
      </c>
      <c r="I2081" s="5" t="n">
        <v>129.9</v>
      </c>
      <c r="J2081" s="3" t="inlineStr">
        <is>
          <t>연서면</t>
        </is>
      </c>
    </row>
    <row r="2082">
      <c r="A2082" s="3" t="n">
        <v>2023</v>
      </c>
      <c r="B2082" s="4" t="n">
        <v>75966</v>
      </c>
      <c r="C2082" s="4" t="n">
        <v>1874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566.885</v>
      </c>
      <c r="I2082" s="5" t="n">
        <v>134</v>
      </c>
      <c r="J2082" s="3" t="inlineStr">
        <is>
          <t>연서면</t>
        </is>
      </c>
    </row>
    <row r="2083">
      <c r="A2083" s="3" t="n">
        <v>2023</v>
      </c>
      <c r="B2083" s="4" t="n">
        <v>253400</v>
      </c>
      <c r="C2083" s="4" t="n">
        <v>8333</v>
      </c>
      <c r="D2083" s="3" t="inlineStr">
        <is>
          <t>연동면</t>
        </is>
      </c>
      <c r="E2083" s="3" t="inlineStr">
        <is>
          <t>노송리</t>
        </is>
      </c>
      <c r="F2083" s="3" t="inlineStr">
        <is>
          <t>계획관리지역</t>
        </is>
      </c>
      <c r="G2083" s="3" t="inlineStr">
        <is>
          <t>임야</t>
        </is>
      </c>
      <c r="H2083" s="4" t="n">
        <v>2520.7325</v>
      </c>
      <c r="I2083" s="5" t="n">
        <v>100.5</v>
      </c>
      <c r="J2083" s="3" t="inlineStr">
        <is>
          <t>연동면</t>
        </is>
      </c>
    </row>
    <row r="2084">
      <c r="A2084" s="3" t="n">
        <v>2023</v>
      </c>
      <c r="B2084" s="4" t="n">
        <v>50780</v>
      </c>
      <c r="C2084" s="4" t="n">
        <v>923</v>
      </c>
      <c r="D2084" s="3" t="inlineStr">
        <is>
          <t>연동면</t>
        </is>
      </c>
      <c r="E2084" s="3" t="inlineStr">
        <is>
          <t>노송리</t>
        </is>
      </c>
      <c r="F2084" s="3" t="inlineStr">
        <is>
          <t>계획관리지역</t>
        </is>
      </c>
      <c r="G2084" s="3" t="inlineStr">
        <is>
          <t>전</t>
        </is>
      </c>
      <c r="H2084" s="4" t="n">
        <v>279.2075</v>
      </c>
      <c r="I2084" s="5" t="n">
        <v>181.9</v>
      </c>
      <c r="J2084" s="3" t="inlineStr">
        <is>
          <t>연동면</t>
        </is>
      </c>
    </row>
    <row r="2085">
      <c r="A2085" s="3" t="n">
        <v>2023</v>
      </c>
      <c r="B2085" s="4" t="n">
        <v>35500</v>
      </c>
      <c r="C2085" s="4" t="n">
        <v>644</v>
      </c>
      <c r="D2085" s="3" t="inlineStr">
        <is>
          <t>연동면</t>
        </is>
      </c>
      <c r="E2085" s="3" t="inlineStr">
        <is>
          <t>노송리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194.81</v>
      </c>
      <c r="I2085" s="5" t="n">
        <v>182.2</v>
      </c>
      <c r="J2085" s="3" t="inlineStr">
        <is>
          <t>연동면</t>
        </is>
      </c>
    </row>
    <row r="2086">
      <c r="A2086" s="3" t="n">
        <v>2023</v>
      </c>
      <c r="B2086" s="4" t="n">
        <v>3620</v>
      </c>
      <c r="C2086" s="4" t="n">
        <v>66</v>
      </c>
      <c r="D2086" s="3" t="inlineStr">
        <is>
          <t>연동면</t>
        </is>
      </c>
      <c r="E2086" s="3" t="inlineStr">
        <is>
          <t>노송리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19.965</v>
      </c>
      <c r="I2086" s="5" t="n">
        <v>181.3</v>
      </c>
      <c r="J2086" s="3" t="inlineStr">
        <is>
          <t>연동면</t>
        </is>
      </c>
    </row>
    <row r="2087">
      <c r="A2087" s="3" t="n">
        <v>2023</v>
      </c>
      <c r="B2087" s="4" t="n">
        <v>22700</v>
      </c>
      <c r="C2087" s="4" t="n">
        <v>413</v>
      </c>
      <c r="D2087" s="3" t="inlineStr">
        <is>
          <t>연동면</t>
        </is>
      </c>
      <c r="E2087" s="3" t="inlineStr">
        <is>
          <t>노송리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124.9325</v>
      </c>
      <c r="I2087" s="5" t="n">
        <v>181.7</v>
      </c>
      <c r="J2087" s="3" t="inlineStr">
        <is>
          <t>연동면</t>
        </is>
      </c>
    </row>
    <row r="2088">
      <c r="A2088" s="3" t="n">
        <v>2023</v>
      </c>
      <c r="B2088" s="4" t="n">
        <v>64000</v>
      </c>
      <c r="C2088" s="4" t="n">
        <v>1160</v>
      </c>
      <c r="D2088" s="3" t="inlineStr">
        <is>
          <t>연동면</t>
        </is>
      </c>
      <c r="E2088" s="3" t="inlineStr">
        <is>
          <t>노송리</t>
        </is>
      </c>
      <c r="F2088" s="3" t="inlineStr">
        <is>
          <t>계획관리지역</t>
        </is>
      </c>
      <c r="G2088" s="3" t="inlineStr">
        <is>
          <t>전</t>
        </is>
      </c>
      <c r="H2088" s="4" t="n">
        <v>350.9</v>
      </c>
      <c r="I2088" s="5" t="n">
        <v>182.4</v>
      </c>
      <c r="J2088" s="3" t="inlineStr">
        <is>
          <t>연동면</t>
        </is>
      </c>
    </row>
    <row r="2089">
      <c r="A2089" s="3" t="n">
        <v>2023</v>
      </c>
      <c r="B2089" s="4" t="n">
        <v>55000</v>
      </c>
      <c r="C2089" s="4" t="n">
        <v>6901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보전관리지역</t>
        </is>
      </c>
      <c r="G2089" s="3" t="inlineStr">
        <is>
          <t>임야</t>
        </is>
      </c>
      <c r="H2089" s="4" t="n">
        <v>2087.5525</v>
      </c>
      <c r="I2089" s="5" t="n">
        <v>26.3</v>
      </c>
      <c r="J2089" s="3" t="inlineStr">
        <is>
          <t>연서면</t>
        </is>
      </c>
    </row>
    <row r="2090">
      <c r="A2090" s="3" t="n">
        <v>2022</v>
      </c>
      <c r="B2090" s="4" t="n">
        <v>17787</v>
      </c>
      <c r="C2090" s="4" t="n">
        <v>490</v>
      </c>
      <c r="D2090" s="3" t="inlineStr">
        <is>
          <t>연서면</t>
        </is>
      </c>
      <c r="E2090" s="3" t="inlineStr">
        <is>
          <t>쌍류리</t>
        </is>
      </c>
      <c r="F2090" s="3" t="inlineStr">
        <is>
          <t>생산관리지역</t>
        </is>
      </c>
      <c r="G2090" s="3" t="inlineStr">
        <is>
          <t>전</t>
        </is>
      </c>
      <c r="H2090" s="4" t="n">
        <v>148.225</v>
      </c>
      <c r="I2090" s="5" t="n">
        <v>120</v>
      </c>
      <c r="J2090" s="3" t="inlineStr">
        <is>
          <t>연서면</t>
        </is>
      </c>
    </row>
    <row r="2091">
      <c r="A2091" s="3" t="n">
        <v>2022</v>
      </c>
      <c r="B2091" s="4" t="n">
        <v>5943</v>
      </c>
      <c r="C2091" s="4" t="n">
        <v>355</v>
      </c>
      <c r="D2091" s="3" t="inlineStr">
        <is>
          <t>연서면</t>
        </is>
      </c>
      <c r="E2091" s="3" t="inlineStr">
        <is>
          <t>신대리</t>
        </is>
      </c>
      <c r="F2091" s="3" t="inlineStr">
        <is>
          <t>계획관리지역</t>
        </is>
      </c>
      <c r="G2091" s="3" t="inlineStr">
        <is>
          <t>대</t>
        </is>
      </c>
      <c r="H2091" s="4" t="n">
        <v>107.3875</v>
      </c>
      <c r="I2091" s="5" t="n">
        <v>55.3</v>
      </c>
      <c r="J2091" s="3" t="inlineStr">
        <is>
          <t>연서면</t>
        </is>
      </c>
    </row>
    <row r="2092">
      <c r="A2092" s="3" t="n">
        <v>2023</v>
      </c>
      <c r="B2092" s="4" t="n">
        <v>9511</v>
      </c>
      <c r="C2092" s="4" t="n">
        <v>893</v>
      </c>
      <c r="D2092" s="3" t="inlineStr">
        <is>
          <t>부강면</t>
        </is>
      </c>
      <c r="E2092" s="3" t="inlineStr">
        <is>
          <t>문곡리</t>
        </is>
      </c>
      <c r="F2092" s="3" t="inlineStr">
        <is>
          <t>계획관리지역</t>
        </is>
      </c>
      <c r="G2092" s="3" t="inlineStr">
        <is>
          <t>구거</t>
        </is>
      </c>
      <c r="H2092" s="4" t="n">
        <v>270.1325</v>
      </c>
      <c r="I2092" s="5" t="n">
        <v>35.2</v>
      </c>
      <c r="J2092" s="3" t="inlineStr">
        <is>
          <t>부강면</t>
        </is>
      </c>
    </row>
    <row r="2093">
      <c r="A2093" s="3" t="n">
        <v>2025</v>
      </c>
      <c r="B2093" s="4" t="n">
        <v>58000</v>
      </c>
      <c r="C2093" s="4" t="n">
        <v>376</v>
      </c>
      <c r="D2093" s="3" t="inlineStr">
        <is>
          <t>조치원읍</t>
        </is>
      </c>
      <c r="E2093" s="3" t="inlineStr">
        <is>
          <t>신안리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113.74</v>
      </c>
      <c r="I2093" s="5" t="n">
        <v>509.9</v>
      </c>
      <c r="J2093" s="3" t="inlineStr">
        <is>
          <t>조치원읍</t>
        </is>
      </c>
    </row>
    <row r="2094">
      <c r="A2094" s="3" t="n">
        <v>2025</v>
      </c>
      <c r="B2094" s="4" t="n">
        <v>10000</v>
      </c>
      <c r="C2094" s="4" t="n">
        <v>179</v>
      </c>
      <c r="D2094" s="3" t="inlineStr">
        <is>
          <t>연서면</t>
        </is>
      </c>
      <c r="E2094" s="3" t="inlineStr">
        <is>
          <t>쌍전리</t>
        </is>
      </c>
      <c r="F2094" s="3" t="inlineStr">
        <is>
          <t>자연녹지지역</t>
        </is>
      </c>
      <c r="G2094" s="3" t="inlineStr">
        <is>
          <t>과수원</t>
        </is>
      </c>
      <c r="H2094" s="4" t="n">
        <v>54.1475</v>
      </c>
      <c r="I2094" s="5" t="n">
        <v>184.7</v>
      </c>
      <c r="J2094" s="3" t="inlineStr">
        <is>
          <t>연서면</t>
        </is>
      </c>
    </row>
    <row r="2095">
      <c r="A2095" s="3" t="n">
        <v>2025</v>
      </c>
      <c r="B2095" s="4" t="n">
        <v>41200</v>
      </c>
      <c r="C2095" s="4" t="n">
        <v>672</v>
      </c>
      <c r="D2095" s="3" t="inlineStr">
        <is>
          <t>조치원읍</t>
        </is>
      </c>
      <c r="E2095" s="3" t="inlineStr">
        <is>
          <t>죽림리</t>
        </is>
      </c>
      <c r="F2095" s="3" t="inlineStr">
        <is>
          <t>제2종일반주거지역</t>
        </is>
      </c>
      <c r="G2095" s="3" t="inlineStr">
        <is>
          <t>과수원</t>
        </is>
      </c>
      <c r="H2095" s="4" t="n">
        <v>203.28</v>
      </c>
      <c r="I2095" s="5" t="n">
        <v>202.7</v>
      </c>
      <c r="J2095" s="3" t="inlineStr">
        <is>
          <t>조치원읍</t>
        </is>
      </c>
    </row>
    <row r="2096">
      <c r="A2096" s="3" t="n">
        <v>2025</v>
      </c>
      <c r="B2096" s="4" t="n">
        <v>3800</v>
      </c>
      <c r="C2096" s="4" t="n">
        <v>62</v>
      </c>
      <c r="D2096" s="3" t="inlineStr">
        <is>
          <t>조치원읍</t>
        </is>
      </c>
      <c r="E2096" s="3" t="inlineStr">
        <is>
          <t>죽림리</t>
        </is>
      </c>
      <c r="F2096" s="3" t="inlineStr">
        <is>
          <t>제2종일반주거지역</t>
        </is>
      </c>
      <c r="G2096" s="3" t="inlineStr">
        <is>
          <t>과수원</t>
        </is>
      </c>
      <c r="H2096" s="4" t="n">
        <v>18.755</v>
      </c>
      <c r="I2096" s="5" t="n">
        <v>202.6</v>
      </c>
      <c r="J2096" s="3" t="inlineStr">
        <is>
          <t>조치원읍</t>
        </is>
      </c>
    </row>
    <row r="2097">
      <c r="A2097" s="3" t="n">
        <v>2025</v>
      </c>
      <c r="B2097" s="4" t="n">
        <v>29019</v>
      </c>
      <c r="C2097" s="4" t="n">
        <v>851</v>
      </c>
      <c r="D2097" s="3" t="inlineStr">
        <is>
          <t>연서면</t>
        </is>
      </c>
      <c r="E2097" s="3" t="inlineStr">
        <is>
          <t>고복리</t>
        </is>
      </c>
      <c r="F2097" s="3" t="inlineStr">
        <is>
          <t>자연녹지지역</t>
        </is>
      </c>
      <c r="G2097" s="3" t="inlineStr">
        <is>
          <t>답</t>
        </is>
      </c>
      <c r="H2097" s="4" t="n">
        <v>257.4275</v>
      </c>
      <c r="I2097" s="5" t="n">
        <v>112.7</v>
      </c>
      <c r="J2097" s="3" t="inlineStr">
        <is>
          <t>연서면</t>
        </is>
      </c>
    </row>
    <row r="2098">
      <c r="A2098" s="3" t="n">
        <v>2025</v>
      </c>
      <c r="B2098" s="4" t="n">
        <v>18453</v>
      </c>
      <c r="C2098" s="4" t="n">
        <v>514</v>
      </c>
      <c r="D2098" s="3" t="inlineStr">
        <is>
          <t>연서면</t>
        </is>
      </c>
      <c r="E2098" s="3" t="inlineStr">
        <is>
          <t>고복리</t>
        </is>
      </c>
      <c r="F2098" s="3" t="inlineStr">
        <is>
          <t>자연녹지지역</t>
        </is>
      </c>
      <c r="G2098" s="3" t="inlineStr">
        <is>
          <t>답</t>
        </is>
      </c>
      <c r="H2098" s="4" t="n">
        <v>155.485</v>
      </c>
      <c r="I2098" s="5" t="n">
        <v>118.7</v>
      </c>
      <c r="J2098" s="3" t="inlineStr">
        <is>
          <t>연서면</t>
        </is>
      </c>
    </row>
    <row r="2099">
      <c r="A2099" s="3" t="n">
        <v>2025</v>
      </c>
      <c r="B2099" s="4" t="n">
        <v>21000</v>
      </c>
      <c r="C2099" s="4" t="n">
        <v>1177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356.0425</v>
      </c>
      <c r="I2099" s="5" t="n">
        <v>59</v>
      </c>
      <c r="J2099" s="3" t="inlineStr">
        <is>
          <t>부강면</t>
        </is>
      </c>
    </row>
    <row r="2100">
      <c r="A2100" s="3" t="n">
        <v>2025</v>
      </c>
      <c r="B2100" s="4" t="n">
        <v>23000</v>
      </c>
      <c r="C2100" s="4" t="n">
        <v>1279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386.8975</v>
      </c>
      <c r="I2100" s="5" t="n">
        <v>59.4</v>
      </c>
      <c r="J2100" s="3" t="inlineStr">
        <is>
          <t>부강면</t>
        </is>
      </c>
    </row>
    <row r="2101">
      <c r="A2101" s="3" t="n">
        <v>2025</v>
      </c>
      <c r="B2101" s="4" t="n">
        <v>22000</v>
      </c>
      <c r="C2101" s="4" t="n">
        <v>1229</v>
      </c>
      <c r="D2101" s="3" t="inlineStr">
        <is>
          <t>부강면</t>
        </is>
      </c>
      <c r="E2101" s="3" t="inlineStr">
        <is>
          <t>행산리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371.7725</v>
      </c>
      <c r="I2101" s="5" t="n">
        <v>59.2</v>
      </c>
      <c r="J2101" s="3" t="inlineStr">
        <is>
          <t>부강면</t>
        </is>
      </c>
    </row>
    <row r="2102">
      <c r="A2102" s="3" t="n">
        <v>2025</v>
      </c>
      <c r="B2102" s="4" t="n">
        <v>35400</v>
      </c>
      <c r="C2102" s="4" t="n">
        <v>288.7</v>
      </c>
      <c r="D2102" s="3" t="inlineStr">
        <is>
          <t>다정동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87.33175</v>
      </c>
      <c r="I2102" s="5" t="n">
        <v>405.4</v>
      </c>
      <c r="J2102" s="3" t="inlineStr">
        <is>
          <t>다정동</t>
        </is>
      </c>
    </row>
    <row r="2103">
      <c r="A2103" s="3" t="n">
        <v>2025</v>
      </c>
      <c r="B2103" s="4" t="n">
        <v>29117</v>
      </c>
      <c r="C2103" s="4" t="n">
        <v>1957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보전관리지역</t>
        </is>
      </c>
      <c r="G2103" s="3" t="inlineStr">
        <is>
          <t>임야</t>
        </is>
      </c>
      <c r="H2103" s="4" t="n">
        <v>591.9924999999999</v>
      </c>
      <c r="I2103" s="5" t="n">
        <v>49.2</v>
      </c>
      <c r="J2103" s="3" t="inlineStr">
        <is>
          <t>부강면</t>
        </is>
      </c>
    </row>
    <row r="2104">
      <c r="A2104" s="3" t="n">
        <v>2025</v>
      </c>
      <c r="B2104" s="4" t="n">
        <v>24564</v>
      </c>
      <c r="C2104" s="4" t="n">
        <v>884</v>
      </c>
      <c r="D2104" s="3" t="inlineStr">
        <is>
          <t>연동면</t>
        </is>
      </c>
      <c r="E2104" s="3" t="inlineStr">
        <is>
          <t>명학리</t>
        </is>
      </c>
      <c r="F2104" s="3" t="inlineStr">
        <is>
          <t>계획관리지역</t>
        </is>
      </c>
      <c r="G2104" s="3" t="inlineStr">
        <is>
          <t>전</t>
        </is>
      </c>
      <c r="H2104" s="4" t="n">
        <v>267.41</v>
      </c>
      <c r="I2104" s="5" t="n">
        <v>91.90000000000001</v>
      </c>
      <c r="J2104" s="3" t="inlineStr">
        <is>
          <t>연동면</t>
        </is>
      </c>
    </row>
    <row r="2105">
      <c r="A2105" s="3" t="n">
        <v>2025</v>
      </c>
      <c r="B2105" s="4" t="n">
        <v>13000</v>
      </c>
      <c r="C2105" s="4" t="n">
        <v>871</v>
      </c>
      <c r="D2105" s="3" t="inlineStr">
        <is>
          <t>조치원읍</t>
        </is>
      </c>
      <c r="E2105" s="3" t="inlineStr">
        <is>
          <t>신안리</t>
        </is>
      </c>
      <c r="F2105" s="3" t="inlineStr">
        <is>
          <t>생산녹지지역</t>
        </is>
      </c>
      <c r="G2105" s="3" t="inlineStr">
        <is>
          <t>전</t>
        </is>
      </c>
      <c r="H2105" s="4" t="n">
        <v>263.4775</v>
      </c>
      <c r="I2105" s="5" t="n">
        <v>49.3</v>
      </c>
      <c r="J2105" s="3" t="inlineStr">
        <is>
          <t>조치원읍</t>
        </is>
      </c>
    </row>
    <row r="2106">
      <c r="A2106" s="3" t="n">
        <v>2025</v>
      </c>
      <c r="B2106" s="4" t="n">
        <v>1500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25</v>
      </c>
      <c r="J2106" s="3" t="inlineStr">
        <is>
          <t>부강면</t>
        </is>
      </c>
    </row>
    <row r="2107">
      <c r="A2107" s="3" t="n">
        <v>2025</v>
      </c>
      <c r="B2107" s="4" t="n">
        <v>24000</v>
      </c>
      <c r="C2107" s="4" t="n">
        <v>1056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319.44</v>
      </c>
      <c r="I2107" s="5" t="n">
        <v>75.09999999999999</v>
      </c>
      <c r="J2107" s="3" t="inlineStr">
        <is>
          <t>연서면</t>
        </is>
      </c>
    </row>
    <row r="2108">
      <c r="A2108" s="3" t="n">
        <v>2025</v>
      </c>
      <c r="B2108" s="4" t="n">
        <v>3600</v>
      </c>
      <c r="C2108" s="4" t="n">
        <v>130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생산관리지역</t>
        </is>
      </c>
      <c r="G2108" s="3" t="inlineStr">
        <is>
          <t>답</t>
        </is>
      </c>
      <c r="H2108" s="4" t="n">
        <v>39.325</v>
      </c>
      <c r="I2108" s="5" t="n">
        <v>91.5</v>
      </c>
      <c r="J2108" s="3" t="inlineStr">
        <is>
          <t>연서면</t>
        </is>
      </c>
    </row>
    <row r="2109">
      <c r="A2109" s="3" t="n">
        <v>2025</v>
      </c>
      <c r="B2109" s="4" t="n">
        <v>21000</v>
      </c>
      <c r="C2109" s="4" t="n">
        <v>927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280.4175</v>
      </c>
      <c r="I2109" s="5" t="n">
        <v>74.90000000000001</v>
      </c>
      <c r="J2109" s="3" t="inlineStr">
        <is>
          <t>연서면</t>
        </is>
      </c>
    </row>
    <row r="2110">
      <c r="A2110" s="3" t="n">
        <v>2025</v>
      </c>
      <c r="B2110" s="4" t="n">
        <v>200</v>
      </c>
      <c r="C2110" s="4" t="n">
        <v>33</v>
      </c>
      <c r="D2110" s="3" t="inlineStr">
        <is>
          <t>연서면</t>
        </is>
      </c>
      <c r="E2110" s="3" t="inlineStr">
        <is>
          <t>고복리</t>
        </is>
      </c>
      <c r="F2110" s="3" t="inlineStr">
        <is>
          <t>농림지역</t>
        </is>
      </c>
      <c r="G2110" s="3" t="inlineStr">
        <is>
          <t>대</t>
        </is>
      </c>
      <c r="H2110" s="4" t="n">
        <v>9.9825</v>
      </c>
      <c r="I2110" s="5" t="n">
        <v>20</v>
      </c>
      <c r="J2110" s="3" t="inlineStr">
        <is>
          <t>연서면</t>
        </is>
      </c>
    </row>
    <row r="2111">
      <c r="A2111" s="3" t="n">
        <v>2025</v>
      </c>
      <c r="B2111" s="4" t="n">
        <v>7527</v>
      </c>
      <c r="C2111" s="4" t="n">
        <v>1653</v>
      </c>
      <c r="D2111" s="3" t="inlineStr">
        <is>
          <t>부강면</t>
        </is>
      </c>
      <c r="E2111" s="3" t="inlineStr">
        <is>
          <t>노호리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500.0325</v>
      </c>
      <c r="I2111" s="5" t="n">
        <v>15.1</v>
      </c>
      <c r="J2111" s="3" t="inlineStr">
        <is>
          <t>부강면</t>
        </is>
      </c>
    </row>
    <row r="2112">
      <c r="A2112" s="3" t="n">
        <v>2025</v>
      </c>
      <c r="B2112" s="4" t="n">
        <v>13473</v>
      </c>
      <c r="C2112" s="4" t="n">
        <v>2959</v>
      </c>
      <c r="D2112" s="3" t="inlineStr">
        <is>
          <t>부강면</t>
        </is>
      </c>
      <c r="E2112" s="3" t="inlineStr">
        <is>
          <t>노호리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895.0975</v>
      </c>
      <c r="I2112" s="5" t="n">
        <v>15.1</v>
      </c>
      <c r="J2112" s="3" t="inlineStr">
        <is>
          <t>부강면</t>
        </is>
      </c>
    </row>
    <row r="2113">
      <c r="A2113" s="3" t="n">
        <v>2025</v>
      </c>
      <c r="B2113" s="4" t="n">
        <v>21000</v>
      </c>
      <c r="C2113" s="4" t="n">
        <v>4612</v>
      </c>
      <c r="D2113" s="3" t="inlineStr">
        <is>
          <t>부강면</t>
        </is>
      </c>
      <c r="E2113" s="3" t="inlineStr">
        <is>
          <t>노호리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1395.13</v>
      </c>
      <c r="I2113" s="5" t="n">
        <v>15.1</v>
      </c>
      <c r="J2113" s="3" t="inlineStr">
        <is>
          <t>부강면</t>
        </is>
      </c>
    </row>
    <row r="2114">
      <c r="A2114" s="3" t="n">
        <v>2025</v>
      </c>
      <c r="B2114" s="4" t="n">
        <v>14400</v>
      </c>
      <c r="C2114" s="4" t="n">
        <v>992.7</v>
      </c>
      <c r="D2114" s="3" t="inlineStr">
        <is>
          <t>연동면</t>
        </is>
      </c>
      <c r="E2114" s="3" t="inlineStr">
        <is>
          <t>응암리</t>
        </is>
      </c>
      <c r="F2114" s="3" t="inlineStr">
        <is>
          <t>농림지역</t>
        </is>
      </c>
      <c r="G2114" s="3" t="inlineStr">
        <is>
          <t>답</t>
        </is>
      </c>
      <c r="H2114" s="4" t="n">
        <v>300.29175</v>
      </c>
      <c r="I2114" s="5" t="n">
        <v>48</v>
      </c>
      <c r="J2114" s="3" t="inlineStr">
        <is>
          <t>연동면</t>
        </is>
      </c>
    </row>
    <row r="2115">
      <c r="A2115" s="3" t="n">
        <v>2025</v>
      </c>
      <c r="B2115" s="4" t="n">
        <v>35280</v>
      </c>
      <c r="C2115" s="4" t="n">
        <v>2428.8</v>
      </c>
      <c r="D2115" s="3" t="inlineStr">
        <is>
          <t>연동면</t>
        </is>
      </c>
      <c r="E2115" s="3" t="inlineStr">
        <is>
          <t>응암리</t>
        </is>
      </c>
      <c r="F2115" s="3" t="inlineStr">
        <is>
          <t>농림지역</t>
        </is>
      </c>
      <c r="G2115" s="3" t="inlineStr">
        <is>
          <t>답</t>
        </is>
      </c>
      <c r="H2115" s="4" t="n">
        <v>734.712</v>
      </c>
      <c r="I2115" s="5" t="n">
        <v>48</v>
      </c>
      <c r="J2115" s="3" t="inlineStr">
        <is>
          <t>연동면</t>
        </is>
      </c>
    </row>
    <row r="2116">
      <c r="A2116" s="3" t="n">
        <v>2025</v>
      </c>
      <c r="B2116" s="4" t="n">
        <v>135000</v>
      </c>
      <c r="C2116" s="4" t="n">
        <v>13352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전</t>
        </is>
      </c>
      <c r="H2116" s="4" t="n">
        <v>4038.98</v>
      </c>
      <c r="I2116" s="5" t="n">
        <v>33.4</v>
      </c>
      <c r="J2116" s="3" t="inlineStr">
        <is>
          <t>조치원읍</t>
        </is>
      </c>
    </row>
    <row r="2117">
      <c r="A2117" s="3" t="n">
        <v>2025</v>
      </c>
      <c r="B2117" s="4" t="n">
        <v>20000</v>
      </c>
      <c r="C2117" s="4" t="n">
        <v>1951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임야</t>
        </is>
      </c>
      <c r="H2117" s="4" t="n">
        <v>590.1775</v>
      </c>
      <c r="I2117" s="5" t="n">
        <v>33.9</v>
      </c>
      <c r="J2117" s="3" t="inlineStr">
        <is>
          <t>조치원읍</t>
        </is>
      </c>
    </row>
    <row r="2118">
      <c r="A2118" s="3" t="n">
        <v>2025</v>
      </c>
      <c r="B2118" s="4" t="n">
        <v>16000</v>
      </c>
      <c r="C2118" s="4" t="n">
        <v>2864</v>
      </c>
      <c r="D2118" s="3" t="inlineStr">
        <is>
          <t>부강면</t>
        </is>
      </c>
      <c r="E2118" s="3" t="inlineStr">
        <is>
          <t>금호리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866.36</v>
      </c>
      <c r="I2118" s="5" t="n">
        <v>18.5</v>
      </c>
      <c r="J2118" s="3" t="inlineStr">
        <is>
          <t>부강면</t>
        </is>
      </c>
    </row>
    <row r="2119">
      <c r="A2119" s="3" t="n">
        <v>2025</v>
      </c>
      <c r="B2119" s="4" t="n">
        <v>34060</v>
      </c>
      <c r="C2119" s="4" t="n">
        <v>1719</v>
      </c>
      <c r="D2119" s="3" t="inlineStr">
        <is>
          <t>부강면</t>
        </is>
      </c>
      <c r="E2119" s="3" t="inlineStr">
        <is>
          <t>금호리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519.9974999999999</v>
      </c>
      <c r="I2119" s="5" t="n">
        <v>65.5</v>
      </c>
      <c r="J2119" s="3" t="inlineStr">
        <is>
          <t>부강면</t>
        </is>
      </c>
    </row>
    <row r="2120">
      <c r="A2120" s="3" t="n">
        <v>2025</v>
      </c>
      <c r="B2120" s="4" t="n">
        <v>5980</v>
      </c>
      <c r="C2120" s="4" t="n">
        <v>152</v>
      </c>
      <c r="D2120" s="3" t="inlineStr">
        <is>
          <t>조치원읍</t>
        </is>
      </c>
      <c r="E2120" s="3" t="inlineStr">
        <is>
          <t>번암리</t>
        </is>
      </c>
      <c r="F2120" s="3" t="inlineStr">
        <is>
          <t>자연녹지지역</t>
        </is>
      </c>
      <c r="G2120" s="3" t="inlineStr">
        <is>
          <t>대</t>
        </is>
      </c>
      <c r="H2120" s="4" t="n">
        <v>45.98</v>
      </c>
      <c r="I2120" s="5" t="n">
        <v>130.1</v>
      </c>
      <c r="J2120" s="3" t="inlineStr">
        <is>
          <t>조치원읍</t>
        </is>
      </c>
    </row>
    <row r="2121">
      <c r="A2121" s="3" t="n">
        <v>2025</v>
      </c>
      <c r="B2121" s="4" t="n">
        <v>9020</v>
      </c>
      <c r="C2121" s="4" t="n">
        <v>204</v>
      </c>
      <c r="D2121" s="3" t="inlineStr">
        <is>
          <t>조치원읍</t>
        </is>
      </c>
      <c r="E2121" s="3" t="inlineStr">
        <is>
          <t>번암리</t>
        </is>
      </c>
      <c r="F2121" s="3" t="inlineStr">
        <is>
          <t>자연녹지지역</t>
        </is>
      </c>
      <c r="G2121" s="3" t="inlineStr">
        <is>
          <t>창고용지</t>
        </is>
      </c>
      <c r="H2121" s="4" t="n">
        <v>61.71</v>
      </c>
      <c r="I2121" s="5" t="n">
        <v>146.2</v>
      </c>
      <c r="J2121" s="3" t="inlineStr">
        <is>
          <t>조치원읍</t>
        </is>
      </c>
    </row>
    <row r="2122">
      <c r="A2122" s="3" t="n">
        <v>2025</v>
      </c>
      <c r="B2122" s="4" t="n">
        <v>66940</v>
      </c>
      <c r="C2122" s="4" t="n">
        <v>985</v>
      </c>
      <c r="D2122" s="3" t="inlineStr">
        <is>
          <t>조치원읍</t>
        </is>
      </c>
      <c r="E2122" s="3" t="inlineStr">
        <is>
          <t>번암리</t>
        </is>
      </c>
      <c r="F2122" s="3" t="inlineStr">
        <is>
          <t>일반공업지역</t>
        </is>
      </c>
      <c r="G2122" s="3" t="inlineStr">
        <is>
          <t>전</t>
        </is>
      </c>
      <c r="H2122" s="4" t="n">
        <v>297.9625</v>
      </c>
      <c r="I2122" s="5" t="n">
        <v>224.7</v>
      </c>
      <c r="J2122" s="3" t="inlineStr">
        <is>
          <t>조치원읍</t>
        </is>
      </c>
    </row>
    <row r="2123">
      <c r="A2123" s="3" t="n">
        <v>2025</v>
      </c>
      <c r="B2123" s="4" t="n">
        <v>13660</v>
      </c>
      <c r="C2123" s="4" t="n">
        <v>201</v>
      </c>
      <c r="D2123" s="3" t="inlineStr">
        <is>
          <t>조치원읍</t>
        </is>
      </c>
      <c r="E2123" s="3" t="inlineStr">
        <is>
          <t>번암리</t>
        </is>
      </c>
      <c r="F2123" s="3" t="inlineStr">
        <is>
          <t>일반공업지역</t>
        </is>
      </c>
      <c r="G2123" s="3" t="inlineStr">
        <is>
          <t>대</t>
        </is>
      </c>
      <c r="H2123" s="4" t="n">
        <v>60.80249999999999</v>
      </c>
      <c r="I2123" s="5" t="n">
        <v>224.7</v>
      </c>
      <c r="J2123" s="3" t="inlineStr">
        <is>
          <t>조치원읍</t>
        </is>
      </c>
    </row>
    <row r="2124">
      <c r="A2124" s="3" t="n">
        <v>2025</v>
      </c>
      <c r="B2124" s="4" t="n">
        <v>65</v>
      </c>
      <c r="C2124" s="4" t="n">
        <v>107</v>
      </c>
      <c r="D2124" s="3" t="inlineStr">
        <is>
          <t>조치원읍</t>
        </is>
      </c>
      <c r="E2124" s="3" t="inlineStr">
        <is>
          <t>번암리</t>
        </is>
      </c>
      <c r="F2124" s="3" t="inlineStr">
        <is>
          <t>일반공업지역</t>
        </is>
      </c>
      <c r="G2124" s="3" t="inlineStr">
        <is>
          <t>전</t>
        </is>
      </c>
      <c r="H2124" s="4" t="n">
        <v>32.3675</v>
      </c>
      <c r="I2124" s="5" t="n">
        <v>2</v>
      </c>
      <c r="J2124" s="3" t="inlineStr">
        <is>
          <t>조치원읍</t>
        </is>
      </c>
    </row>
    <row r="2125">
      <c r="A2125" s="3" t="n">
        <v>2025</v>
      </c>
      <c r="B2125" s="4" t="n">
        <v>152600</v>
      </c>
      <c r="C2125" s="4" t="n">
        <v>2093</v>
      </c>
      <c r="D2125" s="3" t="inlineStr">
        <is>
          <t>조치원읍</t>
        </is>
      </c>
      <c r="E2125" s="3" t="inlineStr">
        <is>
          <t>번암리</t>
        </is>
      </c>
      <c r="F2125" s="3" t="inlineStr">
        <is>
          <t>일반공업지역</t>
        </is>
      </c>
      <c r="G2125" s="3" t="inlineStr">
        <is>
          <t>잡종지</t>
        </is>
      </c>
      <c r="H2125" s="4" t="n">
        <v>633.1324999999999</v>
      </c>
      <c r="I2125" s="5" t="n">
        <v>241</v>
      </c>
      <c r="J2125" s="3" t="inlineStr">
        <is>
          <t>조치원읍</t>
        </is>
      </c>
    </row>
    <row r="2126">
      <c r="A2126" s="3" t="n">
        <v>2025</v>
      </c>
      <c r="B2126" s="4" t="n">
        <v>22455</v>
      </c>
      <c r="C2126" s="4" t="n">
        <v>322</v>
      </c>
      <c r="D2126" s="3" t="inlineStr">
        <is>
          <t>조치원읍</t>
        </is>
      </c>
      <c r="E2126" s="3" t="inlineStr">
        <is>
          <t>번암리</t>
        </is>
      </c>
      <c r="F2126" s="3" t="inlineStr">
        <is>
          <t>일반공업지역</t>
        </is>
      </c>
      <c r="G2126" s="3" t="inlineStr">
        <is>
          <t>대</t>
        </is>
      </c>
      <c r="H2126" s="4" t="n">
        <v>97.405</v>
      </c>
      <c r="I2126" s="5" t="n">
        <v>230.5</v>
      </c>
      <c r="J2126" s="3" t="inlineStr">
        <is>
          <t>조치원읍</t>
        </is>
      </c>
    </row>
    <row r="2127">
      <c r="A2127" s="3" t="n">
        <v>2025</v>
      </c>
      <c r="B2127" s="4" t="n">
        <v>16945</v>
      </c>
      <c r="C2127" s="4" t="n">
        <v>199</v>
      </c>
      <c r="D2127" s="3" t="inlineStr">
        <is>
          <t>조치원읍</t>
        </is>
      </c>
      <c r="E2127" s="3" t="inlineStr">
        <is>
          <t>번암리</t>
        </is>
      </c>
      <c r="F2127" s="3" t="inlineStr">
        <is>
          <t>일반공업지역</t>
        </is>
      </c>
      <c r="G2127" s="3" t="inlineStr">
        <is>
          <t>전</t>
        </is>
      </c>
      <c r="H2127" s="4" t="n">
        <v>60.1975</v>
      </c>
      <c r="I2127" s="5" t="n">
        <v>281.5</v>
      </c>
      <c r="J2127" s="3" t="inlineStr">
        <is>
          <t>조치원읍</t>
        </is>
      </c>
    </row>
    <row r="2128">
      <c r="A2128" s="3" t="n">
        <v>2025</v>
      </c>
      <c r="B2128" s="4" t="n">
        <v>20000</v>
      </c>
      <c r="C2128" s="4" t="n">
        <v>700</v>
      </c>
      <c r="D2128" s="3" t="inlineStr">
        <is>
          <t>연서면</t>
        </is>
      </c>
      <c r="E2128" s="3" t="inlineStr">
        <is>
          <t>기룡리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211.75</v>
      </c>
      <c r="I2128" s="5" t="n">
        <v>94.5</v>
      </c>
      <c r="J2128" s="3" t="inlineStr">
        <is>
          <t>연서면</t>
        </is>
      </c>
    </row>
    <row r="2129">
      <c r="A2129" s="3" t="n">
        <v>2024</v>
      </c>
      <c r="B2129" s="4" t="n">
        <v>10840</v>
      </c>
      <c r="C2129" s="4" t="n">
        <v>232</v>
      </c>
      <c r="D2129" s="3" t="inlineStr">
        <is>
          <t>조치원읍</t>
        </is>
      </c>
      <c r="E2129" s="3" t="inlineStr">
        <is>
          <t>남리</t>
        </is>
      </c>
      <c r="F2129" s="3" t="inlineStr">
        <is>
          <t>자연녹지지역</t>
        </is>
      </c>
      <c r="G2129" s="3" t="inlineStr">
        <is>
          <t>전</t>
        </is>
      </c>
      <c r="H2129" s="4" t="n">
        <v>70.17999999999999</v>
      </c>
      <c r="I2129" s="5" t="n">
        <v>154.5</v>
      </c>
      <c r="J2129" s="3" t="inlineStr">
        <is>
          <t>조치원읍</t>
        </is>
      </c>
    </row>
    <row r="2130">
      <c r="A2130" s="3" t="n">
        <v>2024</v>
      </c>
      <c r="B2130" s="4" t="n">
        <v>11000</v>
      </c>
      <c r="C2130" s="4" t="n">
        <v>106</v>
      </c>
      <c r="D2130" s="3" t="inlineStr">
        <is>
          <t>조치원읍</t>
        </is>
      </c>
      <c r="E2130" s="3" t="inlineStr">
        <is>
          <t>서창리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32.065</v>
      </c>
      <c r="I2130" s="5" t="n">
        <v>343.1</v>
      </c>
      <c r="J2130" s="3" t="inlineStr">
        <is>
          <t>조치원읍</t>
        </is>
      </c>
    </row>
    <row r="2131">
      <c r="A2131" s="3" t="n">
        <v>2024</v>
      </c>
      <c r="B2131" s="4" t="n">
        <v>17000</v>
      </c>
      <c r="C2131" s="4" t="n">
        <v>2895</v>
      </c>
      <c r="D2131" s="3" t="inlineStr">
        <is>
          <t>부강면</t>
        </is>
      </c>
      <c r="E2131" s="3" t="inlineStr">
        <is>
          <t>산수리</t>
        </is>
      </c>
      <c r="F2131" s="3" t="inlineStr">
        <is>
          <t>농림지역</t>
        </is>
      </c>
      <c r="G2131" s="3" t="inlineStr">
        <is>
          <t>답</t>
        </is>
      </c>
      <c r="H2131" s="4" t="n">
        <v>875.7375</v>
      </c>
      <c r="I2131" s="5" t="n">
        <v>19.4</v>
      </c>
      <c r="J2131" s="3" t="inlineStr">
        <is>
          <t>부강면</t>
        </is>
      </c>
    </row>
    <row r="2132">
      <c r="A2132" s="3" t="n">
        <v>2024</v>
      </c>
      <c r="B2132" s="4" t="n">
        <v>5524</v>
      </c>
      <c r="C2132" s="4" t="n">
        <v>91</v>
      </c>
      <c r="D2132" s="3" t="inlineStr">
        <is>
          <t>조치원읍</t>
        </is>
      </c>
      <c r="E2132" s="3" t="inlineStr">
        <is>
          <t>신안리</t>
        </is>
      </c>
      <c r="F2132" s="3" t="inlineStr">
        <is>
          <t>자연녹지지역</t>
        </is>
      </c>
      <c r="G2132" s="3" t="inlineStr">
        <is>
          <t>구거</t>
        </is>
      </c>
      <c r="H2132" s="4" t="n">
        <v>27.5275</v>
      </c>
      <c r="I2132" s="5" t="n">
        <v>200.7</v>
      </c>
      <c r="J2132" s="3" t="inlineStr">
        <is>
          <t>조치원읍</t>
        </is>
      </c>
    </row>
    <row r="2133">
      <c r="A2133" s="3" t="n">
        <v>2024</v>
      </c>
      <c r="B2133" s="4" t="n">
        <v>78000</v>
      </c>
      <c r="C2133" s="4" t="n">
        <v>713</v>
      </c>
      <c r="D2133" s="3" t="inlineStr">
        <is>
          <t>부강면</t>
        </is>
      </c>
      <c r="E2133" s="3" t="inlineStr">
        <is>
          <t>부강리</t>
        </is>
      </c>
      <c r="F2133" s="3" t="inlineStr">
        <is>
          <t>생산녹지지역</t>
        </is>
      </c>
      <c r="G2133" s="3" t="inlineStr">
        <is>
          <t>답</t>
        </is>
      </c>
      <c r="H2133" s="4" t="n">
        <v>215.6825</v>
      </c>
      <c r="I2133" s="5" t="n">
        <v>361.6</v>
      </c>
      <c r="J2133" s="3" t="inlineStr">
        <is>
          <t>부강면</t>
        </is>
      </c>
    </row>
    <row r="2134">
      <c r="A2134" s="3" t="n">
        <v>2024</v>
      </c>
      <c r="B2134" s="4" t="n">
        <v>5000</v>
      </c>
      <c r="C2134" s="4" t="n">
        <v>55</v>
      </c>
      <c r="D2134" s="3" t="inlineStr">
        <is>
          <t>부강면</t>
        </is>
      </c>
      <c r="E2134" s="3" t="inlineStr">
        <is>
          <t>부강리</t>
        </is>
      </c>
      <c r="F2134" s="3" t="inlineStr">
        <is>
          <t>생산녹지지역</t>
        </is>
      </c>
      <c r="G2134" s="3" t="inlineStr">
        <is>
          <t>전</t>
        </is>
      </c>
      <c r="H2134" s="4" t="n">
        <v>16.6375</v>
      </c>
      <c r="I2134" s="5" t="n">
        <v>300.5</v>
      </c>
      <c r="J2134" s="3" t="inlineStr">
        <is>
          <t>부강면</t>
        </is>
      </c>
    </row>
    <row r="2135">
      <c r="A2135" s="3" t="n">
        <v>2024</v>
      </c>
      <c r="B2135" s="4" t="n">
        <v>500</v>
      </c>
      <c r="C2135" s="4" t="n">
        <v>23</v>
      </c>
      <c r="D2135" s="3" t="inlineStr">
        <is>
          <t>연서면</t>
        </is>
      </c>
      <c r="E2135" s="3" t="inlineStr">
        <is>
          <t>부동리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6.9575</v>
      </c>
      <c r="I2135" s="5" t="n">
        <v>71.90000000000001</v>
      </c>
      <c r="J2135" s="3" t="inlineStr">
        <is>
          <t>연서면</t>
        </is>
      </c>
    </row>
    <row r="2136">
      <c r="A2136" s="3" t="n">
        <v>2026</v>
      </c>
      <c r="B2136" s="4" t="n">
        <v>2560</v>
      </c>
      <c r="C2136" s="4" t="n">
        <v>56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도로</t>
        </is>
      </c>
      <c r="H2136" s="4" t="n">
        <v>16.94</v>
      </c>
      <c r="I2136" s="5" t="n">
        <v>151.1</v>
      </c>
      <c r="J2136" s="3" t="inlineStr">
        <is>
          <t>부강면</t>
        </is>
      </c>
    </row>
    <row r="2137">
      <c r="A2137" s="3" t="n">
        <v>2026</v>
      </c>
      <c r="B2137" s="4" t="n">
        <v>1055</v>
      </c>
      <c r="C2137" s="4" t="n">
        <v>23</v>
      </c>
      <c r="D2137" s="3" t="inlineStr">
        <is>
          <t>부강면</t>
        </is>
      </c>
      <c r="E2137" s="3" t="inlineStr">
        <is>
          <t>노호리</t>
        </is>
      </c>
      <c r="F2137" s="3" t="inlineStr">
        <is>
          <t>계획관리지역</t>
        </is>
      </c>
      <c r="G2137" s="3" t="inlineStr">
        <is>
          <t>도로</t>
        </is>
      </c>
      <c r="H2137" s="4" t="n">
        <v>6.9575</v>
      </c>
      <c r="I2137" s="5" t="n">
        <v>151.6</v>
      </c>
      <c r="J2137" s="3" t="inlineStr">
        <is>
          <t>부강면</t>
        </is>
      </c>
    </row>
    <row r="2138">
      <c r="A2138" s="3" t="n">
        <v>2026</v>
      </c>
      <c r="B2138" s="4" t="n">
        <v>31866</v>
      </c>
      <c r="C2138" s="4" t="n">
        <v>680</v>
      </c>
      <c r="D2138" s="3" t="inlineStr">
        <is>
          <t>부강면</t>
        </is>
      </c>
      <c r="E2138" s="3" t="inlineStr">
        <is>
          <t>노호리</t>
        </is>
      </c>
      <c r="F2138" s="3" t="inlineStr">
        <is>
          <t>계획관리지역</t>
        </is>
      </c>
      <c r="G2138" s="3" t="inlineStr">
        <is>
          <t>공장용지</t>
        </is>
      </c>
      <c r="H2138" s="4" t="n">
        <v>205.7</v>
      </c>
      <c r="I2138" s="5" t="n">
        <v>154.9</v>
      </c>
      <c r="J2138" s="3" t="inlineStr">
        <is>
          <t>부강면</t>
        </is>
      </c>
    </row>
    <row r="2139">
      <c r="A2139" s="3" t="n">
        <v>2026</v>
      </c>
      <c r="B2139" s="4" t="n">
        <v>3979</v>
      </c>
      <c r="C2139" s="4" t="n">
        <v>1190</v>
      </c>
      <c r="D2139" s="3" t="inlineStr">
        <is>
          <t>부강면</t>
        </is>
      </c>
      <c r="E2139" s="3" t="inlineStr">
        <is>
          <t>갈산리</t>
        </is>
      </c>
      <c r="F2139" s="3" t="inlineStr">
        <is>
          <t>계획관리지역</t>
        </is>
      </c>
      <c r="G2139" s="3" t="inlineStr">
        <is>
          <t>임야</t>
        </is>
      </c>
      <c r="H2139" s="4" t="n">
        <v>359.975</v>
      </c>
      <c r="I2139" s="5" t="n">
        <v>11.1</v>
      </c>
      <c r="J2139" s="3" t="inlineStr">
        <is>
          <t>부강면</t>
        </is>
      </c>
    </row>
    <row r="2140">
      <c r="A2140" s="3" t="n">
        <v>2026</v>
      </c>
      <c r="B2140" s="4" t="n">
        <v>17935</v>
      </c>
      <c r="C2140" s="4" t="n">
        <v>4760</v>
      </c>
      <c r="D2140" s="3" t="inlineStr">
        <is>
          <t>부강면</t>
        </is>
      </c>
      <c r="E2140" s="3" t="inlineStr">
        <is>
          <t>갈산리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1439.9</v>
      </c>
      <c r="I2140" s="5" t="n">
        <v>12.5</v>
      </c>
      <c r="J2140" s="3" t="inlineStr">
        <is>
          <t>부강면</t>
        </is>
      </c>
    </row>
    <row r="2141">
      <c r="A2141" s="3" t="n">
        <v>2026</v>
      </c>
      <c r="B2141" s="4" t="n">
        <v>38132</v>
      </c>
      <c r="C2141" s="4" t="n">
        <v>7537</v>
      </c>
      <c r="D2141" s="3" t="inlineStr">
        <is>
          <t>부강면</t>
        </is>
      </c>
      <c r="E2141" s="3" t="inlineStr">
        <is>
          <t>산수리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2279.9425</v>
      </c>
      <c r="I2141" s="5" t="n">
        <v>16.7</v>
      </c>
      <c r="J2141" s="3" t="inlineStr">
        <is>
          <t>부강면</t>
        </is>
      </c>
    </row>
    <row r="2142">
      <c r="A2142" s="3" t="n">
        <v>2026</v>
      </c>
      <c r="B2142" s="4" t="n">
        <v>29787</v>
      </c>
      <c r="C2142" s="4" t="n">
        <v>5950</v>
      </c>
      <c r="D2142" s="3" t="inlineStr">
        <is>
          <t>부강면</t>
        </is>
      </c>
      <c r="E2142" s="3" t="inlineStr">
        <is>
          <t>산수리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1799.875</v>
      </c>
      <c r="I2142" s="5" t="n">
        <v>16.5</v>
      </c>
      <c r="J2142" s="3" t="inlineStr">
        <is>
          <t>부강면</t>
        </is>
      </c>
    </row>
    <row r="2143">
      <c r="A2143" s="3" t="n">
        <v>2026</v>
      </c>
      <c r="B2143" s="4" t="n">
        <v>10168</v>
      </c>
      <c r="C2143" s="4" t="n">
        <v>595</v>
      </c>
      <c r="D2143" s="3" t="inlineStr">
        <is>
          <t>부강면</t>
        </is>
      </c>
      <c r="E2143" s="3" t="inlineStr">
        <is>
          <t>산수리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179.9875</v>
      </c>
      <c r="I2143" s="5" t="n">
        <v>56.5</v>
      </c>
      <c r="J2143" s="3" t="inlineStr">
        <is>
          <t>부강면</t>
        </is>
      </c>
    </row>
    <row r="2144">
      <c r="A2144" s="3" t="n">
        <v>2026</v>
      </c>
      <c r="B2144" s="4" t="n">
        <v>60000</v>
      </c>
      <c r="C2144" s="4" t="n">
        <v>595</v>
      </c>
      <c r="D2144" s="3" t="inlineStr">
        <is>
          <t>조치원읍</t>
        </is>
      </c>
      <c r="E2144" s="3" t="inlineStr">
        <is>
          <t>봉산리</t>
        </is>
      </c>
      <c r="F2144" s="3" t="inlineStr">
        <is>
          <t>자연녹지지역</t>
        </is>
      </c>
      <c r="G2144" s="3" t="inlineStr">
        <is>
          <t>대</t>
        </is>
      </c>
      <c r="H2144" s="4" t="n">
        <v>179.9875</v>
      </c>
      <c r="I2144" s="5" t="n">
        <v>333.4</v>
      </c>
      <c r="J2144" s="3" t="inlineStr">
        <is>
          <t>조치원읍</t>
        </is>
      </c>
    </row>
    <row r="2145">
      <c r="A2145" s="3" t="n">
        <v>2026</v>
      </c>
      <c r="B2145" s="4" t="n">
        <v>110000</v>
      </c>
      <c r="C2145" s="4" t="n">
        <v>2856</v>
      </c>
      <c r="D2145" s="3" t="inlineStr">
        <is>
          <t>조치원읍</t>
        </is>
      </c>
      <c r="E2145" s="3" t="inlineStr">
        <is>
          <t>봉산리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863.9399999999999</v>
      </c>
      <c r="I2145" s="5" t="n">
        <v>127.3</v>
      </c>
      <c r="J2145" s="3" t="inlineStr">
        <is>
          <t>조치원읍</t>
        </is>
      </c>
    </row>
    <row r="2146">
      <c r="A2146" s="3" t="n">
        <v>2023</v>
      </c>
      <c r="B2146" s="4" t="n">
        <v>48000</v>
      </c>
      <c r="C2146" s="4" t="n">
        <v>1112</v>
      </c>
      <c r="D2146" s="3" t="inlineStr">
        <is>
          <t>연서면</t>
        </is>
      </c>
      <c r="E2146" s="3" t="inlineStr">
        <is>
          <t>와촌리</t>
        </is>
      </c>
      <c r="F2146" s="3" t="inlineStr">
        <is>
          <t>농림지역</t>
        </is>
      </c>
      <c r="G2146" s="3" t="inlineStr">
        <is>
          <t>과수원</t>
        </is>
      </c>
      <c r="H2146" s="4" t="n">
        <v>336.38</v>
      </c>
      <c r="I2146" s="5" t="n">
        <v>142.7</v>
      </c>
      <c r="J2146" s="3" t="inlineStr">
        <is>
          <t>연서면</t>
        </is>
      </c>
    </row>
    <row r="2147">
      <c r="A2147" s="3" t="n">
        <v>2023</v>
      </c>
      <c r="B2147" s="4" t="n">
        <v>183</v>
      </c>
      <c r="C2147" s="4" t="n">
        <v>12</v>
      </c>
      <c r="D2147" s="3" t="inlineStr">
        <is>
          <t>부강면</t>
        </is>
      </c>
      <c r="E2147" s="3" t="inlineStr">
        <is>
          <t>등곡리</t>
        </is>
      </c>
      <c r="F2147" s="3" t="inlineStr">
        <is>
          <t>제1종일반주거지역</t>
        </is>
      </c>
      <c r="G2147" s="3" t="inlineStr">
        <is>
          <t>임야</t>
        </is>
      </c>
      <c r="H2147" s="4" t="n">
        <v>3.63</v>
      </c>
      <c r="I2147" s="5" t="n">
        <v>50.4</v>
      </c>
      <c r="J2147" s="3" t="inlineStr">
        <is>
          <t>부강면</t>
        </is>
      </c>
    </row>
    <row r="2148">
      <c r="A2148" s="3" t="n">
        <v>2023</v>
      </c>
      <c r="B2148" s="4" t="n">
        <v>212</v>
      </c>
      <c r="C2148" s="4" t="n">
        <v>14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제1종일반주거지역</t>
        </is>
      </c>
      <c r="G2148" s="3" t="inlineStr">
        <is>
          <t>임야</t>
        </is>
      </c>
      <c r="H2148" s="4" t="n">
        <v>4.234999999999999</v>
      </c>
      <c r="I2148" s="5" t="n">
        <v>50.1</v>
      </c>
      <c r="J2148" s="3" t="inlineStr">
        <is>
          <t>부강면</t>
        </is>
      </c>
    </row>
    <row r="2149">
      <c r="A2149" s="3" t="n">
        <v>2023</v>
      </c>
      <c r="B2149" s="4" t="n">
        <v>2670</v>
      </c>
      <c r="C2149" s="4" t="n">
        <v>793</v>
      </c>
      <c r="D2149" s="3" t="inlineStr">
        <is>
          <t>연동면</t>
        </is>
      </c>
      <c r="E2149" s="3" t="inlineStr">
        <is>
          <t>명학리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239.8825</v>
      </c>
      <c r="I2149" s="5" t="n">
        <v>11.1</v>
      </c>
      <c r="J2149" s="3" t="inlineStr">
        <is>
          <t>연동면</t>
        </is>
      </c>
    </row>
    <row r="2150">
      <c r="A2150" s="3" t="n">
        <v>2023</v>
      </c>
      <c r="B2150" s="4" t="n">
        <v>2000</v>
      </c>
      <c r="C2150" s="4" t="n">
        <v>595</v>
      </c>
      <c r="D2150" s="3" t="inlineStr">
        <is>
          <t>연동면</t>
        </is>
      </c>
      <c r="E2150" s="3" t="inlineStr">
        <is>
          <t>명학리</t>
        </is>
      </c>
      <c r="F2150" s="3" t="inlineStr">
        <is>
          <t>보전관리지역</t>
        </is>
      </c>
      <c r="G2150" s="3" t="inlineStr">
        <is>
          <t>임야</t>
        </is>
      </c>
      <c r="H2150" s="4" t="n">
        <v>179.9875</v>
      </c>
      <c r="I2150" s="5" t="n">
        <v>11.1</v>
      </c>
      <c r="J2150" s="3" t="inlineStr">
        <is>
          <t>연동면</t>
        </is>
      </c>
    </row>
    <row r="2151">
      <c r="A2151" s="3" t="n">
        <v>2023</v>
      </c>
      <c r="B2151" s="4" t="n">
        <v>1000</v>
      </c>
      <c r="C2151" s="4" t="n">
        <v>298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보전관리지역</t>
        </is>
      </c>
      <c r="G2151" s="3" t="inlineStr">
        <is>
          <t>임야</t>
        </is>
      </c>
      <c r="H2151" s="4" t="n">
        <v>90.145</v>
      </c>
      <c r="I2151" s="5" t="n">
        <v>11.1</v>
      </c>
      <c r="J2151" s="3" t="inlineStr">
        <is>
          <t>연동면</t>
        </is>
      </c>
    </row>
    <row r="2152">
      <c r="A2152" s="3" t="n">
        <v>2023</v>
      </c>
      <c r="B2152" s="4" t="n">
        <v>4330</v>
      </c>
      <c r="C2152" s="4" t="n">
        <v>1289</v>
      </c>
      <c r="D2152" s="3" t="inlineStr">
        <is>
          <t>연동면</t>
        </is>
      </c>
      <c r="E2152" s="3" t="inlineStr">
        <is>
          <t>명학리</t>
        </is>
      </c>
      <c r="F2152" s="3" t="inlineStr">
        <is>
          <t>보전관리지역</t>
        </is>
      </c>
      <c r="G2152" s="3" t="inlineStr">
        <is>
          <t>임야</t>
        </is>
      </c>
      <c r="H2152" s="4" t="n">
        <v>389.9225</v>
      </c>
      <c r="I2152" s="5" t="n">
        <v>11.1</v>
      </c>
      <c r="J2152" s="3" t="inlineStr">
        <is>
          <t>연동면</t>
        </is>
      </c>
    </row>
    <row r="2153">
      <c r="A2153" s="3" t="n">
        <v>2023</v>
      </c>
      <c r="B2153" s="4" t="n">
        <v>2050</v>
      </c>
      <c r="C2153" s="4" t="n">
        <v>55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16.6375</v>
      </c>
      <c r="I2153" s="5" t="n">
        <v>123.2</v>
      </c>
      <c r="J2153" s="3" t="inlineStr">
        <is>
          <t>부강면</t>
        </is>
      </c>
    </row>
    <row r="2154">
      <c r="A2154" s="3" t="n">
        <v>2023</v>
      </c>
      <c r="B2154" s="4" t="n">
        <v>41824</v>
      </c>
      <c r="C2154" s="4" t="n">
        <v>289</v>
      </c>
      <c r="D2154" s="3" t="inlineStr">
        <is>
          <t>연동면</t>
        </is>
      </c>
      <c r="E2154" s="3" t="inlineStr">
        <is>
          <t>명학리</t>
        </is>
      </c>
      <c r="F2154" s="3" t="inlineStr">
        <is>
          <t>계획관리지역</t>
        </is>
      </c>
      <c r="G2154" s="3" t="inlineStr">
        <is>
          <t>잡종지</t>
        </is>
      </c>
      <c r="H2154" s="4" t="n">
        <v>87.4225</v>
      </c>
      <c r="I2154" s="5" t="n">
        <v>478.4</v>
      </c>
      <c r="J2154" s="3" t="inlineStr">
        <is>
          <t>연동면</t>
        </is>
      </c>
    </row>
    <row r="2155">
      <c r="A2155" s="3" t="n">
        <v>2023</v>
      </c>
      <c r="B2155" s="4" t="n">
        <v>45876</v>
      </c>
      <c r="C2155" s="4" t="n">
        <v>317</v>
      </c>
      <c r="D2155" s="3" t="inlineStr">
        <is>
          <t>연동면</t>
        </is>
      </c>
      <c r="E2155" s="3" t="inlineStr">
        <is>
          <t>명학리</t>
        </is>
      </c>
      <c r="F2155" s="3" t="inlineStr">
        <is>
          <t>계획관리지역</t>
        </is>
      </c>
      <c r="G2155" s="3" t="inlineStr">
        <is>
          <t>잡종지</t>
        </is>
      </c>
      <c r="H2155" s="4" t="n">
        <v>95.8925</v>
      </c>
      <c r="I2155" s="5" t="n">
        <v>478.4</v>
      </c>
      <c r="J2155" s="3" t="inlineStr">
        <is>
          <t>연동면</t>
        </is>
      </c>
    </row>
    <row r="2156">
      <c r="A2156" s="3" t="n">
        <v>2023</v>
      </c>
      <c r="B2156" s="4" t="n">
        <v>16000</v>
      </c>
      <c r="C2156" s="4" t="n">
        <v>258</v>
      </c>
      <c r="D2156" s="3" t="inlineStr">
        <is>
          <t>연동면</t>
        </is>
      </c>
      <c r="E2156" s="3" t="inlineStr">
        <is>
          <t>명학리</t>
        </is>
      </c>
      <c r="F2156" s="3" t="inlineStr">
        <is>
          <t>계획관리지역</t>
        </is>
      </c>
      <c r="G2156" s="3" t="inlineStr">
        <is>
          <t>전</t>
        </is>
      </c>
      <c r="H2156" s="4" t="n">
        <v>78.045</v>
      </c>
      <c r="I2156" s="5" t="n">
        <v>205</v>
      </c>
      <c r="J2156" s="3" t="inlineStr">
        <is>
          <t>연동면</t>
        </is>
      </c>
    </row>
    <row r="2157">
      <c r="A2157" s="3" t="n">
        <v>2023</v>
      </c>
      <c r="B2157" s="4" t="n">
        <v>53455</v>
      </c>
      <c r="C2157" s="4" t="n">
        <v>447</v>
      </c>
      <c r="D2157" s="3" t="inlineStr">
        <is>
          <t>연동면</t>
        </is>
      </c>
      <c r="E2157" s="3" t="inlineStr">
        <is>
          <t>명학리</t>
        </is>
      </c>
      <c r="F2157" s="3" t="inlineStr">
        <is>
          <t>계획관리지역</t>
        </is>
      </c>
      <c r="G2157" s="3" t="inlineStr">
        <is>
          <t>잡종지</t>
        </is>
      </c>
      <c r="H2157" s="4" t="n">
        <v>135.2175</v>
      </c>
      <c r="I2157" s="5" t="n">
        <v>395.3</v>
      </c>
      <c r="J2157" s="3" t="inlineStr">
        <is>
          <t>연동면</t>
        </is>
      </c>
    </row>
    <row r="2158">
      <c r="A2158" s="3" t="n">
        <v>2023</v>
      </c>
      <c r="B2158" s="4" t="n">
        <v>1913</v>
      </c>
      <c r="C2158" s="4" t="n">
        <v>16</v>
      </c>
      <c r="D2158" s="3" t="inlineStr">
        <is>
          <t>연동면</t>
        </is>
      </c>
      <c r="E2158" s="3" t="inlineStr">
        <is>
          <t>명학리</t>
        </is>
      </c>
      <c r="F2158" s="3" t="inlineStr">
        <is>
          <t>계획관리지역</t>
        </is>
      </c>
      <c r="G2158" s="3" t="inlineStr">
        <is>
          <t>대</t>
        </is>
      </c>
      <c r="H2158" s="4" t="n">
        <v>4.84</v>
      </c>
      <c r="I2158" s="5" t="n">
        <v>395.2</v>
      </c>
      <c r="J2158" s="3" t="inlineStr">
        <is>
          <t>연동면</t>
        </is>
      </c>
    </row>
    <row r="2159">
      <c r="A2159" s="3" t="n">
        <v>2023</v>
      </c>
      <c r="B2159" s="4" t="n">
        <v>11610</v>
      </c>
      <c r="C2159" s="4" t="n">
        <v>768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생산녹지지역</t>
        </is>
      </c>
      <c r="G2159" s="3" t="inlineStr">
        <is>
          <t>답</t>
        </is>
      </c>
      <c r="H2159" s="4" t="n">
        <v>232.32</v>
      </c>
      <c r="I2159" s="5" t="n">
        <v>50</v>
      </c>
      <c r="J2159" s="3" t="inlineStr">
        <is>
          <t>조치원읍</t>
        </is>
      </c>
    </row>
    <row r="2160">
      <c r="A2160" s="3" t="n">
        <v>2023</v>
      </c>
      <c r="B2160" s="4" t="n">
        <v>28840</v>
      </c>
      <c r="C2160" s="4" t="n">
        <v>1907</v>
      </c>
      <c r="D2160" s="3" t="inlineStr">
        <is>
          <t>조치원읍</t>
        </is>
      </c>
      <c r="E2160" s="3" t="inlineStr">
        <is>
          <t>신안리</t>
        </is>
      </c>
      <c r="F2160" s="3" t="inlineStr">
        <is>
          <t>생산녹지지역</t>
        </is>
      </c>
      <c r="G2160" s="3" t="inlineStr">
        <is>
          <t>답</t>
        </is>
      </c>
      <c r="H2160" s="4" t="n">
        <v>576.8674999999999</v>
      </c>
      <c r="I2160" s="5" t="n">
        <v>50</v>
      </c>
      <c r="J2160" s="3" t="inlineStr">
        <is>
          <t>조치원읍</t>
        </is>
      </c>
    </row>
    <row r="2161">
      <c r="A2161" s="3" t="n">
        <v>2023</v>
      </c>
      <c r="B2161" s="4" t="n">
        <v>4700</v>
      </c>
      <c r="C2161" s="4" t="n">
        <v>221</v>
      </c>
      <c r="D2161" s="3" t="inlineStr">
        <is>
          <t>부강면</t>
        </is>
      </c>
      <c r="E2161" s="3" t="inlineStr">
        <is>
          <t>문곡리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66.85249999999999</v>
      </c>
      <c r="I2161" s="5" t="n">
        <v>70.3</v>
      </c>
      <c r="J2161" s="3" t="inlineStr">
        <is>
          <t>부강면</t>
        </is>
      </c>
    </row>
    <row r="2162">
      <c r="A2162" s="3" t="n">
        <v>2022</v>
      </c>
      <c r="B2162" s="4" t="n">
        <v>4662</v>
      </c>
      <c r="C2162" s="4" t="n">
        <v>62</v>
      </c>
      <c r="D2162" s="3" t="inlineStr">
        <is>
          <t>연서면</t>
        </is>
      </c>
      <c r="E2162" s="3" t="inlineStr">
        <is>
          <t>봉암리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18.755</v>
      </c>
      <c r="I2162" s="5" t="n">
        <v>248.6</v>
      </c>
      <c r="J2162" s="3" t="inlineStr">
        <is>
          <t>연서면</t>
        </is>
      </c>
    </row>
    <row r="2163">
      <c r="A2163" s="3" t="n">
        <v>2022</v>
      </c>
      <c r="B2163" s="4" t="n">
        <v>6760</v>
      </c>
      <c r="C2163" s="4" t="n">
        <v>172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도로</t>
        </is>
      </c>
      <c r="H2163" s="4" t="n">
        <v>52.03</v>
      </c>
      <c r="I2163" s="5" t="n">
        <v>129.9</v>
      </c>
      <c r="J2163" s="3" t="inlineStr">
        <is>
          <t>연동면</t>
        </is>
      </c>
    </row>
    <row r="2164">
      <c r="A2164" s="3" t="n">
        <v>2025</v>
      </c>
      <c r="B2164" s="4" t="n">
        <v>52000</v>
      </c>
      <c r="C2164" s="4" t="n">
        <v>325.1</v>
      </c>
      <c r="D2164" s="3" t="inlineStr">
        <is>
          <t>해밀동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98.34275000000001</v>
      </c>
      <c r="I2164" s="5" t="n">
        <v>528.8</v>
      </c>
      <c r="J2164" s="3" t="inlineStr">
        <is>
          <t>해밀동</t>
        </is>
      </c>
    </row>
    <row r="2165">
      <c r="A2165" s="3" t="n">
        <v>2023</v>
      </c>
      <c r="B2165" s="4" t="n">
        <v>60000</v>
      </c>
      <c r="C2165" s="4" t="n">
        <v>1983</v>
      </c>
      <c r="D2165" s="3" t="inlineStr">
        <is>
          <t>연동면</t>
        </is>
      </c>
      <c r="E2165" s="3" t="inlineStr">
        <is>
          <t>문주리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599.8575</v>
      </c>
      <c r="I2165" s="5" t="n">
        <v>100</v>
      </c>
      <c r="J2165" s="3" t="inlineStr">
        <is>
          <t>연동면</t>
        </is>
      </c>
    </row>
    <row r="2166">
      <c r="A2166" s="3" t="n">
        <v>2023</v>
      </c>
      <c r="B2166" s="4" t="n">
        <v>1702</v>
      </c>
      <c r="C2166" s="4" t="n">
        <v>148</v>
      </c>
      <c r="D2166" s="3" t="inlineStr">
        <is>
          <t>부강면</t>
        </is>
      </c>
      <c r="E2166" s="3" t="inlineStr">
        <is>
          <t>행산리</t>
        </is>
      </c>
      <c r="F2166" s="3" t="inlineStr">
        <is>
          <t>농림지역</t>
        </is>
      </c>
      <c r="G2166" s="3" t="inlineStr">
        <is>
          <t>하천</t>
        </is>
      </c>
      <c r="H2166" s="4" t="n">
        <v>44.77</v>
      </c>
      <c r="I2166" s="5" t="n">
        <v>38</v>
      </c>
      <c r="J2166" s="3" t="inlineStr">
        <is>
          <t>부강면</t>
        </is>
      </c>
    </row>
    <row r="2167">
      <c r="A2167" s="3" t="n">
        <v>2023</v>
      </c>
      <c r="B2167" s="4" t="n">
        <v>338</v>
      </c>
      <c r="C2167" s="4" t="n">
        <v>36</v>
      </c>
      <c r="D2167" s="3" t="inlineStr">
        <is>
          <t>부강면</t>
        </is>
      </c>
      <c r="E2167" s="3" t="inlineStr">
        <is>
          <t>산수리</t>
        </is>
      </c>
      <c r="F2167" s="3" t="inlineStr">
        <is>
          <t>농림지역</t>
        </is>
      </c>
      <c r="G2167" s="3" t="inlineStr">
        <is>
          <t>구거</t>
        </is>
      </c>
      <c r="H2167" s="4" t="n">
        <v>10.89</v>
      </c>
      <c r="I2167" s="5" t="n">
        <v>31</v>
      </c>
      <c r="J2167" s="3" t="inlineStr">
        <is>
          <t>부강면</t>
        </is>
      </c>
    </row>
    <row r="2168">
      <c r="A2168" s="3" t="n">
        <v>2023</v>
      </c>
      <c r="B2168" s="4" t="n">
        <v>9200</v>
      </c>
      <c r="C2168" s="4" t="n">
        <v>437.6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132.374</v>
      </c>
      <c r="I2168" s="5" t="n">
        <v>69.5</v>
      </c>
      <c r="J2168" s="3" t="inlineStr">
        <is>
          <t>연동면</t>
        </is>
      </c>
    </row>
    <row r="2169">
      <c r="A2169" s="3" t="n">
        <v>2023</v>
      </c>
      <c r="B2169" s="4" t="n">
        <v>16490</v>
      </c>
      <c r="C2169" s="4" t="n">
        <v>776.5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농림지역</t>
        </is>
      </c>
      <c r="G2169" s="3" t="inlineStr">
        <is>
          <t>답</t>
        </is>
      </c>
      <c r="H2169" s="4" t="n">
        <v>234.89125</v>
      </c>
      <c r="I2169" s="5" t="n">
        <v>70.2</v>
      </c>
      <c r="J2169" s="3" t="inlineStr">
        <is>
          <t>연동면</t>
        </is>
      </c>
    </row>
    <row r="2170">
      <c r="A2170" s="3" t="n">
        <v>2023</v>
      </c>
      <c r="B2170" s="4" t="n">
        <v>4510</v>
      </c>
      <c r="C2170" s="4" t="n">
        <v>208</v>
      </c>
      <c r="D2170" s="3" t="inlineStr">
        <is>
          <t>연동면</t>
        </is>
      </c>
      <c r="E2170" s="3" t="inlineStr">
        <is>
          <t>문주리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62.92</v>
      </c>
      <c r="I2170" s="5" t="n">
        <v>71.7</v>
      </c>
      <c r="J2170" s="3" t="inlineStr">
        <is>
          <t>연동면</t>
        </is>
      </c>
    </row>
    <row r="2171">
      <c r="A2171" s="3" t="n">
        <v>2023</v>
      </c>
      <c r="B2171" s="4" t="n">
        <v>2390</v>
      </c>
      <c r="C2171" s="4" t="n">
        <v>109</v>
      </c>
      <c r="D2171" s="3" t="inlineStr">
        <is>
          <t>연동면</t>
        </is>
      </c>
      <c r="E2171" s="3" t="inlineStr">
        <is>
          <t>문주리</t>
        </is>
      </c>
      <c r="F2171" s="3" t="inlineStr">
        <is>
          <t>계획관리지역</t>
        </is>
      </c>
      <c r="G2171" s="3" t="inlineStr">
        <is>
          <t>대</t>
        </is>
      </c>
      <c r="H2171" s="4" t="n">
        <v>32.9725</v>
      </c>
      <c r="I2171" s="5" t="n">
        <v>72.5</v>
      </c>
      <c r="J2171" s="3" t="inlineStr">
        <is>
          <t>연동면</t>
        </is>
      </c>
    </row>
    <row r="2172">
      <c r="A2172" s="3" t="n">
        <v>2023</v>
      </c>
      <c r="B2172" s="4" t="n">
        <v>30000</v>
      </c>
      <c r="C2172" s="4" t="n">
        <v>2182</v>
      </c>
      <c r="D2172" s="3" t="inlineStr">
        <is>
          <t>연서면</t>
        </is>
      </c>
      <c r="E2172" s="3" t="inlineStr">
        <is>
          <t>봉암리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660.0549999999999</v>
      </c>
      <c r="I2172" s="5" t="n">
        <v>45.5</v>
      </c>
      <c r="J2172" s="3" t="inlineStr">
        <is>
          <t>연서면</t>
        </is>
      </c>
    </row>
    <row r="2173">
      <c r="A2173" s="3" t="n">
        <v>2023</v>
      </c>
      <c r="B2173" s="4" t="n">
        <v>5387</v>
      </c>
      <c r="C2173" s="4" t="n">
        <v>369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111.6225</v>
      </c>
      <c r="I2173" s="5" t="n">
        <v>48.3</v>
      </c>
      <c r="J2173" s="3" t="inlineStr">
        <is>
          <t>강내면</t>
        </is>
      </c>
    </row>
    <row r="2174">
      <c r="A2174" s="3" t="n">
        <v>2023</v>
      </c>
      <c r="B2174" s="4" t="n">
        <v>24</v>
      </c>
      <c r="C2174" s="4" t="n">
        <v>2</v>
      </c>
      <c r="D2174" s="3" t="inlineStr">
        <is>
          <t>강내면</t>
        </is>
      </c>
      <c r="E2174" s="3" t="inlineStr">
        <is>
          <t>태성리</t>
        </is>
      </c>
      <c r="F2174" s="3" t="inlineStr">
        <is>
          <t>계획관리지역</t>
        </is>
      </c>
      <c r="G2174" s="3" t="inlineStr">
        <is>
          <t>도로</t>
        </is>
      </c>
      <c r="H2174" s="4" t="n">
        <v>0.605</v>
      </c>
      <c r="I2174" s="5" t="n">
        <v>39.7</v>
      </c>
      <c r="J2174" s="3" t="inlineStr">
        <is>
          <t>강내면</t>
        </is>
      </c>
    </row>
    <row r="2175">
      <c r="A2175" s="3" t="n">
        <v>2023</v>
      </c>
      <c r="B2175" s="4" t="n">
        <v>668</v>
      </c>
      <c r="C2175" s="4" t="n">
        <v>55</v>
      </c>
      <c r="D2175" s="3" t="inlineStr">
        <is>
          <t>강내면</t>
        </is>
      </c>
      <c r="E2175" s="3" t="inlineStr">
        <is>
          <t>태성리</t>
        </is>
      </c>
      <c r="F2175" s="3" t="inlineStr">
        <is>
          <t>계획관리지역</t>
        </is>
      </c>
      <c r="G2175" s="3" t="inlineStr">
        <is>
          <t>도로</t>
        </is>
      </c>
      <c r="H2175" s="4" t="n">
        <v>16.6375</v>
      </c>
      <c r="I2175" s="5" t="n">
        <v>40.2</v>
      </c>
      <c r="J2175" s="3" t="inlineStr">
        <is>
          <t>강내면</t>
        </is>
      </c>
    </row>
    <row r="2176">
      <c r="A2176" s="3" t="n">
        <v>2023</v>
      </c>
      <c r="B2176" s="4" t="n">
        <v>98623</v>
      </c>
      <c r="C2176" s="4" t="n">
        <v>816</v>
      </c>
      <c r="D2176" s="3" t="inlineStr">
        <is>
          <t>오송읍</t>
        </is>
      </c>
      <c r="E2176" s="3" t="inlineStr">
        <is>
          <t>오송리</t>
        </is>
      </c>
      <c r="F2176" s="3" t="inlineStr">
        <is>
          <t>농림지역</t>
        </is>
      </c>
      <c r="G2176" s="3" t="inlineStr">
        <is>
          <t>답</t>
        </is>
      </c>
      <c r="H2176" s="4" t="n">
        <v>246.84</v>
      </c>
      <c r="I2176" s="5" t="n">
        <v>399.5</v>
      </c>
      <c r="J2176" s="3" t="inlineStr">
        <is>
          <t>오송읍</t>
        </is>
      </c>
    </row>
    <row r="2177">
      <c r="A2177" s="3" t="n">
        <v>2023</v>
      </c>
      <c r="B2177" s="4" t="n">
        <v>131377</v>
      </c>
      <c r="C2177" s="4" t="n">
        <v>1087</v>
      </c>
      <c r="D2177" s="3" t="inlineStr">
        <is>
          <t>오송읍</t>
        </is>
      </c>
      <c r="E2177" s="3" t="inlineStr">
        <is>
          <t>오송리</t>
        </is>
      </c>
      <c r="F2177" s="3" t="inlineStr">
        <is>
          <t>농림지역</t>
        </is>
      </c>
      <c r="G2177" s="3" t="inlineStr">
        <is>
          <t>답</t>
        </is>
      </c>
      <c r="H2177" s="4" t="n">
        <v>328.8175</v>
      </c>
      <c r="I2177" s="5" t="n">
        <v>399.5</v>
      </c>
      <c r="J2177" s="3" t="inlineStr">
        <is>
          <t>오송읍</t>
        </is>
      </c>
    </row>
    <row r="2178">
      <c r="A2178" s="3" t="n">
        <v>2023</v>
      </c>
      <c r="B2178" s="4" t="n">
        <v>1800</v>
      </c>
      <c r="C2178" s="4" t="n">
        <v>181</v>
      </c>
      <c r="D2178" s="3" t="inlineStr">
        <is>
          <t>오송읍</t>
        </is>
      </c>
      <c r="E2178" s="3" t="inlineStr">
        <is>
          <t>상봉리</t>
        </is>
      </c>
      <c r="F2178" s="3" t="inlineStr">
        <is>
          <t>생산관리지역</t>
        </is>
      </c>
      <c r="G2178" s="3" t="inlineStr">
        <is>
          <t>답</t>
        </is>
      </c>
      <c r="H2178" s="4" t="n">
        <v>54.7525</v>
      </c>
      <c r="I2178" s="5" t="n">
        <v>32.9</v>
      </c>
      <c r="J2178" s="3" t="inlineStr">
        <is>
          <t>오송읍</t>
        </is>
      </c>
    </row>
    <row r="2179">
      <c r="A2179" s="3" t="n">
        <v>2023</v>
      </c>
      <c r="B2179" s="4" t="n">
        <v>4200</v>
      </c>
      <c r="C2179" s="4" t="n">
        <v>498</v>
      </c>
      <c r="D2179" s="3" t="inlineStr">
        <is>
          <t>오송읍</t>
        </is>
      </c>
      <c r="E2179" s="3" t="inlineStr">
        <is>
          <t>상봉리</t>
        </is>
      </c>
      <c r="F2179" s="3" t="inlineStr">
        <is>
          <t>생산관리지역</t>
        </is>
      </c>
      <c r="G2179" s="3" t="inlineStr">
        <is>
          <t>답</t>
        </is>
      </c>
      <c r="H2179" s="4" t="n">
        <v>150.645</v>
      </c>
      <c r="I2179" s="5" t="n">
        <v>27.9</v>
      </c>
      <c r="J2179" s="3" t="inlineStr">
        <is>
          <t>오송읍</t>
        </is>
      </c>
    </row>
    <row r="2180">
      <c r="A2180" s="3" t="n">
        <v>2023</v>
      </c>
      <c r="B2180" s="4" t="n">
        <v>10000</v>
      </c>
      <c r="C2180" s="4" t="n">
        <v>712</v>
      </c>
      <c r="D2180" s="3" t="inlineStr">
        <is>
          <t>강내면</t>
        </is>
      </c>
      <c r="E2180" s="3" t="inlineStr">
        <is>
          <t>태성리</t>
        </is>
      </c>
      <c r="F2180" s="3" t="inlineStr">
        <is>
          <t>계획관리지역</t>
        </is>
      </c>
      <c r="G2180" s="3" t="inlineStr">
        <is>
          <t>전</t>
        </is>
      </c>
      <c r="H2180" s="4" t="n">
        <v>215.38</v>
      </c>
      <c r="I2180" s="5" t="n">
        <v>46.4</v>
      </c>
      <c r="J2180" s="3" t="inlineStr">
        <is>
          <t>강내면</t>
        </is>
      </c>
    </row>
    <row r="2181">
      <c r="A2181" s="3" t="n">
        <v>2025</v>
      </c>
      <c r="B2181" s="4" t="n">
        <v>40000</v>
      </c>
      <c r="C2181" s="4" t="n">
        <v>11163</v>
      </c>
      <c r="D2181" s="3" t="inlineStr">
        <is>
          <t>연서면</t>
        </is>
      </c>
      <c r="E2181" s="3" t="inlineStr">
        <is>
          <t>기룡리</t>
        </is>
      </c>
      <c r="F2181" s="3" t="inlineStr">
        <is>
          <t>생산관리지역</t>
        </is>
      </c>
      <c r="G2181" s="3" t="inlineStr">
        <is>
          <t>임야</t>
        </is>
      </c>
      <c r="H2181" s="4" t="n">
        <v>3376.8075</v>
      </c>
      <c r="I2181" s="5" t="n">
        <v>11.8</v>
      </c>
      <c r="J2181" s="3" t="inlineStr">
        <is>
          <t>연서면</t>
        </is>
      </c>
    </row>
    <row r="2182">
      <c r="A2182" s="3" t="n">
        <v>2025</v>
      </c>
      <c r="B2182" s="4" t="n">
        <v>135000</v>
      </c>
      <c r="C2182" s="4" t="n">
        <v>13352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4038.98</v>
      </c>
      <c r="I2182" s="5" t="n">
        <v>33.4</v>
      </c>
      <c r="J2182" s="3" t="inlineStr">
        <is>
          <t>조치원읍</t>
        </is>
      </c>
    </row>
    <row r="2183">
      <c r="A2183" s="3" t="n">
        <v>2025</v>
      </c>
      <c r="B2183" s="4" t="n">
        <v>20000</v>
      </c>
      <c r="C2183" s="4" t="n">
        <v>1951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임야</t>
        </is>
      </c>
      <c r="H2183" s="4" t="n">
        <v>590.1775</v>
      </c>
      <c r="I2183" s="5" t="n">
        <v>33.9</v>
      </c>
      <c r="J2183" s="3" t="inlineStr">
        <is>
          <t>조치원읍</t>
        </is>
      </c>
    </row>
    <row r="2184">
      <c r="A2184" s="3" t="n">
        <v>2025</v>
      </c>
      <c r="B2184" s="4" t="n">
        <v>26200</v>
      </c>
      <c r="C2184" s="4" t="n">
        <v>241</v>
      </c>
      <c r="D2184" s="3" t="inlineStr">
        <is>
          <t>조치원읍</t>
        </is>
      </c>
      <c r="E2184" s="3" t="inlineStr">
        <is>
          <t>침산리</t>
        </is>
      </c>
      <c r="F2184" s="3" t="inlineStr">
        <is>
          <t>제2종일반주거지역</t>
        </is>
      </c>
      <c r="G2184" s="3" t="inlineStr">
        <is>
          <t>대</t>
        </is>
      </c>
      <c r="H2184" s="4" t="n">
        <v>72.9025</v>
      </c>
      <c r="I2184" s="5" t="n">
        <v>359.4</v>
      </c>
      <c r="J2184" s="3" t="inlineStr">
        <is>
          <t>조치원읍</t>
        </is>
      </c>
    </row>
    <row r="2185">
      <c r="A2185" s="3" t="n">
        <v>2025</v>
      </c>
      <c r="B2185" s="4" t="n">
        <v>30000</v>
      </c>
      <c r="C2185" s="4" t="n">
        <v>1983.7</v>
      </c>
      <c r="D2185" s="3" t="inlineStr">
        <is>
          <t>연동면</t>
        </is>
      </c>
      <c r="E2185" s="3" t="inlineStr">
        <is>
          <t>문주리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600.06925</v>
      </c>
      <c r="I2185" s="5" t="n">
        <v>50</v>
      </c>
      <c r="J2185" s="3" t="inlineStr">
        <is>
          <t>연동면</t>
        </is>
      </c>
    </row>
    <row r="2186">
      <c r="A2186" s="3" t="n">
        <v>2025</v>
      </c>
      <c r="B2186" s="4" t="n">
        <v>9152</v>
      </c>
      <c r="C2186" s="4" t="n">
        <v>296.1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89.57025</v>
      </c>
      <c r="I2186" s="5" t="n">
        <v>102.2</v>
      </c>
      <c r="J2186" s="3" t="inlineStr">
        <is>
          <t>연서면</t>
        </is>
      </c>
    </row>
    <row r="2187">
      <c r="A2187" s="3" t="n">
        <v>2025</v>
      </c>
      <c r="B2187" s="4" t="n">
        <v>10849</v>
      </c>
      <c r="C2187" s="4" t="n">
        <v>351</v>
      </c>
      <c r="D2187" s="3" t="inlineStr">
        <is>
          <t>연서면</t>
        </is>
      </c>
      <c r="E2187" s="3" t="inlineStr">
        <is>
          <t>청라리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106.1775</v>
      </c>
      <c r="I2187" s="5" t="n">
        <v>102.2</v>
      </c>
      <c r="J2187" s="3" t="inlineStr">
        <is>
          <t>연서면</t>
        </is>
      </c>
    </row>
    <row r="2188">
      <c r="A2188" s="3" t="n">
        <v>2025</v>
      </c>
      <c r="B2188" s="4" t="n">
        <v>53000</v>
      </c>
      <c r="C2188" s="4" t="n">
        <v>2498</v>
      </c>
      <c r="D2188" s="3" t="inlineStr">
        <is>
          <t>연서면</t>
        </is>
      </c>
      <c r="E2188" s="3" t="inlineStr">
        <is>
          <t>신대리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755.645</v>
      </c>
      <c r="I2188" s="5" t="n">
        <v>70.09999999999999</v>
      </c>
      <c r="J2188" s="3" t="inlineStr">
        <is>
          <t>연서면</t>
        </is>
      </c>
    </row>
    <row r="2189">
      <c r="A2189" s="3" t="n">
        <v>2025</v>
      </c>
      <c r="B2189" s="4" t="n">
        <v>100000</v>
      </c>
      <c r="C2189" s="4" t="n">
        <v>1940</v>
      </c>
      <c r="D2189" s="3" t="inlineStr">
        <is>
          <t>연서면</t>
        </is>
      </c>
      <c r="E2189" s="3" t="inlineStr">
        <is>
          <t>봉암리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586.85</v>
      </c>
      <c r="I2189" s="5" t="n">
        <v>170.4</v>
      </c>
      <c r="J2189" s="3" t="inlineStr">
        <is>
          <t>연서면</t>
        </is>
      </c>
    </row>
    <row r="2190">
      <c r="A2190" s="3" t="n">
        <v>2025</v>
      </c>
      <c r="B2190" s="4" t="n">
        <v>12000</v>
      </c>
      <c r="C2190" s="4" t="n">
        <v>1237</v>
      </c>
      <c r="D2190" s="3" t="inlineStr">
        <is>
          <t>연서면</t>
        </is>
      </c>
      <c r="E2190" s="3" t="inlineStr">
        <is>
          <t>월하리</t>
        </is>
      </c>
      <c r="F2190" s="3" t="inlineStr">
        <is>
          <t>자연녹지지역</t>
        </is>
      </c>
      <c r="G2190" s="3" t="inlineStr">
        <is>
          <t>임야</t>
        </is>
      </c>
      <c r="H2190" s="4" t="n">
        <v>374.1925</v>
      </c>
      <c r="I2190" s="5" t="n">
        <v>32.1</v>
      </c>
      <c r="J2190" s="3" t="inlineStr">
        <is>
          <t>연서면</t>
        </is>
      </c>
    </row>
    <row r="2191">
      <c r="A2191" s="3" t="n">
        <v>2026</v>
      </c>
      <c r="B2191" s="4" t="n">
        <v>128600</v>
      </c>
      <c r="C2191" s="4" t="n">
        <v>2856</v>
      </c>
      <c r="D2191" s="3" t="inlineStr">
        <is>
          <t>조치원읍</t>
        </is>
      </c>
      <c r="E2191" s="3" t="inlineStr">
        <is>
          <t>봉산리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863.9399999999999</v>
      </c>
      <c r="I2191" s="5" t="n">
        <v>148.9</v>
      </c>
      <c r="J2191" s="3" t="inlineStr">
        <is>
          <t>조치원읍</t>
        </is>
      </c>
    </row>
    <row r="2192">
      <c r="A2192" s="3" t="n">
        <v>2026</v>
      </c>
      <c r="B2192" s="4" t="n">
        <v>41400</v>
      </c>
      <c r="C2192" s="4" t="n">
        <v>595</v>
      </c>
      <c r="D2192" s="3" t="inlineStr">
        <is>
          <t>조치원읍</t>
        </is>
      </c>
      <c r="E2192" s="3" t="inlineStr">
        <is>
          <t>봉산리</t>
        </is>
      </c>
      <c r="F2192" s="3" t="inlineStr">
        <is>
          <t>자연녹지지역</t>
        </is>
      </c>
      <c r="G2192" s="3" t="inlineStr">
        <is>
          <t>대</t>
        </is>
      </c>
      <c r="H2192" s="4" t="n">
        <v>179.9875</v>
      </c>
      <c r="I2192" s="5" t="n">
        <v>230</v>
      </c>
      <c r="J2192" s="3" t="inlineStr">
        <is>
          <t>조치원읍</t>
        </is>
      </c>
    </row>
    <row r="2193">
      <c r="A2193" s="3" t="n">
        <v>2026</v>
      </c>
      <c r="B2193" s="4" t="n">
        <v>32670</v>
      </c>
      <c r="C2193" s="4" t="n">
        <v>1200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363</v>
      </c>
      <c r="I2193" s="5" t="n">
        <v>90</v>
      </c>
      <c r="J2193" s="3" t="inlineStr">
        <is>
          <t>부강면</t>
        </is>
      </c>
    </row>
    <row r="2194">
      <c r="A2194" s="3" t="n">
        <v>2026</v>
      </c>
      <c r="B2194" s="4" t="n">
        <v>100</v>
      </c>
      <c r="C2194" s="4" t="n">
        <v>8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2.42</v>
      </c>
      <c r="I2194" s="5" t="n">
        <v>41.3</v>
      </c>
      <c r="J2194" s="3" t="inlineStr">
        <is>
          <t>연서면</t>
        </is>
      </c>
    </row>
    <row r="2195">
      <c r="A2195" s="3" t="n">
        <v>2024</v>
      </c>
      <c r="B2195" s="4" t="n">
        <v>11732</v>
      </c>
      <c r="C2195" s="4" t="n">
        <v>453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137.0325</v>
      </c>
      <c r="I2195" s="5" t="n">
        <v>85.59999999999999</v>
      </c>
      <c r="J2195" s="3" t="inlineStr">
        <is>
          <t>연서면</t>
        </is>
      </c>
    </row>
    <row r="2196">
      <c r="A2196" s="3" t="n">
        <v>2024</v>
      </c>
      <c r="B2196" s="4" t="n">
        <v>6268</v>
      </c>
      <c r="C2196" s="4" t="n">
        <v>242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73.205</v>
      </c>
      <c r="I2196" s="5" t="n">
        <v>85.59999999999999</v>
      </c>
      <c r="J2196" s="3" t="inlineStr">
        <is>
          <t>연서면</t>
        </is>
      </c>
    </row>
    <row r="2197">
      <c r="A2197" s="3" t="n">
        <v>2024</v>
      </c>
      <c r="B2197" s="4" t="n">
        <v>23500</v>
      </c>
      <c r="C2197" s="4" t="n">
        <v>1565</v>
      </c>
      <c r="D2197" s="3" t="inlineStr">
        <is>
          <t>연서면</t>
        </is>
      </c>
      <c r="E2197" s="3" t="inlineStr">
        <is>
          <t>용암리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473.4125</v>
      </c>
      <c r="I2197" s="5" t="n">
        <v>49.6</v>
      </c>
      <c r="J2197" s="3" t="inlineStr">
        <is>
          <t>연서면</t>
        </is>
      </c>
    </row>
    <row r="2198">
      <c r="A2198" s="3" t="n">
        <v>2024</v>
      </c>
      <c r="B2198" s="4" t="n">
        <v>5000</v>
      </c>
      <c r="C2198" s="4" t="n">
        <v>33</v>
      </c>
      <c r="D2198" s="3" t="inlineStr">
        <is>
          <t>조치원읍</t>
        </is>
      </c>
      <c r="E2198" s="3" t="inlineStr">
        <is>
          <t>봉산리</t>
        </is>
      </c>
      <c r="F2198" s="3" t="inlineStr">
        <is>
          <t>자연녹지지역</t>
        </is>
      </c>
      <c r="G2198" s="3" t="inlineStr">
        <is>
          <t>답</t>
        </is>
      </c>
      <c r="H2198" s="4" t="n">
        <v>9.9825</v>
      </c>
      <c r="I2198" s="5" t="n">
        <v>500.9</v>
      </c>
      <c r="J2198" s="3" t="inlineStr">
        <is>
          <t>조치원읍</t>
        </is>
      </c>
    </row>
    <row r="2199">
      <c r="A2199" s="3" t="n">
        <v>2024</v>
      </c>
      <c r="B2199" s="4" t="n">
        <v>7043</v>
      </c>
      <c r="C2199" s="4" t="n">
        <v>258</v>
      </c>
      <c r="D2199" s="3" t="inlineStr">
        <is>
          <t>연서면</t>
        </is>
      </c>
      <c r="E2199" s="3" t="inlineStr">
        <is>
          <t>국촌리</t>
        </is>
      </c>
      <c r="F2199" s="3" t="inlineStr">
        <is>
          <t>계획관리지역</t>
        </is>
      </c>
      <c r="G2199" s="3" t="inlineStr">
        <is>
          <t>구거</t>
        </is>
      </c>
      <c r="H2199" s="4" t="n">
        <v>78.045</v>
      </c>
      <c r="I2199" s="5" t="n">
        <v>90.2</v>
      </c>
      <c r="J2199" s="3" t="inlineStr">
        <is>
          <t>연서면</t>
        </is>
      </c>
    </row>
    <row r="2200">
      <c r="A2200" s="3" t="n">
        <v>2024</v>
      </c>
      <c r="B2200" s="4" t="n">
        <v>17900</v>
      </c>
      <c r="C2200" s="4" t="n">
        <v>100</v>
      </c>
      <c r="D2200" s="3" t="inlineStr">
        <is>
          <t>조치원읍</t>
        </is>
      </c>
      <c r="E2200" s="3" t="inlineStr">
        <is>
          <t>정리</t>
        </is>
      </c>
      <c r="F2200" s="3" t="inlineStr">
        <is>
          <t>준주거지역</t>
        </is>
      </c>
      <c r="G2200" s="3" t="inlineStr">
        <is>
          <t>대</t>
        </is>
      </c>
      <c r="H2200" s="4" t="n">
        <v>30.25</v>
      </c>
      <c r="I2200" s="5" t="n">
        <v>591.7</v>
      </c>
      <c r="J2200" s="3" t="inlineStr">
        <is>
          <t>조치원읍</t>
        </is>
      </c>
    </row>
    <row r="2201">
      <c r="A2201" s="3" t="n">
        <v>2024</v>
      </c>
      <c r="B2201" s="4" t="n">
        <v>20000</v>
      </c>
      <c r="C2201" s="4" t="n">
        <v>1035</v>
      </c>
      <c r="D2201" s="3" t="inlineStr">
        <is>
          <t>부강면</t>
        </is>
      </c>
      <c r="E2201" s="3" t="inlineStr">
        <is>
          <t>노호리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313.0875</v>
      </c>
      <c r="I2201" s="5" t="n">
        <v>63.9</v>
      </c>
      <c r="J2201" s="3" t="inlineStr">
        <is>
          <t>부강면</t>
        </is>
      </c>
    </row>
    <row r="2202">
      <c r="A2202" s="3" t="n">
        <v>2026</v>
      </c>
      <c r="B2202" s="4" t="n">
        <v>10000</v>
      </c>
      <c r="C2202" s="4" t="n">
        <v>579</v>
      </c>
      <c r="D2202" s="3" t="inlineStr">
        <is>
          <t>연동면</t>
        </is>
      </c>
      <c r="E2202" s="3" t="inlineStr">
        <is>
          <t>명학리</t>
        </is>
      </c>
      <c r="F2202" s="3" t="inlineStr">
        <is>
          <t>보전관리지역</t>
        </is>
      </c>
      <c r="G2202" s="3" t="inlineStr">
        <is>
          <t>전</t>
        </is>
      </c>
      <c r="H2202" s="4" t="n">
        <v>175.1475</v>
      </c>
      <c r="I2202" s="5" t="n">
        <v>57.1</v>
      </c>
      <c r="J2202" s="3" t="inlineStr">
        <is>
          <t>연동면</t>
        </is>
      </c>
    </row>
    <row r="2203">
      <c r="A2203" s="3" t="n">
        <v>2026</v>
      </c>
      <c r="B2203" s="4" t="n">
        <v>60000</v>
      </c>
      <c r="C2203" s="4" t="n">
        <v>596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180.29</v>
      </c>
      <c r="I2203" s="5" t="n">
        <v>332.8</v>
      </c>
      <c r="J2203" s="3" t="inlineStr">
        <is>
          <t>연서면</t>
        </is>
      </c>
    </row>
    <row r="2204">
      <c r="A2204" s="3" t="n">
        <v>2025</v>
      </c>
      <c r="B2204" s="4" t="n">
        <v>35000</v>
      </c>
      <c r="C2204" s="4" t="n">
        <v>182</v>
      </c>
      <c r="D2204" s="3" t="inlineStr">
        <is>
          <t>반곡동</t>
        </is>
      </c>
      <c r="E2204" s="3" t="inlineStr"/>
      <c r="F2204" s="3" t="inlineStr">
        <is>
          <t>제1종전용주거지역</t>
        </is>
      </c>
      <c r="G2204" s="3" t="inlineStr">
        <is>
          <t>대</t>
        </is>
      </c>
      <c r="H2204" s="4" t="n">
        <v>55.055</v>
      </c>
      <c r="I2204" s="5" t="n">
        <v>635.7</v>
      </c>
      <c r="J2204" s="3" t="inlineStr">
        <is>
          <t>반곡동</t>
        </is>
      </c>
    </row>
    <row r="2205">
      <c r="A2205" s="3" t="n">
        <v>2025</v>
      </c>
      <c r="B2205" s="4" t="n">
        <v>51000</v>
      </c>
      <c r="C2205" s="4" t="n">
        <v>306.7</v>
      </c>
      <c r="D2205" s="3" t="inlineStr">
        <is>
          <t>다정동</t>
        </is>
      </c>
      <c r="E2205" s="3" t="inlineStr"/>
      <c r="F2205" s="3" t="inlineStr">
        <is>
          <t>제1종전용주거지역</t>
        </is>
      </c>
      <c r="G2205" s="3" t="inlineStr">
        <is>
          <t>대</t>
        </is>
      </c>
      <c r="H2205" s="4" t="n">
        <v>92.77674999999999</v>
      </c>
      <c r="I2205" s="5" t="n">
        <v>549.7</v>
      </c>
      <c r="J2205" s="3" t="inlineStr">
        <is>
          <t>다정동</t>
        </is>
      </c>
    </row>
    <row r="2206">
      <c r="A2206" s="3" t="n">
        <v>2025</v>
      </c>
      <c r="B2206" s="4" t="n">
        <v>52000</v>
      </c>
      <c r="C2206" s="4" t="n">
        <v>301.8</v>
      </c>
      <c r="D2206" s="3" t="inlineStr">
        <is>
          <t>한솔동</t>
        </is>
      </c>
      <c r="E2206" s="3" t="inlineStr"/>
      <c r="F2206" s="3" t="inlineStr">
        <is>
          <t>제1종전용주거지역</t>
        </is>
      </c>
      <c r="G2206" s="3" t="inlineStr">
        <is>
          <t>대</t>
        </is>
      </c>
      <c r="H2206" s="4" t="n">
        <v>91.2945</v>
      </c>
      <c r="I2206" s="5" t="n">
        <v>569.6</v>
      </c>
      <c r="J2206" s="3" t="inlineStr">
        <is>
          <t>한솔동</t>
        </is>
      </c>
    </row>
    <row r="2207">
      <c r="A2207" s="3" t="n">
        <v>2025</v>
      </c>
      <c r="B2207" s="4" t="n">
        <v>38700</v>
      </c>
      <c r="C2207" s="4" t="n">
        <v>254.3</v>
      </c>
      <c r="D2207" s="3" t="inlineStr">
        <is>
          <t>다정동</t>
        </is>
      </c>
      <c r="E2207" s="3" t="inlineStr"/>
      <c r="F2207" s="3" t="inlineStr">
        <is>
          <t>제1종전용주거지역</t>
        </is>
      </c>
      <c r="G2207" s="3" t="inlineStr">
        <is>
          <t>대</t>
        </is>
      </c>
      <c r="H2207" s="4" t="n">
        <v>76.92575000000001</v>
      </c>
      <c r="I2207" s="5" t="n">
        <v>503.1</v>
      </c>
      <c r="J2207" s="3" t="inlineStr">
        <is>
          <t>다정동</t>
        </is>
      </c>
    </row>
    <row r="2208">
      <c r="A2208" s="3" t="n">
        <v>2025</v>
      </c>
      <c r="B2208" s="4" t="n">
        <v>13600</v>
      </c>
      <c r="C2208" s="4" t="n">
        <v>361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과수원</t>
        </is>
      </c>
      <c r="H2208" s="4" t="n">
        <v>109.2025</v>
      </c>
      <c r="I2208" s="5" t="n">
        <v>124.5</v>
      </c>
      <c r="J2208" s="3" t="inlineStr">
        <is>
          <t>연서면</t>
        </is>
      </c>
    </row>
    <row r="2209">
      <c r="A2209" s="3" t="n">
        <v>2023</v>
      </c>
      <c r="B2209" s="4" t="n">
        <v>128000</v>
      </c>
      <c r="C2209" s="4" t="n">
        <v>292</v>
      </c>
      <c r="D2209" s="3" t="inlineStr">
        <is>
          <t>부강면</t>
        </is>
      </c>
      <c r="E2209" s="3" t="inlineStr">
        <is>
          <t>부강리</t>
        </is>
      </c>
      <c r="F2209" s="3" t="inlineStr">
        <is>
          <t>일반상업지역</t>
        </is>
      </c>
      <c r="G2209" s="3" t="inlineStr">
        <is>
          <t>대</t>
        </is>
      </c>
      <c r="H2209" s="4" t="n">
        <v>88.33</v>
      </c>
      <c r="I2209" s="5" t="n">
        <v>1449.1</v>
      </c>
      <c r="J2209" s="3" t="inlineStr">
        <is>
          <t>부강면</t>
        </is>
      </c>
    </row>
    <row r="2210">
      <c r="A2210" s="3" t="n">
        <v>2023</v>
      </c>
      <c r="B2210" s="4" t="n">
        <v>600</v>
      </c>
      <c r="C2210" s="4" t="n">
        <v>20</v>
      </c>
      <c r="D2210" s="3" t="inlineStr">
        <is>
          <t>연서면</t>
        </is>
      </c>
      <c r="E2210" s="3" t="inlineStr">
        <is>
          <t>쌍전리</t>
        </is>
      </c>
      <c r="F2210" s="3" t="inlineStr">
        <is>
          <t>자연녹지지역</t>
        </is>
      </c>
      <c r="G2210" s="3" t="inlineStr">
        <is>
          <t>도로</t>
        </is>
      </c>
      <c r="H2210" s="4" t="n">
        <v>6.05</v>
      </c>
      <c r="I2210" s="5" t="n">
        <v>99.2</v>
      </c>
      <c r="J2210" s="3" t="inlineStr">
        <is>
          <t>연서면</t>
        </is>
      </c>
    </row>
    <row r="2211">
      <c r="A2211" s="3" t="n">
        <v>2023</v>
      </c>
      <c r="B2211" s="4" t="n">
        <v>700</v>
      </c>
      <c r="C2211" s="4" t="n">
        <v>12.8</v>
      </c>
      <c r="D2211" s="3" t="inlineStr">
        <is>
          <t>고운동</t>
        </is>
      </c>
      <c r="E2211" s="3" t="inlineStr"/>
      <c r="F2211" s="3" t="inlineStr">
        <is>
          <t>제1종전용주거지역</t>
        </is>
      </c>
      <c r="G2211" s="3" t="inlineStr">
        <is>
          <t>주차장</t>
        </is>
      </c>
      <c r="H2211" s="4" t="n">
        <v>3.872</v>
      </c>
      <c r="I2211" s="5" t="n">
        <v>180.8</v>
      </c>
      <c r="J2211" s="3" t="inlineStr">
        <is>
          <t>고운동</t>
        </is>
      </c>
    </row>
    <row r="2212">
      <c r="A2212" s="3" t="n">
        <v>2023</v>
      </c>
      <c r="B2212" s="4" t="n">
        <v>300</v>
      </c>
      <c r="C2212" s="4" t="n">
        <v>20</v>
      </c>
      <c r="D2212" s="3" t="inlineStr">
        <is>
          <t>연서면</t>
        </is>
      </c>
      <c r="E2212" s="3" t="inlineStr">
        <is>
          <t>쌍전리</t>
        </is>
      </c>
      <c r="F2212" s="3" t="inlineStr">
        <is>
          <t>자연녹지지역</t>
        </is>
      </c>
      <c r="G2212" s="3" t="inlineStr">
        <is>
          <t>임야</t>
        </is>
      </c>
      <c r="H2212" s="4" t="n">
        <v>6.05</v>
      </c>
      <c r="I2212" s="5" t="n">
        <v>49.6</v>
      </c>
      <c r="J2212" s="3" t="inlineStr">
        <is>
          <t>연서면</t>
        </is>
      </c>
    </row>
    <row r="2213">
      <c r="A2213" s="3" t="n">
        <v>2022</v>
      </c>
      <c r="B2213" s="4" t="n">
        <v>19779</v>
      </c>
      <c r="C2213" s="4" t="n">
        <v>2734</v>
      </c>
      <c r="D2213" s="3" t="inlineStr">
        <is>
          <t>연동면</t>
        </is>
      </c>
      <c r="E2213" s="3" t="inlineStr">
        <is>
          <t>예양리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827.035</v>
      </c>
      <c r="I2213" s="5" t="n">
        <v>23.9</v>
      </c>
      <c r="J2213" s="3" t="inlineStr">
        <is>
          <t>연동면</t>
        </is>
      </c>
    </row>
    <row r="2214">
      <c r="A2214" s="3" t="n">
        <v>2022</v>
      </c>
      <c r="B2214" s="4" t="n">
        <v>66096</v>
      </c>
      <c r="C2214" s="4" t="n">
        <v>9136.5</v>
      </c>
      <c r="D2214" s="3" t="inlineStr">
        <is>
          <t>연동면</t>
        </is>
      </c>
      <c r="E2214" s="3" t="inlineStr">
        <is>
          <t>예양리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2763.79125</v>
      </c>
      <c r="I2214" s="5" t="n">
        <v>23.9</v>
      </c>
      <c r="J2214" s="3" t="inlineStr">
        <is>
          <t>연동면</t>
        </is>
      </c>
    </row>
    <row r="2215">
      <c r="A2215" s="3" t="n">
        <v>2022</v>
      </c>
      <c r="B2215" s="4" t="n">
        <v>12046</v>
      </c>
      <c r="C2215" s="4" t="n">
        <v>1713.8</v>
      </c>
      <c r="D2215" s="3" t="inlineStr">
        <is>
          <t>연동면</t>
        </is>
      </c>
      <c r="E2215" s="3" t="inlineStr">
        <is>
          <t>예양리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518.4245</v>
      </c>
      <c r="I2215" s="5" t="n">
        <v>23.2</v>
      </c>
      <c r="J2215" s="3" t="inlineStr">
        <is>
          <t>연동면</t>
        </is>
      </c>
    </row>
    <row r="2216">
      <c r="A2216" s="3" t="n">
        <v>2022</v>
      </c>
      <c r="B2216" s="4" t="n">
        <v>50000</v>
      </c>
      <c r="C2216" s="4" t="n">
        <v>265.6</v>
      </c>
      <c r="D2216" s="3" t="inlineStr">
        <is>
          <t>조치원읍</t>
        </is>
      </c>
      <c r="E2216" s="3" t="inlineStr">
        <is>
          <t>침산리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80.34400000000001</v>
      </c>
      <c r="I2216" s="5" t="n">
        <v>622.3</v>
      </c>
      <c r="J2216" s="3" t="inlineStr">
        <is>
          <t>조치원읍</t>
        </is>
      </c>
    </row>
    <row r="2217">
      <c r="A2217" s="3" t="n">
        <v>2022</v>
      </c>
      <c r="B2217" s="4" t="n">
        <v>16000</v>
      </c>
      <c r="C2217" s="4" t="n">
        <v>6612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2000.13</v>
      </c>
      <c r="I2217" s="5" t="n">
        <v>8</v>
      </c>
      <c r="J2217" s="3" t="inlineStr">
        <is>
          <t>연서면</t>
        </is>
      </c>
    </row>
    <row r="2218">
      <c r="A2218" s="3" t="n">
        <v>2022</v>
      </c>
      <c r="B2218" s="4" t="n">
        <v>20000</v>
      </c>
      <c r="C2218" s="4" t="n">
        <v>8265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2500.1625</v>
      </c>
      <c r="I2218" s="5" t="n">
        <v>8</v>
      </c>
      <c r="J2218" s="3" t="inlineStr">
        <is>
          <t>연서면</t>
        </is>
      </c>
    </row>
    <row r="2219">
      <c r="A2219" s="3" t="n">
        <v>2022</v>
      </c>
      <c r="B2219" s="4" t="n">
        <v>19080</v>
      </c>
      <c r="C2219" s="4" t="n">
        <v>526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과수원</t>
        </is>
      </c>
      <c r="H2219" s="4" t="n">
        <v>159.115</v>
      </c>
      <c r="I2219" s="5" t="n">
        <v>119.9</v>
      </c>
      <c r="J2219" s="3" t="inlineStr">
        <is>
          <t>연서면</t>
        </is>
      </c>
    </row>
    <row r="2220">
      <c r="A2220" s="3" t="n">
        <v>2022</v>
      </c>
      <c r="B2220" s="4" t="n">
        <v>17630</v>
      </c>
      <c r="C2220" s="4" t="n">
        <v>486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과수원</t>
        </is>
      </c>
      <c r="H2220" s="4" t="n">
        <v>147.015</v>
      </c>
      <c r="I2220" s="5" t="n">
        <v>119.9</v>
      </c>
      <c r="J2220" s="3" t="inlineStr">
        <is>
          <t>연서면</t>
        </is>
      </c>
    </row>
    <row r="2221">
      <c r="A2221" s="3" t="n">
        <v>2022</v>
      </c>
      <c r="B2221" s="4" t="n">
        <v>22330</v>
      </c>
      <c r="C2221" s="4" t="n">
        <v>615</v>
      </c>
      <c r="D2221" s="3" t="inlineStr">
        <is>
          <t>연서면</t>
        </is>
      </c>
      <c r="E2221" s="3" t="inlineStr">
        <is>
          <t>쌍류리</t>
        </is>
      </c>
      <c r="F2221" s="3" t="inlineStr">
        <is>
          <t>생산관리지역</t>
        </is>
      </c>
      <c r="G2221" s="3" t="inlineStr">
        <is>
          <t>과수원</t>
        </is>
      </c>
      <c r="H2221" s="4" t="n">
        <v>186.0375</v>
      </c>
      <c r="I2221" s="5" t="n">
        <v>120</v>
      </c>
      <c r="J2221" s="3" t="inlineStr">
        <is>
          <t>연서면</t>
        </is>
      </c>
    </row>
    <row r="2222">
      <c r="A2222" s="3" t="n">
        <v>2022</v>
      </c>
      <c r="B2222" s="4" t="n">
        <v>583920</v>
      </c>
      <c r="C2222" s="4" t="n">
        <v>4709</v>
      </c>
      <c r="D2222" s="3" t="inlineStr">
        <is>
          <t>조치원읍</t>
        </is>
      </c>
      <c r="E2222" s="3" t="inlineStr">
        <is>
          <t>봉산리</t>
        </is>
      </c>
      <c r="F2222" s="3" t="inlineStr">
        <is>
          <t>준주거지역</t>
        </is>
      </c>
      <c r="G2222" s="3" t="inlineStr">
        <is>
          <t>대</t>
        </is>
      </c>
      <c r="H2222" s="4" t="n">
        <v>1424.4725</v>
      </c>
      <c r="I2222" s="5" t="n">
        <v>409.9</v>
      </c>
      <c r="J2222" s="3" t="inlineStr">
        <is>
          <t>조치원읍</t>
        </is>
      </c>
    </row>
    <row r="2223">
      <c r="A2223" s="3" t="n">
        <v>2022</v>
      </c>
      <c r="B2223" s="4" t="n">
        <v>558540</v>
      </c>
      <c r="C2223" s="4" t="n">
        <v>4597</v>
      </c>
      <c r="D2223" s="3" t="inlineStr">
        <is>
          <t>조치원읍</t>
        </is>
      </c>
      <c r="E2223" s="3" t="inlineStr">
        <is>
          <t>봉산리</t>
        </is>
      </c>
      <c r="F2223" s="3" t="inlineStr">
        <is>
          <t>준주거지역</t>
        </is>
      </c>
      <c r="G2223" s="3" t="inlineStr">
        <is>
          <t>대</t>
        </is>
      </c>
      <c r="H2223" s="4" t="n">
        <v>1390.5925</v>
      </c>
      <c r="I2223" s="5" t="n">
        <v>401.7</v>
      </c>
      <c r="J2223" s="3" t="inlineStr">
        <is>
          <t>조치원읍</t>
        </is>
      </c>
    </row>
    <row r="2224">
      <c r="A2224" s="3" t="n">
        <v>2022</v>
      </c>
      <c r="B2224" s="4" t="n">
        <v>34560</v>
      </c>
      <c r="C2224" s="4" t="n">
        <v>952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생산관리지역</t>
        </is>
      </c>
      <c r="G2224" s="3" t="inlineStr">
        <is>
          <t>과수원</t>
        </is>
      </c>
      <c r="H2224" s="4" t="n">
        <v>287.98</v>
      </c>
      <c r="I2224" s="5" t="n">
        <v>120</v>
      </c>
      <c r="J2224" s="3" t="inlineStr">
        <is>
          <t>연서면</t>
        </is>
      </c>
    </row>
    <row r="2225">
      <c r="A2225" s="3" t="n">
        <v>2022</v>
      </c>
      <c r="B2225" s="4" t="n">
        <v>18010</v>
      </c>
      <c r="C2225" s="4" t="n">
        <v>496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생산관리지역</t>
        </is>
      </c>
      <c r="G2225" s="3" t="inlineStr">
        <is>
          <t>과수원</t>
        </is>
      </c>
      <c r="H2225" s="4" t="n">
        <v>150.04</v>
      </c>
      <c r="I2225" s="5" t="n">
        <v>120</v>
      </c>
      <c r="J2225" s="3" t="inlineStr">
        <is>
          <t>연서면</t>
        </is>
      </c>
    </row>
    <row r="2226">
      <c r="A2226" s="3" t="n">
        <v>2022</v>
      </c>
      <c r="B2226" s="4" t="n">
        <v>20150</v>
      </c>
      <c r="C2226" s="4" t="n">
        <v>555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생산관리지역</t>
        </is>
      </c>
      <c r="G2226" s="3" t="inlineStr">
        <is>
          <t>과수원</t>
        </is>
      </c>
      <c r="H2226" s="4" t="n">
        <v>167.8875</v>
      </c>
      <c r="I2226" s="5" t="n">
        <v>120</v>
      </c>
      <c r="J2226" s="3" t="inlineStr">
        <is>
          <t>연서면</t>
        </is>
      </c>
    </row>
    <row r="2227">
      <c r="A2227" s="3" t="n">
        <v>2022</v>
      </c>
      <c r="B2227" s="4" t="n">
        <v>1650</v>
      </c>
      <c r="C2227" s="4" t="n">
        <v>44</v>
      </c>
      <c r="D2227" s="3" t="inlineStr">
        <is>
          <t>부강면</t>
        </is>
      </c>
      <c r="E2227" s="3" t="inlineStr">
        <is>
          <t>문곡리</t>
        </is>
      </c>
      <c r="F2227" s="3" t="inlineStr">
        <is>
          <t>계획관리지역</t>
        </is>
      </c>
      <c r="G2227" s="3" t="inlineStr">
        <is>
          <t>대</t>
        </is>
      </c>
      <c r="H2227" s="4" t="n">
        <v>13.31</v>
      </c>
      <c r="I2227" s="5" t="n">
        <v>124</v>
      </c>
      <c r="J2227" s="3" t="inlineStr">
        <is>
          <t>부강면</t>
        </is>
      </c>
    </row>
    <row r="2228">
      <c r="A2228" s="3" t="n">
        <v>2022</v>
      </c>
      <c r="B2228" s="4" t="n">
        <v>1350</v>
      </c>
      <c r="C2228" s="4" t="n">
        <v>30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9.074999999999999</v>
      </c>
      <c r="I2228" s="5" t="n">
        <v>148.8</v>
      </c>
      <c r="J2228" s="3" t="inlineStr">
        <is>
          <t>부강면</t>
        </is>
      </c>
    </row>
    <row r="2229">
      <c r="A2229" s="3" t="n">
        <v>2022</v>
      </c>
      <c r="B2229" s="4" t="n">
        <v>29000</v>
      </c>
      <c r="C2229" s="4" t="n">
        <v>432</v>
      </c>
      <c r="D2229" s="3" t="inlineStr">
        <is>
          <t>연서면</t>
        </is>
      </c>
      <c r="E2229" s="3" t="inlineStr">
        <is>
          <t>신대리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130.68</v>
      </c>
      <c r="I2229" s="5" t="n">
        <v>221.9</v>
      </c>
      <c r="J2229" s="3" t="inlineStr">
        <is>
          <t>연서면</t>
        </is>
      </c>
    </row>
    <row r="2230">
      <c r="A2230" s="3" t="n">
        <v>2022</v>
      </c>
      <c r="B2230" s="4" t="n">
        <v>450</v>
      </c>
      <c r="C2230" s="4" t="n">
        <v>5</v>
      </c>
      <c r="D2230" s="3" t="inlineStr">
        <is>
          <t>조치원읍</t>
        </is>
      </c>
      <c r="E2230" s="3" t="inlineStr">
        <is>
          <t>남리</t>
        </is>
      </c>
      <c r="F2230" s="3" t="inlineStr">
        <is>
          <t>제2종일반주거지역</t>
        </is>
      </c>
      <c r="G2230" s="3" t="inlineStr">
        <is>
          <t>대</t>
        </is>
      </c>
      <c r="H2230" s="4" t="n">
        <v>1.5125</v>
      </c>
      <c r="I2230" s="5" t="n">
        <v>297.5</v>
      </c>
      <c r="J2230" s="3" t="inlineStr">
        <is>
          <t>조치원읍</t>
        </is>
      </c>
    </row>
    <row r="2231">
      <c r="A2231" s="3" t="n">
        <v>2022</v>
      </c>
      <c r="B2231" s="4" t="n">
        <v>21447</v>
      </c>
      <c r="C2231" s="4" t="n">
        <v>71</v>
      </c>
      <c r="D2231" s="3" t="inlineStr">
        <is>
          <t>연서면</t>
        </is>
      </c>
      <c r="E2231" s="3" t="inlineStr">
        <is>
          <t>봉암리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21.4775</v>
      </c>
      <c r="I2231" s="5" t="n">
        <v>998.6</v>
      </c>
      <c r="J2231" s="3" t="inlineStr">
        <is>
          <t>연서면</t>
        </is>
      </c>
    </row>
    <row r="2232">
      <c r="A2232" s="3" t="n">
        <v>2022</v>
      </c>
      <c r="B2232" s="4" t="n">
        <v>17820</v>
      </c>
      <c r="C2232" s="4" t="n">
        <v>59</v>
      </c>
      <c r="D2232" s="3" t="inlineStr">
        <is>
          <t>연서면</t>
        </is>
      </c>
      <c r="E2232" s="3" t="inlineStr">
        <is>
          <t>봉암리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17.8475</v>
      </c>
      <c r="I2232" s="5" t="n">
        <v>998.5</v>
      </c>
      <c r="J2232" s="3" t="inlineStr">
        <is>
          <t>연서면</t>
        </is>
      </c>
    </row>
    <row r="2233">
      <c r="A2233" s="3" t="n">
        <v>2026</v>
      </c>
      <c r="B2233" s="4" t="n">
        <v>19410</v>
      </c>
      <c r="C2233" s="4" t="n">
        <v>2139</v>
      </c>
      <c r="D2233" s="3" t="inlineStr">
        <is>
          <t>연서면</t>
        </is>
      </c>
      <c r="E2233" s="3" t="inlineStr">
        <is>
          <t>청라리</t>
        </is>
      </c>
      <c r="F2233" s="3" t="inlineStr">
        <is>
          <t>생산관리지역</t>
        </is>
      </c>
      <c r="G2233" s="3" t="inlineStr">
        <is>
          <t>전</t>
        </is>
      </c>
      <c r="H2233" s="4" t="n">
        <v>647.0475</v>
      </c>
      <c r="I2233" s="5" t="n">
        <v>30</v>
      </c>
      <c r="J2233" s="3" t="inlineStr">
        <is>
          <t>연서면</t>
        </is>
      </c>
    </row>
    <row r="2234">
      <c r="A2234" s="3" t="n">
        <v>2023</v>
      </c>
      <c r="B2234" s="4" t="n">
        <v>120061</v>
      </c>
      <c r="C2234" s="4" t="n">
        <v>6101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보전관리지역</t>
        </is>
      </c>
      <c r="G2234" s="3" t="inlineStr">
        <is>
          <t>임야</t>
        </is>
      </c>
      <c r="H2234" s="4" t="n">
        <v>1845.5525</v>
      </c>
      <c r="I2234" s="5" t="n">
        <v>65.09999999999999</v>
      </c>
      <c r="J2234" s="3" t="inlineStr">
        <is>
          <t>부강면</t>
        </is>
      </c>
    </row>
    <row r="2235">
      <c r="A2235" s="3" t="n">
        <v>2023</v>
      </c>
      <c r="B2235" s="4" t="n">
        <v>42939</v>
      </c>
      <c r="C2235" s="4" t="n">
        <v>2182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임야</t>
        </is>
      </c>
      <c r="H2235" s="4" t="n">
        <v>660.0549999999999</v>
      </c>
      <c r="I2235" s="5" t="n">
        <v>65.09999999999999</v>
      </c>
      <c r="J2235" s="3" t="inlineStr">
        <is>
          <t>부강면</t>
        </is>
      </c>
    </row>
    <row r="2236">
      <c r="A2236" s="3" t="n">
        <v>2023</v>
      </c>
      <c r="B2236" s="4" t="n">
        <v>90000</v>
      </c>
      <c r="C2236" s="4" t="n">
        <v>323.7</v>
      </c>
      <c r="D2236" s="3" t="inlineStr">
        <is>
          <t>도담동</t>
        </is>
      </c>
      <c r="E2236" s="3" t="inlineStr"/>
      <c r="F2236" s="3" t="inlineStr">
        <is>
          <t>제1종전용주거지역</t>
        </is>
      </c>
      <c r="G2236" s="3" t="inlineStr">
        <is>
          <t>대</t>
        </is>
      </c>
      <c r="H2236" s="4" t="n">
        <v>97.91924999999999</v>
      </c>
      <c r="I2236" s="5" t="n">
        <v>919.1</v>
      </c>
      <c r="J2236" s="3" t="inlineStr">
        <is>
          <t>도담동</t>
        </is>
      </c>
    </row>
    <row r="2237">
      <c r="A2237" s="3" t="n">
        <v>2023</v>
      </c>
      <c r="B2237" s="4" t="n">
        <v>382400</v>
      </c>
      <c r="C2237" s="4" t="n">
        <v>872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일반상업지역</t>
        </is>
      </c>
      <c r="G2237" s="3" t="inlineStr">
        <is>
          <t>대</t>
        </is>
      </c>
      <c r="H2237" s="4" t="n">
        <v>263.78</v>
      </c>
      <c r="I2237" s="5" t="n">
        <v>1449.7</v>
      </c>
      <c r="J2237" s="3" t="inlineStr">
        <is>
          <t>부강면</t>
        </is>
      </c>
    </row>
    <row r="2238">
      <c r="A2238" s="3" t="n">
        <v>2023</v>
      </c>
      <c r="B2238" s="4" t="n">
        <v>115000</v>
      </c>
      <c r="C2238" s="4" t="n">
        <v>293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일반상업지역</t>
        </is>
      </c>
      <c r="G2238" s="3" t="inlineStr">
        <is>
          <t>답</t>
        </is>
      </c>
      <c r="H2238" s="4" t="n">
        <v>88.63249999999999</v>
      </c>
      <c r="I2238" s="5" t="n">
        <v>1297.5</v>
      </c>
      <c r="J2238" s="3" t="inlineStr">
        <is>
          <t>부강면</t>
        </is>
      </c>
    </row>
    <row r="2239">
      <c r="A2239" s="3" t="n">
        <v>2023</v>
      </c>
      <c r="B2239" s="4" t="n">
        <v>61500</v>
      </c>
      <c r="C2239" s="4" t="n">
        <v>292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88.33</v>
      </c>
      <c r="I2239" s="5" t="n">
        <v>696.3</v>
      </c>
      <c r="J2239" s="3" t="inlineStr">
        <is>
          <t>부강면</t>
        </is>
      </c>
    </row>
    <row r="2240">
      <c r="A2240" s="3" t="n">
        <v>2023</v>
      </c>
      <c r="B2240" s="4" t="n">
        <v>2700</v>
      </c>
      <c r="C2240" s="4" t="n">
        <v>96</v>
      </c>
      <c r="D2240" s="3" t="inlineStr">
        <is>
          <t>연동면</t>
        </is>
      </c>
      <c r="E2240" s="3" t="inlineStr">
        <is>
          <t>송용리</t>
        </is>
      </c>
      <c r="F2240" s="3" t="inlineStr">
        <is>
          <t>계획관리지역</t>
        </is>
      </c>
      <c r="G2240" s="3" t="inlineStr">
        <is>
          <t>도로</t>
        </is>
      </c>
      <c r="H2240" s="4" t="n">
        <v>29.04</v>
      </c>
      <c r="I2240" s="5" t="n">
        <v>93</v>
      </c>
      <c r="J2240" s="3" t="inlineStr">
        <is>
          <t>연동면</t>
        </is>
      </c>
    </row>
    <row r="2241">
      <c r="A2241" s="3" t="n">
        <v>2023</v>
      </c>
      <c r="B2241" s="4" t="n">
        <v>800</v>
      </c>
      <c r="C2241" s="4" t="n">
        <v>33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계획관리지역</t>
        </is>
      </c>
      <c r="G2241" s="3" t="inlineStr">
        <is>
          <t>도로</t>
        </is>
      </c>
      <c r="H2241" s="4" t="n">
        <v>9.9825</v>
      </c>
      <c r="I2241" s="5" t="n">
        <v>80.09999999999999</v>
      </c>
      <c r="J2241" s="3" t="inlineStr">
        <is>
          <t>연동면</t>
        </is>
      </c>
    </row>
    <row r="2242">
      <c r="A2242" s="3" t="n">
        <v>2023</v>
      </c>
      <c r="B2242" s="4" t="n">
        <v>950</v>
      </c>
      <c r="C2242" s="4" t="n">
        <v>18</v>
      </c>
      <c r="D2242" s="3" t="inlineStr">
        <is>
          <t>조치원읍</t>
        </is>
      </c>
      <c r="E2242" s="3" t="inlineStr">
        <is>
          <t>신안리</t>
        </is>
      </c>
      <c r="F2242" s="3" t="inlineStr">
        <is>
          <t>제1종일반주거지역</t>
        </is>
      </c>
      <c r="G2242" s="3" t="inlineStr">
        <is>
          <t>대</t>
        </is>
      </c>
      <c r="H2242" s="4" t="n">
        <v>5.445</v>
      </c>
      <c r="I2242" s="5" t="n">
        <v>174.5</v>
      </c>
      <c r="J2242" s="3" t="inlineStr">
        <is>
          <t>조치원읍</t>
        </is>
      </c>
    </row>
    <row r="2243">
      <c r="A2243" s="3" t="n">
        <v>2023</v>
      </c>
      <c r="B2243" s="4" t="n">
        <v>2500</v>
      </c>
      <c r="C2243" s="4" t="n">
        <v>330</v>
      </c>
      <c r="D2243" s="3" t="inlineStr">
        <is>
          <t>부강면</t>
        </is>
      </c>
      <c r="E2243" s="3" t="inlineStr">
        <is>
          <t>갈산리</t>
        </is>
      </c>
      <c r="F2243" s="3" t="inlineStr">
        <is>
          <t>생산관리지역</t>
        </is>
      </c>
      <c r="G2243" s="3" t="inlineStr">
        <is>
          <t>임야</t>
        </is>
      </c>
      <c r="H2243" s="4" t="n">
        <v>99.825</v>
      </c>
      <c r="I2243" s="5" t="n">
        <v>25</v>
      </c>
      <c r="J2243" s="3" t="inlineStr">
        <is>
          <t>부강면</t>
        </is>
      </c>
    </row>
    <row r="2244">
      <c r="A2244" s="3" t="n">
        <v>2022</v>
      </c>
      <c r="B2244" s="4" t="n">
        <v>41076</v>
      </c>
      <c r="C2244" s="4" t="n">
        <v>136</v>
      </c>
      <c r="D2244" s="3" t="inlineStr">
        <is>
          <t>연서면</t>
        </is>
      </c>
      <c r="E2244" s="3" t="inlineStr">
        <is>
          <t>봉암리</t>
        </is>
      </c>
      <c r="F2244" s="3" t="inlineStr">
        <is>
          <t>계획관리지역</t>
        </is>
      </c>
      <c r="G2244" s="3" t="inlineStr">
        <is>
          <t>답</t>
        </is>
      </c>
      <c r="H2244" s="4" t="n">
        <v>41.14</v>
      </c>
      <c r="I2244" s="5" t="n">
        <v>998.4</v>
      </c>
      <c r="J2244" s="3" t="inlineStr">
        <is>
          <t>연서면</t>
        </is>
      </c>
    </row>
    <row r="2245">
      <c r="A2245" s="3" t="n">
        <v>2022</v>
      </c>
      <c r="B2245" s="4" t="n">
        <v>21747</v>
      </c>
      <c r="C2245" s="4" t="n">
        <v>72</v>
      </c>
      <c r="D2245" s="3" t="inlineStr">
        <is>
          <t>연서면</t>
        </is>
      </c>
      <c r="E2245" s="3" t="inlineStr">
        <is>
          <t>봉암리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21.78</v>
      </c>
      <c r="I2245" s="5" t="n">
        <v>998.5</v>
      </c>
      <c r="J2245" s="3" t="inlineStr">
        <is>
          <t>연서면</t>
        </is>
      </c>
    </row>
    <row r="2246">
      <c r="A2246" s="3" t="n">
        <v>2022</v>
      </c>
      <c r="B2246" s="4" t="n">
        <v>32922</v>
      </c>
      <c r="C2246" s="4" t="n">
        <v>109</v>
      </c>
      <c r="D2246" s="3" t="inlineStr">
        <is>
          <t>연서면</t>
        </is>
      </c>
      <c r="E2246" s="3" t="inlineStr">
        <is>
          <t>봉암리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32.9725</v>
      </c>
      <c r="I2246" s="5" t="n">
        <v>998.5</v>
      </c>
      <c r="J2246" s="3" t="inlineStr">
        <is>
          <t>연서면</t>
        </is>
      </c>
    </row>
    <row r="2247">
      <c r="A2247" s="3" t="n">
        <v>2022</v>
      </c>
      <c r="B2247" s="4" t="n">
        <v>12988</v>
      </c>
      <c r="C2247" s="4" t="n">
        <v>43</v>
      </c>
      <c r="D2247" s="3" t="inlineStr">
        <is>
          <t>연서면</t>
        </is>
      </c>
      <c r="E2247" s="3" t="inlineStr">
        <is>
          <t>봉암리</t>
        </is>
      </c>
      <c r="F2247" s="3" t="inlineStr">
        <is>
          <t>농림지역</t>
        </is>
      </c>
      <c r="G2247" s="3" t="inlineStr">
        <is>
          <t>답</t>
        </is>
      </c>
      <c r="H2247" s="4" t="n">
        <v>13.0075</v>
      </c>
      <c r="I2247" s="5" t="n">
        <v>998.5</v>
      </c>
      <c r="J2247" s="3" t="inlineStr">
        <is>
          <t>연서면</t>
        </is>
      </c>
    </row>
    <row r="2248">
      <c r="A2248" s="3" t="n">
        <v>2022</v>
      </c>
      <c r="B2248" s="4" t="n">
        <v>600</v>
      </c>
      <c r="C2248" s="4" t="n">
        <v>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도로</t>
        </is>
      </c>
      <c r="H2248" s="4" t="n">
        <v>1.815</v>
      </c>
      <c r="I2248" s="5" t="n">
        <v>330.6</v>
      </c>
      <c r="J2248" s="3" t="inlineStr">
        <is>
          <t>조치원읍</t>
        </is>
      </c>
    </row>
    <row r="2249">
      <c r="A2249" s="3" t="n">
        <v>2022</v>
      </c>
      <c r="B2249" s="4" t="n">
        <v>21447</v>
      </c>
      <c r="C2249" s="4" t="n">
        <v>71</v>
      </c>
      <c r="D2249" s="3" t="inlineStr">
        <is>
          <t>연서면</t>
        </is>
      </c>
      <c r="E2249" s="3" t="inlineStr">
        <is>
          <t>봉암리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21.4775</v>
      </c>
      <c r="I2249" s="5" t="n">
        <v>998.6</v>
      </c>
      <c r="J2249" s="3" t="inlineStr">
        <is>
          <t>연서면</t>
        </is>
      </c>
    </row>
    <row r="2250">
      <c r="A2250" s="3" t="n">
        <v>2022</v>
      </c>
      <c r="B2250" s="4" t="n">
        <v>17820</v>
      </c>
      <c r="C2250" s="4" t="n">
        <v>59</v>
      </c>
      <c r="D2250" s="3" t="inlineStr">
        <is>
          <t>연서면</t>
        </is>
      </c>
      <c r="E2250" s="3" t="inlineStr">
        <is>
          <t>봉암리</t>
        </is>
      </c>
      <c r="F2250" s="3" t="inlineStr">
        <is>
          <t>계획관리지역</t>
        </is>
      </c>
      <c r="G2250" s="3" t="inlineStr">
        <is>
          <t>답</t>
        </is>
      </c>
      <c r="H2250" s="4" t="n">
        <v>17.8475</v>
      </c>
      <c r="I2250" s="5" t="n">
        <v>998.5</v>
      </c>
      <c r="J2250" s="3" t="inlineStr">
        <is>
          <t>연서면</t>
        </is>
      </c>
    </row>
    <row r="2251">
      <c r="A2251" s="3" t="n">
        <v>2022</v>
      </c>
      <c r="B2251" s="4" t="n">
        <v>41076</v>
      </c>
      <c r="C2251" s="4" t="n">
        <v>136</v>
      </c>
      <c r="D2251" s="3" t="inlineStr">
        <is>
          <t>연서면</t>
        </is>
      </c>
      <c r="E2251" s="3" t="inlineStr">
        <is>
          <t>봉암리</t>
        </is>
      </c>
      <c r="F2251" s="3" t="inlineStr">
        <is>
          <t>계획관리지역</t>
        </is>
      </c>
      <c r="G2251" s="3" t="inlineStr">
        <is>
          <t>답</t>
        </is>
      </c>
      <c r="H2251" s="4" t="n">
        <v>41.14</v>
      </c>
      <c r="I2251" s="5" t="n">
        <v>998.4</v>
      </c>
      <c r="J2251" s="3" t="inlineStr">
        <is>
          <t>연서면</t>
        </is>
      </c>
    </row>
    <row r="2252">
      <c r="A2252" s="3" t="n">
        <v>2022</v>
      </c>
      <c r="B2252" s="4" t="n">
        <v>21747</v>
      </c>
      <c r="C2252" s="4" t="n">
        <v>72</v>
      </c>
      <c r="D2252" s="3" t="inlineStr">
        <is>
          <t>연서면</t>
        </is>
      </c>
      <c r="E2252" s="3" t="inlineStr">
        <is>
          <t>봉암리</t>
        </is>
      </c>
      <c r="F2252" s="3" t="inlineStr">
        <is>
          <t>계획관리지역</t>
        </is>
      </c>
      <c r="G2252" s="3" t="inlineStr">
        <is>
          <t>답</t>
        </is>
      </c>
      <c r="H2252" s="4" t="n">
        <v>21.78</v>
      </c>
      <c r="I2252" s="5" t="n">
        <v>998.5</v>
      </c>
      <c r="J2252" s="3" t="inlineStr">
        <is>
          <t>연서면</t>
        </is>
      </c>
    </row>
    <row r="2253">
      <c r="A2253" s="3" t="n">
        <v>2022</v>
      </c>
      <c r="B2253" s="4" t="n">
        <v>32922</v>
      </c>
      <c r="C2253" s="4" t="n">
        <v>109</v>
      </c>
      <c r="D2253" s="3" t="inlineStr">
        <is>
          <t>연서면</t>
        </is>
      </c>
      <c r="E2253" s="3" t="inlineStr">
        <is>
          <t>봉암리</t>
        </is>
      </c>
      <c r="F2253" s="3" t="inlineStr">
        <is>
          <t>계획관리지역</t>
        </is>
      </c>
      <c r="G2253" s="3" t="inlineStr">
        <is>
          <t>답</t>
        </is>
      </c>
      <c r="H2253" s="4" t="n">
        <v>32.9725</v>
      </c>
      <c r="I2253" s="5" t="n">
        <v>998.5</v>
      </c>
      <c r="J2253" s="3" t="inlineStr">
        <is>
          <t>연서면</t>
        </is>
      </c>
    </row>
    <row r="2254">
      <c r="A2254" s="3" t="n">
        <v>2022</v>
      </c>
      <c r="B2254" s="4" t="n">
        <v>12988</v>
      </c>
      <c r="C2254" s="4" t="n">
        <v>43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13.0075</v>
      </c>
      <c r="I2254" s="5" t="n">
        <v>998.5</v>
      </c>
      <c r="J2254" s="3" t="inlineStr">
        <is>
          <t>연서면</t>
        </is>
      </c>
    </row>
    <row r="2255">
      <c r="A2255" s="3" t="n">
        <v>2022</v>
      </c>
      <c r="B2255" s="4" t="n">
        <v>134630</v>
      </c>
      <c r="C2255" s="4" t="n">
        <v>2172</v>
      </c>
      <c r="D2255" s="3" t="inlineStr">
        <is>
          <t>연서면</t>
        </is>
      </c>
      <c r="E2255" s="3" t="inlineStr">
        <is>
          <t>부동리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657.03</v>
      </c>
      <c r="I2255" s="5" t="n">
        <v>204.9</v>
      </c>
      <c r="J2255" s="3" t="inlineStr">
        <is>
          <t>연서면</t>
        </is>
      </c>
    </row>
    <row r="2256">
      <c r="A2256" s="3" t="n">
        <v>2026</v>
      </c>
      <c r="B2256" s="4" t="n">
        <v>26500</v>
      </c>
      <c r="C2256" s="4" t="n">
        <v>1246</v>
      </c>
      <c r="D2256" s="3" t="inlineStr">
        <is>
          <t>연서면</t>
        </is>
      </c>
      <c r="E2256" s="3" t="inlineStr">
        <is>
          <t>신대리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376.915</v>
      </c>
      <c r="I2256" s="5" t="n">
        <v>70.3</v>
      </c>
      <c r="J2256" s="3" t="inlineStr">
        <is>
          <t>연서면</t>
        </is>
      </c>
    </row>
    <row r="2257">
      <c r="A2257" s="3" t="n">
        <v>2022</v>
      </c>
      <c r="B2257" s="4" t="n">
        <v>2200</v>
      </c>
      <c r="C2257" s="4" t="n">
        <v>112</v>
      </c>
      <c r="D2257" s="3" t="inlineStr">
        <is>
          <t>연서면</t>
        </is>
      </c>
      <c r="E2257" s="3" t="inlineStr">
        <is>
          <t>성제리</t>
        </is>
      </c>
      <c r="F2257" s="3" t="inlineStr">
        <is>
          <t>자연녹지지역</t>
        </is>
      </c>
      <c r="G2257" s="3" t="inlineStr">
        <is>
          <t>전</t>
        </is>
      </c>
      <c r="H2257" s="4" t="n">
        <v>33.88</v>
      </c>
      <c r="I2257" s="5" t="n">
        <v>64.90000000000001</v>
      </c>
      <c r="J2257" s="3" t="inlineStr">
        <is>
          <t>연서면</t>
        </is>
      </c>
    </row>
    <row r="2258">
      <c r="A2258" s="3" t="n">
        <v>2022</v>
      </c>
      <c r="B2258" s="4" t="n">
        <v>47000</v>
      </c>
      <c r="C2258" s="4" t="n">
        <v>585</v>
      </c>
      <c r="D2258" s="3" t="inlineStr">
        <is>
          <t>연동면</t>
        </is>
      </c>
      <c r="E2258" s="3" t="inlineStr">
        <is>
          <t>문주리</t>
        </is>
      </c>
      <c r="F2258" s="3" t="inlineStr">
        <is>
          <t>계획관리지역</t>
        </is>
      </c>
      <c r="G2258" s="3" t="inlineStr">
        <is>
          <t>대</t>
        </is>
      </c>
      <c r="H2258" s="4" t="n">
        <v>176.9625</v>
      </c>
      <c r="I2258" s="5" t="n">
        <v>265.6</v>
      </c>
      <c r="J2258" s="3" t="inlineStr">
        <is>
          <t>연동면</t>
        </is>
      </c>
    </row>
    <row r="2259">
      <c r="A2259" s="3" t="n">
        <v>2022</v>
      </c>
      <c r="B2259" s="4" t="n">
        <v>77400</v>
      </c>
      <c r="C2259" s="4" t="n">
        <v>854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계획관리지역</t>
        </is>
      </c>
      <c r="G2259" s="3" t="inlineStr">
        <is>
          <t>공장용지</t>
        </is>
      </c>
      <c r="H2259" s="4" t="n">
        <v>258.335</v>
      </c>
      <c r="I2259" s="5" t="n">
        <v>299.6</v>
      </c>
      <c r="J2259" s="3" t="inlineStr">
        <is>
          <t>부강면</t>
        </is>
      </c>
    </row>
    <row r="2260">
      <c r="A2260" s="3" t="n">
        <v>2022</v>
      </c>
      <c r="B2260" s="4" t="n">
        <v>53000</v>
      </c>
      <c r="C2260" s="4" t="n">
        <v>608</v>
      </c>
      <c r="D2260" s="3" t="inlineStr">
        <is>
          <t>연동면</t>
        </is>
      </c>
      <c r="E2260" s="3" t="inlineStr">
        <is>
          <t>문주리</t>
        </is>
      </c>
      <c r="F2260" s="3" t="inlineStr">
        <is>
          <t>계획관리지역</t>
        </is>
      </c>
      <c r="G2260" s="3" t="inlineStr">
        <is>
          <t>전</t>
        </is>
      </c>
      <c r="H2260" s="4" t="n">
        <v>183.92</v>
      </c>
      <c r="I2260" s="5" t="n">
        <v>288.2</v>
      </c>
      <c r="J2260" s="3" t="inlineStr">
        <is>
          <t>연동면</t>
        </is>
      </c>
    </row>
    <row r="2261">
      <c r="A2261" s="3" t="n">
        <v>2025</v>
      </c>
      <c r="B2261" s="4" t="n">
        <v>38000</v>
      </c>
      <c r="C2261" s="4" t="n">
        <v>157</v>
      </c>
      <c r="D2261" s="3" t="inlineStr">
        <is>
          <t>반곡동</t>
        </is>
      </c>
      <c r="E2261" s="3" t="inlineStr"/>
      <c r="F2261" s="3" t="inlineStr">
        <is>
          <t>제1종전용주거지역</t>
        </is>
      </c>
      <c r="G2261" s="3" t="inlineStr">
        <is>
          <t>대</t>
        </is>
      </c>
      <c r="H2261" s="4" t="n">
        <v>47.4925</v>
      </c>
      <c r="I2261" s="5" t="n">
        <v>800.1</v>
      </c>
      <c r="J2261" s="3" t="inlineStr">
        <is>
          <t>반곡동</t>
        </is>
      </c>
    </row>
    <row r="2262">
      <c r="A2262" s="3" t="n">
        <v>2025</v>
      </c>
      <c r="B2262" s="4" t="n">
        <v>2880</v>
      </c>
      <c r="C2262" s="4" t="n">
        <v>476</v>
      </c>
      <c r="D2262" s="3" t="inlineStr">
        <is>
          <t>부강면</t>
        </is>
      </c>
      <c r="E2262" s="3" t="inlineStr">
        <is>
          <t>문곡리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143.99</v>
      </c>
      <c r="I2262" s="5" t="n">
        <v>20</v>
      </c>
      <c r="J2262" s="3" t="inlineStr">
        <is>
          <t>부강면</t>
        </is>
      </c>
    </row>
    <row r="2263">
      <c r="A2263" s="3" t="n">
        <v>2025</v>
      </c>
      <c r="B2263" s="4" t="n">
        <v>500</v>
      </c>
      <c r="C2263" s="4" t="n">
        <v>112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33.88</v>
      </c>
      <c r="I2263" s="5" t="n">
        <v>14.8</v>
      </c>
      <c r="J2263" s="3" t="inlineStr">
        <is>
          <t>부강면</t>
        </is>
      </c>
    </row>
    <row r="2264">
      <c r="A2264" s="3" t="n">
        <v>2025</v>
      </c>
      <c r="B2264" s="4" t="n">
        <v>4900</v>
      </c>
      <c r="C2264" s="4" t="n">
        <v>1098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332.145</v>
      </c>
      <c r="I2264" s="5" t="n">
        <v>14.8</v>
      </c>
      <c r="J2264" s="3" t="inlineStr">
        <is>
          <t>부강면</t>
        </is>
      </c>
    </row>
    <row r="2265">
      <c r="A2265" s="3" t="n">
        <v>2025</v>
      </c>
      <c r="B2265" s="4" t="n">
        <v>353</v>
      </c>
      <c r="C2265" s="4" t="n">
        <v>79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23.8975</v>
      </c>
      <c r="I2265" s="5" t="n">
        <v>14.8</v>
      </c>
      <c r="J2265" s="3" t="inlineStr">
        <is>
          <t>부강면</t>
        </is>
      </c>
    </row>
    <row r="2266">
      <c r="A2266" s="3" t="n">
        <v>2025</v>
      </c>
      <c r="B2266" s="4" t="n">
        <v>3062</v>
      </c>
      <c r="C2266" s="4" t="n">
        <v>724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219.01</v>
      </c>
      <c r="I2266" s="5" t="n">
        <v>14</v>
      </c>
      <c r="J2266" s="3" t="inlineStr">
        <is>
          <t>부강면</t>
        </is>
      </c>
    </row>
    <row r="2267">
      <c r="A2267" s="3" t="n">
        <v>2025</v>
      </c>
      <c r="B2267" s="4" t="n">
        <v>3311</v>
      </c>
      <c r="C2267" s="4" t="n">
        <v>446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134.915</v>
      </c>
      <c r="I2267" s="5" t="n">
        <v>24.5</v>
      </c>
      <c r="J2267" s="3" t="inlineStr">
        <is>
          <t>부강면</t>
        </is>
      </c>
    </row>
    <row r="2268">
      <c r="A2268" s="3" t="n">
        <v>2025</v>
      </c>
      <c r="B2268" s="4" t="n">
        <v>6994</v>
      </c>
      <c r="C2268" s="4" t="n">
        <v>1091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330.0275</v>
      </c>
      <c r="I2268" s="5" t="n">
        <v>21.2</v>
      </c>
      <c r="J2268" s="3" t="inlineStr">
        <is>
          <t>부강면</t>
        </is>
      </c>
    </row>
    <row r="2269">
      <c r="A2269" s="3" t="n">
        <v>2025</v>
      </c>
      <c r="B2269" s="4" t="n">
        <v>21500</v>
      </c>
      <c r="C2269" s="4" t="n">
        <v>9917</v>
      </c>
      <c r="D2269" s="3" t="inlineStr">
        <is>
          <t>연서면</t>
        </is>
      </c>
      <c r="E2269" s="3" t="inlineStr">
        <is>
          <t>기룡리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2999.8925</v>
      </c>
      <c r="I2269" s="5" t="n">
        <v>7.2</v>
      </c>
      <c r="J2269" s="3" t="inlineStr">
        <is>
          <t>연서면</t>
        </is>
      </c>
    </row>
    <row r="2270">
      <c r="A2270" s="3" t="n">
        <v>2025</v>
      </c>
      <c r="B2270" s="4" t="n">
        <v>464412</v>
      </c>
      <c r="C2270" s="4" t="n">
        <v>10488.9</v>
      </c>
      <c r="D2270" s="3" t="inlineStr">
        <is>
          <t>연동면</t>
        </is>
      </c>
      <c r="E2270" s="3" t="inlineStr">
        <is>
          <t>내판리</t>
        </is>
      </c>
      <c r="F2270" s="3" t="inlineStr">
        <is>
          <t>일반공업지역</t>
        </is>
      </c>
      <c r="G2270" s="3" t="inlineStr">
        <is>
          <t>공장용지</t>
        </is>
      </c>
      <c r="H2270" s="4" t="n">
        <v>3172.89225</v>
      </c>
      <c r="I2270" s="5" t="n">
        <v>146.4</v>
      </c>
      <c r="J2270" s="3" t="inlineStr">
        <is>
          <t>연동면</t>
        </is>
      </c>
    </row>
    <row r="2271">
      <c r="A2271" s="3" t="n">
        <v>2025</v>
      </c>
      <c r="B2271" s="4" t="n">
        <v>49000</v>
      </c>
      <c r="C2271" s="4" t="n">
        <v>299.6</v>
      </c>
      <c r="D2271" s="3" t="inlineStr">
        <is>
          <t>해밀동</t>
        </is>
      </c>
      <c r="E2271" s="3" t="inlineStr"/>
      <c r="F2271" s="3" t="inlineStr">
        <is>
          <t>제1종전용주거지역</t>
        </is>
      </c>
      <c r="G2271" s="3" t="inlineStr">
        <is>
          <t>대</t>
        </is>
      </c>
      <c r="H2271" s="4" t="n">
        <v>90.629</v>
      </c>
      <c r="I2271" s="5" t="n">
        <v>540.7</v>
      </c>
      <c r="J2271" s="3" t="inlineStr">
        <is>
          <t>해밀동</t>
        </is>
      </c>
    </row>
    <row r="2272">
      <c r="A2272" s="3" t="n">
        <v>2025</v>
      </c>
      <c r="B2272" s="4" t="n">
        <v>10200</v>
      </c>
      <c r="C2272" s="4" t="n">
        <v>710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214.775</v>
      </c>
      <c r="I2272" s="5" t="n">
        <v>47.5</v>
      </c>
      <c r="J2272" s="3" t="inlineStr">
        <is>
          <t>연서면</t>
        </is>
      </c>
    </row>
    <row r="2273">
      <c r="A2273" s="3" t="n">
        <v>2025</v>
      </c>
      <c r="B2273" s="4" t="n">
        <v>100</v>
      </c>
      <c r="C2273" s="4" t="n">
        <v>8</v>
      </c>
      <c r="D2273" s="3" t="inlineStr">
        <is>
          <t>연서면</t>
        </is>
      </c>
      <c r="E2273" s="3" t="inlineStr">
        <is>
          <t>기룡리</t>
        </is>
      </c>
      <c r="F2273" s="3" t="inlineStr">
        <is>
          <t>보전관리지역</t>
        </is>
      </c>
      <c r="G2273" s="3" t="inlineStr">
        <is>
          <t>도로</t>
        </is>
      </c>
      <c r="H2273" s="4" t="n">
        <v>2.42</v>
      </c>
      <c r="I2273" s="5" t="n">
        <v>41.3</v>
      </c>
      <c r="J2273" s="3" t="inlineStr">
        <is>
          <t>연서면</t>
        </is>
      </c>
    </row>
    <row r="2274">
      <c r="A2274" s="3" t="n">
        <v>2022</v>
      </c>
      <c r="B2274" s="4" t="n">
        <v>1800</v>
      </c>
      <c r="C2274" s="4" t="n">
        <v>50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15.125</v>
      </c>
      <c r="I2274" s="5" t="n">
        <v>119</v>
      </c>
      <c r="J2274" s="3" t="inlineStr">
        <is>
          <t>강내면</t>
        </is>
      </c>
    </row>
    <row r="2275">
      <c r="A2275" s="3" t="n">
        <v>2022</v>
      </c>
      <c r="B2275" s="4" t="n">
        <v>12000</v>
      </c>
      <c r="C2275" s="4" t="n">
        <v>493</v>
      </c>
      <c r="D2275" s="3" t="inlineStr">
        <is>
          <t>강내면</t>
        </is>
      </c>
      <c r="E2275" s="3" t="inlineStr">
        <is>
          <t>궁현리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149.1325</v>
      </c>
      <c r="I2275" s="5" t="n">
        <v>80.5</v>
      </c>
      <c r="J2275" s="3" t="inlineStr">
        <is>
          <t>강내면</t>
        </is>
      </c>
    </row>
    <row r="2276">
      <c r="A2276" s="3" t="n">
        <v>2022</v>
      </c>
      <c r="B2276" s="4" t="n">
        <v>12662</v>
      </c>
      <c r="C2276" s="4" t="n">
        <v>2123</v>
      </c>
      <c r="D2276" s="3" t="inlineStr">
        <is>
          <t>강내면</t>
        </is>
      </c>
      <c r="E2276" s="3" t="inlineStr">
        <is>
          <t>사곡리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642.2075</v>
      </c>
      <c r="I2276" s="5" t="n">
        <v>19.7</v>
      </c>
      <c r="J2276" s="3" t="inlineStr">
        <is>
          <t>강내면</t>
        </is>
      </c>
    </row>
    <row r="2277">
      <c r="A2277" s="3" t="n">
        <v>2022</v>
      </c>
      <c r="B2277" s="4" t="n">
        <v>2742</v>
      </c>
      <c r="C2277" s="4" t="n">
        <v>298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자연녹지지역</t>
        </is>
      </c>
      <c r="G2277" s="3" t="inlineStr">
        <is>
          <t>공장용지</t>
        </is>
      </c>
      <c r="H2277" s="4" t="n">
        <v>90.145</v>
      </c>
      <c r="I2277" s="5" t="n">
        <v>30.4</v>
      </c>
      <c r="J2277" s="3" t="inlineStr">
        <is>
          <t>강내면</t>
        </is>
      </c>
    </row>
    <row r="2278">
      <c r="A2278" s="3" t="n">
        <v>2022</v>
      </c>
      <c r="B2278" s="4" t="n">
        <v>30000</v>
      </c>
      <c r="C2278" s="4" t="n">
        <v>287.2</v>
      </c>
      <c r="D2278" s="3" t="inlineStr">
        <is>
          <t>오송읍</t>
        </is>
      </c>
      <c r="E2278" s="3" t="inlineStr">
        <is>
          <t>봉산리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86.878</v>
      </c>
      <c r="I2278" s="5" t="n">
        <v>345.3</v>
      </c>
      <c r="J2278" s="3" t="inlineStr">
        <is>
          <t>오송읍</t>
        </is>
      </c>
    </row>
    <row r="2279">
      <c r="A2279" s="3" t="n">
        <v>2022</v>
      </c>
      <c r="B2279" s="4" t="n">
        <v>43900</v>
      </c>
      <c r="C2279" s="4" t="n">
        <v>4651</v>
      </c>
      <c r="D2279" s="3" t="inlineStr">
        <is>
          <t>강내면</t>
        </is>
      </c>
      <c r="E2279" s="3" t="inlineStr">
        <is>
          <t>저산리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1406.9275</v>
      </c>
      <c r="I2279" s="5" t="n">
        <v>31.2</v>
      </c>
      <c r="J2279" s="3" t="inlineStr">
        <is>
          <t>강내면</t>
        </is>
      </c>
    </row>
    <row r="2280">
      <c r="A2280" s="3" t="n">
        <v>2022</v>
      </c>
      <c r="B2280" s="4" t="n">
        <v>2900</v>
      </c>
      <c r="C2280" s="4" t="n">
        <v>309</v>
      </c>
      <c r="D2280" s="3" t="inlineStr">
        <is>
          <t>강내면</t>
        </is>
      </c>
      <c r="E2280" s="3" t="inlineStr">
        <is>
          <t>저산리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93.4725</v>
      </c>
      <c r="I2280" s="5" t="n">
        <v>31</v>
      </c>
      <c r="J2280" s="3" t="inlineStr">
        <is>
          <t>강내면</t>
        </is>
      </c>
    </row>
    <row r="2281">
      <c r="A2281" s="3" t="n">
        <v>2022</v>
      </c>
      <c r="B2281" s="4" t="n">
        <v>1200</v>
      </c>
      <c r="C2281" s="4" t="n">
        <v>616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186.34</v>
      </c>
      <c r="I2281" s="5" t="n">
        <v>6.4</v>
      </c>
      <c r="J2281" s="3" t="inlineStr">
        <is>
          <t>강내면</t>
        </is>
      </c>
    </row>
    <row r="2282">
      <c r="A2282" s="3" t="n">
        <v>2022</v>
      </c>
      <c r="B2282" s="4" t="n">
        <v>11500</v>
      </c>
      <c r="C2282" s="4" t="n">
        <v>403</v>
      </c>
      <c r="D2282" s="3" t="inlineStr">
        <is>
          <t>오송읍</t>
        </is>
      </c>
      <c r="E2282" s="3" t="inlineStr">
        <is>
          <t>동평리</t>
        </is>
      </c>
      <c r="F2282" s="3" t="inlineStr">
        <is>
          <t>농림지역</t>
        </is>
      </c>
      <c r="G2282" s="3" t="inlineStr">
        <is>
          <t>전</t>
        </is>
      </c>
      <c r="H2282" s="4" t="n">
        <v>121.9075</v>
      </c>
      <c r="I2282" s="5" t="n">
        <v>94.3</v>
      </c>
      <c r="J2282" s="3" t="inlineStr">
        <is>
          <t>오송읍</t>
        </is>
      </c>
    </row>
    <row r="2283">
      <c r="A2283" s="3" t="n">
        <v>2025</v>
      </c>
      <c r="B2283" s="4" t="n">
        <v>3667250</v>
      </c>
      <c r="C2283" s="4" t="n">
        <v>12106</v>
      </c>
      <c r="D2283" s="3" t="inlineStr">
        <is>
          <t>집현동</t>
        </is>
      </c>
      <c r="E2283" s="3" t="inlineStr"/>
      <c r="F2283" s="3" t="inlineStr">
        <is>
          <t>일반상업지역</t>
        </is>
      </c>
      <c r="G2283" s="3" t="inlineStr">
        <is>
          <t>대</t>
        </is>
      </c>
      <c r="H2283" s="4" t="n">
        <v>3662.065</v>
      </c>
      <c r="I2283" s="5" t="n">
        <v>1001.4</v>
      </c>
      <c r="J2283" s="3" t="inlineStr">
        <is>
          <t>집현동</t>
        </is>
      </c>
    </row>
    <row r="2284">
      <c r="A2284" s="3" t="n">
        <v>2025</v>
      </c>
      <c r="B2284" s="4" t="n">
        <v>45000</v>
      </c>
      <c r="C2284" s="4" t="n">
        <v>315</v>
      </c>
      <c r="D2284" s="3" t="inlineStr">
        <is>
          <t>조치원읍</t>
        </is>
      </c>
      <c r="E2284" s="3" t="inlineStr">
        <is>
          <t>신안리</t>
        </is>
      </c>
      <c r="F2284" s="3" t="inlineStr">
        <is>
          <t>제2종일반주거지역</t>
        </is>
      </c>
      <c r="G2284" s="3" t="inlineStr">
        <is>
          <t>전</t>
        </is>
      </c>
      <c r="H2284" s="4" t="n">
        <v>95.28749999999999</v>
      </c>
      <c r="I2284" s="5" t="n">
        <v>472.3</v>
      </c>
      <c r="J2284" s="3" t="inlineStr">
        <is>
          <t>조치원읍</t>
        </is>
      </c>
    </row>
    <row r="2285">
      <c r="A2285" s="3" t="n">
        <v>2025</v>
      </c>
      <c r="B2285" s="4" t="n">
        <v>37655</v>
      </c>
      <c r="C2285" s="4" t="n">
        <v>307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제2종일반주거지역</t>
        </is>
      </c>
      <c r="G2285" s="3" t="inlineStr">
        <is>
          <t>대</t>
        </is>
      </c>
      <c r="H2285" s="4" t="n">
        <v>92.86749999999999</v>
      </c>
      <c r="I2285" s="5" t="n">
        <v>405.5</v>
      </c>
      <c r="J2285" s="3" t="inlineStr">
        <is>
          <t>조치원읍</t>
        </is>
      </c>
    </row>
    <row r="2286">
      <c r="A2286" s="3" t="n">
        <v>2025</v>
      </c>
      <c r="B2286" s="4" t="n">
        <v>5887</v>
      </c>
      <c r="C2286" s="4" t="n">
        <v>48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14.52</v>
      </c>
      <c r="I2286" s="5" t="n">
        <v>405.4</v>
      </c>
      <c r="J2286" s="3" t="inlineStr">
        <is>
          <t>조치원읍</t>
        </is>
      </c>
    </row>
    <row r="2287">
      <c r="A2287" s="3" t="n">
        <v>2025</v>
      </c>
      <c r="B2287" s="4" t="n">
        <v>20605</v>
      </c>
      <c r="C2287" s="4" t="n">
        <v>168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50.82</v>
      </c>
      <c r="I2287" s="5" t="n">
        <v>405.5</v>
      </c>
      <c r="J2287" s="3" t="inlineStr">
        <is>
          <t>조치원읍</t>
        </is>
      </c>
    </row>
    <row r="2288">
      <c r="A2288" s="3" t="n">
        <v>2025</v>
      </c>
      <c r="B2288" s="4" t="n">
        <v>39130</v>
      </c>
      <c r="C2288" s="4" t="n">
        <v>319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제2종일반주거지역</t>
        </is>
      </c>
      <c r="G2288" s="3" t="inlineStr">
        <is>
          <t>답</t>
        </is>
      </c>
      <c r="H2288" s="4" t="n">
        <v>96.4975</v>
      </c>
      <c r="I2288" s="5" t="n">
        <v>405.5</v>
      </c>
      <c r="J2288" s="3" t="inlineStr">
        <is>
          <t>조치원읍</t>
        </is>
      </c>
    </row>
    <row r="2289">
      <c r="A2289" s="3" t="n">
        <v>2025</v>
      </c>
      <c r="B2289" s="4" t="n">
        <v>42683</v>
      </c>
      <c r="C2289" s="4" t="n">
        <v>348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제2종일반주거지역</t>
        </is>
      </c>
      <c r="G2289" s="3" t="inlineStr">
        <is>
          <t>답</t>
        </is>
      </c>
      <c r="H2289" s="4" t="n">
        <v>105.27</v>
      </c>
      <c r="I2289" s="5" t="n">
        <v>405.5</v>
      </c>
      <c r="J2289" s="3" t="inlineStr">
        <is>
          <t>조치원읍</t>
        </is>
      </c>
    </row>
    <row r="2290">
      <c r="A2290" s="3" t="n">
        <v>2025</v>
      </c>
      <c r="B2290" s="4" t="n">
        <v>2207</v>
      </c>
      <c r="C2290" s="4" t="n">
        <v>18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5.445</v>
      </c>
      <c r="I2290" s="5" t="n">
        <v>405.3</v>
      </c>
      <c r="J2290" s="3" t="inlineStr">
        <is>
          <t>조치원읍</t>
        </is>
      </c>
    </row>
    <row r="2291">
      <c r="A2291" s="3" t="n">
        <v>2025</v>
      </c>
      <c r="B2291" s="4" t="n">
        <v>33974</v>
      </c>
      <c r="C2291" s="4" t="n">
        <v>277</v>
      </c>
      <c r="D2291" s="3" t="inlineStr">
        <is>
          <t>조치원읍</t>
        </is>
      </c>
      <c r="E2291" s="3" t="inlineStr">
        <is>
          <t>신안리</t>
        </is>
      </c>
      <c r="F2291" s="3" t="inlineStr">
        <is>
          <t>제2종일반주거지역</t>
        </is>
      </c>
      <c r="G2291" s="3" t="inlineStr">
        <is>
          <t>답</t>
        </is>
      </c>
      <c r="H2291" s="4" t="n">
        <v>83.7925</v>
      </c>
      <c r="I2291" s="5" t="n">
        <v>405.5</v>
      </c>
      <c r="J2291" s="3" t="inlineStr">
        <is>
          <t>조치원읍</t>
        </is>
      </c>
    </row>
    <row r="2292">
      <c r="A2292" s="3" t="n">
        <v>2025</v>
      </c>
      <c r="B2292" s="4" t="n">
        <v>37286</v>
      </c>
      <c r="C2292" s="4" t="n">
        <v>304</v>
      </c>
      <c r="D2292" s="3" t="inlineStr">
        <is>
          <t>조치원읍</t>
        </is>
      </c>
      <c r="E2292" s="3" t="inlineStr">
        <is>
          <t>신안리</t>
        </is>
      </c>
      <c r="F2292" s="3" t="inlineStr">
        <is>
          <t>제2종일반주거지역</t>
        </is>
      </c>
      <c r="G2292" s="3" t="inlineStr">
        <is>
          <t>전</t>
        </is>
      </c>
      <c r="H2292" s="4" t="n">
        <v>91.95999999999999</v>
      </c>
      <c r="I2292" s="5" t="n">
        <v>405.5</v>
      </c>
      <c r="J2292" s="3" t="inlineStr">
        <is>
          <t>조치원읍</t>
        </is>
      </c>
    </row>
    <row r="2293">
      <c r="A2293" s="3" t="n">
        <v>2025</v>
      </c>
      <c r="B2293" s="4" t="n">
        <v>22813</v>
      </c>
      <c r="C2293" s="4" t="n">
        <v>186</v>
      </c>
      <c r="D2293" s="3" t="inlineStr">
        <is>
          <t>조치원읍</t>
        </is>
      </c>
      <c r="E2293" s="3" t="inlineStr">
        <is>
          <t>신안리</t>
        </is>
      </c>
      <c r="F2293" s="3" t="inlineStr">
        <is>
          <t>제2종일반주거지역</t>
        </is>
      </c>
      <c r="G2293" s="3" t="inlineStr">
        <is>
          <t>대</t>
        </is>
      </c>
      <c r="H2293" s="4" t="n">
        <v>56.265</v>
      </c>
      <c r="I2293" s="5" t="n">
        <v>405.5</v>
      </c>
      <c r="J2293" s="3" t="inlineStr">
        <is>
          <t>조치원읍</t>
        </is>
      </c>
    </row>
    <row r="2294">
      <c r="A2294" s="3" t="n">
        <v>2025</v>
      </c>
      <c r="B2294" s="4" t="n">
        <v>38758</v>
      </c>
      <c r="C2294" s="4" t="n">
        <v>316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95.59</v>
      </c>
      <c r="I2294" s="5" t="n">
        <v>405.5</v>
      </c>
      <c r="J2294" s="3" t="inlineStr">
        <is>
          <t>조치원읍</t>
        </is>
      </c>
    </row>
    <row r="2295">
      <c r="A2295" s="3" t="n">
        <v>2025</v>
      </c>
      <c r="B2295" s="4" t="n">
        <v>39249</v>
      </c>
      <c r="C2295" s="4" t="n">
        <v>320</v>
      </c>
      <c r="D2295" s="3" t="inlineStr">
        <is>
          <t>조치원읍</t>
        </is>
      </c>
      <c r="E2295" s="3" t="inlineStr">
        <is>
          <t>신안리</t>
        </is>
      </c>
      <c r="F2295" s="3" t="inlineStr">
        <is>
          <t>제2종일반주거지역</t>
        </is>
      </c>
      <c r="G2295" s="3" t="inlineStr">
        <is>
          <t>답</t>
        </is>
      </c>
      <c r="H2295" s="4" t="n">
        <v>96.8</v>
      </c>
      <c r="I2295" s="5" t="n">
        <v>405.5</v>
      </c>
      <c r="J2295" s="3" t="inlineStr">
        <is>
          <t>조치원읍</t>
        </is>
      </c>
    </row>
    <row r="2296">
      <c r="A2296" s="3" t="n">
        <v>2025</v>
      </c>
      <c r="B2296" s="4" t="n">
        <v>12633</v>
      </c>
      <c r="C2296" s="4" t="n">
        <v>103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제2종일반주거지역</t>
        </is>
      </c>
      <c r="G2296" s="3" t="inlineStr">
        <is>
          <t>답</t>
        </is>
      </c>
      <c r="H2296" s="4" t="n">
        <v>31.1575</v>
      </c>
      <c r="I2296" s="5" t="n">
        <v>405.5</v>
      </c>
      <c r="J2296" s="3" t="inlineStr">
        <is>
          <t>조치원읍</t>
        </is>
      </c>
    </row>
    <row r="2297">
      <c r="A2297" s="3" t="n">
        <v>2025</v>
      </c>
      <c r="B2297" s="4" t="n">
        <v>52740</v>
      </c>
      <c r="C2297" s="4" t="n">
        <v>430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제2종일반주거지역</t>
        </is>
      </c>
      <c r="G2297" s="3" t="inlineStr">
        <is>
          <t>답</t>
        </is>
      </c>
      <c r="H2297" s="4" t="n">
        <v>130.075</v>
      </c>
      <c r="I2297" s="5" t="n">
        <v>405.5</v>
      </c>
      <c r="J2297" s="3" t="inlineStr">
        <is>
          <t>조치원읍</t>
        </is>
      </c>
    </row>
    <row r="2298">
      <c r="A2298" s="3" t="n">
        <v>2025</v>
      </c>
      <c r="B2298" s="4" t="n">
        <v>19380</v>
      </c>
      <c r="C2298" s="4" t="n">
        <v>158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제2종일반주거지역</t>
        </is>
      </c>
      <c r="G2298" s="3" t="inlineStr">
        <is>
          <t>답</t>
        </is>
      </c>
      <c r="H2298" s="4" t="n">
        <v>47.795</v>
      </c>
      <c r="I2298" s="5" t="n">
        <v>405.5</v>
      </c>
      <c r="J2298" s="3" t="inlineStr">
        <is>
          <t>조치원읍</t>
        </is>
      </c>
    </row>
    <row r="2299">
      <c r="A2299" s="3" t="n">
        <v>2026</v>
      </c>
      <c r="B2299" s="4" t="n">
        <v>57000</v>
      </c>
      <c r="C2299" s="4" t="n">
        <v>5136</v>
      </c>
      <c r="D2299" s="3" t="inlineStr">
        <is>
          <t>연동면</t>
        </is>
      </c>
      <c r="E2299" s="3" t="inlineStr">
        <is>
          <t>송용리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1553.64</v>
      </c>
      <c r="I2299" s="5" t="n">
        <v>36.7</v>
      </c>
      <c r="J2299" s="3" t="inlineStr">
        <is>
          <t>연동면</t>
        </is>
      </c>
    </row>
    <row r="2300">
      <c r="A2300" s="3" t="n">
        <v>2024</v>
      </c>
      <c r="B2300" s="4" t="n">
        <v>152800</v>
      </c>
      <c r="C2300" s="4" t="n">
        <v>8782</v>
      </c>
      <c r="D2300" s="3" t="inlineStr">
        <is>
          <t>연서면</t>
        </is>
      </c>
      <c r="E2300" s="3" t="inlineStr">
        <is>
          <t>와촌리</t>
        </is>
      </c>
      <c r="F2300" s="3" t="inlineStr">
        <is>
          <t>계획관리지역</t>
        </is>
      </c>
      <c r="G2300" s="3" t="inlineStr">
        <is>
          <t>임야</t>
        </is>
      </c>
      <c r="H2300" s="4" t="n">
        <v>2656.555</v>
      </c>
      <c r="I2300" s="5" t="n">
        <v>57.5</v>
      </c>
      <c r="J2300" s="3" t="inlineStr">
        <is>
          <t>연서면</t>
        </is>
      </c>
    </row>
    <row r="2301">
      <c r="A2301" s="3" t="n">
        <v>2024</v>
      </c>
      <c r="B2301" s="4" t="n">
        <v>74400</v>
      </c>
      <c r="C2301" s="4" t="n">
        <v>4463</v>
      </c>
      <c r="D2301" s="3" t="inlineStr">
        <is>
          <t>연서면</t>
        </is>
      </c>
      <c r="E2301" s="3" t="inlineStr">
        <is>
          <t>와촌리</t>
        </is>
      </c>
      <c r="F2301" s="3" t="inlineStr">
        <is>
          <t>계획관리지역</t>
        </is>
      </c>
      <c r="G2301" s="3" t="inlineStr">
        <is>
          <t>임야</t>
        </is>
      </c>
      <c r="H2301" s="4" t="n">
        <v>1350.0575</v>
      </c>
      <c r="I2301" s="5" t="n">
        <v>55.1</v>
      </c>
      <c r="J2301" s="3" t="inlineStr">
        <is>
          <t>연서면</t>
        </is>
      </c>
    </row>
    <row r="2302">
      <c r="A2302" s="3" t="n">
        <v>2024</v>
      </c>
      <c r="B2302" s="4" t="n">
        <v>195400</v>
      </c>
      <c r="C2302" s="4" t="n">
        <v>11710</v>
      </c>
      <c r="D2302" s="3" t="inlineStr">
        <is>
          <t>연서면</t>
        </is>
      </c>
      <c r="E2302" s="3" t="inlineStr">
        <is>
          <t>와촌리</t>
        </is>
      </c>
      <c r="F2302" s="3" t="inlineStr">
        <is>
          <t>계획관리지역</t>
        </is>
      </c>
      <c r="G2302" s="3" t="inlineStr">
        <is>
          <t>임야</t>
        </is>
      </c>
      <c r="H2302" s="4" t="n">
        <v>3542.275</v>
      </c>
      <c r="I2302" s="5" t="n">
        <v>55.2</v>
      </c>
      <c r="J2302" s="3" t="inlineStr">
        <is>
          <t>연서면</t>
        </is>
      </c>
    </row>
    <row r="2303">
      <c r="A2303" s="3" t="n">
        <v>2024</v>
      </c>
      <c r="B2303" s="4" t="n">
        <v>25700</v>
      </c>
      <c r="C2303" s="4" t="n">
        <v>1487</v>
      </c>
      <c r="D2303" s="3" t="inlineStr">
        <is>
          <t>연서면</t>
        </is>
      </c>
      <c r="E2303" s="3" t="inlineStr">
        <is>
          <t>와촌리</t>
        </is>
      </c>
      <c r="F2303" s="3" t="inlineStr">
        <is>
          <t>계획관리지역</t>
        </is>
      </c>
      <c r="G2303" s="3" t="inlineStr">
        <is>
          <t>임야</t>
        </is>
      </c>
      <c r="H2303" s="4" t="n">
        <v>449.8175</v>
      </c>
      <c r="I2303" s="5" t="n">
        <v>57.1</v>
      </c>
      <c r="J2303" s="3" t="inlineStr">
        <is>
          <t>연서면</t>
        </is>
      </c>
    </row>
    <row r="2304">
      <c r="A2304" s="3" t="n">
        <v>2024</v>
      </c>
      <c r="B2304" s="4" t="n">
        <v>26700</v>
      </c>
      <c r="C2304" s="4" t="n">
        <v>635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192.0875</v>
      </c>
      <c r="I2304" s="5" t="n">
        <v>139</v>
      </c>
      <c r="J2304" s="3" t="inlineStr">
        <is>
          <t>연서면</t>
        </is>
      </c>
    </row>
    <row r="2305">
      <c r="A2305" s="3" t="n">
        <v>2024</v>
      </c>
      <c r="B2305" s="4" t="n">
        <v>2727</v>
      </c>
      <c r="C2305" s="4" t="n">
        <v>61</v>
      </c>
      <c r="D2305" s="3" t="inlineStr">
        <is>
          <t>조치원읍</t>
        </is>
      </c>
      <c r="E2305" s="3" t="inlineStr">
        <is>
          <t>서창리</t>
        </is>
      </c>
      <c r="F2305" s="3" t="inlineStr">
        <is>
          <t>제1종일반주거지역</t>
        </is>
      </c>
      <c r="G2305" s="3" t="inlineStr">
        <is>
          <t>대</t>
        </is>
      </c>
      <c r="H2305" s="4" t="n">
        <v>18.4525</v>
      </c>
      <c r="I2305" s="5" t="n">
        <v>147.8</v>
      </c>
      <c r="J2305" s="3" t="inlineStr">
        <is>
          <t>조치원읍</t>
        </is>
      </c>
    </row>
    <row r="2306">
      <c r="A2306" s="3" t="n">
        <v>2024</v>
      </c>
      <c r="B2306" s="4" t="n">
        <v>13000</v>
      </c>
      <c r="C2306" s="4" t="n">
        <v>664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200.86</v>
      </c>
      <c r="I2306" s="5" t="n">
        <v>64.7</v>
      </c>
      <c r="J2306" s="3" t="inlineStr">
        <is>
          <t>부강면</t>
        </is>
      </c>
    </row>
    <row r="2307">
      <c r="A2307" s="3" t="n">
        <v>2024</v>
      </c>
      <c r="B2307" s="4" t="n">
        <v>50000</v>
      </c>
      <c r="C2307" s="4" t="n">
        <v>3215</v>
      </c>
      <c r="D2307" s="3" t="inlineStr">
        <is>
          <t>부강면</t>
        </is>
      </c>
      <c r="E2307" s="3" t="inlineStr">
        <is>
          <t>문곡리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972.5375</v>
      </c>
      <c r="I2307" s="5" t="n">
        <v>51.4</v>
      </c>
      <c r="J2307" s="3" t="inlineStr">
        <is>
          <t>부강면</t>
        </is>
      </c>
    </row>
    <row r="2308">
      <c r="A2308" s="3" t="n">
        <v>2024</v>
      </c>
      <c r="B2308" s="4" t="n">
        <v>25000</v>
      </c>
      <c r="C2308" s="4" t="n">
        <v>1761</v>
      </c>
      <c r="D2308" s="3" t="inlineStr">
        <is>
          <t>부강면</t>
        </is>
      </c>
      <c r="E2308" s="3" t="inlineStr">
        <is>
          <t>문곡리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532.7025</v>
      </c>
      <c r="I2308" s="5" t="n">
        <v>46.9</v>
      </c>
      <c r="J2308" s="3" t="inlineStr">
        <is>
          <t>부강면</t>
        </is>
      </c>
    </row>
    <row r="2309">
      <c r="A2309" s="3" t="n">
        <v>2024</v>
      </c>
      <c r="B2309" s="4" t="n">
        <v>6600</v>
      </c>
      <c r="C2309" s="4" t="n">
        <v>559</v>
      </c>
      <c r="D2309" s="3" t="inlineStr">
        <is>
          <t>부강면</t>
        </is>
      </c>
      <c r="E2309" s="3" t="inlineStr">
        <is>
          <t>금호리</t>
        </is>
      </c>
      <c r="F2309" s="3" t="inlineStr">
        <is>
          <t>생산관리지역</t>
        </is>
      </c>
      <c r="G2309" s="3" t="inlineStr">
        <is>
          <t>전</t>
        </is>
      </c>
      <c r="H2309" s="4" t="n">
        <v>169.0975</v>
      </c>
      <c r="I2309" s="5" t="n">
        <v>39</v>
      </c>
      <c r="J2309" s="3" t="inlineStr">
        <is>
          <t>부강면</t>
        </is>
      </c>
    </row>
    <row r="2310">
      <c r="A2310" s="3" t="n">
        <v>2023</v>
      </c>
      <c r="B2310" s="4" t="n">
        <v>54899</v>
      </c>
      <c r="C2310" s="4" t="n">
        <v>458</v>
      </c>
      <c r="D2310" s="3" t="inlineStr">
        <is>
          <t>연동면</t>
        </is>
      </c>
      <c r="E2310" s="3" t="inlineStr">
        <is>
          <t>명학리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138.545</v>
      </c>
      <c r="I2310" s="5" t="n">
        <v>396.3</v>
      </c>
      <c r="J2310" s="3" t="inlineStr">
        <is>
          <t>연동면</t>
        </is>
      </c>
    </row>
    <row r="2311">
      <c r="A2311" s="3" t="n">
        <v>2023</v>
      </c>
      <c r="B2311" s="4" t="n">
        <v>12000</v>
      </c>
      <c r="C2311" s="4" t="n">
        <v>3967</v>
      </c>
      <c r="D2311" s="3" t="inlineStr">
        <is>
          <t>연서면</t>
        </is>
      </c>
      <c r="E2311" s="3" t="inlineStr">
        <is>
          <t>신대리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1200.0175</v>
      </c>
      <c r="I2311" s="5" t="n">
        <v>10</v>
      </c>
      <c r="J2311" s="3" t="inlineStr">
        <is>
          <t>연서면</t>
        </is>
      </c>
    </row>
    <row r="2312">
      <c r="A2312" s="3" t="n">
        <v>2022</v>
      </c>
      <c r="B2312" s="4" t="n">
        <v>600</v>
      </c>
      <c r="C2312" s="4" t="n">
        <v>6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도로</t>
        </is>
      </c>
      <c r="H2312" s="4" t="n">
        <v>1.815</v>
      </c>
      <c r="I2312" s="5" t="n">
        <v>330.6</v>
      </c>
      <c r="J2312" s="3" t="inlineStr">
        <is>
          <t>조치원읍</t>
        </is>
      </c>
    </row>
    <row r="2313">
      <c r="A2313" s="3" t="n">
        <v>2022</v>
      </c>
      <c r="B2313" s="4" t="n">
        <v>1900</v>
      </c>
      <c r="C2313" s="4" t="n">
        <v>27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도로</t>
        </is>
      </c>
      <c r="H2313" s="4" t="n">
        <v>8.1675</v>
      </c>
      <c r="I2313" s="5" t="n">
        <v>232.6</v>
      </c>
      <c r="J2313" s="3" t="inlineStr">
        <is>
          <t>조치원읍</t>
        </is>
      </c>
    </row>
    <row r="2314">
      <c r="A2314" s="3" t="n">
        <v>2022</v>
      </c>
      <c r="B2314" s="4" t="n">
        <v>926554</v>
      </c>
      <c r="C2314" s="4" t="n">
        <v>22483</v>
      </c>
      <c r="D2314" s="3" t="inlineStr">
        <is>
          <t>부강면</t>
        </is>
      </c>
      <c r="E2314" s="3" t="inlineStr">
        <is>
          <t>문곡리</t>
        </is>
      </c>
      <c r="F2314" s="3" t="inlineStr">
        <is>
          <t>계획관리지역</t>
        </is>
      </c>
      <c r="G2314" s="3" t="inlineStr">
        <is>
          <t>임야</t>
        </is>
      </c>
      <c r="H2314" s="4" t="n">
        <v>6801.1075</v>
      </c>
      <c r="I2314" s="5" t="n">
        <v>136.2</v>
      </c>
      <c r="J2314" s="3" t="inlineStr">
        <is>
          <t>부강면</t>
        </is>
      </c>
    </row>
    <row r="2315">
      <c r="A2315" s="3" t="n">
        <v>2022</v>
      </c>
      <c r="B2315" s="4" t="n">
        <v>15595</v>
      </c>
      <c r="C2315" s="4" t="n">
        <v>4195</v>
      </c>
      <c r="D2315" s="3" t="inlineStr">
        <is>
          <t>부강면</t>
        </is>
      </c>
      <c r="E2315" s="3" t="inlineStr">
        <is>
          <t>문곡리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1268.9875</v>
      </c>
      <c r="I2315" s="5" t="n">
        <v>12.3</v>
      </c>
      <c r="J2315" s="3" t="inlineStr">
        <is>
          <t>부강면</t>
        </is>
      </c>
    </row>
    <row r="2316">
      <c r="A2316" s="3" t="n">
        <v>2022</v>
      </c>
      <c r="B2316" s="4" t="n">
        <v>27500</v>
      </c>
      <c r="C2316" s="4" t="n">
        <v>271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81.97749999999999</v>
      </c>
      <c r="I2316" s="5" t="n">
        <v>335.5</v>
      </c>
      <c r="J2316" s="3" t="inlineStr">
        <is>
          <t>조치원읍</t>
        </is>
      </c>
    </row>
    <row r="2317">
      <c r="A2317" s="3" t="n">
        <v>2022</v>
      </c>
      <c r="B2317" s="4" t="n">
        <v>3140</v>
      </c>
      <c r="C2317" s="4" t="n">
        <v>63</v>
      </c>
      <c r="D2317" s="3" t="inlineStr">
        <is>
          <t>부강면</t>
        </is>
      </c>
      <c r="E2317" s="3" t="inlineStr">
        <is>
          <t>갈산리</t>
        </is>
      </c>
      <c r="F2317" s="3" t="inlineStr">
        <is>
          <t>계획관리지역</t>
        </is>
      </c>
      <c r="G2317" s="3" t="inlineStr">
        <is>
          <t>답</t>
        </is>
      </c>
      <c r="H2317" s="4" t="n">
        <v>19.0575</v>
      </c>
      <c r="I2317" s="5" t="n">
        <v>164.8</v>
      </c>
      <c r="J2317" s="3" t="inlineStr">
        <is>
          <t>부강면</t>
        </is>
      </c>
    </row>
    <row r="2318">
      <c r="A2318" s="3" t="n">
        <v>2022</v>
      </c>
      <c r="B2318" s="4" t="n">
        <v>11860</v>
      </c>
      <c r="C2318" s="4" t="n">
        <v>238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답</t>
        </is>
      </c>
      <c r="H2318" s="4" t="n">
        <v>71.995</v>
      </c>
      <c r="I2318" s="5" t="n">
        <v>164.7</v>
      </c>
      <c r="J2318" s="3" t="inlineStr">
        <is>
          <t>부강면</t>
        </is>
      </c>
    </row>
    <row r="2319">
      <c r="A2319" s="3" t="n">
        <v>2022</v>
      </c>
      <c r="B2319" s="4" t="n">
        <v>11920</v>
      </c>
      <c r="C2319" s="4" t="n">
        <v>972</v>
      </c>
      <c r="D2319" s="3" t="inlineStr">
        <is>
          <t>부강면</t>
        </is>
      </c>
      <c r="E2319" s="3" t="inlineStr">
        <is>
          <t>갈산리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294.03</v>
      </c>
      <c r="I2319" s="5" t="n">
        <v>40.5</v>
      </c>
      <c r="J2319" s="3" t="inlineStr">
        <is>
          <t>부강면</t>
        </is>
      </c>
    </row>
    <row r="2320">
      <c r="A2320" s="3" t="n">
        <v>2022</v>
      </c>
      <c r="B2320" s="4" t="n">
        <v>69400</v>
      </c>
      <c r="C2320" s="4" t="n">
        <v>8155</v>
      </c>
      <c r="D2320" s="3" t="inlineStr">
        <is>
          <t>부강면</t>
        </is>
      </c>
      <c r="E2320" s="3" t="inlineStr">
        <is>
          <t>갈산리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2466.8875</v>
      </c>
      <c r="I2320" s="5" t="n">
        <v>28.1</v>
      </c>
      <c r="J2320" s="3" t="inlineStr">
        <is>
          <t>부강면</t>
        </is>
      </c>
    </row>
    <row r="2321">
      <c r="A2321" s="3" t="n">
        <v>2022</v>
      </c>
      <c r="B2321" s="4" t="n">
        <v>222180</v>
      </c>
      <c r="C2321" s="4" t="n">
        <v>26695</v>
      </c>
      <c r="D2321" s="3" t="inlineStr">
        <is>
          <t>부강면</t>
        </is>
      </c>
      <c r="E2321" s="3" t="inlineStr">
        <is>
          <t>갈산리</t>
        </is>
      </c>
      <c r="F2321" s="3" t="inlineStr">
        <is>
          <t>계획관리지역</t>
        </is>
      </c>
      <c r="G2321" s="3" t="inlineStr">
        <is>
          <t>임야</t>
        </is>
      </c>
      <c r="H2321" s="4" t="n">
        <v>8075.2375</v>
      </c>
      <c r="I2321" s="5" t="n">
        <v>27.5</v>
      </c>
      <c r="J2321" s="3" t="inlineStr">
        <is>
          <t>부강면</t>
        </is>
      </c>
    </row>
    <row r="2322">
      <c r="A2322" s="3" t="n">
        <v>2022</v>
      </c>
      <c r="B2322" s="4" t="n">
        <v>780</v>
      </c>
      <c r="C2322" s="4" t="n">
        <v>9</v>
      </c>
      <c r="D2322" s="3" t="inlineStr">
        <is>
          <t>조치원읍</t>
        </is>
      </c>
      <c r="E2322" s="3" t="inlineStr">
        <is>
          <t>봉산리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2.7225</v>
      </c>
      <c r="I2322" s="5" t="n">
        <v>286.5</v>
      </c>
      <c r="J2322" s="3" t="inlineStr">
        <is>
          <t>조치원읍</t>
        </is>
      </c>
    </row>
    <row r="2323">
      <c r="A2323" s="3" t="n">
        <v>2026</v>
      </c>
      <c r="B2323" s="4" t="n">
        <v>33000</v>
      </c>
      <c r="C2323" s="4" t="n">
        <v>3719.7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1125.20925</v>
      </c>
      <c r="I2323" s="5" t="n">
        <v>29.3</v>
      </c>
      <c r="J2323" s="3" t="inlineStr">
        <is>
          <t>부강면</t>
        </is>
      </c>
    </row>
    <row r="2324">
      <c r="A2324" s="3" t="n">
        <v>2026</v>
      </c>
      <c r="B2324" s="4" t="n">
        <v>11700</v>
      </c>
      <c r="C2324" s="4" t="n">
        <v>733</v>
      </c>
      <c r="D2324" s="3" t="inlineStr">
        <is>
          <t>조치원읍</t>
        </is>
      </c>
      <c r="E2324" s="3" t="inlineStr">
        <is>
          <t>봉산리</t>
        </is>
      </c>
      <c r="F2324" s="3" t="inlineStr">
        <is>
          <t>자연녹지지역</t>
        </is>
      </c>
      <c r="G2324" s="3" t="inlineStr">
        <is>
          <t>임야</t>
        </is>
      </c>
      <c r="H2324" s="4" t="n">
        <v>221.7325</v>
      </c>
      <c r="I2324" s="5" t="n">
        <v>52.8</v>
      </c>
      <c r="J2324" s="3" t="inlineStr">
        <is>
          <t>조치원읍</t>
        </is>
      </c>
    </row>
    <row r="2325">
      <c r="A2325" s="3" t="n">
        <v>2025</v>
      </c>
      <c r="B2325" s="4" t="n">
        <v>70000</v>
      </c>
      <c r="C2325" s="4" t="n">
        <v>2009</v>
      </c>
      <c r="D2325" s="3" t="inlineStr">
        <is>
          <t>연서면</t>
        </is>
      </c>
      <c r="E2325" s="3" t="inlineStr">
        <is>
          <t>성제리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607.7225</v>
      </c>
      <c r="I2325" s="5" t="n">
        <v>115.2</v>
      </c>
      <c r="J2325" s="3" t="inlineStr">
        <is>
          <t>연서면</t>
        </is>
      </c>
    </row>
    <row r="2326">
      <c r="A2326" s="3" t="n">
        <v>2025</v>
      </c>
      <c r="B2326" s="4" t="n">
        <v>69900</v>
      </c>
      <c r="C2326" s="4" t="n">
        <v>2311</v>
      </c>
      <c r="D2326" s="3" t="inlineStr">
        <is>
          <t>연서면</t>
        </is>
      </c>
      <c r="E2326" s="3" t="inlineStr">
        <is>
          <t>봉암리</t>
        </is>
      </c>
      <c r="F2326" s="3" t="inlineStr">
        <is>
          <t>농림지역</t>
        </is>
      </c>
      <c r="G2326" s="3" t="inlineStr">
        <is>
          <t>답</t>
        </is>
      </c>
      <c r="H2326" s="4" t="n">
        <v>699.0775</v>
      </c>
      <c r="I2326" s="5" t="n">
        <v>100</v>
      </c>
      <c r="J2326" s="3" t="inlineStr">
        <is>
          <t>연서면</t>
        </is>
      </c>
    </row>
    <row r="2327">
      <c r="A2327" s="3" t="n">
        <v>2025</v>
      </c>
      <c r="B2327" s="4" t="n">
        <v>29350</v>
      </c>
      <c r="C2327" s="4" t="n">
        <v>277</v>
      </c>
      <c r="D2327" s="3" t="inlineStr">
        <is>
          <t>집현동</t>
        </is>
      </c>
      <c r="E2327" s="3" t="inlineStr"/>
      <c r="F2327" s="3" t="inlineStr">
        <is>
          <t>제1종전용주거지역</t>
        </is>
      </c>
      <c r="G2327" s="3" t="inlineStr">
        <is>
          <t>대</t>
        </is>
      </c>
      <c r="H2327" s="4" t="n">
        <v>83.7925</v>
      </c>
      <c r="I2327" s="5" t="n">
        <v>350.3</v>
      </c>
      <c r="J2327" s="3" t="inlineStr">
        <is>
          <t>집현동</t>
        </is>
      </c>
    </row>
    <row r="2328">
      <c r="A2328" s="3" t="n">
        <v>2025</v>
      </c>
      <c r="B2328" s="4" t="n">
        <v>42500</v>
      </c>
      <c r="C2328" s="4" t="n">
        <v>290</v>
      </c>
      <c r="D2328" s="3" t="inlineStr">
        <is>
          <t>고운동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87.72499999999999</v>
      </c>
      <c r="I2328" s="5" t="n">
        <v>484.5</v>
      </c>
      <c r="J2328" s="3" t="inlineStr">
        <is>
          <t>고운동</t>
        </is>
      </c>
    </row>
    <row r="2329">
      <c r="A2329" s="3" t="n">
        <v>2025</v>
      </c>
      <c r="B2329" s="4" t="n">
        <v>147155</v>
      </c>
      <c r="C2329" s="4" t="n">
        <v>2001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605.3025</v>
      </c>
      <c r="I2329" s="5" t="n">
        <v>243.1</v>
      </c>
      <c r="J2329" s="3" t="inlineStr">
        <is>
          <t>연서면</t>
        </is>
      </c>
    </row>
    <row r="2330">
      <c r="A2330" s="3" t="n">
        <v>2025</v>
      </c>
      <c r="B2330" s="4" t="n">
        <v>25460</v>
      </c>
      <c r="C2330" s="4" t="n">
        <v>223</v>
      </c>
      <c r="D2330" s="3" t="inlineStr">
        <is>
          <t>연서면</t>
        </is>
      </c>
      <c r="E2330" s="3" t="inlineStr">
        <is>
          <t>부동리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67.4575</v>
      </c>
      <c r="I2330" s="5" t="n">
        <v>377.4</v>
      </c>
      <c r="J2330" s="3" t="inlineStr">
        <is>
          <t>연서면</t>
        </is>
      </c>
    </row>
    <row r="2331">
      <c r="A2331" s="3" t="n">
        <v>2025</v>
      </c>
      <c r="B2331" s="4" t="n">
        <v>36479</v>
      </c>
      <c r="C2331" s="4" t="n">
        <v>4729.4</v>
      </c>
      <c r="D2331" s="3" t="inlineStr">
        <is>
          <t>연서면</t>
        </is>
      </c>
      <c r="E2331" s="3" t="inlineStr">
        <is>
          <t>봉암리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1430.6435</v>
      </c>
      <c r="I2331" s="5" t="n">
        <v>25.5</v>
      </c>
      <c r="J2331" s="3" t="inlineStr">
        <is>
          <t>연서면</t>
        </is>
      </c>
    </row>
    <row r="2332">
      <c r="A2332" s="3" t="n">
        <v>2025</v>
      </c>
      <c r="B2332" s="4" t="n">
        <v>117000</v>
      </c>
      <c r="C2332" s="4" t="n">
        <v>710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일반상업지역</t>
        </is>
      </c>
      <c r="G2332" s="3" t="inlineStr">
        <is>
          <t>대</t>
        </is>
      </c>
      <c r="H2332" s="4" t="n">
        <v>214.775</v>
      </c>
      <c r="I2332" s="5" t="n">
        <v>544.8</v>
      </c>
      <c r="J2332" s="3" t="inlineStr">
        <is>
          <t>부강면</t>
        </is>
      </c>
    </row>
    <row r="2333">
      <c r="A2333" s="3" t="n">
        <v>2025</v>
      </c>
      <c r="B2333" s="4" t="n">
        <v>6400</v>
      </c>
      <c r="C2333" s="4" t="n">
        <v>333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과수원</t>
        </is>
      </c>
      <c r="H2333" s="4" t="n">
        <v>100.7325</v>
      </c>
      <c r="I2333" s="5" t="n">
        <v>63.5</v>
      </c>
      <c r="J2333" s="3" t="inlineStr">
        <is>
          <t>연서면</t>
        </is>
      </c>
    </row>
    <row r="2334">
      <c r="A2334" s="3" t="n">
        <v>2025</v>
      </c>
      <c r="B2334" s="4" t="n">
        <v>23161</v>
      </c>
      <c r="C2334" s="4" t="n">
        <v>883</v>
      </c>
      <c r="D2334" s="3" t="inlineStr">
        <is>
          <t>조치원읍</t>
        </is>
      </c>
      <c r="E2334" s="3" t="inlineStr">
        <is>
          <t>신안리</t>
        </is>
      </c>
      <c r="F2334" s="3" t="inlineStr">
        <is>
          <t>제2종일반주거지역</t>
        </is>
      </c>
      <c r="G2334" s="3" t="inlineStr">
        <is>
          <t>대</t>
        </is>
      </c>
      <c r="H2334" s="4" t="n">
        <v>267.1075</v>
      </c>
      <c r="I2334" s="5" t="n">
        <v>86.7</v>
      </c>
      <c r="J2334" s="3" t="inlineStr">
        <is>
          <t>조치원읍</t>
        </is>
      </c>
    </row>
    <row r="2335">
      <c r="A2335" s="3" t="n">
        <v>2025</v>
      </c>
      <c r="B2335" s="4" t="n">
        <v>3751</v>
      </c>
      <c r="C2335" s="4" t="n">
        <v>143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대</t>
        </is>
      </c>
      <c r="H2335" s="4" t="n">
        <v>43.2575</v>
      </c>
      <c r="I2335" s="5" t="n">
        <v>86.7</v>
      </c>
      <c r="J2335" s="3" t="inlineStr">
        <is>
          <t>조치원읍</t>
        </is>
      </c>
    </row>
    <row r="2336">
      <c r="A2336" s="3" t="n">
        <v>2025</v>
      </c>
      <c r="B2336" s="4" t="n">
        <v>136472</v>
      </c>
      <c r="C2336" s="4" t="n">
        <v>5203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1573.9075</v>
      </c>
      <c r="I2336" s="5" t="n">
        <v>86.7</v>
      </c>
      <c r="J2336" s="3" t="inlineStr">
        <is>
          <t>조치원읍</t>
        </is>
      </c>
    </row>
    <row r="2337">
      <c r="A2337" s="3" t="n">
        <v>2024</v>
      </c>
      <c r="B2337" s="4" t="n">
        <v>1000</v>
      </c>
      <c r="C2337" s="4" t="n">
        <v>140</v>
      </c>
      <c r="D2337" s="3" t="inlineStr">
        <is>
          <t>부강면</t>
        </is>
      </c>
      <c r="E2337" s="3" t="inlineStr">
        <is>
          <t>문곡리</t>
        </is>
      </c>
      <c r="F2337" s="3" t="inlineStr">
        <is>
          <t>계획관리지역</t>
        </is>
      </c>
      <c r="G2337" s="3" t="inlineStr">
        <is>
          <t>답</t>
        </is>
      </c>
      <c r="H2337" s="4" t="n">
        <v>42.35</v>
      </c>
      <c r="I2337" s="5" t="n">
        <v>23.6</v>
      </c>
      <c r="J2337" s="3" t="inlineStr">
        <is>
          <t>부강면</t>
        </is>
      </c>
    </row>
    <row r="2338">
      <c r="A2338" s="3" t="n">
        <v>2024</v>
      </c>
      <c r="B2338" s="4" t="n">
        <v>35000</v>
      </c>
      <c r="C2338" s="4" t="n">
        <v>1736</v>
      </c>
      <c r="D2338" s="3" t="inlineStr">
        <is>
          <t>부강면</t>
        </is>
      </c>
      <c r="E2338" s="3" t="inlineStr">
        <is>
          <t>행산리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525.14</v>
      </c>
      <c r="I2338" s="5" t="n">
        <v>66.59999999999999</v>
      </c>
      <c r="J2338" s="3" t="inlineStr">
        <is>
          <t>부강면</t>
        </is>
      </c>
    </row>
    <row r="2339">
      <c r="A2339" s="3" t="n">
        <v>2024</v>
      </c>
      <c r="B2339" s="4" t="n">
        <v>15000</v>
      </c>
      <c r="C2339" s="4" t="n">
        <v>100</v>
      </c>
      <c r="D2339" s="3" t="inlineStr">
        <is>
          <t>조치원읍</t>
        </is>
      </c>
      <c r="E2339" s="3" t="inlineStr">
        <is>
          <t>죽림리</t>
        </is>
      </c>
      <c r="F2339" s="3" t="inlineStr">
        <is>
          <t>제2종일반주거지역</t>
        </is>
      </c>
      <c r="G2339" s="3" t="inlineStr">
        <is>
          <t>과수원</t>
        </is>
      </c>
      <c r="H2339" s="4" t="n">
        <v>30.25</v>
      </c>
      <c r="I2339" s="5" t="n">
        <v>495.9</v>
      </c>
      <c r="J2339" s="3" t="inlineStr">
        <is>
          <t>조치원읍</t>
        </is>
      </c>
    </row>
    <row r="2340">
      <c r="A2340" s="3" t="n">
        <v>2024</v>
      </c>
      <c r="B2340" s="4" t="n">
        <v>10</v>
      </c>
      <c r="C2340" s="4" t="n">
        <v>1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0.3025</v>
      </c>
      <c r="I2340" s="5" t="n">
        <v>33.1</v>
      </c>
      <c r="J2340" s="3" t="inlineStr">
        <is>
          <t>조치원읍</t>
        </is>
      </c>
    </row>
    <row r="2341">
      <c r="A2341" s="3" t="n">
        <v>2024</v>
      </c>
      <c r="B2341" s="4" t="n">
        <v>45000</v>
      </c>
      <c r="C2341" s="4" t="n">
        <v>364.6</v>
      </c>
      <c r="D2341" s="3" t="inlineStr">
        <is>
          <t>고운동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110.2915</v>
      </c>
      <c r="I2341" s="5" t="n">
        <v>408</v>
      </c>
      <c r="J2341" s="3" t="inlineStr">
        <is>
          <t>고운동</t>
        </is>
      </c>
    </row>
    <row r="2342">
      <c r="A2342" s="3" t="n">
        <v>2026</v>
      </c>
      <c r="B2342" s="4" t="n">
        <v>5490</v>
      </c>
      <c r="C2342" s="4" t="n">
        <v>202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61.105</v>
      </c>
      <c r="I2342" s="5" t="n">
        <v>89.8</v>
      </c>
      <c r="J2342" s="3" t="inlineStr">
        <is>
          <t>연서면</t>
        </is>
      </c>
    </row>
    <row r="2343">
      <c r="A2343" s="3" t="n">
        <v>2026</v>
      </c>
      <c r="B2343" s="4" t="n">
        <v>1680</v>
      </c>
      <c r="C2343" s="4" t="n">
        <v>71</v>
      </c>
      <c r="D2343" s="3" t="inlineStr">
        <is>
          <t>연서면</t>
        </is>
      </c>
      <c r="E2343" s="3" t="inlineStr">
        <is>
          <t>국촌리</t>
        </is>
      </c>
      <c r="F2343" s="3" t="inlineStr">
        <is>
          <t>계획관리지역</t>
        </is>
      </c>
      <c r="G2343" s="3" t="inlineStr">
        <is>
          <t>전</t>
        </is>
      </c>
      <c r="H2343" s="4" t="n">
        <v>21.4775</v>
      </c>
      <c r="I2343" s="5" t="n">
        <v>78.2</v>
      </c>
      <c r="J2343" s="3" t="inlineStr">
        <is>
          <t>연서면</t>
        </is>
      </c>
    </row>
    <row r="2344">
      <c r="A2344" s="3" t="n">
        <v>2023</v>
      </c>
      <c r="B2344" s="4" t="n">
        <v>1920</v>
      </c>
      <c r="C2344" s="4" t="n">
        <v>55</v>
      </c>
      <c r="D2344" s="3" t="inlineStr">
        <is>
          <t>부강면</t>
        </is>
      </c>
      <c r="E2344" s="3" t="inlineStr">
        <is>
          <t>문곡리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16.6375</v>
      </c>
      <c r="I2344" s="5" t="n">
        <v>115.4</v>
      </c>
      <c r="J2344" s="3" t="inlineStr">
        <is>
          <t>부강면</t>
        </is>
      </c>
    </row>
    <row r="2345">
      <c r="A2345" s="3" t="n">
        <v>2022</v>
      </c>
      <c r="B2345" s="4" t="n">
        <v>13200</v>
      </c>
      <c r="C2345" s="4" t="n">
        <v>693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209.6325</v>
      </c>
      <c r="I2345" s="5" t="n">
        <v>63</v>
      </c>
      <c r="J2345" s="3" t="inlineStr">
        <is>
          <t>연서면</t>
        </is>
      </c>
    </row>
    <row r="2346">
      <c r="A2346" s="3" t="n">
        <v>2025</v>
      </c>
      <c r="B2346" s="4" t="n">
        <v>40393</v>
      </c>
      <c r="C2346" s="4" t="n">
        <v>1540</v>
      </c>
      <c r="D2346" s="3" t="inlineStr">
        <is>
          <t>조치원읍</t>
        </is>
      </c>
      <c r="E2346" s="3" t="inlineStr">
        <is>
          <t>신안리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465.85</v>
      </c>
      <c r="I2346" s="5" t="n">
        <v>86.7</v>
      </c>
      <c r="J2346" s="3" t="inlineStr">
        <is>
          <t>조치원읍</t>
        </is>
      </c>
    </row>
    <row r="2347">
      <c r="A2347" s="3" t="n">
        <v>2022</v>
      </c>
      <c r="B2347" s="4" t="n">
        <v>55500</v>
      </c>
      <c r="C2347" s="4" t="n">
        <v>2449.1</v>
      </c>
      <c r="D2347" s="3" t="inlineStr">
        <is>
          <t>연동면</t>
        </is>
      </c>
      <c r="E2347" s="3" t="inlineStr">
        <is>
          <t>문주리</t>
        </is>
      </c>
      <c r="F2347" s="3" t="inlineStr">
        <is>
          <t>농림지역</t>
        </is>
      </c>
      <c r="G2347" s="3" t="inlineStr">
        <is>
          <t>대</t>
        </is>
      </c>
      <c r="H2347" s="4" t="n">
        <v>740.8527499999999</v>
      </c>
      <c r="I2347" s="5" t="n">
        <v>74.90000000000001</v>
      </c>
      <c r="J2347" s="3" t="inlineStr">
        <is>
          <t>연동면</t>
        </is>
      </c>
    </row>
    <row r="2348">
      <c r="A2348" s="3" t="n">
        <v>2022</v>
      </c>
      <c r="B2348" s="4" t="n">
        <v>317</v>
      </c>
      <c r="C2348" s="4" t="n">
        <v>4</v>
      </c>
      <c r="D2348" s="3" t="inlineStr">
        <is>
          <t>조치원읍</t>
        </is>
      </c>
      <c r="E2348" s="3" t="inlineStr">
        <is>
          <t>침산리</t>
        </is>
      </c>
      <c r="F2348" s="3" t="inlineStr">
        <is>
          <t>제1종일반주거지역</t>
        </is>
      </c>
      <c r="G2348" s="3" t="inlineStr">
        <is>
          <t>대</t>
        </is>
      </c>
      <c r="H2348" s="4" t="n">
        <v>1.21</v>
      </c>
      <c r="I2348" s="5" t="n">
        <v>262</v>
      </c>
      <c r="J2348" s="3" t="inlineStr">
        <is>
          <t>조치원읍</t>
        </is>
      </c>
    </row>
    <row r="2349">
      <c r="A2349" s="3" t="n">
        <v>2022</v>
      </c>
      <c r="B2349" s="4" t="n">
        <v>12000</v>
      </c>
      <c r="C2349" s="4" t="n">
        <v>495</v>
      </c>
      <c r="D2349" s="3" t="inlineStr">
        <is>
          <t>조치원읍</t>
        </is>
      </c>
      <c r="E2349" s="3" t="inlineStr">
        <is>
          <t>번암리</t>
        </is>
      </c>
      <c r="F2349" s="3" t="inlineStr">
        <is>
          <t>일반공업지역</t>
        </is>
      </c>
      <c r="G2349" s="3" t="inlineStr">
        <is>
          <t>임야</t>
        </is>
      </c>
      <c r="H2349" s="4" t="n">
        <v>149.7375</v>
      </c>
      <c r="I2349" s="5" t="n">
        <v>80.09999999999999</v>
      </c>
      <c r="J2349" s="3" t="inlineStr">
        <is>
          <t>조치원읍</t>
        </is>
      </c>
    </row>
    <row r="2350">
      <c r="A2350" s="3" t="n">
        <v>2022</v>
      </c>
      <c r="B2350" s="4" t="n">
        <v>17500</v>
      </c>
      <c r="C2350" s="4" t="n">
        <v>819</v>
      </c>
      <c r="D2350" s="3" t="inlineStr">
        <is>
          <t>부강면</t>
        </is>
      </c>
      <c r="E2350" s="3" t="inlineStr">
        <is>
          <t>등곡리</t>
        </is>
      </c>
      <c r="F2350" s="3" t="inlineStr">
        <is>
          <t>계획관리지역</t>
        </is>
      </c>
      <c r="G2350" s="3" t="inlineStr">
        <is>
          <t>대</t>
        </is>
      </c>
      <c r="H2350" s="4" t="n">
        <v>247.7475</v>
      </c>
      <c r="I2350" s="5" t="n">
        <v>70.59999999999999</v>
      </c>
      <c r="J2350" s="3" t="inlineStr">
        <is>
          <t>부강면</t>
        </is>
      </c>
    </row>
    <row r="2351">
      <c r="A2351" s="3" t="n">
        <v>2022</v>
      </c>
      <c r="B2351" s="4" t="n">
        <v>91000</v>
      </c>
      <c r="C2351" s="4" t="n">
        <v>854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계획관리지역</t>
        </is>
      </c>
      <c r="G2351" s="3" t="inlineStr">
        <is>
          <t>공장용지</t>
        </is>
      </c>
      <c r="H2351" s="4" t="n">
        <v>258.335</v>
      </c>
      <c r="I2351" s="5" t="n">
        <v>352.3</v>
      </c>
      <c r="J2351" s="3" t="inlineStr">
        <is>
          <t>부강면</t>
        </is>
      </c>
    </row>
    <row r="2352">
      <c r="A2352" s="3" t="n">
        <v>2025</v>
      </c>
      <c r="B2352" s="4" t="n">
        <v>14400</v>
      </c>
      <c r="C2352" s="4" t="n">
        <v>549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자연녹지지역</t>
        </is>
      </c>
      <c r="G2352" s="3" t="inlineStr">
        <is>
          <t>대</t>
        </is>
      </c>
      <c r="H2352" s="4" t="n">
        <v>166.0725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10000</v>
      </c>
      <c r="C2353" s="4" t="n">
        <v>330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99.825</v>
      </c>
      <c r="I2353" s="5" t="n">
        <v>100.2</v>
      </c>
      <c r="J2353" s="3" t="inlineStr">
        <is>
          <t>부강면</t>
        </is>
      </c>
    </row>
    <row r="2354">
      <c r="A2354" s="3" t="n">
        <v>2026</v>
      </c>
      <c r="B2354" s="4" t="n">
        <v>52360</v>
      </c>
      <c r="C2354" s="4" t="n">
        <v>1018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307.945</v>
      </c>
      <c r="I2354" s="5" t="n">
        <v>170</v>
      </c>
      <c r="J2354" s="3" t="inlineStr">
        <is>
          <t>연서면</t>
        </is>
      </c>
    </row>
    <row r="2355">
      <c r="A2355" s="3" t="n">
        <v>2026</v>
      </c>
      <c r="B2355" s="4" t="n">
        <v>64000</v>
      </c>
      <c r="C2355" s="4" t="n">
        <v>4243</v>
      </c>
      <c r="D2355" s="3" t="inlineStr">
        <is>
          <t>연서면</t>
        </is>
      </c>
      <c r="E2355" s="3" t="inlineStr">
        <is>
          <t>쌍류리</t>
        </is>
      </c>
      <c r="F2355" s="3" t="inlineStr">
        <is>
          <t>생산관리지역</t>
        </is>
      </c>
      <c r="G2355" s="3" t="inlineStr">
        <is>
          <t>과수원</t>
        </is>
      </c>
      <c r="H2355" s="4" t="n">
        <v>1283.5075</v>
      </c>
      <c r="I2355" s="5" t="n">
        <v>49.9</v>
      </c>
      <c r="J2355" s="3" t="inlineStr">
        <is>
          <t>연서면</t>
        </is>
      </c>
    </row>
    <row r="2356">
      <c r="A2356" s="3" t="n">
        <v>2026</v>
      </c>
      <c r="B2356" s="4" t="n">
        <v>62383</v>
      </c>
      <c r="C2356" s="4" t="n">
        <v>405.4</v>
      </c>
      <c r="D2356" s="3" t="inlineStr">
        <is>
          <t>고운동</t>
        </is>
      </c>
      <c r="E2356" s="3" t="inlineStr"/>
      <c r="F2356" s="3" t="inlineStr">
        <is>
          <t>제1종전용주거지역</t>
        </is>
      </c>
      <c r="G2356" s="3" t="inlineStr">
        <is>
          <t>대</t>
        </is>
      </c>
      <c r="H2356" s="4" t="n">
        <v>122.6335</v>
      </c>
      <c r="I2356" s="5" t="n">
        <v>508.7</v>
      </c>
      <c r="J2356" s="3" t="inlineStr">
        <is>
          <t>고운동</t>
        </is>
      </c>
    </row>
    <row r="2357">
      <c r="A2357" s="3" t="n">
        <v>2026</v>
      </c>
      <c r="B2357" s="4" t="n">
        <v>200000</v>
      </c>
      <c r="C2357" s="4" t="n">
        <v>34655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10483.1375</v>
      </c>
      <c r="I2357" s="5" t="n">
        <v>19.1</v>
      </c>
      <c r="J2357" s="3" t="inlineStr">
        <is>
          <t>연서면</t>
        </is>
      </c>
    </row>
    <row r="2358">
      <c r="A2358" s="3" t="n">
        <v>2026</v>
      </c>
      <c r="B2358" s="4" t="n">
        <v>57000</v>
      </c>
      <c r="C2358" s="4" t="n">
        <v>5136</v>
      </c>
      <c r="D2358" s="3" t="inlineStr">
        <is>
          <t>연동면</t>
        </is>
      </c>
      <c r="E2358" s="3" t="inlineStr">
        <is>
          <t>송용리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1553.64</v>
      </c>
      <c r="I2358" s="5" t="n">
        <v>36.7</v>
      </c>
      <c r="J2358" s="3" t="inlineStr">
        <is>
          <t>연동면</t>
        </is>
      </c>
    </row>
    <row r="2359">
      <c r="A2359" s="3" t="n">
        <v>2026</v>
      </c>
      <c r="B2359" s="4" t="n">
        <v>12500</v>
      </c>
      <c r="C2359" s="4" t="n">
        <v>286</v>
      </c>
      <c r="D2359" s="3" t="inlineStr">
        <is>
          <t>연서면</t>
        </is>
      </c>
      <c r="E2359" s="3" t="inlineStr">
        <is>
          <t>성제리</t>
        </is>
      </c>
      <c r="F2359" s="3" t="inlineStr">
        <is>
          <t>자연녹지지역</t>
        </is>
      </c>
      <c r="G2359" s="3" t="inlineStr">
        <is>
          <t>답</t>
        </is>
      </c>
      <c r="H2359" s="4" t="n">
        <v>86.515</v>
      </c>
      <c r="I2359" s="5" t="n">
        <v>144.5</v>
      </c>
      <c r="J2359" s="3" t="inlineStr">
        <is>
          <t>연서면</t>
        </is>
      </c>
    </row>
    <row r="2360">
      <c r="A2360" s="3" t="n">
        <v>2026</v>
      </c>
      <c r="B2360" s="4" t="n">
        <v>63200</v>
      </c>
      <c r="C2360" s="4" t="n">
        <v>1440</v>
      </c>
      <c r="D2360" s="3" t="inlineStr">
        <is>
          <t>연서면</t>
        </is>
      </c>
      <c r="E2360" s="3" t="inlineStr">
        <is>
          <t>성제리</t>
        </is>
      </c>
      <c r="F2360" s="3" t="inlineStr">
        <is>
          <t>자연녹지지역</t>
        </is>
      </c>
      <c r="G2360" s="3" t="inlineStr">
        <is>
          <t>답</t>
        </is>
      </c>
      <c r="H2360" s="4" t="n">
        <v>435.6</v>
      </c>
      <c r="I2360" s="5" t="n">
        <v>145.1</v>
      </c>
      <c r="J2360" s="3" t="inlineStr">
        <is>
          <t>연서면</t>
        </is>
      </c>
    </row>
    <row r="2361">
      <c r="A2361" s="3" t="n">
        <v>2026</v>
      </c>
      <c r="B2361" s="4" t="n">
        <v>9300</v>
      </c>
      <c r="C2361" s="4" t="n">
        <v>213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제1종일반주거지역</t>
        </is>
      </c>
      <c r="G2361" s="3" t="inlineStr">
        <is>
          <t>답</t>
        </is>
      </c>
      <c r="H2361" s="4" t="n">
        <v>64.4325</v>
      </c>
      <c r="I2361" s="5" t="n">
        <v>144.3</v>
      </c>
      <c r="J2361" s="3" t="inlineStr">
        <is>
          <t>연서면</t>
        </is>
      </c>
    </row>
    <row r="2362">
      <c r="A2362" s="3" t="n">
        <v>2026</v>
      </c>
      <c r="B2362" s="4" t="n">
        <v>55000</v>
      </c>
      <c r="C2362" s="4" t="n">
        <v>1206</v>
      </c>
      <c r="D2362" s="3" t="inlineStr">
        <is>
          <t>연서면</t>
        </is>
      </c>
      <c r="E2362" s="3" t="inlineStr">
        <is>
          <t>성제리</t>
        </is>
      </c>
      <c r="F2362" s="3" t="inlineStr">
        <is>
          <t>제1종일반주거지역</t>
        </is>
      </c>
      <c r="G2362" s="3" t="inlineStr">
        <is>
          <t>답</t>
        </is>
      </c>
      <c r="H2362" s="4" t="n">
        <v>364.815</v>
      </c>
      <c r="I2362" s="5" t="n">
        <v>150.8</v>
      </c>
      <c r="J2362" s="3" t="inlineStr">
        <is>
          <t>연서면</t>
        </is>
      </c>
    </row>
    <row r="2363">
      <c r="A2363" s="3" t="n">
        <v>2026</v>
      </c>
      <c r="B2363" s="4" t="n">
        <v>3000</v>
      </c>
      <c r="C2363" s="4" t="n">
        <v>474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임야</t>
        </is>
      </c>
      <c r="H2363" s="4" t="n">
        <v>143.385</v>
      </c>
      <c r="I2363" s="5" t="n">
        <v>20.9</v>
      </c>
      <c r="J2363" s="3" t="inlineStr">
        <is>
          <t>부강면</t>
        </is>
      </c>
    </row>
    <row r="2364">
      <c r="A2364" s="3" t="n">
        <v>2026</v>
      </c>
      <c r="B2364" s="4" t="n">
        <v>60000</v>
      </c>
      <c r="C2364" s="4" t="n">
        <v>348</v>
      </c>
      <c r="D2364" s="3" t="inlineStr">
        <is>
          <t>아름동</t>
        </is>
      </c>
      <c r="E2364" s="3" t="inlineStr"/>
      <c r="F2364" s="3" t="inlineStr">
        <is>
          <t>제1종전용주거지역</t>
        </is>
      </c>
      <c r="G2364" s="3" t="inlineStr">
        <is>
          <t>대</t>
        </is>
      </c>
      <c r="H2364" s="4" t="n">
        <v>105.27</v>
      </c>
      <c r="I2364" s="5" t="n">
        <v>570</v>
      </c>
      <c r="J2364" s="3" t="inlineStr">
        <is>
          <t>아름동</t>
        </is>
      </c>
    </row>
    <row r="2365">
      <c r="A2365" s="3" t="n">
        <v>2026</v>
      </c>
      <c r="B2365" s="4" t="n">
        <v>8700</v>
      </c>
      <c r="C2365" s="4" t="n">
        <v>496</v>
      </c>
      <c r="D2365" s="3" t="inlineStr">
        <is>
          <t>연동면</t>
        </is>
      </c>
      <c r="E2365" s="3" t="inlineStr">
        <is>
          <t>명학리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150.04</v>
      </c>
      <c r="I2365" s="5" t="n">
        <v>58</v>
      </c>
      <c r="J2365" s="3" t="inlineStr">
        <is>
          <t>연동면</t>
        </is>
      </c>
    </row>
    <row r="2366">
      <c r="A2366" s="3" t="n">
        <v>2025</v>
      </c>
      <c r="B2366" s="4" t="n">
        <v>20820</v>
      </c>
      <c r="C2366" s="4" t="n">
        <v>2294.6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694.1165</v>
      </c>
      <c r="I2366" s="5" t="n">
        <v>30</v>
      </c>
      <c r="J2366" s="3" t="inlineStr">
        <is>
          <t>부강면</t>
        </is>
      </c>
    </row>
    <row r="2367">
      <c r="A2367" s="3" t="n">
        <v>2026</v>
      </c>
      <c r="B2367" s="4" t="n">
        <v>26000</v>
      </c>
      <c r="C2367" s="4" t="n">
        <v>1322</v>
      </c>
      <c r="D2367" s="3" t="inlineStr">
        <is>
          <t>연동면</t>
        </is>
      </c>
      <c r="E2367" s="3" t="inlineStr">
        <is>
          <t>명학리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399.905</v>
      </c>
      <c r="I2367" s="5" t="n">
        <v>65</v>
      </c>
      <c r="J2367" s="3" t="inlineStr">
        <is>
          <t>연동면</t>
        </is>
      </c>
    </row>
    <row r="2368">
      <c r="A2368" s="3" t="n">
        <v>2026</v>
      </c>
      <c r="B2368" s="4" t="n">
        <v>10000</v>
      </c>
      <c r="C2368" s="4" t="n">
        <v>420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계획관리지역</t>
        </is>
      </c>
      <c r="G2368" s="3" t="inlineStr">
        <is>
          <t>대</t>
        </is>
      </c>
      <c r="H2368" s="4" t="n">
        <v>127.05</v>
      </c>
      <c r="I2368" s="5" t="n">
        <v>78.7</v>
      </c>
      <c r="J2368" s="3" t="inlineStr">
        <is>
          <t>부강면</t>
        </is>
      </c>
    </row>
    <row r="2369">
      <c r="A2369" s="3" t="n">
        <v>2024</v>
      </c>
      <c r="B2369" s="4" t="n">
        <v>60000</v>
      </c>
      <c r="C2369" s="4" t="n">
        <v>32826</v>
      </c>
      <c r="D2369" s="3" t="inlineStr">
        <is>
          <t>연서면</t>
        </is>
      </c>
      <c r="E2369" s="3" t="inlineStr">
        <is>
          <t>기룡리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9929.865</v>
      </c>
      <c r="I2369" s="5" t="n">
        <v>6</v>
      </c>
      <c r="J2369" s="3" t="inlineStr">
        <is>
          <t>연서면</t>
        </is>
      </c>
    </row>
    <row r="2370">
      <c r="A2370" s="3" t="n">
        <v>2024</v>
      </c>
      <c r="B2370" s="4" t="n">
        <v>49500</v>
      </c>
      <c r="C2370" s="4" t="n">
        <v>990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자연녹지지역</t>
        </is>
      </c>
      <c r="G2370" s="3" t="inlineStr">
        <is>
          <t>전</t>
        </is>
      </c>
      <c r="H2370" s="4" t="n">
        <v>299.475</v>
      </c>
      <c r="I2370" s="5" t="n">
        <v>165.3</v>
      </c>
      <c r="J2370" s="3" t="inlineStr">
        <is>
          <t>조치원읍</t>
        </is>
      </c>
    </row>
    <row r="2371">
      <c r="A2371" s="3" t="n">
        <v>2024</v>
      </c>
      <c r="B2371" s="4" t="n">
        <v>30500</v>
      </c>
      <c r="C2371" s="4" t="n">
        <v>617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자연녹지지역</t>
        </is>
      </c>
      <c r="G2371" s="3" t="inlineStr">
        <is>
          <t>전</t>
        </is>
      </c>
      <c r="H2371" s="4" t="n">
        <v>186.6425</v>
      </c>
      <c r="I2371" s="5" t="n">
        <v>163.4</v>
      </c>
      <c r="J2371" s="3" t="inlineStr">
        <is>
          <t>조치원읍</t>
        </is>
      </c>
    </row>
    <row r="2372">
      <c r="A2372" s="3" t="n">
        <v>2024</v>
      </c>
      <c r="B2372" s="4" t="n">
        <v>10</v>
      </c>
      <c r="C2372" s="4" t="n">
        <v>1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자연녹지지역</t>
        </is>
      </c>
      <c r="G2372" s="3" t="inlineStr">
        <is>
          <t>도로</t>
        </is>
      </c>
      <c r="H2372" s="4" t="n">
        <v>0.3025</v>
      </c>
      <c r="I2372" s="5" t="n">
        <v>33.1</v>
      </c>
      <c r="J2372" s="3" t="inlineStr">
        <is>
          <t>조치원읍</t>
        </is>
      </c>
    </row>
    <row r="2373">
      <c r="A2373" s="3" t="n">
        <v>2024</v>
      </c>
      <c r="B2373" s="4" t="n">
        <v>5000</v>
      </c>
      <c r="C2373" s="4" t="n">
        <v>85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자연녹지지역</t>
        </is>
      </c>
      <c r="G2373" s="3" t="inlineStr">
        <is>
          <t>답</t>
        </is>
      </c>
      <c r="H2373" s="4" t="n">
        <v>25.7125</v>
      </c>
      <c r="I2373" s="5" t="n">
        <v>194.5</v>
      </c>
      <c r="J2373" s="3" t="inlineStr">
        <is>
          <t>조치원읍</t>
        </is>
      </c>
    </row>
    <row r="2374">
      <c r="A2374" s="3" t="n">
        <v>2024</v>
      </c>
      <c r="B2374" s="4" t="n">
        <v>8400</v>
      </c>
      <c r="C2374" s="4" t="n">
        <v>556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보전관리지역</t>
        </is>
      </c>
      <c r="G2374" s="3" t="inlineStr">
        <is>
          <t>임야</t>
        </is>
      </c>
      <c r="H2374" s="4" t="n">
        <v>168.19</v>
      </c>
      <c r="I2374" s="5" t="n">
        <v>49.9</v>
      </c>
      <c r="J2374" s="3" t="inlineStr">
        <is>
          <t>부강면</t>
        </is>
      </c>
    </row>
    <row r="2375">
      <c r="A2375" s="3" t="n">
        <v>2024</v>
      </c>
      <c r="B2375" s="4" t="n">
        <v>50</v>
      </c>
      <c r="C2375" s="4" t="n">
        <v>16</v>
      </c>
      <c r="D2375" s="3" t="inlineStr">
        <is>
          <t>부강면</t>
        </is>
      </c>
      <c r="E2375" s="3" t="inlineStr">
        <is>
          <t>문곡리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4.84</v>
      </c>
      <c r="I2375" s="5" t="n">
        <v>10.3</v>
      </c>
      <c r="J2375" s="3" t="inlineStr">
        <is>
          <t>부강면</t>
        </is>
      </c>
    </row>
    <row r="2376">
      <c r="A2376" s="3" t="n">
        <v>2024</v>
      </c>
      <c r="B2376" s="4" t="n">
        <v>1200</v>
      </c>
      <c r="C2376" s="4" t="n">
        <v>397</v>
      </c>
      <c r="D2376" s="3" t="inlineStr">
        <is>
          <t>부강면</t>
        </is>
      </c>
      <c r="E2376" s="3" t="inlineStr">
        <is>
          <t>문곡리</t>
        </is>
      </c>
      <c r="F2376" s="3" t="inlineStr">
        <is>
          <t>보전관리지역</t>
        </is>
      </c>
      <c r="G2376" s="3" t="inlineStr">
        <is>
          <t>도로</t>
        </is>
      </c>
      <c r="H2376" s="4" t="n">
        <v>120.0925</v>
      </c>
      <c r="I2376" s="5" t="n">
        <v>10</v>
      </c>
      <c r="J2376" s="3" t="inlineStr">
        <is>
          <t>부강면</t>
        </is>
      </c>
    </row>
    <row r="2377">
      <c r="A2377" s="3" t="n">
        <v>2024</v>
      </c>
      <c r="B2377" s="4" t="n">
        <v>45000</v>
      </c>
      <c r="C2377" s="4" t="n">
        <v>1577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477.0425</v>
      </c>
      <c r="I2377" s="5" t="n">
        <v>94.3</v>
      </c>
      <c r="J2377" s="3" t="inlineStr">
        <is>
          <t>연서면</t>
        </is>
      </c>
    </row>
    <row r="2378">
      <c r="A2378" s="3" t="n">
        <v>2024</v>
      </c>
      <c r="B2378" s="4" t="n">
        <v>95000</v>
      </c>
      <c r="C2378" s="4" t="n">
        <v>714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일반공업지역</t>
        </is>
      </c>
      <c r="G2378" s="3" t="inlineStr">
        <is>
          <t>과수원</t>
        </is>
      </c>
      <c r="H2378" s="4" t="n">
        <v>215.985</v>
      </c>
      <c r="I2378" s="5" t="n">
        <v>439.8</v>
      </c>
      <c r="J2378" s="3" t="inlineStr">
        <is>
          <t>조치원읍</t>
        </is>
      </c>
    </row>
    <row r="2379">
      <c r="A2379" s="3" t="n">
        <v>2024</v>
      </c>
      <c r="B2379" s="4" t="n">
        <v>48000</v>
      </c>
      <c r="C2379" s="4" t="n">
        <v>2437.7</v>
      </c>
      <c r="D2379" s="3" t="inlineStr">
        <is>
          <t>연서면</t>
        </is>
      </c>
      <c r="E2379" s="3" t="inlineStr">
        <is>
          <t>쌍전리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737.4042499999999</v>
      </c>
      <c r="I2379" s="5" t="n">
        <v>65.09999999999999</v>
      </c>
      <c r="J2379" s="3" t="inlineStr">
        <is>
          <t>연서면</t>
        </is>
      </c>
    </row>
    <row r="2380">
      <c r="A2380" s="3" t="n">
        <v>2024</v>
      </c>
      <c r="B2380" s="4" t="n">
        <v>810</v>
      </c>
      <c r="C2380" s="4" t="n">
        <v>51</v>
      </c>
      <c r="D2380" s="3" t="inlineStr">
        <is>
          <t>조치원읍</t>
        </is>
      </c>
      <c r="E2380" s="3" t="inlineStr">
        <is>
          <t>서창리</t>
        </is>
      </c>
      <c r="F2380" s="3" t="inlineStr">
        <is>
          <t>제1종일반주거지역</t>
        </is>
      </c>
      <c r="G2380" s="3" t="inlineStr">
        <is>
          <t>도로</t>
        </is>
      </c>
      <c r="H2380" s="4" t="n">
        <v>15.4275</v>
      </c>
      <c r="I2380" s="5" t="n">
        <v>52.5</v>
      </c>
      <c r="J2380" s="3" t="inlineStr">
        <is>
          <t>조치원읍</t>
        </is>
      </c>
    </row>
    <row r="2381">
      <c r="A2381" s="3" t="n">
        <v>2024</v>
      </c>
      <c r="B2381" s="4" t="n">
        <v>490</v>
      </c>
      <c r="C2381" s="4" t="n">
        <v>31</v>
      </c>
      <c r="D2381" s="3" t="inlineStr">
        <is>
          <t>조치원읍</t>
        </is>
      </c>
      <c r="E2381" s="3" t="inlineStr">
        <is>
          <t>서창리</t>
        </is>
      </c>
      <c r="F2381" s="3" t="inlineStr">
        <is>
          <t>제1종일반주거지역</t>
        </is>
      </c>
      <c r="G2381" s="3" t="inlineStr">
        <is>
          <t>전</t>
        </is>
      </c>
      <c r="H2381" s="4" t="n">
        <v>9.3775</v>
      </c>
      <c r="I2381" s="5" t="n">
        <v>52.3</v>
      </c>
      <c r="J2381" s="3" t="inlineStr">
        <is>
          <t>조치원읍</t>
        </is>
      </c>
    </row>
    <row r="2382">
      <c r="A2382" s="3" t="n">
        <v>2024</v>
      </c>
      <c r="B2382" s="4" t="n">
        <v>37000</v>
      </c>
      <c r="C2382" s="4" t="n">
        <v>928</v>
      </c>
      <c r="D2382" s="3" t="inlineStr">
        <is>
          <t>연동면</t>
        </is>
      </c>
      <c r="E2382" s="3" t="inlineStr">
        <is>
          <t>송용리</t>
        </is>
      </c>
      <c r="F2382" s="3" t="inlineStr">
        <is>
          <t>농림지역</t>
        </is>
      </c>
      <c r="G2382" s="3" t="inlineStr">
        <is>
          <t>전</t>
        </is>
      </c>
      <c r="H2382" s="4" t="n">
        <v>280.72</v>
      </c>
      <c r="I2382" s="5" t="n">
        <v>131.8</v>
      </c>
      <c r="J2382" s="3" t="inlineStr">
        <is>
          <t>연동면</t>
        </is>
      </c>
    </row>
    <row r="2383">
      <c r="A2383" s="3" t="n">
        <v>2024</v>
      </c>
      <c r="B2383" s="4" t="n">
        <v>30000</v>
      </c>
      <c r="C2383" s="4" t="n">
        <v>344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104.06</v>
      </c>
      <c r="I2383" s="5" t="n">
        <v>288.3</v>
      </c>
      <c r="J2383" s="3" t="inlineStr">
        <is>
          <t>조치원읍</t>
        </is>
      </c>
    </row>
    <row r="2384">
      <c r="A2384" s="3" t="n">
        <v>2024</v>
      </c>
      <c r="B2384" s="4" t="n">
        <v>30000</v>
      </c>
      <c r="C2384" s="4" t="n">
        <v>344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제1종일반주거지역</t>
        </is>
      </c>
      <c r="G2384" s="3" t="inlineStr">
        <is>
          <t>대</t>
        </is>
      </c>
      <c r="H2384" s="4" t="n">
        <v>104.06</v>
      </c>
      <c r="I2384" s="5" t="n">
        <v>288.3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384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제1종일반주거지역</t>
        </is>
      </c>
      <c r="G2385" s="3" t="inlineStr">
        <is>
          <t>대</t>
        </is>
      </c>
      <c r="H2385" s="4" t="n">
        <v>116.16</v>
      </c>
      <c r="I2385" s="5" t="n">
        <v>215.2</v>
      </c>
      <c r="J2385" s="3" t="inlineStr">
        <is>
          <t>조치원읍</t>
        </is>
      </c>
    </row>
    <row r="2386">
      <c r="A2386" s="3" t="n">
        <v>2024</v>
      </c>
      <c r="B2386" s="4" t="n">
        <v>5000</v>
      </c>
      <c r="C2386" s="4" t="n">
        <v>50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제1종일반주거지역</t>
        </is>
      </c>
      <c r="G2386" s="3" t="inlineStr">
        <is>
          <t>대</t>
        </is>
      </c>
      <c r="H2386" s="4" t="n">
        <v>15.125</v>
      </c>
      <c r="I2386" s="5" t="n">
        <v>330.6</v>
      </c>
      <c r="J2386" s="3" t="inlineStr">
        <is>
          <t>조치원읍</t>
        </is>
      </c>
    </row>
    <row r="2387">
      <c r="A2387" s="3" t="n">
        <v>2024</v>
      </c>
      <c r="B2387" s="4" t="n">
        <v>50729</v>
      </c>
      <c r="C2387" s="4" t="n">
        <v>559</v>
      </c>
      <c r="D2387" s="3" t="inlineStr">
        <is>
          <t>연서면</t>
        </is>
      </c>
      <c r="E2387" s="3" t="inlineStr">
        <is>
          <t>신대리</t>
        </is>
      </c>
      <c r="F2387" s="3" t="inlineStr">
        <is>
          <t>계획관리지역</t>
        </is>
      </c>
      <c r="G2387" s="3" t="inlineStr">
        <is>
          <t>대</t>
        </is>
      </c>
      <c r="H2387" s="4" t="n">
        <v>169.0975</v>
      </c>
      <c r="I2387" s="5" t="n">
        <v>300</v>
      </c>
      <c r="J2387" s="3" t="inlineStr">
        <is>
          <t>연서면</t>
        </is>
      </c>
    </row>
    <row r="2388">
      <c r="A2388" s="3" t="n">
        <v>2024</v>
      </c>
      <c r="B2388" s="4" t="n">
        <v>49096</v>
      </c>
      <c r="C2388" s="4" t="n">
        <v>541</v>
      </c>
      <c r="D2388" s="3" t="inlineStr">
        <is>
          <t>연서면</t>
        </is>
      </c>
      <c r="E2388" s="3" t="inlineStr">
        <is>
          <t>신대리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163.6525</v>
      </c>
      <c r="I2388" s="5" t="n">
        <v>300</v>
      </c>
      <c r="J2388" s="3" t="inlineStr">
        <is>
          <t>연서면</t>
        </is>
      </c>
    </row>
    <row r="2389">
      <c r="A2389" s="3" t="n">
        <v>2023</v>
      </c>
      <c r="B2389" s="4" t="n">
        <v>114200</v>
      </c>
      <c r="C2389" s="4" t="n">
        <v>1190</v>
      </c>
      <c r="D2389" s="3" t="inlineStr">
        <is>
          <t>연서면</t>
        </is>
      </c>
      <c r="E2389" s="3" t="inlineStr">
        <is>
          <t>월하리</t>
        </is>
      </c>
      <c r="F2389" s="3" t="inlineStr">
        <is>
          <t>자연녹지지역</t>
        </is>
      </c>
      <c r="G2389" s="3" t="inlineStr">
        <is>
          <t>과수원</t>
        </is>
      </c>
      <c r="H2389" s="4" t="n">
        <v>359.975</v>
      </c>
      <c r="I2389" s="5" t="n">
        <v>317.2</v>
      </c>
      <c r="J2389" s="3" t="inlineStr">
        <is>
          <t>연서면</t>
        </is>
      </c>
    </row>
    <row r="2390">
      <c r="A2390" s="3" t="n">
        <v>2023</v>
      </c>
      <c r="B2390" s="4" t="n">
        <v>9000</v>
      </c>
      <c r="C2390" s="4" t="n">
        <v>99</v>
      </c>
      <c r="D2390" s="3" t="inlineStr">
        <is>
          <t>연서면</t>
        </is>
      </c>
      <c r="E2390" s="3" t="inlineStr">
        <is>
          <t>월하리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29.9475</v>
      </c>
      <c r="I2390" s="5" t="n">
        <v>300.5</v>
      </c>
      <c r="J2390" s="3" t="inlineStr">
        <is>
          <t>연서면</t>
        </is>
      </c>
    </row>
    <row r="2391">
      <c r="A2391" s="3" t="n">
        <v>2023</v>
      </c>
      <c r="B2391" s="4" t="n">
        <v>4800</v>
      </c>
      <c r="C2391" s="4" t="n">
        <v>53</v>
      </c>
      <c r="D2391" s="3" t="inlineStr">
        <is>
          <t>연서면</t>
        </is>
      </c>
      <c r="E2391" s="3" t="inlineStr">
        <is>
          <t>월하리</t>
        </is>
      </c>
      <c r="F2391" s="3" t="inlineStr">
        <is>
          <t>자연녹지지역</t>
        </is>
      </c>
      <c r="G2391" s="3" t="inlineStr">
        <is>
          <t>임야</t>
        </is>
      </c>
      <c r="H2391" s="4" t="n">
        <v>16.0325</v>
      </c>
      <c r="I2391" s="5" t="n">
        <v>299.4</v>
      </c>
      <c r="J2391" s="3" t="inlineStr">
        <is>
          <t>연서면</t>
        </is>
      </c>
    </row>
    <row r="2392">
      <c r="A2392" s="3" t="n">
        <v>2023</v>
      </c>
      <c r="B2392" s="4" t="n">
        <v>10200</v>
      </c>
      <c r="C2392" s="4" t="n">
        <v>112</v>
      </c>
      <c r="D2392" s="3" t="inlineStr">
        <is>
          <t>연서면</t>
        </is>
      </c>
      <c r="E2392" s="3" t="inlineStr">
        <is>
          <t>월하리</t>
        </is>
      </c>
      <c r="F2392" s="3" t="inlineStr">
        <is>
          <t>자연녹지지역</t>
        </is>
      </c>
      <c r="G2392" s="3" t="inlineStr">
        <is>
          <t>임야</t>
        </is>
      </c>
      <c r="H2392" s="4" t="n">
        <v>33.88</v>
      </c>
      <c r="I2392" s="5" t="n">
        <v>301.1</v>
      </c>
      <c r="J2392" s="3" t="inlineStr">
        <is>
          <t>연서면</t>
        </is>
      </c>
    </row>
    <row r="2393">
      <c r="A2393" s="3" t="n">
        <v>2023</v>
      </c>
      <c r="B2393" s="4" t="n">
        <v>1800</v>
      </c>
      <c r="C2393" s="4" t="n">
        <v>20</v>
      </c>
      <c r="D2393" s="3" t="inlineStr">
        <is>
          <t>연서면</t>
        </is>
      </c>
      <c r="E2393" s="3" t="inlineStr">
        <is>
          <t>월하리</t>
        </is>
      </c>
      <c r="F2393" s="3" t="inlineStr">
        <is>
          <t>자연녹지지역</t>
        </is>
      </c>
      <c r="G2393" s="3" t="inlineStr">
        <is>
          <t>임야</t>
        </is>
      </c>
      <c r="H2393" s="4" t="n">
        <v>6.05</v>
      </c>
      <c r="I2393" s="5" t="n">
        <v>297.5</v>
      </c>
      <c r="J2393" s="3" t="inlineStr">
        <is>
          <t>연서면</t>
        </is>
      </c>
    </row>
    <row r="2394">
      <c r="A2394" s="3" t="n">
        <v>2023</v>
      </c>
      <c r="B2394" s="4" t="n">
        <v>23420</v>
      </c>
      <c r="C2394" s="4" t="n">
        <v>302</v>
      </c>
      <c r="D2394" s="3" t="inlineStr">
        <is>
          <t>연서면</t>
        </is>
      </c>
      <c r="E2394" s="3" t="inlineStr">
        <is>
          <t>와촌리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91.355</v>
      </c>
      <c r="I2394" s="5" t="n">
        <v>256.4</v>
      </c>
      <c r="J2394" s="3" t="inlineStr">
        <is>
          <t>연서면</t>
        </is>
      </c>
    </row>
    <row r="2395">
      <c r="A2395" s="3" t="n">
        <v>2023</v>
      </c>
      <c r="B2395" s="4" t="n">
        <v>6500</v>
      </c>
      <c r="C2395" s="4" t="n">
        <v>302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보전관리지역</t>
        </is>
      </c>
      <c r="G2395" s="3" t="inlineStr">
        <is>
          <t>임야</t>
        </is>
      </c>
      <c r="H2395" s="4" t="n">
        <v>91.355</v>
      </c>
      <c r="I2395" s="5" t="n">
        <v>71.2</v>
      </c>
      <c r="J2395" s="3" t="inlineStr">
        <is>
          <t>연서면</t>
        </is>
      </c>
    </row>
    <row r="2396">
      <c r="A2396" s="3" t="n">
        <v>2023</v>
      </c>
      <c r="B2396" s="4" t="n">
        <v>26500</v>
      </c>
      <c r="C2396" s="4" t="n">
        <v>1015</v>
      </c>
      <c r="D2396" s="3" t="inlineStr">
        <is>
          <t>연서면</t>
        </is>
      </c>
      <c r="E2396" s="3" t="inlineStr">
        <is>
          <t>국촌리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307.0375</v>
      </c>
      <c r="I2396" s="5" t="n">
        <v>86.3</v>
      </c>
      <c r="J2396" s="3" t="inlineStr">
        <is>
          <t>연서면</t>
        </is>
      </c>
    </row>
    <row r="2397">
      <c r="A2397" s="3" t="n">
        <v>2023</v>
      </c>
      <c r="B2397" s="4" t="n">
        <v>73350</v>
      </c>
      <c r="C2397" s="4" t="n">
        <v>698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211.145</v>
      </c>
      <c r="I2397" s="5" t="n">
        <v>347.4</v>
      </c>
      <c r="J2397" s="3" t="inlineStr">
        <is>
          <t>연서면</t>
        </is>
      </c>
    </row>
    <row r="2398">
      <c r="A2398" s="3" t="n">
        <v>2023</v>
      </c>
      <c r="B2398" s="4" t="n">
        <v>90000</v>
      </c>
      <c r="C2398" s="4" t="n">
        <v>400</v>
      </c>
      <c r="D2398" s="3" t="inlineStr">
        <is>
          <t>도담동</t>
        </is>
      </c>
      <c r="E2398" s="3" t="inlineStr"/>
      <c r="F2398" s="3" t="inlineStr">
        <is>
          <t>제1종전용주거지역</t>
        </is>
      </c>
      <c r="G2398" s="3" t="inlineStr">
        <is>
          <t>대</t>
        </is>
      </c>
      <c r="H2398" s="4" t="n">
        <v>121</v>
      </c>
      <c r="I2398" s="5" t="n">
        <v>743.8</v>
      </c>
      <c r="J2398" s="3" t="inlineStr">
        <is>
          <t>도담동</t>
        </is>
      </c>
    </row>
    <row r="2399">
      <c r="A2399" s="3" t="n">
        <v>2022</v>
      </c>
      <c r="B2399" s="4" t="n">
        <v>91000</v>
      </c>
      <c r="C2399" s="4" t="n">
        <v>854</v>
      </c>
      <c r="D2399" s="3" t="inlineStr">
        <is>
          <t>부강면</t>
        </is>
      </c>
      <c r="E2399" s="3" t="inlineStr">
        <is>
          <t>부강리</t>
        </is>
      </c>
      <c r="F2399" s="3" t="inlineStr">
        <is>
          <t>계획관리지역</t>
        </is>
      </c>
      <c r="G2399" s="3" t="inlineStr">
        <is>
          <t>공장용지</t>
        </is>
      </c>
      <c r="H2399" s="4" t="n">
        <v>258.335</v>
      </c>
      <c r="I2399" s="5" t="n">
        <v>352.3</v>
      </c>
      <c r="J2399" s="3" t="inlineStr">
        <is>
          <t>부강면</t>
        </is>
      </c>
    </row>
    <row r="2400">
      <c r="A2400" s="3" t="n">
        <v>2022</v>
      </c>
      <c r="B2400" s="4" t="n">
        <v>23000</v>
      </c>
      <c r="C2400" s="4" t="n">
        <v>1959</v>
      </c>
      <c r="D2400" s="3" t="inlineStr">
        <is>
          <t>연서면</t>
        </is>
      </c>
      <c r="E2400" s="3" t="inlineStr">
        <is>
          <t>쌍류리</t>
        </is>
      </c>
      <c r="F2400" s="3" t="inlineStr">
        <is>
          <t>생산관리지역</t>
        </is>
      </c>
      <c r="G2400" s="3" t="inlineStr">
        <is>
          <t>과수원</t>
        </is>
      </c>
      <c r="H2400" s="4" t="n">
        <v>592.5975</v>
      </c>
      <c r="I2400" s="5" t="n">
        <v>38.8</v>
      </c>
      <c r="J2400" s="3" t="inlineStr">
        <is>
          <t>연서면</t>
        </is>
      </c>
    </row>
    <row r="2401">
      <c r="A2401" s="3" t="n">
        <v>2022</v>
      </c>
      <c r="B2401" s="4" t="n">
        <v>5000</v>
      </c>
      <c r="C2401" s="4" t="n">
        <v>283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85.6075</v>
      </c>
      <c r="I2401" s="5" t="n">
        <v>58.4</v>
      </c>
      <c r="J2401" s="3" t="inlineStr">
        <is>
          <t>부강면</t>
        </is>
      </c>
    </row>
    <row r="2402">
      <c r="A2402" s="3" t="n">
        <v>2022</v>
      </c>
      <c r="B2402" s="4" t="n">
        <v>2300</v>
      </c>
      <c r="C2402" s="4" t="n">
        <v>368</v>
      </c>
      <c r="D2402" s="3" t="inlineStr">
        <is>
          <t>부강면</t>
        </is>
      </c>
      <c r="E2402" s="3" t="inlineStr">
        <is>
          <t>금호리</t>
        </is>
      </c>
      <c r="F2402" s="3" t="inlineStr">
        <is>
          <t>계획관리지역</t>
        </is>
      </c>
      <c r="G2402" s="3" t="inlineStr">
        <is>
          <t>임야</t>
        </is>
      </c>
      <c r="H2402" s="4" t="n">
        <v>111.32</v>
      </c>
      <c r="I2402" s="5" t="n">
        <v>20.7</v>
      </c>
      <c r="J2402" s="3" t="inlineStr">
        <is>
          <t>부강면</t>
        </is>
      </c>
    </row>
    <row r="2403">
      <c r="A2403" s="3" t="n">
        <v>2022</v>
      </c>
      <c r="B2403" s="4" t="n">
        <v>30495</v>
      </c>
      <c r="C2403" s="4" t="n">
        <v>1061</v>
      </c>
      <c r="D2403" s="3" t="inlineStr">
        <is>
          <t>부강면</t>
        </is>
      </c>
      <c r="E2403" s="3" t="inlineStr">
        <is>
          <t>금호리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320.9525</v>
      </c>
      <c r="I2403" s="5" t="n">
        <v>95</v>
      </c>
      <c r="J2403" s="3" t="inlineStr">
        <is>
          <t>부강면</t>
        </is>
      </c>
    </row>
    <row r="2404">
      <c r="A2404" s="3" t="n">
        <v>2022</v>
      </c>
      <c r="B2404" s="4" t="n">
        <v>59600</v>
      </c>
      <c r="C2404" s="4" t="n">
        <v>1029</v>
      </c>
      <c r="D2404" s="3" t="inlineStr">
        <is>
          <t>연서면</t>
        </is>
      </c>
      <c r="E2404" s="3" t="inlineStr">
        <is>
          <t>국촌리</t>
        </is>
      </c>
      <c r="F2404" s="3" t="inlineStr">
        <is>
          <t>농림지역</t>
        </is>
      </c>
      <c r="G2404" s="3" t="inlineStr">
        <is>
          <t>임야</t>
        </is>
      </c>
      <c r="H2404" s="4" t="n">
        <v>311.2725</v>
      </c>
      <c r="I2404" s="5" t="n">
        <v>191.5</v>
      </c>
      <c r="J2404" s="3" t="inlineStr">
        <is>
          <t>연서면</t>
        </is>
      </c>
    </row>
    <row r="2405">
      <c r="A2405" s="3" t="n">
        <v>2022</v>
      </c>
      <c r="B2405" s="4" t="n">
        <v>38400</v>
      </c>
      <c r="C2405" s="4" t="n">
        <v>661</v>
      </c>
      <c r="D2405" s="3" t="inlineStr">
        <is>
          <t>연서면</t>
        </is>
      </c>
      <c r="E2405" s="3" t="inlineStr">
        <is>
          <t>국촌리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199.9525</v>
      </c>
      <c r="I2405" s="5" t="n">
        <v>192</v>
      </c>
      <c r="J2405" s="3" t="inlineStr">
        <is>
          <t>연서면</t>
        </is>
      </c>
    </row>
    <row r="2406">
      <c r="A2406" s="3" t="n">
        <v>2022</v>
      </c>
      <c r="B2406" s="4" t="n">
        <v>11000</v>
      </c>
      <c r="C2406" s="4" t="n">
        <v>137</v>
      </c>
      <c r="D2406" s="3" t="inlineStr">
        <is>
          <t>조치원읍</t>
        </is>
      </c>
      <c r="E2406" s="3" t="inlineStr">
        <is>
          <t>죽림리</t>
        </is>
      </c>
      <c r="F2406" s="3" t="inlineStr">
        <is>
          <t>제2종일반주거지역</t>
        </is>
      </c>
      <c r="G2406" s="3" t="inlineStr">
        <is>
          <t>과수원</t>
        </is>
      </c>
      <c r="H2406" s="4" t="n">
        <v>41.4425</v>
      </c>
      <c r="I2406" s="5" t="n">
        <v>265.4</v>
      </c>
      <c r="J2406" s="3" t="inlineStr">
        <is>
          <t>조치원읍</t>
        </is>
      </c>
    </row>
    <row r="2407">
      <c r="A2407" s="3" t="n">
        <v>2022</v>
      </c>
      <c r="B2407" s="4" t="n">
        <v>80</v>
      </c>
      <c r="C2407" s="4" t="n">
        <v>1</v>
      </c>
      <c r="D2407" s="3" t="inlineStr">
        <is>
          <t>조치원읍</t>
        </is>
      </c>
      <c r="E2407" s="3" t="inlineStr">
        <is>
          <t>죽림리</t>
        </is>
      </c>
      <c r="F2407" s="3" t="inlineStr">
        <is>
          <t>제2종일반주거지역</t>
        </is>
      </c>
      <c r="G2407" s="3" t="inlineStr">
        <is>
          <t>과수원</t>
        </is>
      </c>
      <c r="H2407" s="4" t="n">
        <v>0.3025</v>
      </c>
      <c r="I2407" s="5" t="n">
        <v>264.5</v>
      </c>
      <c r="J2407" s="3" t="inlineStr">
        <is>
          <t>조치원읍</t>
        </is>
      </c>
    </row>
    <row r="2408">
      <c r="A2408" s="3" t="n">
        <v>2026</v>
      </c>
      <c r="B2408" s="4" t="n">
        <v>37500</v>
      </c>
      <c r="C2408" s="4" t="n">
        <v>284.9</v>
      </c>
      <c r="D2408" s="3" t="inlineStr">
        <is>
          <t>집현동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86.18225</v>
      </c>
      <c r="I2408" s="5" t="n">
        <v>435.1</v>
      </c>
      <c r="J2408" s="3" t="inlineStr">
        <is>
          <t>집현동</t>
        </is>
      </c>
    </row>
    <row r="2409">
      <c r="A2409" s="3" t="n">
        <v>2025</v>
      </c>
      <c r="B2409" s="4" t="n">
        <v>41200</v>
      </c>
      <c r="C2409" s="4" t="n">
        <v>3911</v>
      </c>
      <c r="D2409" s="3" t="inlineStr">
        <is>
          <t>연서면</t>
        </is>
      </c>
      <c r="E2409" s="3" t="inlineStr">
        <is>
          <t>기룡리</t>
        </is>
      </c>
      <c r="F2409" s="3" t="inlineStr">
        <is>
          <t>생산관리지역</t>
        </is>
      </c>
      <c r="G2409" s="3" t="inlineStr">
        <is>
          <t>답</t>
        </is>
      </c>
      <c r="H2409" s="4" t="n">
        <v>1183.0775</v>
      </c>
      <c r="I2409" s="5" t="n">
        <v>34.8</v>
      </c>
      <c r="J2409" s="3" t="inlineStr">
        <is>
          <t>연서면</t>
        </is>
      </c>
    </row>
    <row r="2410">
      <c r="A2410" s="3" t="n">
        <v>2025</v>
      </c>
      <c r="B2410" s="4" t="n">
        <v>1800</v>
      </c>
      <c r="C2410" s="4" t="n">
        <v>169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답</t>
        </is>
      </c>
      <c r="H2410" s="4" t="n">
        <v>51.1225</v>
      </c>
      <c r="I2410" s="5" t="n">
        <v>35.2</v>
      </c>
      <c r="J2410" s="3" t="inlineStr">
        <is>
          <t>연서면</t>
        </is>
      </c>
    </row>
    <row r="2411">
      <c r="A2411" s="3" t="n">
        <v>2025</v>
      </c>
      <c r="B2411" s="4" t="n">
        <v>7122</v>
      </c>
      <c r="C2411" s="4" t="n">
        <v>239</v>
      </c>
      <c r="D2411" s="3" t="inlineStr">
        <is>
          <t>연동면</t>
        </is>
      </c>
      <c r="E2411" s="3" t="inlineStr">
        <is>
          <t>송용리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72.2975</v>
      </c>
      <c r="I2411" s="5" t="n">
        <v>98.5</v>
      </c>
      <c r="J2411" s="3" t="inlineStr">
        <is>
          <t>연동면</t>
        </is>
      </c>
    </row>
    <row r="2412">
      <c r="A2412" s="3" t="n">
        <v>2025</v>
      </c>
      <c r="B2412" s="4" t="n">
        <v>60</v>
      </c>
      <c r="C2412" s="4" t="n">
        <v>2</v>
      </c>
      <c r="D2412" s="3" t="inlineStr">
        <is>
          <t>연동면</t>
        </is>
      </c>
      <c r="E2412" s="3" t="inlineStr">
        <is>
          <t>송용리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0.605</v>
      </c>
      <c r="I2412" s="5" t="n">
        <v>99.2</v>
      </c>
      <c r="J2412" s="3" t="inlineStr">
        <is>
          <t>연동면</t>
        </is>
      </c>
    </row>
    <row r="2413">
      <c r="A2413" s="3" t="n">
        <v>2025</v>
      </c>
      <c r="B2413" s="4" t="n">
        <v>21000</v>
      </c>
      <c r="C2413" s="4" t="n">
        <v>1437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농림지역</t>
        </is>
      </c>
      <c r="G2413" s="3" t="inlineStr">
        <is>
          <t>전</t>
        </is>
      </c>
      <c r="H2413" s="4" t="n">
        <v>434.6925</v>
      </c>
      <c r="I2413" s="5" t="n">
        <v>48.3</v>
      </c>
      <c r="J2413" s="3" t="inlineStr">
        <is>
          <t>부강면</t>
        </is>
      </c>
    </row>
    <row r="2414">
      <c r="A2414" s="3" t="n">
        <v>2026</v>
      </c>
      <c r="B2414" s="4" t="n">
        <v>49350</v>
      </c>
      <c r="C2414" s="4" t="n">
        <v>1551</v>
      </c>
      <c r="D2414" s="3" t="inlineStr">
        <is>
          <t>연서면</t>
        </is>
      </c>
      <c r="E2414" s="3" t="inlineStr">
        <is>
          <t>와촌리</t>
        </is>
      </c>
      <c r="F2414" s="3" t="inlineStr">
        <is>
          <t>농림지역</t>
        </is>
      </c>
      <c r="G2414" s="3" t="inlineStr">
        <is>
          <t>답</t>
        </is>
      </c>
      <c r="H2414" s="4" t="n">
        <v>469.1775</v>
      </c>
      <c r="I2414" s="5" t="n">
        <v>105.2</v>
      </c>
      <c r="J2414" s="3" t="inlineStr">
        <is>
          <t>연서면</t>
        </is>
      </c>
    </row>
    <row r="2415">
      <c r="A2415" s="3" t="n">
        <v>2026</v>
      </c>
      <c r="B2415" s="4" t="n">
        <v>37000</v>
      </c>
      <c r="C2415" s="4" t="n">
        <v>2315</v>
      </c>
      <c r="D2415" s="3" t="inlineStr">
        <is>
          <t>연동면</t>
        </is>
      </c>
      <c r="E2415" s="3" t="inlineStr">
        <is>
          <t>문주리</t>
        </is>
      </c>
      <c r="F2415" s="3" t="inlineStr">
        <is>
          <t>농림지역</t>
        </is>
      </c>
      <c r="G2415" s="3" t="inlineStr">
        <is>
          <t>답</t>
        </is>
      </c>
      <c r="H2415" s="4" t="n">
        <v>700.2875</v>
      </c>
      <c r="I2415" s="5" t="n">
        <v>52.8</v>
      </c>
      <c r="J2415" s="3" t="inlineStr">
        <is>
          <t>연동면</t>
        </is>
      </c>
    </row>
    <row r="2416">
      <c r="A2416" s="3" t="n">
        <v>2026</v>
      </c>
      <c r="B2416" s="4" t="n">
        <v>258106</v>
      </c>
      <c r="C2416" s="4" t="n">
        <v>3855.5</v>
      </c>
      <c r="D2416" s="3" t="inlineStr">
        <is>
          <t>집현동</t>
        </is>
      </c>
      <c r="E2416" s="3" t="inlineStr"/>
      <c r="F2416" s="3" t="inlineStr">
        <is>
          <t>준주거지역</t>
        </is>
      </c>
      <c r="G2416" s="3" t="inlineStr">
        <is>
          <t>대</t>
        </is>
      </c>
      <c r="H2416" s="4" t="n">
        <v>1166.28875</v>
      </c>
      <c r="I2416" s="5" t="n">
        <v>221.3</v>
      </c>
      <c r="J2416" s="3" t="inlineStr">
        <is>
          <t>집현동</t>
        </is>
      </c>
    </row>
    <row r="2417">
      <c r="A2417" s="3" t="n">
        <v>2026</v>
      </c>
      <c r="B2417" s="4" t="n">
        <v>8100</v>
      </c>
      <c r="C2417" s="4" t="n">
        <v>434</v>
      </c>
      <c r="D2417" s="3" t="inlineStr">
        <is>
          <t>부강면</t>
        </is>
      </c>
      <c r="E2417" s="3" t="inlineStr">
        <is>
          <t>갈산리</t>
        </is>
      </c>
      <c r="F2417" s="3" t="inlineStr">
        <is>
          <t>계획관리지역</t>
        </is>
      </c>
      <c r="G2417" s="3" t="inlineStr">
        <is>
          <t>대</t>
        </is>
      </c>
      <c r="H2417" s="4" t="n">
        <v>131.285</v>
      </c>
      <c r="I2417" s="5" t="n">
        <v>61.7</v>
      </c>
      <c r="J2417" s="3" t="inlineStr">
        <is>
          <t>부강면</t>
        </is>
      </c>
    </row>
    <row r="2418">
      <c r="A2418" s="3" t="n">
        <v>2026</v>
      </c>
      <c r="B2418" s="4" t="n">
        <v>31000</v>
      </c>
      <c r="C2418" s="4" t="n">
        <v>290</v>
      </c>
      <c r="D2418" s="3" t="inlineStr">
        <is>
          <t>고운동</t>
        </is>
      </c>
      <c r="E2418" s="3" t="inlineStr"/>
      <c r="F2418" s="3" t="inlineStr">
        <is>
          <t>제1종전용주거지역</t>
        </is>
      </c>
      <c r="G2418" s="3" t="inlineStr">
        <is>
          <t>대</t>
        </is>
      </c>
      <c r="H2418" s="4" t="n">
        <v>87.72499999999999</v>
      </c>
      <c r="I2418" s="5" t="n">
        <v>353.4</v>
      </c>
      <c r="J2418" s="3" t="inlineStr">
        <is>
          <t>고운동</t>
        </is>
      </c>
    </row>
    <row r="2419">
      <c r="A2419" s="3" t="n">
        <v>2026</v>
      </c>
      <c r="B2419" s="4" t="n">
        <v>48000</v>
      </c>
      <c r="C2419" s="4" t="n">
        <v>342.4</v>
      </c>
      <c r="D2419" s="3" t="inlineStr">
        <is>
          <t>아름동</t>
        </is>
      </c>
      <c r="E2419" s="3" t="inlineStr"/>
      <c r="F2419" s="3" t="inlineStr">
        <is>
          <t>제1종전용주거지역</t>
        </is>
      </c>
      <c r="G2419" s="3" t="inlineStr">
        <is>
          <t>대</t>
        </is>
      </c>
      <c r="H2419" s="4" t="n">
        <v>103.576</v>
      </c>
      <c r="I2419" s="5" t="n">
        <v>463.4</v>
      </c>
      <c r="J2419" s="3" t="inlineStr">
        <is>
          <t>아름동</t>
        </is>
      </c>
    </row>
    <row r="2420">
      <c r="A2420" s="3" t="n">
        <v>2026</v>
      </c>
      <c r="B2420" s="4" t="n">
        <v>265800</v>
      </c>
      <c r="C2420" s="4" t="n">
        <v>12138</v>
      </c>
      <c r="D2420" s="3" t="inlineStr">
        <is>
          <t>연서면</t>
        </is>
      </c>
      <c r="E2420" s="3" t="inlineStr">
        <is>
          <t>국촌리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3671.745</v>
      </c>
      <c r="I2420" s="5" t="n">
        <v>72.40000000000001</v>
      </c>
      <c r="J2420" s="3" t="inlineStr">
        <is>
          <t>연서면</t>
        </is>
      </c>
    </row>
    <row r="2421">
      <c r="A2421" s="3" t="n">
        <v>2025</v>
      </c>
      <c r="B2421" s="4" t="n">
        <v>12000</v>
      </c>
      <c r="C2421" s="4" t="n">
        <v>145</v>
      </c>
      <c r="D2421" s="3" t="inlineStr">
        <is>
          <t>조치원읍</t>
        </is>
      </c>
      <c r="E2421" s="3" t="inlineStr">
        <is>
          <t>번암리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43.8625</v>
      </c>
      <c r="I2421" s="5" t="n">
        <v>273.6</v>
      </c>
      <c r="J2421" s="3" t="inlineStr">
        <is>
          <t>조치원읍</t>
        </is>
      </c>
    </row>
    <row r="2422">
      <c r="A2422" s="3" t="n">
        <v>2025</v>
      </c>
      <c r="B2422" s="4" t="n">
        <v>200</v>
      </c>
      <c r="C2422" s="4" t="n">
        <v>2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제2종일반주거지역</t>
        </is>
      </c>
      <c r="G2422" s="3" t="inlineStr">
        <is>
          <t>대</t>
        </is>
      </c>
      <c r="H2422" s="4" t="n">
        <v>0.605</v>
      </c>
      <c r="I2422" s="5" t="n">
        <v>330.6</v>
      </c>
      <c r="J2422" s="3" t="inlineStr">
        <is>
          <t>부강면</t>
        </is>
      </c>
    </row>
    <row r="2423">
      <c r="A2423" s="3" t="n">
        <v>2022</v>
      </c>
      <c r="B2423" s="4" t="n">
        <v>243810</v>
      </c>
      <c r="C2423" s="4" t="n">
        <v>3838</v>
      </c>
      <c r="D2423" s="3" t="inlineStr">
        <is>
          <t>연서면</t>
        </is>
      </c>
      <c r="E2423" s="3" t="inlineStr">
        <is>
          <t>월하리</t>
        </is>
      </c>
      <c r="F2423" s="3" t="inlineStr">
        <is>
          <t>자연녹지지역</t>
        </is>
      </c>
      <c r="G2423" s="3" t="inlineStr">
        <is>
          <t>답</t>
        </is>
      </c>
      <c r="H2423" s="4" t="n">
        <v>1160.995</v>
      </c>
      <c r="I2423" s="5" t="n">
        <v>210</v>
      </c>
      <c r="J2423" s="3" t="inlineStr">
        <is>
          <t>연서면</t>
        </is>
      </c>
    </row>
    <row r="2424">
      <c r="A2424" s="3" t="n">
        <v>2022</v>
      </c>
      <c r="B2424" s="4" t="n">
        <v>50820</v>
      </c>
      <c r="C2424" s="4" t="n">
        <v>799</v>
      </c>
      <c r="D2424" s="3" t="inlineStr">
        <is>
          <t>연서면</t>
        </is>
      </c>
      <c r="E2424" s="3" t="inlineStr">
        <is>
          <t>월하리</t>
        </is>
      </c>
      <c r="F2424" s="3" t="inlineStr">
        <is>
          <t>자연녹지지역</t>
        </is>
      </c>
      <c r="G2424" s="3" t="inlineStr">
        <is>
          <t>답</t>
        </is>
      </c>
      <c r="H2424" s="4" t="n">
        <v>241.6975</v>
      </c>
      <c r="I2424" s="5" t="n">
        <v>210.3</v>
      </c>
      <c r="J2424" s="3" t="inlineStr">
        <is>
          <t>연서면</t>
        </is>
      </c>
    </row>
    <row r="2425">
      <c r="A2425" s="3" t="n">
        <v>2022</v>
      </c>
      <c r="B2425" s="4" t="n">
        <v>45000</v>
      </c>
      <c r="C2425" s="4" t="n">
        <v>11841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농림지역</t>
        </is>
      </c>
      <c r="G2425" s="3" t="inlineStr">
        <is>
          <t>임야</t>
        </is>
      </c>
      <c r="H2425" s="4" t="n">
        <v>3581.9025</v>
      </c>
      <c r="I2425" s="5" t="n">
        <v>12.6</v>
      </c>
      <c r="J2425" s="3" t="inlineStr">
        <is>
          <t>부강면</t>
        </is>
      </c>
    </row>
    <row r="2426">
      <c r="A2426" s="3" t="n">
        <v>2022</v>
      </c>
      <c r="B2426" s="4" t="n">
        <v>100000</v>
      </c>
      <c r="C2426" s="4" t="n">
        <v>27955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농림지역</t>
        </is>
      </c>
      <c r="G2426" s="3" t="inlineStr">
        <is>
          <t>임야</t>
        </is>
      </c>
      <c r="H2426" s="4" t="n">
        <v>8456.387499999999</v>
      </c>
      <c r="I2426" s="5" t="n">
        <v>11.8</v>
      </c>
      <c r="J2426" s="3" t="inlineStr">
        <is>
          <t>부강면</t>
        </is>
      </c>
    </row>
    <row r="2427">
      <c r="A2427" s="3" t="n">
        <v>2022</v>
      </c>
      <c r="B2427" s="4" t="n">
        <v>34900</v>
      </c>
      <c r="C2427" s="4" t="n">
        <v>1359</v>
      </c>
      <c r="D2427" s="3" t="inlineStr">
        <is>
          <t>부강면</t>
        </is>
      </c>
      <c r="E2427" s="3" t="inlineStr">
        <is>
          <t>행산리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411.0975</v>
      </c>
      <c r="I2427" s="5" t="n">
        <v>84.90000000000001</v>
      </c>
      <c r="J2427" s="3" t="inlineStr">
        <is>
          <t>부강면</t>
        </is>
      </c>
    </row>
    <row r="2428">
      <c r="A2428" s="3" t="n">
        <v>2026</v>
      </c>
      <c r="B2428" s="4" t="n">
        <v>52000</v>
      </c>
      <c r="C2428" s="4" t="n">
        <v>335</v>
      </c>
      <c r="D2428" s="3" t="inlineStr">
        <is>
          <t>아름동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101.3375</v>
      </c>
      <c r="I2428" s="5" t="n">
        <v>513.1</v>
      </c>
      <c r="J2428" s="3" t="inlineStr">
        <is>
          <t>아름동</t>
        </is>
      </c>
    </row>
    <row r="2429">
      <c r="A2429" s="3" t="n">
        <v>2026</v>
      </c>
      <c r="B2429" s="4" t="n">
        <v>53000</v>
      </c>
      <c r="C2429" s="4" t="n">
        <v>348</v>
      </c>
      <c r="D2429" s="3" t="inlineStr">
        <is>
          <t>아름동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105.27</v>
      </c>
      <c r="I2429" s="5" t="n">
        <v>503.5</v>
      </c>
      <c r="J2429" s="3" t="inlineStr">
        <is>
          <t>아름동</t>
        </is>
      </c>
    </row>
    <row r="2430">
      <c r="A2430" s="3" t="n">
        <v>2026</v>
      </c>
      <c r="B2430" s="4" t="n">
        <v>40563</v>
      </c>
      <c r="C2430" s="4" t="n">
        <v>2438</v>
      </c>
      <c r="D2430" s="3" t="inlineStr">
        <is>
          <t>연동면</t>
        </is>
      </c>
      <c r="E2430" s="3" t="inlineStr">
        <is>
          <t>명학리</t>
        </is>
      </c>
      <c r="F2430" s="3" t="inlineStr">
        <is>
          <t>농림지역</t>
        </is>
      </c>
      <c r="G2430" s="3" t="inlineStr">
        <is>
          <t>답</t>
        </is>
      </c>
      <c r="H2430" s="4" t="n">
        <v>737.495</v>
      </c>
      <c r="I2430" s="5" t="n">
        <v>55</v>
      </c>
      <c r="J2430" s="3" t="inlineStr">
        <is>
          <t>연동면</t>
        </is>
      </c>
    </row>
    <row r="2431">
      <c r="A2431" s="3" t="n">
        <v>2026</v>
      </c>
      <c r="B2431" s="4" t="n">
        <v>40546</v>
      </c>
      <c r="C2431" s="4" t="n">
        <v>2437.3</v>
      </c>
      <c r="D2431" s="3" t="inlineStr">
        <is>
          <t>연동면</t>
        </is>
      </c>
      <c r="E2431" s="3" t="inlineStr">
        <is>
          <t>명학리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737.2832500000001</v>
      </c>
      <c r="I2431" s="5" t="n">
        <v>55</v>
      </c>
      <c r="J2431" s="3" t="inlineStr">
        <is>
          <t>연동면</t>
        </is>
      </c>
    </row>
    <row r="2432">
      <c r="A2432" s="3" t="n">
        <v>2026</v>
      </c>
      <c r="B2432" s="4" t="n">
        <v>15000</v>
      </c>
      <c r="C2432" s="4" t="n">
        <v>873</v>
      </c>
      <c r="D2432" s="3" t="inlineStr">
        <is>
          <t>연서면</t>
        </is>
      </c>
      <c r="E2432" s="3" t="inlineStr">
        <is>
          <t>국촌리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264.0825</v>
      </c>
      <c r="I2432" s="5" t="n">
        <v>56.8</v>
      </c>
      <c r="J2432" s="3" t="inlineStr">
        <is>
          <t>연서면</t>
        </is>
      </c>
    </row>
    <row r="2433">
      <c r="A2433" s="3" t="n">
        <v>2024</v>
      </c>
      <c r="B2433" s="4" t="n">
        <v>9025</v>
      </c>
      <c r="C2433" s="4" t="n">
        <v>199</v>
      </c>
      <c r="D2433" s="3" t="inlineStr">
        <is>
          <t>부강면</t>
        </is>
      </c>
      <c r="E2433" s="3" t="inlineStr">
        <is>
          <t>부강리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60.1975</v>
      </c>
      <c r="I2433" s="5" t="n">
        <v>149.9</v>
      </c>
      <c r="J2433" s="3" t="inlineStr">
        <is>
          <t>부강면</t>
        </is>
      </c>
    </row>
    <row r="2434">
      <c r="A2434" s="3" t="n">
        <v>2024</v>
      </c>
      <c r="B2434" s="4" t="n">
        <v>25000</v>
      </c>
      <c r="C2434" s="4" t="n">
        <v>280</v>
      </c>
      <c r="D2434" s="3" t="inlineStr">
        <is>
          <t>조치원읍</t>
        </is>
      </c>
      <c r="E2434" s="3" t="inlineStr">
        <is>
          <t>신안리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84.7</v>
      </c>
      <c r="I2434" s="5" t="n">
        <v>295.2</v>
      </c>
      <c r="J2434" s="3" t="inlineStr">
        <is>
          <t>조치원읍</t>
        </is>
      </c>
    </row>
    <row r="2435">
      <c r="A2435" s="3" t="n">
        <v>2024</v>
      </c>
      <c r="B2435" s="4" t="n">
        <v>20000</v>
      </c>
      <c r="C2435" s="4" t="n">
        <v>286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86.515</v>
      </c>
      <c r="I2435" s="5" t="n">
        <v>231.2</v>
      </c>
      <c r="J2435" s="3" t="inlineStr">
        <is>
          <t>조치원읍</t>
        </is>
      </c>
    </row>
    <row r="2436">
      <c r="A2436" s="3" t="n">
        <v>2024</v>
      </c>
      <c r="B2436" s="4" t="n">
        <v>5000</v>
      </c>
      <c r="C2436" s="4" t="n">
        <v>61</v>
      </c>
      <c r="D2436" s="3" t="inlineStr">
        <is>
          <t>조치원읍</t>
        </is>
      </c>
      <c r="E2436" s="3" t="inlineStr">
        <is>
          <t>신안리</t>
        </is>
      </c>
      <c r="F2436" s="3" t="inlineStr">
        <is>
          <t>제1종일반주거지역</t>
        </is>
      </c>
      <c r="G2436" s="3" t="inlineStr">
        <is>
          <t>도로</t>
        </is>
      </c>
      <c r="H2436" s="4" t="n">
        <v>18.4525</v>
      </c>
      <c r="I2436" s="5" t="n">
        <v>271</v>
      </c>
      <c r="J2436" s="3" t="inlineStr">
        <is>
          <t>조치원읍</t>
        </is>
      </c>
    </row>
    <row r="2437">
      <c r="A2437" s="3" t="n">
        <v>2024</v>
      </c>
      <c r="B2437" s="4" t="n">
        <v>10320</v>
      </c>
      <c r="C2437" s="4" t="n">
        <v>569</v>
      </c>
      <c r="D2437" s="3" t="inlineStr">
        <is>
          <t>연서면</t>
        </is>
      </c>
      <c r="E2437" s="3" t="inlineStr">
        <is>
          <t>기룡리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172.1225</v>
      </c>
      <c r="I2437" s="5" t="n">
        <v>60</v>
      </c>
      <c r="J2437" s="3" t="inlineStr">
        <is>
          <t>연서면</t>
        </is>
      </c>
    </row>
    <row r="2438">
      <c r="A2438" s="3" t="n">
        <v>2024</v>
      </c>
      <c r="B2438" s="4" t="n">
        <v>41970</v>
      </c>
      <c r="C2438" s="4" t="n">
        <v>2472</v>
      </c>
      <c r="D2438" s="3" t="inlineStr">
        <is>
          <t>연서면</t>
        </is>
      </c>
      <c r="E2438" s="3" t="inlineStr">
        <is>
          <t>성제리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747.78</v>
      </c>
      <c r="I2438" s="5" t="n">
        <v>56.1</v>
      </c>
      <c r="J2438" s="3" t="inlineStr">
        <is>
          <t>연서면</t>
        </is>
      </c>
    </row>
    <row r="2439">
      <c r="A2439" s="3" t="n">
        <v>2024</v>
      </c>
      <c r="B2439" s="4" t="n">
        <v>4315</v>
      </c>
      <c r="C2439" s="4" t="n">
        <v>314</v>
      </c>
      <c r="D2439" s="3" t="inlineStr">
        <is>
          <t>연서면</t>
        </is>
      </c>
      <c r="E2439" s="3" t="inlineStr">
        <is>
          <t>성제리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94.985</v>
      </c>
      <c r="I2439" s="5" t="n">
        <v>45.4</v>
      </c>
      <c r="J2439" s="3" t="inlineStr">
        <is>
          <t>연서면</t>
        </is>
      </c>
    </row>
    <row r="2440">
      <c r="A2440" s="3" t="n">
        <v>2024</v>
      </c>
      <c r="B2440" s="4" t="n">
        <v>13027</v>
      </c>
      <c r="C2440" s="4" t="n">
        <v>948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286.77</v>
      </c>
      <c r="I2440" s="5" t="n">
        <v>45.4</v>
      </c>
      <c r="J2440" s="3" t="inlineStr">
        <is>
          <t>연서면</t>
        </is>
      </c>
    </row>
    <row r="2441">
      <c r="A2441" s="3" t="n">
        <v>2024</v>
      </c>
      <c r="B2441" s="4" t="n">
        <v>21025</v>
      </c>
      <c r="C2441" s="4" t="n">
        <v>1530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462.825</v>
      </c>
      <c r="I2441" s="5" t="n">
        <v>45.4</v>
      </c>
      <c r="J2441" s="3" t="inlineStr">
        <is>
          <t>연서면</t>
        </is>
      </c>
    </row>
    <row r="2442">
      <c r="A2442" s="3" t="n">
        <v>2024</v>
      </c>
      <c r="B2442" s="4" t="n">
        <v>47547</v>
      </c>
      <c r="C2442" s="4" t="n">
        <v>660</v>
      </c>
      <c r="D2442" s="3" t="inlineStr">
        <is>
          <t>연동면</t>
        </is>
      </c>
      <c r="E2442" s="3" t="inlineStr">
        <is>
          <t>내판리</t>
        </is>
      </c>
      <c r="F2442" s="3" t="inlineStr">
        <is>
          <t>보전관리지역</t>
        </is>
      </c>
      <c r="G2442" s="3" t="inlineStr">
        <is>
          <t>대</t>
        </is>
      </c>
      <c r="H2442" s="4" t="n">
        <v>199.65</v>
      </c>
      <c r="I2442" s="5" t="n">
        <v>238.2</v>
      </c>
      <c r="J2442" s="3" t="inlineStr">
        <is>
          <t>연동면</t>
        </is>
      </c>
    </row>
    <row r="2443">
      <c r="A2443" s="3" t="n">
        <v>2024</v>
      </c>
      <c r="B2443" s="4" t="n">
        <v>6600</v>
      </c>
      <c r="C2443" s="4" t="n">
        <v>559</v>
      </c>
      <c r="D2443" s="3" t="inlineStr">
        <is>
          <t>부강면</t>
        </is>
      </c>
      <c r="E2443" s="3" t="inlineStr">
        <is>
          <t>금호리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169.0975</v>
      </c>
      <c r="I2443" s="5" t="n">
        <v>39</v>
      </c>
      <c r="J2443" s="3" t="inlineStr">
        <is>
          <t>부강면</t>
        </is>
      </c>
    </row>
    <row r="2444">
      <c r="A2444" s="3" t="n">
        <v>2024</v>
      </c>
      <c r="B2444" s="4" t="n">
        <v>400000</v>
      </c>
      <c r="C2444" s="4" t="n">
        <v>943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일반상업지역</t>
        </is>
      </c>
      <c r="G2444" s="3" t="inlineStr">
        <is>
          <t>대</t>
        </is>
      </c>
      <c r="H2444" s="4" t="n">
        <v>285.2575</v>
      </c>
      <c r="I2444" s="5" t="n">
        <v>1402.2</v>
      </c>
      <c r="J2444" s="3" t="inlineStr">
        <is>
          <t>부강면</t>
        </is>
      </c>
    </row>
    <row r="2445">
      <c r="A2445" s="3" t="n">
        <v>2024</v>
      </c>
      <c r="B2445" s="4" t="n">
        <v>1000</v>
      </c>
      <c r="C2445" s="4" t="n">
        <v>200</v>
      </c>
      <c r="D2445" s="3" t="inlineStr">
        <is>
          <t>부강면</t>
        </is>
      </c>
      <c r="E2445" s="3" t="inlineStr">
        <is>
          <t>문곡리</t>
        </is>
      </c>
      <c r="F2445" s="3" t="inlineStr">
        <is>
          <t>보전관리지역</t>
        </is>
      </c>
      <c r="G2445" s="3" t="inlineStr">
        <is>
          <t>임야</t>
        </is>
      </c>
      <c r="H2445" s="4" t="n">
        <v>60.5</v>
      </c>
      <c r="I2445" s="5" t="n">
        <v>16.5</v>
      </c>
      <c r="J2445" s="3" t="inlineStr">
        <is>
          <t>부강면</t>
        </is>
      </c>
    </row>
    <row r="2446">
      <c r="A2446" s="3" t="n">
        <v>2024</v>
      </c>
      <c r="B2446" s="4" t="n">
        <v>1530</v>
      </c>
      <c r="C2446" s="4" t="n">
        <v>12.8</v>
      </c>
      <c r="D2446" s="3" t="inlineStr">
        <is>
          <t>고운동</t>
        </is>
      </c>
      <c r="E2446" s="3" t="inlineStr"/>
      <c r="F2446" s="3" t="inlineStr">
        <is>
          <t>제1종전용주거지역</t>
        </is>
      </c>
      <c r="G2446" s="3" t="inlineStr">
        <is>
          <t>주차장</t>
        </is>
      </c>
      <c r="H2446" s="4" t="n">
        <v>3.872</v>
      </c>
      <c r="I2446" s="5" t="n">
        <v>395.1</v>
      </c>
      <c r="J2446" s="3" t="inlineStr">
        <is>
          <t>고운동</t>
        </is>
      </c>
    </row>
    <row r="2447">
      <c r="A2447" s="3" t="n">
        <v>2024</v>
      </c>
      <c r="B2447" s="4" t="n">
        <v>1530</v>
      </c>
      <c r="C2447" s="4" t="n">
        <v>12.8</v>
      </c>
      <c r="D2447" s="3" t="inlineStr">
        <is>
          <t>고운동</t>
        </is>
      </c>
      <c r="E2447" s="3" t="inlineStr"/>
      <c r="F2447" s="3" t="inlineStr">
        <is>
          <t>제1종전용주거지역</t>
        </is>
      </c>
      <c r="G2447" s="3" t="inlineStr">
        <is>
          <t>주차장</t>
        </is>
      </c>
      <c r="H2447" s="4" t="n">
        <v>3.872</v>
      </c>
      <c r="I2447" s="5" t="n">
        <v>395.1</v>
      </c>
      <c r="J2447" s="3" t="inlineStr">
        <is>
          <t>고운동</t>
        </is>
      </c>
    </row>
    <row r="2448">
      <c r="A2448" s="3" t="n">
        <v>2023</v>
      </c>
      <c r="B2448" s="4" t="n">
        <v>65000</v>
      </c>
      <c r="C2448" s="4" t="n">
        <v>3173.3</v>
      </c>
      <c r="D2448" s="3" t="inlineStr">
        <is>
          <t>연동면</t>
        </is>
      </c>
      <c r="E2448" s="3" t="inlineStr">
        <is>
          <t>문주리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959.9232500000001</v>
      </c>
      <c r="I2448" s="5" t="n">
        <v>67.7</v>
      </c>
      <c r="J2448" s="3" t="inlineStr">
        <is>
          <t>연동면</t>
        </is>
      </c>
    </row>
    <row r="2449">
      <c r="A2449" s="3" t="n">
        <v>2023</v>
      </c>
      <c r="B2449" s="4" t="n">
        <v>58000</v>
      </c>
      <c r="C2449" s="4" t="n">
        <v>338</v>
      </c>
      <c r="D2449" s="3" t="inlineStr">
        <is>
          <t>고운동</t>
        </is>
      </c>
      <c r="E2449" s="3" t="inlineStr"/>
      <c r="F2449" s="3" t="inlineStr">
        <is>
          <t>제1종전용주거지역</t>
        </is>
      </c>
      <c r="G2449" s="3" t="inlineStr">
        <is>
          <t>대</t>
        </is>
      </c>
      <c r="H2449" s="4" t="n">
        <v>102.245</v>
      </c>
      <c r="I2449" s="5" t="n">
        <v>567.3</v>
      </c>
      <c r="J2449" s="3" t="inlineStr">
        <is>
          <t>고운동</t>
        </is>
      </c>
    </row>
    <row r="2450">
      <c r="A2450" s="3" t="n">
        <v>2022</v>
      </c>
      <c r="B2450" s="4" t="n">
        <v>12906</v>
      </c>
      <c r="C2450" s="4" t="n">
        <v>950</v>
      </c>
      <c r="D2450" s="3" t="inlineStr">
        <is>
          <t>부강면</t>
        </is>
      </c>
      <c r="E2450" s="3" t="inlineStr">
        <is>
          <t>문곡리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287.375</v>
      </c>
      <c r="I2450" s="5" t="n">
        <v>44.9</v>
      </c>
      <c r="J2450" s="3" t="inlineStr">
        <is>
          <t>부강면</t>
        </is>
      </c>
    </row>
    <row r="2451">
      <c r="A2451" s="3" t="n">
        <v>2022</v>
      </c>
      <c r="B2451" s="4" t="n">
        <v>10200</v>
      </c>
      <c r="C2451" s="4" t="n">
        <v>843</v>
      </c>
      <c r="D2451" s="3" t="inlineStr">
        <is>
          <t>부강면</t>
        </is>
      </c>
      <c r="E2451" s="3" t="inlineStr">
        <is>
          <t>문곡리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255.0075</v>
      </c>
      <c r="I2451" s="5" t="n">
        <v>40</v>
      </c>
      <c r="J2451" s="3" t="inlineStr">
        <is>
          <t>부강면</t>
        </is>
      </c>
    </row>
    <row r="2452">
      <c r="A2452" s="3" t="n">
        <v>2022</v>
      </c>
      <c r="B2452" s="4" t="n">
        <v>2444</v>
      </c>
      <c r="C2452" s="4" t="n">
        <v>202</v>
      </c>
      <c r="D2452" s="3" t="inlineStr">
        <is>
          <t>부강면</t>
        </is>
      </c>
      <c r="E2452" s="3" t="inlineStr">
        <is>
          <t>문곡리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61.105</v>
      </c>
      <c r="I2452" s="5" t="n">
        <v>40</v>
      </c>
      <c r="J2452" s="3" t="inlineStr">
        <is>
          <t>부강면</t>
        </is>
      </c>
    </row>
    <row r="2453">
      <c r="A2453" s="3" t="n">
        <v>2022</v>
      </c>
      <c r="B2453" s="4" t="n">
        <v>7000</v>
      </c>
      <c r="C2453" s="4" t="n">
        <v>122</v>
      </c>
      <c r="D2453" s="3" t="inlineStr">
        <is>
          <t>부강면</t>
        </is>
      </c>
      <c r="E2453" s="3" t="inlineStr">
        <is>
          <t>갈산리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36.905</v>
      </c>
      <c r="I2453" s="5" t="n">
        <v>189.7</v>
      </c>
      <c r="J2453" s="3" t="inlineStr">
        <is>
          <t>부강면</t>
        </is>
      </c>
    </row>
    <row r="2454">
      <c r="A2454" s="3" t="n">
        <v>2022</v>
      </c>
      <c r="B2454" s="4" t="n">
        <v>4424</v>
      </c>
      <c r="C2454" s="4" t="n">
        <v>140</v>
      </c>
      <c r="D2454" s="3" t="inlineStr">
        <is>
          <t>부강면</t>
        </is>
      </c>
      <c r="E2454" s="3" t="inlineStr">
        <is>
          <t>등곡리</t>
        </is>
      </c>
      <c r="F2454" s="3" t="inlineStr">
        <is>
          <t>계획관리지역</t>
        </is>
      </c>
      <c r="G2454" s="3" t="inlineStr">
        <is>
          <t>공장용지</t>
        </is>
      </c>
      <c r="H2454" s="4" t="n">
        <v>42.35</v>
      </c>
      <c r="I2454" s="5" t="n">
        <v>104.5</v>
      </c>
      <c r="J2454" s="3" t="inlineStr">
        <is>
          <t>부강면</t>
        </is>
      </c>
    </row>
    <row r="2455">
      <c r="A2455" s="3" t="n">
        <v>2026</v>
      </c>
      <c r="B2455" s="4" t="n">
        <v>25000</v>
      </c>
      <c r="C2455" s="4" t="n">
        <v>213</v>
      </c>
      <c r="D2455" s="3" t="inlineStr">
        <is>
          <t>연서면</t>
        </is>
      </c>
      <c r="E2455" s="3" t="inlineStr">
        <is>
          <t>국촌리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64.4325</v>
      </c>
      <c r="I2455" s="5" t="n">
        <v>388</v>
      </c>
      <c r="J2455" s="3" t="inlineStr">
        <is>
          <t>연서면</t>
        </is>
      </c>
    </row>
    <row r="2456">
      <c r="A2456" s="3" t="n">
        <v>2024</v>
      </c>
      <c r="B2456" s="4" t="n">
        <v>2927</v>
      </c>
      <c r="C2456" s="4" t="n">
        <v>213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보전관리지역</t>
        </is>
      </c>
      <c r="G2456" s="3" t="inlineStr">
        <is>
          <t>임야</t>
        </is>
      </c>
      <c r="H2456" s="4" t="n">
        <v>64.4325</v>
      </c>
      <c r="I2456" s="5" t="n">
        <v>45.4</v>
      </c>
      <c r="J2456" s="3" t="inlineStr">
        <is>
          <t>연서면</t>
        </is>
      </c>
    </row>
    <row r="2457">
      <c r="A2457" s="3" t="n">
        <v>2024</v>
      </c>
      <c r="B2457" s="4" t="n">
        <v>52729</v>
      </c>
      <c r="C2457" s="4" t="n">
        <v>398.2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120.4555</v>
      </c>
      <c r="I2457" s="5" t="n">
        <v>437.7</v>
      </c>
      <c r="J2457" s="3" t="inlineStr">
        <is>
          <t>고운동</t>
        </is>
      </c>
    </row>
    <row r="2458">
      <c r="A2458" s="3" t="n">
        <v>2024</v>
      </c>
      <c r="B2458" s="4" t="n">
        <v>19500</v>
      </c>
      <c r="C2458" s="4" t="n">
        <v>1531</v>
      </c>
      <c r="D2458" s="3" t="inlineStr">
        <is>
          <t>부강면</t>
        </is>
      </c>
      <c r="E2458" s="3" t="inlineStr">
        <is>
          <t>문곡리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463.1275</v>
      </c>
      <c r="I2458" s="5" t="n">
        <v>42.1</v>
      </c>
      <c r="J2458" s="3" t="inlineStr">
        <is>
          <t>부강면</t>
        </is>
      </c>
    </row>
    <row r="2459">
      <c r="A2459" s="3" t="n">
        <v>2023</v>
      </c>
      <c r="B2459" s="4" t="n">
        <v>46100</v>
      </c>
      <c r="C2459" s="4" t="n">
        <v>503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계획관리지역</t>
        </is>
      </c>
      <c r="G2459" s="3" t="inlineStr">
        <is>
          <t>양어장</t>
        </is>
      </c>
      <c r="H2459" s="4" t="n">
        <v>152.1575</v>
      </c>
      <c r="I2459" s="5" t="n">
        <v>303</v>
      </c>
      <c r="J2459" s="3" t="inlineStr">
        <is>
          <t>연서면</t>
        </is>
      </c>
    </row>
    <row r="2460">
      <c r="A2460" s="3" t="n">
        <v>2023</v>
      </c>
      <c r="B2460" s="4" t="n">
        <v>39400</v>
      </c>
      <c r="C2460" s="4" t="n">
        <v>430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계획관리지역</t>
        </is>
      </c>
      <c r="G2460" s="3" t="inlineStr">
        <is>
          <t>양어장</t>
        </is>
      </c>
      <c r="H2460" s="4" t="n">
        <v>130.075</v>
      </c>
      <c r="I2460" s="5" t="n">
        <v>302.9</v>
      </c>
      <c r="J2460" s="3" t="inlineStr">
        <is>
          <t>연서면</t>
        </is>
      </c>
    </row>
    <row r="2461">
      <c r="A2461" s="3" t="n">
        <v>2023</v>
      </c>
      <c r="B2461" s="4" t="n">
        <v>12000</v>
      </c>
      <c r="C2461" s="4" t="n">
        <v>433</v>
      </c>
      <c r="D2461" s="3" t="inlineStr">
        <is>
          <t>조치원읍</t>
        </is>
      </c>
      <c r="E2461" s="3" t="inlineStr">
        <is>
          <t>봉산리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130.9825</v>
      </c>
      <c r="I2461" s="5" t="n">
        <v>91.59999999999999</v>
      </c>
      <c r="J2461" s="3" t="inlineStr">
        <is>
          <t>조치원읍</t>
        </is>
      </c>
    </row>
    <row r="2462">
      <c r="A2462" s="3" t="n">
        <v>2023</v>
      </c>
      <c r="B2462" s="4" t="n">
        <v>1500</v>
      </c>
      <c r="C2462" s="4" t="n">
        <v>13</v>
      </c>
      <c r="D2462" s="3" t="inlineStr">
        <is>
          <t>조치원읍</t>
        </is>
      </c>
      <c r="E2462" s="3" t="inlineStr">
        <is>
          <t>신안리</t>
        </is>
      </c>
      <c r="F2462" s="3" t="inlineStr">
        <is>
          <t>자연녹지지역</t>
        </is>
      </c>
      <c r="G2462" s="3" t="inlineStr">
        <is>
          <t>대</t>
        </is>
      </c>
      <c r="H2462" s="4" t="n">
        <v>3.9325</v>
      </c>
      <c r="I2462" s="5" t="n">
        <v>381.4</v>
      </c>
      <c r="J2462" s="3" t="inlineStr">
        <is>
          <t>조치원읍</t>
        </is>
      </c>
    </row>
    <row r="2463">
      <c r="A2463" s="3" t="n">
        <v>2022</v>
      </c>
      <c r="B2463" s="4" t="n">
        <v>12000</v>
      </c>
      <c r="C2463" s="4" t="n">
        <v>569</v>
      </c>
      <c r="D2463" s="3" t="inlineStr">
        <is>
          <t>부강면</t>
        </is>
      </c>
      <c r="E2463" s="3" t="inlineStr">
        <is>
          <t>노호리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172.1225</v>
      </c>
      <c r="I2463" s="5" t="n">
        <v>69.7</v>
      </c>
      <c r="J2463" s="3" t="inlineStr">
        <is>
          <t>부강면</t>
        </is>
      </c>
    </row>
    <row r="2464">
      <c r="A2464" s="3" t="n">
        <v>2022</v>
      </c>
      <c r="B2464" s="4" t="n">
        <v>1000</v>
      </c>
      <c r="C2464" s="4" t="n">
        <v>47</v>
      </c>
      <c r="D2464" s="3" t="inlineStr">
        <is>
          <t>부강면</t>
        </is>
      </c>
      <c r="E2464" s="3" t="inlineStr">
        <is>
          <t>노호리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14.2175</v>
      </c>
      <c r="I2464" s="5" t="n">
        <v>70.3</v>
      </c>
      <c r="J2464" s="3" t="inlineStr">
        <is>
          <t>부강면</t>
        </is>
      </c>
    </row>
    <row r="2465">
      <c r="A2465" s="3" t="n">
        <v>2022</v>
      </c>
      <c r="B2465" s="4" t="n">
        <v>31500</v>
      </c>
      <c r="C2465" s="4" t="n">
        <v>166</v>
      </c>
      <c r="D2465" s="3" t="inlineStr">
        <is>
          <t>조치원읍</t>
        </is>
      </c>
      <c r="E2465" s="3" t="inlineStr">
        <is>
          <t>죽림리</t>
        </is>
      </c>
      <c r="F2465" s="3" t="inlineStr">
        <is>
          <t>제2종일반주거지역</t>
        </is>
      </c>
      <c r="G2465" s="3" t="inlineStr">
        <is>
          <t>대</t>
        </is>
      </c>
      <c r="H2465" s="4" t="n">
        <v>50.215</v>
      </c>
      <c r="I2465" s="5" t="n">
        <v>627.3</v>
      </c>
      <c r="J2465" s="3" t="inlineStr">
        <is>
          <t>조치원읍</t>
        </is>
      </c>
    </row>
    <row r="2466">
      <c r="A2466" s="3" t="n">
        <v>2022</v>
      </c>
      <c r="B2466" s="4" t="n">
        <v>20000</v>
      </c>
      <c r="C2466" s="4" t="n">
        <v>140.8</v>
      </c>
      <c r="D2466" s="3" t="inlineStr">
        <is>
          <t>조치원읍</t>
        </is>
      </c>
      <c r="E2466" s="3" t="inlineStr">
        <is>
          <t>교리</t>
        </is>
      </c>
      <c r="F2466" s="3" t="inlineStr">
        <is>
          <t>제2종일반주거지역</t>
        </is>
      </c>
      <c r="G2466" s="3" t="inlineStr">
        <is>
          <t>대</t>
        </is>
      </c>
      <c r="H2466" s="4" t="n">
        <v>42.592</v>
      </c>
      <c r="I2466" s="5" t="n">
        <v>469.6</v>
      </c>
      <c r="J2466" s="3" t="inlineStr">
        <is>
          <t>조치원읍</t>
        </is>
      </c>
    </row>
    <row r="2467">
      <c r="A2467" s="3" t="n">
        <v>2022</v>
      </c>
      <c r="B2467" s="4" t="n">
        <v>160000</v>
      </c>
      <c r="C2467" s="4" t="n">
        <v>9991</v>
      </c>
      <c r="D2467" s="3" t="inlineStr">
        <is>
          <t>연동면</t>
        </is>
      </c>
      <c r="E2467" s="3" t="inlineStr">
        <is>
          <t>문주리</t>
        </is>
      </c>
      <c r="F2467" s="3" t="inlineStr">
        <is>
          <t>보전관리지역</t>
        </is>
      </c>
      <c r="G2467" s="3" t="inlineStr">
        <is>
          <t>임야</t>
        </is>
      </c>
      <c r="H2467" s="4" t="n">
        <v>3022.2775</v>
      </c>
      <c r="I2467" s="5" t="n">
        <v>52.9</v>
      </c>
      <c r="J2467" s="3" t="inlineStr">
        <is>
          <t>연동면</t>
        </is>
      </c>
    </row>
    <row r="2468">
      <c r="A2468" s="3" t="n">
        <v>2022</v>
      </c>
      <c r="B2468" s="4" t="n">
        <v>1000</v>
      </c>
      <c r="C2468" s="4" t="n">
        <v>47</v>
      </c>
      <c r="D2468" s="3" t="inlineStr">
        <is>
          <t>부강면</t>
        </is>
      </c>
      <c r="E2468" s="3" t="inlineStr">
        <is>
          <t>노호리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14.2175</v>
      </c>
      <c r="I2468" s="5" t="n">
        <v>70.3</v>
      </c>
      <c r="J2468" s="3" t="inlineStr">
        <is>
          <t>부강면</t>
        </is>
      </c>
    </row>
    <row r="2469">
      <c r="A2469" s="3" t="n">
        <v>2022</v>
      </c>
      <c r="B2469" s="4" t="n">
        <v>60000</v>
      </c>
      <c r="C2469" s="4" t="n">
        <v>345</v>
      </c>
      <c r="D2469" s="3" t="inlineStr">
        <is>
          <t>고운동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104.3625</v>
      </c>
      <c r="I2469" s="5" t="n">
        <v>574.9</v>
      </c>
      <c r="J2469" s="3" t="inlineStr">
        <is>
          <t>고운동</t>
        </is>
      </c>
    </row>
    <row r="2470">
      <c r="A2470" s="3" t="n">
        <v>2025</v>
      </c>
      <c r="B2470" s="4" t="n">
        <v>65000</v>
      </c>
      <c r="C2470" s="4" t="n">
        <v>287</v>
      </c>
      <c r="D2470" s="3" t="inlineStr">
        <is>
          <t>반곡동</t>
        </is>
      </c>
      <c r="E2470" s="3" t="inlineStr"/>
      <c r="F2470" s="3" t="inlineStr">
        <is>
          <t>제1종전용주거지역</t>
        </is>
      </c>
      <c r="G2470" s="3" t="inlineStr">
        <is>
          <t>대</t>
        </is>
      </c>
      <c r="H2470" s="4" t="n">
        <v>86.8175</v>
      </c>
      <c r="I2470" s="5" t="n">
        <v>748.7</v>
      </c>
      <c r="J2470" s="3" t="inlineStr">
        <is>
          <t>반곡동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2026</v>
      </c>
      <c r="B2473" s="4" t="n">
        <v>870</v>
      </c>
      <c r="C2473" s="4" t="n">
        <v>124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보전녹지지역</t>
        </is>
      </c>
      <c r="G2473" s="3" t="inlineStr">
        <is>
          <t>임야</t>
        </is>
      </c>
      <c r="H2473" s="4" t="n">
        <v>37.51</v>
      </c>
      <c r="I2473" s="5" t="n">
        <v>23.2</v>
      </c>
      <c r="J2473" s="3" t="inlineStr">
        <is>
          <t>조치원읍</t>
        </is>
      </c>
    </row>
    <row r="2474">
      <c r="A2474" s="3" t="n">
        <v>2026</v>
      </c>
      <c r="B2474" s="4" t="n">
        <v>530</v>
      </c>
      <c r="C2474" s="4" t="n">
        <v>75</v>
      </c>
      <c r="D2474" s="3" t="inlineStr">
        <is>
          <t>조치원읍</t>
        </is>
      </c>
      <c r="E2474" s="3" t="inlineStr">
        <is>
          <t>신안리</t>
        </is>
      </c>
      <c r="F2474" s="3" t="inlineStr">
        <is>
          <t>보전녹지지역</t>
        </is>
      </c>
      <c r="G2474" s="3" t="inlineStr">
        <is>
          <t>임야</t>
        </is>
      </c>
      <c r="H2474" s="4" t="n">
        <v>22.6875</v>
      </c>
      <c r="I2474" s="5" t="n">
        <v>23.4</v>
      </c>
      <c r="J2474" s="3" t="inlineStr">
        <is>
          <t>조치원읍</t>
        </is>
      </c>
    </row>
    <row r="2475">
      <c r="A2475" s="3" t="n">
        <v>2026</v>
      </c>
      <c r="B2475" s="4" t="n">
        <v>1220</v>
      </c>
      <c r="C2475" s="4" t="n">
        <v>134</v>
      </c>
      <c r="D2475" s="3" t="inlineStr">
        <is>
          <t>조치원읍</t>
        </is>
      </c>
      <c r="E2475" s="3" t="inlineStr">
        <is>
          <t>신안리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40.535</v>
      </c>
      <c r="I2475" s="5" t="n">
        <v>30.1</v>
      </c>
      <c r="J2475" s="3" t="inlineStr">
        <is>
          <t>조치원읍</t>
        </is>
      </c>
    </row>
    <row r="2476">
      <c r="A2476" s="3" t="n">
        <v>2026</v>
      </c>
      <c r="B2476" s="4" t="n">
        <v>900</v>
      </c>
      <c r="C2476" s="4" t="n">
        <v>217</v>
      </c>
      <c r="D2476" s="3" t="inlineStr">
        <is>
          <t>조치원읍</t>
        </is>
      </c>
      <c r="E2476" s="3" t="inlineStr">
        <is>
          <t>신안리</t>
        </is>
      </c>
      <c r="F2476" s="3" t="inlineStr">
        <is>
          <t>자연녹지지역</t>
        </is>
      </c>
      <c r="G2476" s="3" t="inlineStr">
        <is>
          <t>임야</t>
        </is>
      </c>
      <c r="H2476" s="4" t="n">
        <v>65.6425</v>
      </c>
      <c r="I2476" s="5" t="n">
        <v>13.7</v>
      </c>
      <c r="J2476" s="3" t="inlineStr">
        <is>
          <t>조치원읍</t>
        </is>
      </c>
    </row>
    <row r="2477">
      <c r="A2477" s="3" t="n">
        <v>2026</v>
      </c>
      <c r="B2477" s="4" t="n">
        <v>8000</v>
      </c>
      <c r="C2477" s="4" t="n">
        <v>425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128.5625</v>
      </c>
      <c r="I2477" s="5" t="n">
        <v>62.2</v>
      </c>
      <c r="J2477" s="3" t="inlineStr">
        <is>
          <t>조치원읍</t>
        </is>
      </c>
    </row>
    <row r="2478">
      <c r="A2478" s="3" t="n">
        <v>2026</v>
      </c>
      <c r="B2478" s="4" t="n">
        <v>12320</v>
      </c>
      <c r="C2478" s="4" t="n">
        <v>88</v>
      </c>
      <c r="D2478" s="3" t="inlineStr">
        <is>
          <t>조치원읍</t>
        </is>
      </c>
      <c r="E2478" s="3" t="inlineStr">
        <is>
          <t>서창리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26.62</v>
      </c>
      <c r="I2478" s="5" t="n">
        <v>462.8</v>
      </c>
      <c r="J2478" s="3" t="inlineStr">
        <is>
          <t>조치원읍</t>
        </is>
      </c>
    </row>
    <row r="2479">
      <c r="A2479" s="3" t="n">
        <v>2026</v>
      </c>
      <c r="B2479" s="4" t="n">
        <v>23478</v>
      </c>
      <c r="C2479" s="4" t="n">
        <v>1805.7</v>
      </c>
      <c r="D2479" s="3" t="inlineStr">
        <is>
          <t>연동면</t>
        </is>
      </c>
      <c r="E2479" s="3" t="inlineStr">
        <is>
          <t>응암리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546.22425</v>
      </c>
      <c r="I2479" s="5" t="n">
        <v>43</v>
      </c>
      <c r="J2479" s="3" t="inlineStr">
        <is>
          <t>연동면</t>
        </is>
      </c>
    </row>
    <row r="2480">
      <c r="A2480" s="3" t="n">
        <v>2026</v>
      </c>
      <c r="B2480" s="4" t="n">
        <v>25155</v>
      </c>
      <c r="C2480" s="4" t="n">
        <v>1935.2</v>
      </c>
      <c r="D2480" s="3" t="inlineStr">
        <is>
          <t>연동면</t>
        </is>
      </c>
      <c r="E2480" s="3" t="inlineStr">
        <is>
          <t>응암리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585.398</v>
      </c>
      <c r="I2480" s="5" t="n">
        <v>43</v>
      </c>
      <c r="J2480" s="3" t="inlineStr">
        <is>
          <t>연동면</t>
        </is>
      </c>
    </row>
    <row r="2481">
      <c r="A2481" s="3" t="n">
        <v>2026</v>
      </c>
      <c r="B2481" s="4" t="n">
        <v>86500</v>
      </c>
      <c r="C2481" s="4" t="n">
        <v>2610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자연녹지지역</t>
        </is>
      </c>
      <c r="G2481" s="3" t="inlineStr">
        <is>
          <t>과수원</t>
        </is>
      </c>
      <c r="H2481" s="4" t="n">
        <v>789.525</v>
      </c>
      <c r="I2481" s="5" t="n">
        <v>109.6</v>
      </c>
      <c r="J2481" s="3" t="inlineStr">
        <is>
          <t>연서면</t>
        </is>
      </c>
    </row>
    <row r="2482">
      <c r="A2482" s="3" t="n">
        <v>2026</v>
      </c>
      <c r="B2482" s="4" t="n">
        <v>68000</v>
      </c>
      <c r="C2482" s="4" t="n">
        <v>512</v>
      </c>
      <c r="D2482" s="3" t="inlineStr">
        <is>
          <t>고운동</t>
        </is>
      </c>
      <c r="E2482" s="3" t="inlineStr"/>
      <c r="F2482" s="3" t="inlineStr">
        <is>
          <t>제1종전용주거지역</t>
        </is>
      </c>
      <c r="G2482" s="3" t="inlineStr">
        <is>
          <t>대</t>
        </is>
      </c>
      <c r="H2482" s="4" t="n">
        <v>154.88</v>
      </c>
      <c r="I2482" s="5" t="n">
        <v>439</v>
      </c>
      <c r="J2482" s="3" t="inlineStr">
        <is>
          <t>고운동</t>
        </is>
      </c>
    </row>
    <row r="2483">
      <c r="A2483" s="3" t="n">
        <v>2024</v>
      </c>
      <c r="B2483" s="4" t="n">
        <v>13000</v>
      </c>
      <c r="C2483" s="4" t="n">
        <v>547</v>
      </c>
      <c r="D2483" s="3" t="inlineStr">
        <is>
          <t>연서면</t>
        </is>
      </c>
      <c r="E2483" s="3" t="inlineStr">
        <is>
          <t>고복리</t>
        </is>
      </c>
      <c r="F2483" s="3" t="inlineStr">
        <is>
          <t>계획관리지역</t>
        </is>
      </c>
      <c r="G2483" s="3" t="inlineStr">
        <is>
          <t>대</t>
        </is>
      </c>
      <c r="H2483" s="4" t="n">
        <v>165.4675</v>
      </c>
      <c r="I2483" s="5" t="n">
        <v>78.59999999999999</v>
      </c>
      <c r="J2483" s="3" t="inlineStr">
        <is>
          <t>연서면</t>
        </is>
      </c>
    </row>
    <row r="2484">
      <c r="A2484" s="3" t="n">
        <v>2024</v>
      </c>
      <c r="B2484" s="4" t="n">
        <v>41000</v>
      </c>
      <c r="C2484" s="4" t="n">
        <v>320</v>
      </c>
      <c r="D2484" s="3" t="inlineStr">
        <is>
          <t>다정동</t>
        </is>
      </c>
      <c r="E2484" s="3" t="inlineStr"/>
      <c r="F2484" s="3" t="inlineStr">
        <is>
          <t>제1종일반주거지역</t>
        </is>
      </c>
      <c r="G2484" s="3" t="inlineStr">
        <is>
          <t>대</t>
        </is>
      </c>
      <c r="H2484" s="4" t="n">
        <v>96.8</v>
      </c>
      <c r="I2484" s="5" t="n">
        <v>423.6</v>
      </c>
      <c r="J2484" s="3" t="inlineStr">
        <is>
          <t>다정동</t>
        </is>
      </c>
    </row>
    <row r="2485">
      <c r="A2485" s="3" t="n">
        <v>2024</v>
      </c>
      <c r="B2485" s="4" t="n">
        <v>45000</v>
      </c>
      <c r="C2485" s="4" t="n">
        <v>343.6</v>
      </c>
      <c r="D2485" s="3" t="inlineStr">
        <is>
          <t>고운동</t>
        </is>
      </c>
      <c r="E2485" s="3" t="inlineStr"/>
      <c r="F2485" s="3" t="inlineStr">
        <is>
          <t>제1종전용주거지역</t>
        </is>
      </c>
      <c r="G2485" s="3" t="inlineStr">
        <is>
          <t>대</t>
        </is>
      </c>
      <c r="H2485" s="4" t="n">
        <v>103.939</v>
      </c>
      <c r="I2485" s="5" t="n">
        <v>432.9</v>
      </c>
      <c r="J2485" s="3" t="inlineStr">
        <is>
          <t>고운동</t>
        </is>
      </c>
    </row>
    <row r="2486">
      <c r="A2486" s="3" t="n">
        <v>2024</v>
      </c>
      <c r="B2486" s="4" t="n">
        <v>4500</v>
      </c>
      <c r="C2486" s="4" t="n">
        <v>165</v>
      </c>
      <c r="D2486" s="3" t="inlineStr">
        <is>
          <t>조치원읍</t>
        </is>
      </c>
      <c r="E2486" s="3" t="inlineStr">
        <is>
          <t>신흥리</t>
        </is>
      </c>
      <c r="F2486" s="3" t="inlineStr">
        <is>
          <t>제2종일반주거지역</t>
        </is>
      </c>
      <c r="G2486" s="3" t="inlineStr">
        <is>
          <t>전</t>
        </is>
      </c>
      <c r="H2486" s="4" t="n">
        <v>49.9125</v>
      </c>
      <c r="I2486" s="5" t="n">
        <v>90.2</v>
      </c>
      <c r="J2486" s="3" t="inlineStr">
        <is>
          <t>조치원읍</t>
        </is>
      </c>
    </row>
    <row r="2487">
      <c r="A2487" s="3" t="n">
        <v>2026</v>
      </c>
      <c r="B2487" s="4" t="n">
        <v>15000</v>
      </c>
      <c r="C2487" s="4" t="n">
        <v>100</v>
      </c>
      <c r="D2487" s="3" t="inlineStr">
        <is>
          <t>부강면</t>
        </is>
      </c>
      <c r="E2487" s="3" t="inlineStr">
        <is>
          <t>부강리</t>
        </is>
      </c>
      <c r="F2487" s="3" t="inlineStr">
        <is>
          <t>제2종일반주거지역</t>
        </is>
      </c>
      <c r="G2487" s="3" t="inlineStr">
        <is>
          <t>답</t>
        </is>
      </c>
      <c r="H2487" s="4" t="n">
        <v>30.25</v>
      </c>
      <c r="I2487" s="5" t="n">
        <v>495.9</v>
      </c>
      <c r="J2487" s="3" t="inlineStr">
        <is>
          <t>부강면</t>
        </is>
      </c>
    </row>
    <row r="2488">
      <c r="A2488" s="3" t="n">
        <v>2026</v>
      </c>
      <c r="B2488" s="4" t="n">
        <v>57000</v>
      </c>
      <c r="C2488" s="4" t="n">
        <v>466</v>
      </c>
      <c r="D2488" s="3" t="inlineStr">
        <is>
          <t>반곡동</t>
        </is>
      </c>
      <c r="E2488" s="3" t="inlineStr"/>
      <c r="F2488" s="3" t="inlineStr">
        <is>
          <t>제1종전용주거지역</t>
        </is>
      </c>
      <c r="G2488" s="3" t="inlineStr">
        <is>
          <t>대</t>
        </is>
      </c>
      <c r="H2488" s="4" t="n">
        <v>140.965</v>
      </c>
      <c r="I2488" s="5" t="n">
        <v>404.4</v>
      </c>
      <c r="J2488" s="3" t="inlineStr">
        <is>
          <t>반곡동</t>
        </is>
      </c>
    </row>
    <row r="2489">
      <c r="A2489" s="3" t="n">
        <v>2026</v>
      </c>
      <c r="B2489" s="4" t="n">
        <v>29008</v>
      </c>
      <c r="C2489" s="4" t="n">
        <v>1199</v>
      </c>
      <c r="D2489" s="3" t="inlineStr">
        <is>
          <t>연서면</t>
        </is>
      </c>
      <c r="E2489" s="3" t="inlineStr">
        <is>
          <t>신대리</t>
        </is>
      </c>
      <c r="F2489" s="3" t="inlineStr">
        <is>
          <t>계획관리지역</t>
        </is>
      </c>
      <c r="G2489" s="3" t="inlineStr">
        <is>
          <t>과수원</t>
        </is>
      </c>
      <c r="H2489" s="4" t="n">
        <v>362.6975</v>
      </c>
      <c r="I2489" s="5" t="n">
        <v>80</v>
      </c>
      <c r="J2489" s="3" t="inlineStr">
        <is>
          <t>연서면</t>
        </is>
      </c>
    </row>
    <row r="2490">
      <c r="A2490" s="3" t="n">
        <v>2026</v>
      </c>
      <c r="B2490" s="4" t="n">
        <v>4500</v>
      </c>
      <c r="C2490" s="4" t="n">
        <v>106</v>
      </c>
      <c r="D2490" s="3" t="inlineStr">
        <is>
          <t>연서면</t>
        </is>
      </c>
      <c r="E2490" s="3" t="inlineStr">
        <is>
          <t>월하리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32.065</v>
      </c>
      <c r="I2490" s="5" t="n">
        <v>140.3</v>
      </c>
      <c r="J2490" s="3" t="inlineStr">
        <is>
          <t>연서면</t>
        </is>
      </c>
    </row>
    <row r="2491">
      <c r="A2491" s="3" t="n">
        <v>2026</v>
      </c>
      <c r="B2491" s="4" t="n">
        <v>6800</v>
      </c>
      <c r="C2491" s="4" t="n">
        <v>1124</v>
      </c>
      <c r="D2491" s="3" t="inlineStr">
        <is>
          <t>부강면</t>
        </is>
      </c>
      <c r="E2491" s="3" t="inlineStr">
        <is>
          <t>행산리</t>
        </is>
      </c>
      <c r="F2491" s="3" t="inlineStr">
        <is>
          <t>계획관리지역</t>
        </is>
      </c>
      <c r="G2491" s="3" t="inlineStr">
        <is>
          <t>전</t>
        </is>
      </c>
      <c r="H2491" s="4" t="n">
        <v>340.01</v>
      </c>
      <c r="I2491" s="5" t="n">
        <v>20</v>
      </c>
      <c r="J2491" s="3" t="inlineStr">
        <is>
          <t>부강면</t>
        </is>
      </c>
    </row>
    <row r="2492">
      <c r="A2492" s="3" t="n">
        <v>2024</v>
      </c>
      <c r="B2492" s="4" t="n">
        <v>10830</v>
      </c>
      <c r="C2492" s="4" t="n">
        <v>1320.7</v>
      </c>
      <c r="D2492" s="3" t="inlineStr">
        <is>
          <t>연서면</t>
        </is>
      </c>
      <c r="E2492" s="3" t="inlineStr">
        <is>
          <t>쌍전리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399.51175</v>
      </c>
      <c r="I2492" s="5" t="n">
        <v>27.1</v>
      </c>
      <c r="J2492" s="3" t="inlineStr">
        <is>
          <t>연서면</t>
        </is>
      </c>
    </row>
    <row r="2493">
      <c r="A2493" s="3" t="n">
        <v>2023</v>
      </c>
      <c r="B2493" s="4" t="n">
        <v>29661</v>
      </c>
      <c r="C2493" s="4" t="n">
        <v>598</v>
      </c>
      <c r="D2493" s="3" t="inlineStr">
        <is>
          <t>연동면</t>
        </is>
      </c>
      <c r="E2493" s="3" t="inlineStr">
        <is>
          <t>명학리</t>
        </is>
      </c>
      <c r="F2493" s="3" t="inlineStr">
        <is>
          <t>계획관리지역</t>
        </is>
      </c>
      <c r="G2493" s="3" t="inlineStr">
        <is>
          <t>공장용지</t>
        </is>
      </c>
      <c r="H2493" s="4" t="n">
        <v>180.895</v>
      </c>
      <c r="I2493" s="5" t="n">
        <v>164</v>
      </c>
      <c r="J2493" s="3" t="inlineStr">
        <is>
          <t>연동면</t>
        </is>
      </c>
    </row>
    <row r="2494">
      <c r="A2494" s="3" t="n">
        <v>2023</v>
      </c>
      <c r="B2494" s="4" t="n">
        <v>25792</v>
      </c>
      <c r="C2494" s="4" t="n">
        <v>520</v>
      </c>
      <c r="D2494" s="3" t="inlineStr">
        <is>
          <t>연동면</t>
        </is>
      </c>
      <c r="E2494" s="3" t="inlineStr">
        <is>
          <t>명학리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157.3</v>
      </c>
      <c r="I2494" s="5" t="n">
        <v>164</v>
      </c>
      <c r="J2494" s="3" t="inlineStr">
        <is>
          <t>연동면</t>
        </is>
      </c>
    </row>
    <row r="2495">
      <c r="A2495" s="3" t="n">
        <v>2023</v>
      </c>
      <c r="B2495" s="4" t="n">
        <v>2856</v>
      </c>
      <c r="C2495" s="4" t="n">
        <v>336</v>
      </c>
      <c r="D2495" s="3" t="inlineStr">
        <is>
          <t>부강면</t>
        </is>
      </c>
      <c r="E2495" s="3" t="inlineStr">
        <is>
          <t>등곡리</t>
        </is>
      </c>
      <c r="F2495" s="3" t="inlineStr">
        <is>
          <t>생산관리지역</t>
        </is>
      </c>
      <c r="G2495" s="3" t="inlineStr">
        <is>
          <t>전</t>
        </is>
      </c>
      <c r="H2495" s="4" t="n">
        <v>101.64</v>
      </c>
      <c r="I2495" s="5" t="n">
        <v>28.1</v>
      </c>
      <c r="J2495" s="3" t="inlineStr">
        <is>
          <t>부강면</t>
        </is>
      </c>
    </row>
    <row r="2496">
      <c r="A2496" s="3" t="n">
        <v>2023</v>
      </c>
      <c r="B2496" s="4" t="n">
        <v>25680</v>
      </c>
      <c r="C2496" s="4" t="n">
        <v>1416.2</v>
      </c>
      <c r="D2496" s="3" t="inlineStr">
        <is>
          <t>연동면</t>
        </is>
      </c>
      <c r="E2496" s="3" t="inlineStr">
        <is>
          <t>예양리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428.4005</v>
      </c>
      <c r="I2496" s="5" t="n">
        <v>59.9</v>
      </c>
      <c r="J2496" s="3" t="inlineStr">
        <is>
          <t>연동면</t>
        </is>
      </c>
    </row>
    <row r="2497">
      <c r="A2497" s="3" t="n">
        <v>2023</v>
      </c>
      <c r="B2497" s="4" t="n">
        <v>1200</v>
      </c>
      <c r="C2497" s="4" t="n">
        <v>291</v>
      </c>
      <c r="D2497" s="3" t="inlineStr">
        <is>
          <t>부강면</t>
        </is>
      </c>
      <c r="E2497" s="3" t="inlineStr">
        <is>
          <t>노호리</t>
        </is>
      </c>
      <c r="F2497" s="3" t="inlineStr">
        <is>
          <t>보전관리지역</t>
        </is>
      </c>
      <c r="G2497" s="3" t="inlineStr">
        <is>
          <t>전</t>
        </is>
      </c>
      <c r="H2497" s="4" t="n">
        <v>88.0275</v>
      </c>
      <c r="I2497" s="5" t="n">
        <v>13.6</v>
      </c>
      <c r="J2497" s="3" t="inlineStr">
        <is>
          <t>부강면</t>
        </is>
      </c>
    </row>
    <row r="2498">
      <c r="A2498" s="3" t="n">
        <v>2023</v>
      </c>
      <c r="B2498" s="4" t="n">
        <v>33200</v>
      </c>
      <c r="C2498" s="4" t="n">
        <v>523</v>
      </c>
      <c r="D2498" s="3" t="inlineStr">
        <is>
          <t>연서면</t>
        </is>
      </c>
      <c r="E2498" s="3" t="inlineStr">
        <is>
          <t>신대리</t>
        </is>
      </c>
      <c r="F2498" s="3" t="inlineStr">
        <is>
          <t>보전관리지역</t>
        </is>
      </c>
      <c r="G2498" s="3" t="inlineStr">
        <is>
          <t>임야</t>
        </is>
      </c>
      <c r="H2498" s="4" t="n">
        <v>158.2075</v>
      </c>
      <c r="I2498" s="5" t="n">
        <v>209.9</v>
      </c>
      <c r="J2498" s="3" t="inlineStr">
        <is>
          <t>연서면</t>
        </is>
      </c>
    </row>
    <row r="2499">
      <c r="A2499" s="3" t="n">
        <v>2022</v>
      </c>
      <c r="B2499" s="4" t="n">
        <v>6500</v>
      </c>
      <c r="C2499" s="4" t="n">
        <v>1200</v>
      </c>
      <c r="D2499" s="3" t="inlineStr">
        <is>
          <t>연서면</t>
        </is>
      </c>
      <c r="E2499" s="3" t="inlineStr">
        <is>
          <t>성제리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363</v>
      </c>
      <c r="I2499" s="5" t="n">
        <v>17.9</v>
      </c>
      <c r="J2499" s="3" t="inlineStr">
        <is>
          <t>연서면</t>
        </is>
      </c>
    </row>
    <row r="2500">
      <c r="A2500" s="3" t="n">
        <v>2025</v>
      </c>
      <c r="B2500" s="4" t="n">
        <v>66500</v>
      </c>
      <c r="C2500" s="4" t="n">
        <v>348</v>
      </c>
      <c r="D2500" s="3" t="inlineStr">
        <is>
          <t>반곡동</t>
        </is>
      </c>
      <c r="E2500" s="3" t="inlineStr"/>
      <c r="F2500" s="3" t="inlineStr">
        <is>
          <t>제1종전용주거지역</t>
        </is>
      </c>
      <c r="G2500" s="3" t="inlineStr">
        <is>
          <t>대</t>
        </is>
      </c>
      <c r="H2500" s="4" t="n">
        <v>105.27</v>
      </c>
      <c r="I2500" s="5" t="n">
        <v>631.7</v>
      </c>
      <c r="J2500" s="3" t="inlineStr">
        <is>
          <t>반곡동</t>
        </is>
      </c>
    </row>
    <row r="2501">
      <c r="A2501" s="3" t="n">
        <v>2025</v>
      </c>
      <c r="B2501" s="4" t="n">
        <v>619365</v>
      </c>
      <c r="C2501" s="4" t="n">
        <v>5850</v>
      </c>
      <c r="D2501" s="3" t="inlineStr">
        <is>
          <t>부강면</t>
        </is>
      </c>
      <c r="E2501" s="3" t="inlineStr">
        <is>
          <t>부강리</t>
        </is>
      </c>
      <c r="F2501" s="3" t="inlineStr">
        <is>
          <t>계획관리지역</t>
        </is>
      </c>
      <c r="G2501" s="3" t="inlineStr">
        <is>
          <t>공장용지</t>
        </is>
      </c>
      <c r="H2501" s="4" t="n">
        <v>1769.625</v>
      </c>
      <c r="I2501" s="5" t="n">
        <v>350</v>
      </c>
      <c r="J2501" s="3" t="inlineStr">
        <is>
          <t>부강면</t>
        </is>
      </c>
    </row>
    <row r="2502">
      <c r="A2502" s="3" t="n">
        <v>2025</v>
      </c>
      <c r="B2502" s="4" t="n">
        <v>17000</v>
      </c>
      <c r="C2502" s="4" t="n">
        <v>1156</v>
      </c>
      <c r="D2502" s="3" t="inlineStr">
        <is>
          <t>부강면</t>
        </is>
      </c>
      <c r="E2502" s="3" t="inlineStr">
        <is>
          <t>갈산리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349.69</v>
      </c>
      <c r="I2502" s="5" t="n">
        <v>48.6</v>
      </c>
      <c r="J2502" s="3" t="inlineStr">
        <is>
          <t>부강면</t>
        </is>
      </c>
    </row>
    <row r="2503">
      <c r="A2503" s="3" t="n">
        <v>2025</v>
      </c>
      <c r="B2503" s="4" t="n">
        <v>16400</v>
      </c>
      <c r="C2503" s="4" t="n">
        <v>403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121.9075</v>
      </c>
      <c r="I2503" s="5" t="n">
        <v>134.5</v>
      </c>
      <c r="J2503" s="3" t="inlineStr">
        <is>
          <t>부강면</t>
        </is>
      </c>
    </row>
    <row r="2504">
      <c r="A2504" s="3" t="n">
        <v>2025</v>
      </c>
      <c r="B2504" s="4" t="n">
        <v>33600</v>
      </c>
      <c r="C2504" s="4" t="n">
        <v>816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246.84</v>
      </c>
      <c r="I2504" s="5" t="n">
        <v>136.1</v>
      </c>
      <c r="J2504" s="3" t="inlineStr">
        <is>
          <t>부강면</t>
        </is>
      </c>
    </row>
    <row r="2505">
      <c r="A2505" s="3" t="n">
        <v>2025</v>
      </c>
      <c r="B2505" s="4" t="n">
        <v>16300</v>
      </c>
      <c r="C2505" s="4" t="n">
        <v>534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161.535</v>
      </c>
      <c r="I2505" s="5" t="n">
        <v>100.9</v>
      </c>
      <c r="J2505" s="3" t="inlineStr">
        <is>
          <t>부강면</t>
        </is>
      </c>
    </row>
    <row r="2506">
      <c r="A2506" s="3" t="n">
        <v>2025</v>
      </c>
      <c r="B2506" s="4" t="n">
        <v>73700</v>
      </c>
      <c r="C2506" s="4" t="n">
        <v>2410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생산관리지역</t>
        </is>
      </c>
      <c r="G2506" s="3" t="inlineStr">
        <is>
          <t>답</t>
        </is>
      </c>
      <c r="H2506" s="4" t="n">
        <v>729.025</v>
      </c>
      <c r="I2506" s="5" t="n">
        <v>101.1</v>
      </c>
      <c r="J2506" s="3" t="inlineStr">
        <is>
          <t>부강면</t>
        </is>
      </c>
    </row>
    <row r="2507">
      <c r="A2507" s="3" t="n">
        <v>2025</v>
      </c>
      <c r="B2507" s="4" t="n">
        <v>40000</v>
      </c>
      <c r="C2507" s="4" t="n">
        <v>11163</v>
      </c>
      <c r="D2507" s="3" t="inlineStr">
        <is>
          <t>연서면</t>
        </is>
      </c>
      <c r="E2507" s="3" t="inlineStr">
        <is>
          <t>기룡리</t>
        </is>
      </c>
      <c r="F2507" s="3" t="inlineStr">
        <is>
          <t>생산관리지역</t>
        </is>
      </c>
      <c r="G2507" s="3" t="inlineStr">
        <is>
          <t>임야</t>
        </is>
      </c>
      <c r="H2507" s="4" t="n">
        <v>3376.8075</v>
      </c>
      <c r="I2507" s="5" t="n">
        <v>11.8</v>
      </c>
      <c r="J2507" s="3" t="inlineStr">
        <is>
          <t>연서면</t>
        </is>
      </c>
    </row>
    <row r="2508">
      <c r="A2508" s="3" t="n">
        <v>2025</v>
      </c>
      <c r="B2508" s="4" t="n">
        <v>10000</v>
      </c>
      <c r="C2508" s="4" t="n">
        <v>10915</v>
      </c>
      <c r="D2508" s="3" t="inlineStr">
        <is>
          <t>조치원읍</t>
        </is>
      </c>
      <c r="E2508" s="3" t="inlineStr">
        <is>
          <t>신안리</t>
        </is>
      </c>
      <c r="F2508" s="3" t="inlineStr">
        <is>
          <t>보전녹지지역</t>
        </is>
      </c>
      <c r="G2508" s="3" t="inlineStr">
        <is>
          <t>임야</t>
        </is>
      </c>
      <c r="H2508" s="4" t="n">
        <v>3301.7875</v>
      </c>
      <c r="I2508" s="5" t="n">
        <v>3</v>
      </c>
      <c r="J2508" s="3" t="inlineStr">
        <is>
          <t>조치원읍</t>
        </is>
      </c>
    </row>
    <row r="2509">
      <c r="A2509" s="3" t="n">
        <v>2025</v>
      </c>
      <c r="B2509" s="4" t="n">
        <v>40000</v>
      </c>
      <c r="C2509" s="4" t="n">
        <v>11163</v>
      </c>
      <c r="D2509" s="3" t="inlineStr">
        <is>
          <t>연서면</t>
        </is>
      </c>
      <c r="E2509" s="3" t="inlineStr">
        <is>
          <t>기룡리</t>
        </is>
      </c>
      <c r="F2509" s="3" t="inlineStr">
        <is>
          <t>생산관리지역</t>
        </is>
      </c>
      <c r="G2509" s="3" t="inlineStr">
        <is>
          <t>임야</t>
        </is>
      </c>
      <c r="H2509" s="4" t="n">
        <v>3376.8075</v>
      </c>
      <c r="I2509" s="5" t="n">
        <v>11.8</v>
      </c>
      <c r="J2509" s="3" t="inlineStr">
        <is>
          <t>연서면</t>
        </is>
      </c>
    </row>
    <row r="2510">
      <c r="A2510" s="3" t="n">
        <v>2025</v>
      </c>
      <c r="B2510" s="4" t="n">
        <v>53000</v>
      </c>
      <c r="C2510" s="4" t="n">
        <v>1726</v>
      </c>
      <c r="D2510" s="3" t="inlineStr">
        <is>
          <t>연서면</t>
        </is>
      </c>
      <c r="E2510" s="3" t="inlineStr">
        <is>
          <t>봉암리</t>
        </is>
      </c>
      <c r="F2510" s="3" t="inlineStr">
        <is>
          <t>농림지역</t>
        </is>
      </c>
      <c r="G2510" s="3" t="inlineStr">
        <is>
          <t>목장용지</t>
        </is>
      </c>
      <c r="H2510" s="4" t="n">
        <v>522.115</v>
      </c>
      <c r="I2510" s="5" t="n">
        <v>101.5</v>
      </c>
      <c r="J2510" s="3" t="inlineStr">
        <is>
          <t>연서면</t>
        </is>
      </c>
    </row>
    <row r="2511">
      <c r="A2511" s="3" t="n">
        <v>2026</v>
      </c>
      <c r="B2511" s="4" t="n">
        <v>21850</v>
      </c>
      <c r="C2511" s="4" t="n">
        <v>916</v>
      </c>
      <c r="D2511" s="3" t="inlineStr">
        <is>
          <t>연서면</t>
        </is>
      </c>
      <c r="E2511" s="3" t="inlineStr">
        <is>
          <t>고복리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277.09</v>
      </c>
      <c r="I2511" s="5" t="n">
        <v>78.90000000000001</v>
      </c>
      <c r="J2511" s="3" t="inlineStr">
        <is>
          <t>연서면</t>
        </is>
      </c>
    </row>
    <row r="2512">
      <c r="A2512" s="3" t="n">
        <v>2026</v>
      </c>
      <c r="B2512" s="4" t="n">
        <v>3673</v>
      </c>
      <c r="C2512" s="4" t="n">
        <v>154</v>
      </c>
      <c r="D2512" s="3" t="inlineStr">
        <is>
          <t>연서면</t>
        </is>
      </c>
      <c r="E2512" s="3" t="inlineStr">
        <is>
          <t>고복리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46.585</v>
      </c>
      <c r="I2512" s="5" t="n">
        <v>78.8</v>
      </c>
      <c r="J2512" s="3" t="inlineStr">
        <is>
          <t>연서면</t>
        </is>
      </c>
    </row>
    <row r="2513">
      <c r="A2513" s="3" t="n">
        <v>2026</v>
      </c>
      <c r="B2513" s="4" t="n">
        <v>477</v>
      </c>
      <c r="C2513" s="4" t="n">
        <v>20</v>
      </c>
      <c r="D2513" s="3" t="inlineStr">
        <is>
          <t>연서면</t>
        </is>
      </c>
      <c r="E2513" s="3" t="inlineStr">
        <is>
          <t>고복리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6.05</v>
      </c>
      <c r="I2513" s="5" t="n">
        <v>78.8</v>
      </c>
      <c r="J2513" s="3" t="inlineStr">
        <is>
          <t>연서면</t>
        </is>
      </c>
    </row>
    <row r="2514">
      <c r="A2514" s="3" t="n">
        <v>2024</v>
      </c>
      <c r="B2514" s="4" t="n">
        <v>82000</v>
      </c>
      <c r="C2514" s="4" t="n">
        <v>1540</v>
      </c>
      <c r="D2514" s="3" t="inlineStr">
        <is>
          <t>연서면</t>
        </is>
      </c>
      <c r="E2514" s="3" t="inlineStr">
        <is>
          <t>와촌리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465.85</v>
      </c>
      <c r="I2514" s="5" t="n">
        <v>176</v>
      </c>
      <c r="J2514" s="3" t="inlineStr">
        <is>
          <t>연서면</t>
        </is>
      </c>
    </row>
    <row r="2515">
      <c r="A2515" s="3" t="n">
        <v>2024</v>
      </c>
      <c r="B2515" s="4" t="n">
        <v>1000</v>
      </c>
      <c r="C2515" s="4" t="n">
        <v>10</v>
      </c>
      <c r="D2515" s="3" t="inlineStr">
        <is>
          <t>연서면</t>
        </is>
      </c>
      <c r="E2515" s="3" t="inlineStr">
        <is>
          <t>와촌리</t>
        </is>
      </c>
      <c r="F2515" s="3" t="inlineStr">
        <is>
          <t>계획관리지역</t>
        </is>
      </c>
      <c r="G2515" s="3" t="inlineStr">
        <is>
          <t>도로</t>
        </is>
      </c>
      <c r="H2515" s="4" t="n">
        <v>3.025</v>
      </c>
      <c r="I2515" s="5" t="n">
        <v>330.6</v>
      </c>
      <c r="J2515" s="3" t="inlineStr">
        <is>
          <t>연서면</t>
        </is>
      </c>
    </row>
    <row r="2516">
      <c r="A2516" s="3" t="n">
        <v>2024</v>
      </c>
      <c r="B2516" s="4" t="n">
        <v>17980</v>
      </c>
      <c r="C2516" s="4" t="n">
        <v>168</v>
      </c>
      <c r="D2516" s="3" t="inlineStr">
        <is>
          <t>반곡동</t>
        </is>
      </c>
      <c r="E2516" s="3" t="inlineStr"/>
      <c r="F2516" s="3" t="inlineStr">
        <is>
          <t>제1종전용주거지역</t>
        </is>
      </c>
      <c r="G2516" s="3" t="inlineStr">
        <is>
          <t>대</t>
        </is>
      </c>
      <c r="H2516" s="4" t="n">
        <v>50.82</v>
      </c>
      <c r="I2516" s="5" t="n">
        <v>353.8</v>
      </c>
      <c r="J2516" s="3" t="inlineStr">
        <is>
          <t>반곡동</t>
        </is>
      </c>
    </row>
    <row r="2517">
      <c r="A2517" s="3" t="n">
        <v>2024</v>
      </c>
      <c r="B2517" s="4" t="n">
        <v>33900</v>
      </c>
      <c r="C2517" s="4" t="n">
        <v>500</v>
      </c>
      <c r="D2517" s="3" t="inlineStr">
        <is>
          <t>연동면</t>
        </is>
      </c>
      <c r="E2517" s="3" t="inlineStr">
        <is>
          <t>송용리</t>
        </is>
      </c>
      <c r="F2517" s="3" t="inlineStr">
        <is>
          <t>보전관리지역</t>
        </is>
      </c>
      <c r="G2517" s="3" t="inlineStr">
        <is>
          <t>대</t>
        </is>
      </c>
      <c r="H2517" s="4" t="n">
        <v>151.25</v>
      </c>
      <c r="I2517" s="5" t="n">
        <v>224.1</v>
      </c>
      <c r="J2517" s="3" t="inlineStr">
        <is>
          <t>연동면</t>
        </is>
      </c>
    </row>
    <row r="2518">
      <c r="A2518" s="3" t="n">
        <v>2024</v>
      </c>
      <c r="B2518" s="4" t="n">
        <v>21700</v>
      </c>
      <c r="C2518" s="4" t="n">
        <v>2055.1</v>
      </c>
      <c r="D2518" s="3" t="inlineStr">
        <is>
          <t>부강면</t>
        </is>
      </c>
      <c r="E2518" s="3" t="inlineStr">
        <is>
          <t>행산리</t>
        </is>
      </c>
      <c r="F2518" s="3" t="inlineStr">
        <is>
          <t>농림지역</t>
        </is>
      </c>
      <c r="G2518" s="3" t="inlineStr">
        <is>
          <t>답</t>
        </is>
      </c>
      <c r="H2518" s="4" t="n">
        <v>621.66775</v>
      </c>
      <c r="I2518" s="5" t="n">
        <v>34.9</v>
      </c>
      <c r="J2518" s="3" t="inlineStr">
        <is>
          <t>부강면</t>
        </is>
      </c>
    </row>
    <row r="2519">
      <c r="A2519" s="3" t="n">
        <v>2026</v>
      </c>
      <c r="B2519" s="4" t="n">
        <v>45000</v>
      </c>
      <c r="C2519" s="4" t="n">
        <v>327.4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99.03849999999998</v>
      </c>
      <c r="I2519" s="5" t="n">
        <v>454.4</v>
      </c>
      <c r="J2519" s="3" t="inlineStr">
        <is>
          <t>아름동</t>
        </is>
      </c>
    </row>
    <row r="2520">
      <c r="A2520" s="3" t="n">
        <v>2024</v>
      </c>
      <c r="B2520" s="4" t="n">
        <v>11000</v>
      </c>
      <c r="C2520" s="4" t="n">
        <v>235</v>
      </c>
      <c r="D2520" s="3" t="inlineStr">
        <is>
          <t>연서면</t>
        </is>
      </c>
      <c r="E2520" s="3" t="inlineStr">
        <is>
          <t>신대리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71.08749999999999</v>
      </c>
      <c r="I2520" s="5" t="n">
        <v>154.7</v>
      </c>
      <c r="J2520" s="3" t="inlineStr">
        <is>
          <t>연서면</t>
        </is>
      </c>
    </row>
    <row r="2521">
      <c r="A2521" s="3" t="n">
        <v>2024</v>
      </c>
      <c r="B2521" s="4" t="n">
        <v>23667</v>
      </c>
      <c r="C2521" s="4" t="n">
        <v>483</v>
      </c>
      <c r="D2521" s="3" t="inlineStr">
        <is>
          <t>부강면</t>
        </is>
      </c>
      <c r="E2521" s="3" t="inlineStr">
        <is>
          <t>등곡리</t>
        </is>
      </c>
      <c r="F2521" s="3" t="inlineStr">
        <is>
          <t>제1종일반주거지역</t>
        </is>
      </c>
      <c r="G2521" s="3" t="inlineStr">
        <is>
          <t>구거</t>
        </is>
      </c>
      <c r="H2521" s="4" t="n">
        <v>146.1075</v>
      </c>
      <c r="I2521" s="5" t="n">
        <v>162</v>
      </c>
      <c r="J2521" s="3" t="inlineStr">
        <is>
          <t>부강면</t>
        </is>
      </c>
    </row>
    <row r="2522">
      <c r="A2522" s="3" t="n">
        <v>2023</v>
      </c>
      <c r="B2522" s="4" t="n">
        <v>78000</v>
      </c>
      <c r="C2522" s="4" t="n">
        <v>501.8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151.7945</v>
      </c>
      <c r="I2522" s="5" t="n">
        <v>513.9</v>
      </c>
      <c r="J2522" s="3" t="inlineStr">
        <is>
          <t>한솔동</t>
        </is>
      </c>
    </row>
    <row r="2523">
      <c r="A2523" s="3" t="n">
        <v>2023</v>
      </c>
      <c r="B2523" s="4" t="n">
        <v>13400</v>
      </c>
      <c r="C2523" s="4" t="n">
        <v>332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생산관리지역</t>
        </is>
      </c>
      <c r="G2523" s="3" t="inlineStr">
        <is>
          <t>대</t>
        </is>
      </c>
      <c r="H2523" s="4" t="n">
        <v>100.43</v>
      </c>
      <c r="I2523" s="5" t="n">
        <v>133.4</v>
      </c>
      <c r="J2523" s="3" t="inlineStr">
        <is>
          <t>연서면</t>
        </is>
      </c>
    </row>
    <row r="2524">
      <c r="A2524" s="3" t="n">
        <v>2023</v>
      </c>
      <c r="B2524" s="4" t="n">
        <v>51045</v>
      </c>
      <c r="C2524" s="4" t="n">
        <v>1258</v>
      </c>
      <c r="D2524" s="3" t="inlineStr">
        <is>
          <t>연서면</t>
        </is>
      </c>
      <c r="E2524" s="3" t="inlineStr">
        <is>
          <t>고복리</t>
        </is>
      </c>
      <c r="F2524" s="3" t="inlineStr">
        <is>
          <t>생산관리지역</t>
        </is>
      </c>
      <c r="G2524" s="3" t="inlineStr">
        <is>
          <t>잡종지</t>
        </is>
      </c>
      <c r="H2524" s="4" t="n">
        <v>380.545</v>
      </c>
      <c r="I2524" s="5" t="n">
        <v>134.1</v>
      </c>
      <c r="J2524" s="3" t="inlineStr">
        <is>
          <t>연서면</t>
        </is>
      </c>
    </row>
    <row r="2525">
      <c r="A2525" s="3" t="n">
        <v>2023</v>
      </c>
      <c r="B2525" s="4" t="n">
        <v>15000</v>
      </c>
      <c r="C2525" s="4" t="n">
        <v>111.5</v>
      </c>
      <c r="D2525" s="3" t="inlineStr">
        <is>
          <t>조치원읍</t>
        </is>
      </c>
      <c r="E2525" s="3" t="inlineStr">
        <is>
          <t>남리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33.72875</v>
      </c>
      <c r="I2525" s="5" t="n">
        <v>444.7</v>
      </c>
      <c r="J2525" s="3" t="inlineStr">
        <is>
          <t>조치원읍</t>
        </is>
      </c>
    </row>
    <row r="2526">
      <c r="A2526" s="3" t="n">
        <v>2023</v>
      </c>
      <c r="B2526" s="4" t="n">
        <v>3285</v>
      </c>
      <c r="C2526" s="4" t="n">
        <v>217</v>
      </c>
      <c r="D2526" s="3" t="inlineStr">
        <is>
          <t>연동면</t>
        </is>
      </c>
      <c r="E2526" s="3" t="inlineStr">
        <is>
          <t>응암리</t>
        </is>
      </c>
      <c r="F2526" s="3" t="inlineStr">
        <is>
          <t>계획관리지역</t>
        </is>
      </c>
      <c r="G2526" s="3" t="inlineStr">
        <is>
          <t>목장용지</t>
        </is>
      </c>
      <c r="H2526" s="4" t="n">
        <v>65.6425</v>
      </c>
      <c r="I2526" s="5" t="n">
        <v>50</v>
      </c>
      <c r="J2526" s="3" t="inlineStr">
        <is>
          <t>연동면</t>
        </is>
      </c>
    </row>
    <row r="2527">
      <c r="A2527" s="3" t="n">
        <v>2023</v>
      </c>
      <c r="B2527" s="4" t="n">
        <v>3694</v>
      </c>
      <c r="C2527" s="4" t="n">
        <v>244</v>
      </c>
      <c r="D2527" s="3" t="inlineStr">
        <is>
          <t>연동면</t>
        </is>
      </c>
      <c r="E2527" s="3" t="inlineStr">
        <is>
          <t>응암리</t>
        </is>
      </c>
      <c r="F2527" s="3" t="inlineStr">
        <is>
          <t>계획관리지역</t>
        </is>
      </c>
      <c r="G2527" s="3" t="inlineStr">
        <is>
          <t>목장용지</t>
        </is>
      </c>
      <c r="H2527" s="4" t="n">
        <v>73.81</v>
      </c>
      <c r="I2527" s="5" t="n">
        <v>50</v>
      </c>
      <c r="J2527" s="3" t="inlineStr">
        <is>
          <t>연동면</t>
        </is>
      </c>
    </row>
    <row r="2528">
      <c r="A2528" s="3" t="n">
        <v>2022</v>
      </c>
      <c r="B2528" s="4" t="n">
        <v>1800</v>
      </c>
      <c r="C2528" s="4" t="n">
        <v>200</v>
      </c>
      <c r="D2528" s="3" t="inlineStr">
        <is>
          <t>연서면</t>
        </is>
      </c>
      <c r="E2528" s="3" t="inlineStr">
        <is>
          <t>신대리</t>
        </is>
      </c>
      <c r="F2528" s="3" t="inlineStr">
        <is>
          <t>보전관리지역</t>
        </is>
      </c>
      <c r="G2528" s="3" t="inlineStr">
        <is>
          <t>전</t>
        </is>
      </c>
      <c r="H2528" s="4" t="n">
        <v>60.5</v>
      </c>
      <c r="I2528" s="5" t="n">
        <v>29.8</v>
      </c>
      <c r="J2528" s="3" t="inlineStr">
        <is>
          <t>연서면</t>
        </is>
      </c>
    </row>
    <row r="2529">
      <c r="A2529" s="3" t="n">
        <v>2022</v>
      </c>
      <c r="B2529" s="4" t="n">
        <v>28500</v>
      </c>
      <c r="C2529" s="4" t="n">
        <v>568</v>
      </c>
      <c r="D2529" s="3" t="inlineStr">
        <is>
          <t>연서면</t>
        </is>
      </c>
      <c r="E2529" s="3" t="inlineStr">
        <is>
          <t>고복리</t>
        </is>
      </c>
      <c r="F2529" s="3" t="inlineStr">
        <is>
          <t>자연환경보전</t>
        </is>
      </c>
      <c r="G2529" s="3" t="inlineStr">
        <is>
          <t>답</t>
        </is>
      </c>
      <c r="H2529" s="4" t="n">
        <v>171.82</v>
      </c>
      <c r="I2529" s="5" t="n">
        <v>165.9</v>
      </c>
      <c r="J2529" s="3" t="inlineStr">
        <is>
          <t>연서면</t>
        </is>
      </c>
    </row>
    <row r="2530">
      <c r="A2530" s="3" t="n">
        <v>2022</v>
      </c>
      <c r="B2530" s="4" t="n">
        <v>25000</v>
      </c>
      <c r="C2530" s="4" t="n">
        <v>963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291.3075</v>
      </c>
      <c r="I2530" s="5" t="n">
        <v>85.8</v>
      </c>
      <c r="J2530" s="3" t="inlineStr">
        <is>
          <t>조치원읍</t>
        </is>
      </c>
    </row>
    <row r="2531">
      <c r="A2531" s="3" t="n">
        <v>2022</v>
      </c>
      <c r="B2531" s="4" t="n">
        <v>20000</v>
      </c>
      <c r="C2531" s="4" t="n">
        <v>614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답</t>
        </is>
      </c>
      <c r="H2531" s="4" t="n">
        <v>185.735</v>
      </c>
      <c r="I2531" s="5" t="n">
        <v>107.7</v>
      </c>
      <c r="J2531" s="3" t="inlineStr">
        <is>
          <t>조치원읍</t>
        </is>
      </c>
    </row>
    <row r="2532">
      <c r="A2532" s="3" t="n">
        <v>2022</v>
      </c>
      <c r="B2532" s="4" t="n">
        <v>17000</v>
      </c>
      <c r="C2532" s="4" t="n">
        <v>1243</v>
      </c>
      <c r="D2532" s="3" t="inlineStr">
        <is>
          <t>조치원읍</t>
        </is>
      </c>
      <c r="E2532" s="3" t="inlineStr">
        <is>
          <t>서창리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376.0075</v>
      </c>
      <c r="I2532" s="5" t="n">
        <v>45.2</v>
      </c>
      <c r="J2532" s="3" t="inlineStr">
        <is>
          <t>조치원읍</t>
        </is>
      </c>
    </row>
    <row r="2533">
      <c r="A2533" s="3" t="n">
        <v>2022</v>
      </c>
      <c r="B2533" s="4" t="n">
        <v>6090</v>
      </c>
      <c r="C2533" s="4" t="n">
        <v>28</v>
      </c>
      <c r="D2533" s="3" t="inlineStr">
        <is>
          <t>조치원읍</t>
        </is>
      </c>
      <c r="E2533" s="3" t="inlineStr">
        <is>
          <t>원리</t>
        </is>
      </c>
      <c r="F2533" s="3" t="inlineStr">
        <is>
          <t>제2종일반주거지역</t>
        </is>
      </c>
      <c r="G2533" s="3" t="inlineStr">
        <is>
          <t>대</t>
        </is>
      </c>
      <c r="H2533" s="4" t="n">
        <v>8.469999999999999</v>
      </c>
      <c r="I2533" s="5" t="n">
        <v>719</v>
      </c>
      <c r="J2533" s="3" t="inlineStr">
        <is>
          <t>조치원읍</t>
        </is>
      </c>
    </row>
    <row r="2534">
      <c r="A2534" s="3" t="n">
        <v>2026</v>
      </c>
      <c r="B2534" s="4" t="n">
        <v>24000</v>
      </c>
      <c r="C2534" s="4" t="n">
        <v>1653</v>
      </c>
      <c r="D2534" s="3" t="inlineStr">
        <is>
          <t>부강면</t>
        </is>
      </c>
      <c r="E2534" s="3" t="inlineStr">
        <is>
          <t>노호리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500.0325</v>
      </c>
      <c r="I2534" s="5" t="n">
        <v>48</v>
      </c>
      <c r="J2534" s="3" t="inlineStr">
        <is>
          <t>부강면</t>
        </is>
      </c>
    </row>
    <row r="2535">
      <c r="A2535" s="3" t="n">
        <v>2024</v>
      </c>
      <c r="B2535" s="4" t="n">
        <v>4400</v>
      </c>
      <c r="C2535" s="4" t="n">
        <v>57</v>
      </c>
      <c r="D2535" s="3" t="inlineStr">
        <is>
          <t>연서면</t>
        </is>
      </c>
      <c r="E2535" s="3" t="inlineStr">
        <is>
          <t>고복리</t>
        </is>
      </c>
      <c r="F2535" s="3" t="inlineStr">
        <is>
          <t>자연환경보전</t>
        </is>
      </c>
      <c r="G2535" s="3" t="inlineStr">
        <is>
          <t>답</t>
        </is>
      </c>
      <c r="H2535" s="4" t="n">
        <v>17.2425</v>
      </c>
      <c r="I2535" s="5" t="n">
        <v>255.2</v>
      </c>
      <c r="J2535" s="3" t="inlineStr">
        <is>
          <t>연서면</t>
        </is>
      </c>
    </row>
    <row r="2536">
      <c r="A2536" s="3" t="n">
        <v>2024</v>
      </c>
      <c r="B2536" s="4" t="n">
        <v>455</v>
      </c>
      <c r="C2536" s="4" t="n">
        <v>15</v>
      </c>
      <c r="D2536" s="3" t="inlineStr">
        <is>
          <t>부강면</t>
        </is>
      </c>
      <c r="E2536" s="3" t="inlineStr">
        <is>
          <t>노호리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4.5375</v>
      </c>
      <c r="I2536" s="5" t="n">
        <v>100.3</v>
      </c>
      <c r="J2536" s="3" t="inlineStr">
        <is>
          <t>부강면</t>
        </is>
      </c>
    </row>
    <row r="2537">
      <c r="A2537" s="3" t="n">
        <v>2024</v>
      </c>
      <c r="B2537" s="4" t="n">
        <v>300</v>
      </c>
      <c r="C2537" s="4" t="n">
        <v>3</v>
      </c>
      <c r="D2537" s="3" t="inlineStr">
        <is>
          <t>조치원읍</t>
        </is>
      </c>
      <c r="E2537" s="3" t="inlineStr">
        <is>
          <t>신안리</t>
        </is>
      </c>
      <c r="F2537" s="3" t="inlineStr">
        <is>
          <t>제2종일반주거지역</t>
        </is>
      </c>
      <c r="G2537" s="3" t="inlineStr">
        <is>
          <t>대</t>
        </is>
      </c>
      <c r="H2537" s="4" t="n">
        <v>0.9075</v>
      </c>
      <c r="I2537" s="5" t="n">
        <v>330.6</v>
      </c>
      <c r="J2537" s="3" t="inlineStr">
        <is>
          <t>조치원읍</t>
        </is>
      </c>
    </row>
    <row r="2538">
      <c r="A2538" s="3" t="n">
        <v>2024</v>
      </c>
      <c r="B2538" s="4" t="n">
        <v>23000</v>
      </c>
      <c r="C2538" s="4" t="n">
        <v>5241</v>
      </c>
      <c r="D2538" s="3" t="inlineStr">
        <is>
          <t>연동면</t>
        </is>
      </c>
      <c r="E2538" s="3" t="inlineStr">
        <is>
          <t>응암리</t>
        </is>
      </c>
      <c r="F2538" s="3" t="inlineStr">
        <is>
          <t>계획관리지역</t>
        </is>
      </c>
      <c r="G2538" s="3" t="inlineStr">
        <is>
          <t>공장용지</t>
        </is>
      </c>
      <c r="H2538" s="4" t="n">
        <v>1585.4025</v>
      </c>
      <c r="I2538" s="5" t="n">
        <v>14.5</v>
      </c>
      <c r="J2538" s="3" t="inlineStr">
        <is>
          <t>연동면</t>
        </is>
      </c>
    </row>
    <row r="2539">
      <c r="A2539" s="3" t="n">
        <v>2024</v>
      </c>
      <c r="B2539" s="4" t="n">
        <v>87200</v>
      </c>
      <c r="C2539" s="4" t="n">
        <v>1441</v>
      </c>
      <c r="D2539" s="3" t="inlineStr">
        <is>
          <t>연서면</t>
        </is>
      </c>
      <c r="E2539" s="3" t="inlineStr">
        <is>
          <t>쌍전리</t>
        </is>
      </c>
      <c r="F2539" s="3" t="inlineStr">
        <is>
          <t>자연녹지지역</t>
        </is>
      </c>
      <c r="G2539" s="3" t="inlineStr">
        <is>
          <t>과수원</t>
        </is>
      </c>
      <c r="H2539" s="4" t="n">
        <v>435.9025</v>
      </c>
      <c r="I2539" s="5" t="n">
        <v>200</v>
      </c>
      <c r="J2539" s="3" t="inlineStr">
        <is>
          <t>연서면</t>
        </is>
      </c>
    </row>
    <row r="2540">
      <c r="A2540" s="3" t="n">
        <v>2024</v>
      </c>
      <c r="B2540" s="4" t="n">
        <v>63000</v>
      </c>
      <c r="C2540" s="4" t="n">
        <v>377.8</v>
      </c>
      <c r="D2540" s="3" t="inlineStr">
        <is>
          <t>반곡동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114.2845</v>
      </c>
      <c r="I2540" s="5" t="n">
        <v>551.3</v>
      </c>
      <c r="J2540" s="3" t="inlineStr">
        <is>
          <t>반곡동</t>
        </is>
      </c>
    </row>
    <row r="2541">
      <c r="A2541" s="3" t="n">
        <v>2025</v>
      </c>
      <c r="B2541" s="4" t="n">
        <v>33807</v>
      </c>
      <c r="C2541" s="4" t="n">
        <v>1283</v>
      </c>
      <c r="D2541" s="3" t="inlineStr">
        <is>
          <t>연동면</t>
        </is>
      </c>
      <c r="E2541" s="3" t="inlineStr">
        <is>
          <t>응암리</t>
        </is>
      </c>
      <c r="F2541" s="3" t="inlineStr">
        <is>
          <t>계획관리지역</t>
        </is>
      </c>
      <c r="G2541" s="3" t="inlineStr">
        <is>
          <t>목장용지</t>
        </is>
      </c>
      <c r="H2541" s="4" t="n">
        <v>388.1075</v>
      </c>
      <c r="I2541" s="5" t="n">
        <v>87.09999999999999</v>
      </c>
      <c r="J2541" s="3" t="inlineStr">
        <is>
          <t>연동면</t>
        </is>
      </c>
    </row>
    <row r="2542">
      <c r="A2542" s="3" t="n">
        <v>2025</v>
      </c>
      <c r="B2542" s="4" t="n">
        <v>23767</v>
      </c>
      <c r="C2542" s="4" t="n">
        <v>902</v>
      </c>
      <c r="D2542" s="3" t="inlineStr">
        <is>
          <t>연동면</t>
        </is>
      </c>
      <c r="E2542" s="3" t="inlineStr">
        <is>
          <t>응암리</t>
        </is>
      </c>
      <c r="F2542" s="3" t="inlineStr">
        <is>
          <t>계획관리지역</t>
        </is>
      </c>
      <c r="G2542" s="3" t="inlineStr">
        <is>
          <t>목장용지</t>
        </is>
      </c>
      <c r="H2542" s="4" t="n">
        <v>272.855</v>
      </c>
      <c r="I2542" s="5" t="n">
        <v>87.09999999999999</v>
      </c>
      <c r="J2542" s="3" t="inlineStr">
        <is>
          <t>연동면</t>
        </is>
      </c>
    </row>
    <row r="2543">
      <c r="A2543" s="3" t="n">
        <v>2025</v>
      </c>
      <c r="B2543" s="4" t="n">
        <v>33622</v>
      </c>
      <c r="C2543" s="4" t="n">
        <v>1276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목장용지</t>
        </is>
      </c>
      <c r="H2543" s="4" t="n">
        <v>385.99</v>
      </c>
      <c r="I2543" s="5" t="n">
        <v>87.09999999999999</v>
      </c>
      <c r="J2543" s="3" t="inlineStr">
        <is>
          <t>연동면</t>
        </is>
      </c>
    </row>
    <row r="2544">
      <c r="A2544" s="3" t="n">
        <v>2025</v>
      </c>
      <c r="B2544" s="4" t="n">
        <v>3952</v>
      </c>
      <c r="C2544" s="4" t="n">
        <v>150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목장용지</t>
        </is>
      </c>
      <c r="H2544" s="4" t="n">
        <v>45.375</v>
      </c>
      <c r="I2544" s="5" t="n">
        <v>87.09999999999999</v>
      </c>
      <c r="J2544" s="3" t="inlineStr">
        <is>
          <t>연동면</t>
        </is>
      </c>
    </row>
    <row r="2545">
      <c r="A2545" s="3" t="n">
        <v>2025</v>
      </c>
      <c r="B2545" s="4" t="n">
        <v>38000</v>
      </c>
      <c r="C2545" s="4" t="n">
        <v>21604</v>
      </c>
      <c r="D2545" s="3" t="inlineStr">
        <is>
          <t>부강면</t>
        </is>
      </c>
      <c r="E2545" s="3" t="inlineStr">
        <is>
          <t>등곡리</t>
        </is>
      </c>
      <c r="F2545" s="3" t="inlineStr">
        <is>
          <t>보전관리지역</t>
        </is>
      </c>
      <c r="G2545" s="3" t="inlineStr">
        <is>
          <t>임야</t>
        </is>
      </c>
      <c r="H2545" s="4" t="n">
        <v>6535.21</v>
      </c>
      <c r="I2545" s="5" t="n">
        <v>5.8</v>
      </c>
      <c r="J2545" s="3" t="inlineStr">
        <is>
          <t>부강면</t>
        </is>
      </c>
    </row>
    <row r="2546">
      <c r="A2546" s="3" t="n">
        <v>2025</v>
      </c>
      <c r="B2546" s="4" t="n">
        <v>16500</v>
      </c>
      <c r="C2546" s="4" t="n">
        <v>9912</v>
      </c>
      <c r="D2546" s="3" t="inlineStr">
        <is>
          <t>부강면</t>
        </is>
      </c>
      <c r="E2546" s="3" t="inlineStr">
        <is>
          <t>등곡리</t>
        </is>
      </c>
      <c r="F2546" s="3" t="inlineStr">
        <is>
          <t>계획관리지역</t>
        </is>
      </c>
      <c r="G2546" s="3" t="inlineStr">
        <is>
          <t>임야</t>
        </is>
      </c>
      <c r="H2546" s="4" t="n">
        <v>2998.38</v>
      </c>
      <c r="I2546" s="5" t="n">
        <v>5.5</v>
      </c>
      <c r="J2546" s="3" t="inlineStr">
        <is>
          <t>부강면</t>
        </is>
      </c>
    </row>
    <row r="2547">
      <c r="A2547" s="3" t="n">
        <v>2025</v>
      </c>
      <c r="B2547" s="4" t="n">
        <v>2300</v>
      </c>
      <c r="C2547" s="4" t="n">
        <v>1024</v>
      </c>
      <c r="D2547" s="3" t="inlineStr">
        <is>
          <t>부강면</t>
        </is>
      </c>
      <c r="E2547" s="3" t="inlineStr">
        <is>
          <t>등곡리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309.76</v>
      </c>
      <c r="I2547" s="5" t="n">
        <v>7.4</v>
      </c>
      <c r="J2547" s="3" t="inlineStr">
        <is>
          <t>부강면</t>
        </is>
      </c>
    </row>
    <row r="2548">
      <c r="A2548" s="3" t="n">
        <v>2025</v>
      </c>
      <c r="B2548" s="4" t="n">
        <v>9304</v>
      </c>
      <c r="C2548" s="4" t="n">
        <v>1163</v>
      </c>
      <c r="D2548" s="3" t="inlineStr">
        <is>
          <t>부강면</t>
        </is>
      </c>
      <c r="E2548" s="3" t="inlineStr">
        <is>
          <t>등곡리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351.8075</v>
      </c>
      <c r="I2548" s="5" t="n">
        <v>26.4</v>
      </c>
      <c r="J2548" s="3" t="inlineStr">
        <is>
          <t>부강면</t>
        </is>
      </c>
    </row>
    <row r="2549">
      <c r="A2549" s="3" t="n">
        <v>2025</v>
      </c>
      <c r="B2549" s="4" t="n">
        <v>17216</v>
      </c>
      <c r="C2549" s="4" t="n">
        <v>2152</v>
      </c>
      <c r="D2549" s="3" t="inlineStr">
        <is>
          <t>부강면</t>
        </is>
      </c>
      <c r="E2549" s="3" t="inlineStr">
        <is>
          <t>등곡리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650.98</v>
      </c>
      <c r="I2549" s="5" t="n">
        <v>26.4</v>
      </c>
      <c r="J2549" s="3" t="inlineStr">
        <is>
          <t>부강면</t>
        </is>
      </c>
    </row>
    <row r="2550">
      <c r="A2550" s="3" t="n">
        <v>2025</v>
      </c>
      <c r="B2550" s="4" t="n">
        <v>3072</v>
      </c>
      <c r="C2550" s="4" t="n">
        <v>8453</v>
      </c>
      <c r="D2550" s="3" t="inlineStr">
        <is>
          <t>부강면</t>
        </is>
      </c>
      <c r="E2550" s="3" t="inlineStr">
        <is>
          <t>등곡리</t>
        </is>
      </c>
      <c r="F2550" s="3" t="inlineStr">
        <is>
          <t>농림지역</t>
        </is>
      </c>
      <c r="G2550" s="3" t="inlineStr">
        <is>
          <t>임야</t>
        </is>
      </c>
      <c r="H2550" s="4" t="n">
        <v>2557.0325</v>
      </c>
      <c r="I2550" s="5" t="n">
        <v>1.2</v>
      </c>
      <c r="J2550" s="3" t="inlineStr">
        <is>
          <t>부강면</t>
        </is>
      </c>
    </row>
    <row r="2551">
      <c r="A2551" s="3" t="n">
        <v>2025</v>
      </c>
      <c r="B2551" s="4" t="n">
        <v>22448</v>
      </c>
      <c r="C2551" s="4" t="n">
        <v>2806</v>
      </c>
      <c r="D2551" s="3" t="inlineStr">
        <is>
          <t>부강면</t>
        </is>
      </c>
      <c r="E2551" s="3" t="inlineStr">
        <is>
          <t>등곡리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848.8149999999999</v>
      </c>
      <c r="I2551" s="5" t="n">
        <v>26.4</v>
      </c>
      <c r="J2551" s="3" t="inlineStr">
        <is>
          <t>부강면</t>
        </is>
      </c>
    </row>
    <row r="2552">
      <c r="A2552" s="3" t="n">
        <v>2025</v>
      </c>
      <c r="B2552" s="4" t="n">
        <v>2928</v>
      </c>
      <c r="C2552" s="4" t="n">
        <v>366</v>
      </c>
      <c r="D2552" s="3" t="inlineStr">
        <is>
          <t>부강면</t>
        </is>
      </c>
      <c r="E2552" s="3" t="inlineStr">
        <is>
          <t>등곡리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110.715</v>
      </c>
      <c r="I2552" s="5" t="n">
        <v>26.4</v>
      </c>
      <c r="J2552" s="3" t="inlineStr">
        <is>
          <t>부강면</t>
        </is>
      </c>
    </row>
    <row r="2553">
      <c r="A2553" s="3" t="n">
        <v>2025</v>
      </c>
      <c r="B2553" s="4" t="n">
        <v>840</v>
      </c>
      <c r="C2553" s="4" t="n">
        <v>105</v>
      </c>
      <c r="D2553" s="3" t="inlineStr">
        <is>
          <t>부강면</t>
        </is>
      </c>
      <c r="E2553" s="3" t="inlineStr">
        <is>
          <t>등곡리</t>
        </is>
      </c>
      <c r="F2553" s="3" t="inlineStr">
        <is>
          <t>계획관리지역</t>
        </is>
      </c>
      <c r="G2553" s="3" t="inlineStr">
        <is>
          <t>공장용지</t>
        </is>
      </c>
      <c r="H2553" s="4" t="n">
        <v>31.7625</v>
      </c>
      <c r="I2553" s="5" t="n">
        <v>26.4</v>
      </c>
      <c r="J2553" s="3" t="inlineStr">
        <is>
          <t>부강면</t>
        </is>
      </c>
    </row>
    <row r="2554">
      <c r="A2554" s="3" t="n">
        <v>2025</v>
      </c>
      <c r="B2554" s="4" t="n">
        <v>160</v>
      </c>
      <c r="C2554" s="4" t="n">
        <v>20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계획관리지역</t>
        </is>
      </c>
      <c r="G2554" s="3" t="inlineStr">
        <is>
          <t>공장용지</t>
        </is>
      </c>
      <c r="H2554" s="4" t="n">
        <v>6.05</v>
      </c>
      <c r="I2554" s="5" t="n">
        <v>26.4</v>
      </c>
      <c r="J2554" s="3" t="inlineStr">
        <is>
          <t>부강면</t>
        </is>
      </c>
    </row>
    <row r="2555">
      <c r="A2555" s="3" t="n">
        <v>2025</v>
      </c>
      <c r="B2555" s="4" t="n">
        <v>96</v>
      </c>
      <c r="C2555" s="4" t="n">
        <v>12</v>
      </c>
      <c r="D2555" s="3" t="inlineStr">
        <is>
          <t>부강면</t>
        </is>
      </c>
      <c r="E2555" s="3" t="inlineStr">
        <is>
          <t>등곡리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3.63</v>
      </c>
      <c r="I2555" s="5" t="n">
        <v>26.4</v>
      </c>
      <c r="J2555" s="3" t="inlineStr">
        <is>
          <t>부강면</t>
        </is>
      </c>
    </row>
    <row r="2556">
      <c r="A2556" s="3" t="n">
        <v>2025</v>
      </c>
      <c r="B2556" s="4" t="n">
        <v>112</v>
      </c>
      <c r="C2556" s="4" t="n">
        <v>14</v>
      </c>
      <c r="D2556" s="3" t="inlineStr">
        <is>
          <t>부강면</t>
        </is>
      </c>
      <c r="E2556" s="3" t="inlineStr">
        <is>
          <t>등곡리</t>
        </is>
      </c>
      <c r="F2556" s="3" t="inlineStr">
        <is>
          <t>보전관리지역</t>
        </is>
      </c>
      <c r="G2556" s="3" t="inlineStr">
        <is>
          <t>임야</t>
        </is>
      </c>
      <c r="H2556" s="4" t="n">
        <v>4.234999999999999</v>
      </c>
      <c r="I2556" s="5" t="n">
        <v>26.4</v>
      </c>
      <c r="J2556" s="3" t="inlineStr">
        <is>
          <t>부강면</t>
        </is>
      </c>
    </row>
    <row r="2557">
      <c r="A2557" s="3" t="n">
        <v>2025</v>
      </c>
      <c r="B2557" s="4" t="n">
        <v>440</v>
      </c>
      <c r="C2557" s="4" t="n">
        <v>55</v>
      </c>
      <c r="D2557" s="3" t="inlineStr">
        <is>
          <t>부강면</t>
        </is>
      </c>
      <c r="E2557" s="3" t="inlineStr">
        <is>
          <t>등곡리</t>
        </is>
      </c>
      <c r="F2557" s="3" t="inlineStr">
        <is>
          <t>계획관리지역</t>
        </is>
      </c>
      <c r="G2557" s="3" t="inlineStr">
        <is>
          <t>임야</t>
        </is>
      </c>
      <c r="H2557" s="4" t="n">
        <v>16.6375</v>
      </c>
      <c r="I2557" s="5" t="n">
        <v>26.4</v>
      </c>
      <c r="J2557" s="3" t="inlineStr">
        <is>
          <t>부강면</t>
        </is>
      </c>
    </row>
    <row r="2558">
      <c r="A2558" s="3" t="n">
        <v>2025</v>
      </c>
      <c r="B2558" s="4" t="n">
        <v>224</v>
      </c>
      <c r="C2558" s="4" t="n">
        <v>28</v>
      </c>
      <c r="D2558" s="3" t="inlineStr">
        <is>
          <t>부강면</t>
        </is>
      </c>
      <c r="E2558" s="3" t="inlineStr">
        <is>
          <t>등곡리</t>
        </is>
      </c>
      <c r="F2558" s="3" t="inlineStr">
        <is>
          <t>계획관리지역</t>
        </is>
      </c>
      <c r="G2558" s="3" t="inlineStr">
        <is>
          <t>임야</t>
        </is>
      </c>
      <c r="H2558" s="4" t="n">
        <v>8.469999999999999</v>
      </c>
      <c r="I2558" s="5" t="n">
        <v>26.4</v>
      </c>
      <c r="J2558" s="3" t="inlineStr">
        <is>
          <t>부강면</t>
        </is>
      </c>
    </row>
    <row r="2559">
      <c r="A2559" s="3" t="n">
        <v>2025</v>
      </c>
      <c r="B2559" s="4" t="n">
        <v>91709</v>
      </c>
      <c r="C2559" s="4" t="n">
        <v>1418.8</v>
      </c>
      <c r="D2559" s="3" t="inlineStr">
        <is>
          <t>집현동</t>
        </is>
      </c>
      <c r="E2559" s="3" t="inlineStr"/>
      <c r="F2559" s="3" t="inlineStr">
        <is>
          <t>준주거지역</t>
        </is>
      </c>
      <c r="G2559" s="3" t="inlineStr">
        <is>
          <t>대</t>
        </is>
      </c>
      <c r="H2559" s="4" t="n">
        <v>429.187</v>
      </c>
      <c r="I2559" s="5" t="n">
        <v>213.7</v>
      </c>
      <c r="J2559" s="3" t="inlineStr">
        <is>
          <t>집현동</t>
        </is>
      </c>
    </row>
    <row r="2560">
      <c r="A2560" s="3" t="n">
        <v>2025</v>
      </c>
      <c r="B2560" s="4" t="n">
        <v>53000</v>
      </c>
      <c r="C2560" s="4" t="n">
        <v>3357.6</v>
      </c>
      <c r="D2560" s="3" t="inlineStr">
        <is>
          <t>연동면</t>
        </is>
      </c>
      <c r="E2560" s="3" t="inlineStr">
        <is>
          <t>문주리</t>
        </is>
      </c>
      <c r="F2560" s="3" t="inlineStr">
        <is>
          <t>농림지역</t>
        </is>
      </c>
      <c r="G2560" s="3" t="inlineStr">
        <is>
          <t>답</t>
        </is>
      </c>
      <c r="H2560" s="4" t="n">
        <v>1015.674</v>
      </c>
      <c r="I2560" s="5" t="n">
        <v>52.2</v>
      </c>
      <c r="J2560" s="3" t="inlineStr">
        <is>
          <t>연동면</t>
        </is>
      </c>
    </row>
    <row r="2561">
      <c r="A2561" s="3" t="n">
        <v>2025</v>
      </c>
      <c r="B2561" s="4" t="n">
        <v>3000</v>
      </c>
      <c r="C2561" s="4" t="n">
        <v>242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계획관리지역</t>
        </is>
      </c>
      <c r="G2561" s="3" t="inlineStr">
        <is>
          <t>임야</t>
        </is>
      </c>
      <c r="H2561" s="4" t="n">
        <v>73.205</v>
      </c>
      <c r="I2561" s="5" t="n">
        <v>41</v>
      </c>
      <c r="J2561" s="3" t="inlineStr">
        <is>
          <t>연서면</t>
        </is>
      </c>
    </row>
    <row r="2562">
      <c r="A2562" s="3" t="n">
        <v>2025</v>
      </c>
      <c r="B2562" s="4" t="n">
        <v>35000</v>
      </c>
      <c r="C2562" s="4" t="n">
        <v>1160</v>
      </c>
      <c r="D2562" s="3" t="inlineStr">
        <is>
          <t>연서면</t>
        </is>
      </c>
      <c r="E2562" s="3" t="inlineStr">
        <is>
          <t>봉암리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350.9</v>
      </c>
      <c r="I2562" s="5" t="n">
        <v>99.7</v>
      </c>
      <c r="J2562" s="3" t="inlineStr">
        <is>
          <t>연서면</t>
        </is>
      </c>
    </row>
    <row r="2563">
      <c r="A2563" s="3" t="n">
        <v>2025</v>
      </c>
      <c r="B2563" s="4" t="n">
        <v>4813</v>
      </c>
      <c r="C2563" s="4" t="n">
        <v>139.3</v>
      </c>
      <c r="D2563" s="3" t="inlineStr">
        <is>
          <t>연서면</t>
        </is>
      </c>
      <c r="E2563" s="3" t="inlineStr">
        <is>
          <t>월하리</t>
        </is>
      </c>
      <c r="F2563" s="3" t="inlineStr">
        <is>
          <t>계획관리지역</t>
        </is>
      </c>
      <c r="G2563" s="3" t="inlineStr">
        <is>
          <t>도로</t>
        </is>
      </c>
      <c r="H2563" s="4" t="n">
        <v>42.13825</v>
      </c>
      <c r="I2563" s="5" t="n">
        <v>114.2</v>
      </c>
      <c r="J2563" s="3" t="inlineStr">
        <is>
          <t>연서면</t>
        </is>
      </c>
    </row>
    <row r="2564">
      <c r="A2564" s="3" t="n">
        <v>2025</v>
      </c>
      <c r="B2564" s="4" t="n">
        <v>1728</v>
      </c>
      <c r="C2564" s="4" t="n">
        <v>50</v>
      </c>
      <c r="D2564" s="3" t="inlineStr">
        <is>
          <t>연서면</t>
        </is>
      </c>
      <c r="E2564" s="3" t="inlineStr">
        <is>
          <t>월하리</t>
        </is>
      </c>
      <c r="F2564" s="3" t="inlineStr">
        <is>
          <t>계획관리지역</t>
        </is>
      </c>
      <c r="G2564" s="3" t="inlineStr">
        <is>
          <t>도로</t>
        </is>
      </c>
      <c r="H2564" s="4" t="n">
        <v>15.125</v>
      </c>
      <c r="I2564" s="5" t="n">
        <v>114.2</v>
      </c>
      <c r="J2564" s="3" t="inlineStr">
        <is>
          <t>연서면</t>
        </is>
      </c>
    </row>
    <row r="2565">
      <c r="A2565" s="3" t="n">
        <v>2025</v>
      </c>
      <c r="B2565" s="4" t="n">
        <v>15000</v>
      </c>
      <c r="C2565" s="4" t="n">
        <v>522</v>
      </c>
      <c r="D2565" s="3" t="inlineStr">
        <is>
          <t>조치원읍</t>
        </is>
      </c>
      <c r="E2565" s="3" t="inlineStr">
        <is>
          <t>봉산리</t>
        </is>
      </c>
      <c r="F2565" s="3" t="inlineStr">
        <is>
          <t>자연녹지지역</t>
        </is>
      </c>
      <c r="G2565" s="3" t="inlineStr">
        <is>
          <t>대</t>
        </is>
      </c>
      <c r="H2565" s="4" t="n">
        <v>157.905</v>
      </c>
      <c r="I2565" s="5" t="n">
        <v>95</v>
      </c>
      <c r="J2565" s="3" t="inlineStr">
        <is>
          <t>조치원읍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2024</v>
      </c>
      <c r="B2567" s="4" t="n">
        <v>45000</v>
      </c>
      <c r="C2567" s="4" t="n">
        <v>345.8</v>
      </c>
      <c r="D2567" s="3" t="inlineStr">
        <is>
          <t>고운동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104.6045</v>
      </c>
      <c r="I2567" s="5" t="n">
        <v>430.2</v>
      </c>
      <c r="J2567" s="3" t="inlineStr">
        <is>
          <t>고운동</t>
        </is>
      </c>
    </row>
    <row r="2568">
      <c r="A2568" s="3" t="n">
        <v>2024</v>
      </c>
      <c r="B2568" s="4" t="n">
        <v>6400</v>
      </c>
      <c r="C2568" s="4" t="n">
        <v>529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생산관리지역</t>
        </is>
      </c>
      <c r="G2568" s="3" t="inlineStr">
        <is>
          <t>전</t>
        </is>
      </c>
      <c r="H2568" s="4" t="n">
        <v>160.0225</v>
      </c>
      <c r="I2568" s="5" t="n">
        <v>40</v>
      </c>
      <c r="J2568" s="3" t="inlineStr">
        <is>
          <t>연서면</t>
        </is>
      </c>
    </row>
    <row r="2569">
      <c r="A2569" s="3" t="n">
        <v>2024</v>
      </c>
      <c r="B2569" s="4" t="n">
        <v>21120</v>
      </c>
      <c r="C2569" s="4" t="n">
        <v>1744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생산관리지역</t>
        </is>
      </c>
      <c r="G2569" s="3" t="inlineStr">
        <is>
          <t>과수원</t>
        </is>
      </c>
      <c r="H2569" s="4" t="n">
        <v>527.5599999999999</v>
      </c>
      <c r="I2569" s="5" t="n">
        <v>40</v>
      </c>
      <c r="J2569" s="3" t="inlineStr">
        <is>
          <t>연서면</t>
        </is>
      </c>
    </row>
    <row r="2570">
      <c r="A2570" s="3" t="n">
        <v>2023</v>
      </c>
      <c r="B2570" s="4" t="n">
        <v>71100</v>
      </c>
      <c r="C2570" s="4" t="n">
        <v>9972</v>
      </c>
      <c r="D2570" s="3" t="inlineStr">
        <is>
          <t>부강면</t>
        </is>
      </c>
      <c r="E2570" s="3" t="inlineStr">
        <is>
          <t>노호리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3016.53</v>
      </c>
      <c r="I2570" s="5" t="n">
        <v>23.6</v>
      </c>
      <c r="J2570" s="3" t="inlineStr">
        <is>
          <t>부강면</t>
        </is>
      </c>
    </row>
    <row r="2571">
      <c r="A2571" s="3" t="n">
        <v>2023</v>
      </c>
      <c r="B2571" s="4" t="n">
        <v>13950</v>
      </c>
      <c r="C2571" s="4" t="n">
        <v>1957</v>
      </c>
      <c r="D2571" s="3" t="inlineStr">
        <is>
          <t>부강면</t>
        </is>
      </c>
      <c r="E2571" s="3" t="inlineStr">
        <is>
          <t>노호리</t>
        </is>
      </c>
      <c r="F2571" s="3" t="inlineStr">
        <is>
          <t>보전관리지역</t>
        </is>
      </c>
      <c r="G2571" s="3" t="inlineStr">
        <is>
          <t>임야</t>
        </is>
      </c>
      <c r="H2571" s="4" t="n">
        <v>591.9924999999999</v>
      </c>
      <c r="I2571" s="5" t="n">
        <v>23.6</v>
      </c>
      <c r="J2571" s="3" t="inlineStr">
        <is>
          <t>부강면</t>
        </is>
      </c>
    </row>
    <row r="2572">
      <c r="A2572" s="3" t="n">
        <v>2023</v>
      </c>
      <c r="B2572" s="4" t="n">
        <v>950</v>
      </c>
      <c r="C2572" s="4" t="n">
        <v>133</v>
      </c>
      <c r="D2572" s="3" t="inlineStr">
        <is>
          <t>부강면</t>
        </is>
      </c>
      <c r="E2572" s="3" t="inlineStr">
        <is>
          <t>노호리</t>
        </is>
      </c>
      <c r="F2572" s="3" t="inlineStr">
        <is>
          <t>보전관리지역</t>
        </is>
      </c>
      <c r="G2572" s="3" t="inlineStr">
        <is>
          <t>임야</t>
        </is>
      </c>
      <c r="H2572" s="4" t="n">
        <v>40.2325</v>
      </c>
      <c r="I2572" s="5" t="n">
        <v>23.6</v>
      </c>
      <c r="J2572" s="3" t="inlineStr">
        <is>
          <t>부강면</t>
        </is>
      </c>
    </row>
    <row r="2573">
      <c r="A2573" s="3" t="n">
        <v>2023</v>
      </c>
      <c r="B2573" s="4" t="n">
        <v>18000</v>
      </c>
      <c r="C2573" s="4" t="n">
        <v>1862</v>
      </c>
      <c r="D2573" s="3" t="inlineStr">
        <is>
          <t>부강면</t>
        </is>
      </c>
      <c r="E2573" s="3" t="inlineStr">
        <is>
          <t>노호리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563.255</v>
      </c>
      <c r="I2573" s="5" t="n">
        <v>32</v>
      </c>
      <c r="J2573" s="3" t="inlineStr">
        <is>
          <t>부강면</t>
        </is>
      </c>
    </row>
    <row r="2574">
      <c r="A2574" s="3" t="n">
        <v>2022</v>
      </c>
      <c r="B2574" s="4" t="n">
        <v>70000</v>
      </c>
      <c r="C2574" s="4" t="n">
        <v>370.8</v>
      </c>
      <c r="D2574" s="3" t="inlineStr">
        <is>
          <t>고운동</t>
        </is>
      </c>
      <c r="E2574" s="3" t="inlineStr"/>
      <c r="F2574" s="3" t="inlineStr">
        <is>
          <t>제1종전용주거지역</t>
        </is>
      </c>
      <c r="G2574" s="3" t="inlineStr">
        <is>
          <t>대</t>
        </is>
      </c>
      <c r="H2574" s="4" t="n">
        <v>112.167</v>
      </c>
      <c r="I2574" s="5" t="n">
        <v>624.1</v>
      </c>
      <c r="J2574" s="3" t="inlineStr">
        <is>
          <t>고운동</t>
        </is>
      </c>
    </row>
    <row r="2575">
      <c r="A2575" s="3" t="n">
        <v>2025</v>
      </c>
      <c r="B2575" s="4" t="n">
        <v>904</v>
      </c>
      <c r="C2575" s="4" t="n">
        <v>113</v>
      </c>
      <c r="D2575" s="3" t="inlineStr">
        <is>
          <t>부강면</t>
        </is>
      </c>
      <c r="E2575" s="3" t="inlineStr">
        <is>
          <t>등곡리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34.1825</v>
      </c>
      <c r="I2575" s="5" t="n">
        <v>26.4</v>
      </c>
      <c r="J2575" s="3" t="inlineStr">
        <is>
          <t>부강면</t>
        </is>
      </c>
    </row>
    <row r="2576">
      <c r="A2576" s="3" t="n">
        <v>2026</v>
      </c>
      <c r="B2576" s="4" t="n">
        <v>5561</v>
      </c>
      <c r="C2576" s="4" t="n">
        <v>233</v>
      </c>
      <c r="D2576" s="3" t="inlineStr">
        <is>
          <t>부강면</t>
        </is>
      </c>
      <c r="E2576" s="3" t="inlineStr">
        <is>
          <t>문곡리</t>
        </is>
      </c>
      <c r="F2576" s="3" t="inlineStr">
        <is>
          <t>계획관리지역</t>
        </is>
      </c>
      <c r="G2576" s="3" t="inlineStr">
        <is>
          <t>전</t>
        </is>
      </c>
      <c r="H2576" s="4" t="n">
        <v>70.4825</v>
      </c>
      <c r="I2576" s="5" t="n">
        <v>78.90000000000001</v>
      </c>
      <c r="J2576" s="3" t="inlineStr">
        <is>
          <t>부강면</t>
        </is>
      </c>
    </row>
    <row r="2577">
      <c r="A2577" s="3" t="n">
        <v>2026</v>
      </c>
      <c r="B2577" s="4" t="n">
        <v>8353</v>
      </c>
      <c r="C2577" s="4" t="n">
        <v>350</v>
      </c>
      <c r="D2577" s="3" t="inlineStr">
        <is>
          <t>부강면</t>
        </is>
      </c>
      <c r="E2577" s="3" t="inlineStr">
        <is>
          <t>문곡리</t>
        </is>
      </c>
      <c r="F2577" s="3" t="inlineStr">
        <is>
          <t>계획관리지역</t>
        </is>
      </c>
      <c r="G2577" s="3" t="inlineStr">
        <is>
          <t>대</t>
        </is>
      </c>
      <c r="H2577" s="4" t="n">
        <v>105.875</v>
      </c>
      <c r="I2577" s="5" t="n">
        <v>78.90000000000001</v>
      </c>
      <c r="J2577" s="3" t="inlineStr">
        <is>
          <t>부강면</t>
        </is>
      </c>
    </row>
    <row r="2578">
      <c r="A2578" s="3" t="n">
        <v>2026</v>
      </c>
      <c r="B2578" s="4" t="n">
        <v>15561</v>
      </c>
      <c r="C2578" s="4" t="n">
        <v>652</v>
      </c>
      <c r="D2578" s="3" t="inlineStr">
        <is>
          <t>부강면</t>
        </is>
      </c>
      <c r="E2578" s="3" t="inlineStr">
        <is>
          <t>문곡리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197.23</v>
      </c>
      <c r="I2578" s="5" t="n">
        <v>78.90000000000001</v>
      </c>
      <c r="J2578" s="3" t="inlineStr">
        <is>
          <t>부강면</t>
        </is>
      </c>
    </row>
    <row r="2579">
      <c r="A2579" s="3" t="n">
        <v>2026</v>
      </c>
      <c r="B2579" s="4" t="n">
        <v>525</v>
      </c>
      <c r="C2579" s="4" t="n">
        <v>22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6.654999999999999</v>
      </c>
      <c r="I2579" s="5" t="n">
        <v>78.90000000000001</v>
      </c>
      <c r="J2579" s="3" t="inlineStr">
        <is>
          <t>부강면</t>
        </is>
      </c>
    </row>
    <row r="2580">
      <c r="A2580" s="3" t="n">
        <v>2026</v>
      </c>
      <c r="B2580" s="4" t="n">
        <v>7200</v>
      </c>
      <c r="C2580" s="4" t="n">
        <v>40</v>
      </c>
      <c r="D2580" s="3" t="inlineStr">
        <is>
          <t>부강면</t>
        </is>
      </c>
      <c r="E2580" s="3" t="inlineStr">
        <is>
          <t>부강리</t>
        </is>
      </c>
      <c r="F2580" s="3" t="inlineStr">
        <is>
          <t>제2종일반주거지역</t>
        </is>
      </c>
      <c r="G2580" s="3" t="inlineStr">
        <is>
          <t>대</t>
        </is>
      </c>
      <c r="H2580" s="4" t="n">
        <v>12.1</v>
      </c>
      <c r="I2580" s="5" t="n">
        <v>595</v>
      </c>
      <c r="J2580" s="3" t="inlineStr">
        <is>
          <t>부강면</t>
        </is>
      </c>
    </row>
    <row r="2581">
      <c r="A2581" s="3" t="n">
        <v>2026</v>
      </c>
      <c r="B2581" s="4" t="n">
        <v>15000</v>
      </c>
      <c r="C2581" s="4" t="n">
        <v>992</v>
      </c>
      <c r="D2581" s="3" t="inlineStr">
        <is>
          <t>부강면</t>
        </is>
      </c>
      <c r="E2581" s="3" t="inlineStr">
        <is>
          <t>노호리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300.08</v>
      </c>
      <c r="I2581" s="5" t="n">
        <v>50</v>
      </c>
      <c r="J2581" s="3" t="inlineStr">
        <is>
          <t>부강면</t>
        </is>
      </c>
    </row>
    <row r="2582">
      <c r="A2582" s="3" t="n">
        <v>2026</v>
      </c>
      <c r="B2582" s="4" t="n">
        <v>7745</v>
      </c>
      <c r="C2582" s="4" t="n">
        <v>600</v>
      </c>
      <c r="D2582" s="3" t="inlineStr">
        <is>
          <t>연동면</t>
        </is>
      </c>
      <c r="E2582" s="3" t="inlineStr">
        <is>
          <t>송용리</t>
        </is>
      </c>
      <c r="F2582" s="3" t="inlineStr">
        <is>
          <t>농림지역</t>
        </is>
      </c>
      <c r="G2582" s="3" t="inlineStr">
        <is>
          <t>답</t>
        </is>
      </c>
      <c r="H2582" s="4" t="n">
        <v>181.5</v>
      </c>
      <c r="I2582" s="5" t="n">
        <v>42.7</v>
      </c>
      <c r="J2582" s="3" t="inlineStr">
        <is>
          <t>연동면</t>
        </is>
      </c>
    </row>
    <row r="2583">
      <c r="A2583" s="3" t="n">
        <v>2026</v>
      </c>
      <c r="B2583" s="4" t="n">
        <v>27255</v>
      </c>
      <c r="C2583" s="4" t="n">
        <v>2111.6</v>
      </c>
      <c r="D2583" s="3" t="inlineStr">
        <is>
          <t>연동면</t>
        </is>
      </c>
      <c r="E2583" s="3" t="inlineStr">
        <is>
          <t>송용리</t>
        </is>
      </c>
      <c r="F2583" s="3" t="inlineStr">
        <is>
          <t>농림지역</t>
        </is>
      </c>
      <c r="G2583" s="3" t="inlineStr">
        <is>
          <t>답</t>
        </is>
      </c>
      <c r="H2583" s="4" t="n">
        <v>638.7589999999999</v>
      </c>
      <c r="I2583" s="5" t="n">
        <v>42.7</v>
      </c>
      <c r="J2583" s="3" t="inlineStr">
        <is>
          <t>연동면</t>
        </is>
      </c>
    </row>
    <row r="2584">
      <c r="A2584" s="3" t="n">
        <v>2026</v>
      </c>
      <c r="B2584" s="4" t="n">
        <v>75700</v>
      </c>
      <c r="C2584" s="4" t="n">
        <v>355.9</v>
      </c>
      <c r="D2584" s="3" t="inlineStr">
        <is>
          <t>조치원읍</t>
        </is>
      </c>
      <c r="E2584" s="3" t="inlineStr">
        <is>
          <t>침산리</t>
        </is>
      </c>
      <c r="F2584" s="3" t="inlineStr">
        <is>
          <t>제2종일반주거지역</t>
        </is>
      </c>
      <c r="G2584" s="3" t="inlineStr">
        <is>
          <t>대</t>
        </is>
      </c>
      <c r="H2584" s="4" t="n">
        <v>107.65975</v>
      </c>
      <c r="I2584" s="5" t="n">
        <v>703.1</v>
      </c>
      <c r="J2584" s="3" t="inlineStr">
        <is>
          <t>조치원읍</t>
        </is>
      </c>
    </row>
    <row r="2585">
      <c r="A2585" s="3" t="n">
        <v>2026</v>
      </c>
      <c r="B2585" s="4" t="n">
        <v>83300</v>
      </c>
      <c r="C2585" s="4" t="n">
        <v>353.2</v>
      </c>
      <c r="D2585" s="3" t="inlineStr">
        <is>
          <t>고운동</t>
        </is>
      </c>
      <c r="E2585" s="3" t="inlineStr"/>
      <c r="F2585" s="3" t="inlineStr">
        <is>
          <t>제1종전용주거지역</t>
        </is>
      </c>
      <c r="G2585" s="3" t="inlineStr">
        <is>
          <t>대</t>
        </is>
      </c>
      <c r="H2585" s="4" t="n">
        <v>106.843</v>
      </c>
      <c r="I2585" s="5" t="n">
        <v>779.6</v>
      </c>
      <c r="J2585" s="3" t="inlineStr">
        <is>
          <t>고운동</t>
        </is>
      </c>
    </row>
    <row r="2586">
      <c r="A2586" s="3" t="n">
        <v>2026</v>
      </c>
      <c r="B2586" s="4" t="n">
        <v>75700</v>
      </c>
      <c r="C2586" s="4" t="n">
        <v>355.9</v>
      </c>
      <c r="D2586" s="3" t="inlineStr">
        <is>
          <t>조치원읍</t>
        </is>
      </c>
      <c r="E2586" s="3" t="inlineStr">
        <is>
          <t>침산리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107.65975</v>
      </c>
      <c r="I2586" s="5" t="n">
        <v>703.1</v>
      </c>
      <c r="J2586" s="3" t="inlineStr">
        <is>
          <t>조치원읍</t>
        </is>
      </c>
    </row>
    <row r="2587">
      <c r="A2587" s="3" t="n">
        <v>2026</v>
      </c>
      <c r="B2587" s="4" t="n">
        <v>74000</v>
      </c>
      <c r="C2587" s="4" t="n">
        <v>2585</v>
      </c>
      <c r="D2587" s="3" t="inlineStr">
        <is>
          <t>연서면</t>
        </is>
      </c>
      <c r="E2587" s="3" t="inlineStr">
        <is>
          <t>와촌리</t>
        </is>
      </c>
      <c r="F2587" s="3" t="inlineStr">
        <is>
          <t>농림지역</t>
        </is>
      </c>
      <c r="G2587" s="3" t="inlineStr">
        <is>
          <t>답</t>
        </is>
      </c>
      <c r="H2587" s="4" t="n">
        <v>781.9625</v>
      </c>
      <c r="I2587" s="5" t="n">
        <v>94.59999999999999</v>
      </c>
      <c r="J2587" s="3" t="inlineStr">
        <is>
          <t>연서면</t>
        </is>
      </c>
    </row>
    <row r="2588">
      <c r="A2588" s="3" t="n">
        <v>2026</v>
      </c>
      <c r="B2588" s="4" t="n">
        <v>52000</v>
      </c>
      <c r="C2588" s="4" t="n">
        <v>2946</v>
      </c>
      <c r="D2588" s="3" t="inlineStr">
        <is>
          <t>연서면</t>
        </is>
      </c>
      <c r="E2588" s="3" t="inlineStr">
        <is>
          <t>신대리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891.165</v>
      </c>
      <c r="I2588" s="5" t="n">
        <v>58.4</v>
      </c>
      <c r="J2588" s="3" t="inlineStr">
        <is>
          <t>연서면</t>
        </is>
      </c>
    </row>
    <row r="2589">
      <c r="A2589" s="3" t="n">
        <v>2026</v>
      </c>
      <c r="B2589" s="4" t="n">
        <v>21650</v>
      </c>
      <c r="C2589" s="4" t="n">
        <v>2331</v>
      </c>
      <c r="D2589" s="3" t="inlineStr">
        <is>
          <t>연서면</t>
        </is>
      </c>
      <c r="E2589" s="3" t="inlineStr">
        <is>
          <t>청라리</t>
        </is>
      </c>
      <c r="F2589" s="3" t="inlineStr">
        <is>
          <t>생산관리지역</t>
        </is>
      </c>
      <c r="G2589" s="3" t="inlineStr">
        <is>
          <t>답</t>
        </is>
      </c>
      <c r="H2589" s="4" t="n">
        <v>705.1274999999999</v>
      </c>
      <c r="I2589" s="5" t="n">
        <v>30.7</v>
      </c>
      <c r="J2589" s="3" t="inlineStr">
        <is>
          <t>연서면</t>
        </is>
      </c>
    </row>
    <row r="2590">
      <c r="A2590" s="3" t="n">
        <v>2026</v>
      </c>
      <c r="B2590" s="4" t="n">
        <v>4000</v>
      </c>
      <c r="C2590" s="4" t="n">
        <v>3570</v>
      </c>
      <c r="D2590" s="3" t="inlineStr">
        <is>
          <t>부강면</t>
        </is>
      </c>
      <c r="E2590" s="3" t="inlineStr">
        <is>
          <t>문곡리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1079.925</v>
      </c>
      <c r="I2590" s="5" t="n">
        <v>3.7</v>
      </c>
      <c r="J2590" s="3" t="inlineStr">
        <is>
          <t>부강면</t>
        </is>
      </c>
    </row>
    <row r="2591">
      <c r="A2591" s="3" t="n">
        <v>2026</v>
      </c>
      <c r="B2591" s="4" t="n">
        <v>40000</v>
      </c>
      <c r="C2591" s="4" t="n">
        <v>330</v>
      </c>
      <c r="D2591" s="3" t="inlineStr">
        <is>
          <t>고운동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99.825</v>
      </c>
      <c r="I2591" s="5" t="n">
        <v>400.7</v>
      </c>
      <c r="J2591" s="3" t="inlineStr">
        <is>
          <t>고운동</t>
        </is>
      </c>
    </row>
    <row r="2592">
      <c r="A2592" s="3" t="n">
        <v>2026</v>
      </c>
      <c r="B2592" s="4" t="n">
        <v>150000</v>
      </c>
      <c r="C2592" s="4" t="n">
        <v>426.8</v>
      </c>
      <c r="D2592" s="3" t="inlineStr">
        <is>
          <t>해밀동</t>
        </is>
      </c>
      <c r="E2592" s="3" t="inlineStr"/>
      <c r="F2592" s="3" t="inlineStr">
        <is>
          <t>제2종일반주거지역</t>
        </is>
      </c>
      <c r="G2592" s="3" t="inlineStr">
        <is>
          <t>대</t>
        </is>
      </c>
      <c r="H2592" s="4" t="n">
        <v>129.107</v>
      </c>
      <c r="I2592" s="5" t="n">
        <v>1161.8</v>
      </c>
      <c r="J2592" s="3" t="inlineStr">
        <is>
          <t>해밀동</t>
        </is>
      </c>
    </row>
    <row r="2593">
      <c r="A2593" s="3" t="n">
        <v>2026</v>
      </c>
      <c r="B2593" s="4" t="n">
        <v>83000</v>
      </c>
      <c r="C2593" s="4" t="n">
        <v>808</v>
      </c>
      <c r="D2593" s="3" t="inlineStr">
        <is>
          <t>연동면</t>
        </is>
      </c>
      <c r="E2593" s="3" t="inlineStr">
        <is>
          <t>내판리</t>
        </is>
      </c>
      <c r="F2593" s="3" t="inlineStr">
        <is>
          <t>계획관리지역</t>
        </is>
      </c>
      <c r="G2593" s="3" t="inlineStr">
        <is>
          <t>철도용지</t>
        </is>
      </c>
      <c r="H2593" s="4" t="n">
        <v>244.42</v>
      </c>
      <c r="I2593" s="5" t="n">
        <v>339.6</v>
      </c>
      <c r="J2593" s="3" t="inlineStr">
        <is>
          <t>연동면</t>
        </is>
      </c>
    </row>
    <row r="2594">
      <c r="A2594" s="3" t="n">
        <v>2025</v>
      </c>
      <c r="B2594" s="4" t="n">
        <v>1500</v>
      </c>
      <c r="C2594" s="4" t="n">
        <v>50</v>
      </c>
      <c r="D2594" s="3" t="inlineStr">
        <is>
          <t>연서면</t>
        </is>
      </c>
      <c r="E2594" s="3" t="inlineStr">
        <is>
          <t>청라리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15.125</v>
      </c>
      <c r="I2594" s="5" t="n">
        <v>99.2</v>
      </c>
      <c r="J2594" s="3" t="inlineStr">
        <is>
          <t>연서면</t>
        </is>
      </c>
    </row>
    <row r="2595">
      <c r="A2595" s="3" t="n">
        <v>2025</v>
      </c>
      <c r="B2595" s="4" t="n">
        <v>53000</v>
      </c>
      <c r="C2595" s="4" t="n">
        <v>3357.6</v>
      </c>
      <c r="D2595" s="3" t="inlineStr">
        <is>
          <t>연동면</t>
        </is>
      </c>
      <c r="E2595" s="3" t="inlineStr">
        <is>
          <t>문주리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1015.674</v>
      </c>
      <c r="I2595" s="5" t="n">
        <v>52.2</v>
      </c>
      <c r="J2595" s="3" t="inlineStr">
        <is>
          <t>연동면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12300</v>
      </c>
      <c r="C2601" s="4" t="n">
        <v>1289</v>
      </c>
      <c r="D2601" s="3" t="inlineStr">
        <is>
          <t>부강면</t>
        </is>
      </c>
      <c r="E2601" s="3" t="inlineStr">
        <is>
          <t>문곡리</t>
        </is>
      </c>
      <c r="F2601" s="3" t="inlineStr">
        <is>
          <t>계획관리지역</t>
        </is>
      </c>
      <c r="G2601" s="3" t="inlineStr">
        <is>
          <t>답</t>
        </is>
      </c>
      <c r="H2601" s="4" t="n">
        <v>389.9225</v>
      </c>
      <c r="I2601" s="5" t="n">
        <v>31.5</v>
      </c>
      <c r="J2601" s="3" t="inlineStr">
        <is>
          <t>부강면</t>
        </is>
      </c>
    </row>
    <row r="2602">
      <c r="A2602" s="3" t="n">
        <v>2024</v>
      </c>
      <c r="B2602" s="4" t="n">
        <v>315926</v>
      </c>
      <c r="C2602" s="4" t="n">
        <v>873</v>
      </c>
      <c r="D2602" s="3" t="inlineStr">
        <is>
          <t>조치원읍</t>
        </is>
      </c>
      <c r="E2602" s="3" t="inlineStr">
        <is>
          <t>죽림리</t>
        </is>
      </c>
      <c r="F2602" s="3" t="inlineStr">
        <is>
          <t>일반상업지역</t>
        </is>
      </c>
      <c r="G2602" s="3" t="inlineStr">
        <is>
          <t>전</t>
        </is>
      </c>
      <c r="H2602" s="4" t="n">
        <v>264.0825</v>
      </c>
      <c r="I2602" s="5" t="n">
        <v>1196.3</v>
      </c>
      <c r="J2602" s="3" t="inlineStr">
        <is>
          <t>조치원읍</t>
        </is>
      </c>
    </row>
    <row r="2603">
      <c r="A2603" s="3" t="n">
        <v>2024</v>
      </c>
      <c r="B2603" s="4" t="n">
        <v>172258</v>
      </c>
      <c r="C2603" s="4" t="n">
        <v>476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일반상업지역</t>
        </is>
      </c>
      <c r="G2603" s="3" t="inlineStr">
        <is>
          <t>대</t>
        </is>
      </c>
      <c r="H2603" s="4" t="n">
        <v>143.99</v>
      </c>
      <c r="I2603" s="5" t="n">
        <v>1196.3</v>
      </c>
      <c r="J2603" s="3" t="inlineStr">
        <is>
          <t>조치원읍</t>
        </is>
      </c>
    </row>
    <row r="2604">
      <c r="A2604" s="3" t="n">
        <v>2025</v>
      </c>
      <c r="B2604" s="4" t="n">
        <v>2596</v>
      </c>
      <c r="C2604" s="4" t="n">
        <v>145</v>
      </c>
      <c r="D2604" s="3" t="inlineStr">
        <is>
          <t>연동면</t>
        </is>
      </c>
      <c r="E2604" s="3" t="inlineStr">
        <is>
          <t>송용리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43.8625</v>
      </c>
      <c r="I2604" s="5" t="n">
        <v>59.2</v>
      </c>
      <c r="J2604" s="3" t="inlineStr">
        <is>
          <t>연동면</t>
        </is>
      </c>
    </row>
    <row r="2605">
      <c r="A2605" s="3" t="n">
        <v>2025</v>
      </c>
      <c r="B2605" s="4" t="n">
        <v>52651</v>
      </c>
      <c r="C2605" s="4" t="n">
        <v>35026</v>
      </c>
      <c r="D2605" s="3" t="inlineStr">
        <is>
          <t>연서면</t>
        </is>
      </c>
      <c r="E2605" s="3" t="inlineStr">
        <is>
          <t>쌍류리</t>
        </is>
      </c>
      <c r="F2605" s="3" t="inlineStr">
        <is>
          <t>계획관리지역</t>
        </is>
      </c>
      <c r="G2605" s="3" t="inlineStr">
        <is>
          <t>임야</t>
        </is>
      </c>
      <c r="H2605" s="4" t="n">
        <v>10595.365</v>
      </c>
      <c r="I2605" s="5" t="n">
        <v>5</v>
      </c>
      <c r="J2605" s="3" t="inlineStr">
        <is>
          <t>연서면</t>
        </is>
      </c>
    </row>
    <row r="2606">
      <c r="A2606" s="3" t="n">
        <v>2025</v>
      </c>
      <c r="B2606" s="4" t="n">
        <v>30500</v>
      </c>
      <c r="C2606" s="4" t="n">
        <v>11163</v>
      </c>
      <c r="D2606" s="3" t="inlineStr">
        <is>
          <t>연서면</t>
        </is>
      </c>
      <c r="E2606" s="3" t="inlineStr">
        <is>
          <t>기룡리</t>
        </is>
      </c>
      <c r="F2606" s="3" t="inlineStr">
        <is>
          <t>생산관리지역</t>
        </is>
      </c>
      <c r="G2606" s="3" t="inlineStr">
        <is>
          <t>임야</t>
        </is>
      </c>
      <c r="H2606" s="4" t="n">
        <v>3376.8075</v>
      </c>
      <c r="I2606" s="5" t="n">
        <v>9</v>
      </c>
      <c r="J2606" s="3" t="inlineStr">
        <is>
          <t>연서면</t>
        </is>
      </c>
    </row>
    <row r="2607">
      <c r="A2607" s="3" t="n">
        <v>2025</v>
      </c>
      <c r="B2607" s="4" t="n">
        <v>640</v>
      </c>
      <c r="C2607" s="4" t="n">
        <v>1762</v>
      </c>
      <c r="D2607" s="3" t="inlineStr">
        <is>
          <t>부강면</t>
        </is>
      </c>
      <c r="E2607" s="3" t="inlineStr">
        <is>
          <t>등곡리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533.005</v>
      </c>
      <c r="I2607" s="5" t="n">
        <v>1.2</v>
      </c>
      <c r="J2607" s="3" t="inlineStr">
        <is>
          <t>부강면</t>
        </is>
      </c>
    </row>
    <row r="2608">
      <c r="A2608" s="3" t="n">
        <v>2025</v>
      </c>
      <c r="B2608" s="4" t="n">
        <v>58400</v>
      </c>
      <c r="C2608" s="4" t="n">
        <v>2658</v>
      </c>
      <c r="D2608" s="3" t="inlineStr">
        <is>
          <t>부강면</t>
        </is>
      </c>
      <c r="E2608" s="3" t="inlineStr">
        <is>
          <t>부강리</t>
        </is>
      </c>
      <c r="F2608" s="3" t="inlineStr">
        <is>
          <t>농림지역</t>
        </is>
      </c>
      <c r="G2608" s="3" t="inlineStr">
        <is>
          <t>임야</t>
        </is>
      </c>
      <c r="H2608" s="4" t="n">
        <v>804.045</v>
      </c>
      <c r="I2608" s="5" t="n">
        <v>72.59999999999999</v>
      </c>
      <c r="J2608" s="3" t="inlineStr">
        <is>
          <t>부강면</t>
        </is>
      </c>
    </row>
    <row r="2609">
      <c r="A2609" s="3" t="n">
        <v>2025</v>
      </c>
      <c r="B2609" s="4" t="n">
        <v>14500</v>
      </c>
      <c r="C2609" s="4" t="n">
        <v>478</v>
      </c>
      <c r="D2609" s="3" t="inlineStr">
        <is>
          <t>연서면</t>
        </is>
      </c>
      <c r="E2609" s="3" t="inlineStr">
        <is>
          <t>고복리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144.595</v>
      </c>
      <c r="I2609" s="5" t="n">
        <v>100.3</v>
      </c>
      <c r="J2609" s="3" t="inlineStr">
        <is>
          <t>연서면</t>
        </is>
      </c>
    </row>
    <row r="2610">
      <c r="A2610" s="3" t="n">
        <v>2025</v>
      </c>
      <c r="B2610" s="4" t="n">
        <v>51725</v>
      </c>
      <c r="C2610" s="4" t="n">
        <v>490</v>
      </c>
      <c r="D2610" s="3" t="inlineStr">
        <is>
          <t>연서면</t>
        </is>
      </c>
      <c r="E2610" s="3" t="inlineStr">
        <is>
          <t>부동리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148.225</v>
      </c>
      <c r="I2610" s="5" t="n">
        <v>349</v>
      </c>
      <c r="J2610" s="3" t="inlineStr">
        <is>
          <t>연서면</t>
        </is>
      </c>
    </row>
    <row r="2611">
      <c r="A2611" s="3" t="n">
        <v>2025</v>
      </c>
      <c r="B2611" s="4" t="n">
        <v>56000</v>
      </c>
      <c r="C2611" s="4" t="n">
        <v>495</v>
      </c>
      <c r="D2611" s="3" t="inlineStr">
        <is>
          <t>연서면</t>
        </is>
      </c>
      <c r="E2611" s="3" t="inlineStr">
        <is>
          <t>부동리</t>
        </is>
      </c>
      <c r="F2611" s="3" t="inlineStr">
        <is>
          <t>계획관리지역</t>
        </is>
      </c>
      <c r="G2611" s="3" t="inlineStr">
        <is>
          <t>임야</t>
        </is>
      </c>
      <c r="H2611" s="4" t="n">
        <v>149.7375</v>
      </c>
      <c r="I2611" s="5" t="n">
        <v>374</v>
      </c>
      <c r="J2611" s="3" t="inlineStr">
        <is>
          <t>연서면</t>
        </is>
      </c>
    </row>
    <row r="2612">
      <c r="A2612" s="3" t="n">
        <v>2025</v>
      </c>
      <c r="B2612" s="4" t="n">
        <v>18669</v>
      </c>
      <c r="C2612" s="4" t="n">
        <v>165</v>
      </c>
      <c r="D2612" s="3" t="inlineStr">
        <is>
          <t>연서면</t>
        </is>
      </c>
      <c r="E2612" s="3" t="inlineStr">
        <is>
          <t>부동리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49.9125</v>
      </c>
      <c r="I2612" s="5" t="n">
        <v>374</v>
      </c>
      <c r="J2612" s="3" t="inlineStr">
        <is>
          <t>연서면</t>
        </is>
      </c>
    </row>
    <row r="2613">
      <c r="A2613" s="3" t="n">
        <v>2025</v>
      </c>
      <c r="B2613" s="4" t="n">
        <v>25950</v>
      </c>
      <c r="C2613" s="4" t="n">
        <v>495</v>
      </c>
      <c r="D2613" s="3" t="inlineStr">
        <is>
          <t>연서면</t>
        </is>
      </c>
      <c r="E2613" s="3" t="inlineStr">
        <is>
          <t>부동리</t>
        </is>
      </c>
      <c r="F2613" s="3" t="inlineStr">
        <is>
          <t>계획관리지역</t>
        </is>
      </c>
      <c r="G2613" s="3" t="inlineStr">
        <is>
          <t>임야</t>
        </is>
      </c>
      <c r="H2613" s="4" t="n">
        <v>149.7375</v>
      </c>
      <c r="I2613" s="5" t="n">
        <v>173.3</v>
      </c>
      <c r="J2613" s="3" t="inlineStr">
        <is>
          <t>연서면</t>
        </is>
      </c>
    </row>
    <row r="2614">
      <c r="A2614" s="3" t="n">
        <v>2025</v>
      </c>
      <c r="B2614" s="4" t="n">
        <v>19000</v>
      </c>
      <c r="C2614" s="4" t="n">
        <v>1845</v>
      </c>
      <c r="D2614" s="3" t="inlineStr">
        <is>
          <t>부강면</t>
        </is>
      </c>
      <c r="E2614" s="3" t="inlineStr">
        <is>
          <t>금호리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558.1125</v>
      </c>
      <c r="I2614" s="5" t="n">
        <v>34</v>
      </c>
      <c r="J2614" s="3" t="inlineStr">
        <is>
          <t>부강면</t>
        </is>
      </c>
    </row>
    <row r="2615">
      <c r="A2615" s="3" t="n">
        <v>2025</v>
      </c>
      <c r="B2615" s="4" t="n">
        <v>53000</v>
      </c>
      <c r="C2615" s="4" t="n">
        <v>3212.3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971.7207500000001</v>
      </c>
      <c r="I2615" s="5" t="n">
        <v>54.5</v>
      </c>
      <c r="J2615" s="3" t="inlineStr">
        <is>
          <t>연동면</t>
        </is>
      </c>
    </row>
    <row r="2616">
      <c r="A2616" s="3" t="n">
        <v>2025</v>
      </c>
      <c r="B2616" s="4" t="n">
        <v>8700</v>
      </c>
      <c r="C2616" s="4" t="n">
        <v>99</v>
      </c>
      <c r="D2616" s="3" t="inlineStr">
        <is>
          <t>연동면</t>
        </is>
      </c>
      <c r="E2616" s="3" t="inlineStr">
        <is>
          <t>명학리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29.9475</v>
      </c>
      <c r="I2616" s="5" t="n">
        <v>290.5</v>
      </c>
      <c r="J2616" s="3" t="inlineStr">
        <is>
          <t>연동면</t>
        </is>
      </c>
    </row>
    <row r="2617">
      <c r="A2617" s="3" t="n">
        <v>2025</v>
      </c>
      <c r="B2617" s="4" t="n">
        <v>200</v>
      </c>
      <c r="C2617" s="4" t="n">
        <v>113</v>
      </c>
      <c r="D2617" s="3" t="inlineStr">
        <is>
          <t>부강면</t>
        </is>
      </c>
      <c r="E2617" s="3" t="inlineStr">
        <is>
          <t>등곡리</t>
        </is>
      </c>
      <c r="F2617" s="3" t="inlineStr">
        <is>
          <t>계획관리지역</t>
        </is>
      </c>
      <c r="G2617" s="3" t="inlineStr">
        <is>
          <t>임야</t>
        </is>
      </c>
      <c r="H2617" s="4" t="n">
        <v>34.1825</v>
      </c>
      <c r="I2617" s="5" t="n">
        <v>5.9</v>
      </c>
      <c r="J2617" s="3" t="inlineStr">
        <is>
          <t>부강면</t>
        </is>
      </c>
    </row>
    <row r="2618">
      <c r="A2618" s="3" t="n">
        <v>2025</v>
      </c>
      <c r="B2618" s="4" t="n">
        <v>30000</v>
      </c>
      <c r="C2618" s="4" t="n">
        <v>701</v>
      </c>
      <c r="D2618" s="3" t="inlineStr">
        <is>
          <t>연동면</t>
        </is>
      </c>
      <c r="E2618" s="3" t="inlineStr">
        <is>
          <t>송용리</t>
        </is>
      </c>
      <c r="F2618" s="3" t="inlineStr">
        <is>
          <t>계획관리지역</t>
        </is>
      </c>
      <c r="G2618" s="3" t="inlineStr">
        <is>
          <t>대</t>
        </is>
      </c>
      <c r="H2618" s="4" t="n">
        <v>212.0525</v>
      </c>
      <c r="I2618" s="5" t="n">
        <v>141.5</v>
      </c>
      <c r="J2618" s="3" t="inlineStr">
        <is>
          <t>연동면</t>
        </is>
      </c>
    </row>
    <row r="2619">
      <c r="A2619" s="3" t="n">
        <v>2024</v>
      </c>
      <c r="B2619" s="4" t="n">
        <v>35000</v>
      </c>
      <c r="C2619" s="4" t="n">
        <v>3260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과수원</t>
        </is>
      </c>
      <c r="H2619" s="4" t="n">
        <v>986.15</v>
      </c>
      <c r="I2619" s="5" t="n">
        <v>35.5</v>
      </c>
      <c r="J2619" s="3" t="inlineStr">
        <is>
          <t>연서면</t>
        </is>
      </c>
    </row>
    <row r="2620">
      <c r="A2620" s="3" t="n">
        <v>2024</v>
      </c>
      <c r="B2620" s="4" t="n">
        <v>42800</v>
      </c>
      <c r="C2620" s="4" t="n">
        <v>1418</v>
      </c>
      <c r="D2620" s="3" t="inlineStr">
        <is>
          <t>부강면</t>
        </is>
      </c>
      <c r="E2620" s="3" t="inlineStr">
        <is>
          <t>금호리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428.945</v>
      </c>
      <c r="I2620" s="5" t="n">
        <v>99.8</v>
      </c>
      <c r="J2620" s="3" t="inlineStr">
        <is>
          <t>부강면</t>
        </is>
      </c>
    </row>
    <row r="2621">
      <c r="A2621" s="3" t="n">
        <v>2024</v>
      </c>
      <c r="B2621" s="4" t="n">
        <v>6200</v>
      </c>
      <c r="C2621" s="4" t="n">
        <v>205</v>
      </c>
      <c r="D2621" s="3" t="inlineStr">
        <is>
          <t>부강면</t>
        </is>
      </c>
      <c r="E2621" s="3" t="inlineStr">
        <is>
          <t>금호리</t>
        </is>
      </c>
      <c r="F2621" s="3" t="inlineStr">
        <is>
          <t>보전관리지역</t>
        </is>
      </c>
      <c r="G2621" s="3" t="inlineStr">
        <is>
          <t>하천</t>
        </is>
      </c>
      <c r="H2621" s="4" t="n">
        <v>62.0125</v>
      </c>
      <c r="I2621" s="5" t="n">
        <v>100</v>
      </c>
      <c r="J2621" s="3" t="inlineStr">
        <is>
          <t>부강면</t>
        </is>
      </c>
    </row>
    <row r="2622">
      <c r="A2622" s="3" t="n">
        <v>2024</v>
      </c>
      <c r="B2622" s="4" t="n">
        <v>8000</v>
      </c>
      <c r="C2622" s="4" t="n">
        <v>264</v>
      </c>
      <c r="D2622" s="3" t="inlineStr">
        <is>
          <t>부강면</t>
        </is>
      </c>
      <c r="E2622" s="3" t="inlineStr">
        <is>
          <t>금호리</t>
        </is>
      </c>
      <c r="F2622" s="3" t="inlineStr">
        <is>
          <t>보전관리지역</t>
        </is>
      </c>
      <c r="G2622" s="3" t="inlineStr">
        <is>
          <t>전</t>
        </is>
      </c>
      <c r="H2622" s="4" t="n">
        <v>79.86</v>
      </c>
      <c r="I2622" s="5" t="n">
        <v>100.2</v>
      </c>
      <c r="J2622" s="3" t="inlineStr">
        <is>
          <t>부강면</t>
        </is>
      </c>
    </row>
    <row r="2623">
      <c r="A2623" s="3" t="n">
        <v>2024</v>
      </c>
      <c r="B2623" s="4" t="n">
        <v>5000</v>
      </c>
      <c r="C2623" s="4" t="n">
        <v>165</v>
      </c>
      <c r="D2623" s="3" t="inlineStr">
        <is>
          <t>부강면</t>
        </is>
      </c>
      <c r="E2623" s="3" t="inlineStr">
        <is>
          <t>금호리</t>
        </is>
      </c>
      <c r="F2623" s="3" t="inlineStr">
        <is>
          <t>보전관리지역</t>
        </is>
      </c>
      <c r="G2623" s="3" t="inlineStr">
        <is>
          <t>전</t>
        </is>
      </c>
      <c r="H2623" s="4" t="n">
        <v>49.9125</v>
      </c>
      <c r="I2623" s="5" t="n">
        <v>100.2</v>
      </c>
      <c r="J2623" s="3" t="inlineStr">
        <is>
          <t>부강면</t>
        </is>
      </c>
    </row>
    <row r="2624">
      <c r="A2624" s="3" t="n">
        <v>2024</v>
      </c>
      <c r="B2624" s="4" t="n">
        <v>24793</v>
      </c>
      <c r="C2624" s="4" t="n">
        <v>235</v>
      </c>
      <c r="D2624" s="3" t="inlineStr">
        <is>
          <t>조치원읍</t>
        </is>
      </c>
      <c r="E2624" s="3" t="inlineStr">
        <is>
          <t>신안리</t>
        </is>
      </c>
      <c r="F2624" s="3" t="inlineStr">
        <is>
          <t>제2종일반주거지역</t>
        </is>
      </c>
      <c r="G2624" s="3" t="inlineStr">
        <is>
          <t>대</t>
        </is>
      </c>
      <c r="H2624" s="4" t="n">
        <v>71.08749999999999</v>
      </c>
      <c r="I2624" s="5" t="n">
        <v>348.8</v>
      </c>
      <c r="J2624" s="3" t="inlineStr">
        <is>
          <t>조치원읍</t>
        </is>
      </c>
    </row>
    <row r="2625">
      <c r="A2625" s="3" t="n">
        <v>2024</v>
      </c>
      <c r="B2625" s="4" t="n">
        <v>80000</v>
      </c>
      <c r="C2625" s="4" t="n">
        <v>530</v>
      </c>
      <c r="D2625" s="3" t="inlineStr">
        <is>
          <t>조치원읍</t>
        </is>
      </c>
      <c r="E2625" s="3" t="inlineStr">
        <is>
          <t>신안리</t>
        </is>
      </c>
      <c r="F2625" s="3" t="inlineStr">
        <is>
          <t>제2종일반주거지역</t>
        </is>
      </c>
      <c r="G2625" s="3" t="inlineStr">
        <is>
          <t>대</t>
        </is>
      </c>
      <c r="H2625" s="4" t="n">
        <v>160.325</v>
      </c>
      <c r="I2625" s="5" t="n">
        <v>499</v>
      </c>
      <c r="J2625" s="3" t="inlineStr">
        <is>
          <t>조치원읍</t>
        </is>
      </c>
    </row>
    <row r="2626">
      <c r="A2626" s="3" t="n">
        <v>2024</v>
      </c>
      <c r="B2626" s="4" t="n">
        <v>85780</v>
      </c>
      <c r="C2626" s="4" t="n">
        <v>835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252.5875</v>
      </c>
      <c r="I2626" s="5" t="n">
        <v>339.6</v>
      </c>
      <c r="J2626" s="3" t="inlineStr">
        <is>
          <t>연동면</t>
        </is>
      </c>
    </row>
    <row r="2627">
      <c r="A2627" s="3" t="n">
        <v>2024</v>
      </c>
      <c r="B2627" s="4" t="n">
        <v>90000</v>
      </c>
      <c r="C2627" s="4" t="n">
        <v>1113</v>
      </c>
      <c r="D2627" s="3" t="inlineStr">
        <is>
          <t>연서면</t>
        </is>
      </c>
      <c r="E2627" s="3" t="inlineStr">
        <is>
          <t>성제리</t>
        </is>
      </c>
      <c r="F2627" s="3" t="inlineStr">
        <is>
          <t>계획관리지역</t>
        </is>
      </c>
      <c r="G2627" s="3" t="inlineStr">
        <is>
          <t>전</t>
        </is>
      </c>
      <c r="H2627" s="4" t="n">
        <v>336.6825</v>
      </c>
      <c r="I2627" s="5" t="n">
        <v>267.3</v>
      </c>
      <c r="J2627" s="3" t="inlineStr">
        <is>
          <t>연서면</t>
        </is>
      </c>
    </row>
    <row r="2628">
      <c r="A2628" s="3" t="n">
        <v>2024</v>
      </c>
      <c r="B2628" s="4" t="n">
        <v>23700</v>
      </c>
      <c r="C2628" s="4" t="n">
        <v>290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87.72499999999999</v>
      </c>
      <c r="I2628" s="5" t="n">
        <v>270.2</v>
      </c>
      <c r="J2628" s="3" t="inlineStr">
        <is>
          <t>고운동</t>
        </is>
      </c>
    </row>
    <row r="2629">
      <c r="A2629" s="3" t="n">
        <v>2024</v>
      </c>
      <c r="B2629" s="4" t="n">
        <v>107000</v>
      </c>
      <c r="C2629" s="4" t="n">
        <v>320.6</v>
      </c>
      <c r="D2629" s="3" t="inlineStr">
        <is>
          <t>도담동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96.9815</v>
      </c>
      <c r="I2629" s="5" t="n">
        <v>1103.3</v>
      </c>
      <c r="J2629" s="3" t="inlineStr">
        <is>
          <t>도담동</t>
        </is>
      </c>
    </row>
    <row r="2630">
      <c r="A2630" s="3" t="n">
        <v>2023</v>
      </c>
      <c r="B2630" s="4" t="n">
        <v>27680</v>
      </c>
      <c r="C2630" s="4" t="n">
        <v>320</v>
      </c>
      <c r="D2630" s="3" t="inlineStr">
        <is>
          <t>연동면</t>
        </is>
      </c>
      <c r="E2630" s="3" t="inlineStr">
        <is>
          <t>내판리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96.8</v>
      </c>
      <c r="I2630" s="5" t="n">
        <v>286</v>
      </c>
      <c r="J2630" s="3" t="inlineStr">
        <is>
          <t>연동면</t>
        </is>
      </c>
    </row>
    <row r="2631">
      <c r="A2631" s="3" t="n">
        <v>2023</v>
      </c>
      <c r="B2631" s="4" t="n">
        <v>31320</v>
      </c>
      <c r="C2631" s="4" t="n">
        <v>362</v>
      </c>
      <c r="D2631" s="3" t="inlineStr">
        <is>
          <t>연동면</t>
        </is>
      </c>
      <c r="E2631" s="3" t="inlineStr">
        <is>
          <t>내판리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109.505</v>
      </c>
      <c r="I2631" s="5" t="n">
        <v>286</v>
      </c>
      <c r="J2631" s="3" t="inlineStr">
        <is>
          <t>연동면</t>
        </is>
      </c>
    </row>
    <row r="2632">
      <c r="A2632" s="3" t="n">
        <v>2023</v>
      </c>
      <c r="B2632" s="4" t="n">
        <v>16000</v>
      </c>
      <c r="C2632" s="4" t="n">
        <v>1127</v>
      </c>
      <c r="D2632" s="3" t="inlineStr">
        <is>
          <t>부강면</t>
        </is>
      </c>
      <c r="E2632" s="3" t="inlineStr">
        <is>
          <t>문곡리</t>
        </is>
      </c>
      <c r="F2632" s="3" t="inlineStr">
        <is>
          <t>생산관리지역</t>
        </is>
      </c>
      <c r="G2632" s="3" t="inlineStr">
        <is>
          <t>전</t>
        </is>
      </c>
      <c r="H2632" s="4" t="n">
        <v>340.9175</v>
      </c>
      <c r="I2632" s="5" t="n">
        <v>46.9</v>
      </c>
      <c r="J2632" s="3" t="inlineStr">
        <is>
          <t>부강면</t>
        </is>
      </c>
    </row>
    <row r="2633">
      <c r="A2633" s="3" t="n">
        <v>2024</v>
      </c>
      <c r="B2633" s="4" t="n">
        <v>16620</v>
      </c>
      <c r="C2633" s="4" t="n">
        <v>172</v>
      </c>
      <c r="D2633" s="3" t="inlineStr">
        <is>
          <t>조치원읍</t>
        </is>
      </c>
      <c r="E2633" s="3" t="inlineStr">
        <is>
          <t>명리</t>
        </is>
      </c>
      <c r="F2633" s="3" t="inlineStr">
        <is>
          <t>제2종일반주거지역</t>
        </is>
      </c>
      <c r="G2633" s="3" t="inlineStr">
        <is>
          <t>대</t>
        </is>
      </c>
      <c r="H2633" s="4" t="n">
        <v>52.03</v>
      </c>
      <c r="I2633" s="5" t="n">
        <v>319.4</v>
      </c>
      <c r="J2633" s="3" t="inlineStr">
        <is>
          <t>조치원읍</t>
        </is>
      </c>
    </row>
    <row r="2634">
      <c r="A2634" s="3" t="n">
        <v>2024</v>
      </c>
      <c r="B2634" s="4" t="n">
        <v>61000</v>
      </c>
      <c r="C2634" s="4" t="n">
        <v>488</v>
      </c>
      <c r="D2634" s="3" t="inlineStr">
        <is>
          <t>반곡동</t>
        </is>
      </c>
      <c r="E2634" s="3" t="inlineStr"/>
      <c r="F2634" s="3" t="inlineStr">
        <is>
          <t>제2종전용주거지역</t>
        </is>
      </c>
      <c r="G2634" s="3" t="inlineStr">
        <is>
          <t>대</t>
        </is>
      </c>
      <c r="H2634" s="4" t="n">
        <v>147.62</v>
      </c>
      <c r="I2634" s="5" t="n">
        <v>413.2</v>
      </c>
      <c r="J2634" s="3" t="inlineStr">
        <is>
          <t>반곡동</t>
        </is>
      </c>
    </row>
    <row r="2635">
      <c r="A2635" s="3" t="n">
        <v>2024</v>
      </c>
      <c r="B2635" s="4" t="n">
        <v>60000</v>
      </c>
      <c r="C2635" s="4" t="n">
        <v>478</v>
      </c>
      <c r="D2635" s="3" t="inlineStr">
        <is>
          <t>연서면</t>
        </is>
      </c>
      <c r="E2635" s="3" t="inlineStr">
        <is>
          <t>월하리</t>
        </is>
      </c>
      <c r="F2635" s="3" t="inlineStr">
        <is>
          <t>자연녹지지역</t>
        </is>
      </c>
      <c r="G2635" s="3" t="inlineStr">
        <is>
          <t>과수원</t>
        </is>
      </c>
      <c r="H2635" s="4" t="n">
        <v>144.595</v>
      </c>
      <c r="I2635" s="5" t="n">
        <v>415</v>
      </c>
      <c r="J2635" s="3" t="inlineStr">
        <is>
          <t>연서면</t>
        </is>
      </c>
    </row>
    <row r="2636">
      <c r="A2636" s="3" t="n">
        <v>2024</v>
      </c>
      <c r="B2636" s="4" t="n">
        <v>80000</v>
      </c>
      <c r="C2636" s="4" t="n">
        <v>494</v>
      </c>
      <c r="D2636" s="3" t="inlineStr">
        <is>
          <t>연서면</t>
        </is>
      </c>
      <c r="E2636" s="3" t="inlineStr">
        <is>
          <t>월하리</t>
        </is>
      </c>
      <c r="F2636" s="3" t="inlineStr">
        <is>
          <t>자연녹지지역</t>
        </is>
      </c>
      <c r="G2636" s="3" t="inlineStr">
        <is>
          <t>대</t>
        </is>
      </c>
      <c r="H2636" s="4" t="n">
        <v>149.435</v>
      </c>
      <c r="I2636" s="5" t="n">
        <v>535.3</v>
      </c>
      <c r="J2636" s="3" t="inlineStr">
        <is>
          <t>연서면</t>
        </is>
      </c>
    </row>
    <row r="2637">
      <c r="A2637" s="3" t="n">
        <v>2024</v>
      </c>
      <c r="B2637" s="4" t="n">
        <v>14000</v>
      </c>
      <c r="C2637" s="4" t="n">
        <v>132</v>
      </c>
      <c r="D2637" s="3" t="inlineStr">
        <is>
          <t>연동면</t>
        </is>
      </c>
      <c r="E2637" s="3" t="inlineStr">
        <is>
          <t>노송리</t>
        </is>
      </c>
      <c r="F2637" s="3" t="inlineStr">
        <is>
          <t>제1종일반주거지역</t>
        </is>
      </c>
      <c r="G2637" s="3" t="inlineStr">
        <is>
          <t>전</t>
        </is>
      </c>
      <c r="H2637" s="4" t="n">
        <v>39.93</v>
      </c>
      <c r="I2637" s="5" t="n">
        <v>350.6</v>
      </c>
      <c r="J2637" s="3" t="inlineStr">
        <is>
          <t>연동면</t>
        </is>
      </c>
    </row>
    <row r="2638">
      <c r="A2638" s="3" t="n">
        <v>2023</v>
      </c>
      <c r="B2638" s="4" t="n">
        <v>51000</v>
      </c>
      <c r="C2638" s="4" t="n">
        <v>2579</v>
      </c>
      <c r="D2638" s="3" t="inlineStr">
        <is>
          <t>연동면</t>
        </is>
      </c>
      <c r="E2638" s="3" t="inlineStr">
        <is>
          <t>내판리</t>
        </is>
      </c>
      <c r="F2638" s="3" t="inlineStr">
        <is>
          <t>계획관리지역</t>
        </is>
      </c>
      <c r="G2638" s="3" t="inlineStr">
        <is>
          <t>임야</t>
        </is>
      </c>
      <c r="H2638" s="4" t="n">
        <v>780.1474999999999</v>
      </c>
      <c r="I2638" s="5" t="n">
        <v>65.40000000000001</v>
      </c>
      <c r="J2638" s="3" t="inlineStr">
        <is>
          <t>연동면</t>
        </is>
      </c>
    </row>
    <row r="2639">
      <c r="A2639" s="3" t="n">
        <v>2023</v>
      </c>
      <c r="B2639" s="4" t="n">
        <v>49000</v>
      </c>
      <c r="C2639" s="4" t="n">
        <v>297.3</v>
      </c>
      <c r="D2639" s="3" t="inlineStr">
        <is>
          <t>다정동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89.93325</v>
      </c>
      <c r="I2639" s="5" t="n">
        <v>544.8</v>
      </c>
      <c r="J2639" s="3" t="inlineStr">
        <is>
          <t>다정동</t>
        </is>
      </c>
    </row>
    <row r="2640">
      <c r="A2640" s="3" t="n">
        <v>2023</v>
      </c>
      <c r="B2640" s="4" t="n">
        <v>60000</v>
      </c>
      <c r="C2640" s="4" t="n">
        <v>392.2</v>
      </c>
      <c r="D2640" s="3" t="inlineStr">
        <is>
          <t>고운동</t>
        </is>
      </c>
      <c r="E2640" s="3" t="inlineStr"/>
      <c r="F2640" s="3" t="inlineStr">
        <is>
          <t>제1종전용주거지역</t>
        </is>
      </c>
      <c r="G2640" s="3" t="inlineStr">
        <is>
          <t>대</t>
        </is>
      </c>
      <c r="H2640" s="4" t="n">
        <v>118.6405</v>
      </c>
      <c r="I2640" s="5" t="n">
        <v>505.7</v>
      </c>
      <c r="J2640" s="3" t="inlineStr">
        <is>
          <t>고운동</t>
        </is>
      </c>
    </row>
    <row r="2641">
      <c r="A2641" s="3" t="n">
        <v>2023</v>
      </c>
      <c r="B2641" s="4" t="n">
        <v>18000</v>
      </c>
      <c r="C2641" s="4" t="n">
        <v>1862</v>
      </c>
      <c r="D2641" s="3" t="inlineStr">
        <is>
          <t>부강면</t>
        </is>
      </c>
      <c r="E2641" s="3" t="inlineStr">
        <is>
          <t>노호리</t>
        </is>
      </c>
      <c r="F2641" s="3" t="inlineStr">
        <is>
          <t>생산관리지역</t>
        </is>
      </c>
      <c r="G2641" s="3" t="inlineStr">
        <is>
          <t>전</t>
        </is>
      </c>
      <c r="H2641" s="4" t="n">
        <v>563.255</v>
      </c>
      <c r="I2641" s="5" t="n">
        <v>32</v>
      </c>
      <c r="J2641" s="3" t="inlineStr">
        <is>
          <t>부강면</t>
        </is>
      </c>
    </row>
    <row r="2642">
      <c r="A2642" s="3" t="n">
        <v>2023</v>
      </c>
      <c r="B2642" s="4" t="n">
        <v>20220</v>
      </c>
      <c r="C2642" s="4" t="n">
        <v>2228</v>
      </c>
      <c r="D2642" s="3" t="inlineStr">
        <is>
          <t>연서면</t>
        </is>
      </c>
      <c r="E2642" s="3" t="inlineStr">
        <is>
          <t>기룡리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673.97</v>
      </c>
      <c r="I2642" s="5" t="n">
        <v>30</v>
      </c>
      <c r="J2642" s="3" t="inlineStr">
        <is>
          <t>연서면</t>
        </is>
      </c>
    </row>
    <row r="2643">
      <c r="A2643" s="3" t="n">
        <v>2023</v>
      </c>
      <c r="B2643" s="4" t="n">
        <v>78500</v>
      </c>
      <c r="C2643" s="4" t="n">
        <v>352</v>
      </c>
      <c r="D2643" s="3" t="inlineStr">
        <is>
          <t>집현동</t>
        </is>
      </c>
      <c r="E2643" s="3" t="inlineStr"/>
      <c r="F2643" s="3" t="inlineStr">
        <is>
          <t>용도미지정</t>
        </is>
      </c>
      <c r="G2643" s="3" t="inlineStr">
        <is>
          <t>대</t>
        </is>
      </c>
      <c r="H2643" s="4" t="n">
        <v>106.48</v>
      </c>
      <c r="I2643" s="5" t="n">
        <v>737.2</v>
      </c>
      <c r="J2643" s="3" t="inlineStr">
        <is>
          <t>집현동</t>
        </is>
      </c>
    </row>
    <row r="2644">
      <c r="A2644" s="3" t="n">
        <v>2022</v>
      </c>
      <c r="B2644" s="4" t="n">
        <v>40000</v>
      </c>
      <c r="C2644" s="4" t="n">
        <v>990</v>
      </c>
      <c r="D2644" s="3" t="inlineStr">
        <is>
          <t>조치원읍</t>
        </is>
      </c>
      <c r="E2644" s="3" t="inlineStr">
        <is>
          <t>번암리</t>
        </is>
      </c>
      <c r="F2644" s="3" t="inlineStr">
        <is>
          <t>자연녹지지역</t>
        </is>
      </c>
      <c r="G2644" s="3" t="inlineStr">
        <is>
          <t>전</t>
        </is>
      </c>
      <c r="H2644" s="4" t="n">
        <v>299.475</v>
      </c>
      <c r="I2644" s="5" t="n">
        <v>133.6</v>
      </c>
      <c r="J2644" s="3" t="inlineStr">
        <is>
          <t>조치원읍</t>
        </is>
      </c>
    </row>
    <row r="2645">
      <c r="A2645" s="3" t="n">
        <v>2022</v>
      </c>
      <c r="B2645" s="4" t="n">
        <v>40000</v>
      </c>
      <c r="C2645" s="4" t="n">
        <v>990</v>
      </c>
      <c r="D2645" s="3" t="inlineStr">
        <is>
          <t>조치원읍</t>
        </is>
      </c>
      <c r="E2645" s="3" t="inlineStr">
        <is>
          <t>번암리</t>
        </is>
      </c>
      <c r="F2645" s="3" t="inlineStr">
        <is>
          <t>자연녹지지역</t>
        </is>
      </c>
      <c r="G2645" s="3" t="inlineStr">
        <is>
          <t>전</t>
        </is>
      </c>
      <c r="H2645" s="4" t="n">
        <v>299.475</v>
      </c>
      <c r="I2645" s="5" t="n">
        <v>133.6</v>
      </c>
      <c r="J2645" s="3" t="inlineStr">
        <is>
          <t>조치원읍</t>
        </is>
      </c>
    </row>
    <row r="2646">
      <c r="A2646" s="3" t="n">
        <v>2022</v>
      </c>
      <c r="B2646" s="4" t="n">
        <v>160000</v>
      </c>
      <c r="C2646" s="4" t="n">
        <v>9991</v>
      </c>
      <c r="D2646" s="3" t="inlineStr">
        <is>
          <t>연동면</t>
        </is>
      </c>
      <c r="E2646" s="3" t="inlineStr">
        <is>
          <t>문주리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3022.2775</v>
      </c>
      <c r="I2646" s="5" t="n">
        <v>52.9</v>
      </c>
      <c r="J2646" s="3" t="inlineStr">
        <is>
          <t>연동면</t>
        </is>
      </c>
    </row>
    <row r="2647">
      <c r="A2647" s="3" t="n">
        <v>2022</v>
      </c>
      <c r="B2647" s="4" t="n">
        <v>20500</v>
      </c>
      <c r="C2647" s="4" t="n">
        <v>1505</v>
      </c>
      <c r="D2647" s="3" t="inlineStr">
        <is>
          <t>연동면</t>
        </is>
      </c>
      <c r="E2647" s="3" t="inlineStr">
        <is>
          <t>문주리</t>
        </is>
      </c>
      <c r="F2647" s="3" t="inlineStr">
        <is>
          <t>보전관리지역</t>
        </is>
      </c>
      <c r="G2647" s="3" t="inlineStr">
        <is>
          <t>과수원</t>
        </is>
      </c>
      <c r="H2647" s="4" t="n">
        <v>455.2625</v>
      </c>
      <c r="I2647" s="5" t="n">
        <v>45</v>
      </c>
      <c r="J2647" s="3" t="inlineStr">
        <is>
          <t>연동면</t>
        </is>
      </c>
    </row>
    <row r="2648">
      <c r="A2648" s="3" t="n">
        <v>2022</v>
      </c>
      <c r="B2648" s="4" t="n">
        <v>259500</v>
      </c>
      <c r="C2648" s="4" t="n">
        <v>9129</v>
      </c>
      <c r="D2648" s="3" t="inlineStr">
        <is>
          <t>연동면</t>
        </is>
      </c>
      <c r="E2648" s="3" t="inlineStr">
        <is>
          <t>문주리</t>
        </is>
      </c>
      <c r="F2648" s="3" t="inlineStr">
        <is>
          <t>보전관리지역</t>
        </is>
      </c>
      <c r="G2648" s="3" t="inlineStr">
        <is>
          <t>과수원</t>
        </is>
      </c>
      <c r="H2648" s="4" t="n">
        <v>2761.5225</v>
      </c>
      <c r="I2648" s="5" t="n">
        <v>94</v>
      </c>
      <c r="J2648" s="3" t="inlineStr">
        <is>
          <t>연동면</t>
        </is>
      </c>
    </row>
    <row r="2649">
      <c r="A2649" s="3" t="n">
        <v>2022</v>
      </c>
      <c r="B2649" s="4" t="n">
        <v>40000</v>
      </c>
      <c r="C2649" s="4" t="n">
        <v>990</v>
      </c>
      <c r="D2649" s="3" t="inlineStr">
        <is>
          <t>조치원읍</t>
        </is>
      </c>
      <c r="E2649" s="3" t="inlineStr">
        <is>
          <t>번암리</t>
        </is>
      </c>
      <c r="F2649" s="3" t="inlineStr">
        <is>
          <t>자연녹지지역</t>
        </is>
      </c>
      <c r="G2649" s="3" t="inlineStr">
        <is>
          <t>전</t>
        </is>
      </c>
      <c r="H2649" s="4" t="n">
        <v>299.475</v>
      </c>
      <c r="I2649" s="5" t="n">
        <v>133.6</v>
      </c>
      <c r="J2649" s="3" t="inlineStr">
        <is>
          <t>조치원읍</t>
        </is>
      </c>
    </row>
    <row r="2650">
      <c r="A2650" s="3" t="n">
        <v>2022</v>
      </c>
      <c r="B2650" s="4" t="n">
        <v>40000</v>
      </c>
      <c r="C2650" s="4" t="n">
        <v>990</v>
      </c>
      <c r="D2650" s="3" t="inlineStr">
        <is>
          <t>조치원읍</t>
        </is>
      </c>
      <c r="E2650" s="3" t="inlineStr">
        <is>
          <t>번암리</t>
        </is>
      </c>
      <c r="F2650" s="3" t="inlineStr">
        <is>
          <t>자연녹지지역</t>
        </is>
      </c>
      <c r="G2650" s="3" t="inlineStr">
        <is>
          <t>전</t>
        </is>
      </c>
      <c r="H2650" s="4" t="n">
        <v>299.475</v>
      </c>
      <c r="I2650" s="5" t="n">
        <v>133.6</v>
      </c>
      <c r="J2650" s="3" t="inlineStr">
        <is>
          <t>조치원읍</t>
        </is>
      </c>
    </row>
    <row r="2651">
      <c r="A2651" s="3" t="n">
        <v>2022</v>
      </c>
      <c r="B2651" s="4" t="n">
        <v>5000</v>
      </c>
      <c r="C2651" s="4" t="n">
        <v>54</v>
      </c>
      <c r="D2651" s="3" t="inlineStr">
        <is>
          <t>조치원읍</t>
        </is>
      </c>
      <c r="E2651" s="3" t="inlineStr">
        <is>
          <t>평리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16.335</v>
      </c>
      <c r="I2651" s="5" t="n">
        <v>306.1</v>
      </c>
      <c r="J2651" s="3" t="inlineStr">
        <is>
          <t>조치원읍</t>
        </is>
      </c>
    </row>
    <row r="2652">
      <c r="A2652" s="3" t="n">
        <v>2022</v>
      </c>
      <c r="B2652" s="4" t="n">
        <v>288</v>
      </c>
      <c r="C2652" s="4" t="n">
        <v>3</v>
      </c>
      <c r="D2652" s="3" t="inlineStr">
        <is>
          <t>조치원읍</t>
        </is>
      </c>
      <c r="E2652" s="3" t="inlineStr">
        <is>
          <t>명리</t>
        </is>
      </c>
      <c r="F2652" s="3" t="inlineStr">
        <is>
          <t>제2종일반주거지역</t>
        </is>
      </c>
      <c r="G2652" s="3" t="inlineStr">
        <is>
          <t>대</t>
        </is>
      </c>
      <c r="H2652" s="4" t="n">
        <v>0.9075</v>
      </c>
      <c r="I2652" s="5" t="n">
        <v>317.4</v>
      </c>
      <c r="J2652" s="3" t="inlineStr">
        <is>
          <t>조치원읍</t>
        </is>
      </c>
    </row>
    <row r="2653">
      <c r="A2653" s="3" t="n">
        <v>2023</v>
      </c>
      <c r="B2653" s="4" t="n">
        <v>275000</v>
      </c>
      <c r="C2653" s="4" t="n">
        <v>414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125.235</v>
      </c>
      <c r="I2653" s="5" t="n">
        <v>2195.9</v>
      </c>
      <c r="J2653" s="3" t="inlineStr">
        <is>
          <t>연서면</t>
        </is>
      </c>
    </row>
    <row r="2654">
      <c r="A2654" s="3" t="n">
        <v>2024</v>
      </c>
      <c r="B2654" s="4" t="n">
        <v>34000</v>
      </c>
      <c r="C2654" s="4" t="n">
        <v>1146.3</v>
      </c>
      <c r="D2654" s="3" t="inlineStr">
        <is>
          <t>연서면</t>
        </is>
      </c>
      <c r="E2654" s="3" t="inlineStr">
        <is>
          <t>쌍전리</t>
        </is>
      </c>
      <c r="F2654" s="3" t="inlineStr">
        <is>
          <t>농림지역</t>
        </is>
      </c>
      <c r="G2654" s="3" t="inlineStr">
        <is>
          <t>답</t>
        </is>
      </c>
      <c r="H2654" s="4" t="n">
        <v>346.75575</v>
      </c>
      <c r="I2654" s="5" t="n">
        <v>98.09999999999999</v>
      </c>
      <c r="J2654" s="3" t="inlineStr">
        <is>
          <t>연서면</t>
        </is>
      </c>
    </row>
    <row r="2655">
      <c r="A2655" s="3" t="n">
        <v>2024</v>
      </c>
      <c r="B2655" s="4" t="n">
        <v>27000</v>
      </c>
      <c r="C2655" s="4" t="n">
        <v>992</v>
      </c>
      <c r="D2655" s="3" t="inlineStr">
        <is>
          <t>연서면</t>
        </is>
      </c>
      <c r="E2655" s="3" t="inlineStr">
        <is>
          <t>국촌리</t>
        </is>
      </c>
      <c r="F2655" s="3" t="inlineStr">
        <is>
          <t>농림지역</t>
        </is>
      </c>
      <c r="G2655" s="3" t="inlineStr">
        <is>
          <t>과수원</t>
        </is>
      </c>
      <c r="H2655" s="4" t="n">
        <v>300.08</v>
      </c>
      <c r="I2655" s="5" t="n">
        <v>90</v>
      </c>
      <c r="J2655" s="3" t="inlineStr">
        <is>
          <t>연서면</t>
        </is>
      </c>
    </row>
    <row r="2656">
      <c r="A2656" s="3" t="n">
        <v>2023</v>
      </c>
      <c r="B2656" s="4" t="n">
        <v>47250</v>
      </c>
      <c r="C2656" s="4" t="n">
        <v>445</v>
      </c>
      <c r="D2656" s="3" t="inlineStr">
        <is>
          <t>조치원읍</t>
        </is>
      </c>
      <c r="E2656" s="3" t="inlineStr">
        <is>
          <t>죽림리</t>
        </is>
      </c>
      <c r="F2656" s="3" t="inlineStr">
        <is>
          <t>제2종일반주거지역</t>
        </is>
      </c>
      <c r="G2656" s="3" t="inlineStr">
        <is>
          <t>과수원</t>
        </is>
      </c>
      <c r="H2656" s="4" t="n">
        <v>134.6125</v>
      </c>
      <c r="I2656" s="5" t="n">
        <v>351</v>
      </c>
      <c r="J2656" s="3" t="inlineStr">
        <is>
          <t>조치원읍</t>
        </is>
      </c>
    </row>
    <row r="2657">
      <c r="A2657" s="3" t="n">
        <v>2023</v>
      </c>
      <c r="B2657" s="4" t="n">
        <v>24800</v>
      </c>
      <c r="C2657" s="4" t="n">
        <v>2053</v>
      </c>
      <c r="D2657" s="3" t="inlineStr">
        <is>
          <t>연동면</t>
        </is>
      </c>
      <c r="E2657" s="3" t="inlineStr">
        <is>
          <t>노송리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621.0325</v>
      </c>
      <c r="I2657" s="5" t="n">
        <v>39.9</v>
      </c>
      <c r="J2657" s="3" t="inlineStr">
        <is>
          <t>연동면</t>
        </is>
      </c>
    </row>
    <row r="2658">
      <c r="A2658" s="3" t="n">
        <v>2023</v>
      </c>
      <c r="B2658" s="4" t="n">
        <v>1700</v>
      </c>
      <c r="C2658" s="4" t="n">
        <v>188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56.87</v>
      </c>
      <c r="I2658" s="5" t="n">
        <v>29.9</v>
      </c>
      <c r="J2658" s="3" t="inlineStr">
        <is>
          <t>연동면</t>
        </is>
      </c>
    </row>
    <row r="2659">
      <c r="A2659" s="3" t="n">
        <v>2022</v>
      </c>
      <c r="B2659" s="4" t="n">
        <v>16770</v>
      </c>
      <c r="C2659" s="4" t="n">
        <v>462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전</t>
        </is>
      </c>
      <c r="H2659" s="4" t="n">
        <v>139.755</v>
      </c>
      <c r="I2659" s="5" t="n">
        <v>120</v>
      </c>
      <c r="J2659" s="3" t="inlineStr">
        <is>
          <t>연서면</t>
        </is>
      </c>
    </row>
    <row r="2660">
      <c r="A2660" s="3" t="n">
        <v>2022</v>
      </c>
      <c r="B2660" s="4" t="n">
        <v>540</v>
      </c>
      <c r="C2660" s="4" t="n">
        <v>15</v>
      </c>
      <c r="D2660" s="3" t="inlineStr">
        <is>
          <t>연서면</t>
        </is>
      </c>
      <c r="E2660" s="3" t="inlineStr">
        <is>
          <t>쌍류리</t>
        </is>
      </c>
      <c r="F2660" s="3" t="inlineStr">
        <is>
          <t>농림지역</t>
        </is>
      </c>
      <c r="G2660" s="3" t="inlineStr">
        <is>
          <t>전</t>
        </is>
      </c>
      <c r="H2660" s="4" t="n">
        <v>4.5375</v>
      </c>
      <c r="I2660" s="5" t="n">
        <v>119</v>
      </c>
      <c r="J2660" s="3" t="inlineStr">
        <is>
          <t>연서면</t>
        </is>
      </c>
    </row>
    <row r="2661">
      <c r="A2661" s="3" t="n">
        <v>2022</v>
      </c>
      <c r="B2661" s="4" t="n">
        <v>51000</v>
      </c>
      <c r="C2661" s="4" t="n">
        <v>314.1</v>
      </c>
      <c r="D2661" s="3" t="inlineStr">
        <is>
          <t>고운동</t>
        </is>
      </c>
      <c r="E2661" s="3" t="inlineStr"/>
      <c r="F2661" s="3" t="inlineStr">
        <is>
          <t>제1종전용주거지역</t>
        </is>
      </c>
      <c r="G2661" s="3" t="inlineStr">
        <is>
          <t>대</t>
        </is>
      </c>
      <c r="H2661" s="4" t="n">
        <v>95.01525000000001</v>
      </c>
      <c r="I2661" s="5" t="n">
        <v>536.8</v>
      </c>
      <c r="J2661" s="3" t="inlineStr">
        <is>
          <t>고운동</t>
        </is>
      </c>
    </row>
    <row r="2662">
      <c r="A2662" s="3" t="n">
        <v>2022</v>
      </c>
      <c r="B2662" s="4" t="n">
        <v>54000</v>
      </c>
      <c r="C2662" s="4" t="n">
        <v>896</v>
      </c>
      <c r="D2662" s="3" t="inlineStr">
        <is>
          <t>연서면</t>
        </is>
      </c>
      <c r="E2662" s="3" t="inlineStr">
        <is>
          <t>봉암리</t>
        </is>
      </c>
      <c r="F2662" s="3" t="inlineStr">
        <is>
          <t>계획관리지역</t>
        </is>
      </c>
      <c r="G2662" s="3" t="inlineStr">
        <is>
          <t>전</t>
        </is>
      </c>
      <c r="H2662" s="4" t="n">
        <v>271.04</v>
      </c>
      <c r="I2662" s="5" t="n">
        <v>199.2</v>
      </c>
      <c r="J2662" s="3" t="inlineStr">
        <is>
          <t>연서면</t>
        </is>
      </c>
    </row>
    <row r="2663">
      <c r="A2663" s="3" t="n">
        <v>2022</v>
      </c>
      <c r="B2663" s="4" t="n">
        <v>1500</v>
      </c>
      <c r="C2663" s="4" t="n">
        <v>11</v>
      </c>
      <c r="D2663" s="3" t="inlineStr">
        <is>
          <t>부강면</t>
        </is>
      </c>
      <c r="E2663" s="3" t="inlineStr">
        <is>
          <t>금호리</t>
        </is>
      </c>
      <c r="F2663" s="3" t="inlineStr">
        <is>
          <t>계획관리지역</t>
        </is>
      </c>
      <c r="G2663" s="3" t="inlineStr">
        <is>
          <t>도로</t>
        </is>
      </c>
      <c r="H2663" s="4" t="n">
        <v>3.3275</v>
      </c>
      <c r="I2663" s="5" t="n">
        <v>450.8</v>
      </c>
      <c r="J2663" s="3" t="inlineStr">
        <is>
          <t>부강면</t>
        </is>
      </c>
    </row>
    <row r="2664">
      <c r="A2664" s="3" t="n">
        <v>2022</v>
      </c>
      <c r="B2664" s="4" t="n">
        <v>3600</v>
      </c>
      <c r="C2664" s="4" t="n">
        <v>605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전</t>
        </is>
      </c>
      <c r="H2664" s="4" t="n">
        <v>183.0125</v>
      </c>
      <c r="I2664" s="5" t="n">
        <v>19.7</v>
      </c>
      <c r="J2664" s="3" t="inlineStr">
        <is>
          <t>부강면</t>
        </is>
      </c>
    </row>
    <row r="2665">
      <c r="A2665" s="3" t="n">
        <v>2022</v>
      </c>
      <c r="B2665" s="4" t="n">
        <v>21500</v>
      </c>
      <c r="C2665" s="4" t="n">
        <v>783</v>
      </c>
      <c r="D2665" s="3" t="inlineStr">
        <is>
          <t>오송읍</t>
        </is>
      </c>
      <c r="E2665" s="3" t="inlineStr">
        <is>
          <t>연제리</t>
        </is>
      </c>
      <c r="F2665" s="3" t="inlineStr">
        <is>
          <t>계획관리지역</t>
        </is>
      </c>
      <c r="G2665" s="3" t="inlineStr">
        <is>
          <t>전</t>
        </is>
      </c>
      <c r="H2665" s="4" t="n">
        <v>236.8575</v>
      </c>
      <c r="I2665" s="5" t="n">
        <v>90.8</v>
      </c>
      <c r="J2665" s="3" t="inlineStr">
        <is>
          <t>오송읍</t>
        </is>
      </c>
    </row>
    <row r="2666">
      <c r="A2666" s="3" t="n">
        <v>2022</v>
      </c>
      <c r="B2666" s="4" t="n">
        <v>26875</v>
      </c>
      <c r="C2666" s="4" t="n">
        <v>414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제1종일반주거지역</t>
        </is>
      </c>
      <c r="G2666" s="3" t="inlineStr">
        <is>
          <t>대</t>
        </is>
      </c>
      <c r="H2666" s="4" t="n">
        <v>125.235</v>
      </c>
      <c r="I2666" s="5" t="n">
        <v>214.6</v>
      </c>
      <c r="J2666" s="3" t="inlineStr">
        <is>
          <t>강내면</t>
        </is>
      </c>
    </row>
    <row r="2667">
      <c r="A2667" s="3" t="n">
        <v>2022</v>
      </c>
      <c r="B2667" s="4" t="n">
        <v>8500</v>
      </c>
      <c r="C2667" s="4" t="n">
        <v>60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18.15</v>
      </c>
      <c r="I2667" s="5" t="n">
        <v>468.3</v>
      </c>
      <c r="J2667" s="3" t="inlineStr">
        <is>
          <t>오송읍</t>
        </is>
      </c>
    </row>
    <row r="2668">
      <c r="A2668" s="3" t="n">
        <v>2022</v>
      </c>
      <c r="B2668" s="4" t="n">
        <v>10940</v>
      </c>
      <c r="C2668" s="4" t="n">
        <v>282</v>
      </c>
      <c r="D2668" s="3" t="inlineStr">
        <is>
          <t>오송읍</t>
        </is>
      </c>
      <c r="E2668" s="3" t="inlineStr">
        <is>
          <t>연제리</t>
        </is>
      </c>
      <c r="F2668" s="3" t="inlineStr">
        <is>
          <t>농림지역</t>
        </is>
      </c>
      <c r="G2668" s="3" t="inlineStr">
        <is>
          <t>전</t>
        </is>
      </c>
      <c r="H2668" s="4" t="n">
        <v>85.30499999999999</v>
      </c>
      <c r="I2668" s="5" t="n">
        <v>128.2</v>
      </c>
      <c r="J2668" s="3" t="inlineStr">
        <is>
          <t>오송읍</t>
        </is>
      </c>
    </row>
    <row r="2669">
      <c r="A2669" s="3" t="n">
        <v>2022</v>
      </c>
      <c r="B2669" s="4" t="n">
        <v>250000</v>
      </c>
      <c r="C2669" s="4" t="n">
        <v>3307</v>
      </c>
      <c r="D2669" s="3" t="inlineStr">
        <is>
          <t>오송읍</t>
        </is>
      </c>
      <c r="E2669" s="3" t="inlineStr">
        <is>
          <t>궁평리</t>
        </is>
      </c>
      <c r="F2669" s="3" t="inlineStr">
        <is>
          <t>농림지역</t>
        </is>
      </c>
      <c r="G2669" s="3" t="inlineStr">
        <is>
          <t>과수원</t>
        </is>
      </c>
      <c r="H2669" s="4" t="n">
        <v>1000.3675</v>
      </c>
      <c r="I2669" s="5" t="n">
        <v>249.9</v>
      </c>
      <c r="J2669" s="3" t="inlineStr">
        <is>
          <t>오송읍</t>
        </is>
      </c>
    </row>
    <row r="2670">
      <c r="A2670" s="3" t="n">
        <v>2022</v>
      </c>
      <c r="B2670" s="4" t="n">
        <v>9000</v>
      </c>
      <c r="C2670" s="4" t="n">
        <v>232</v>
      </c>
      <c r="D2670" s="3" t="inlineStr">
        <is>
          <t>오송읍</t>
        </is>
      </c>
      <c r="E2670" s="3" t="inlineStr">
        <is>
          <t>연제리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70.17999999999999</v>
      </c>
      <c r="I2670" s="5" t="n">
        <v>128.2</v>
      </c>
      <c r="J2670" s="3" t="inlineStr">
        <is>
          <t>오송읍</t>
        </is>
      </c>
    </row>
    <row r="2671">
      <c r="A2671" s="3" t="n">
        <v>2022</v>
      </c>
      <c r="B2671" s="4" t="n">
        <v>5980</v>
      </c>
      <c r="C2671" s="4" t="n">
        <v>154</v>
      </c>
      <c r="D2671" s="3" t="inlineStr">
        <is>
          <t>오송읍</t>
        </is>
      </c>
      <c r="E2671" s="3" t="inlineStr">
        <is>
          <t>연제리</t>
        </is>
      </c>
      <c r="F2671" s="3" t="inlineStr">
        <is>
          <t>농림지역</t>
        </is>
      </c>
      <c r="G2671" s="3" t="inlineStr">
        <is>
          <t>전</t>
        </is>
      </c>
      <c r="H2671" s="4" t="n">
        <v>46.585</v>
      </c>
      <c r="I2671" s="5" t="n">
        <v>128.4</v>
      </c>
      <c r="J2671" s="3" t="inlineStr">
        <is>
          <t>오송읍</t>
        </is>
      </c>
    </row>
    <row r="2672">
      <c r="A2672" s="3" t="n">
        <v>2022</v>
      </c>
      <c r="B2672" s="4" t="n">
        <v>10000</v>
      </c>
      <c r="C2672" s="4" t="n">
        <v>410</v>
      </c>
      <c r="D2672" s="3" t="inlineStr">
        <is>
          <t>강내면</t>
        </is>
      </c>
      <c r="E2672" s="3" t="inlineStr">
        <is>
          <t>궁현리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124.025</v>
      </c>
      <c r="I2672" s="5" t="n">
        <v>80.59999999999999</v>
      </c>
      <c r="J2672" s="3" t="inlineStr">
        <is>
          <t>강내면</t>
        </is>
      </c>
    </row>
    <row r="2673">
      <c r="A2673" s="3" t="n">
        <v>2022</v>
      </c>
      <c r="B2673" s="4" t="n">
        <v>1650</v>
      </c>
      <c r="C2673" s="4" t="n">
        <v>95</v>
      </c>
      <c r="D2673" s="3" t="inlineStr">
        <is>
          <t>강내면</t>
        </is>
      </c>
      <c r="E2673" s="3" t="inlineStr">
        <is>
          <t>궁현리</t>
        </is>
      </c>
      <c r="F2673" s="3" t="inlineStr">
        <is>
          <t>계획관리지역</t>
        </is>
      </c>
      <c r="G2673" s="3" t="inlineStr">
        <is>
          <t>묘지</t>
        </is>
      </c>
      <c r="H2673" s="4" t="n">
        <v>28.7375</v>
      </c>
      <c r="I2673" s="5" t="n">
        <v>57.4</v>
      </c>
      <c r="J2673" s="3" t="inlineStr">
        <is>
          <t>강내면</t>
        </is>
      </c>
    </row>
    <row r="2674">
      <c r="A2674" s="3" t="n">
        <v>2022</v>
      </c>
      <c r="B2674" s="4" t="n">
        <v>2115</v>
      </c>
      <c r="C2674" s="4" t="n">
        <v>26</v>
      </c>
      <c r="D2674" s="3" t="inlineStr">
        <is>
          <t>강내면</t>
        </is>
      </c>
      <c r="E2674" s="3" t="inlineStr">
        <is>
          <t>탑연리</t>
        </is>
      </c>
      <c r="F2674" s="3" t="inlineStr">
        <is>
          <t>계획관리지역</t>
        </is>
      </c>
      <c r="G2674" s="3" t="inlineStr">
        <is>
          <t>잡종지</t>
        </is>
      </c>
      <c r="H2674" s="4" t="n">
        <v>7.865</v>
      </c>
      <c r="I2674" s="5" t="n">
        <v>268.9</v>
      </c>
      <c r="J2674" s="3" t="inlineStr">
        <is>
          <t>강내면</t>
        </is>
      </c>
    </row>
    <row r="2675">
      <c r="A2675" s="3" t="n">
        <v>2022</v>
      </c>
      <c r="B2675" s="4" t="n">
        <v>10814</v>
      </c>
      <c r="C2675" s="4" t="n">
        <v>127</v>
      </c>
      <c r="D2675" s="3" t="inlineStr">
        <is>
          <t>강내면</t>
        </is>
      </c>
      <c r="E2675" s="3" t="inlineStr">
        <is>
          <t>탑연리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38.4175</v>
      </c>
      <c r="I2675" s="5" t="n">
        <v>281.5</v>
      </c>
      <c r="J2675" s="3" t="inlineStr">
        <is>
          <t>강내면</t>
        </is>
      </c>
    </row>
    <row r="2676">
      <c r="A2676" s="3" t="n">
        <v>2022</v>
      </c>
      <c r="B2676" s="4" t="n">
        <v>164500</v>
      </c>
      <c r="C2676" s="4" t="n">
        <v>2315</v>
      </c>
      <c r="D2676" s="3" t="inlineStr">
        <is>
          <t>오송읍</t>
        </is>
      </c>
      <c r="E2676" s="3" t="inlineStr">
        <is>
          <t>궁평리</t>
        </is>
      </c>
      <c r="F2676" s="3" t="inlineStr">
        <is>
          <t>농림지역</t>
        </is>
      </c>
      <c r="G2676" s="3" t="inlineStr">
        <is>
          <t>전</t>
        </is>
      </c>
      <c r="H2676" s="4" t="n">
        <v>700.2875</v>
      </c>
      <c r="I2676" s="5" t="n">
        <v>234.9</v>
      </c>
      <c r="J2676" s="3" t="inlineStr">
        <is>
          <t>오송읍</t>
        </is>
      </c>
    </row>
    <row r="2677">
      <c r="A2677" s="3" t="n">
        <v>2022</v>
      </c>
      <c r="B2677" s="4" t="n">
        <v>19000</v>
      </c>
      <c r="C2677" s="4" t="n">
        <v>530</v>
      </c>
      <c r="D2677" s="3" t="inlineStr">
        <is>
          <t>강내면</t>
        </is>
      </c>
      <c r="E2677" s="3" t="inlineStr">
        <is>
          <t>석화리</t>
        </is>
      </c>
      <c r="F2677" s="3" t="inlineStr">
        <is>
          <t>자연녹지지역</t>
        </is>
      </c>
      <c r="G2677" s="3" t="inlineStr">
        <is>
          <t>대</t>
        </is>
      </c>
      <c r="H2677" s="4" t="n">
        <v>160.325</v>
      </c>
      <c r="I2677" s="5" t="n">
        <v>118.5</v>
      </c>
      <c r="J2677" s="3" t="inlineStr">
        <is>
          <t>강내면</t>
        </is>
      </c>
    </row>
    <row r="2678">
      <c r="A2678" s="3" t="n">
        <v>2022</v>
      </c>
      <c r="B2678" s="4" t="n">
        <v>20000</v>
      </c>
      <c r="C2678" s="4" t="n">
        <v>575</v>
      </c>
      <c r="D2678" s="3" t="inlineStr">
        <is>
          <t>강내면</t>
        </is>
      </c>
      <c r="E2678" s="3" t="inlineStr">
        <is>
          <t>석화리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173.9375</v>
      </c>
      <c r="I2678" s="5" t="n">
        <v>115</v>
      </c>
      <c r="J2678" s="3" t="inlineStr">
        <is>
          <t>강내면</t>
        </is>
      </c>
    </row>
    <row r="2679">
      <c r="A2679" s="3" t="n">
        <v>2022</v>
      </c>
      <c r="B2679" s="4" t="n">
        <v>49000</v>
      </c>
      <c r="C2679" s="4" t="n">
        <v>1402</v>
      </c>
      <c r="D2679" s="3" t="inlineStr">
        <is>
          <t>강내면</t>
        </is>
      </c>
      <c r="E2679" s="3" t="inlineStr">
        <is>
          <t>석화리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424.105</v>
      </c>
      <c r="I2679" s="5" t="n">
        <v>115.5</v>
      </c>
      <c r="J2679" s="3" t="inlineStr">
        <is>
          <t>강내면</t>
        </is>
      </c>
    </row>
    <row r="2680">
      <c r="A2680" s="3" t="n">
        <v>2022</v>
      </c>
      <c r="B2680" s="4" t="n">
        <v>7000</v>
      </c>
      <c r="C2680" s="4" t="n">
        <v>202</v>
      </c>
      <c r="D2680" s="3" t="inlineStr">
        <is>
          <t>강내면</t>
        </is>
      </c>
      <c r="E2680" s="3" t="inlineStr">
        <is>
          <t>석화리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61.105</v>
      </c>
      <c r="I2680" s="5" t="n">
        <v>114.6</v>
      </c>
      <c r="J2680" s="3" t="inlineStr">
        <is>
          <t>강내면</t>
        </is>
      </c>
    </row>
    <row r="2681">
      <c r="A2681" s="3" t="n">
        <v>2022</v>
      </c>
      <c r="B2681" s="4" t="n">
        <v>800</v>
      </c>
      <c r="C2681" s="4" t="n">
        <v>3</v>
      </c>
      <c r="D2681" s="3" t="inlineStr">
        <is>
          <t>오송읍</t>
        </is>
      </c>
      <c r="E2681" s="3" t="inlineStr">
        <is>
          <t>궁평리</t>
        </is>
      </c>
      <c r="F2681" s="3" t="inlineStr">
        <is>
          <t>일반상업지역</t>
        </is>
      </c>
      <c r="G2681" s="3" t="inlineStr">
        <is>
          <t>전</t>
        </is>
      </c>
      <c r="H2681" s="4" t="n">
        <v>0.9075</v>
      </c>
      <c r="I2681" s="5" t="n">
        <v>881.5</v>
      </c>
      <c r="J2681" s="3" t="inlineStr">
        <is>
          <t>오송읍</t>
        </is>
      </c>
    </row>
    <row r="2682">
      <c r="A2682" s="3" t="n">
        <v>2022</v>
      </c>
      <c r="B2682" s="4" t="n">
        <v>7800</v>
      </c>
      <c r="C2682" s="4" t="n">
        <v>87</v>
      </c>
      <c r="D2682" s="3" t="inlineStr">
        <is>
          <t>강내면</t>
        </is>
      </c>
      <c r="E2682" s="3" t="inlineStr">
        <is>
          <t>월곡리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26.3175</v>
      </c>
      <c r="I2682" s="5" t="n">
        <v>296.4</v>
      </c>
      <c r="J2682" s="3" t="inlineStr">
        <is>
          <t>강내면</t>
        </is>
      </c>
    </row>
    <row r="2683">
      <c r="A2683" s="3" t="n">
        <v>2022</v>
      </c>
      <c r="B2683" s="4" t="n">
        <v>1070000</v>
      </c>
      <c r="C2683" s="4" t="n">
        <v>1265.7</v>
      </c>
      <c r="D2683" s="3" t="inlineStr">
        <is>
          <t>오송읍</t>
        </is>
      </c>
      <c r="E2683" s="3" t="inlineStr">
        <is>
          <t>봉산리</t>
        </is>
      </c>
      <c r="F2683" s="3" t="inlineStr">
        <is>
          <t>일반상업지역</t>
        </is>
      </c>
      <c r="G2683" s="3" t="inlineStr">
        <is>
          <t>대</t>
        </is>
      </c>
      <c r="H2683" s="4" t="n">
        <v>382.87425</v>
      </c>
      <c r="I2683" s="5" t="n">
        <v>2794.7</v>
      </c>
      <c r="J2683" s="3" t="inlineStr">
        <is>
          <t>오송읍</t>
        </is>
      </c>
    </row>
    <row r="2684">
      <c r="A2684" s="3" t="n">
        <v>2022</v>
      </c>
      <c r="B2684" s="4" t="n">
        <v>72900</v>
      </c>
      <c r="C2684" s="4" t="n">
        <v>2411</v>
      </c>
      <c r="D2684" s="3" t="inlineStr">
        <is>
          <t>오송읍</t>
        </is>
      </c>
      <c r="E2684" s="3" t="inlineStr">
        <is>
          <t>공북리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729.3275</v>
      </c>
      <c r="I2684" s="5" t="n">
        <v>100</v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235.1</v>
      </c>
      <c r="D2685" s="3" t="inlineStr">
        <is>
          <t>오송읍</t>
        </is>
      </c>
      <c r="E2685" s="3" t="inlineStr">
        <is>
          <t>봉산리</t>
        </is>
      </c>
      <c r="F2685" s="3" t="inlineStr">
        <is>
          <t>제1종일반주거지역</t>
        </is>
      </c>
      <c r="G2685" s="3" t="inlineStr">
        <is>
          <t>대</t>
        </is>
      </c>
      <c r="H2685" s="4" t="n">
        <v>71.11775</v>
      </c>
      <c r="I2685" s="5" t="n">
        <v>421.8</v>
      </c>
      <c r="J2685" s="3" t="inlineStr">
        <is>
          <t>오송읍</t>
        </is>
      </c>
    </row>
    <row r="2686">
      <c r="A2686" s="3" t="n">
        <v>2022</v>
      </c>
      <c r="B2686" s="4" t="n">
        <v>23730</v>
      </c>
      <c r="C2686" s="4" t="n">
        <v>499.4</v>
      </c>
      <c r="D2686" s="3" t="inlineStr">
        <is>
          <t>강내면</t>
        </is>
      </c>
      <c r="E2686" s="3" t="inlineStr">
        <is>
          <t>사곡리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151.0685</v>
      </c>
      <c r="I2686" s="5" t="n">
        <v>157.1</v>
      </c>
      <c r="J2686" s="3" t="inlineStr">
        <is>
          <t>강내면</t>
        </is>
      </c>
    </row>
    <row r="2687">
      <c r="A2687" s="3" t="n">
        <v>2022</v>
      </c>
      <c r="B2687" s="4" t="n">
        <v>20800</v>
      </c>
      <c r="C2687" s="4" t="n">
        <v>532.5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161.08125</v>
      </c>
      <c r="I2687" s="5" t="n">
        <v>129.1</v>
      </c>
      <c r="J2687" s="3" t="inlineStr">
        <is>
          <t>강내면</t>
        </is>
      </c>
    </row>
    <row r="2688">
      <c r="A2688" s="3" t="n">
        <v>2022</v>
      </c>
      <c r="B2688" s="4" t="n">
        <v>22035</v>
      </c>
      <c r="C2688" s="4" t="n">
        <v>485.5</v>
      </c>
      <c r="D2688" s="3" t="inlineStr">
        <is>
          <t>강내면</t>
        </is>
      </c>
      <c r="E2688" s="3" t="inlineStr">
        <is>
          <t>사곡리</t>
        </is>
      </c>
      <c r="F2688" s="3" t="inlineStr">
        <is>
          <t>보전관리지역</t>
        </is>
      </c>
      <c r="G2688" s="3" t="inlineStr">
        <is>
          <t>임야</t>
        </is>
      </c>
      <c r="H2688" s="4" t="n">
        <v>146.86375</v>
      </c>
      <c r="I2688" s="5" t="n">
        <v>150</v>
      </c>
      <c r="J2688" s="3" t="inlineStr">
        <is>
          <t>강내면</t>
        </is>
      </c>
    </row>
    <row r="2689">
      <c r="A2689" s="3" t="n">
        <v>2022</v>
      </c>
      <c r="B2689" s="4" t="n">
        <v>44600</v>
      </c>
      <c r="C2689" s="4" t="n">
        <v>2948</v>
      </c>
      <c r="D2689" s="3" t="inlineStr">
        <is>
          <t>강내면</t>
        </is>
      </c>
      <c r="E2689" s="3" t="inlineStr">
        <is>
          <t>궁현리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891.77</v>
      </c>
      <c r="I2689" s="5" t="n">
        <v>50</v>
      </c>
      <c r="J2689" s="3" t="inlineStr">
        <is>
          <t>강내면</t>
        </is>
      </c>
    </row>
    <row r="2690">
      <c r="A2690" s="3" t="n">
        <v>2022</v>
      </c>
      <c r="B2690" s="4" t="n">
        <v>3750</v>
      </c>
      <c r="C2690" s="4" t="n">
        <v>826</v>
      </c>
      <c r="D2690" s="3" t="inlineStr">
        <is>
          <t>강내면</t>
        </is>
      </c>
      <c r="E2690" s="3" t="inlineStr">
        <is>
          <t>사인리</t>
        </is>
      </c>
      <c r="F2690" s="3" t="inlineStr">
        <is>
          <t>자연녹지지역</t>
        </is>
      </c>
      <c r="G2690" s="3" t="inlineStr">
        <is>
          <t>전</t>
        </is>
      </c>
      <c r="H2690" s="4" t="n">
        <v>249.865</v>
      </c>
      <c r="I2690" s="5" t="n">
        <v>15</v>
      </c>
      <c r="J2690" s="3" t="inlineStr">
        <is>
          <t>강내면</t>
        </is>
      </c>
    </row>
    <row r="2691">
      <c r="A2691" s="3" t="n">
        <v>2022</v>
      </c>
      <c r="B2691" s="4" t="n">
        <v>74400</v>
      </c>
      <c r="C2691" s="4" t="n">
        <v>3967</v>
      </c>
      <c r="D2691" s="3" t="inlineStr">
        <is>
          <t>오송읍</t>
        </is>
      </c>
      <c r="E2691" s="3" t="inlineStr">
        <is>
          <t>궁평리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1200.0175</v>
      </c>
      <c r="I2691" s="5" t="n">
        <v>62</v>
      </c>
      <c r="J2691" s="3" t="inlineStr">
        <is>
          <t>오송읍</t>
        </is>
      </c>
    </row>
    <row r="2692">
      <c r="A2692" s="3" t="n">
        <v>2022</v>
      </c>
      <c r="B2692" s="4" t="n">
        <v>4582</v>
      </c>
      <c r="C2692" s="4" t="n">
        <v>252</v>
      </c>
      <c r="D2692" s="3" t="inlineStr">
        <is>
          <t>강내면</t>
        </is>
      </c>
      <c r="E2692" s="3" t="inlineStr">
        <is>
          <t>사인리</t>
        </is>
      </c>
      <c r="F2692" s="3" t="inlineStr">
        <is>
          <t>자연녹지지역</t>
        </is>
      </c>
      <c r="G2692" s="3" t="inlineStr">
        <is>
          <t>임야</t>
        </is>
      </c>
      <c r="H2692" s="4" t="n">
        <v>76.23</v>
      </c>
      <c r="I2692" s="5" t="n">
        <v>60.1</v>
      </c>
      <c r="J2692" s="3" t="inlineStr">
        <is>
          <t>강내면</t>
        </is>
      </c>
    </row>
    <row r="2693">
      <c r="A2693" s="3" t="n">
        <v>2022</v>
      </c>
      <c r="B2693" s="4" t="n">
        <v>1500</v>
      </c>
      <c r="C2693" s="4" t="n">
        <v>257</v>
      </c>
      <c r="D2693" s="3" t="inlineStr">
        <is>
          <t>강내면</t>
        </is>
      </c>
      <c r="E2693" s="3" t="inlineStr">
        <is>
          <t>사인리</t>
        </is>
      </c>
      <c r="F2693" s="3" t="inlineStr">
        <is>
          <t>자연녹지지역</t>
        </is>
      </c>
      <c r="G2693" s="3" t="inlineStr">
        <is>
          <t>임야</t>
        </is>
      </c>
      <c r="H2693" s="4" t="n">
        <v>77.74249999999999</v>
      </c>
      <c r="I2693" s="5" t="n">
        <v>19.3</v>
      </c>
      <c r="J2693" s="3" t="inlineStr">
        <is>
          <t>강내면</t>
        </is>
      </c>
    </row>
    <row r="2694">
      <c r="A2694" s="3" t="n">
        <v>2022</v>
      </c>
      <c r="B2694" s="4" t="n">
        <v>35000</v>
      </c>
      <c r="C2694" s="4" t="n">
        <v>1735</v>
      </c>
      <c r="D2694" s="3" t="inlineStr">
        <is>
          <t>강내면</t>
        </is>
      </c>
      <c r="E2694" s="3" t="inlineStr">
        <is>
          <t>저산리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524.8375</v>
      </c>
      <c r="I2694" s="5" t="n">
        <v>66.7</v>
      </c>
      <c r="J2694" s="3" t="inlineStr">
        <is>
          <t>강내면</t>
        </is>
      </c>
    </row>
    <row r="2695">
      <c r="A2695" s="3" t="n">
        <v>2022</v>
      </c>
      <c r="B2695" s="4" t="n">
        <v>12360</v>
      </c>
      <c r="C2695" s="4" t="n">
        <v>341</v>
      </c>
      <c r="D2695" s="3" t="inlineStr">
        <is>
          <t>강내면</t>
        </is>
      </c>
      <c r="E2695" s="3" t="inlineStr">
        <is>
          <t>황탄리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103.1525</v>
      </c>
      <c r="I2695" s="5" t="n">
        <v>119.8</v>
      </c>
      <c r="J2695" s="3" t="inlineStr">
        <is>
          <t>강내면</t>
        </is>
      </c>
    </row>
    <row r="2696">
      <c r="A2696" s="3" t="n">
        <v>2022</v>
      </c>
      <c r="B2696" s="4" t="n">
        <v>80009</v>
      </c>
      <c r="C2696" s="4" t="n">
        <v>1392</v>
      </c>
      <c r="D2696" s="3" t="inlineStr">
        <is>
          <t>오송읍</t>
        </is>
      </c>
      <c r="E2696" s="3" t="inlineStr">
        <is>
          <t>궁평리</t>
        </is>
      </c>
      <c r="F2696" s="3" t="inlineStr">
        <is>
          <t>농림지역</t>
        </is>
      </c>
      <c r="G2696" s="3" t="inlineStr">
        <is>
          <t>답</t>
        </is>
      </c>
      <c r="H2696" s="4" t="n">
        <v>421.08</v>
      </c>
      <c r="I2696" s="5" t="n">
        <v>190</v>
      </c>
      <c r="J2696" s="3" t="inlineStr">
        <is>
          <t>오송읍</t>
        </is>
      </c>
    </row>
    <row r="2697">
      <c r="A2697" s="3" t="n">
        <v>2022</v>
      </c>
      <c r="B2697" s="4" t="n">
        <v>990</v>
      </c>
      <c r="C2697" s="4" t="n">
        <v>19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5.7475</v>
      </c>
      <c r="I2697" s="5" t="n">
        <v>172.2</v>
      </c>
      <c r="J2697" s="3" t="inlineStr">
        <is>
          <t>강내면</t>
        </is>
      </c>
    </row>
    <row r="2698">
      <c r="A2698" s="3" t="n">
        <v>2022</v>
      </c>
      <c r="B2698" s="4" t="n">
        <v>2700</v>
      </c>
      <c r="C2698" s="4" t="n">
        <v>66</v>
      </c>
      <c r="D2698" s="3" t="inlineStr">
        <is>
          <t>강내면</t>
        </is>
      </c>
      <c r="E2698" s="3" t="inlineStr">
        <is>
          <t>저산리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19.965</v>
      </c>
      <c r="I2698" s="5" t="n">
        <v>135.2</v>
      </c>
      <c r="J2698" s="3" t="inlineStr">
        <is>
          <t>강내면</t>
        </is>
      </c>
    </row>
    <row r="2699">
      <c r="A2699" s="3" t="n">
        <v>2022</v>
      </c>
      <c r="B2699" s="4" t="n">
        <v>17000</v>
      </c>
      <c r="C2699" s="4" t="n">
        <v>405</v>
      </c>
      <c r="D2699" s="3" t="inlineStr">
        <is>
          <t>강내면</t>
        </is>
      </c>
      <c r="E2699" s="3" t="inlineStr">
        <is>
          <t>저산리</t>
        </is>
      </c>
      <c r="F2699" s="3" t="inlineStr">
        <is>
          <t>보전관리지역</t>
        </is>
      </c>
      <c r="G2699" s="3" t="inlineStr">
        <is>
          <t>임야</t>
        </is>
      </c>
      <c r="H2699" s="4" t="n">
        <v>122.5125</v>
      </c>
      <c r="I2699" s="5" t="n">
        <v>138.8</v>
      </c>
      <c r="J2699" s="3" t="inlineStr">
        <is>
          <t>강내면</t>
        </is>
      </c>
    </row>
    <row r="2700">
      <c r="A2700" s="3" t="n">
        <v>2022</v>
      </c>
      <c r="B2700" s="4" t="n">
        <v>19800</v>
      </c>
      <c r="C2700" s="4" t="n">
        <v>469</v>
      </c>
      <c r="D2700" s="3" t="inlineStr">
        <is>
          <t>강내면</t>
        </is>
      </c>
      <c r="E2700" s="3" t="inlineStr">
        <is>
          <t>저산리</t>
        </is>
      </c>
      <c r="F2700" s="3" t="inlineStr">
        <is>
          <t>보전관리지역</t>
        </is>
      </c>
      <c r="G2700" s="3" t="inlineStr">
        <is>
          <t>임야</t>
        </is>
      </c>
      <c r="H2700" s="4" t="n">
        <v>141.8725</v>
      </c>
      <c r="I2700" s="5" t="n">
        <v>139.6</v>
      </c>
      <c r="J2700" s="3" t="inlineStr">
        <is>
          <t>강내면</t>
        </is>
      </c>
    </row>
    <row r="2701">
      <c r="A2701" s="3" t="n">
        <v>2022</v>
      </c>
      <c r="B2701" s="4" t="n">
        <v>875</v>
      </c>
      <c r="C2701" s="4" t="n">
        <v>20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6.05</v>
      </c>
      <c r="I2701" s="5" t="n">
        <v>144.6</v>
      </c>
      <c r="J2701" s="3" t="inlineStr">
        <is>
          <t>강내면</t>
        </is>
      </c>
    </row>
    <row r="2702">
      <c r="A2702" s="3" t="n">
        <v>2022</v>
      </c>
      <c r="B2702" s="4" t="n">
        <v>20500</v>
      </c>
      <c r="C2702" s="4" t="n">
        <v>194</v>
      </c>
      <c r="D2702" s="3" t="inlineStr">
        <is>
          <t>강내면</t>
        </is>
      </c>
      <c r="E2702" s="3" t="inlineStr">
        <is>
          <t>탑연리</t>
        </is>
      </c>
      <c r="F2702" s="3" t="inlineStr">
        <is>
          <t>일반상업지역</t>
        </is>
      </c>
      <c r="G2702" s="3" t="inlineStr">
        <is>
          <t>전</t>
        </is>
      </c>
      <c r="H2702" s="4" t="n">
        <v>58.685</v>
      </c>
      <c r="I2702" s="5" t="n">
        <v>349.3</v>
      </c>
      <c r="J2702" s="3" t="inlineStr">
        <is>
          <t>강내면</t>
        </is>
      </c>
    </row>
    <row r="2703">
      <c r="A2703" s="3" t="n">
        <v>2022</v>
      </c>
      <c r="B2703" s="4" t="n">
        <v>52760</v>
      </c>
      <c r="C2703" s="4" t="n">
        <v>790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전</t>
        </is>
      </c>
      <c r="H2703" s="4" t="n">
        <v>238.975</v>
      </c>
      <c r="I2703" s="5" t="n">
        <v>220.8</v>
      </c>
      <c r="J2703" s="3" t="inlineStr">
        <is>
          <t>강내면</t>
        </is>
      </c>
    </row>
    <row r="2704">
      <c r="A2704" s="3" t="n">
        <v>2022</v>
      </c>
      <c r="B2704" s="4" t="n">
        <v>4818</v>
      </c>
      <c r="C2704" s="4" t="n">
        <v>97</v>
      </c>
      <c r="D2704" s="3" t="inlineStr">
        <is>
          <t>강내면</t>
        </is>
      </c>
      <c r="E2704" s="3" t="inlineStr">
        <is>
          <t>사인리</t>
        </is>
      </c>
      <c r="F2704" s="3" t="inlineStr">
        <is>
          <t>자연녹지지역</t>
        </is>
      </c>
      <c r="G2704" s="3" t="inlineStr">
        <is>
          <t>전</t>
        </is>
      </c>
      <c r="H2704" s="4" t="n">
        <v>29.3425</v>
      </c>
      <c r="I2704" s="5" t="n">
        <v>164.2</v>
      </c>
      <c r="J2704" s="3" t="inlineStr">
        <is>
          <t>강내면</t>
        </is>
      </c>
    </row>
    <row r="2705">
      <c r="A2705" s="3" t="n">
        <v>2022</v>
      </c>
      <c r="B2705" s="4" t="n">
        <v>4884</v>
      </c>
      <c r="C2705" s="4" t="n">
        <v>266</v>
      </c>
      <c r="D2705" s="3" t="inlineStr">
        <is>
          <t>강내면</t>
        </is>
      </c>
      <c r="E2705" s="3" t="inlineStr">
        <is>
          <t>사인리</t>
        </is>
      </c>
      <c r="F2705" s="3" t="inlineStr">
        <is>
          <t>자연녹지지역</t>
        </is>
      </c>
      <c r="G2705" s="3" t="inlineStr">
        <is>
          <t>임야</t>
        </is>
      </c>
      <c r="H2705" s="4" t="n">
        <v>80.465</v>
      </c>
      <c r="I2705" s="5" t="n">
        <v>60.7</v>
      </c>
      <c r="J2705" s="3" t="inlineStr">
        <is>
          <t>강내면</t>
        </is>
      </c>
    </row>
    <row r="2706">
      <c r="A2706" s="3" t="n">
        <v>2022</v>
      </c>
      <c r="B2706" s="4" t="n">
        <v>15000</v>
      </c>
      <c r="C2706" s="4" t="n">
        <v>1111</v>
      </c>
      <c r="D2706" s="3" t="inlineStr">
        <is>
          <t>강내면</t>
        </is>
      </c>
      <c r="E2706" s="3" t="inlineStr">
        <is>
          <t>학천리</t>
        </is>
      </c>
      <c r="F2706" s="3" t="inlineStr">
        <is>
          <t>자연녹지지역</t>
        </is>
      </c>
      <c r="G2706" s="3" t="inlineStr">
        <is>
          <t>임야</t>
        </is>
      </c>
      <c r="H2706" s="4" t="n">
        <v>336.0775</v>
      </c>
      <c r="I2706" s="5" t="n">
        <v>44.6</v>
      </c>
      <c r="J2706" s="3" t="inlineStr">
        <is>
          <t>강내면</t>
        </is>
      </c>
    </row>
    <row r="2707">
      <c r="A2707" s="3" t="n">
        <v>2022</v>
      </c>
      <c r="B2707" s="4" t="n">
        <v>36000</v>
      </c>
      <c r="C2707" s="4" t="n">
        <v>240.9</v>
      </c>
      <c r="D2707" s="3" t="inlineStr">
        <is>
          <t>오송읍</t>
        </is>
      </c>
      <c r="E2707" s="3" t="inlineStr">
        <is>
          <t>봉산리</t>
        </is>
      </c>
      <c r="F2707" s="3" t="inlineStr">
        <is>
          <t>제1종일반주거지역</t>
        </is>
      </c>
      <c r="G2707" s="3" t="inlineStr">
        <is>
          <t>대</t>
        </is>
      </c>
      <c r="H2707" s="4" t="n">
        <v>72.87224999999999</v>
      </c>
      <c r="I2707" s="5" t="n">
        <v>494</v>
      </c>
      <c r="J2707" s="3" t="inlineStr">
        <is>
          <t>오송읍</t>
        </is>
      </c>
    </row>
    <row r="2708">
      <c r="A2708" s="3" t="n">
        <v>2022</v>
      </c>
      <c r="B2708" s="4" t="n">
        <v>48000</v>
      </c>
      <c r="C2708" s="4" t="n">
        <v>1083</v>
      </c>
      <c r="D2708" s="3" t="inlineStr">
        <is>
          <t>오송읍</t>
        </is>
      </c>
      <c r="E2708" s="3" t="inlineStr">
        <is>
          <t>오송리</t>
        </is>
      </c>
      <c r="F2708" s="3" t="inlineStr">
        <is>
          <t>일반상업지역</t>
        </is>
      </c>
      <c r="G2708" s="3" t="inlineStr">
        <is>
          <t>답</t>
        </is>
      </c>
      <c r="H2708" s="4" t="n">
        <v>327.6075</v>
      </c>
      <c r="I2708" s="5" t="n">
        <v>146.5</v>
      </c>
      <c r="J2708" s="3" t="inlineStr">
        <is>
          <t>오송읍</t>
        </is>
      </c>
    </row>
    <row r="2709">
      <c r="A2709" s="3" t="n">
        <v>2022</v>
      </c>
      <c r="B2709" s="4" t="n">
        <v>12000</v>
      </c>
      <c r="C2709" s="4" t="n">
        <v>568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생산녹지지역</t>
        </is>
      </c>
      <c r="G2709" s="3" t="inlineStr">
        <is>
          <t>전</t>
        </is>
      </c>
      <c r="H2709" s="4" t="n">
        <v>171.82</v>
      </c>
      <c r="I2709" s="5" t="n">
        <v>69.8</v>
      </c>
      <c r="J2709" s="3" t="inlineStr">
        <is>
          <t>강내면</t>
        </is>
      </c>
    </row>
    <row r="2710">
      <c r="A2710" s="3" t="n">
        <v>2022</v>
      </c>
      <c r="B2710" s="4" t="n">
        <v>360</v>
      </c>
      <c r="C2710" s="4" t="n">
        <v>17</v>
      </c>
      <c r="D2710" s="3" t="inlineStr">
        <is>
          <t>강내면</t>
        </is>
      </c>
      <c r="E2710" s="3" t="inlineStr">
        <is>
          <t>다락리</t>
        </is>
      </c>
      <c r="F2710" s="3" t="inlineStr">
        <is>
          <t>계획관리지역</t>
        </is>
      </c>
      <c r="G2710" s="3" t="inlineStr">
        <is>
          <t>대</t>
        </is>
      </c>
      <c r="H2710" s="4" t="n">
        <v>5.1425</v>
      </c>
      <c r="I2710" s="5" t="n">
        <v>70</v>
      </c>
      <c r="J2710" s="3" t="inlineStr">
        <is>
          <t>강내면</t>
        </is>
      </c>
    </row>
    <row r="2711">
      <c r="A2711" s="3" t="n">
        <v>2022</v>
      </c>
      <c r="B2711" s="4" t="n">
        <v>12300</v>
      </c>
      <c r="C2711" s="4" t="n">
        <v>1597</v>
      </c>
      <c r="D2711" s="3" t="inlineStr">
        <is>
          <t>강내면</t>
        </is>
      </c>
      <c r="E2711" s="3" t="inlineStr">
        <is>
          <t>황탄리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483.0925</v>
      </c>
      <c r="I2711" s="5" t="n">
        <v>25.5</v>
      </c>
      <c r="J2711" s="3" t="inlineStr">
        <is>
          <t>강내면</t>
        </is>
      </c>
    </row>
    <row r="2712">
      <c r="A2712" s="3" t="n">
        <v>2022</v>
      </c>
      <c r="B2712" s="4" t="n">
        <v>4700</v>
      </c>
      <c r="C2712" s="4" t="n">
        <v>605</v>
      </c>
      <c r="D2712" s="3" t="inlineStr">
        <is>
          <t>강내면</t>
        </is>
      </c>
      <c r="E2712" s="3" t="inlineStr">
        <is>
          <t>황탄리</t>
        </is>
      </c>
      <c r="F2712" s="3" t="inlineStr">
        <is>
          <t>농림지역</t>
        </is>
      </c>
      <c r="G2712" s="3" t="inlineStr">
        <is>
          <t>전</t>
        </is>
      </c>
      <c r="H2712" s="4" t="n">
        <v>183.0125</v>
      </c>
      <c r="I2712" s="5" t="n">
        <v>25.7</v>
      </c>
      <c r="J2712" s="3" t="inlineStr">
        <is>
          <t>강내면</t>
        </is>
      </c>
    </row>
    <row r="2713">
      <c r="A2713" s="3" t="n">
        <v>2022</v>
      </c>
      <c r="B2713" s="4" t="n">
        <v>150</v>
      </c>
      <c r="C2713" s="4" t="n">
        <v>7</v>
      </c>
      <c r="D2713" s="3" t="inlineStr">
        <is>
          <t>강내면</t>
        </is>
      </c>
      <c r="E2713" s="3" t="inlineStr">
        <is>
          <t>다락리</t>
        </is>
      </c>
      <c r="F2713" s="3" t="inlineStr">
        <is>
          <t>-</t>
        </is>
      </c>
      <c r="G2713" s="3" t="inlineStr">
        <is>
          <t>대</t>
        </is>
      </c>
      <c r="H2713" s="4" t="n">
        <v>2.1175</v>
      </c>
      <c r="I2713" s="5" t="n">
        <v>70.8</v>
      </c>
      <c r="J2713" s="3" t="inlineStr">
        <is>
          <t>강내면</t>
        </is>
      </c>
    </row>
    <row r="2714">
      <c r="A2714" s="3" t="n">
        <v>2022</v>
      </c>
      <c r="B2714" s="4" t="n">
        <v>210</v>
      </c>
      <c r="C2714" s="4" t="n">
        <v>10</v>
      </c>
      <c r="D2714" s="3" t="inlineStr">
        <is>
          <t>강내면</t>
        </is>
      </c>
      <c r="E2714" s="3" t="inlineStr">
        <is>
          <t>다락리</t>
        </is>
      </c>
      <c r="F2714" s="3" t="inlineStr">
        <is>
          <t>-</t>
        </is>
      </c>
      <c r="G2714" s="3" t="inlineStr">
        <is>
          <t>대</t>
        </is>
      </c>
      <c r="H2714" s="4" t="n">
        <v>3.025</v>
      </c>
      <c r="I2714" s="5" t="n">
        <v>69.40000000000001</v>
      </c>
      <c r="J2714" s="3" t="inlineStr">
        <is>
          <t>강내면</t>
        </is>
      </c>
    </row>
    <row r="2715">
      <c r="A2715" s="3" t="n">
        <v>2022</v>
      </c>
      <c r="B2715" s="4" t="n">
        <v>1700</v>
      </c>
      <c r="C2715" s="4" t="n">
        <v>132</v>
      </c>
      <c r="D2715" s="3" t="inlineStr">
        <is>
          <t>오송읍</t>
        </is>
      </c>
      <c r="E2715" s="3" t="inlineStr">
        <is>
          <t>연제리</t>
        </is>
      </c>
      <c r="F2715" s="3" t="inlineStr">
        <is>
          <t>계획관리지역</t>
        </is>
      </c>
      <c r="G2715" s="3" t="inlineStr">
        <is>
          <t>임야</t>
        </is>
      </c>
      <c r="H2715" s="4" t="n">
        <v>39.93</v>
      </c>
      <c r="I2715" s="5" t="n">
        <v>42.6</v>
      </c>
      <c r="J2715" s="3" t="inlineStr">
        <is>
          <t>오송읍</t>
        </is>
      </c>
    </row>
    <row r="2716">
      <c r="A2716" s="3" t="n">
        <v>2023</v>
      </c>
      <c r="B2716" s="4" t="n">
        <v>216000</v>
      </c>
      <c r="C2716" s="4" t="n">
        <v>550.1</v>
      </c>
      <c r="D2716" s="3" t="inlineStr">
        <is>
          <t>오송읍</t>
        </is>
      </c>
      <c r="E2716" s="3" t="inlineStr">
        <is>
          <t>정중리</t>
        </is>
      </c>
      <c r="F2716" s="3" t="inlineStr">
        <is>
          <t>준공업지역</t>
        </is>
      </c>
      <c r="G2716" s="3" t="inlineStr">
        <is>
          <t>대</t>
        </is>
      </c>
      <c r="H2716" s="4" t="n">
        <v>166.40525</v>
      </c>
      <c r="I2716" s="5" t="n">
        <v>1298</v>
      </c>
      <c r="J2716" s="3" t="inlineStr">
        <is>
          <t>오송읍</t>
        </is>
      </c>
    </row>
    <row r="2717">
      <c r="A2717" s="3" t="n">
        <v>2023</v>
      </c>
      <c r="B2717" s="4" t="n">
        <v>200000</v>
      </c>
      <c r="C2717" s="4" t="n">
        <v>584.2</v>
      </c>
      <c r="D2717" s="3" t="inlineStr">
        <is>
          <t>오송읍</t>
        </is>
      </c>
      <c r="E2717" s="3" t="inlineStr">
        <is>
          <t>정중리</t>
        </is>
      </c>
      <c r="F2717" s="3" t="inlineStr">
        <is>
          <t>준공업지역</t>
        </is>
      </c>
      <c r="G2717" s="3" t="inlineStr">
        <is>
          <t>대</t>
        </is>
      </c>
      <c r="H2717" s="4" t="n">
        <v>176.7205</v>
      </c>
      <c r="I2717" s="5" t="n">
        <v>1131.7</v>
      </c>
      <c r="J2717" s="3" t="inlineStr">
        <is>
          <t>오송읍</t>
        </is>
      </c>
    </row>
    <row r="2718">
      <c r="A2718" s="3" t="n">
        <v>2023</v>
      </c>
      <c r="B2718" s="4" t="n">
        <v>250000</v>
      </c>
      <c r="C2718" s="4" t="n">
        <v>558.8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준공업지역</t>
        </is>
      </c>
      <c r="G2718" s="3" t="inlineStr">
        <is>
          <t>대</t>
        </is>
      </c>
      <c r="H2718" s="4" t="n">
        <v>169.037</v>
      </c>
      <c r="I2718" s="5" t="n">
        <v>1479</v>
      </c>
      <c r="J2718" s="3" t="inlineStr">
        <is>
          <t>오송읍</t>
        </is>
      </c>
    </row>
    <row r="2719">
      <c r="A2719" s="3" t="n">
        <v>2023</v>
      </c>
      <c r="B2719" s="4" t="n">
        <v>30000</v>
      </c>
      <c r="C2719" s="4" t="n">
        <v>1672</v>
      </c>
      <c r="D2719" s="3" t="inlineStr">
        <is>
          <t>오송읍</t>
        </is>
      </c>
      <c r="E2719" s="3" t="inlineStr">
        <is>
          <t>정중리</t>
        </is>
      </c>
      <c r="F2719" s="3" t="inlineStr">
        <is>
          <t>생산관리지역</t>
        </is>
      </c>
      <c r="G2719" s="3" t="inlineStr">
        <is>
          <t>전</t>
        </is>
      </c>
      <c r="H2719" s="4" t="n">
        <v>505.78</v>
      </c>
      <c r="I2719" s="5" t="n">
        <v>59.3</v>
      </c>
      <c r="J2719" s="3" t="inlineStr">
        <is>
          <t>오송읍</t>
        </is>
      </c>
    </row>
    <row r="2720">
      <c r="A2720" s="3" t="n">
        <v>2023</v>
      </c>
      <c r="B2720" s="4" t="n">
        <v>34300</v>
      </c>
      <c r="C2720" s="4" t="n">
        <v>240.3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72.69074999999999</v>
      </c>
      <c r="I2720" s="5" t="n">
        <v>471.9</v>
      </c>
      <c r="J2720" s="3" t="inlineStr">
        <is>
          <t>오송읍</t>
        </is>
      </c>
    </row>
    <row r="2721">
      <c r="A2721" s="3" t="n">
        <v>2023</v>
      </c>
      <c r="B2721" s="4" t="n">
        <v>153763</v>
      </c>
      <c r="C2721" s="4" t="n">
        <v>6705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2028.2625</v>
      </c>
      <c r="I2721" s="5" t="n">
        <v>75.8</v>
      </c>
      <c r="J2721" s="3" t="inlineStr">
        <is>
          <t>강내면</t>
        </is>
      </c>
    </row>
    <row r="2722">
      <c r="A2722" s="3" t="n">
        <v>2023</v>
      </c>
      <c r="B2722" s="4" t="n">
        <v>7160</v>
      </c>
      <c r="C2722" s="4" t="n">
        <v>146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44.165</v>
      </c>
      <c r="I2722" s="5" t="n">
        <v>162.1</v>
      </c>
      <c r="J2722" s="3" t="inlineStr">
        <is>
          <t>오송읍</t>
        </is>
      </c>
    </row>
    <row r="2723">
      <c r="A2723" s="3" t="n">
        <v>2023</v>
      </c>
      <c r="B2723" s="4" t="n">
        <v>111000</v>
      </c>
      <c r="C2723" s="4" t="n">
        <v>1468</v>
      </c>
      <c r="D2723" s="3" t="inlineStr">
        <is>
          <t>강내면</t>
        </is>
      </c>
      <c r="E2723" s="3" t="inlineStr">
        <is>
          <t>월탄리</t>
        </is>
      </c>
      <c r="F2723" s="3" t="inlineStr">
        <is>
          <t>계획관리지역</t>
        </is>
      </c>
      <c r="G2723" s="3" t="inlineStr">
        <is>
          <t>잡종지</t>
        </is>
      </c>
      <c r="H2723" s="4" t="n">
        <v>444.07</v>
      </c>
      <c r="I2723" s="5" t="n">
        <v>250</v>
      </c>
      <c r="J2723" s="3" t="inlineStr">
        <is>
          <t>강내면</t>
        </is>
      </c>
    </row>
    <row r="2724">
      <c r="A2724" s="3" t="n">
        <v>2023</v>
      </c>
      <c r="B2724" s="4" t="n">
        <v>40000</v>
      </c>
      <c r="C2724" s="4" t="n">
        <v>265.8</v>
      </c>
      <c r="D2724" s="3" t="inlineStr">
        <is>
          <t>오송읍</t>
        </is>
      </c>
      <c r="E2724" s="3" t="inlineStr">
        <is>
          <t>봉산리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80.4045</v>
      </c>
      <c r="I2724" s="5" t="n">
        <v>497.5</v>
      </c>
      <c r="J2724" s="3" t="inlineStr">
        <is>
          <t>오송읍</t>
        </is>
      </c>
    </row>
    <row r="2725">
      <c r="A2725" s="3" t="n">
        <v>2023</v>
      </c>
      <c r="B2725" s="4" t="n">
        <v>16000</v>
      </c>
      <c r="C2725" s="4" t="n">
        <v>1121</v>
      </c>
      <c r="D2725" s="3" t="inlineStr">
        <is>
          <t>강내면</t>
        </is>
      </c>
      <c r="E2725" s="3" t="inlineStr">
        <is>
          <t>탑연리</t>
        </is>
      </c>
      <c r="F2725" s="3" t="inlineStr">
        <is>
          <t>자연녹지지역</t>
        </is>
      </c>
      <c r="G2725" s="3" t="inlineStr">
        <is>
          <t>전</t>
        </is>
      </c>
      <c r="H2725" s="4" t="n">
        <v>339.1025</v>
      </c>
      <c r="I2725" s="5" t="n">
        <v>47.2</v>
      </c>
      <c r="J2725" s="3" t="inlineStr">
        <is>
          <t>강내면</t>
        </is>
      </c>
    </row>
    <row r="2726">
      <c r="A2726" s="3" t="n">
        <v>2023</v>
      </c>
      <c r="B2726" s="4" t="n">
        <v>2000</v>
      </c>
      <c r="C2726" s="4" t="n">
        <v>595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자연녹지지역</t>
        </is>
      </c>
      <c r="G2726" s="3" t="inlineStr">
        <is>
          <t>구거</t>
        </is>
      </c>
      <c r="H2726" s="4" t="n">
        <v>179.9875</v>
      </c>
      <c r="I2726" s="5" t="n">
        <v>11.1</v>
      </c>
      <c r="J2726" s="3" t="inlineStr">
        <is>
          <t>강내면</t>
        </is>
      </c>
    </row>
    <row r="2727">
      <c r="A2727" s="3" t="n">
        <v>2023</v>
      </c>
      <c r="B2727" s="4" t="n">
        <v>20000</v>
      </c>
      <c r="C2727" s="4" t="n">
        <v>1643</v>
      </c>
      <c r="D2727" s="3" t="inlineStr">
        <is>
          <t>오송읍</t>
        </is>
      </c>
      <c r="E2727" s="3" t="inlineStr">
        <is>
          <t>호계리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497.0075</v>
      </c>
      <c r="I2727" s="5" t="n">
        <v>40.2</v>
      </c>
      <c r="J2727" s="3" t="inlineStr">
        <is>
          <t>오송읍</t>
        </is>
      </c>
    </row>
    <row r="2728">
      <c r="A2728" s="3" t="n">
        <v>2023</v>
      </c>
      <c r="B2728" s="4" t="n">
        <v>2300</v>
      </c>
      <c r="C2728" s="4" t="n">
        <v>76</v>
      </c>
      <c r="D2728" s="3" t="inlineStr">
        <is>
          <t>강내면</t>
        </is>
      </c>
      <c r="E2728" s="3" t="inlineStr">
        <is>
          <t>사인리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22.99</v>
      </c>
      <c r="I2728" s="5" t="n">
        <v>100</v>
      </c>
      <c r="J2728" s="3" t="inlineStr">
        <is>
          <t>강내면</t>
        </is>
      </c>
    </row>
    <row r="2729">
      <c r="A2729" s="3" t="n">
        <v>2023</v>
      </c>
      <c r="B2729" s="4" t="n">
        <v>24500</v>
      </c>
      <c r="C2729" s="4" t="n">
        <v>231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전</t>
        </is>
      </c>
      <c r="H2729" s="4" t="n">
        <v>69.8775</v>
      </c>
      <c r="I2729" s="5" t="n">
        <v>350.6</v>
      </c>
      <c r="J2729" s="3" t="inlineStr">
        <is>
          <t>강내면</t>
        </is>
      </c>
    </row>
    <row r="2730">
      <c r="A2730" s="3" t="n">
        <v>2023</v>
      </c>
      <c r="B2730" s="4" t="n">
        <v>1900</v>
      </c>
      <c r="C2730" s="4" t="n">
        <v>17</v>
      </c>
      <c r="D2730" s="3" t="inlineStr">
        <is>
          <t>오송읍</t>
        </is>
      </c>
      <c r="E2730" s="3" t="inlineStr">
        <is>
          <t>궁평리</t>
        </is>
      </c>
      <c r="F2730" s="3" t="inlineStr">
        <is>
          <t>준주거지역</t>
        </is>
      </c>
      <c r="G2730" s="3" t="inlineStr">
        <is>
          <t>답</t>
        </is>
      </c>
      <c r="H2730" s="4" t="n">
        <v>5.1425</v>
      </c>
      <c r="I2730" s="5" t="n">
        <v>369.5</v>
      </c>
      <c r="J2730" s="3" t="inlineStr">
        <is>
          <t>오송읍</t>
        </is>
      </c>
    </row>
    <row r="2731">
      <c r="A2731" s="3" t="n">
        <v>2023</v>
      </c>
      <c r="B2731" s="4" t="n">
        <v>38000</v>
      </c>
      <c r="C2731" s="4" t="n">
        <v>660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농림지역</t>
        </is>
      </c>
      <c r="G2731" s="3" t="inlineStr">
        <is>
          <t>창고용지</t>
        </is>
      </c>
      <c r="H2731" s="4" t="n">
        <v>199.65</v>
      </c>
      <c r="I2731" s="5" t="n">
        <v>190.3</v>
      </c>
      <c r="J2731" s="3" t="inlineStr">
        <is>
          <t>오송읍</t>
        </is>
      </c>
    </row>
    <row r="2732">
      <c r="A2732" s="3" t="n">
        <v>2023</v>
      </c>
      <c r="B2732" s="4" t="n">
        <v>36000</v>
      </c>
      <c r="C2732" s="4" t="n">
        <v>1206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계획관리지역</t>
        </is>
      </c>
      <c r="G2732" s="3" t="inlineStr">
        <is>
          <t>전</t>
        </is>
      </c>
      <c r="H2732" s="4" t="n">
        <v>364.815</v>
      </c>
      <c r="I2732" s="5" t="n">
        <v>98.7</v>
      </c>
      <c r="J2732" s="3" t="inlineStr">
        <is>
          <t>강내면</t>
        </is>
      </c>
    </row>
    <row r="2733">
      <c r="A2733" s="3" t="n">
        <v>2023</v>
      </c>
      <c r="B2733" s="4" t="n">
        <v>6970</v>
      </c>
      <c r="C2733" s="4" t="n">
        <v>142</v>
      </c>
      <c r="D2733" s="3" t="inlineStr">
        <is>
          <t>오송읍</t>
        </is>
      </c>
      <c r="E2733" s="3" t="inlineStr">
        <is>
          <t>연제리</t>
        </is>
      </c>
      <c r="F2733" s="3" t="inlineStr">
        <is>
          <t>계획관리지역</t>
        </is>
      </c>
      <c r="G2733" s="3" t="inlineStr">
        <is>
          <t>답</t>
        </is>
      </c>
      <c r="H2733" s="4" t="n">
        <v>42.955</v>
      </c>
      <c r="I2733" s="5" t="n">
        <v>162.3</v>
      </c>
      <c r="J2733" s="3" t="inlineStr">
        <is>
          <t>오송읍</t>
        </is>
      </c>
    </row>
    <row r="2734">
      <c r="A2734" s="3" t="n">
        <v>2023</v>
      </c>
      <c r="B2734" s="4" t="n">
        <v>38000</v>
      </c>
      <c r="C2734" s="4" t="n">
        <v>660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농림지역</t>
        </is>
      </c>
      <c r="G2734" s="3" t="inlineStr">
        <is>
          <t>창고용지</t>
        </is>
      </c>
      <c r="H2734" s="4" t="n">
        <v>199.65</v>
      </c>
      <c r="I2734" s="5" t="n">
        <v>190.3</v>
      </c>
      <c r="J2734" s="3" t="inlineStr">
        <is>
          <t>오송읍</t>
        </is>
      </c>
    </row>
    <row r="2735">
      <c r="A2735" s="3" t="n">
        <v>2023</v>
      </c>
      <c r="B2735" s="4" t="n">
        <v>38000</v>
      </c>
      <c r="C2735" s="4" t="n">
        <v>660</v>
      </c>
      <c r="D2735" s="3" t="inlineStr">
        <is>
          <t>오송읍</t>
        </is>
      </c>
      <c r="E2735" s="3" t="inlineStr">
        <is>
          <t>궁평리</t>
        </is>
      </c>
      <c r="F2735" s="3" t="inlineStr">
        <is>
          <t>농림지역</t>
        </is>
      </c>
      <c r="G2735" s="3" t="inlineStr">
        <is>
          <t>창고용지</t>
        </is>
      </c>
      <c r="H2735" s="4" t="n">
        <v>199.65</v>
      </c>
      <c r="I2735" s="5" t="n">
        <v>190.3</v>
      </c>
      <c r="J2735" s="3" t="inlineStr">
        <is>
          <t>오송읍</t>
        </is>
      </c>
    </row>
    <row r="2736">
      <c r="A2736" s="3" t="n">
        <v>2023</v>
      </c>
      <c r="B2736" s="4" t="n">
        <v>38000</v>
      </c>
      <c r="C2736" s="4" t="n">
        <v>660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농림지역</t>
        </is>
      </c>
      <c r="G2736" s="3" t="inlineStr">
        <is>
          <t>창고용지</t>
        </is>
      </c>
      <c r="H2736" s="4" t="n">
        <v>199.65</v>
      </c>
      <c r="I2736" s="5" t="n">
        <v>190.3</v>
      </c>
      <c r="J2736" s="3" t="inlineStr">
        <is>
          <t>오송읍</t>
        </is>
      </c>
    </row>
    <row r="2737">
      <c r="A2737" s="3" t="n">
        <v>2023</v>
      </c>
      <c r="B2737" s="4" t="n">
        <v>20000</v>
      </c>
      <c r="C2737" s="4" t="n">
        <v>843</v>
      </c>
      <c r="D2737" s="3" t="inlineStr">
        <is>
          <t>강내면</t>
        </is>
      </c>
      <c r="E2737" s="3" t="inlineStr">
        <is>
          <t>태성리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255.0075</v>
      </c>
      <c r="I2737" s="5" t="n">
        <v>78.40000000000001</v>
      </c>
      <c r="J2737" s="3" t="inlineStr">
        <is>
          <t>강내면</t>
        </is>
      </c>
    </row>
    <row r="2738">
      <c r="A2738" s="3" t="n">
        <v>2023</v>
      </c>
      <c r="B2738" s="4" t="n">
        <v>150000</v>
      </c>
      <c r="C2738" s="4" t="n">
        <v>978.1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주차장</t>
        </is>
      </c>
      <c r="H2738" s="4" t="n">
        <v>295.87525</v>
      </c>
      <c r="I2738" s="5" t="n">
        <v>507</v>
      </c>
      <c r="J2738" s="3" t="inlineStr">
        <is>
          <t>오송읍</t>
        </is>
      </c>
    </row>
    <row r="2739">
      <c r="A2739" s="3" t="n">
        <v>2023</v>
      </c>
      <c r="B2739" s="4" t="n">
        <v>30000</v>
      </c>
      <c r="C2739" s="4" t="n">
        <v>799</v>
      </c>
      <c r="D2739" s="3" t="inlineStr">
        <is>
          <t>강내면</t>
        </is>
      </c>
      <c r="E2739" s="3" t="inlineStr">
        <is>
          <t>태성리</t>
        </is>
      </c>
      <c r="F2739" s="3" t="inlineStr">
        <is>
          <t>계획관리지역</t>
        </is>
      </c>
      <c r="G2739" s="3" t="inlineStr">
        <is>
          <t>공장용지</t>
        </is>
      </c>
      <c r="H2739" s="4" t="n">
        <v>241.6975</v>
      </c>
      <c r="I2739" s="5" t="n">
        <v>124.1</v>
      </c>
      <c r="J2739" s="3" t="inlineStr">
        <is>
          <t>강내면</t>
        </is>
      </c>
    </row>
    <row r="2740">
      <c r="A2740" s="3" t="n">
        <v>2023</v>
      </c>
      <c r="B2740" s="4" t="n">
        <v>220000</v>
      </c>
      <c r="C2740" s="4" t="n">
        <v>654.1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일반상업지역</t>
        </is>
      </c>
      <c r="G2740" s="3" t="inlineStr">
        <is>
          <t>대</t>
        </is>
      </c>
      <c r="H2740" s="4" t="n">
        <v>197.86525</v>
      </c>
      <c r="I2740" s="5" t="n">
        <v>1111.9</v>
      </c>
      <c r="J2740" s="3" t="inlineStr">
        <is>
          <t>오송읍</t>
        </is>
      </c>
    </row>
    <row r="2741">
      <c r="A2741" s="3" t="n">
        <v>2023</v>
      </c>
      <c r="B2741" s="4" t="n">
        <v>1084</v>
      </c>
      <c r="C2741" s="4" t="n">
        <v>13</v>
      </c>
      <c r="D2741" s="3" t="inlineStr">
        <is>
          <t>오송읍</t>
        </is>
      </c>
      <c r="E2741" s="3" t="inlineStr">
        <is>
          <t>오송리</t>
        </is>
      </c>
      <c r="F2741" s="3" t="inlineStr">
        <is>
          <t>제1종일반주거지역</t>
        </is>
      </c>
      <c r="G2741" s="3" t="inlineStr">
        <is>
          <t>답</t>
        </is>
      </c>
      <c r="H2741" s="4" t="n">
        <v>3.9325</v>
      </c>
      <c r="I2741" s="5" t="n">
        <v>275.7</v>
      </c>
      <c r="J2741" s="3" t="inlineStr">
        <is>
          <t>오송읍</t>
        </is>
      </c>
    </row>
    <row r="2742">
      <c r="A2742" s="3" t="n">
        <v>2023</v>
      </c>
      <c r="B2742" s="4" t="n">
        <v>916</v>
      </c>
      <c r="C2742" s="4" t="n">
        <v>11</v>
      </c>
      <c r="D2742" s="3" t="inlineStr">
        <is>
          <t>오송읍</t>
        </is>
      </c>
      <c r="E2742" s="3" t="inlineStr">
        <is>
          <t>오송리</t>
        </is>
      </c>
      <c r="F2742" s="3" t="inlineStr">
        <is>
          <t>제1종일반주거지역</t>
        </is>
      </c>
      <c r="G2742" s="3" t="inlineStr">
        <is>
          <t>답</t>
        </is>
      </c>
      <c r="H2742" s="4" t="n">
        <v>3.3275</v>
      </c>
      <c r="I2742" s="5" t="n">
        <v>275.3</v>
      </c>
      <c r="J2742" s="3" t="inlineStr">
        <is>
          <t>오송읍</t>
        </is>
      </c>
    </row>
    <row r="2743">
      <c r="A2743" s="3" t="n">
        <v>2023</v>
      </c>
      <c r="B2743" s="4" t="n">
        <v>45000</v>
      </c>
      <c r="C2743" s="4" t="n">
        <v>409</v>
      </c>
      <c r="D2743" s="3" t="inlineStr">
        <is>
          <t>오송읍</t>
        </is>
      </c>
      <c r="E2743" s="3" t="inlineStr">
        <is>
          <t>오송리</t>
        </is>
      </c>
      <c r="F2743" s="3" t="inlineStr">
        <is>
          <t>제1종일반주거지역</t>
        </is>
      </c>
      <c r="G2743" s="3" t="inlineStr">
        <is>
          <t>대</t>
        </is>
      </c>
      <c r="H2743" s="4" t="n">
        <v>123.7225</v>
      </c>
      <c r="I2743" s="5" t="n">
        <v>363.7</v>
      </c>
      <c r="J2743" s="3" t="inlineStr">
        <is>
          <t>오송읍</t>
        </is>
      </c>
    </row>
    <row r="2744">
      <c r="A2744" s="3" t="n">
        <v>2023</v>
      </c>
      <c r="B2744" s="4" t="n">
        <v>178266</v>
      </c>
      <c r="C2744" s="4" t="n">
        <v>8241.799999999999</v>
      </c>
      <c r="D2744" s="3" t="inlineStr">
        <is>
          <t>오송읍</t>
        </is>
      </c>
      <c r="E2744" s="3" t="inlineStr">
        <is>
          <t>연제리</t>
        </is>
      </c>
      <c r="F2744" s="3" t="inlineStr">
        <is>
          <t>준공업지역</t>
        </is>
      </c>
      <c r="G2744" s="3" t="inlineStr">
        <is>
          <t>대</t>
        </is>
      </c>
      <c r="H2744" s="4" t="n">
        <v>2493.1445</v>
      </c>
      <c r="I2744" s="5" t="n">
        <v>71.5</v>
      </c>
      <c r="J2744" s="3" t="inlineStr">
        <is>
          <t>오송읍</t>
        </is>
      </c>
    </row>
    <row r="2745">
      <c r="A2745" s="3" t="n">
        <v>2023</v>
      </c>
      <c r="B2745" s="4" t="n">
        <v>13681</v>
      </c>
      <c r="C2745" s="4" t="n">
        <v>483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자연녹지지역</t>
        </is>
      </c>
      <c r="G2745" s="3" t="inlineStr">
        <is>
          <t>전</t>
        </is>
      </c>
      <c r="H2745" s="4" t="n">
        <v>146.1075</v>
      </c>
      <c r="I2745" s="5" t="n">
        <v>93.59999999999999</v>
      </c>
      <c r="J2745" s="3" t="inlineStr">
        <is>
          <t>강내면</t>
        </is>
      </c>
    </row>
    <row r="2746">
      <c r="A2746" s="3" t="n">
        <v>2023</v>
      </c>
      <c r="B2746" s="4" t="n">
        <v>27616</v>
      </c>
      <c r="C2746" s="4" t="n">
        <v>2132</v>
      </c>
      <c r="D2746" s="3" t="inlineStr">
        <is>
          <t>오송읍</t>
        </is>
      </c>
      <c r="E2746" s="3" t="inlineStr">
        <is>
          <t>서평리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644.9299999999999</v>
      </c>
      <c r="I2746" s="5" t="n">
        <v>42.8</v>
      </c>
      <c r="J2746" s="3" t="inlineStr">
        <is>
          <t>오송읍</t>
        </is>
      </c>
    </row>
    <row r="2747">
      <c r="A2747" s="3" t="n">
        <v>2023</v>
      </c>
      <c r="B2747" s="4" t="n">
        <v>34000</v>
      </c>
      <c r="C2747" s="4" t="n">
        <v>267.6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80.949</v>
      </c>
      <c r="I2747" s="5" t="n">
        <v>420</v>
      </c>
      <c r="J2747" s="3" t="inlineStr">
        <is>
          <t>오송읍</t>
        </is>
      </c>
    </row>
    <row r="2748">
      <c r="A2748" s="3" t="n">
        <v>2023</v>
      </c>
      <c r="B2748" s="4" t="n">
        <v>59000</v>
      </c>
      <c r="C2748" s="4" t="n">
        <v>248.6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75.2015</v>
      </c>
      <c r="I2748" s="5" t="n">
        <v>784.6</v>
      </c>
      <c r="J2748" s="3" t="inlineStr">
        <is>
          <t>오송읍</t>
        </is>
      </c>
    </row>
    <row r="2749">
      <c r="A2749" s="3" t="n">
        <v>2023</v>
      </c>
      <c r="B2749" s="4" t="n">
        <v>1000</v>
      </c>
      <c r="C2749" s="4" t="n">
        <v>149</v>
      </c>
      <c r="D2749" s="3" t="inlineStr">
        <is>
          <t>강내면</t>
        </is>
      </c>
      <c r="E2749" s="3" t="inlineStr">
        <is>
          <t>황탄리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45.0725</v>
      </c>
      <c r="I2749" s="5" t="n">
        <v>22.2</v>
      </c>
      <c r="J2749" s="3" t="inlineStr">
        <is>
          <t>강내면</t>
        </is>
      </c>
    </row>
    <row r="2750">
      <c r="A2750" s="3" t="n">
        <v>2023</v>
      </c>
      <c r="B2750" s="4" t="n">
        <v>1200</v>
      </c>
      <c r="C2750" s="4" t="n">
        <v>191</v>
      </c>
      <c r="D2750" s="3" t="inlineStr">
        <is>
          <t>강내면</t>
        </is>
      </c>
      <c r="E2750" s="3" t="inlineStr">
        <is>
          <t>황탄리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57.7775</v>
      </c>
      <c r="I2750" s="5" t="n">
        <v>20.8</v>
      </c>
      <c r="J2750" s="3" t="inlineStr">
        <is>
          <t>강내면</t>
        </is>
      </c>
    </row>
    <row r="2751">
      <c r="A2751" s="3" t="n">
        <v>2023</v>
      </c>
      <c r="B2751" s="4" t="n">
        <v>3950</v>
      </c>
      <c r="C2751" s="4" t="n">
        <v>162</v>
      </c>
      <c r="D2751" s="3" t="inlineStr">
        <is>
          <t>강내면</t>
        </is>
      </c>
      <c r="E2751" s="3" t="inlineStr">
        <is>
          <t>저산리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49.005</v>
      </c>
      <c r="I2751" s="5" t="n">
        <v>80.59999999999999</v>
      </c>
      <c r="J2751" s="3" t="inlineStr">
        <is>
          <t>강내면</t>
        </is>
      </c>
    </row>
    <row r="2752">
      <c r="A2752" s="3" t="n">
        <v>2024</v>
      </c>
      <c r="B2752" s="4" t="n">
        <v>206000</v>
      </c>
      <c r="C2752" s="4" t="n">
        <v>3220</v>
      </c>
      <c r="D2752" s="3" t="inlineStr">
        <is>
          <t>오송읍</t>
        </is>
      </c>
      <c r="E2752" s="3" t="inlineStr">
        <is>
          <t>궁평리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974.05</v>
      </c>
      <c r="I2752" s="5" t="n">
        <v>211.5</v>
      </c>
      <c r="J2752" s="3" t="inlineStr">
        <is>
          <t>오송읍</t>
        </is>
      </c>
    </row>
    <row r="2753">
      <c r="A2753" s="3" t="n">
        <v>2024</v>
      </c>
      <c r="B2753" s="4" t="n">
        <v>2000</v>
      </c>
      <c r="C2753" s="4" t="n">
        <v>24</v>
      </c>
      <c r="D2753" s="3" t="inlineStr">
        <is>
          <t>오송읍</t>
        </is>
      </c>
      <c r="E2753" s="3" t="inlineStr">
        <is>
          <t>오송리</t>
        </is>
      </c>
      <c r="F2753" s="3" t="inlineStr">
        <is>
          <t>농림지역</t>
        </is>
      </c>
      <c r="G2753" s="3" t="inlineStr">
        <is>
          <t>제방</t>
        </is>
      </c>
      <c r="H2753" s="4" t="n">
        <v>7.26</v>
      </c>
      <c r="I2753" s="5" t="n">
        <v>275.5</v>
      </c>
      <c r="J2753" s="3" t="inlineStr">
        <is>
          <t>오송읍</t>
        </is>
      </c>
    </row>
    <row r="2754">
      <c r="A2754" s="3" t="n">
        <v>2024</v>
      </c>
      <c r="B2754" s="4" t="n">
        <v>15000</v>
      </c>
      <c r="C2754" s="4" t="n">
        <v>581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대</t>
        </is>
      </c>
      <c r="H2754" s="4" t="n">
        <v>175.7525</v>
      </c>
      <c r="I2754" s="5" t="n">
        <v>85.3</v>
      </c>
      <c r="J2754" s="3" t="inlineStr">
        <is>
          <t>강내면</t>
        </is>
      </c>
    </row>
    <row r="2755">
      <c r="A2755" s="3" t="n">
        <v>2024</v>
      </c>
      <c r="B2755" s="4" t="n">
        <v>4400</v>
      </c>
      <c r="C2755" s="4" t="n">
        <v>11277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보전녹지지역</t>
        </is>
      </c>
      <c r="G2755" s="3" t="inlineStr">
        <is>
          <t>임야</t>
        </is>
      </c>
      <c r="H2755" s="4" t="n">
        <v>3411.2925</v>
      </c>
      <c r="I2755" s="5" t="n">
        <v>1.3</v>
      </c>
      <c r="J2755" s="3" t="inlineStr">
        <is>
          <t>강내면</t>
        </is>
      </c>
    </row>
    <row r="2756">
      <c r="A2756" s="3" t="n">
        <v>2024</v>
      </c>
      <c r="B2756" s="4" t="n">
        <v>2178</v>
      </c>
      <c r="C2756" s="4" t="n">
        <v>18</v>
      </c>
      <c r="D2756" s="3" t="inlineStr">
        <is>
          <t>강내면</t>
        </is>
      </c>
      <c r="E2756" s="3" t="inlineStr">
        <is>
          <t>월곡리</t>
        </is>
      </c>
      <c r="F2756" s="3" t="inlineStr">
        <is>
          <t>제2종일반주거지역</t>
        </is>
      </c>
      <c r="G2756" s="3" t="inlineStr">
        <is>
          <t>전</t>
        </is>
      </c>
      <c r="H2756" s="4" t="n">
        <v>5.445</v>
      </c>
      <c r="I2756" s="5" t="n">
        <v>400</v>
      </c>
      <c r="J2756" s="3" t="inlineStr">
        <is>
          <t>강내면</t>
        </is>
      </c>
    </row>
    <row r="2757">
      <c r="A2757" s="3" t="n">
        <v>2024</v>
      </c>
      <c r="B2757" s="4" t="n">
        <v>20000</v>
      </c>
      <c r="C2757" s="4" t="n">
        <v>1488</v>
      </c>
      <c r="D2757" s="3" t="inlineStr">
        <is>
          <t>오송읍</t>
        </is>
      </c>
      <c r="E2757" s="3" t="inlineStr">
        <is>
          <t>서평리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450.12</v>
      </c>
      <c r="I2757" s="5" t="n">
        <v>44.4</v>
      </c>
      <c r="J2757" s="3" t="inlineStr">
        <is>
          <t>오송읍</t>
        </is>
      </c>
    </row>
    <row r="2758">
      <c r="A2758" s="3" t="n">
        <v>2024</v>
      </c>
      <c r="B2758" s="4" t="n">
        <v>12500</v>
      </c>
      <c r="C2758" s="4" t="n">
        <v>902</v>
      </c>
      <c r="D2758" s="3" t="inlineStr">
        <is>
          <t>강내면</t>
        </is>
      </c>
      <c r="E2758" s="3" t="inlineStr">
        <is>
          <t>사인리</t>
        </is>
      </c>
      <c r="F2758" s="3" t="inlineStr">
        <is>
          <t>자연녹지지역</t>
        </is>
      </c>
      <c r="G2758" s="3" t="inlineStr">
        <is>
          <t>전</t>
        </is>
      </c>
      <c r="H2758" s="4" t="n">
        <v>272.855</v>
      </c>
      <c r="I2758" s="5" t="n">
        <v>45.8</v>
      </c>
      <c r="J2758" s="3" t="inlineStr">
        <is>
          <t>강내면</t>
        </is>
      </c>
    </row>
    <row r="2759">
      <c r="A2759" s="3" t="n">
        <v>2024</v>
      </c>
      <c r="B2759" s="4" t="n">
        <v>60000</v>
      </c>
      <c r="C2759" s="4" t="n">
        <v>234.4</v>
      </c>
      <c r="D2759" s="3" t="inlineStr">
        <is>
          <t>오송읍</t>
        </is>
      </c>
      <c r="E2759" s="3" t="inlineStr">
        <is>
          <t>봉산리</t>
        </is>
      </c>
      <c r="F2759" s="3" t="inlineStr">
        <is>
          <t>제1종일반주거지역</t>
        </is>
      </c>
      <c r="G2759" s="3" t="inlineStr">
        <is>
          <t>대</t>
        </is>
      </c>
      <c r="H2759" s="4" t="n">
        <v>70.90600000000001</v>
      </c>
      <c r="I2759" s="5" t="n">
        <v>846.2</v>
      </c>
      <c r="J2759" s="3" t="inlineStr">
        <is>
          <t>오송읍</t>
        </is>
      </c>
    </row>
    <row r="2760">
      <c r="A2760" s="3" t="n">
        <v>2024</v>
      </c>
      <c r="B2760" s="4" t="n">
        <v>7640</v>
      </c>
      <c r="C2760" s="4" t="n">
        <v>463</v>
      </c>
      <c r="D2760" s="3" t="inlineStr">
        <is>
          <t>오송읍</t>
        </is>
      </c>
      <c r="E2760" s="3" t="inlineStr">
        <is>
          <t>동평리</t>
        </is>
      </c>
      <c r="F2760" s="3" t="inlineStr">
        <is>
          <t>농림지역</t>
        </is>
      </c>
      <c r="G2760" s="3" t="inlineStr">
        <is>
          <t>전</t>
        </is>
      </c>
      <c r="H2760" s="4" t="n">
        <v>140.0575</v>
      </c>
      <c r="I2760" s="5" t="n">
        <v>54.5</v>
      </c>
      <c r="J2760" s="3" t="inlineStr">
        <is>
          <t>오송읍</t>
        </is>
      </c>
    </row>
    <row r="2761">
      <c r="A2761" s="3" t="n">
        <v>2024</v>
      </c>
      <c r="B2761" s="4" t="n">
        <v>2624</v>
      </c>
      <c r="C2761" s="4" t="n">
        <v>159</v>
      </c>
      <c r="D2761" s="3" t="inlineStr">
        <is>
          <t>오송읍</t>
        </is>
      </c>
      <c r="E2761" s="3" t="inlineStr">
        <is>
          <t>동평리</t>
        </is>
      </c>
      <c r="F2761" s="3" t="inlineStr">
        <is>
          <t>농림지역</t>
        </is>
      </c>
      <c r="G2761" s="3" t="inlineStr">
        <is>
          <t>전</t>
        </is>
      </c>
      <c r="H2761" s="4" t="n">
        <v>48.0975</v>
      </c>
      <c r="I2761" s="5" t="n">
        <v>54.6</v>
      </c>
      <c r="J2761" s="3" t="inlineStr">
        <is>
          <t>오송읍</t>
        </is>
      </c>
    </row>
    <row r="2762">
      <c r="A2762" s="3" t="n">
        <v>2024</v>
      </c>
      <c r="B2762" s="4" t="n">
        <v>7804</v>
      </c>
      <c r="C2762" s="4" t="n">
        <v>737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생산녹지지역</t>
        </is>
      </c>
      <c r="G2762" s="3" t="inlineStr">
        <is>
          <t>답</t>
        </is>
      </c>
      <c r="H2762" s="4" t="n">
        <v>222.9425</v>
      </c>
      <c r="I2762" s="5" t="n">
        <v>35</v>
      </c>
      <c r="J2762" s="3" t="inlineStr">
        <is>
          <t>강내면</t>
        </is>
      </c>
    </row>
    <row r="2763">
      <c r="A2763" s="3" t="n">
        <v>2024</v>
      </c>
      <c r="B2763" s="4" t="n">
        <v>3674</v>
      </c>
      <c r="C2763" s="4" t="n">
        <v>347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104.9675</v>
      </c>
      <c r="I2763" s="5" t="n">
        <v>35</v>
      </c>
      <c r="J2763" s="3" t="inlineStr">
        <is>
          <t>강내면</t>
        </is>
      </c>
    </row>
    <row r="2764">
      <c r="A2764" s="3" t="n">
        <v>2024</v>
      </c>
      <c r="B2764" s="4" t="n">
        <v>18762</v>
      </c>
      <c r="C2764" s="4" t="n">
        <v>1772</v>
      </c>
      <c r="D2764" s="3" t="inlineStr">
        <is>
          <t>강내면</t>
        </is>
      </c>
      <c r="E2764" s="3" t="inlineStr">
        <is>
          <t>석화리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536.03</v>
      </c>
      <c r="I2764" s="5" t="n">
        <v>35</v>
      </c>
      <c r="J2764" s="3" t="inlineStr">
        <is>
          <t>강내면</t>
        </is>
      </c>
    </row>
    <row r="2765">
      <c r="A2765" s="3" t="n">
        <v>2024</v>
      </c>
      <c r="B2765" s="4" t="n">
        <v>2000</v>
      </c>
      <c r="C2765" s="4" t="n">
        <v>133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농림지역</t>
        </is>
      </c>
      <c r="G2765" s="3" t="inlineStr">
        <is>
          <t>답</t>
        </is>
      </c>
      <c r="H2765" s="4" t="n">
        <v>40.2325</v>
      </c>
      <c r="I2765" s="5" t="n">
        <v>49.7</v>
      </c>
      <c r="J2765" s="3" t="inlineStr">
        <is>
          <t>강내면</t>
        </is>
      </c>
    </row>
    <row r="2766">
      <c r="A2766" s="3" t="n">
        <v>2024</v>
      </c>
      <c r="B2766" s="4" t="n">
        <v>36200</v>
      </c>
      <c r="C2766" s="4" t="n">
        <v>517</v>
      </c>
      <c r="D2766" s="3" t="inlineStr">
        <is>
          <t>오송읍</t>
        </is>
      </c>
      <c r="E2766" s="3" t="inlineStr">
        <is>
          <t>궁평리</t>
        </is>
      </c>
      <c r="F2766" s="3" t="inlineStr">
        <is>
          <t>일반상업지역</t>
        </is>
      </c>
      <c r="G2766" s="3" t="inlineStr">
        <is>
          <t>대</t>
        </is>
      </c>
      <c r="H2766" s="4" t="n">
        <v>156.3925</v>
      </c>
      <c r="I2766" s="5" t="n">
        <v>231.5</v>
      </c>
      <c r="J2766" s="3" t="inlineStr">
        <is>
          <t>오송읍</t>
        </is>
      </c>
    </row>
    <row r="2767">
      <c r="A2767" s="3" t="n">
        <v>2024</v>
      </c>
      <c r="B2767" s="4" t="n">
        <v>50000</v>
      </c>
      <c r="C2767" s="4" t="n">
        <v>3509</v>
      </c>
      <c r="D2767" s="3" t="inlineStr">
        <is>
          <t>오송읍</t>
        </is>
      </c>
      <c r="E2767" s="3" t="inlineStr">
        <is>
          <t>상정리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1061.4725</v>
      </c>
      <c r="I2767" s="5" t="n">
        <v>47.1</v>
      </c>
      <c r="J2767" s="3" t="inlineStr">
        <is>
          <t>오송읍</t>
        </is>
      </c>
    </row>
    <row r="2768">
      <c r="A2768" s="3" t="n">
        <v>2025</v>
      </c>
      <c r="B2768" s="4" t="n">
        <v>1570</v>
      </c>
      <c r="C2768" s="4" t="n">
        <v>103</v>
      </c>
      <c r="D2768" s="3" t="inlineStr">
        <is>
          <t>강내면</t>
        </is>
      </c>
      <c r="E2768" s="3" t="inlineStr">
        <is>
          <t>탑연리</t>
        </is>
      </c>
      <c r="F2768" s="3" t="inlineStr">
        <is>
          <t>자연녹지지역</t>
        </is>
      </c>
      <c r="G2768" s="3" t="inlineStr">
        <is>
          <t>답</t>
        </is>
      </c>
      <c r="H2768" s="4" t="n">
        <v>31.1575</v>
      </c>
      <c r="I2768" s="5" t="n">
        <v>50.4</v>
      </c>
      <c r="J2768" s="3" t="inlineStr">
        <is>
          <t>강내면</t>
        </is>
      </c>
    </row>
    <row r="2769">
      <c r="A2769" s="3" t="n">
        <v>2025</v>
      </c>
      <c r="B2769" s="4" t="n">
        <v>45600</v>
      </c>
      <c r="C2769" s="4" t="n">
        <v>3353</v>
      </c>
      <c r="D2769" s="3" t="inlineStr">
        <is>
          <t>강내면</t>
        </is>
      </c>
      <c r="E2769" s="3" t="inlineStr">
        <is>
          <t>월곡리</t>
        </is>
      </c>
      <c r="F2769" s="3" t="inlineStr">
        <is>
          <t>자연녹지지역</t>
        </is>
      </c>
      <c r="G2769" s="3" t="inlineStr">
        <is>
          <t>답</t>
        </is>
      </c>
      <c r="H2769" s="4" t="n">
        <v>1014.2825</v>
      </c>
      <c r="I2769" s="5" t="n">
        <v>45</v>
      </c>
      <c r="J2769" s="3" t="inlineStr">
        <is>
          <t>강내면</t>
        </is>
      </c>
    </row>
    <row r="2770">
      <c r="A2770" s="3" t="n">
        <v>2025</v>
      </c>
      <c r="B2770" s="4" t="n">
        <v>21500</v>
      </c>
      <c r="C2770" s="4" t="n">
        <v>1884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자연녹지지역</t>
        </is>
      </c>
      <c r="G2770" s="3" t="inlineStr">
        <is>
          <t>답</t>
        </is>
      </c>
      <c r="H2770" s="4" t="n">
        <v>569.91</v>
      </c>
      <c r="I2770" s="5" t="n">
        <v>37.7</v>
      </c>
      <c r="J2770" s="3" t="inlineStr">
        <is>
          <t>강내면</t>
        </is>
      </c>
    </row>
    <row r="2771">
      <c r="A2771" s="3" t="n">
        <v>2025</v>
      </c>
      <c r="B2771" s="4" t="n">
        <v>76</v>
      </c>
      <c r="C2771" s="4" t="n">
        <v>7</v>
      </c>
      <c r="D2771" s="3" t="inlineStr">
        <is>
          <t>강내면</t>
        </is>
      </c>
      <c r="E2771" s="3" t="inlineStr">
        <is>
          <t>학천리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2.1175</v>
      </c>
      <c r="I2771" s="5" t="n">
        <v>35.9</v>
      </c>
      <c r="J2771" s="3" t="inlineStr">
        <is>
          <t>강내면</t>
        </is>
      </c>
    </row>
    <row r="2772">
      <c r="A2772" s="3" t="n">
        <v>2025</v>
      </c>
      <c r="B2772" s="4" t="n">
        <v>700</v>
      </c>
      <c r="C2772" s="4" t="n">
        <v>26</v>
      </c>
      <c r="D2772" s="3" t="inlineStr">
        <is>
          <t>오송읍</t>
        </is>
      </c>
      <c r="E2772" s="3" t="inlineStr">
        <is>
          <t>공북리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7.865</v>
      </c>
      <c r="I2772" s="5" t="n">
        <v>89</v>
      </c>
      <c r="J2772" s="3" t="inlineStr">
        <is>
          <t>오송읍</t>
        </is>
      </c>
    </row>
    <row r="2773">
      <c r="A2773" s="3" t="n">
        <v>2025</v>
      </c>
      <c r="B2773" s="4" t="n">
        <v>18000</v>
      </c>
      <c r="C2773" s="4" t="n">
        <v>833</v>
      </c>
      <c r="D2773" s="3" t="inlineStr">
        <is>
          <t>강내면</t>
        </is>
      </c>
      <c r="E2773" s="3" t="inlineStr">
        <is>
          <t>태성리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251.9825</v>
      </c>
      <c r="I2773" s="5" t="n">
        <v>71.40000000000001</v>
      </c>
      <c r="J2773" s="3" t="inlineStr">
        <is>
          <t>강내면</t>
        </is>
      </c>
    </row>
    <row r="2774">
      <c r="A2774" s="3" t="n">
        <v>2025</v>
      </c>
      <c r="B2774" s="4" t="n">
        <v>7000</v>
      </c>
      <c r="C2774" s="4" t="n">
        <v>221</v>
      </c>
      <c r="D2774" s="3" t="inlineStr">
        <is>
          <t>강내면</t>
        </is>
      </c>
      <c r="E2774" s="3" t="inlineStr">
        <is>
          <t>사곡리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66.85249999999999</v>
      </c>
      <c r="I2774" s="5" t="n">
        <v>104.7</v>
      </c>
      <c r="J2774" s="3" t="inlineStr">
        <is>
          <t>강내면</t>
        </is>
      </c>
    </row>
    <row r="2775">
      <c r="A2775" s="3" t="n">
        <v>2025</v>
      </c>
      <c r="B2775" s="4" t="n">
        <v>65000</v>
      </c>
      <c r="C2775" s="4" t="n">
        <v>3412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1032.13</v>
      </c>
      <c r="I2775" s="5" t="n">
        <v>63</v>
      </c>
      <c r="J2775" s="3" t="inlineStr">
        <is>
          <t>오송읍</t>
        </is>
      </c>
    </row>
    <row r="2776">
      <c r="A2776" s="3" t="n">
        <v>2025</v>
      </c>
      <c r="B2776" s="4" t="n">
        <v>33700</v>
      </c>
      <c r="C2776" s="4" t="n">
        <v>7339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2220.0475</v>
      </c>
      <c r="I2776" s="5" t="n">
        <v>15.2</v>
      </c>
      <c r="J2776" s="3" t="inlineStr">
        <is>
          <t>오송읍</t>
        </is>
      </c>
    </row>
    <row r="2777">
      <c r="A2777" s="3" t="n">
        <v>2025</v>
      </c>
      <c r="B2777" s="4" t="n">
        <v>774</v>
      </c>
      <c r="C2777" s="4" t="n">
        <v>36</v>
      </c>
      <c r="D2777" s="3" t="inlineStr">
        <is>
          <t>강내면</t>
        </is>
      </c>
      <c r="E2777" s="3" t="inlineStr">
        <is>
          <t>황탄리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10.89</v>
      </c>
      <c r="I2777" s="5" t="n">
        <v>71.09999999999999</v>
      </c>
      <c r="J2777" s="3" t="inlineStr">
        <is>
          <t>강내면</t>
        </is>
      </c>
    </row>
    <row r="2778">
      <c r="A2778" s="3" t="n">
        <v>2025</v>
      </c>
      <c r="B2778" s="4" t="n">
        <v>36742</v>
      </c>
      <c r="C2778" s="4" t="n">
        <v>1514</v>
      </c>
      <c r="D2778" s="3" t="inlineStr">
        <is>
          <t>강내면</t>
        </is>
      </c>
      <c r="E2778" s="3" t="inlineStr">
        <is>
          <t>황탄리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457.985</v>
      </c>
      <c r="I2778" s="5" t="n">
        <v>80.2</v>
      </c>
      <c r="J2778" s="3" t="inlineStr">
        <is>
          <t>강내면</t>
        </is>
      </c>
    </row>
    <row r="2779">
      <c r="A2779" s="3" t="n">
        <v>2025</v>
      </c>
      <c r="B2779" s="4" t="n">
        <v>6164</v>
      </c>
      <c r="C2779" s="4" t="n">
        <v>254</v>
      </c>
      <c r="D2779" s="3" t="inlineStr">
        <is>
          <t>강내면</t>
        </is>
      </c>
      <c r="E2779" s="3" t="inlineStr">
        <is>
          <t>황탄리</t>
        </is>
      </c>
      <c r="F2779" s="3" t="inlineStr">
        <is>
          <t>농림지역</t>
        </is>
      </c>
      <c r="G2779" s="3" t="inlineStr">
        <is>
          <t>전</t>
        </is>
      </c>
      <c r="H2779" s="4" t="n">
        <v>76.83499999999999</v>
      </c>
      <c r="I2779" s="5" t="n">
        <v>80.2</v>
      </c>
      <c r="J2779" s="3" t="inlineStr">
        <is>
          <t>강내면</t>
        </is>
      </c>
    </row>
    <row r="2780">
      <c r="A2780" s="3" t="n">
        <v>2023</v>
      </c>
      <c r="B2780" s="4" t="n">
        <v>1500</v>
      </c>
      <c r="C2780" s="4" t="n">
        <v>33</v>
      </c>
      <c r="D2780" s="3" t="inlineStr">
        <is>
          <t>오송읍</t>
        </is>
      </c>
      <c r="E2780" s="3" t="inlineStr">
        <is>
          <t>동평리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9.9825</v>
      </c>
      <c r="I2780" s="5" t="n">
        <v>150.3</v>
      </c>
      <c r="J2780" s="3" t="inlineStr">
        <is>
          <t>오송읍</t>
        </is>
      </c>
    </row>
    <row r="2781">
      <c r="A2781" s="3" t="n">
        <v>2023</v>
      </c>
      <c r="B2781" s="4" t="n">
        <v>3367</v>
      </c>
      <c r="C2781" s="4" t="n">
        <v>44</v>
      </c>
      <c r="D2781" s="3" t="inlineStr">
        <is>
          <t>강내면</t>
        </is>
      </c>
      <c r="E2781" s="3" t="inlineStr">
        <is>
          <t>월곡리</t>
        </is>
      </c>
      <c r="F2781" s="3" t="inlineStr">
        <is>
          <t>제2종일반주거지역</t>
        </is>
      </c>
      <c r="G2781" s="3" t="inlineStr">
        <is>
          <t>답</t>
        </is>
      </c>
      <c r="H2781" s="4" t="n">
        <v>13.31</v>
      </c>
      <c r="I2781" s="5" t="n">
        <v>253</v>
      </c>
      <c r="J2781" s="3" t="inlineStr">
        <is>
          <t>강내면</t>
        </is>
      </c>
    </row>
    <row r="2782">
      <c r="A2782" s="3" t="n">
        <v>2024</v>
      </c>
      <c r="B2782" s="4" t="n">
        <v>980</v>
      </c>
      <c r="C2782" s="4" t="n">
        <v>46</v>
      </c>
      <c r="D2782" s="3" t="inlineStr">
        <is>
          <t>강내면</t>
        </is>
      </c>
      <c r="E2782" s="3" t="inlineStr">
        <is>
          <t>연정리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13.915</v>
      </c>
      <c r="I2782" s="5" t="n">
        <v>70.40000000000001</v>
      </c>
      <c r="J2782" s="3" t="inlineStr">
        <is>
          <t>강내면</t>
        </is>
      </c>
    </row>
    <row r="2783">
      <c r="A2783" s="3" t="n">
        <v>2024</v>
      </c>
      <c r="B2783" s="4" t="n">
        <v>42121</v>
      </c>
      <c r="C2783" s="4" t="n">
        <v>2162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654.005</v>
      </c>
      <c r="I2783" s="5" t="n">
        <v>64.40000000000001</v>
      </c>
      <c r="J2783" s="3" t="inlineStr">
        <is>
          <t>오송읍</t>
        </is>
      </c>
    </row>
    <row r="2784">
      <c r="A2784" s="3" t="n">
        <v>2024</v>
      </c>
      <c r="B2784" s="4" t="n">
        <v>88879</v>
      </c>
      <c r="C2784" s="4" t="n">
        <v>4562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1380.005</v>
      </c>
      <c r="I2784" s="5" t="n">
        <v>64.40000000000001</v>
      </c>
      <c r="J2784" s="3" t="inlineStr">
        <is>
          <t>오송읍</t>
        </is>
      </c>
    </row>
    <row r="2785">
      <c r="A2785" s="3" t="n">
        <v>2024</v>
      </c>
      <c r="B2785" s="4" t="n">
        <v>7900</v>
      </c>
      <c r="C2785" s="4" t="n">
        <v>375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113.4375</v>
      </c>
      <c r="I2785" s="5" t="n">
        <v>69.59999999999999</v>
      </c>
      <c r="J2785" s="3" t="inlineStr">
        <is>
          <t>강내면</t>
        </is>
      </c>
    </row>
    <row r="2786">
      <c r="A2786" s="3" t="n">
        <v>2024</v>
      </c>
      <c r="B2786" s="4" t="n">
        <v>25000</v>
      </c>
      <c r="C2786" s="4" t="n">
        <v>241.4</v>
      </c>
      <c r="D2786" s="3" t="inlineStr">
        <is>
          <t>오송읍</t>
        </is>
      </c>
      <c r="E2786" s="3" t="inlineStr">
        <is>
          <t>봉산리</t>
        </is>
      </c>
      <c r="F2786" s="3" t="inlineStr">
        <is>
          <t>제1종일반주거지역</t>
        </is>
      </c>
      <c r="G2786" s="3" t="inlineStr">
        <is>
          <t>대</t>
        </is>
      </c>
      <c r="H2786" s="4" t="n">
        <v>73.0235</v>
      </c>
      <c r="I2786" s="5" t="n">
        <v>342.4</v>
      </c>
      <c r="J2786" s="3" t="inlineStr">
        <is>
          <t>오송읍</t>
        </is>
      </c>
    </row>
    <row r="2787">
      <c r="A2787" s="3" t="n">
        <v>2024</v>
      </c>
      <c r="B2787" s="4" t="n">
        <v>2443</v>
      </c>
      <c r="C2787" s="4" t="n">
        <v>112</v>
      </c>
      <c r="D2787" s="3" t="inlineStr">
        <is>
          <t>오송읍</t>
        </is>
      </c>
      <c r="E2787" s="3" t="inlineStr">
        <is>
          <t>상봉리</t>
        </is>
      </c>
      <c r="F2787" s="3" t="inlineStr">
        <is>
          <t>생산관리지역</t>
        </is>
      </c>
      <c r="G2787" s="3" t="inlineStr">
        <is>
          <t>임야</t>
        </is>
      </c>
      <c r="H2787" s="4" t="n">
        <v>33.88</v>
      </c>
      <c r="I2787" s="5" t="n">
        <v>72.09999999999999</v>
      </c>
      <c r="J2787" s="3" t="inlineStr">
        <is>
          <t>오송읍</t>
        </is>
      </c>
    </row>
    <row r="2788">
      <c r="A2788" s="3" t="n">
        <v>2024</v>
      </c>
      <c r="B2788" s="4" t="n">
        <v>50489</v>
      </c>
      <c r="C2788" s="4" t="n">
        <v>2314</v>
      </c>
      <c r="D2788" s="3" t="inlineStr">
        <is>
          <t>오송읍</t>
        </is>
      </c>
      <c r="E2788" s="3" t="inlineStr">
        <is>
          <t>상봉리</t>
        </is>
      </c>
      <c r="F2788" s="3" t="inlineStr">
        <is>
          <t>생산관리지역</t>
        </is>
      </c>
      <c r="G2788" s="3" t="inlineStr">
        <is>
          <t>전</t>
        </is>
      </c>
      <c r="H2788" s="4" t="n">
        <v>699.985</v>
      </c>
      <c r="I2788" s="5" t="n">
        <v>72.09999999999999</v>
      </c>
      <c r="J2788" s="3" t="inlineStr">
        <is>
          <t>오송읍</t>
        </is>
      </c>
    </row>
    <row r="2789">
      <c r="A2789" s="3" t="n">
        <v>2024</v>
      </c>
      <c r="B2789" s="4" t="n">
        <v>20291</v>
      </c>
      <c r="C2789" s="4" t="n">
        <v>559</v>
      </c>
      <c r="D2789" s="3" t="inlineStr">
        <is>
          <t>강내면</t>
        </is>
      </c>
      <c r="E2789" s="3" t="inlineStr">
        <is>
          <t>다락리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169.0975</v>
      </c>
      <c r="I2789" s="5" t="n">
        <v>120</v>
      </c>
      <c r="J2789" s="3" t="inlineStr">
        <is>
          <t>강내면</t>
        </is>
      </c>
    </row>
    <row r="2790">
      <c r="A2790" s="3" t="n">
        <v>2024</v>
      </c>
      <c r="B2790" s="4" t="n">
        <v>2500</v>
      </c>
      <c r="C2790" s="4" t="n">
        <v>112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대</t>
        </is>
      </c>
      <c r="H2790" s="4" t="n">
        <v>33.88</v>
      </c>
      <c r="I2790" s="5" t="n">
        <v>73.8</v>
      </c>
      <c r="J2790" s="3" t="inlineStr">
        <is>
          <t>강내면</t>
        </is>
      </c>
    </row>
    <row r="2791">
      <c r="A2791" s="3" t="n">
        <v>2024</v>
      </c>
      <c r="B2791" s="4" t="n">
        <v>81340</v>
      </c>
      <c r="C2791" s="4" t="n">
        <v>3729</v>
      </c>
      <c r="D2791" s="3" t="inlineStr">
        <is>
          <t>오송읍</t>
        </is>
      </c>
      <c r="E2791" s="3" t="inlineStr">
        <is>
          <t>상봉리</t>
        </is>
      </c>
      <c r="F2791" s="3" t="inlineStr">
        <is>
          <t>생산관리지역</t>
        </is>
      </c>
      <c r="G2791" s="3" t="inlineStr">
        <is>
          <t>전</t>
        </is>
      </c>
      <c r="H2791" s="4" t="n">
        <v>1128.0225</v>
      </c>
      <c r="I2791" s="5" t="n">
        <v>72.09999999999999</v>
      </c>
      <c r="J2791" s="3" t="inlineStr">
        <is>
          <t>오송읍</t>
        </is>
      </c>
    </row>
    <row r="2792">
      <c r="A2792" s="3" t="n">
        <v>2024</v>
      </c>
      <c r="B2792" s="4" t="n">
        <v>18000</v>
      </c>
      <c r="C2792" s="4" t="n">
        <v>2394.9</v>
      </c>
      <c r="D2792" s="3" t="inlineStr">
        <is>
          <t>강내면</t>
        </is>
      </c>
      <c r="E2792" s="3" t="inlineStr">
        <is>
          <t>황탄리</t>
        </is>
      </c>
      <c r="F2792" s="3" t="inlineStr">
        <is>
          <t>농림지역</t>
        </is>
      </c>
      <c r="G2792" s="3" t="inlineStr">
        <is>
          <t>답</t>
        </is>
      </c>
      <c r="H2792" s="4" t="n">
        <v>724.45725</v>
      </c>
      <c r="I2792" s="5" t="n">
        <v>24.8</v>
      </c>
      <c r="J2792" s="3" t="inlineStr">
        <is>
          <t>강내면</t>
        </is>
      </c>
    </row>
    <row r="2793">
      <c r="A2793" s="3" t="n">
        <v>2024</v>
      </c>
      <c r="B2793" s="4" t="n">
        <v>80000</v>
      </c>
      <c r="C2793" s="4" t="n">
        <v>2119</v>
      </c>
      <c r="D2793" s="3" t="inlineStr">
        <is>
          <t>강내면</t>
        </is>
      </c>
      <c r="E2793" s="3" t="inlineStr">
        <is>
          <t>월곡리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640.9974999999999</v>
      </c>
      <c r="I2793" s="5" t="n">
        <v>124.8</v>
      </c>
      <c r="J2793" s="3" t="inlineStr">
        <is>
          <t>강내면</t>
        </is>
      </c>
    </row>
    <row r="2794">
      <c r="A2794" s="3" t="n">
        <v>2024</v>
      </c>
      <c r="B2794" s="4" t="n">
        <v>9500</v>
      </c>
      <c r="C2794" s="4" t="n">
        <v>274</v>
      </c>
      <c r="D2794" s="3" t="inlineStr">
        <is>
          <t>오송읍</t>
        </is>
      </c>
      <c r="E2794" s="3" t="inlineStr">
        <is>
          <t>쌍청리</t>
        </is>
      </c>
      <c r="F2794" s="3" t="inlineStr">
        <is>
          <t>계획관리지역</t>
        </is>
      </c>
      <c r="G2794" s="3" t="inlineStr">
        <is>
          <t>대</t>
        </is>
      </c>
      <c r="H2794" s="4" t="n">
        <v>82.88499999999999</v>
      </c>
      <c r="I2794" s="5" t="n">
        <v>114.6</v>
      </c>
      <c r="J2794" s="3" t="inlineStr">
        <is>
          <t>오송읍</t>
        </is>
      </c>
    </row>
    <row r="2795">
      <c r="A2795" s="3" t="n">
        <v>2024</v>
      </c>
      <c r="B2795" s="4" t="n">
        <v>38800</v>
      </c>
      <c r="C2795" s="4" t="n">
        <v>300</v>
      </c>
      <c r="D2795" s="3" t="inlineStr">
        <is>
          <t>오송읍</t>
        </is>
      </c>
      <c r="E2795" s="3" t="inlineStr">
        <is>
          <t>오송리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90.75</v>
      </c>
      <c r="I2795" s="5" t="n">
        <v>427.5</v>
      </c>
      <c r="J2795" s="3" t="inlineStr">
        <is>
          <t>오송읍</t>
        </is>
      </c>
    </row>
    <row r="2796">
      <c r="A2796" s="3" t="n">
        <v>2024</v>
      </c>
      <c r="B2796" s="4" t="n">
        <v>8000</v>
      </c>
      <c r="C2796" s="4" t="n">
        <v>380</v>
      </c>
      <c r="D2796" s="3" t="inlineStr">
        <is>
          <t>강내면</t>
        </is>
      </c>
      <c r="E2796" s="3" t="inlineStr">
        <is>
          <t>태성리</t>
        </is>
      </c>
      <c r="F2796" s="3" t="inlineStr">
        <is>
          <t>계획관리지역</t>
        </is>
      </c>
      <c r="G2796" s="3" t="inlineStr">
        <is>
          <t>답</t>
        </is>
      </c>
      <c r="H2796" s="4" t="n">
        <v>114.95</v>
      </c>
      <c r="I2796" s="5" t="n">
        <v>69.59999999999999</v>
      </c>
      <c r="J2796" s="3" t="inlineStr">
        <is>
          <t>강내면</t>
        </is>
      </c>
    </row>
    <row r="2797">
      <c r="A2797" s="3" t="n">
        <v>2024</v>
      </c>
      <c r="B2797" s="4" t="n">
        <v>9223</v>
      </c>
      <c r="C2797" s="4" t="n">
        <v>504</v>
      </c>
      <c r="D2797" s="3" t="inlineStr">
        <is>
          <t>오송읍</t>
        </is>
      </c>
      <c r="E2797" s="3" t="inlineStr">
        <is>
          <t>공북리</t>
        </is>
      </c>
      <c r="F2797" s="3" t="inlineStr">
        <is>
          <t>농림지역</t>
        </is>
      </c>
      <c r="G2797" s="3" t="inlineStr">
        <is>
          <t>전</t>
        </is>
      </c>
      <c r="H2797" s="4" t="n">
        <v>152.46</v>
      </c>
      <c r="I2797" s="5" t="n">
        <v>60.5</v>
      </c>
      <c r="J2797" s="3" t="inlineStr">
        <is>
          <t>오송읍</t>
        </is>
      </c>
    </row>
    <row r="2798">
      <c r="A2798" s="3" t="n">
        <v>2022</v>
      </c>
      <c r="B2798" s="4" t="n">
        <v>102000</v>
      </c>
      <c r="C2798" s="4" t="n">
        <v>3967</v>
      </c>
      <c r="D2798" s="3" t="inlineStr">
        <is>
          <t>오송읍</t>
        </is>
      </c>
      <c r="E2798" s="3" t="inlineStr">
        <is>
          <t>궁평리</t>
        </is>
      </c>
      <c r="F2798" s="3" t="inlineStr">
        <is>
          <t>농림지역</t>
        </is>
      </c>
      <c r="G2798" s="3" t="inlineStr">
        <is>
          <t>전</t>
        </is>
      </c>
      <c r="H2798" s="4" t="n">
        <v>1200.0175</v>
      </c>
      <c r="I2798" s="5" t="n">
        <v>85</v>
      </c>
      <c r="J2798" s="3" t="inlineStr">
        <is>
          <t>오송읍</t>
        </is>
      </c>
    </row>
    <row r="2799">
      <c r="A2799" s="3" t="n">
        <v>2022</v>
      </c>
      <c r="B2799" s="4" t="n">
        <v>30000</v>
      </c>
      <c r="C2799" s="4" t="n">
        <v>241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72.9025</v>
      </c>
      <c r="I2799" s="5" t="n">
        <v>411.5</v>
      </c>
      <c r="J2799" s="3" t="inlineStr">
        <is>
          <t>오송읍</t>
        </is>
      </c>
    </row>
    <row r="2800">
      <c r="A2800" s="3" t="n">
        <v>2022</v>
      </c>
      <c r="B2800" s="4" t="n">
        <v>40200</v>
      </c>
      <c r="C2800" s="4" t="n">
        <v>1745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과수원</t>
        </is>
      </c>
      <c r="H2800" s="4" t="n">
        <v>527.8625</v>
      </c>
      <c r="I2800" s="5" t="n">
        <v>76.2</v>
      </c>
      <c r="J2800" s="3" t="inlineStr">
        <is>
          <t>오송읍</t>
        </is>
      </c>
    </row>
    <row r="2801">
      <c r="A2801" s="3" t="n">
        <v>2022</v>
      </c>
      <c r="B2801" s="4" t="n">
        <v>47100</v>
      </c>
      <c r="C2801" s="4" t="n">
        <v>622</v>
      </c>
      <c r="D2801" s="3" t="inlineStr">
        <is>
          <t>오송읍</t>
        </is>
      </c>
      <c r="E2801" s="3" t="inlineStr">
        <is>
          <t>궁평리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188.155</v>
      </c>
      <c r="I2801" s="5" t="n">
        <v>250.3</v>
      </c>
      <c r="J2801" s="3" t="inlineStr">
        <is>
          <t>오송읍</t>
        </is>
      </c>
    </row>
    <row r="2802">
      <c r="A2802" s="3" t="n">
        <v>2022</v>
      </c>
      <c r="B2802" s="4" t="n">
        <v>46400</v>
      </c>
      <c r="C2802" s="4" t="n">
        <v>620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187.55</v>
      </c>
      <c r="I2802" s="5" t="n">
        <v>247.4</v>
      </c>
      <c r="J2802" s="3" t="inlineStr">
        <is>
          <t>오송읍</t>
        </is>
      </c>
    </row>
    <row r="2803">
      <c r="A2803" s="3" t="n">
        <v>2022</v>
      </c>
      <c r="B2803" s="4" t="n">
        <v>46400</v>
      </c>
      <c r="C2803" s="4" t="n">
        <v>620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187.55</v>
      </c>
      <c r="I2803" s="5" t="n">
        <v>247.4</v>
      </c>
      <c r="J2803" s="3" t="inlineStr">
        <is>
          <t>오송읍</t>
        </is>
      </c>
    </row>
    <row r="2804">
      <c r="A2804" s="3" t="n">
        <v>2022</v>
      </c>
      <c r="B2804" s="4" t="n">
        <v>46500</v>
      </c>
      <c r="C2804" s="4" t="n">
        <v>620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187.55</v>
      </c>
      <c r="I2804" s="5" t="n">
        <v>247.9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202000</v>
      </c>
      <c r="C2806" s="4" t="n">
        <v>3220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974.05</v>
      </c>
      <c r="I2806" s="5" t="n">
        <v>207.4</v>
      </c>
      <c r="J2806" s="3" t="inlineStr">
        <is>
          <t>오송읍</t>
        </is>
      </c>
    </row>
    <row r="2807">
      <c r="A2807" s="3" t="n">
        <v>2022</v>
      </c>
      <c r="B2807" s="4" t="n">
        <v>108000</v>
      </c>
      <c r="C2807" s="4" t="n">
        <v>1625</v>
      </c>
      <c r="D2807" s="3" t="inlineStr">
        <is>
          <t>강내면</t>
        </is>
      </c>
      <c r="E2807" s="3" t="inlineStr">
        <is>
          <t>월곡리</t>
        </is>
      </c>
      <c r="F2807" s="3" t="inlineStr">
        <is>
          <t>제1종일반주거지역</t>
        </is>
      </c>
      <c r="G2807" s="3" t="inlineStr">
        <is>
          <t>전</t>
        </is>
      </c>
      <c r="H2807" s="4" t="n">
        <v>491.5625</v>
      </c>
      <c r="I2807" s="5" t="n">
        <v>219.7</v>
      </c>
      <c r="J2807" s="3" t="inlineStr">
        <is>
          <t>강내면</t>
        </is>
      </c>
    </row>
    <row r="2808">
      <c r="A2808" s="3" t="n">
        <v>2022</v>
      </c>
      <c r="B2808" s="4" t="n">
        <v>115800</v>
      </c>
      <c r="C2808" s="4" t="n">
        <v>6961</v>
      </c>
      <c r="D2808" s="3" t="inlineStr">
        <is>
          <t>강내면</t>
        </is>
      </c>
      <c r="E2808" s="3" t="inlineStr">
        <is>
          <t>태성리</t>
        </is>
      </c>
      <c r="F2808" s="3" t="inlineStr">
        <is>
          <t>계획관리지역</t>
        </is>
      </c>
      <c r="G2808" s="3" t="inlineStr">
        <is>
          <t>답</t>
        </is>
      </c>
      <c r="H2808" s="4" t="n">
        <v>2105.7025</v>
      </c>
      <c r="I2808" s="5" t="n">
        <v>55</v>
      </c>
      <c r="J2808" s="3" t="inlineStr">
        <is>
          <t>강내면</t>
        </is>
      </c>
    </row>
    <row r="2809">
      <c r="A2809" s="3" t="n">
        <v>2022</v>
      </c>
      <c r="B2809" s="4" t="n">
        <v>15000</v>
      </c>
      <c r="C2809" s="4" t="n">
        <v>4860</v>
      </c>
      <c r="D2809" s="3" t="inlineStr">
        <is>
          <t>강내면</t>
        </is>
      </c>
      <c r="E2809" s="3" t="inlineStr">
        <is>
          <t>탑연리</t>
        </is>
      </c>
      <c r="F2809" s="3" t="inlineStr">
        <is>
          <t>보전녹지지역</t>
        </is>
      </c>
      <c r="G2809" s="3" t="inlineStr">
        <is>
          <t>임야</t>
        </is>
      </c>
      <c r="H2809" s="4" t="n">
        <v>1470.15</v>
      </c>
      <c r="I2809" s="5" t="n">
        <v>10.2</v>
      </c>
      <c r="J2809" s="3" t="inlineStr">
        <is>
          <t>강내면</t>
        </is>
      </c>
    </row>
    <row r="2810">
      <c r="A2810" s="3" t="n">
        <v>2022</v>
      </c>
      <c r="B2810" s="4" t="n">
        <v>6200</v>
      </c>
      <c r="C2810" s="4" t="n">
        <v>223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67.4575</v>
      </c>
      <c r="I2810" s="5" t="n">
        <v>91.90000000000001</v>
      </c>
      <c r="J2810" s="3" t="inlineStr">
        <is>
          <t>오송읍</t>
        </is>
      </c>
    </row>
    <row r="2811">
      <c r="A2811" s="3" t="n">
        <v>2022</v>
      </c>
      <c r="B2811" s="4" t="n">
        <v>47000</v>
      </c>
      <c r="C2811" s="4" t="n">
        <v>273.5</v>
      </c>
      <c r="D2811" s="3" t="inlineStr">
        <is>
          <t>오송읍</t>
        </is>
      </c>
      <c r="E2811" s="3" t="inlineStr">
        <is>
          <t>봉산리</t>
        </is>
      </c>
      <c r="F2811" s="3" t="inlineStr">
        <is>
          <t>제1종일반주거지역</t>
        </is>
      </c>
      <c r="G2811" s="3" t="inlineStr">
        <is>
          <t>대</t>
        </is>
      </c>
      <c r="H2811" s="4" t="n">
        <v>82.73375</v>
      </c>
      <c r="I2811" s="5" t="n">
        <v>568.1</v>
      </c>
      <c r="J2811" s="3" t="inlineStr">
        <is>
          <t>오송읍</t>
        </is>
      </c>
    </row>
    <row r="2812">
      <c r="A2812" s="3" t="n">
        <v>2022</v>
      </c>
      <c r="B2812" s="4" t="n">
        <v>28000</v>
      </c>
      <c r="C2812" s="4" t="n">
        <v>271.9</v>
      </c>
      <c r="D2812" s="3" t="inlineStr">
        <is>
          <t>오송읍</t>
        </is>
      </c>
      <c r="E2812" s="3" t="inlineStr">
        <is>
          <t>봉산리</t>
        </is>
      </c>
      <c r="F2812" s="3" t="inlineStr">
        <is>
          <t>제1종일반주거지역</t>
        </is>
      </c>
      <c r="G2812" s="3" t="inlineStr">
        <is>
          <t>대</t>
        </is>
      </c>
      <c r="H2812" s="4" t="n">
        <v>82.24974999999999</v>
      </c>
      <c r="I2812" s="5" t="n">
        <v>340.4</v>
      </c>
      <c r="J2812" s="3" t="inlineStr">
        <is>
          <t>오송읍</t>
        </is>
      </c>
    </row>
    <row r="2813">
      <c r="A2813" s="3" t="n">
        <v>2022</v>
      </c>
      <c r="B2813" s="4" t="n">
        <v>76000</v>
      </c>
      <c r="C2813" s="4" t="n">
        <v>2638</v>
      </c>
      <c r="D2813" s="3" t="inlineStr">
        <is>
          <t>강내면</t>
        </is>
      </c>
      <c r="E2813" s="3" t="inlineStr">
        <is>
          <t>석화리</t>
        </is>
      </c>
      <c r="F2813" s="3" t="inlineStr">
        <is>
          <t>생산녹지지역</t>
        </is>
      </c>
      <c r="G2813" s="3" t="inlineStr">
        <is>
          <t>답</t>
        </is>
      </c>
      <c r="H2813" s="4" t="n">
        <v>797.995</v>
      </c>
      <c r="I2813" s="5" t="n">
        <v>95.2</v>
      </c>
      <c r="J2813" s="3" t="inlineStr">
        <is>
          <t>강내면</t>
        </is>
      </c>
    </row>
    <row r="2814">
      <c r="A2814" s="3" t="n">
        <v>2022</v>
      </c>
      <c r="B2814" s="4" t="n">
        <v>18000</v>
      </c>
      <c r="C2814" s="4" t="n">
        <v>407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자연녹지지역</t>
        </is>
      </c>
      <c r="G2814" s="3" t="inlineStr">
        <is>
          <t>임야</t>
        </is>
      </c>
      <c r="H2814" s="4" t="n">
        <v>123.1175</v>
      </c>
      <c r="I2814" s="5" t="n">
        <v>146.2</v>
      </c>
      <c r="J2814" s="3" t="inlineStr">
        <is>
          <t>강내면</t>
        </is>
      </c>
    </row>
    <row r="2815">
      <c r="A2815" s="3" t="n">
        <v>2022</v>
      </c>
      <c r="B2815" s="4" t="n">
        <v>6012</v>
      </c>
      <c r="C2815" s="4" t="n">
        <v>755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임야</t>
        </is>
      </c>
      <c r="H2815" s="4" t="n">
        <v>228.3875</v>
      </c>
      <c r="I2815" s="5" t="n">
        <v>26.3</v>
      </c>
      <c r="J2815" s="3" t="inlineStr">
        <is>
          <t>강내면</t>
        </is>
      </c>
    </row>
    <row r="2816">
      <c r="A2816" s="3" t="n">
        <v>2022</v>
      </c>
      <c r="B2816" s="4" t="n">
        <v>14147</v>
      </c>
      <c r="C2816" s="4" t="n">
        <v>177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제2종일반주거지역</t>
        </is>
      </c>
      <c r="G2816" s="3" t="inlineStr">
        <is>
          <t>답</t>
        </is>
      </c>
      <c r="H2816" s="4" t="n">
        <v>53.5425</v>
      </c>
      <c r="I2816" s="5" t="n">
        <v>264.2</v>
      </c>
      <c r="J2816" s="3" t="inlineStr">
        <is>
          <t>강내면</t>
        </is>
      </c>
    </row>
    <row r="2817">
      <c r="A2817" s="3" t="n">
        <v>2022</v>
      </c>
      <c r="B2817" s="4" t="n">
        <v>10231</v>
      </c>
      <c r="C2817" s="4" t="n">
        <v>128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제2종일반주거지역</t>
        </is>
      </c>
      <c r="G2817" s="3" t="inlineStr">
        <is>
          <t>답</t>
        </is>
      </c>
      <c r="H2817" s="4" t="n">
        <v>38.72</v>
      </c>
      <c r="I2817" s="5" t="n">
        <v>264.2</v>
      </c>
      <c r="J2817" s="3" t="inlineStr">
        <is>
          <t>강내면</t>
        </is>
      </c>
    </row>
    <row r="2818">
      <c r="A2818" s="3" t="n">
        <v>2022</v>
      </c>
      <c r="B2818" s="4" t="n">
        <v>3436</v>
      </c>
      <c r="C2818" s="4" t="n">
        <v>43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제2종일반주거지역</t>
        </is>
      </c>
      <c r="G2818" s="3" t="inlineStr">
        <is>
          <t>전</t>
        </is>
      </c>
      <c r="H2818" s="4" t="n">
        <v>13.0075</v>
      </c>
      <c r="I2818" s="5" t="n">
        <v>264.2</v>
      </c>
      <c r="J2818" s="3" t="inlineStr">
        <is>
          <t>강내면</t>
        </is>
      </c>
    </row>
    <row r="2819">
      <c r="A2819" s="3" t="n">
        <v>2022</v>
      </c>
      <c r="B2819" s="4" t="n">
        <v>100569</v>
      </c>
      <c r="C2819" s="4" t="n">
        <v>4821.6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준공업지역</t>
        </is>
      </c>
      <c r="G2819" s="3" t="inlineStr">
        <is>
          <t>대</t>
        </is>
      </c>
      <c r="H2819" s="4" t="n">
        <v>1458.534</v>
      </c>
      <c r="I2819" s="5" t="n">
        <v>69</v>
      </c>
      <c r="J2819" s="3" t="inlineStr">
        <is>
          <t>오송읍</t>
        </is>
      </c>
    </row>
    <row r="2820">
      <c r="A2820" s="3" t="n">
        <v>2022</v>
      </c>
      <c r="B2820" s="4" t="n">
        <v>8370</v>
      </c>
      <c r="C2820" s="4" t="n">
        <v>209</v>
      </c>
      <c r="D2820" s="3" t="inlineStr">
        <is>
          <t>오송읍</t>
        </is>
      </c>
      <c r="E2820" s="3" t="inlineStr">
        <is>
          <t>연제리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63.2225</v>
      </c>
      <c r="I2820" s="5" t="n">
        <v>132.4</v>
      </c>
      <c r="J2820" s="3" t="inlineStr">
        <is>
          <t>오송읍</t>
        </is>
      </c>
    </row>
    <row r="2821">
      <c r="A2821" s="3" t="n">
        <v>2022</v>
      </c>
      <c r="B2821" s="4" t="n">
        <v>58684</v>
      </c>
      <c r="C2821" s="4" t="n">
        <v>2917</v>
      </c>
      <c r="D2821" s="3" t="inlineStr">
        <is>
          <t>강내면</t>
        </is>
      </c>
      <c r="E2821" s="3" t="inlineStr">
        <is>
          <t>월탄리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882.3924999999999</v>
      </c>
      <c r="I2821" s="5" t="n">
        <v>66.5</v>
      </c>
      <c r="J2821" s="3" t="inlineStr">
        <is>
          <t>강내면</t>
        </is>
      </c>
    </row>
    <row r="2822">
      <c r="A2822" s="3" t="n">
        <v>2022</v>
      </c>
      <c r="B2822" s="4" t="n">
        <v>26000</v>
      </c>
      <c r="C2822" s="4" t="n">
        <v>215</v>
      </c>
      <c r="D2822" s="3" t="inlineStr">
        <is>
          <t>오송읍</t>
        </is>
      </c>
      <c r="E2822" s="3" t="inlineStr">
        <is>
          <t>오송리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65.03749999999999</v>
      </c>
      <c r="I2822" s="5" t="n">
        <v>399.8</v>
      </c>
      <c r="J2822" s="3" t="inlineStr">
        <is>
          <t>오송읍</t>
        </is>
      </c>
    </row>
    <row r="2823">
      <c r="A2823" s="3" t="n">
        <v>2022</v>
      </c>
      <c r="B2823" s="4" t="n">
        <v>15000</v>
      </c>
      <c r="C2823" s="4" t="n">
        <v>693</v>
      </c>
      <c r="D2823" s="3" t="inlineStr">
        <is>
          <t>강내면</t>
        </is>
      </c>
      <c r="E2823" s="3" t="inlineStr">
        <is>
          <t>사곡리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209.6325</v>
      </c>
      <c r="I2823" s="5" t="n">
        <v>71.59999999999999</v>
      </c>
      <c r="J2823" s="3" t="inlineStr">
        <is>
          <t>강내면</t>
        </is>
      </c>
    </row>
    <row r="2824">
      <c r="A2824" s="3" t="n">
        <v>2022</v>
      </c>
      <c r="B2824" s="4" t="n">
        <v>8500</v>
      </c>
      <c r="C2824" s="4" t="n">
        <v>60</v>
      </c>
      <c r="D2824" s="3" t="inlineStr">
        <is>
          <t>오송읍</t>
        </is>
      </c>
      <c r="E2824" s="3" t="inlineStr">
        <is>
          <t>오송리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18.15</v>
      </c>
      <c r="I2824" s="5" t="n">
        <v>468.3</v>
      </c>
      <c r="J2824" s="3" t="inlineStr">
        <is>
          <t>오송읍</t>
        </is>
      </c>
    </row>
    <row r="2825">
      <c r="A2825" s="3" t="n">
        <v>2023</v>
      </c>
      <c r="B2825" s="4" t="n">
        <v>7020</v>
      </c>
      <c r="C2825" s="4" t="n">
        <v>143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43.2575</v>
      </c>
      <c r="I2825" s="5" t="n">
        <v>162.3</v>
      </c>
      <c r="J2825" s="3" t="inlineStr">
        <is>
          <t>오송읍</t>
        </is>
      </c>
    </row>
    <row r="2826">
      <c r="A2826" s="3" t="n">
        <v>2023</v>
      </c>
      <c r="B2826" s="4" t="n">
        <v>1500</v>
      </c>
      <c r="C2826" s="4" t="n">
        <v>26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대</t>
        </is>
      </c>
      <c r="H2826" s="4" t="n">
        <v>7.865</v>
      </c>
      <c r="I2826" s="5" t="n">
        <v>190.7</v>
      </c>
      <c r="J2826" s="3" t="inlineStr">
        <is>
          <t>강내면</t>
        </is>
      </c>
    </row>
    <row r="2827">
      <c r="A2827" s="3" t="n">
        <v>2023</v>
      </c>
      <c r="B2827" s="4" t="n">
        <v>42000</v>
      </c>
      <c r="C2827" s="4" t="n">
        <v>348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제1종일반주거지역</t>
        </is>
      </c>
      <c r="G2827" s="3" t="inlineStr">
        <is>
          <t>답</t>
        </is>
      </c>
      <c r="H2827" s="4" t="n">
        <v>105.27</v>
      </c>
      <c r="I2827" s="5" t="n">
        <v>399</v>
      </c>
      <c r="J2827" s="3" t="inlineStr">
        <is>
          <t>강내면</t>
        </is>
      </c>
    </row>
    <row r="2828">
      <c r="A2828" s="3" t="n">
        <v>2023</v>
      </c>
      <c r="B2828" s="4" t="n">
        <v>18000</v>
      </c>
      <c r="C2828" s="4" t="n">
        <v>393</v>
      </c>
      <c r="D2828" s="3" t="inlineStr">
        <is>
          <t>오송읍</t>
        </is>
      </c>
      <c r="E2828" s="3" t="inlineStr">
        <is>
          <t>공북리</t>
        </is>
      </c>
      <c r="F2828" s="3" t="inlineStr">
        <is>
          <t>계획관리지역</t>
        </is>
      </c>
      <c r="G2828" s="3" t="inlineStr">
        <is>
          <t>답</t>
        </is>
      </c>
      <c r="H2828" s="4" t="n">
        <v>118.8825</v>
      </c>
      <c r="I2828" s="5" t="n">
        <v>151.4</v>
      </c>
      <c r="J2828" s="3" t="inlineStr">
        <is>
          <t>오송읍</t>
        </is>
      </c>
    </row>
    <row r="2829">
      <c r="A2829" s="3" t="n">
        <v>2023</v>
      </c>
      <c r="B2829" s="4" t="n">
        <v>3008</v>
      </c>
      <c r="C2829" s="4" t="n">
        <v>280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84.7</v>
      </c>
      <c r="I2829" s="5" t="n">
        <v>35.5</v>
      </c>
      <c r="J2829" s="3" t="inlineStr">
        <is>
          <t>강내면</t>
        </is>
      </c>
    </row>
    <row r="2830">
      <c r="A2830" s="3" t="n">
        <v>2023</v>
      </c>
      <c r="B2830" s="4" t="n">
        <v>4501</v>
      </c>
      <c r="C2830" s="4" t="n">
        <v>419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보전관리지역</t>
        </is>
      </c>
      <c r="G2830" s="3" t="inlineStr">
        <is>
          <t>전</t>
        </is>
      </c>
      <c r="H2830" s="4" t="n">
        <v>126.7475</v>
      </c>
      <c r="I2830" s="5" t="n">
        <v>35.5</v>
      </c>
      <c r="J2830" s="3" t="inlineStr">
        <is>
          <t>강내면</t>
        </is>
      </c>
    </row>
    <row r="2831">
      <c r="A2831" s="3" t="n">
        <v>2023</v>
      </c>
      <c r="B2831" s="4" t="n">
        <v>1686</v>
      </c>
      <c r="C2831" s="4" t="n">
        <v>157</v>
      </c>
      <c r="D2831" s="3" t="inlineStr">
        <is>
          <t>강내면</t>
        </is>
      </c>
      <c r="E2831" s="3" t="inlineStr">
        <is>
          <t>저산리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47.4925</v>
      </c>
      <c r="I2831" s="5" t="n">
        <v>35.5</v>
      </c>
      <c r="J2831" s="3" t="inlineStr">
        <is>
          <t>강내면</t>
        </is>
      </c>
    </row>
    <row r="2832">
      <c r="A2832" s="3" t="n">
        <v>2023</v>
      </c>
      <c r="B2832" s="4" t="n">
        <v>450</v>
      </c>
      <c r="C2832" s="4" t="n">
        <v>10</v>
      </c>
      <c r="D2832" s="3" t="inlineStr">
        <is>
          <t>강내면</t>
        </is>
      </c>
      <c r="E2832" s="3" t="inlineStr">
        <is>
          <t>석화리</t>
        </is>
      </c>
      <c r="F2832" s="3" t="inlineStr">
        <is>
          <t>자연녹지지역</t>
        </is>
      </c>
      <c r="G2832" s="3" t="inlineStr">
        <is>
          <t>대</t>
        </is>
      </c>
      <c r="H2832" s="4" t="n">
        <v>3.025</v>
      </c>
      <c r="I2832" s="5" t="n">
        <v>148.8</v>
      </c>
      <c r="J2832" s="3" t="inlineStr">
        <is>
          <t>강내면</t>
        </is>
      </c>
    </row>
    <row r="2833">
      <c r="A2833" s="3" t="n">
        <v>2023</v>
      </c>
      <c r="B2833" s="4" t="n">
        <v>6015</v>
      </c>
      <c r="C2833" s="4" t="n">
        <v>560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보전관리지역</t>
        </is>
      </c>
      <c r="G2833" s="3" t="inlineStr">
        <is>
          <t>임야</t>
        </is>
      </c>
      <c r="H2833" s="4" t="n">
        <v>169.4</v>
      </c>
      <c r="I2833" s="5" t="n">
        <v>35.5</v>
      </c>
      <c r="J2833" s="3" t="inlineStr">
        <is>
          <t>강내면</t>
        </is>
      </c>
    </row>
    <row r="2834">
      <c r="A2834" s="3" t="n">
        <v>2023</v>
      </c>
      <c r="B2834" s="4" t="n">
        <v>14040</v>
      </c>
      <c r="C2834" s="4" t="n">
        <v>1307</v>
      </c>
      <c r="D2834" s="3" t="inlineStr">
        <is>
          <t>강내면</t>
        </is>
      </c>
      <c r="E2834" s="3" t="inlineStr">
        <is>
          <t>저산리</t>
        </is>
      </c>
      <c r="F2834" s="3" t="inlineStr">
        <is>
          <t>보전관리지역</t>
        </is>
      </c>
      <c r="G2834" s="3" t="inlineStr">
        <is>
          <t>임야</t>
        </is>
      </c>
      <c r="H2834" s="4" t="n">
        <v>395.3675</v>
      </c>
      <c r="I2834" s="5" t="n">
        <v>35.5</v>
      </c>
      <c r="J2834" s="3" t="inlineStr">
        <is>
          <t>강내면</t>
        </is>
      </c>
    </row>
    <row r="2835">
      <c r="A2835" s="3" t="n">
        <v>2023</v>
      </c>
      <c r="B2835" s="4" t="n">
        <v>7670</v>
      </c>
      <c r="C2835" s="4" t="n">
        <v>714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보전관리지역</t>
        </is>
      </c>
      <c r="G2835" s="3" t="inlineStr">
        <is>
          <t>임야</t>
        </is>
      </c>
      <c r="H2835" s="4" t="n">
        <v>215.985</v>
      </c>
      <c r="I2835" s="5" t="n">
        <v>35.5</v>
      </c>
      <c r="J2835" s="3" t="inlineStr">
        <is>
          <t>강내면</t>
        </is>
      </c>
    </row>
    <row r="2836">
      <c r="A2836" s="3" t="n">
        <v>2023</v>
      </c>
      <c r="B2836" s="4" t="n">
        <v>6698</v>
      </c>
      <c r="C2836" s="4" t="n">
        <v>651</v>
      </c>
      <c r="D2836" s="3" t="inlineStr">
        <is>
          <t>강내면</t>
        </is>
      </c>
      <c r="E2836" s="3" t="inlineStr">
        <is>
          <t>저산리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196.9275</v>
      </c>
      <c r="I2836" s="5" t="n">
        <v>34</v>
      </c>
      <c r="J2836" s="3" t="inlineStr">
        <is>
          <t>강내면</t>
        </is>
      </c>
    </row>
    <row r="2837">
      <c r="A2837" s="3" t="n">
        <v>2023</v>
      </c>
      <c r="B2837" s="4" t="n">
        <v>24350</v>
      </c>
      <c r="C2837" s="4" t="n">
        <v>1747</v>
      </c>
      <c r="D2837" s="3" t="inlineStr">
        <is>
          <t>오송읍</t>
        </is>
      </c>
      <c r="E2837" s="3" t="inlineStr">
        <is>
          <t>상봉리</t>
        </is>
      </c>
      <c r="F2837" s="3" t="inlineStr">
        <is>
          <t>농림지역</t>
        </is>
      </c>
      <c r="G2837" s="3" t="inlineStr">
        <is>
          <t>과수원</t>
        </is>
      </c>
      <c r="H2837" s="4" t="n">
        <v>528.4675</v>
      </c>
      <c r="I2837" s="5" t="n">
        <v>46.1</v>
      </c>
      <c r="J2837" s="3" t="inlineStr">
        <is>
          <t>오송읍</t>
        </is>
      </c>
    </row>
    <row r="2838">
      <c r="A2838" s="3" t="n">
        <v>2023</v>
      </c>
      <c r="B2838" s="4" t="n">
        <v>11150</v>
      </c>
      <c r="C2838" s="4" t="n">
        <v>800</v>
      </c>
      <c r="D2838" s="3" t="inlineStr">
        <is>
          <t>오송읍</t>
        </is>
      </c>
      <c r="E2838" s="3" t="inlineStr">
        <is>
          <t>상봉리</t>
        </is>
      </c>
      <c r="F2838" s="3" t="inlineStr">
        <is>
          <t>농림지역</t>
        </is>
      </c>
      <c r="G2838" s="3" t="inlineStr">
        <is>
          <t>과수원</t>
        </is>
      </c>
      <c r="H2838" s="4" t="n">
        <v>242</v>
      </c>
      <c r="I2838" s="5" t="n">
        <v>46.1</v>
      </c>
      <c r="J2838" s="3" t="inlineStr">
        <is>
          <t>오송읍</t>
        </is>
      </c>
    </row>
    <row r="2839">
      <c r="A2839" s="3" t="n">
        <v>2023</v>
      </c>
      <c r="B2839" s="4" t="n">
        <v>23580</v>
      </c>
      <c r="C2839" s="4" t="n">
        <v>1298</v>
      </c>
      <c r="D2839" s="3" t="inlineStr">
        <is>
          <t>강내면</t>
        </is>
      </c>
      <c r="E2839" s="3" t="inlineStr">
        <is>
          <t>사곡리</t>
        </is>
      </c>
      <c r="F2839" s="3" t="inlineStr">
        <is>
          <t>보전관리지역</t>
        </is>
      </c>
      <c r="G2839" s="3" t="inlineStr">
        <is>
          <t>전</t>
        </is>
      </c>
      <c r="H2839" s="4" t="n">
        <v>392.645</v>
      </c>
      <c r="I2839" s="5" t="n">
        <v>60.1</v>
      </c>
      <c r="J2839" s="3" t="inlineStr">
        <is>
          <t>강내면</t>
        </is>
      </c>
    </row>
    <row r="2840">
      <c r="A2840" s="3" t="n">
        <v>2023</v>
      </c>
      <c r="B2840" s="4" t="n">
        <v>11940</v>
      </c>
      <c r="C2840" s="4" t="n">
        <v>1315</v>
      </c>
      <c r="D2840" s="3" t="inlineStr">
        <is>
          <t>강내면</t>
        </is>
      </c>
      <c r="E2840" s="3" t="inlineStr">
        <is>
          <t>사곡리</t>
        </is>
      </c>
      <c r="F2840" s="3" t="inlineStr">
        <is>
          <t>용도미지정</t>
        </is>
      </c>
      <c r="G2840" s="3" t="inlineStr">
        <is>
          <t>임야</t>
        </is>
      </c>
      <c r="H2840" s="4" t="n">
        <v>397.7875</v>
      </c>
      <c r="I2840" s="5" t="n">
        <v>30</v>
      </c>
      <c r="J2840" s="3" t="inlineStr">
        <is>
          <t>강내면</t>
        </is>
      </c>
    </row>
    <row r="2841">
      <c r="A2841" s="3" t="n">
        <v>2023</v>
      </c>
      <c r="B2841" s="4" t="n">
        <v>2700</v>
      </c>
      <c r="C2841" s="4" t="n">
        <v>297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용도미지정</t>
        </is>
      </c>
      <c r="G2841" s="3" t="inlineStr">
        <is>
          <t>임야</t>
        </is>
      </c>
      <c r="H2841" s="4" t="n">
        <v>89.8425</v>
      </c>
      <c r="I2841" s="5" t="n">
        <v>30.1</v>
      </c>
      <c r="J2841" s="3" t="inlineStr">
        <is>
          <t>강내면</t>
        </is>
      </c>
    </row>
    <row r="2842">
      <c r="A2842" s="3" t="n">
        <v>2023</v>
      </c>
      <c r="B2842" s="4" t="n">
        <v>12600</v>
      </c>
      <c r="C2842" s="4" t="n">
        <v>409</v>
      </c>
      <c r="D2842" s="3" t="inlineStr">
        <is>
          <t>강내면</t>
        </is>
      </c>
      <c r="E2842" s="3" t="inlineStr">
        <is>
          <t>다락리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123.7225</v>
      </c>
      <c r="I2842" s="5" t="n">
        <v>101.8</v>
      </c>
      <c r="J2842" s="3" t="inlineStr">
        <is>
          <t>강내면</t>
        </is>
      </c>
    </row>
    <row r="2843">
      <c r="A2843" s="3" t="n">
        <v>2023</v>
      </c>
      <c r="B2843" s="4" t="n">
        <v>31534</v>
      </c>
      <c r="C2843" s="4" t="n">
        <v>891</v>
      </c>
      <c r="D2843" s="3" t="inlineStr">
        <is>
          <t>강내면</t>
        </is>
      </c>
      <c r="E2843" s="3" t="inlineStr">
        <is>
          <t>궁현리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269.5275</v>
      </c>
      <c r="I2843" s="5" t="n">
        <v>117</v>
      </c>
      <c r="J2843" s="3" t="inlineStr">
        <is>
          <t>강내면</t>
        </is>
      </c>
    </row>
    <row r="2844">
      <c r="A2844" s="3" t="n">
        <v>2023</v>
      </c>
      <c r="B2844" s="4" t="n">
        <v>7000</v>
      </c>
      <c r="C2844" s="4" t="n">
        <v>330</v>
      </c>
      <c r="D2844" s="3" t="inlineStr">
        <is>
          <t>오송읍</t>
        </is>
      </c>
      <c r="E2844" s="3" t="inlineStr">
        <is>
          <t>공북리</t>
        </is>
      </c>
      <c r="F2844" s="3" t="inlineStr">
        <is>
          <t>농림지역</t>
        </is>
      </c>
      <c r="G2844" s="3" t="inlineStr">
        <is>
          <t>답</t>
        </is>
      </c>
      <c r="H2844" s="4" t="n">
        <v>99.825</v>
      </c>
      <c r="I2844" s="5" t="n">
        <v>70.09999999999999</v>
      </c>
      <c r="J2844" s="3" t="inlineStr">
        <is>
          <t>오송읍</t>
        </is>
      </c>
    </row>
    <row r="2845">
      <c r="A2845" s="3" t="n">
        <v>2023</v>
      </c>
      <c r="B2845" s="4" t="n">
        <v>410</v>
      </c>
      <c r="C2845" s="4" t="n">
        <v>28</v>
      </c>
      <c r="D2845" s="3" t="inlineStr">
        <is>
          <t>강내면</t>
        </is>
      </c>
      <c r="E2845" s="3" t="inlineStr">
        <is>
          <t>사인리</t>
        </is>
      </c>
      <c r="F2845" s="3" t="inlineStr">
        <is>
          <t>자연녹지지역</t>
        </is>
      </c>
      <c r="G2845" s="3" t="inlineStr">
        <is>
          <t>임야</t>
        </is>
      </c>
      <c r="H2845" s="4" t="n">
        <v>8.469999999999999</v>
      </c>
      <c r="I2845" s="5" t="n">
        <v>48.4</v>
      </c>
      <c r="J2845" s="3" t="inlineStr">
        <is>
          <t>강내면</t>
        </is>
      </c>
    </row>
    <row r="2846">
      <c r="A2846" s="3" t="n">
        <v>2023</v>
      </c>
      <c r="B2846" s="4" t="n">
        <v>228</v>
      </c>
      <c r="C2846" s="4" t="n">
        <v>7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2.1175</v>
      </c>
      <c r="I2846" s="5" t="n">
        <v>107.7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1200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공장용지</t>
        </is>
      </c>
      <c r="H2847" s="4" t="n">
        <v>363</v>
      </c>
      <c r="I2847" s="5" t="n">
        <v>82.59999999999999</v>
      </c>
      <c r="J2847" s="3" t="inlineStr">
        <is>
          <t>강내면</t>
        </is>
      </c>
    </row>
    <row r="2848">
      <c r="A2848" s="3" t="n">
        <v>2023</v>
      </c>
      <c r="B2848" s="4" t="n">
        <v>22000</v>
      </c>
      <c r="C2848" s="4" t="n">
        <v>823</v>
      </c>
      <c r="D2848" s="3" t="inlineStr">
        <is>
          <t>강내면</t>
        </is>
      </c>
      <c r="E2848" s="3" t="inlineStr">
        <is>
          <t>저산리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248.9575</v>
      </c>
      <c r="I2848" s="5" t="n">
        <v>88.40000000000001</v>
      </c>
      <c r="J2848" s="3" t="inlineStr">
        <is>
          <t>강내면</t>
        </is>
      </c>
    </row>
    <row r="2849">
      <c r="A2849" s="3" t="n">
        <v>2022</v>
      </c>
      <c r="B2849" s="4" t="n">
        <v>12000</v>
      </c>
      <c r="C2849" s="4" t="n">
        <v>1851</v>
      </c>
      <c r="D2849" s="3" t="inlineStr">
        <is>
          <t>강내면</t>
        </is>
      </c>
      <c r="E2849" s="3" t="inlineStr">
        <is>
          <t>궁현리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559.9275</v>
      </c>
      <c r="I2849" s="5" t="n">
        <v>21.4</v>
      </c>
      <c r="J2849" s="3" t="inlineStr">
        <is>
          <t>강내면</t>
        </is>
      </c>
    </row>
    <row r="2850">
      <c r="A2850" s="3" t="n">
        <v>2022</v>
      </c>
      <c r="B2850" s="4" t="n">
        <v>54000</v>
      </c>
      <c r="C2850" s="4" t="n">
        <v>506</v>
      </c>
      <c r="D2850" s="3" t="inlineStr">
        <is>
          <t>오송읍</t>
        </is>
      </c>
      <c r="E2850" s="3" t="inlineStr">
        <is>
          <t>연제리</t>
        </is>
      </c>
      <c r="F2850" s="3" t="inlineStr">
        <is>
          <t>계획관리지역</t>
        </is>
      </c>
      <c r="G2850" s="3" t="inlineStr">
        <is>
          <t>공장용지</t>
        </is>
      </c>
      <c r="H2850" s="4" t="n">
        <v>153.065</v>
      </c>
      <c r="I2850" s="5" t="n">
        <v>352.8</v>
      </c>
      <c r="J2850" s="3" t="inlineStr">
        <is>
          <t>오송읍</t>
        </is>
      </c>
    </row>
    <row r="2851">
      <c r="A2851" s="3" t="n">
        <v>2023</v>
      </c>
      <c r="B2851" s="4" t="n">
        <v>248100</v>
      </c>
      <c r="C2851" s="4" t="n">
        <v>5468</v>
      </c>
      <c r="D2851" s="3" t="inlineStr">
        <is>
          <t>강내면</t>
        </is>
      </c>
      <c r="E2851" s="3" t="inlineStr">
        <is>
          <t>궁현리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1654.07</v>
      </c>
      <c r="I2851" s="5" t="n">
        <v>150</v>
      </c>
      <c r="J2851" s="3" t="inlineStr">
        <is>
          <t>강내면</t>
        </is>
      </c>
    </row>
    <row r="2852">
      <c r="A2852" s="3" t="n">
        <v>2023</v>
      </c>
      <c r="B2852" s="4" t="n">
        <v>136500</v>
      </c>
      <c r="C2852" s="4" t="n">
        <v>3008</v>
      </c>
      <c r="D2852" s="3" t="inlineStr">
        <is>
          <t>강내면</t>
        </is>
      </c>
      <c r="E2852" s="3" t="inlineStr">
        <is>
          <t>궁현리</t>
        </is>
      </c>
      <c r="F2852" s="3" t="inlineStr">
        <is>
          <t>계획관리지역</t>
        </is>
      </c>
      <c r="G2852" s="3" t="inlineStr">
        <is>
          <t>답</t>
        </is>
      </c>
      <c r="H2852" s="4" t="n">
        <v>909.92</v>
      </c>
      <c r="I2852" s="5" t="n">
        <v>150</v>
      </c>
      <c r="J2852" s="3" t="inlineStr">
        <is>
          <t>강내면</t>
        </is>
      </c>
    </row>
    <row r="2853">
      <c r="A2853" s="3" t="n">
        <v>2023</v>
      </c>
      <c r="B2853" s="4" t="n">
        <v>169650</v>
      </c>
      <c r="C2853" s="4" t="n">
        <v>3738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답</t>
        </is>
      </c>
      <c r="H2853" s="4" t="n">
        <v>1130.745</v>
      </c>
      <c r="I2853" s="5" t="n">
        <v>150</v>
      </c>
      <c r="J2853" s="3" t="inlineStr">
        <is>
          <t>강내면</t>
        </is>
      </c>
    </row>
    <row r="2854">
      <c r="A2854" s="3" t="n">
        <v>2023</v>
      </c>
      <c r="B2854" s="4" t="n">
        <v>7000</v>
      </c>
      <c r="C2854" s="4" t="n">
        <v>72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21.78</v>
      </c>
      <c r="I2854" s="5" t="n">
        <v>321.4</v>
      </c>
      <c r="J2854" s="3" t="inlineStr">
        <is>
          <t>오송읍</t>
        </is>
      </c>
    </row>
    <row r="2855">
      <c r="A2855" s="3" t="n">
        <v>2023</v>
      </c>
      <c r="B2855" s="4" t="n">
        <v>7000</v>
      </c>
      <c r="C2855" s="4" t="n">
        <v>72</v>
      </c>
      <c r="D2855" s="3" t="inlineStr">
        <is>
          <t>오송읍</t>
        </is>
      </c>
      <c r="E2855" s="3" t="inlineStr">
        <is>
          <t>오송리</t>
        </is>
      </c>
      <c r="F2855" s="3" t="inlineStr">
        <is>
          <t>계획관리지역</t>
        </is>
      </c>
      <c r="G2855" s="3" t="inlineStr">
        <is>
          <t>대</t>
        </is>
      </c>
      <c r="H2855" s="4" t="n">
        <v>21.78</v>
      </c>
      <c r="I2855" s="5" t="n">
        <v>321.4</v>
      </c>
      <c r="J2855" s="3" t="inlineStr">
        <is>
          <t>오송읍</t>
        </is>
      </c>
    </row>
    <row r="2856">
      <c r="A2856" s="3" t="n">
        <v>2023</v>
      </c>
      <c r="B2856" s="4" t="n">
        <v>25000</v>
      </c>
      <c r="C2856" s="4" t="n">
        <v>508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대</t>
        </is>
      </c>
      <c r="H2856" s="4" t="n">
        <v>153.67</v>
      </c>
      <c r="I2856" s="5" t="n">
        <v>162.7</v>
      </c>
      <c r="J2856" s="3" t="inlineStr">
        <is>
          <t>강내면</t>
        </is>
      </c>
    </row>
    <row r="2857">
      <c r="A2857" s="3" t="n">
        <v>2023</v>
      </c>
      <c r="B2857" s="4" t="n">
        <v>30000</v>
      </c>
      <c r="C2857" s="4" t="n">
        <v>800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242</v>
      </c>
      <c r="I2857" s="5" t="n">
        <v>124</v>
      </c>
      <c r="J2857" s="3" t="inlineStr">
        <is>
          <t>강내면</t>
        </is>
      </c>
    </row>
    <row r="2858">
      <c r="A2858" s="3" t="n">
        <v>2023</v>
      </c>
      <c r="B2858" s="4" t="n">
        <v>12000</v>
      </c>
      <c r="C2858" s="4" t="n">
        <v>356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대</t>
        </is>
      </c>
      <c r="H2858" s="4" t="n">
        <v>107.69</v>
      </c>
      <c r="I2858" s="5" t="n">
        <v>111.4</v>
      </c>
      <c r="J2858" s="3" t="inlineStr">
        <is>
          <t>강내면</t>
        </is>
      </c>
    </row>
    <row r="2859">
      <c r="A2859" s="3" t="n">
        <v>2023</v>
      </c>
      <c r="B2859" s="4" t="n">
        <v>248100</v>
      </c>
      <c r="C2859" s="4" t="n">
        <v>5468</v>
      </c>
      <c r="D2859" s="3" t="inlineStr">
        <is>
          <t>강내면</t>
        </is>
      </c>
      <c r="E2859" s="3" t="inlineStr">
        <is>
          <t>궁현리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1654.07</v>
      </c>
      <c r="I2859" s="5" t="n">
        <v>150</v>
      </c>
      <c r="J2859" s="3" t="inlineStr">
        <is>
          <t>강내면</t>
        </is>
      </c>
    </row>
    <row r="2860">
      <c r="A2860" s="3" t="n">
        <v>2023</v>
      </c>
      <c r="B2860" s="4" t="n">
        <v>136500</v>
      </c>
      <c r="C2860" s="4" t="n">
        <v>3008</v>
      </c>
      <c r="D2860" s="3" t="inlineStr">
        <is>
          <t>강내면</t>
        </is>
      </c>
      <c r="E2860" s="3" t="inlineStr">
        <is>
          <t>궁현리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909.92</v>
      </c>
      <c r="I2860" s="5" t="n">
        <v>150</v>
      </c>
      <c r="J2860" s="3" t="inlineStr">
        <is>
          <t>강내면</t>
        </is>
      </c>
    </row>
    <row r="2861">
      <c r="A2861" s="3" t="n">
        <v>2023</v>
      </c>
      <c r="B2861" s="4" t="n">
        <v>169650</v>
      </c>
      <c r="C2861" s="4" t="n">
        <v>3738</v>
      </c>
      <c r="D2861" s="3" t="inlineStr">
        <is>
          <t>강내면</t>
        </is>
      </c>
      <c r="E2861" s="3" t="inlineStr">
        <is>
          <t>궁현리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1130.745</v>
      </c>
      <c r="I2861" s="5" t="n">
        <v>150</v>
      </c>
      <c r="J2861" s="3" t="inlineStr">
        <is>
          <t>강내면</t>
        </is>
      </c>
    </row>
    <row r="2862">
      <c r="A2862" s="3" t="n">
        <v>2023</v>
      </c>
      <c r="B2862" s="4" t="n">
        <v>50400</v>
      </c>
      <c r="C2862" s="4" t="n">
        <v>1111</v>
      </c>
      <c r="D2862" s="3" t="inlineStr">
        <is>
          <t>강내면</t>
        </is>
      </c>
      <c r="E2862" s="3" t="inlineStr">
        <is>
          <t>궁현리</t>
        </is>
      </c>
      <c r="F2862" s="3" t="inlineStr">
        <is>
          <t>계획관리지역</t>
        </is>
      </c>
      <c r="G2862" s="3" t="inlineStr">
        <is>
          <t>전</t>
        </is>
      </c>
      <c r="H2862" s="4" t="n">
        <v>336.0775</v>
      </c>
      <c r="I2862" s="5" t="n">
        <v>150</v>
      </c>
      <c r="J2862" s="3" t="inlineStr">
        <is>
          <t>강내면</t>
        </is>
      </c>
    </row>
    <row r="2863">
      <c r="A2863" s="3" t="n">
        <v>2023</v>
      </c>
      <c r="B2863" s="4" t="n">
        <v>27000</v>
      </c>
      <c r="C2863" s="4" t="n">
        <v>2635</v>
      </c>
      <c r="D2863" s="3" t="inlineStr">
        <is>
          <t>오송읍</t>
        </is>
      </c>
      <c r="E2863" s="3" t="inlineStr">
        <is>
          <t>서평리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797.0875</v>
      </c>
      <c r="I2863" s="5" t="n">
        <v>33.9</v>
      </c>
      <c r="J2863" s="3" t="inlineStr">
        <is>
          <t>오송읍</t>
        </is>
      </c>
    </row>
    <row r="2864">
      <c r="A2864" s="3" t="n">
        <v>2023</v>
      </c>
      <c r="B2864" s="4" t="n">
        <v>41000</v>
      </c>
      <c r="C2864" s="4" t="n">
        <v>2243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용도미지정</t>
        </is>
      </c>
      <c r="G2864" s="3" t="inlineStr">
        <is>
          <t>답</t>
        </is>
      </c>
      <c r="H2864" s="4" t="n">
        <v>678.5074999999999</v>
      </c>
      <c r="I2864" s="5" t="n">
        <v>60.4</v>
      </c>
      <c r="J2864" s="3" t="inlineStr">
        <is>
          <t>강내면</t>
        </is>
      </c>
    </row>
    <row r="2865">
      <c r="A2865" s="3" t="n">
        <v>2023</v>
      </c>
      <c r="B2865" s="4" t="n">
        <v>23800</v>
      </c>
      <c r="C2865" s="4" t="n">
        <v>1300</v>
      </c>
      <c r="D2865" s="3" t="inlineStr">
        <is>
          <t>강내면</t>
        </is>
      </c>
      <c r="E2865" s="3" t="inlineStr">
        <is>
          <t>태성리</t>
        </is>
      </c>
      <c r="F2865" s="3" t="inlineStr">
        <is>
          <t>계획관리지역</t>
        </is>
      </c>
      <c r="G2865" s="3" t="inlineStr">
        <is>
          <t>임야</t>
        </is>
      </c>
      <c r="H2865" s="4" t="n">
        <v>393.25</v>
      </c>
      <c r="I2865" s="5" t="n">
        <v>60.5</v>
      </c>
      <c r="J2865" s="3" t="inlineStr">
        <is>
          <t>강내면</t>
        </is>
      </c>
    </row>
    <row r="2866">
      <c r="A2866" s="3" t="n">
        <v>2023</v>
      </c>
      <c r="B2866" s="4" t="n">
        <v>3700</v>
      </c>
      <c r="C2866" s="4" t="n">
        <v>197</v>
      </c>
      <c r="D2866" s="3" t="inlineStr">
        <is>
          <t>강내면</t>
        </is>
      </c>
      <c r="E2866" s="3" t="inlineStr">
        <is>
          <t>태성리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59.5925</v>
      </c>
      <c r="I2866" s="5" t="n">
        <v>62.1</v>
      </c>
      <c r="J2866" s="3" t="inlineStr">
        <is>
          <t>강내면</t>
        </is>
      </c>
    </row>
    <row r="2867">
      <c r="A2867" s="3" t="n">
        <v>2023</v>
      </c>
      <c r="B2867" s="4" t="n">
        <v>7220</v>
      </c>
      <c r="C2867" s="4" t="n">
        <v>147</v>
      </c>
      <c r="D2867" s="3" t="inlineStr">
        <is>
          <t>오송읍</t>
        </is>
      </c>
      <c r="E2867" s="3" t="inlineStr">
        <is>
          <t>연제리</t>
        </is>
      </c>
      <c r="F2867" s="3" t="inlineStr">
        <is>
          <t>계획관리지역</t>
        </is>
      </c>
      <c r="G2867" s="3" t="inlineStr">
        <is>
          <t>답</t>
        </is>
      </c>
      <c r="H2867" s="4" t="n">
        <v>44.4675</v>
      </c>
      <c r="I2867" s="5" t="n">
        <v>162.4</v>
      </c>
      <c r="J2867" s="3" t="inlineStr">
        <is>
          <t>오송읍</t>
        </is>
      </c>
    </row>
    <row r="2868">
      <c r="A2868" s="3" t="n">
        <v>2023</v>
      </c>
      <c r="B2868" s="4" t="n">
        <v>19100</v>
      </c>
      <c r="C2868" s="4" t="n">
        <v>521</v>
      </c>
      <c r="D2868" s="3" t="inlineStr">
        <is>
          <t>오송읍</t>
        </is>
      </c>
      <c r="E2868" s="3" t="inlineStr">
        <is>
          <t>상봉리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157.6025</v>
      </c>
      <c r="I2868" s="5" t="n">
        <v>121.2</v>
      </c>
      <c r="J2868" s="3" t="inlineStr">
        <is>
          <t>오송읍</t>
        </is>
      </c>
    </row>
    <row r="2869">
      <c r="A2869" s="3" t="n">
        <v>2023</v>
      </c>
      <c r="B2869" s="4" t="n">
        <v>1900</v>
      </c>
      <c r="C2869" s="4" t="n">
        <v>126</v>
      </c>
      <c r="D2869" s="3" t="inlineStr">
        <is>
          <t>오송읍</t>
        </is>
      </c>
      <c r="E2869" s="3" t="inlineStr">
        <is>
          <t>상봉리</t>
        </is>
      </c>
      <c r="F2869" s="3" t="inlineStr">
        <is>
          <t>생산관리지역</t>
        </is>
      </c>
      <c r="G2869" s="3" t="inlineStr">
        <is>
          <t>도로</t>
        </is>
      </c>
      <c r="H2869" s="4" t="n">
        <v>38.115</v>
      </c>
      <c r="I2869" s="5" t="n">
        <v>49.8</v>
      </c>
      <c r="J2869" s="3" t="inlineStr">
        <is>
          <t>오송읍</t>
        </is>
      </c>
    </row>
    <row r="2870">
      <c r="A2870" s="3" t="n">
        <v>2023</v>
      </c>
      <c r="B2870" s="4" t="n">
        <v>53207</v>
      </c>
      <c r="C2870" s="4" t="n">
        <v>2388.1</v>
      </c>
      <c r="D2870" s="3" t="inlineStr">
        <is>
          <t>오송읍</t>
        </is>
      </c>
      <c r="E2870" s="3" t="inlineStr">
        <is>
          <t>연제리</t>
        </is>
      </c>
      <c r="F2870" s="3" t="inlineStr">
        <is>
          <t>준공업지역</t>
        </is>
      </c>
      <c r="G2870" s="3" t="inlineStr">
        <is>
          <t>대</t>
        </is>
      </c>
      <c r="H2870" s="4" t="n">
        <v>722.4002499999999</v>
      </c>
      <c r="I2870" s="5" t="n">
        <v>73.7</v>
      </c>
      <c r="J2870" s="3" t="inlineStr">
        <is>
          <t>오송읍</t>
        </is>
      </c>
    </row>
    <row r="2871">
      <c r="A2871" s="3" t="n">
        <v>2023</v>
      </c>
      <c r="B2871" s="4" t="n">
        <v>2000</v>
      </c>
      <c r="C2871" s="4" t="n">
        <v>203.2</v>
      </c>
      <c r="D2871" s="3" t="inlineStr">
        <is>
          <t>강내면</t>
        </is>
      </c>
      <c r="E2871" s="3" t="inlineStr">
        <is>
          <t>사곡리</t>
        </is>
      </c>
      <c r="F2871" s="3" t="inlineStr">
        <is>
          <t>보전관리지역</t>
        </is>
      </c>
      <c r="G2871" s="3" t="inlineStr">
        <is>
          <t>도로</t>
        </is>
      </c>
      <c r="H2871" s="4" t="n">
        <v>61.468</v>
      </c>
      <c r="I2871" s="5" t="n">
        <v>32.5</v>
      </c>
      <c r="J2871" s="3" t="inlineStr">
        <is>
          <t>강내면</t>
        </is>
      </c>
    </row>
    <row r="2872">
      <c r="A2872" s="3" t="n">
        <v>2023</v>
      </c>
      <c r="B2872" s="4" t="n">
        <v>500</v>
      </c>
      <c r="C2872" s="4" t="n">
        <v>165</v>
      </c>
      <c r="D2872" s="3" t="inlineStr">
        <is>
          <t>강내면</t>
        </is>
      </c>
      <c r="E2872" s="3" t="inlineStr">
        <is>
          <t>사곡리</t>
        </is>
      </c>
      <c r="F2872" s="3" t="inlineStr">
        <is>
          <t>보전관리지역</t>
        </is>
      </c>
      <c r="G2872" s="3" t="inlineStr">
        <is>
          <t>도로</t>
        </is>
      </c>
      <c r="H2872" s="4" t="n">
        <v>49.9125</v>
      </c>
      <c r="I2872" s="5" t="n">
        <v>10</v>
      </c>
      <c r="J2872" s="3" t="inlineStr">
        <is>
          <t>강내면</t>
        </is>
      </c>
    </row>
    <row r="2873">
      <c r="A2873" s="3" t="n">
        <v>2022</v>
      </c>
      <c r="B2873" s="4" t="n">
        <v>586588</v>
      </c>
      <c r="C2873" s="4" t="n">
        <v>16496.2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일반공업지역</t>
        </is>
      </c>
      <c r="G2873" s="3" t="inlineStr">
        <is>
          <t>공장용지</t>
        </is>
      </c>
      <c r="H2873" s="4" t="n">
        <v>4990.1005</v>
      </c>
      <c r="I2873" s="5" t="n">
        <v>117.6</v>
      </c>
      <c r="J2873" s="3" t="inlineStr">
        <is>
          <t>오송읍</t>
        </is>
      </c>
    </row>
    <row r="2874">
      <c r="A2874" s="3" t="n">
        <v>2022</v>
      </c>
      <c r="B2874" s="4" t="n">
        <v>162000</v>
      </c>
      <c r="C2874" s="4" t="n">
        <v>584.2</v>
      </c>
      <c r="D2874" s="3" t="inlineStr">
        <is>
          <t>오송읍</t>
        </is>
      </c>
      <c r="E2874" s="3" t="inlineStr">
        <is>
          <t>정중리</t>
        </is>
      </c>
      <c r="F2874" s="3" t="inlineStr">
        <is>
          <t>준공업지역</t>
        </is>
      </c>
      <c r="G2874" s="3" t="inlineStr">
        <is>
          <t>대</t>
        </is>
      </c>
      <c r="H2874" s="4" t="n">
        <v>176.7205</v>
      </c>
      <c r="I2874" s="5" t="n">
        <v>916.7</v>
      </c>
      <c r="J2874" s="3" t="inlineStr">
        <is>
          <t>오송읍</t>
        </is>
      </c>
    </row>
    <row r="2875">
      <c r="A2875" s="3" t="n">
        <v>2022</v>
      </c>
      <c r="B2875" s="4" t="n">
        <v>800000</v>
      </c>
      <c r="C2875" s="4" t="n">
        <v>2187.4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주차장</t>
        </is>
      </c>
      <c r="H2875" s="4" t="n">
        <v>661.6885</v>
      </c>
      <c r="I2875" s="5" t="n">
        <v>1209</v>
      </c>
      <c r="J2875" s="3" t="inlineStr">
        <is>
          <t>오송읍</t>
        </is>
      </c>
    </row>
    <row r="2876">
      <c r="A2876" s="3" t="n">
        <v>2022</v>
      </c>
      <c r="B2876" s="4" t="n">
        <v>36000</v>
      </c>
      <c r="C2876" s="4" t="n">
        <v>264.8</v>
      </c>
      <c r="D2876" s="3" t="inlineStr">
        <is>
          <t>오송읍</t>
        </is>
      </c>
      <c r="E2876" s="3" t="inlineStr">
        <is>
          <t>봉산리</t>
        </is>
      </c>
      <c r="F2876" s="3" t="inlineStr">
        <is>
          <t>제1종일반주거지역</t>
        </is>
      </c>
      <c r="G2876" s="3" t="inlineStr">
        <is>
          <t>대</t>
        </is>
      </c>
      <c r="H2876" s="4" t="n">
        <v>80.102</v>
      </c>
      <c r="I2876" s="5" t="n">
        <v>449.4</v>
      </c>
      <c r="J2876" s="3" t="inlineStr">
        <is>
          <t>오송읍</t>
        </is>
      </c>
    </row>
    <row r="2877">
      <c r="A2877" s="3" t="n">
        <v>2022</v>
      </c>
      <c r="B2877" s="4" t="n">
        <v>214400</v>
      </c>
      <c r="C2877" s="4" t="n">
        <v>584</v>
      </c>
      <c r="D2877" s="3" t="inlineStr">
        <is>
          <t>오송읍</t>
        </is>
      </c>
      <c r="E2877" s="3" t="inlineStr">
        <is>
          <t>정중리</t>
        </is>
      </c>
      <c r="F2877" s="3" t="inlineStr">
        <is>
          <t>준공업지역</t>
        </is>
      </c>
      <c r="G2877" s="3" t="inlineStr">
        <is>
          <t>대</t>
        </is>
      </c>
      <c r="H2877" s="4" t="n">
        <v>176.66</v>
      </c>
      <c r="I2877" s="5" t="n">
        <v>1213.6</v>
      </c>
      <c r="J2877" s="3" t="inlineStr">
        <is>
          <t>오송읍</t>
        </is>
      </c>
    </row>
    <row r="2878">
      <c r="A2878" s="3" t="n">
        <v>2022</v>
      </c>
      <c r="B2878" s="4" t="n">
        <v>235000</v>
      </c>
      <c r="C2878" s="4" t="n">
        <v>559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준공업지역</t>
        </is>
      </c>
      <c r="G2878" s="3" t="inlineStr">
        <is>
          <t>대</t>
        </is>
      </c>
      <c r="H2878" s="4" t="n">
        <v>169.0975</v>
      </c>
      <c r="I2878" s="5" t="n">
        <v>1389.7</v>
      </c>
      <c r="J2878" s="3" t="inlineStr">
        <is>
          <t>오송읍</t>
        </is>
      </c>
    </row>
    <row r="2879">
      <c r="A2879" s="3" t="n">
        <v>2022</v>
      </c>
      <c r="B2879" s="4" t="n">
        <v>12850</v>
      </c>
      <c r="C2879" s="4" t="n">
        <v>531</v>
      </c>
      <c r="D2879" s="3" t="inlineStr">
        <is>
          <t>강내면</t>
        </is>
      </c>
      <c r="E2879" s="3" t="inlineStr">
        <is>
          <t>저산리</t>
        </is>
      </c>
      <c r="F2879" s="3" t="inlineStr">
        <is>
          <t>보전관리지역</t>
        </is>
      </c>
      <c r="G2879" s="3" t="inlineStr">
        <is>
          <t>임야</t>
        </is>
      </c>
      <c r="H2879" s="4" t="n">
        <v>160.6275</v>
      </c>
      <c r="I2879" s="5" t="n">
        <v>80</v>
      </c>
      <c r="J2879" s="3" t="inlineStr">
        <is>
          <t>강내면</t>
        </is>
      </c>
    </row>
    <row r="2880">
      <c r="A2880" s="3" t="n">
        <v>2022</v>
      </c>
      <c r="B2880" s="4" t="n">
        <v>7880</v>
      </c>
      <c r="C2880" s="4" t="n">
        <v>326</v>
      </c>
      <c r="D2880" s="3" t="inlineStr">
        <is>
          <t>강내면</t>
        </is>
      </c>
      <c r="E2880" s="3" t="inlineStr">
        <is>
          <t>저산리</t>
        </is>
      </c>
      <c r="F2880" s="3" t="inlineStr">
        <is>
          <t>보전관리지역</t>
        </is>
      </c>
      <c r="G2880" s="3" t="inlineStr">
        <is>
          <t>임야</t>
        </is>
      </c>
      <c r="H2880" s="4" t="n">
        <v>98.61499999999999</v>
      </c>
      <c r="I2880" s="5" t="n">
        <v>79.90000000000001</v>
      </c>
      <c r="J2880" s="3" t="inlineStr">
        <is>
          <t>강내면</t>
        </is>
      </c>
    </row>
    <row r="2881">
      <c r="A2881" s="3" t="n">
        <v>2022</v>
      </c>
      <c r="B2881" s="4" t="n">
        <v>5470</v>
      </c>
      <c r="C2881" s="4" t="n">
        <v>226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임야</t>
        </is>
      </c>
      <c r="H2881" s="4" t="n">
        <v>68.36499999999999</v>
      </c>
      <c r="I2881" s="5" t="n">
        <v>80</v>
      </c>
      <c r="J2881" s="3" t="inlineStr">
        <is>
          <t>강내면</t>
        </is>
      </c>
    </row>
    <row r="2882">
      <c r="A2882" s="3" t="n">
        <v>2022</v>
      </c>
      <c r="B2882" s="4" t="n">
        <v>11280</v>
      </c>
      <c r="C2882" s="4" t="n">
        <v>466</v>
      </c>
      <c r="D2882" s="3" t="inlineStr">
        <is>
          <t>강내면</t>
        </is>
      </c>
      <c r="E2882" s="3" t="inlineStr">
        <is>
          <t>저산리</t>
        </is>
      </c>
      <c r="F2882" s="3" t="inlineStr">
        <is>
          <t>보전관리지역</t>
        </is>
      </c>
      <c r="G2882" s="3" t="inlineStr">
        <is>
          <t>임야</t>
        </is>
      </c>
      <c r="H2882" s="4" t="n">
        <v>140.965</v>
      </c>
      <c r="I2882" s="5" t="n">
        <v>80</v>
      </c>
      <c r="J2882" s="3" t="inlineStr">
        <is>
          <t>강내면</t>
        </is>
      </c>
    </row>
    <row r="2883">
      <c r="A2883" s="3" t="n">
        <v>2022</v>
      </c>
      <c r="B2883" s="4" t="n">
        <v>3000</v>
      </c>
      <c r="C2883" s="4" t="n">
        <v>25</v>
      </c>
      <c r="D2883" s="3" t="inlineStr">
        <is>
          <t>오송읍</t>
        </is>
      </c>
      <c r="E2883" s="3" t="inlineStr">
        <is>
          <t>봉산리</t>
        </is>
      </c>
      <c r="F2883" s="3" t="inlineStr">
        <is>
          <t>계획관리지역</t>
        </is>
      </c>
      <c r="G2883" s="3" t="inlineStr">
        <is>
          <t>도로</t>
        </is>
      </c>
      <c r="H2883" s="4" t="n">
        <v>7.5625</v>
      </c>
      <c r="I2883" s="5" t="n">
        <v>396.7</v>
      </c>
      <c r="J2883" s="3" t="inlineStr">
        <is>
          <t>오송읍</t>
        </is>
      </c>
    </row>
    <row r="2884">
      <c r="A2884" s="3" t="n">
        <v>2022</v>
      </c>
      <c r="B2884" s="4" t="n">
        <v>6500</v>
      </c>
      <c r="C2884" s="4" t="n">
        <v>54</v>
      </c>
      <c r="D2884" s="3" t="inlineStr">
        <is>
          <t>오송읍</t>
        </is>
      </c>
      <c r="E2884" s="3" t="inlineStr">
        <is>
          <t>봉산리</t>
        </is>
      </c>
      <c r="F2884" s="3" t="inlineStr">
        <is>
          <t>계획관리지역</t>
        </is>
      </c>
      <c r="G2884" s="3" t="inlineStr">
        <is>
          <t>도로</t>
        </is>
      </c>
      <c r="H2884" s="4" t="n">
        <v>16.335</v>
      </c>
      <c r="I2884" s="5" t="n">
        <v>397.9</v>
      </c>
      <c r="J2884" s="3" t="inlineStr">
        <is>
          <t>오송읍</t>
        </is>
      </c>
    </row>
    <row r="2885">
      <c r="A2885" s="3" t="n">
        <v>2022</v>
      </c>
      <c r="B2885" s="4" t="n">
        <v>18600</v>
      </c>
      <c r="C2885" s="4" t="n">
        <v>560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계획관리지역</t>
        </is>
      </c>
      <c r="G2885" s="3" t="inlineStr">
        <is>
          <t>임야</t>
        </is>
      </c>
      <c r="H2885" s="4" t="n">
        <v>169.4</v>
      </c>
      <c r="I2885" s="5" t="n">
        <v>109.8</v>
      </c>
      <c r="J2885" s="3" t="inlineStr">
        <is>
          <t>강내면</t>
        </is>
      </c>
    </row>
    <row r="2886">
      <c r="A2886" s="3" t="n">
        <v>2022</v>
      </c>
      <c r="B2886" s="4" t="n">
        <v>219000</v>
      </c>
      <c r="C2886" s="4" t="n">
        <v>558.8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준공업지역</t>
        </is>
      </c>
      <c r="G2886" s="3" t="inlineStr">
        <is>
          <t>대</t>
        </is>
      </c>
      <c r="H2886" s="4" t="n">
        <v>169.037</v>
      </c>
      <c r="I2886" s="5" t="n">
        <v>1295.6</v>
      </c>
      <c r="J2886" s="3" t="inlineStr">
        <is>
          <t>오송읍</t>
        </is>
      </c>
    </row>
    <row r="2887">
      <c r="A2887" s="3" t="n">
        <v>2022</v>
      </c>
      <c r="B2887" s="4" t="n">
        <v>500</v>
      </c>
      <c r="C2887" s="4" t="n">
        <v>46</v>
      </c>
      <c r="D2887" s="3" t="inlineStr">
        <is>
          <t>오송읍</t>
        </is>
      </c>
      <c r="E2887" s="3" t="inlineStr">
        <is>
          <t>쌍청리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13.915</v>
      </c>
      <c r="I2887" s="5" t="n">
        <v>35.9</v>
      </c>
      <c r="J2887" s="3" t="inlineStr">
        <is>
          <t>오송읍</t>
        </is>
      </c>
    </row>
    <row r="2888">
      <c r="A2888" s="3" t="n">
        <v>2022</v>
      </c>
      <c r="B2888" s="4" t="n">
        <v>139590</v>
      </c>
      <c r="C2888" s="4" t="n">
        <v>2620</v>
      </c>
      <c r="D2888" s="3" t="inlineStr">
        <is>
          <t>강내면</t>
        </is>
      </c>
      <c r="E2888" s="3" t="inlineStr">
        <is>
          <t>월곡리</t>
        </is>
      </c>
      <c r="F2888" s="3" t="inlineStr">
        <is>
          <t>자연녹지지역</t>
        </is>
      </c>
      <c r="G2888" s="3" t="inlineStr">
        <is>
          <t>임야</t>
        </is>
      </c>
      <c r="H2888" s="4" t="n">
        <v>792.55</v>
      </c>
      <c r="I2888" s="5" t="n">
        <v>176.1</v>
      </c>
      <c r="J2888" s="3" t="inlineStr">
        <is>
          <t>강내면</t>
        </is>
      </c>
    </row>
    <row r="2889">
      <c r="A2889" s="3" t="n">
        <v>2022</v>
      </c>
      <c r="B2889" s="4" t="n">
        <v>10110</v>
      </c>
      <c r="C2889" s="4" t="n">
        <v>190</v>
      </c>
      <c r="D2889" s="3" t="inlineStr">
        <is>
          <t>강내면</t>
        </is>
      </c>
      <c r="E2889" s="3" t="inlineStr">
        <is>
          <t>월곡리</t>
        </is>
      </c>
      <c r="F2889" s="3" t="inlineStr">
        <is>
          <t>자연녹지지역</t>
        </is>
      </c>
      <c r="G2889" s="3" t="inlineStr">
        <is>
          <t>임야</t>
        </is>
      </c>
      <c r="H2889" s="4" t="n">
        <v>57.475</v>
      </c>
      <c r="I2889" s="5" t="n">
        <v>175.9</v>
      </c>
      <c r="J2889" s="3" t="inlineStr">
        <is>
          <t>강내면</t>
        </is>
      </c>
    </row>
    <row r="2890">
      <c r="A2890" s="3" t="n">
        <v>2022</v>
      </c>
      <c r="B2890" s="4" t="n">
        <v>198000</v>
      </c>
      <c r="C2890" s="4" t="n">
        <v>31679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보전관리지역</t>
        </is>
      </c>
      <c r="G2890" s="3" t="inlineStr">
        <is>
          <t>임야</t>
        </is>
      </c>
      <c r="H2890" s="4" t="n">
        <v>9582.897499999999</v>
      </c>
      <c r="I2890" s="5" t="n">
        <v>20.7</v>
      </c>
      <c r="J2890" s="3" t="inlineStr">
        <is>
          <t>강내면</t>
        </is>
      </c>
    </row>
    <row r="2891">
      <c r="A2891" s="3" t="n">
        <v>2022</v>
      </c>
      <c r="B2891" s="4" t="n">
        <v>4900</v>
      </c>
      <c r="C2891" s="4" t="n">
        <v>453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137.0325</v>
      </c>
      <c r="I2891" s="5" t="n">
        <v>35.8</v>
      </c>
      <c r="J2891" s="3" t="inlineStr">
        <is>
          <t>강내면</t>
        </is>
      </c>
    </row>
    <row r="2892">
      <c r="A2892" s="3" t="n">
        <v>2022</v>
      </c>
      <c r="B2892" s="4" t="n">
        <v>50</v>
      </c>
      <c r="C2892" s="4" t="n">
        <v>3</v>
      </c>
      <c r="D2892" s="3" t="inlineStr">
        <is>
          <t>강내면</t>
        </is>
      </c>
      <c r="E2892" s="3" t="inlineStr">
        <is>
          <t>사인리</t>
        </is>
      </c>
      <c r="F2892" s="3" t="inlineStr">
        <is>
          <t>자연녹지지역</t>
        </is>
      </c>
      <c r="G2892" s="3" t="inlineStr">
        <is>
          <t>대</t>
        </is>
      </c>
      <c r="H2892" s="4" t="n">
        <v>0.9075</v>
      </c>
      <c r="I2892" s="5" t="n">
        <v>55.1</v>
      </c>
      <c r="J2892" s="3" t="inlineStr">
        <is>
          <t>강내면</t>
        </is>
      </c>
    </row>
    <row r="2893">
      <c r="A2893" s="3" t="n">
        <v>2022</v>
      </c>
      <c r="B2893" s="4" t="n">
        <v>270</v>
      </c>
      <c r="C2893" s="4" t="n">
        <v>17</v>
      </c>
      <c r="D2893" s="3" t="inlineStr">
        <is>
          <t>강내면</t>
        </is>
      </c>
      <c r="E2893" s="3" t="inlineStr">
        <is>
          <t>사인리</t>
        </is>
      </c>
      <c r="F2893" s="3" t="inlineStr">
        <is>
          <t>자연녹지지역</t>
        </is>
      </c>
      <c r="G2893" s="3" t="inlineStr">
        <is>
          <t>대</t>
        </is>
      </c>
      <c r="H2893" s="4" t="n">
        <v>5.1425</v>
      </c>
      <c r="I2893" s="5" t="n">
        <v>52.5</v>
      </c>
      <c r="J2893" s="3" t="inlineStr">
        <is>
          <t>강내면</t>
        </is>
      </c>
    </row>
    <row r="2894">
      <c r="A2894" s="3" t="n">
        <v>2022</v>
      </c>
      <c r="B2894" s="4" t="n">
        <v>160</v>
      </c>
      <c r="C2894" s="4" t="n">
        <v>25</v>
      </c>
      <c r="D2894" s="3" t="inlineStr">
        <is>
          <t>강내면</t>
        </is>
      </c>
      <c r="E2894" s="3" t="inlineStr">
        <is>
          <t>사인리</t>
        </is>
      </c>
      <c r="F2894" s="3" t="inlineStr">
        <is>
          <t>자연녹지지역</t>
        </is>
      </c>
      <c r="G2894" s="3" t="inlineStr">
        <is>
          <t>대</t>
        </is>
      </c>
      <c r="H2894" s="4" t="n">
        <v>7.5625</v>
      </c>
      <c r="I2894" s="5" t="n">
        <v>21.2</v>
      </c>
      <c r="J2894" s="3" t="inlineStr">
        <is>
          <t>강내면</t>
        </is>
      </c>
    </row>
    <row r="2895">
      <c r="A2895" s="3" t="n">
        <v>2022</v>
      </c>
      <c r="B2895" s="4" t="n">
        <v>14190</v>
      </c>
      <c r="C2895" s="4" t="n">
        <v>853</v>
      </c>
      <c r="D2895" s="3" t="inlineStr">
        <is>
          <t>오송읍</t>
        </is>
      </c>
      <c r="E2895" s="3" t="inlineStr">
        <is>
          <t>서평리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258.0325</v>
      </c>
      <c r="I2895" s="5" t="n">
        <v>55</v>
      </c>
      <c r="J2895" s="3" t="inlineStr">
        <is>
          <t>오송읍</t>
        </is>
      </c>
    </row>
    <row r="2896">
      <c r="A2896" s="3" t="n">
        <v>2022</v>
      </c>
      <c r="B2896" s="4" t="n">
        <v>2720</v>
      </c>
      <c r="C2896" s="4" t="n">
        <v>112</v>
      </c>
      <c r="D2896" s="3" t="inlineStr">
        <is>
          <t>강내면</t>
        </is>
      </c>
      <c r="E2896" s="3" t="inlineStr">
        <is>
          <t>월탄리</t>
        </is>
      </c>
      <c r="F2896" s="3" t="inlineStr">
        <is>
          <t>자연녹지지역</t>
        </is>
      </c>
      <c r="G2896" s="3" t="inlineStr">
        <is>
          <t>임야</t>
        </is>
      </c>
      <c r="H2896" s="4" t="n">
        <v>33.88</v>
      </c>
      <c r="I2896" s="5" t="n">
        <v>80.3</v>
      </c>
      <c r="J2896" s="3" t="inlineStr">
        <is>
          <t>강내면</t>
        </is>
      </c>
    </row>
    <row r="2897">
      <c r="A2897" s="3" t="n">
        <v>2022</v>
      </c>
      <c r="B2897" s="4" t="n">
        <v>54400</v>
      </c>
      <c r="C2897" s="4" t="n">
        <v>265</v>
      </c>
      <c r="D2897" s="3" t="inlineStr">
        <is>
          <t>강내면</t>
        </is>
      </c>
      <c r="E2897" s="3" t="inlineStr">
        <is>
          <t>월곡리</t>
        </is>
      </c>
      <c r="F2897" s="3" t="inlineStr">
        <is>
          <t>제2종일반주거지역</t>
        </is>
      </c>
      <c r="G2897" s="3" t="inlineStr">
        <is>
          <t>답</t>
        </is>
      </c>
      <c r="H2897" s="4" t="n">
        <v>80.16249999999999</v>
      </c>
      <c r="I2897" s="5" t="n">
        <v>678.6</v>
      </c>
      <c r="J2897" s="3" t="inlineStr">
        <is>
          <t>강내면</t>
        </is>
      </c>
    </row>
    <row r="2898">
      <c r="A2898" s="3" t="n">
        <v>2022</v>
      </c>
      <c r="B2898" s="4" t="n">
        <v>10000</v>
      </c>
      <c r="C2898" s="4" t="n">
        <v>403</v>
      </c>
      <c r="D2898" s="3" t="inlineStr">
        <is>
          <t>오송읍</t>
        </is>
      </c>
      <c r="E2898" s="3" t="inlineStr">
        <is>
          <t>동평리</t>
        </is>
      </c>
      <c r="F2898" s="3" t="inlineStr">
        <is>
          <t>농림지역</t>
        </is>
      </c>
      <c r="G2898" s="3" t="inlineStr">
        <is>
          <t>전</t>
        </is>
      </c>
      <c r="H2898" s="4" t="n">
        <v>121.9075</v>
      </c>
      <c r="I2898" s="5" t="n">
        <v>82</v>
      </c>
      <c r="J2898" s="3" t="inlineStr">
        <is>
          <t>오송읍</t>
        </is>
      </c>
    </row>
    <row r="2899">
      <c r="A2899" s="3" t="n">
        <v>2022</v>
      </c>
      <c r="B2899" s="4" t="n">
        <v>59677</v>
      </c>
      <c r="C2899" s="4" t="n">
        <v>2908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879.67</v>
      </c>
      <c r="I2899" s="5" t="n">
        <v>67.8</v>
      </c>
      <c r="J2899" s="3" t="inlineStr">
        <is>
          <t>오송읍</t>
        </is>
      </c>
    </row>
    <row r="2900">
      <c r="A2900" s="3" t="n">
        <v>2022</v>
      </c>
      <c r="B2900" s="4" t="n">
        <v>7100</v>
      </c>
      <c r="C2900" s="4" t="n">
        <v>235</v>
      </c>
      <c r="D2900" s="3" t="inlineStr">
        <is>
          <t>강내면</t>
        </is>
      </c>
      <c r="E2900" s="3" t="inlineStr">
        <is>
          <t>산단리</t>
        </is>
      </c>
      <c r="F2900" s="3" t="inlineStr">
        <is>
          <t>계획관리지역</t>
        </is>
      </c>
      <c r="G2900" s="3" t="inlineStr">
        <is>
          <t>대</t>
        </is>
      </c>
      <c r="H2900" s="4" t="n">
        <v>71.08749999999999</v>
      </c>
      <c r="I2900" s="5" t="n">
        <v>99.90000000000001</v>
      </c>
      <c r="J2900" s="3" t="inlineStr">
        <is>
          <t>강내면</t>
        </is>
      </c>
    </row>
    <row r="2901">
      <c r="A2901" s="3" t="n">
        <v>2022</v>
      </c>
      <c r="B2901" s="4" t="n">
        <v>7800</v>
      </c>
      <c r="C2901" s="4" t="n">
        <v>87</v>
      </c>
      <c r="D2901" s="3" t="inlineStr">
        <is>
          <t>강내면</t>
        </is>
      </c>
      <c r="E2901" s="3" t="inlineStr">
        <is>
          <t>월곡리</t>
        </is>
      </c>
      <c r="F2901" s="3" t="inlineStr">
        <is>
          <t>제2종일반주거지역</t>
        </is>
      </c>
      <c r="G2901" s="3" t="inlineStr">
        <is>
          <t>답</t>
        </is>
      </c>
      <c r="H2901" s="4" t="n">
        <v>26.3175</v>
      </c>
      <c r="I2901" s="5" t="n">
        <v>296.4</v>
      </c>
      <c r="J2901" s="3" t="inlineStr">
        <is>
          <t>강내면</t>
        </is>
      </c>
    </row>
    <row r="2902">
      <c r="A2902" s="3" t="n">
        <v>2022</v>
      </c>
      <c r="B2902" s="4" t="n">
        <v>34300</v>
      </c>
      <c r="C2902" s="4" t="n">
        <v>1012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전</t>
        </is>
      </c>
      <c r="H2902" s="4" t="n">
        <v>306.13</v>
      </c>
      <c r="I2902" s="5" t="n">
        <v>112</v>
      </c>
      <c r="J2902" s="3" t="inlineStr">
        <is>
          <t>오송읍</t>
        </is>
      </c>
    </row>
    <row r="2903">
      <c r="A2903" s="3" t="n">
        <v>2022</v>
      </c>
      <c r="B2903" s="4" t="n">
        <v>29933</v>
      </c>
      <c r="C2903" s="4" t="n">
        <v>882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266.805</v>
      </c>
      <c r="I2903" s="5" t="n">
        <v>112.2</v>
      </c>
      <c r="J2903" s="3" t="inlineStr">
        <is>
          <t>오송읍</t>
        </is>
      </c>
    </row>
    <row r="2904">
      <c r="A2904" s="3" t="n">
        <v>2022</v>
      </c>
      <c r="B2904" s="4" t="n">
        <v>15730</v>
      </c>
      <c r="C2904" s="4" t="n">
        <v>416</v>
      </c>
      <c r="D2904" s="3" t="inlineStr">
        <is>
          <t>오송읍</t>
        </is>
      </c>
      <c r="E2904" s="3" t="inlineStr">
        <is>
          <t>공북리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125.84</v>
      </c>
      <c r="I2904" s="5" t="n">
        <v>125</v>
      </c>
      <c r="J2904" s="3" t="inlineStr">
        <is>
          <t>오송읍</t>
        </is>
      </c>
    </row>
    <row r="2905">
      <c r="A2905" s="3" t="n">
        <v>2022</v>
      </c>
      <c r="B2905" s="4" t="n">
        <v>15730</v>
      </c>
      <c r="C2905" s="4" t="n">
        <v>416</v>
      </c>
      <c r="D2905" s="3" t="inlineStr">
        <is>
          <t>오송읍</t>
        </is>
      </c>
      <c r="E2905" s="3" t="inlineStr">
        <is>
          <t>공북리</t>
        </is>
      </c>
      <c r="F2905" s="3" t="inlineStr">
        <is>
          <t>계획관리지역</t>
        </is>
      </c>
      <c r="G2905" s="3" t="inlineStr">
        <is>
          <t>답</t>
        </is>
      </c>
      <c r="H2905" s="4" t="n">
        <v>125.84</v>
      </c>
      <c r="I2905" s="5" t="n">
        <v>125</v>
      </c>
      <c r="J2905" s="3" t="inlineStr">
        <is>
          <t>오송읍</t>
        </is>
      </c>
    </row>
    <row r="2906">
      <c r="A2906" s="3" t="n">
        <v>2022</v>
      </c>
      <c r="B2906" s="4" t="n">
        <v>30000</v>
      </c>
      <c r="C2906" s="4" t="n">
        <v>271.8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82.2195</v>
      </c>
      <c r="I2906" s="5" t="n">
        <v>364.9</v>
      </c>
      <c r="J2906" s="3" t="inlineStr">
        <is>
          <t>오송읍</t>
        </is>
      </c>
    </row>
    <row r="2907">
      <c r="A2907" s="3" t="n">
        <v>2022</v>
      </c>
      <c r="B2907" s="4" t="n">
        <v>15690</v>
      </c>
      <c r="C2907" s="4" t="n">
        <v>415</v>
      </c>
      <c r="D2907" s="3" t="inlineStr">
        <is>
          <t>오송읍</t>
        </is>
      </c>
      <c r="E2907" s="3" t="inlineStr">
        <is>
          <t>공북리</t>
        </is>
      </c>
      <c r="F2907" s="3" t="inlineStr">
        <is>
          <t>계획관리지역</t>
        </is>
      </c>
      <c r="G2907" s="3" t="inlineStr">
        <is>
          <t>답</t>
        </is>
      </c>
      <c r="H2907" s="4" t="n">
        <v>125.5375</v>
      </c>
      <c r="I2907" s="5" t="n">
        <v>125</v>
      </c>
      <c r="J2907" s="3" t="inlineStr">
        <is>
          <t>오송읍</t>
        </is>
      </c>
    </row>
    <row r="2908">
      <c r="A2908" s="3" t="n">
        <v>2022</v>
      </c>
      <c r="B2908" s="4" t="n">
        <v>134</v>
      </c>
      <c r="C2908" s="4" t="n">
        <v>28</v>
      </c>
      <c r="D2908" s="3" t="inlineStr">
        <is>
          <t>강내면</t>
        </is>
      </c>
      <c r="E2908" s="3" t="inlineStr">
        <is>
          <t>월탄리</t>
        </is>
      </c>
      <c r="F2908" s="3" t="inlineStr">
        <is>
          <t>보전관리지역</t>
        </is>
      </c>
      <c r="G2908" s="3" t="inlineStr">
        <is>
          <t>임야</t>
        </is>
      </c>
      <c r="H2908" s="4" t="n">
        <v>8.469999999999999</v>
      </c>
      <c r="I2908" s="5" t="n">
        <v>15.8</v>
      </c>
      <c r="J2908" s="3" t="inlineStr">
        <is>
          <t>강내면</t>
        </is>
      </c>
    </row>
    <row r="2909">
      <c r="A2909" s="3" t="n">
        <v>2022</v>
      </c>
      <c r="B2909" s="4" t="n">
        <v>187</v>
      </c>
      <c r="C2909" s="4" t="n">
        <v>39</v>
      </c>
      <c r="D2909" s="3" t="inlineStr">
        <is>
          <t>강내면</t>
        </is>
      </c>
      <c r="E2909" s="3" t="inlineStr">
        <is>
          <t>월탄리</t>
        </is>
      </c>
      <c r="F2909" s="3" t="inlineStr">
        <is>
          <t>보전관리지역</t>
        </is>
      </c>
      <c r="G2909" s="3" t="inlineStr">
        <is>
          <t>임야</t>
        </is>
      </c>
      <c r="H2909" s="4" t="n">
        <v>11.7975</v>
      </c>
      <c r="I2909" s="5" t="n">
        <v>15.9</v>
      </c>
      <c r="J2909" s="3" t="inlineStr">
        <is>
          <t>강내면</t>
        </is>
      </c>
    </row>
    <row r="2910">
      <c r="A2910" s="3" t="n">
        <v>2022</v>
      </c>
      <c r="B2910" s="4" t="n">
        <v>16687</v>
      </c>
      <c r="C2910" s="4" t="n">
        <v>1227</v>
      </c>
      <c r="D2910" s="3" t="inlineStr">
        <is>
          <t>강내면</t>
        </is>
      </c>
      <c r="E2910" s="3" t="inlineStr">
        <is>
          <t>태성리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371.1675</v>
      </c>
      <c r="I2910" s="5" t="n">
        <v>45</v>
      </c>
      <c r="J2910" s="3" t="inlineStr">
        <is>
          <t>강내면</t>
        </is>
      </c>
    </row>
    <row r="2911">
      <c r="A2911" s="3" t="n">
        <v>2022</v>
      </c>
      <c r="B2911" s="4" t="n">
        <v>10437</v>
      </c>
      <c r="C2911" s="4" t="n">
        <v>631</v>
      </c>
      <c r="D2911" s="3" t="inlineStr">
        <is>
          <t>강내면</t>
        </is>
      </c>
      <c r="E2911" s="3" t="inlineStr">
        <is>
          <t>태성리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190.8775</v>
      </c>
      <c r="I2911" s="5" t="n">
        <v>54.7</v>
      </c>
      <c r="J2911" s="3" t="inlineStr">
        <is>
          <t>강내면</t>
        </is>
      </c>
    </row>
    <row r="2912">
      <c r="A2912" s="3" t="n">
        <v>2025</v>
      </c>
      <c r="B2912" s="4" t="n">
        <v>30500</v>
      </c>
      <c r="C2912" s="4" t="n">
        <v>2119</v>
      </c>
      <c r="D2912" s="3" t="inlineStr">
        <is>
          <t>강내면</t>
        </is>
      </c>
      <c r="E2912" s="3" t="inlineStr">
        <is>
          <t>월탄리</t>
        </is>
      </c>
      <c r="F2912" s="3" t="inlineStr">
        <is>
          <t>농림지역</t>
        </is>
      </c>
      <c r="G2912" s="3" t="inlineStr">
        <is>
          <t>전</t>
        </is>
      </c>
      <c r="H2912" s="4" t="n">
        <v>640.9974999999999</v>
      </c>
      <c r="I2912" s="5" t="n">
        <v>47.6</v>
      </c>
      <c r="J2912" s="3" t="inlineStr">
        <is>
          <t>강내면</t>
        </is>
      </c>
    </row>
    <row r="2913">
      <c r="A2913" s="3" t="n">
        <v>2025</v>
      </c>
      <c r="B2913" s="4" t="n">
        <v>175000</v>
      </c>
      <c r="C2913" s="4" t="n">
        <v>57917</v>
      </c>
      <c r="D2913" s="3" t="inlineStr">
        <is>
          <t>오송읍</t>
        </is>
      </c>
      <c r="E2913" s="3" t="inlineStr">
        <is>
          <t>상정리</t>
        </is>
      </c>
      <c r="F2913" s="3" t="inlineStr">
        <is>
          <t>생산관리지역</t>
        </is>
      </c>
      <c r="G2913" s="3" t="inlineStr">
        <is>
          <t>임야</t>
        </is>
      </c>
      <c r="H2913" s="4" t="n">
        <v>17519.8925</v>
      </c>
      <c r="I2913" s="5" t="n">
        <v>10</v>
      </c>
      <c r="J2913" s="3" t="inlineStr">
        <is>
          <t>오송읍</t>
        </is>
      </c>
    </row>
    <row r="2914">
      <c r="A2914" s="3" t="n">
        <v>2025</v>
      </c>
      <c r="B2914" s="4" t="n">
        <v>9000</v>
      </c>
      <c r="C2914" s="4" t="n">
        <v>165</v>
      </c>
      <c r="D2914" s="3" t="inlineStr">
        <is>
          <t>오송읍</t>
        </is>
      </c>
      <c r="E2914" s="3" t="inlineStr">
        <is>
          <t>쌍청리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49.9125</v>
      </c>
      <c r="I2914" s="5" t="n">
        <v>180.3</v>
      </c>
      <c r="J2914" s="3" t="inlineStr">
        <is>
          <t>오송읍</t>
        </is>
      </c>
    </row>
    <row r="2915">
      <c r="A2915" s="3" t="n">
        <v>2025</v>
      </c>
      <c r="B2915" s="4" t="n">
        <v>7000</v>
      </c>
      <c r="C2915" s="4" t="n">
        <v>128</v>
      </c>
      <c r="D2915" s="3" t="inlineStr">
        <is>
          <t>오송읍</t>
        </is>
      </c>
      <c r="E2915" s="3" t="inlineStr">
        <is>
          <t>쌍청리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38.72</v>
      </c>
      <c r="I2915" s="5" t="n">
        <v>180.8</v>
      </c>
      <c r="J2915" s="3" t="inlineStr">
        <is>
          <t>오송읍</t>
        </is>
      </c>
    </row>
    <row r="2916">
      <c r="A2916" s="3" t="n">
        <v>2025</v>
      </c>
      <c r="B2916" s="4" t="n">
        <v>17000</v>
      </c>
      <c r="C2916" s="4" t="n">
        <v>141</v>
      </c>
      <c r="D2916" s="3" t="inlineStr">
        <is>
          <t>오송읍</t>
        </is>
      </c>
      <c r="E2916" s="3" t="inlineStr">
        <is>
          <t>쌍청리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42.6525</v>
      </c>
      <c r="I2916" s="5" t="n">
        <v>398.6</v>
      </c>
      <c r="J2916" s="3" t="inlineStr">
        <is>
          <t>오송읍</t>
        </is>
      </c>
    </row>
    <row r="2917">
      <c r="A2917" s="3" t="n">
        <v>2025</v>
      </c>
      <c r="B2917" s="4" t="n">
        <v>35000</v>
      </c>
      <c r="C2917" s="4" t="n">
        <v>1170</v>
      </c>
      <c r="D2917" s="3" t="inlineStr">
        <is>
          <t>오송읍</t>
        </is>
      </c>
      <c r="E2917" s="3" t="inlineStr">
        <is>
          <t>서평리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353.925</v>
      </c>
      <c r="I2917" s="5" t="n">
        <v>98.90000000000001</v>
      </c>
      <c r="J2917" s="3" t="inlineStr">
        <is>
          <t>오송읍</t>
        </is>
      </c>
    </row>
    <row r="2918">
      <c r="A2918" s="3" t="n">
        <v>2025</v>
      </c>
      <c r="B2918" s="4" t="n">
        <v>98000</v>
      </c>
      <c r="C2918" s="4" t="n">
        <v>3982</v>
      </c>
      <c r="D2918" s="3" t="inlineStr">
        <is>
          <t>오송읍</t>
        </is>
      </c>
      <c r="E2918" s="3" t="inlineStr">
        <is>
          <t>서평리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1204.555</v>
      </c>
      <c r="I2918" s="5" t="n">
        <v>81.40000000000001</v>
      </c>
      <c r="J2918" s="3" t="inlineStr">
        <is>
          <t>오송읍</t>
        </is>
      </c>
    </row>
    <row r="2919">
      <c r="A2919" s="3" t="n">
        <v>2025</v>
      </c>
      <c r="B2919" s="4" t="n">
        <v>74500</v>
      </c>
      <c r="C2919" s="4" t="n">
        <v>4026</v>
      </c>
      <c r="D2919" s="3" t="inlineStr">
        <is>
          <t>오송읍</t>
        </is>
      </c>
      <c r="E2919" s="3" t="inlineStr">
        <is>
          <t>서평리</t>
        </is>
      </c>
      <c r="F2919" s="3" t="inlineStr">
        <is>
          <t>농림지역</t>
        </is>
      </c>
      <c r="G2919" s="3" t="inlineStr">
        <is>
          <t>답</t>
        </is>
      </c>
      <c r="H2919" s="4" t="n">
        <v>1217.865</v>
      </c>
      <c r="I2919" s="5" t="n">
        <v>61.2</v>
      </c>
      <c r="J2919" s="3" t="inlineStr">
        <is>
          <t>오송읍</t>
        </is>
      </c>
    </row>
    <row r="2920">
      <c r="A2920" s="3" t="n">
        <v>2025</v>
      </c>
      <c r="B2920" s="4" t="n">
        <v>17000</v>
      </c>
      <c r="C2920" s="4" t="n">
        <v>803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242.9075</v>
      </c>
      <c r="I2920" s="5" t="n">
        <v>70</v>
      </c>
      <c r="J2920" s="3" t="inlineStr">
        <is>
          <t>오송읍</t>
        </is>
      </c>
    </row>
    <row r="2921">
      <c r="A2921" s="3" t="n">
        <v>2025</v>
      </c>
      <c r="B2921" s="4" t="n">
        <v>30800</v>
      </c>
      <c r="C2921" s="4" t="n">
        <v>1458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441.045</v>
      </c>
      <c r="I2921" s="5" t="n">
        <v>69.8</v>
      </c>
      <c r="J2921" s="3" t="inlineStr">
        <is>
          <t>오송읍</t>
        </is>
      </c>
    </row>
    <row r="2922">
      <c r="A2922" s="3" t="n">
        <v>2025</v>
      </c>
      <c r="B2922" s="4" t="n">
        <v>2000</v>
      </c>
      <c r="C2922" s="4" t="n">
        <v>29</v>
      </c>
      <c r="D2922" s="3" t="inlineStr">
        <is>
          <t>강내면</t>
        </is>
      </c>
      <c r="E2922" s="3" t="inlineStr">
        <is>
          <t>다락리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8.772499999999999</v>
      </c>
      <c r="I2922" s="5" t="n">
        <v>228</v>
      </c>
      <c r="J2922" s="3" t="inlineStr">
        <is>
          <t>강내면</t>
        </is>
      </c>
    </row>
    <row r="2923">
      <c r="A2923" s="3" t="n">
        <v>2025</v>
      </c>
      <c r="B2923" s="4" t="n">
        <v>41334</v>
      </c>
      <c r="C2923" s="4" t="n">
        <v>2469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답</t>
        </is>
      </c>
      <c r="H2923" s="4" t="n">
        <v>746.8724999999999</v>
      </c>
      <c r="I2923" s="5" t="n">
        <v>55.3</v>
      </c>
      <c r="J2923" s="3" t="inlineStr">
        <is>
          <t>강내면</t>
        </is>
      </c>
    </row>
    <row r="2924">
      <c r="A2924" s="3" t="n">
        <v>2025</v>
      </c>
      <c r="B2924" s="4" t="n">
        <v>34500</v>
      </c>
      <c r="C2924" s="4" t="n">
        <v>2116</v>
      </c>
      <c r="D2924" s="3" t="inlineStr">
        <is>
          <t>강내면</t>
        </is>
      </c>
      <c r="E2924" s="3" t="inlineStr">
        <is>
          <t>태성리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640.09</v>
      </c>
      <c r="I2924" s="5" t="n">
        <v>53.9</v>
      </c>
      <c r="J2924" s="3" t="inlineStr">
        <is>
          <t>강내면</t>
        </is>
      </c>
    </row>
    <row r="2925">
      <c r="A2925" s="3" t="n">
        <v>2025</v>
      </c>
      <c r="B2925" s="4" t="n">
        <v>65166</v>
      </c>
      <c r="C2925" s="4" t="n">
        <v>3940</v>
      </c>
      <c r="D2925" s="3" t="inlineStr">
        <is>
          <t>강내면</t>
        </is>
      </c>
      <c r="E2925" s="3" t="inlineStr">
        <is>
          <t>태성리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1191.85</v>
      </c>
      <c r="I2925" s="5" t="n">
        <v>54.7</v>
      </c>
      <c r="J2925" s="3" t="inlineStr">
        <is>
          <t>강내면</t>
        </is>
      </c>
    </row>
    <row r="2926">
      <c r="A2926" s="3" t="n">
        <v>2025</v>
      </c>
      <c r="B2926" s="4" t="n">
        <v>3000</v>
      </c>
      <c r="C2926" s="4" t="n">
        <v>420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127.05</v>
      </c>
      <c r="I2926" s="5" t="n">
        <v>23.6</v>
      </c>
      <c r="J2926" s="3" t="inlineStr">
        <is>
          <t>강내면</t>
        </is>
      </c>
    </row>
    <row r="2927">
      <c r="A2927" s="3" t="n">
        <v>2025</v>
      </c>
      <c r="B2927" s="4" t="n">
        <v>49584</v>
      </c>
      <c r="C2927" s="4" t="n">
        <v>2013</v>
      </c>
      <c r="D2927" s="3" t="inlineStr">
        <is>
          <t>강내면</t>
        </is>
      </c>
      <c r="E2927" s="3" t="inlineStr">
        <is>
          <t>궁현리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608.9325</v>
      </c>
      <c r="I2927" s="5" t="n">
        <v>81.40000000000001</v>
      </c>
      <c r="J2927" s="3" t="inlineStr">
        <is>
          <t>강내면</t>
        </is>
      </c>
    </row>
    <row r="2928">
      <c r="A2928" s="3" t="n">
        <v>2025</v>
      </c>
      <c r="B2928" s="4" t="n">
        <v>35416</v>
      </c>
      <c r="C2928" s="4" t="n">
        <v>1398</v>
      </c>
      <c r="D2928" s="3" t="inlineStr">
        <is>
          <t>강내면</t>
        </is>
      </c>
      <c r="E2928" s="3" t="inlineStr">
        <is>
          <t>궁현리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422.895</v>
      </c>
      <c r="I2928" s="5" t="n">
        <v>83.7</v>
      </c>
      <c r="J2928" s="3" t="inlineStr">
        <is>
          <t>강내면</t>
        </is>
      </c>
    </row>
    <row r="2929">
      <c r="A2929" s="3" t="n">
        <v>2025</v>
      </c>
      <c r="B2929" s="4" t="n">
        <v>9166</v>
      </c>
      <c r="C2929" s="4" t="n">
        <v>239</v>
      </c>
      <c r="D2929" s="3" t="inlineStr">
        <is>
          <t>강내면</t>
        </is>
      </c>
      <c r="E2929" s="3" t="inlineStr">
        <is>
          <t>다락리</t>
        </is>
      </c>
      <c r="F2929" s="3" t="inlineStr">
        <is>
          <t>일반공업지역</t>
        </is>
      </c>
      <c r="G2929" s="3" t="inlineStr">
        <is>
          <t>공장용지</t>
        </is>
      </c>
      <c r="H2929" s="4" t="n">
        <v>72.2975</v>
      </c>
      <c r="I2929" s="5" t="n">
        <v>126.8</v>
      </c>
      <c r="J2929" s="3" t="inlineStr">
        <is>
          <t>강내면</t>
        </is>
      </c>
    </row>
    <row r="2930">
      <c r="A2930" s="3" t="n">
        <v>2025</v>
      </c>
      <c r="B2930" s="4" t="n">
        <v>5062</v>
      </c>
      <c r="C2930" s="4" t="n">
        <v>132</v>
      </c>
      <c r="D2930" s="3" t="inlineStr">
        <is>
          <t>강내면</t>
        </is>
      </c>
      <c r="E2930" s="3" t="inlineStr">
        <is>
          <t>다락리</t>
        </is>
      </c>
      <c r="F2930" s="3" t="inlineStr">
        <is>
          <t>일반공업지역</t>
        </is>
      </c>
      <c r="G2930" s="3" t="inlineStr">
        <is>
          <t>공장용지</t>
        </is>
      </c>
      <c r="H2930" s="4" t="n">
        <v>39.93</v>
      </c>
      <c r="I2930" s="5" t="n">
        <v>126.8</v>
      </c>
      <c r="J2930" s="3" t="inlineStr">
        <is>
          <t>강내면</t>
        </is>
      </c>
    </row>
    <row r="2931">
      <c r="A2931" s="3" t="n">
        <v>2025</v>
      </c>
      <c r="B2931" s="4" t="n">
        <v>15000</v>
      </c>
      <c r="C2931" s="4" t="n">
        <v>1792</v>
      </c>
      <c r="D2931" s="3" t="inlineStr">
        <is>
          <t>오송읍</t>
        </is>
      </c>
      <c r="E2931" s="3" t="inlineStr">
        <is>
          <t>상정리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542.0799999999999</v>
      </c>
      <c r="I2931" s="5" t="n">
        <v>27.7</v>
      </c>
      <c r="J2931" s="3" t="inlineStr">
        <is>
          <t>오송읍</t>
        </is>
      </c>
    </row>
    <row r="2932">
      <c r="A2932" s="3" t="n">
        <v>2025</v>
      </c>
      <c r="B2932" s="4" t="n">
        <v>18000</v>
      </c>
      <c r="C2932" s="4" t="n">
        <v>1983</v>
      </c>
      <c r="D2932" s="3" t="inlineStr">
        <is>
          <t>강내면</t>
        </is>
      </c>
      <c r="E2932" s="3" t="inlineStr">
        <is>
          <t>학천리</t>
        </is>
      </c>
      <c r="F2932" s="3" t="inlineStr">
        <is>
          <t>보전녹지지역</t>
        </is>
      </c>
      <c r="G2932" s="3" t="inlineStr">
        <is>
          <t>임야</t>
        </is>
      </c>
      <c r="H2932" s="4" t="n">
        <v>599.8575</v>
      </c>
      <c r="I2932" s="5" t="n">
        <v>30</v>
      </c>
      <c r="J2932" s="3" t="inlineStr">
        <is>
          <t>강내면</t>
        </is>
      </c>
    </row>
    <row r="2933">
      <c r="A2933" s="3" t="n">
        <v>2025</v>
      </c>
      <c r="B2933" s="4" t="n">
        <v>63500</v>
      </c>
      <c r="C2933" s="4" t="n">
        <v>3620</v>
      </c>
      <c r="D2933" s="3" t="inlineStr">
        <is>
          <t>오송읍</t>
        </is>
      </c>
      <c r="E2933" s="3" t="inlineStr">
        <is>
          <t>서평리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1095.05</v>
      </c>
      <c r="I2933" s="5" t="n">
        <v>58</v>
      </c>
      <c r="J2933" s="3" t="inlineStr">
        <is>
          <t>오송읍</t>
        </is>
      </c>
    </row>
    <row r="2934">
      <c r="A2934" s="3" t="n">
        <v>2025</v>
      </c>
      <c r="B2934" s="4" t="n">
        <v>36500</v>
      </c>
      <c r="C2934" s="4" t="n">
        <v>2083</v>
      </c>
      <c r="D2934" s="3" t="inlineStr">
        <is>
          <t>오송읍</t>
        </is>
      </c>
      <c r="E2934" s="3" t="inlineStr">
        <is>
          <t>서평리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630.1075</v>
      </c>
      <c r="I2934" s="5" t="n">
        <v>57.9</v>
      </c>
      <c r="J2934" s="3" t="inlineStr">
        <is>
          <t>오송읍</t>
        </is>
      </c>
    </row>
    <row r="2935">
      <c r="A2935" s="3" t="n">
        <v>2025</v>
      </c>
      <c r="B2935" s="4" t="n">
        <v>9650</v>
      </c>
      <c r="C2935" s="4" t="n">
        <v>1772</v>
      </c>
      <c r="D2935" s="3" t="inlineStr">
        <is>
          <t>강내면</t>
        </is>
      </c>
      <c r="E2935" s="3" t="inlineStr">
        <is>
          <t>산단리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536.03</v>
      </c>
      <c r="I2935" s="5" t="n">
        <v>18</v>
      </c>
      <c r="J2935" s="3" t="inlineStr">
        <is>
          <t>강내면</t>
        </is>
      </c>
    </row>
    <row r="2936">
      <c r="A2936" s="3" t="n">
        <v>2025</v>
      </c>
      <c r="B2936" s="4" t="n">
        <v>35200</v>
      </c>
      <c r="C2936" s="4" t="n">
        <v>267.5</v>
      </c>
      <c r="D2936" s="3" t="inlineStr">
        <is>
          <t>오송읍</t>
        </is>
      </c>
      <c r="E2936" s="3" t="inlineStr">
        <is>
          <t>봉산리</t>
        </is>
      </c>
      <c r="F2936" s="3" t="inlineStr">
        <is>
          <t>제1종일반주거지역</t>
        </is>
      </c>
      <c r="G2936" s="3" t="inlineStr">
        <is>
          <t>대</t>
        </is>
      </c>
      <c r="H2936" s="4" t="n">
        <v>80.91875</v>
      </c>
      <c r="I2936" s="5" t="n">
        <v>435</v>
      </c>
      <c r="J2936" s="3" t="inlineStr">
        <is>
          <t>오송읍</t>
        </is>
      </c>
    </row>
    <row r="2937">
      <c r="A2937" s="3" t="n">
        <v>2025</v>
      </c>
      <c r="B2937" s="4" t="n">
        <v>2723</v>
      </c>
      <c r="C2937" s="4" t="n">
        <v>45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답</t>
        </is>
      </c>
      <c r="H2937" s="4" t="n">
        <v>13.6125</v>
      </c>
      <c r="I2937" s="5" t="n">
        <v>200</v>
      </c>
      <c r="J2937" s="3" t="inlineStr">
        <is>
          <t>오송읍</t>
        </is>
      </c>
    </row>
    <row r="2938">
      <c r="A2938" s="3" t="n">
        <v>2025</v>
      </c>
      <c r="B2938" s="4" t="n">
        <v>36000</v>
      </c>
      <c r="C2938" s="4" t="n">
        <v>267.6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80.949</v>
      </c>
      <c r="I2938" s="5" t="n">
        <v>444.7</v>
      </c>
      <c r="J2938" s="3" t="inlineStr">
        <is>
          <t>오송읍</t>
        </is>
      </c>
    </row>
    <row r="2939">
      <c r="A2939" s="3" t="n">
        <v>2025</v>
      </c>
      <c r="B2939" s="4" t="n">
        <v>9946</v>
      </c>
      <c r="C2939" s="4" t="n">
        <v>274</v>
      </c>
      <c r="D2939" s="3" t="inlineStr">
        <is>
          <t>강내면</t>
        </is>
      </c>
      <c r="E2939" s="3" t="inlineStr">
        <is>
          <t>석화리</t>
        </is>
      </c>
      <c r="F2939" s="3" t="inlineStr">
        <is>
          <t>자연녹지지역</t>
        </is>
      </c>
      <c r="G2939" s="3" t="inlineStr">
        <is>
          <t>대</t>
        </is>
      </c>
      <c r="H2939" s="4" t="n">
        <v>82.88499999999999</v>
      </c>
      <c r="I2939" s="5" t="n">
        <v>120</v>
      </c>
      <c r="J2939" s="3" t="inlineStr">
        <is>
          <t>강내면</t>
        </is>
      </c>
    </row>
    <row r="2940">
      <c r="A2940" s="3" t="n">
        <v>2025</v>
      </c>
      <c r="B2940" s="4" t="n">
        <v>13540</v>
      </c>
      <c r="C2940" s="4" t="n">
        <v>373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112.8325</v>
      </c>
      <c r="I2940" s="5" t="n">
        <v>120</v>
      </c>
      <c r="J2940" s="3" t="inlineStr">
        <is>
          <t>강내면</t>
        </is>
      </c>
    </row>
    <row r="2941">
      <c r="A2941" s="3" t="n">
        <v>2025</v>
      </c>
      <c r="B2941" s="4" t="n">
        <v>13267</v>
      </c>
      <c r="C2941" s="4" t="n">
        <v>2182</v>
      </c>
      <c r="D2941" s="3" t="inlineStr">
        <is>
          <t>강내면</t>
        </is>
      </c>
      <c r="E2941" s="3" t="inlineStr">
        <is>
          <t>황탄리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660.0549999999999</v>
      </c>
      <c r="I2941" s="5" t="n">
        <v>20.1</v>
      </c>
      <c r="J2941" s="3" t="inlineStr">
        <is>
          <t>강내면</t>
        </is>
      </c>
    </row>
    <row r="2942">
      <c r="A2942" s="3" t="n">
        <v>2025</v>
      </c>
      <c r="B2942" s="4" t="n">
        <v>6000</v>
      </c>
      <c r="C2942" s="4" t="n">
        <v>165</v>
      </c>
      <c r="D2942" s="3" t="inlineStr">
        <is>
          <t>강내면</t>
        </is>
      </c>
      <c r="E2942" s="3" t="inlineStr">
        <is>
          <t>사인리</t>
        </is>
      </c>
      <c r="F2942" s="3" t="inlineStr">
        <is>
          <t>자연녹지지역</t>
        </is>
      </c>
      <c r="G2942" s="3" t="inlineStr">
        <is>
          <t>대</t>
        </is>
      </c>
      <c r="H2942" s="4" t="n">
        <v>49.9125</v>
      </c>
      <c r="I2942" s="5" t="n">
        <v>120.2</v>
      </c>
      <c r="J2942" s="3" t="inlineStr">
        <is>
          <t>강내면</t>
        </is>
      </c>
    </row>
    <row r="2943">
      <c r="A2943" s="3" t="n">
        <v>2025</v>
      </c>
      <c r="B2943" s="4" t="n">
        <v>28879</v>
      </c>
      <c r="C2943" s="4" t="n">
        <v>546.3</v>
      </c>
      <c r="D2943" s="3" t="inlineStr">
        <is>
          <t>강내면</t>
        </is>
      </c>
      <c r="E2943" s="3" t="inlineStr">
        <is>
          <t>사곡리</t>
        </is>
      </c>
      <c r="F2943" s="3" t="inlineStr">
        <is>
          <t>보전관리지역</t>
        </is>
      </c>
      <c r="G2943" s="3" t="inlineStr">
        <is>
          <t>대</t>
        </is>
      </c>
      <c r="H2943" s="4" t="n">
        <v>165.25575</v>
      </c>
      <c r="I2943" s="5" t="n">
        <v>174.8</v>
      </c>
      <c r="J2943" s="3" t="inlineStr">
        <is>
          <t>강내면</t>
        </is>
      </c>
    </row>
    <row r="2944">
      <c r="A2944" s="3" t="n">
        <v>2025</v>
      </c>
      <c r="B2944" s="4" t="n">
        <v>24374</v>
      </c>
      <c r="C2944" s="4" t="n">
        <v>465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보전관리지역</t>
        </is>
      </c>
      <c r="G2944" s="3" t="inlineStr">
        <is>
          <t>대</t>
        </is>
      </c>
      <c r="H2944" s="4" t="n">
        <v>140.6625</v>
      </c>
      <c r="I2944" s="5" t="n">
        <v>173.3</v>
      </c>
      <c r="J2944" s="3" t="inlineStr">
        <is>
          <t>강내면</t>
        </is>
      </c>
    </row>
    <row r="2945">
      <c r="A2945" s="3" t="n">
        <v>2025</v>
      </c>
      <c r="B2945" s="4" t="n">
        <v>41334</v>
      </c>
      <c r="C2945" s="4" t="n">
        <v>2469</v>
      </c>
      <c r="D2945" s="3" t="inlineStr">
        <is>
          <t>강내면</t>
        </is>
      </c>
      <c r="E2945" s="3" t="inlineStr">
        <is>
          <t>태성리</t>
        </is>
      </c>
      <c r="F2945" s="3" t="inlineStr">
        <is>
          <t>계획관리지역</t>
        </is>
      </c>
      <c r="G2945" s="3" t="inlineStr">
        <is>
          <t>답</t>
        </is>
      </c>
      <c r="H2945" s="4" t="n">
        <v>746.8724999999999</v>
      </c>
      <c r="I2945" s="5" t="n">
        <v>55.3</v>
      </c>
      <c r="J2945" s="3" t="inlineStr">
        <is>
          <t>강내면</t>
        </is>
      </c>
    </row>
    <row r="2946">
      <c r="A2946" s="3" t="n">
        <v>2025</v>
      </c>
      <c r="B2946" s="4" t="n">
        <v>34500</v>
      </c>
      <c r="C2946" s="4" t="n">
        <v>2116</v>
      </c>
      <c r="D2946" s="3" t="inlineStr">
        <is>
          <t>강내면</t>
        </is>
      </c>
      <c r="E2946" s="3" t="inlineStr">
        <is>
          <t>태성리</t>
        </is>
      </c>
      <c r="F2946" s="3" t="inlineStr">
        <is>
          <t>계획관리지역</t>
        </is>
      </c>
      <c r="G2946" s="3" t="inlineStr">
        <is>
          <t>답</t>
        </is>
      </c>
      <c r="H2946" s="4" t="n">
        <v>640.09</v>
      </c>
      <c r="I2946" s="5" t="n">
        <v>53.9</v>
      </c>
      <c r="J2946" s="3" t="inlineStr">
        <is>
          <t>강내면</t>
        </is>
      </c>
    </row>
    <row r="2947">
      <c r="A2947" s="3" t="n">
        <v>2025</v>
      </c>
      <c r="B2947" s="4" t="n">
        <v>65166</v>
      </c>
      <c r="C2947" s="4" t="n">
        <v>3940</v>
      </c>
      <c r="D2947" s="3" t="inlineStr">
        <is>
          <t>강내면</t>
        </is>
      </c>
      <c r="E2947" s="3" t="inlineStr">
        <is>
          <t>태성리</t>
        </is>
      </c>
      <c r="F2947" s="3" t="inlineStr">
        <is>
          <t>계획관리지역</t>
        </is>
      </c>
      <c r="G2947" s="3" t="inlineStr">
        <is>
          <t>답</t>
        </is>
      </c>
      <c r="H2947" s="4" t="n">
        <v>1191.85</v>
      </c>
      <c r="I2947" s="5" t="n">
        <v>54.7</v>
      </c>
      <c r="J2947" s="3" t="inlineStr">
        <is>
          <t>강내면</t>
        </is>
      </c>
    </row>
    <row r="2948">
      <c r="A2948" s="3" t="n">
        <v>2025</v>
      </c>
      <c r="B2948" s="4" t="n">
        <v>36000</v>
      </c>
      <c r="C2948" s="4" t="n">
        <v>1931</v>
      </c>
      <c r="D2948" s="3" t="inlineStr">
        <is>
          <t>강내면</t>
        </is>
      </c>
      <c r="E2948" s="3" t="inlineStr">
        <is>
          <t>월탄리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584.1274999999999</v>
      </c>
      <c r="I2948" s="5" t="n">
        <v>61.6</v>
      </c>
      <c r="J2948" s="3" t="inlineStr">
        <is>
          <t>강내면</t>
        </is>
      </c>
    </row>
    <row r="2949">
      <c r="A2949" s="3" t="n">
        <v>2022</v>
      </c>
      <c r="B2949" s="4" t="n">
        <v>1053</v>
      </c>
      <c r="C2949" s="4" t="n">
        <v>77</v>
      </c>
      <c r="D2949" s="3" t="inlineStr">
        <is>
          <t>강내면</t>
        </is>
      </c>
      <c r="E2949" s="3" t="inlineStr">
        <is>
          <t>태성리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23.2925</v>
      </c>
      <c r="I2949" s="5" t="n">
        <v>45.2</v>
      </c>
      <c r="J2949" s="3" t="inlineStr">
        <is>
          <t>강내면</t>
        </is>
      </c>
    </row>
    <row r="2950">
      <c r="A2950" s="3" t="n">
        <v>2022</v>
      </c>
      <c r="B2950" s="4" t="n">
        <v>37277</v>
      </c>
      <c r="C2950" s="4" t="n">
        <v>2273</v>
      </c>
      <c r="D2950" s="3" t="inlineStr">
        <is>
          <t>강내면</t>
        </is>
      </c>
      <c r="E2950" s="3" t="inlineStr">
        <is>
          <t>태성리</t>
        </is>
      </c>
      <c r="F2950" s="3" t="inlineStr">
        <is>
          <t>계획관리지역</t>
        </is>
      </c>
      <c r="G2950" s="3" t="inlineStr">
        <is>
          <t>임야</t>
        </is>
      </c>
      <c r="H2950" s="4" t="n">
        <v>687.5825</v>
      </c>
      <c r="I2950" s="5" t="n">
        <v>54.2</v>
      </c>
      <c r="J2950" s="3" t="inlineStr">
        <is>
          <t>강내면</t>
        </is>
      </c>
    </row>
    <row r="2951">
      <c r="A2951" s="3" t="n">
        <v>2022</v>
      </c>
      <c r="B2951" s="4" t="n">
        <v>4551</v>
      </c>
      <c r="C2951" s="4" t="n">
        <v>291</v>
      </c>
      <c r="D2951" s="3" t="inlineStr">
        <is>
          <t>강내면</t>
        </is>
      </c>
      <c r="E2951" s="3" t="inlineStr">
        <is>
          <t>태성리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88.0275</v>
      </c>
      <c r="I2951" s="5" t="n">
        <v>51.7</v>
      </c>
      <c r="J2951" s="3" t="inlineStr">
        <is>
          <t>강내면</t>
        </is>
      </c>
    </row>
    <row r="2952">
      <c r="A2952" s="3" t="n">
        <v>2022</v>
      </c>
      <c r="B2952" s="4" t="n">
        <v>2808</v>
      </c>
      <c r="C2952" s="4" t="n">
        <v>90</v>
      </c>
      <c r="D2952" s="3" t="inlineStr">
        <is>
          <t>강내면</t>
        </is>
      </c>
      <c r="E2952" s="3" t="inlineStr">
        <is>
          <t>연정리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27.225</v>
      </c>
      <c r="I2952" s="5" t="n">
        <v>103.1</v>
      </c>
      <c r="J2952" s="3" t="inlineStr">
        <is>
          <t>강내면</t>
        </is>
      </c>
    </row>
    <row r="2953">
      <c r="A2953" s="3" t="n">
        <v>2022</v>
      </c>
      <c r="B2953" s="4" t="n">
        <v>5014</v>
      </c>
      <c r="C2953" s="4" t="n">
        <v>185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55.9625</v>
      </c>
      <c r="I2953" s="5" t="n">
        <v>89.59999999999999</v>
      </c>
      <c r="J2953" s="3" t="inlineStr">
        <is>
          <t>오송읍</t>
        </is>
      </c>
    </row>
    <row r="2954">
      <c r="A2954" s="3" t="n">
        <v>2022</v>
      </c>
      <c r="B2954" s="4" t="n">
        <v>16048</v>
      </c>
      <c r="C2954" s="4" t="n">
        <v>295</v>
      </c>
      <c r="D2954" s="3" t="inlineStr">
        <is>
          <t>오송읍</t>
        </is>
      </c>
      <c r="E2954" s="3" t="inlineStr">
        <is>
          <t>오송리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89.2375</v>
      </c>
      <c r="I2954" s="5" t="n">
        <v>179.8</v>
      </c>
      <c r="J2954" s="3" t="inlineStr">
        <is>
          <t>오송읍</t>
        </is>
      </c>
    </row>
    <row r="2955">
      <c r="A2955" s="3" t="n">
        <v>2022</v>
      </c>
      <c r="B2955" s="4" t="n">
        <v>33000</v>
      </c>
      <c r="C2955" s="4" t="n">
        <v>1789</v>
      </c>
      <c r="D2955" s="3" t="inlineStr">
        <is>
          <t>강내면</t>
        </is>
      </c>
      <c r="E2955" s="3" t="inlineStr">
        <is>
          <t>황탄리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541.1725</v>
      </c>
      <c r="I2955" s="5" t="n">
        <v>61</v>
      </c>
      <c r="J2955" s="3" t="inlineStr">
        <is>
          <t>강내면</t>
        </is>
      </c>
    </row>
    <row r="2956">
      <c r="A2956" s="3" t="n">
        <v>2022</v>
      </c>
      <c r="B2956" s="4" t="n">
        <v>7500</v>
      </c>
      <c r="C2956" s="4" t="n">
        <v>214</v>
      </c>
      <c r="D2956" s="3" t="inlineStr">
        <is>
          <t>강내면</t>
        </is>
      </c>
      <c r="E2956" s="3" t="inlineStr">
        <is>
          <t>태성리</t>
        </is>
      </c>
      <c r="F2956" s="3" t="inlineStr">
        <is>
          <t>계획관리지역</t>
        </is>
      </c>
      <c r="G2956" s="3" t="inlineStr">
        <is>
          <t>답</t>
        </is>
      </c>
      <c r="H2956" s="4" t="n">
        <v>64.735</v>
      </c>
      <c r="I2956" s="5" t="n">
        <v>115.9</v>
      </c>
      <c r="J2956" s="3" t="inlineStr">
        <is>
          <t>강내면</t>
        </is>
      </c>
    </row>
    <row r="2957">
      <c r="A2957" s="3" t="n">
        <v>2022</v>
      </c>
      <c r="B2957" s="4" t="n">
        <v>567700</v>
      </c>
      <c r="C2957" s="4" t="n">
        <v>1525.8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대</t>
        </is>
      </c>
      <c r="H2957" s="4" t="n">
        <v>461.5545</v>
      </c>
      <c r="I2957" s="5" t="n">
        <v>1230</v>
      </c>
      <c r="J2957" s="3" t="inlineStr">
        <is>
          <t>오송읍</t>
        </is>
      </c>
    </row>
    <row r="2958">
      <c r="A2958" s="3" t="n">
        <v>2022</v>
      </c>
      <c r="B2958" s="4" t="n">
        <v>210000</v>
      </c>
      <c r="C2958" s="4" t="n">
        <v>514.6</v>
      </c>
      <c r="D2958" s="3" t="inlineStr">
        <is>
          <t>오송읍</t>
        </is>
      </c>
      <c r="E2958" s="3" t="inlineStr">
        <is>
          <t>만수리</t>
        </is>
      </c>
      <c r="F2958" s="3" t="inlineStr">
        <is>
          <t>일반상업지역</t>
        </is>
      </c>
      <c r="G2958" s="3" t="inlineStr">
        <is>
          <t>대</t>
        </is>
      </c>
      <c r="H2958" s="4" t="n">
        <v>155.6665</v>
      </c>
      <c r="I2958" s="5" t="n">
        <v>1349</v>
      </c>
      <c r="J2958" s="3" t="inlineStr">
        <is>
          <t>오송읍</t>
        </is>
      </c>
    </row>
    <row r="2959">
      <c r="A2959" s="3" t="n">
        <v>2022</v>
      </c>
      <c r="B2959" s="4" t="n">
        <v>90000</v>
      </c>
      <c r="C2959" s="4" t="n">
        <v>2018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답</t>
        </is>
      </c>
      <c r="H2959" s="4" t="n">
        <v>610.4449999999999</v>
      </c>
      <c r="I2959" s="5" t="n">
        <v>147.4</v>
      </c>
      <c r="J2959" s="3" t="inlineStr">
        <is>
          <t>오송읍</t>
        </is>
      </c>
    </row>
    <row r="2960">
      <c r="A2960" s="3" t="n">
        <v>2022</v>
      </c>
      <c r="B2960" s="4" t="n">
        <v>31000</v>
      </c>
      <c r="C2960" s="4" t="n">
        <v>249.3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75.41325000000001</v>
      </c>
      <c r="I2960" s="5" t="n">
        <v>411.1</v>
      </c>
      <c r="J2960" s="3" t="inlineStr">
        <is>
          <t>오송읍</t>
        </is>
      </c>
    </row>
    <row r="2961">
      <c r="A2961" s="3" t="n">
        <v>2022</v>
      </c>
      <c r="B2961" s="4" t="n">
        <v>28000</v>
      </c>
      <c r="C2961" s="4" t="n">
        <v>2059</v>
      </c>
      <c r="D2961" s="3" t="inlineStr">
        <is>
          <t>오송읍</t>
        </is>
      </c>
      <c r="E2961" s="3" t="inlineStr">
        <is>
          <t>호계리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622.8475</v>
      </c>
      <c r="I2961" s="5" t="n">
        <v>45</v>
      </c>
      <c r="J2961" s="3" t="inlineStr">
        <is>
          <t>오송읍</t>
        </is>
      </c>
    </row>
    <row r="2962">
      <c r="A2962" s="3" t="n">
        <v>2022</v>
      </c>
      <c r="B2962" s="4" t="n">
        <v>14687</v>
      </c>
      <c r="C2962" s="4" t="n">
        <v>503.6</v>
      </c>
      <c r="D2962" s="3" t="inlineStr">
        <is>
          <t>오송읍</t>
        </is>
      </c>
      <c r="E2962" s="3" t="inlineStr">
        <is>
          <t>상정리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152.339</v>
      </c>
      <c r="I2962" s="5" t="n">
        <v>96.40000000000001</v>
      </c>
      <c r="J2962" s="3" t="inlineStr">
        <is>
          <t>오송읍</t>
        </is>
      </c>
    </row>
    <row r="2963">
      <c r="A2963" s="3" t="n">
        <v>2022</v>
      </c>
      <c r="B2963" s="4" t="n">
        <v>10800</v>
      </c>
      <c r="C2963" s="4" t="n">
        <v>60</v>
      </c>
      <c r="D2963" s="3" t="inlineStr">
        <is>
          <t>오송읍</t>
        </is>
      </c>
      <c r="E2963" s="3" t="inlineStr">
        <is>
          <t>봉산리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18.15</v>
      </c>
      <c r="I2963" s="5" t="n">
        <v>595</v>
      </c>
      <c r="J2963" s="3" t="inlineStr">
        <is>
          <t>오송읍</t>
        </is>
      </c>
    </row>
    <row r="2964">
      <c r="A2964" s="3" t="n">
        <v>2022</v>
      </c>
      <c r="B2964" s="4" t="n">
        <v>30594</v>
      </c>
      <c r="C2964" s="4" t="n">
        <v>33711</v>
      </c>
      <c r="D2964" s="3" t="inlineStr">
        <is>
          <t>강내면</t>
        </is>
      </c>
      <c r="E2964" s="3" t="inlineStr">
        <is>
          <t>당곡리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10197.5775</v>
      </c>
      <c r="I2964" s="5" t="n">
        <v>3</v>
      </c>
      <c r="J2964" s="3" t="inlineStr">
        <is>
          <t>강내면</t>
        </is>
      </c>
    </row>
    <row r="2965">
      <c r="A2965" s="3" t="n">
        <v>2022</v>
      </c>
      <c r="B2965" s="4" t="n">
        <v>615</v>
      </c>
      <c r="C2965" s="4" t="n">
        <v>678</v>
      </c>
      <c r="D2965" s="3" t="inlineStr">
        <is>
          <t>강내면</t>
        </is>
      </c>
      <c r="E2965" s="3" t="inlineStr">
        <is>
          <t>당곡리</t>
        </is>
      </c>
      <c r="F2965" s="3" t="inlineStr">
        <is>
          <t>계획관리지역</t>
        </is>
      </c>
      <c r="G2965" s="3" t="inlineStr">
        <is>
          <t>임야</t>
        </is>
      </c>
      <c r="H2965" s="4" t="n">
        <v>205.095</v>
      </c>
      <c r="I2965" s="5" t="n">
        <v>3</v>
      </c>
      <c r="J2965" s="3" t="inlineStr">
        <is>
          <t>강내면</t>
        </is>
      </c>
    </row>
    <row r="2966">
      <c r="A2966" s="3" t="n">
        <v>2022</v>
      </c>
      <c r="B2966" s="4" t="n">
        <v>303</v>
      </c>
      <c r="C2966" s="4" t="n">
        <v>336</v>
      </c>
      <c r="D2966" s="3" t="inlineStr">
        <is>
          <t>강내면</t>
        </is>
      </c>
      <c r="E2966" s="3" t="inlineStr">
        <is>
          <t>당곡리</t>
        </is>
      </c>
      <c r="F2966" s="3" t="inlineStr">
        <is>
          <t>보전관리지역</t>
        </is>
      </c>
      <c r="G2966" s="3" t="inlineStr">
        <is>
          <t>임야</t>
        </is>
      </c>
      <c r="H2966" s="4" t="n">
        <v>101.64</v>
      </c>
      <c r="I2966" s="5" t="n">
        <v>3</v>
      </c>
      <c r="J2966" s="3" t="inlineStr">
        <is>
          <t>강내면</t>
        </is>
      </c>
    </row>
    <row r="2967">
      <c r="A2967" s="3" t="n">
        <v>2022</v>
      </c>
      <c r="B2967" s="4" t="n">
        <v>657</v>
      </c>
      <c r="C2967" s="4" t="n">
        <v>724</v>
      </c>
      <c r="D2967" s="3" t="inlineStr">
        <is>
          <t>강내면</t>
        </is>
      </c>
      <c r="E2967" s="3" t="inlineStr">
        <is>
          <t>당곡리</t>
        </is>
      </c>
      <c r="F2967" s="3" t="inlineStr">
        <is>
          <t>보전관리지역</t>
        </is>
      </c>
      <c r="G2967" s="3" t="inlineStr">
        <is>
          <t>임야</t>
        </is>
      </c>
      <c r="H2967" s="4" t="n">
        <v>219.01</v>
      </c>
      <c r="I2967" s="5" t="n">
        <v>3</v>
      </c>
      <c r="J2967" s="3" t="inlineStr">
        <is>
          <t>강내면</t>
        </is>
      </c>
    </row>
    <row r="2968">
      <c r="A2968" s="3" t="n">
        <v>2022</v>
      </c>
      <c r="B2968" s="4" t="n">
        <v>30120</v>
      </c>
      <c r="C2968" s="4" t="n">
        <v>4980</v>
      </c>
      <c r="D2968" s="3" t="inlineStr">
        <is>
          <t>강내면</t>
        </is>
      </c>
      <c r="E2968" s="3" t="inlineStr">
        <is>
          <t>당곡리</t>
        </is>
      </c>
      <c r="F2968" s="3" t="inlineStr">
        <is>
          <t>보전관리지역</t>
        </is>
      </c>
      <c r="G2968" s="3" t="inlineStr">
        <is>
          <t>전</t>
        </is>
      </c>
      <c r="H2968" s="4" t="n">
        <v>1506.45</v>
      </c>
      <c r="I2968" s="5" t="n">
        <v>20</v>
      </c>
      <c r="J2968" s="3" t="inlineStr">
        <is>
          <t>강내면</t>
        </is>
      </c>
    </row>
    <row r="2969">
      <c r="A2969" s="3" t="n">
        <v>2022</v>
      </c>
      <c r="B2969" s="4" t="n">
        <v>25000</v>
      </c>
      <c r="C2969" s="4" t="n">
        <v>270.4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제1종일반주거지역</t>
        </is>
      </c>
      <c r="G2969" s="3" t="inlineStr">
        <is>
          <t>대</t>
        </is>
      </c>
      <c r="H2969" s="4" t="n">
        <v>81.79599999999999</v>
      </c>
      <c r="I2969" s="5" t="n">
        <v>305.6</v>
      </c>
      <c r="J2969" s="3" t="inlineStr">
        <is>
          <t>오송읍</t>
        </is>
      </c>
    </row>
    <row r="2970">
      <c r="A2970" s="3" t="n">
        <v>2022</v>
      </c>
      <c r="B2970" s="4" t="n">
        <v>25000</v>
      </c>
      <c r="C2970" s="4" t="n">
        <v>283.5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제1종일반주거지역</t>
        </is>
      </c>
      <c r="G2970" s="3" t="inlineStr">
        <is>
          <t>대</t>
        </is>
      </c>
      <c r="H2970" s="4" t="n">
        <v>85.75874999999999</v>
      </c>
      <c r="I2970" s="5" t="n">
        <v>291.5</v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270.7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81.88674999999999</v>
      </c>
      <c r="I2971" s="5" t="n">
        <v>366.4</v>
      </c>
      <c r="J2971" s="3" t="inlineStr">
        <is>
          <t>오송읍</t>
        </is>
      </c>
    </row>
    <row r="2972">
      <c r="A2972" s="3" t="n">
        <v>2022</v>
      </c>
      <c r="B2972" s="4" t="n">
        <v>30000</v>
      </c>
      <c r="C2972" s="4" t="n">
        <v>271.4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82.09849999999999</v>
      </c>
      <c r="I2972" s="5" t="n">
        <v>365.4</v>
      </c>
      <c r="J2972" s="3" t="inlineStr">
        <is>
          <t>오송읍</t>
        </is>
      </c>
    </row>
    <row r="2973">
      <c r="A2973" s="3" t="n">
        <v>2022</v>
      </c>
      <c r="B2973" s="4" t="n">
        <v>139000</v>
      </c>
      <c r="C2973" s="4" t="n">
        <v>3078</v>
      </c>
      <c r="D2973" s="3" t="inlineStr">
        <is>
          <t>오송읍</t>
        </is>
      </c>
      <c r="E2973" s="3" t="inlineStr">
        <is>
          <t>궁평리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931.095</v>
      </c>
      <c r="I2973" s="5" t="n">
        <v>149.3</v>
      </c>
      <c r="J2973" s="3" t="inlineStr">
        <is>
          <t>오송읍</t>
        </is>
      </c>
    </row>
    <row r="2974">
      <c r="A2974" s="3" t="n">
        <v>2022</v>
      </c>
      <c r="B2974" s="4" t="n">
        <v>24800</v>
      </c>
      <c r="C2974" s="4" t="n">
        <v>247.1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74.74775</v>
      </c>
      <c r="I2974" s="5" t="n">
        <v>331.8</v>
      </c>
      <c r="J2974" s="3" t="inlineStr">
        <is>
          <t>오송읍</t>
        </is>
      </c>
    </row>
    <row r="2975">
      <c r="A2975" s="3" t="n">
        <v>2022</v>
      </c>
      <c r="B2975" s="4" t="n">
        <v>786</v>
      </c>
      <c r="C2975" s="4" t="n">
        <v>28</v>
      </c>
      <c r="D2975" s="3" t="inlineStr">
        <is>
          <t>오송읍</t>
        </is>
      </c>
      <c r="E2975" s="3" t="inlineStr">
        <is>
          <t>궁평리</t>
        </is>
      </c>
      <c r="F2975" s="3" t="inlineStr">
        <is>
          <t>농림지역</t>
        </is>
      </c>
      <c r="G2975" s="3" t="inlineStr">
        <is>
          <t>도로</t>
        </is>
      </c>
      <c r="H2975" s="4" t="n">
        <v>8.469999999999999</v>
      </c>
      <c r="I2975" s="5" t="n">
        <v>92.8</v>
      </c>
      <c r="J2975" s="3" t="inlineStr">
        <is>
          <t>오송읍</t>
        </is>
      </c>
    </row>
    <row r="2976">
      <c r="A2976" s="3" t="n">
        <v>2022</v>
      </c>
      <c r="B2976" s="4" t="n">
        <v>2976</v>
      </c>
      <c r="C2976" s="4" t="n">
        <v>84</v>
      </c>
      <c r="D2976" s="3" t="inlineStr">
        <is>
          <t>오송읍</t>
        </is>
      </c>
      <c r="E2976" s="3" t="inlineStr">
        <is>
          <t>궁평리</t>
        </is>
      </c>
      <c r="F2976" s="3" t="inlineStr">
        <is>
          <t>농림지역</t>
        </is>
      </c>
      <c r="G2976" s="3" t="inlineStr">
        <is>
          <t>도로</t>
        </is>
      </c>
      <c r="H2976" s="4" t="n">
        <v>25.41</v>
      </c>
      <c r="I2976" s="5" t="n">
        <v>117.1</v>
      </c>
      <c r="J2976" s="3" t="inlineStr">
        <is>
          <t>오송읍</t>
        </is>
      </c>
    </row>
    <row r="2977">
      <c r="A2977" s="3" t="n">
        <v>2022</v>
      </c>
      <c r="B2977" s="4" t="n">
        <v>71800</v>
      </c>
      <c r="C2977" s="4" t="n">
        <v>3570</v>
      </c>
      <c r="D2977" s="3" t="inlineStr">
        <is>
          <t>강내면</t>
        </is>
      </c>
      <c r="E2977" s="3" t="inlineStr">
        <is>
          <t>월탄리</t>
        </is>
      </c>
      <c r="F2977" s="3" t="inlineStr">
        <is>
          <t>농림지역</t>
        </is>
      </c>
      <c r="G2977" s="3" t="inlineStr">
        <is>
          <t>답</t>
        </is>
      </c>
      <c r="H2977" s="4" t="n">
        <v>1079.925</v>
      </c>
      <c r="I2977" s="5" t="n">
        <v>66.5</v>
      </c>
      <c r="J2977" s="3" t="inlineStr">
        <is>
          <t>강내면</t>
        </is>
      </c>
    </row>
    <row r="2978">
      <c r="A2978" s="3" t="n">
        <v>2022</v>
      </c>
      <c r="B2978" s="4" t="n">
        <v>29920</v>
      </c>
      <c r="C2978" s="4" t="n">
        <v>638</v>
      </c>
      <c r="D2978" s="3" t="inlineStr">
        <is>
          <t>강내면</t>
        </is>
      </c>
      <c r="E2978" s="3" t="inlineStr">
        <is>
          <t>사인리</t>
        </is>
      </c>
      <c r="F2978" s="3" t="inlineStr">
        <is>
          <t>자연녹지지역</t>
        </is>
      </c>
      <c r="G2978" s="3" t="inlineStr">
        <is>
          <t>대</t>
        </is>
      </c>
      <c r="H2978" s="4" t="n">
        <v>192.995</v>
      </c>
      <c r="I2978" s="5" t="n">
        <v>155</v>
      </c>
      <c r="J2978" s="3" t="inlineStr">
        <is>
          <t>강내면</t>
        </is>
      </c>
    </row>
    <row r="2979">
      <c r="A2979" s="3" t="n">
        <v>2022</v>
      </c>
      <c r="B2979" s="4" t="n">
        <v>10080</v>
      </c>
      <c r="C2979" s="4" t="n">
        <v>215</v>
      </c>
      <c r="D2979" s="3" t="inlineStr">
        <is>
          <t>강내면</t>
        </is>
      </c>
      <c r="E2979" s="3" t="inlineStr">
        <is>
          <t>사인리</t>
        </is>
      </c>
      <c r="F2979" s="3" t="inlineStr">
        <is>
          <t>자연녹지지역</t>
        </is>
      </c>
      <c r="G2979" s="3" t="inlineStr">
        <is>
          <t>대</t>
        </is>
      </c>
      <c r="H2979" s="4" t="n">
        <v>65.03749999999999</v>
      </c>
      <c r="I2979" s="5" t="n">
        <v>155</v>
      </c>
      <c r="J2979" s="3" t="inlineStr">
        <is>
          <t>강내면</t>
        </is>
      </c>
    </row>
    <row r="2980">
      <c r="A2980" s="3" t="n">
        <v>2022</v>
      </c>
      <c r="B2980" s="4" t="n">
        <v>40000</v>
      </c>
      <c r="C2980" s="4" t="n">
        <v>702</v>
      </c>
      <c r="D2980" s="3" t="inlineStr">
        <is>
          <t>강내면</t>
        </is>
      </c>
      <c r="E2980" s="3" t="inlineStr">
        <is>
          <t>탑연리</t>
        </is>
      </c>
      <c r="F2980" s="3" t="inlineStr">
        <is>
          <t>자연녹지지역</t>
        </is>
      </c>
      <c r="G2980" s="3" t="inlineStr">
        <is>
          <t>임야</t>
        </is>
      </c>
      <c r="H2980" s="4" t="n">
        <v>212.355</v>
      </c>
      <c r="I2980" s="5" t="n">
        <v>188.4</v>
      </c>
      <c r="J2980" s="3" t="inlineStr">
        <is>
          <t>강내면</t>
        </is>
      </c>
    </row>
    <row r="2981">
      <c r="A2981" s="3" t="n">
        <v>2022</v>
      </c>
      <c r="B2981" s="4" t="n">
        <v>32400</v>
      </c>
      <c r="C2981" s="4" t="n">
        <v>568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171.82</v>
      </c>
      <c r="I2981" s="5" t="n">
        <v>188.6</v>
      </c>
      <c r="J2981" s="3" t="inlineStr">
        <is>
          <t>강내면</t>
        </is>
      </c>
    </row>
    <row r="2982">
      <c r="A2982" s="3" t="n">
        <v>2022</v>
      </c>
      <c r="B2982" s="4" t="n">
        <v>4300</v>
      </c>
      <c r="C2982" s="4" t="n">
        <v>72</v>
      </c>
      <c r="D2982" s="3" t="inlineStr">
        <is>
          <t>오송읍</t>
        </is>
      </c>
      <c r="E2982" s="3" t="inlineStr">
        <is>
          <t>정중리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21.78</v>
      </c>
      <c r="I2982" s="5" t="n">
        <v>197.4</v>
      </c>
      <c r="J2982" s="3" t="inlineStr">
        <is>
          <t>오송읍</t>
        </is>
      </c>
    </row>
    <row r="2983">
      <c r="A2983" s="3" t="n">
        <v>2022</v>
      </c>
      <c r="B2983" s="4" t="n">
        <v>394000</v>
      </c>
      <c r="C2983" s="4" t="n">
        <v>2435.1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주차장</t>
        </is>
      </c>
      <c r="H2983" s="4" t="n">
        <v>736.61775</v>
      </c>
      <c r="I2983" s="5" t="n">
        <v>534.9</v>
      </c>
      <c r="J2983" s="3" t="inlineStr">
        <is>
          <t>오송읍</t>
        </is>
      </c>
    </row>
    <row r="2984">
      <c r="A2984" s="3" t="n">
        <v>2022</v>
      </c>
      <c r="B2984" s="4" t="n">
        <v>12000</v>
      </c>
      <c r="C2984" s="4" t="n">
        <v>896</v>
      </c>
      <c r="D2984" s="3" t="inlineStr">
        <is>
          <t>강내면</t>
        </is>
      </c>
      <c r="E2984" s="3" t="inlineStr">
        <is>
          <t>탑연리</t>
        </is>
      </c>
      <c r="F2984" s="3" t="inlineStr">
        <is>
          <t>자연녹지지역</t>
        </is>
      </c>
      <c r="G2984" s="3" t="inlineStr">
        <is>
          <t>답</t>
        </is>
      </c>
      <c r="H2984" s="4" t="n">
        <v>271.04</v>
      </c>
      <c r="I2984" s="5" t="n">
        <v>44.3</v>
      </c>
      <c r="J2984" s="3" t="inlineStr">
        <is>
          <t>강내면</t>
        </is>
      </c>
    </row>
    <row r="2985">
      <c r="A2985" s="3" t="n">
        <v>2022</v>
      </c>
      <c r="B2985" s="4" t="n">
        <v>20958</v>
      </c>
      <c r="C2985" s="4" t="n">
        <v>495</v>
      </c>
      <c r="D2985" s="3" t="inlineStr">
        <is>
          <t>오송읍</t>
        </is>
      </c>
      <c r="E2985" s="3" t="inlineStr">
        <is>
          <t>정중리</t>
        </is>
      </c>
      <c r="F2985" s="3" t="inlineStr">
        <is>
          <t>생산관리지역</t>
        </is>
      </c>
      <c r="G2985" s="3" t="inlineStr">
        <is>
          <t>전</t>
        </is>
      </c>
      <c r="H2985" s="4" t="n">
        <v>149.7375</v>
      </c>
      <c r="I2985" s="5" t="n">
        <v>140</v>
      </c>
      <c r="J2985" s="3" t="inlineStr">
        <is>
          <t>오송읍</t>
        </is>
      </c>
    </row>
    <row r="2986">
      <c r="A2986" s="3" t="n">
        <v>2022</v>
      </c>
      <c r="B2986" s="4" t="n">
        <v>22660</v>
      </c>
      <c r="C2986" s="4" t="n">
        <v>556</v>
      </c>
      <c r="D2986" s="3" t="inlineStr">
        <is>
          <t>오송읍</t>
        </is>
      </c>
      <c r="E2986" s="3" t="inlineStr">
        <is>
          <t>정중리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168.19</v>
      </c>
      <c r="I2986" s="5" t="n">
        <v>134.7</v>
      </c>
      <c r="J2986" s="3" t="inlineStr">
        <is>
          <t>오송읍</t>
        </is>
      </c>
    </row>
    <row r="2987">
      <c r="A2987" s="3" t="n">
        <v>2022</v>
      </c>
      <c r="B2987" s="4" t="n">
        <v>440</v>
      </c>
      <c r="C2987" s="4" t="n">
        <v>11</v>
      </c>
      <c r="D2987" s="3" t="inlineStr">
        <is>
          <t>오송읍</t>
        </is>
      </c>
      <c r="E2987" s="3" t="inlineStr">
        <is>
          <t>정중리</t>
        </is>
      </c>
      <c r="F2987" s="3" t="inlineStr">
        <is>
          <t>용도미지정</t>
        </is>
      </c>
      <c r="G2987" s="3" t="inlineStr">
        <is>
          <t>전</t>
        </is>
      </c>
      <c r="H2987" s="4" t="n">
        <v>3.3275</v>
      </c>
      <c r="I2987" s="5" t="n">
        <v>132.2</v>
      </c>
      <c r="J2987" s="3" t="inlineStr">
        <is>
          <t>오송읍</t>
        </is>
      </c>
    </row>
    <row r="2988">
      <c r="A2988" s="3" t="n">
        <v>2022</v>
      </c>
      <c r="B2988" s="4" t="n">
        <v>10000</v>
      </c>
      <c r="C2988" s="4" t="n">
        <v>114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제2종일반주거지역</t>
        </is>
      </c>
      <c r="G2988" s="3" t="inlineStr">
        <is>
          <t>전</t>
        </is>
      </c>
      <c r="H2988" s="4" t="n">
        <v>34.485</v>
      </c>
      <c r="I2988" s="5" t="n">
        <v>290</v>
      </c>
      <c r="J2988" s="3" t="inlineStr">
        <is>
          <t>강내면</t>
        </is>
      </c>
    </row>
    <row r="2989">
      <c r="A2989" s="3" t="n">
        <v>2022</v>
      </c>
      <c r="B2989" s="4" t="n">
        <v>18383</v>
      </c>
      <c r="C2989" s="4" t="n">
        <v>340</v>
      </c>
      <c r="D2989" s="3" t="inlineStr">
        <is>
          <t>강내면</t>
        </is>
      </c>
      <c r="E2989" s="3" t="inlineStr">
        <is>
          <t>월곡리</t>
        </is>
      </c>
      <c r="F2989" s="3" t="inlineStr">
        <is>
          <t>제2종일반주거지역</t>
        </is>
      </c>
      <c r="G2989" s="3" t="inlineStr">
        <is>
          <t>답</t>
        </is>
      </c>
      <c r="H2989" s="4" t="n">
        <v>102.85</v>
      </c>
      <c r="I2989" s="5" t="n">
        <v>178.7</v>
      </c>
      <c r="J2989" s="3" t="inlineStr">
        <is>
          <t>강내면</t>
        </is>
      </c>
    </row>
    <row r="2990">
      <c r="A2990" s="3" t="n">
        <v>2022</v>
      </c>
      <c r="B2990" s="4" t="n">
        <v>40388</v>
      </c>
      <c r="C2990" s="4" t="n">
        <v>747</v>
      </c>
      <c r="D2990" s="3" t="inlineStr">
        <is>
          <t>강내면</t>
        </is>
      </c>
      <c r="E2990" s="3" t="inlineStr">
        <is>
          <t>월곡리</t>
        </is>
      </c>
      <c r="F2990" s="3" t="inlineStr">
        <is>
          <t>제2종일반주거지역</t>
        </is>
      </c>
      <c r="G2990" s="3" t="inlineStr">
        <is>
          <t>답</t>
        </is>
      </c>
      <c r="H2990" s="4" t="n">
        <v>225.9675</v>
      </c>
      <c r="I2990" s="5" t="n">
        <v>178.7</v>
      </c>
      <c r="J2990" s="3" t="inlineStr">
        <is>
          <t>강내면</t>
        </is>
      </c>
    </row>
    <row r="2991">
      <c r="A2991" s="3" t="n">
        <v>2022</v>
      </c>
      <c r="B2991" s="4" t="n">
        <v>2000</v>
      </c>
      <c r="C2991" s="4" t="n">
        <v>37</v>
      </c>
      <c r="D2991" s="3" t="inlineStr">
        <is>
          <t>강내면</t>
        </is>
      </c>
      <c r="E2991" s="3" t="inlineStr">
        <is>
          <t>월곡리</t>
        </is>
      </c>
      <c r="F2991" s="3" t="inlineStr">
        <is>
          <t>제2종일반주거지역</t>
        </is>
      </c>
      <c r="G2991" s="3" t="inlineStr">
        <is>
          <t>답</t>
        </is>
      </c>
      <c r="H2991" s="4" t="n">
        <v>11.1925</v>
      </c>
      <c r="I2991" s="5" t="n">
        <v>178.7</v>
      </c>
      <c r="J2991" s="3" t="inlineStr">
        <is>
          <t>강내면</t>
        </is>
      </c>
    </row>
    <row r="2992">
      <c r="A2992" s="3" t="n">
        <v>2023</v>
      </c>
      <c r="B2992" s="4" t="n">
        <v>85988</v>
      </c>
      <c r="C2992" s="4" t="n">
        <v>1097</v>
      </c>
      <c r="D2992" s="3" t="inlineStr">
        <is>
          <t>강내면</t>
        </is>
      </c>
      <c r="E2992" s="3" t="inlineStr">
        <is>
          <t>월곡리</t>
        </is>
      </c>
      <c r="F2992" s="3" t="inlineStr">
        <is>
          <t>제2종일반주거지역</t>
        </is>
      </c>
      <c r="G2992" s="3" t="inlineStr">
        <is>
          <t>답</t>
        </is>
      </c>
      <c r="H2992" s="4" t="n">
        <v>331.8425</v>
      </c>
      <c r="I2992" s="5" t="n">
        <v>259.1</v>
      </c>
      <c r="J2992" s="3" t="inlineStr">
        <is>
          <t>강내면</t>
        </is>
      </c>
    </row>
    <row r="2993">
      <c r="A2993" s="3" t="n">
        <v>2023</v>
      </c>
      <c r="B2993" s="4" t="n">
        <v>2579</v>
      </c>
      <c r="C2993" s="4" t="n">
        <v>33</v>
      </c>
      <c r="D2993" s="3" t="inlineStr">
        <is>
          <t>강내면</t>
        </is>
      </c>
      <c r="E2993" s="3" t="inlineStr">
        <is>
          <t>월곡리</t>
        </is>
      </c>
      <c r="F2993" s="3" t="inlineStr">
        <is>
          <t>제2종일반주거지역</t>
        </is>
      </c>
      <c r="G2993" s="3" t="inlineStr">
        <is>
          <t>답</t>
        </is>
      </c>
      <c r="H2993" s="4" t="n">
        <v>9.9825</v>
      </c>
      <c r="I2993" s="5" t="n">
        <v>258.4</v>
      </c>
      <c r="J2993" s="3" t="inlineStr">
        <is>
          <t>강내면</t>
        </is>
      </c>
    </row>
    <row r="2994">
      <c r="A2994" s="3" t="n">
        <v>2023</v>
      </c>
      <c r="B2994" s="4" t="n">
        <v>21756</v>
      </c>
      <c r="C2994" s="4" t="n">
        <v>279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제2종일반주거지역</t>
        </is>
      </c>
      <c r="G2994" s="3" t="inlineStr">
        <is>
          <t>답</t>
        </is>
      </c>
      <c r="H2994" s="4" t="n">
        <v>84.39749999999999</v>
      </c>
      <c r="I2994" s="5" t="n">
        <v>257.8</v>
      </c>
      <c r="J2994" s="3" t="inlineStr">
        <is>
          <t>강내면</t>
        </is>
      </c>
    </row>
    <row r="2995">
      <c r="A2995" s="3" t="n">
        <v>2023</v>
      </c>
      <c r="B2995" s="4" t="n">
        <v>26677</v>
      </c>
      <c r="C2995" s="4" t="n">
        <v>340</v>
      </c>
      <c r="D2995" s="3" t="inlineStr">
        <is>
          <t>강내면</t>
        </is>
      </c>
      <c r="E2995" s="3" t="inlineStr">
        <is>
          <t>월곡리</t>
        </is>
      </c>
      <c r="F2995" s="3" t="inlineStr">
        <is>
          <t>제2종일반주거지역</t>
        </is>
      </c>
      <c r="G2995" s="3" t="inlineStr">
        <is>
          <t>답</t>
        </is>
      </c>
      <c r="H2995" s="4" t="n">
        <v>102.85</v>
      </c>
      <c r="I2995" s="5" t="n">
        <v>259.4</v>
      </c>
      <c r="J2995" s="3" t="inlineStr">
        <is>
          <t>강내면</t>
        </is>
      </c>
    </row>
    <row r="2996">
      <c r="A2996" s="3" t="n">
        <v>2023</v>
      </c>
      <c r="B2996" s="4" t="n">
        <v>12000</v>
      </c>
      <c r="C2996" s="4" t="n">
        <v>152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45.98</v>
      </c>
      <c r="I2996" s="5" t="n">
        <v>261</v>
      </c>
      <c r="J2996" s="3" t="inlineStr">
        <is>
          <t>오송읍</t>
        </is>
      </c>
    </row>
    <row r="2997">
      <c r="A2997" s="3" t="n">
        <v>2023</v>
      </c>
      <c r="B2997" s="4" t="n">
        <v>48000</v>
      </c>
      <c r="C2997" s="4" t="n">
        <v>1879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568.3975</v>
      </c>
      <c r="I2997" s="5" t="n">
        <v>84.40000000000001</v>
      </c>
      <c r="J2997" s="3" t="inlineStr">
        <is>
          <t>강내면</t>
        </is>
      </c>
    </row>
    <row r="2998">
      <c r="A2998" s="3" t="n">
        <v>2023</v>
      </c>
      <c r="B2998" s="4" t="n">
        <v>13200</v>
      </c>
      <c r="C2998" s="4" t="n">
        <v>145</v>
      </c>
      <c r="D2998" s="3" t="inlineStr">
        <is>
          <t>오송읍</t>
        </is>
      </c>
      <c r="E2998" s="3" t="inlineStr">
        <is>
          <t>정중리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43.8625</v>
      </c>
      <c r="I2998" s="5" t="n">
        <v>300.9</v>
      </c>
      <c r="J2998" s="3" t="inlineStr">
        <is>
          <t>오송읍</t>
        </is>
      </c>
    </row>
    <row r="2999">
      <c r="A2999" s="3" t="n">
        <v>2023</v>
      </c>
      <c r="B2999" s="4" t="n">
        <v>10000</v>
      </c>
      <c r="C2999" s="4" t="n">
        <v>152</v>
      </c>
      <c r="D2999" s="3" t="inlineStr">
        <is>
          <t>오송읍</t>
        </is>
      </c>
      <c r="E2999" s="3" t="inlineStr">
        <is>
          <t>정중리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45.98</v>
      </c>
      <c r="I2999" s="5" t="n">
        <v>217.5</v>
      </c>
      <c r="J2999" s="3" t="inlineStr">
        <is>
          <t>오송읍</t>
        </is>
      </c>
    </row>
    <row r="3000">
      <c r="A3000" s="3" t="n">
        <v>2023</v>
      </c>
      <c r="B3000" s="4" t="n">
        <v>19400</v>
      </c>
      <c r="C3000" s="4" t="n">
        <v>300</v>
      </c>
      <c r="D3000" s="3" t="inlineStr">
        <is>
          <t>오송읍</t>
        </is>
      </c>
      <c r="E3000" s="3" t="inlineStr">
        <is>
          <t>궁평리</t>
        </is>
      </c>
      <c r="F3000" s="3" t="inlineStr">
        <is>
          <t>제1종일반주거지역</t>
        </is>
      </c>
      <c r="G3000" s="3" t="inlineStr">
        <is>
          <t>창고용지</t>
        </is>
      </c>
      <c r="H3000" s="4" t="n">
        <v>90.75</v>
      </c>
      <c r="I3000" s="5" t="n">
        <v>213.8</v>
      </c>
      <c r="J3000" s="3" t="inlineStr">
        <is>
          <t>오송읍</t>
        </is>
      </c>
    </row>
    <row r="3001">
      <c r="A3001" s="3" t="n">
        <v>2023</v>
      </c>
      <c r="B3001" s="4" t="n">
        <v>88500</v>
      </c>
      <c r="C3001" s="4" t="n">
        <v>2135</v>
      </c>
      <c r="D3001" s="3" t="inlineStr">
        <is>
          <t>강내면</t>
        </is>
      </c>
      <c r="E3001" s="3" t="inlineStr">
        <is>
          <t>다락리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645.8375</v>
      </c>
      <c r="I3001" s="5" t="n">
        <v>137</v>
      </c>
      <c r="J3001" s="3" t="inlineStr">
        <is>
          <t>강내면</t>
        </is>
      </c>
    </row>
    <row r="3002">
      <c r="A3002" s="3" t="n">
        <v>2023</v>
      </c>
      <c r="B3002" s="4" t="n">
        <v>74000</v>
      </c>
      <c r="C3002" s="4" t="n">
        <v>816</v>
      </c>
      <c r="D3002" s="3" t="inlineStr">
        <is>
          <t>오송읍</t>
        </is>
      </c>
      <c r="E3002" s="3" t="inlineStr">
        <is>
          <t>오송리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246.84</v>
      </c>
      <c r="I3002" s="5" t="n">
        <v>299.8</v>
      </c>
      <c r="J3002" s="3" t="inlineStr">
        <is>
          <t>오송읍</t>
        </is>
      </c>
    </row>
    <row r="3003">
      <c r="A3003" s="3" t="n">
        <v>2023</v>
      </c>
      <c r="B3003" s="4" t="n">
        <v>39500</v>
      </c>
      <c r="C3003" s="4" t="n">
        <v>2076</v>
      </c>
      <c r="D3003" s="3" t="inlineStr">
        <is>
          <t>오송읍</t>
        </is>
      </c>
      <c r="E3003" s="3" t="inlineStr">
        <is>
          <t>쌍청리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627.99</v>
      </c>
      <c r="I3003" s="5" t="n">
        <v>62.9</v>
      </c>
      <c r="J3003" s="3" t="inlineStr">
        <is>
          <t>오송읍</t>
        </is>
      </c>
    </row>
    <row r="3004">
      <c r="A3004" s="3" t="n">
        <v>2023</v>
      </c>
      <c r="B3004" s="4" t="n">
        <v>16107</v>
      </c>
      <c r="C3004" s="4" t="n">
        <v>409</v>
      </c>
      <c r="D3004" s="3" t="inlineStr">
        <is>
          <t>오송읍</t>
        </is>
      </c>
      <c r="E3004" s="3" t="inlineStr">
        <is>
          <t>공북리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123.7225</v>
      </c>
      <c r="I3004" s="5" t="n">
        <v>130.2</v>
      </c>
      <c r="J3004" s="3" t="inlineStr">
        <is>
          <t>오송읍</t>
        </is>
      </c>
    </row>
    <row r="3005">
      <c r="A3005" s="3" t="n">
        <v>2023</v>
      </c>
      <c r="B3005" s="4" t="n">
        <v>490</v>
      </c>
      <c r="C3005" s="4" t="n">
        <v>18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5.445</v>
      </c>
      <c r="I3005" s="5" t="n">
        <v>90</v>
      </c>
      <c r="J3005" s="3" t="inlineStr">
        <is>
          <t>강내면</t>
        </is>
      </c>
    </row>
    <row r="3006">
      <c r="A3006" s="3" t="n">
        <v>2023</v>
      </c>
      <c r="B3006" s="4" t="n">
        <v>39500</v>
      </c>
      <c r="C3006" s="4" t="n">
        <v>2076</v>
      </c>
      <c r="D3006" s="3" t="inlineStr">
        <is>
          <t>오송읍</t>
        </is>
      </c>
      <c r="E3006" s="3" t="inlineStr">
        <is>
          <t>쌍청리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627.99</v>
      </c>
      <c r="I3006" s="5" t="n">
        <v>62.9</v>
      </c>
      <c r="J3006" s="3" t="inlineStr">
        <is>
          <t>오송읍</t>
        </is>
      </c>
    </row>
    <row r="3007">
      <c r="A3007" s="3" t="n">
        <v>2023</v>
      </c>
      <c r="B3007" s="4" t="n">
        <v>9500</v>
      </c>
      <c r="C3007" s="4" t="n">
        <v>1031</v>
      </c>
      <c r="D3007" s="3" t="inlineStr">
        <is>
          <t>강내면</t>
        </is>
      </c>
      <c r="E3007" s="3" t="inlineStr">
        <is>
          <t>사인리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311.8775</v>
      </c>
      <c r="I3007" s="5" t="n">
        <v>30.5</v>
      </c>
      <c r="J3007" s="3" t="inlineStr">
        <is>
          <t>강내면</t>
        </is>
      </c>
    </row>
    <row r="3008">
      <c r="A3008" s="3" t="n">
        <v>2023</v>
      </c>
      <c r="B3008" s="4" t="n">
        <v>20000</v>
      </c>
      <c r="C3008" s="4" t="n">
        <v>243</v>
      </c>
      <c r="D3008" s="3" t="inlineStr">
        <is>
          <t>오송읍</t>
        </is>
      </c>
      <c r="E3008" s="3" t="inlineStr">
        <is>
          <t>궁평리</t>
        </is>
      </c>
      <c r="F3008" s="3" t="inlineStr">
        <is>
          <t>농림지역</t>
        </is>
      </c>
      <c r="G3008" s="3" t="inlineStr">
        <is>
          <t>대</t>
        </is>
      </c>
      <c r="H3008" s="4" t="n">
        <v>73.50749999999999</v>
      </c>
      <c r="I3008" s="5" t="n">
        <v>272.1</v>
      </c>
      <c r="J3008" s="3" t="inlineStr">
        <is>
          <t>오송읍</t>
        </is>
      </c>
    </row>
    <row r="3009">
      <c r="A3009" s="3" t="n">
        <v>2023</v>
      </c>
      <c r="B3009" s="4" t="n">
        <v>29667</v>
      </c>
      <c r="C3009" s="4" t="n">
        <v>3382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1023.055</v>
      </c>
      <c r="I3009" s="5" t="n">
        <v>29</v>
      </c>
      <c r="J3009" s="3" t="inlineStr">
        <is>
          <t>강내면</t>
        </is>
      </c>
    </row>
    <row r="3010">
      <c r="A3010" s="3" t="n">
        <v>2023</v>
      </c>
      <c r="B3010" s="4" t="n">
        <v>8983</v>
      </c>
      <c r="C3010" s="4" t="n">
        <v>1481</v>
      </c>
      <c r="D3010" s="3" t="inlineStr">
        <is>
          <t>강내면</t>
        </is>
      </c>
      <c r="E3010" s="3" t="inlineStr">
        <is>
          <t>학천리</t>
        </is>
      </c>
      <c r="F3010" s="3" t="inlineStr">
        <is>
          <t>자연녹지지역</t>
        </is>
      </c>
      <c r="G3010" s="3" t="inlineStr">
        <is>
          <t>전</t>
        </is>
      </c>
      <c r="H3010" s="4" t="n">
        <v>448.0025</v>
      </c>
      <c r="I3010" s="5" t="n">
        <v>20.1</v>
      </c>
      <c r="J3010" s="3" t="inlineStr">
        <is>
          <t>강내면</t>
        </is>
      </c>
    </row>
    <row r="3011">
      <c r="A3011" s="3" t="n">
        <v>2023</v>
      </c>
      <c r="B3011" s="4" t="n">
        <v>85988</v>
      </c>
      <c r="C3011" s="4" t="n">
        <v>1097</v>
      </c>
      <c r="D3011" s="3" t="inlineStr">
        <is>
          <t>강내면</t>
        </is>
      </c>
      <c r="E3011" s="3" t="inlineStr">
        <is>
          <t>월곡리</t>
        </is>
      </c>
      <c r="F3011" s="3" t="inlineStr">
        <is>
          <t>제2종일반주거지역</t>
        </is>
      </c>
      <c r="G3011" s="3" t="inlineStr">
        <is>
          <t>답</t>
        </is>
      </c>
      <c r="H3011" s="4" t="n">
        <v>331.8425</v>
      </c>
      <c r="I3011" s="5" t="n">
        <v>259.1</v>
      </c>
      <c r="J3011" s="3" t="inlineStr">
        <is>
          <t>강내면</t>
        </is>
      </c>
    </row>
    <row r="3012">
      <c r="A3012" s="3" t="n">
        <v>2023</v>
      </c>
      <c r="B3012" s="4" t="n">
        <v>2579</v>
      </c>
      <c r="C3012" s="4" t="n">
        <v>33</v>
      </c>
      <c r="D3012" s="3" t="inlineStr">
        <is>
          <t>강내면</t>
        </is>
      </c>
      <c r="E3012" s="3" t="inlineStr">
        <is>
          <t>월곡리</t>
        </is>
      </c>
      <c r="F3012" s="3" t="inlineStr">
        <is>
          <t>제2종일반주거지역</t>
        </is>
      </c>
      <c r="G3012" s="3" t="inlineStr">
        <is>
          <t>답</t>
        </is>
      </c>
      <c r="H3012" s="4" t="n">
        <v>9.9825</v>
      </c>
      <c r="I3012" s="5" t="n">
        <v>258.4</v>
      </c>
      <c r="J3012" s="3" t="inlineStr">
        <is>
          <t>강내면</t>
        </is>
      </c>
    </row>
    <row r="3013">
      <c r="A3013" s="3" t="n">
        <v>2023</v>
      </c>
      <c r="B3013" s="4" t="n">
        <v>21756</v>
      </c>
      <c r="C3013" s="4" t="n">
        <v>279</v>
      </c>
      <c r="D3013" s="3" t="inlineStr">
        <is>
          <t>강내면</t>
        </is>
      </c>
      <c r="E3013" s="3" t="inlineStr">
        <is>
          <t>월곡리</t>
        </is>
      </c>
      <c r="F3013" s="3" t="inlineStr">
        <is>
          <t>제2종일반주거지역</t>
        </is>
      </c>
      <c r="G3013" s="3" t="inlineStr">
        <is>
          <t>답</t>
        </is>
      </c>
      <c r="H3013" s="4" t="n">
        <v>84.39749999999999</v>
      </c>
      <c r="I3013" s="5" t="n">
        <v>257.8</v>
      </c>
      <c r="J3013" s="3" t="inlineStr">
        <is>
          <t>강내면</t>
        </is>
      </c>
    </row>
    <row r="3014">
      <c r="A3014" s="3" t="n">
        <v>2023</v>
      </c>
      <c r="B3014" s="4" t="n">
        <v>26677</v>
      </c>
      <c r="C3014" s="4" t="n">
        <v>340</v>
      </c>
      <c r="D3014" s="3" t="inlineStr">
        <is>
          <t>강내면</t>
        </is>
      </c>
      <c r="E3014" s="3" t="inlineStr">
        <is>
          <t>월곡리</t>
        </is>
      </c>
      <c r="F3014" s="3" t="inlineStr">
        <is>
          <t>제2종일반주거지역</t>
        </is>
      </c>
      <c r="G3014" s="3" t="inlineStr">
        <is>
          <t>답</t>
        </is>
      </c>
      <c r="H3014" s="4" t="n">
        <v>102.85</v>
      </c>
      <c r="I3014" s="5" t="n">
        <v>259.4</v>
      </c>
      <c r="J3014" s="3" t="inlineStr">
        <is>
          <t>강내면</t>
        </is>
      </c>
    </row>
    <row r="3015">
      <c r="A3015" s="3" t="n">
        <v>2023</v>
      </c>
      <c r="B3015" s="4" t="n">
        <v>30000</v>
      </c>
      <c r="C3015" s="4" t="n">
        <v>879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자연녹지지역</t>
        </is>
      </c>
      <c r="G3015" s="3" t="inlineStr">
        <is>
          <t>임야</t>
        </is>
      </c>
      <c r="H3015" s="4" t="n">
        <v>265.8975</v>
      </c>
      <c r="I3015" s="5" t="n">
        <v>112.8</v>
      </c>
      <c r="J3015" s="3" t="inlineStr">
        <is>
          <t>강내면</t>
        </is>
      </c>
    </row>
    <row r="3016">
      <c r="A3016" s="3" t="n">
        <v>2023</v>
      </c>
      <c r="B3016" s="4" t="n">
        <v>43257</v>
      </c>
      <c r="C3016" s="4" t="n">
        <v>3911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1183.0775</v>
      </c>
      <c r="I3016" s="5" t="n">
        <v>36.6</v>
      </c>
      <c r="J3016" s="3" t="inlineStr">
        <is>
          <t>오송읍</t>
        </is>
      </c>
    </row>
    <row r="3017">
      <c r="A3017" s="3" t="n">
        <v>2023</v>
      </c>
      <c r="B3017" s="4" t="n">
        <v>343</v>
      </c>
      <c r="C3017" s="4" t="n">
        <v>31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보전관리지역</t>
        </is>
      </c>
      <c r="G3017" s="3" t="inlineStr">
        <is>
          <t>임야</t>
        </is>
      </c>
      <c r="H3017" s="4" t="n">
        <v>9.3775</v>
      </c>
      <c r="I3017" s="5" t="n">
        <v>36.6</v>
      </c>
      <c r="J3017" s="3" t="inlineStr">
        <is>
          <t>오송읍</t>
        </is>
      </c>
    </row>
    <row r="3018">
      <c r="A3018" s="3" t="n">
        <v>2023</v>
      </c>
      <c r="B3018" s="4" t="n">
        <v>33500</v>
      </c>
      <c r="C3018" s="4" t="n">
        <v>318</v>
      </c>
      <c r="D3018" s="3" t="inlineStr">
        <is>
          <t>오송읍</t>
        </is>
      </c>
      <c r="E3018" s="3" t="inlineStr">
        <is>
          <t>오송리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96.19499999999999</v>
      </c>
      <c r="I3018" s="5" t="n">
        <v>348.3</v>
      </c>
      <c r="J3018" s="3" t="inlineStr">
        <is>
          <t>오송읍</t>
        </is>
      </c>
    </row>
    <row r="3019">
      <c r="A3019" s="3" t="n">
        <v>2023</v>
      </c>
      <c r="B3019" s="4" t="n">
        <v>6500</v>
      </c>
      <c r="C3019" s="4" t="n">
        <v>64</v>
      </c>
      <c r="D3019" s="3" t="inlineStr">
        <is>
          <t>오송읍</t>
        </is>
      </c>
      <c r="E3019" s="3" t="inlineStr">
        <is>
          <t>오송리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19.36</v>
      </c>
      <c r="I3019" s="5" t="n">
        <v>335.7</v>
      </c>
      <c r="J3019" s="3" t="inlineStr">
        <is>
          <t>오송읍</t>
        </is>
      </c>
    </row>
    <row r="3020">
      <c r="A3020" s="3" t="n">
        <v>2023</v>
      </c>
      <c r="B3020" s="4" t="n">
        <v>7550</v>
      </c>
      <c r="C3020" s="4" t="n">
        <v>1000</v>
      </c>
      <c r="D3020" s="3" t="inlineStr">
        <is>
          <t>강내면</t>
        </is>
      </c>
      <c r="E3020" s="3" t="inlineStr">
        <is>
          <t>궁현리</t>
        </is>
      </c>
      <c r="F3020" s="3" t="inlineStr">
        <is>
          <t>계획관리지역</t>
        </is>
      </c>
      <c r="G3020" s="3" t="inlineStr">
        <is>
          <t>임야</t>
        </is>
      </c>
      <c r="H3020" s="4" t="n">
        <v>302.5</v>
      </c>
      <c r="I3020" s="5" t="n">
        <v>25</v>
      </c>
      <c r="J3020" s="3" t="inlineStr">
        <is>
          <t>강내면</t>
        </is>
      </c>
    </row>
    <row r="3021">
      <c r="A3021" s="3" t="n">
        <v>2023</v>
      </c>
      <c r="B3021" s="4" t="n">
        <v>3750</v>
      </c>
      <c r="C3021" s="4" t="n">
        <v>495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임야</t>
        </is>
      </c>
      <c r="H3021" s="4" t="n">
        <v>149.7375</v>
      </c>
      <c r="I3021" s="5" t="n">
        <v>25</v>
      </c>
      <c r="J3021" s="3" t="inlineStr">
        <is>
          <t>강내면</t>
        </is>
      </c>
    </row>
    <row r="3022">
      <c r="A3022" s="3" t="n">
        <v>2023</v>
      </c>
      <c r="B3022" s="4" t="n">
        <v>1900</v>
      </c>
      <c r="C3022" s="4" t="n">
        <v>125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용도미지정</t>
        </is>
      </c>
      <c r="G3022" s="3" t="inlineStr">
        <is>
          <t>임야</t>
        </is>
      </c>
      <c r="H3022" s="4" t="n">
        <v>37.8125</v>
      </c>
      <c r="I3022" s="5" t="n">
        <v>50.2</v>
      </c>
      <c r="J3022" s="3" t="inlineStr">
        <is>
          <t>강내면</t>
        </is>
      </c>
    </row>
    <row r="3023">
      <c r="A3023" s="3" t="n">
        <v>2023</v>
      </c>
      <c r="B3023" s="4" t="n">
        <v>1100</v>
      </c>
      <c r="C3023" s="4" t="n">
        <v>73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용도미지정</t>
        </is>
      </c>
      <c r="G3023" s="3" t="inlineStr">
        <is>
          <t>임야</t>
        </is>
      </c>
      <c r="H3023" s="4" t="n">
        <v>22.0825</v>
      </c>
      <c r="I3023" s="5" t="n">
        <v>49.8</v>
      </c>
      <c r="J3023" s="3" t="inlineStr">
        <is>
          <t>강내면</t>
        </is>
      </c>
    </row>
    <row r="3024">
      <c r="A3024" s="3" t="n">
        <v>2023</v>
      </c>
      <c r="B3024" s="4" t="n">
        <v>37100</v>
      </c>
      <c r="C3024" s="4" t="n">
        <v>1227</v>
      </c>
      <c r="D3024" s="3" t="inlineStr">
        <is>
          <t>강내면</t>
        </is>
      </c>
      <c r="E3024" s="3" t="inlineStr">
        <is>
          <t>태성리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371.1675</v>
      </c>
      <c r="I3024" s="5" t="n">
        <v>100</v>
      </c>
      <c r="J3024" s="3" t="inlineStr">
        <is>
          <t>강내면</t>
        </is>
      </c>
    </row>
    <row r="3025">
      <c r="A3025" s="3" t="n">
        <v>2023</v>
      </c>
      <c r="B3025" s="4" t="n">
        <v>2300</v>
      </c>
      <c r="C3025" s="4" t="n">
        <v>77</v>
      </c>
      <c r="D3025" s="3" t="inlineStr">
        <is>
          <t>강내면</t>
        </is>
      </c>
      <c r="E3025" s="3" t="inlineStr">
        <is>
          <t>태성리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23.2925</v>
      </c>
      <c r="I3025" s="5" t="n">
        <v>98.7</v>
      </c>
      <c r="J3025" s="3" t="inlineStr">
        <is>
          <t>강내면</t>
        </is>
      </c>
    </row>
    <row r="3026">
      <c r="A3026" s="3" t="n">
        <v>2023</v>
      </c>
      <c r="B3026" s="4" t="n">
        <v>37100</v>
      </c>
      <c r="C3026" s="4" t="n">
        <v>1227</v>
      </c>
      <c r="D3026" s="3" t="inlineStr">
        <is>
          <t>강내면</t>
        </is>
      </c>
      <c r="E3026" s="3" t="inlineStr">
        <is>
          <t>태성리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371.1675</v>
      </c>
      <c r="I3026" s="5" t="n">
        <v>100</v>
      </c>
      <c r="J3026" s="3" t="inlineStr">
        <is>
          <t>강내면</t>
        </is>
      </c>
    </row>
    <row r="3027">
      <c r="A3027" s="3" t="n">
        <v>2023</v>
      </c>
      <c r="B3027" s="4" t="n">
        <v>2300</v>
      </c>
      <c r="C3027" s="4" t="n">
        <v>77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23.2925</v>
      </c>
      <c r="I3027" s="5" t="n">
        <v>98.7</v>
      </c>
      <c r="J3027" s="3" t="inlineStr">
        <is>
          <t>강내면</t>
        </is>
      </c>
    </row>
    <row r="3028">
      <c r="A3028" s="3" t="n">
        <v>2023</v>
      </c>
      <c r="B3028" s="4" t="n">
        <v>220000</v>
      </c>
      <c r="C3028" s="4" t="n">
        <v>925.4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일반상업지역</t>
        </is>
      </c>
      <c r="G3028" s="3" t="inlineStr">
        <is>
          <t>대</t>
        </is>
      </c>
      <c r="H3028" s="4" t="n">
        <v>279.9335</v>
      </c>
      <c r="I3028" s="5" t="n">
        <v>785.9</v>
      </c>
      <c r="J3028" s="3" t="inlineStr">
        <is>
          <t>오송읍</t>
        </is>
      </c>
    </row>
    <row r="3029">
      <c r="A3029" s="3" t="n">
        <v>2023</v>
      </c>
      <c r="B3029" s="4" t="n">
        <v>160000</v>
      </c>
      <c r="C3029" s="4" t="n">
        <v>34909</v>
      </c>
      <c r="D3029" s="3" t="inlineStr">
        <is>
          <t>오송읍</t>
        </is>
      </c>
      <c r="E3029" s="3" t="inlineStr">
        <is>
          <t>공북리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10559.9725</v>
      </c>
      <c r="I3029" s="5" t="n">
        <v>15.2</v>
      </c>
      <c r="J3029" s="3" t="inlineStr">
        <is>
          <t>오송읍</t>
        </is>
      </c>
    </row>
    <row r="3030">
      <c r="A3030" s="3" t="n">
        <v>2023</v>
      </c>
      <c r="B3030" s="4" t="n">
        <v>7700</v>
      </c>
      <c r="C3030" s="4" t="n">
        <v>294</v>
      </c>
      <c r="D3030" s="3" t="inlineStr">
        <is>
          <t>강내면</t>
        </is>
      </c>
      <c r="E3030" s="3" t="inlineStr">
        <is>
          <t>사곡리</t>
        </is>
      </c>
      <c r="F3030" s="3" t="inlineStr">
        <is>
          <t>보전관리지역</t>
        </is>
      </c>
      <c r="G3030" s="3" t="inlineStr">
        <is>
          <t>전</t>
        </is>
      </c>
      <c r="H3030" s="4" t="n">
        <v>88.935</v>
      </c>
      <c r="I3030" s="5" t="n">
        <v>86.59999999999999</v>
      </c>
      <c r="J3030" s="3" t="inlineStr">
        <is>
          <t>강내면</t>
        </is>
      </c>
    </row>
    <row r="3031">
      <c r="A3031" s="3" t="n">
        <v>2023</v>
      </c>
      <c r="B3031" s="4" t="n">
        <v>1540</v>
      </c>
      <c r="C3031" s="4" t="n">
        <v>637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보전관리지역</t>
        </is>
      </c>
      <c r="G3031" s="3" t="inlineStr">
        <is>
          <t>임야</t>
        </is>
      </c>
      <c r="H3031" s="4" t="n">
        <v>192.6925</v>
      </c>
      <c r="I3031" s="5" t="n">
        <v>8</v>
      </c>
      <c r="J3031" s="3" t="inlineStr">
        <is>
          <t>강내면</t>
        </is>
      </c>
    </row>
    <row r="3032">
      <c r="A3032" s="3" t="n">
        <v>2023</v>
      </c>
      <c r="B3032" s="4" t="n">
        <v>17000</v>
      </c>
      <c r="C3032" s="4" t="n">
        <v>1192</v>
      </c>
      <c r="D3032" s="3" t="inlineStr">
        <is>
          <t>오송읍</t>
        </is>
      </c>
      <c r="E3032" s="3" t="inlineStr">
        <is>
          <t>호계리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360.58</v>
      </c>
      <c r="I3032" s="5" t="n">
        <v>47.1</v>
      </c>
      <c r="J3032" s="3" t="inlineStr">
        <is>
          <t>오송읍</t>
        </is>
      </c>
    </row>
    <row r="3033">
      <c r="A3033" s="3" t="n">
        <v>2023</v>
      </c>
      <c r="B3033" s="4" t="n">
        <v>103000</v>
      </c>
      <c r="C3033" s="4" t="n">
        <v>2273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임야</t>
        </is>
      </c>
      <c r="H3033" s="4" t="n">
        <v>687.5825</v>
      </c>
      <c r="I3033" s="5" t="n">
        <v>149.8</v>
      </c>
      <c r="J3033" s="3" t="inlineStr">
        <is>
          <t>강내면</t>
        </is>
      </c>
    </row>
    <row r="3034">
      <c r="A3034" s="3" t="n">
        <v>2022</v>
      </c>
      <c r="B3034" s="4" t="n">
        <v>5230</v>
      </c>
      <c r="C3034" s="4" t="n">
        <v>298</v>
      </c>
      <c r="D3034" s="3" t="inlineStr">
        <is>
          <t>강내면</t>
        </is>
      </c>
      <c r="E3034" s="3" t="inlineStr">
        <is>
          <t>학천리</t>
        </is>
      </c>
      <c r="F3034" s="3" t="inlineStr">
        <is>
          <t>자연녹지지역</t>
        </is>
      </c>
      <c r="G3034" s="3" t="inlineStr">
        <is>
          <t>전</t>
        </is>
      </c>
      <c r="H3034" s="4" t="n">
        <v>90.145</v>
      </c>
      <c r="I3034" s="5" t="n">
        <v>58</v>
      </c>
      <c r="J3034" s="3" t="inlineStr">
        <is>
          <t>강내면</t>
        </is>
      </c>
    </row>
    <row r="3035">
      <c r="A3035" s="3" t="n">
        <v>2022</v>
      </c>
      <c r="B3035" s="4" t="n">
        <v>1244</v>
      </c>
      <c r="C3035" s="4" t="n">
        <v>23</v>
      </c>
      <c r="D3035" s="3" t="inlineStr">
        <is>
          <t>강내면</t>
        </is>
      </c>
      <c r="E3035" s="3" t="inlineStr">
        <is>
          <t>월곡리</t>
        </is>
      </c>
      <c r="F3035" s="3" t="inlineStr">
        <is>
          <t>제2종일반주거지역</t>
        </is>
      </c>
      <c r="G3035" s="3" t="inlineStr">
        <is>
          <t>전</t>
        </is>
      </c>
      <c r="H3035" s="4" t="n">
        <v>6.9575</v>
      </c>
      <c r="I3035" s="5" t="n">
        <v>178.8</v>
      </c>
      <c r="J3035" s="3" t="inlineStr">
        <is>
          <t>강내면</t>
        </is>
      </c>
    </row>
    <row r="3036">
      <c r="A3036" s="3" t="n">
        <v>2024</v>
      </c>
      <c r="B3036" s="4" t="n">
        <v>25000</v>
      </c>
      <c r="C3036" s="4" t="n">
        <v>1447</v>
      </c>
      <c r="D3036" s="3" t="inlineStr">
        <is>
          <t>강내면</t>
        </is>
      </c>
      <c r="E3036" s="3" t="inlineStr">
        <is>
          <t>사곡리</t>
        </is>
      </c>
      <c r="F3036" s="3" t="inlineStr">
        <is>
          <t>계획관리지역</t>
        </is>
      </c>
      <c r="G3036" s="3" t="inlineStr">
        <is>
          <t>답</t>
        </is>
      </c>
      <c r="H3036" s="4" t="n">
        <v>437.7175</v>
      </c>
      <c r="I3036" s="5" t="n">
        <v>57.1</v>
      </c>
      <c r="J3036" s="3" t="inlineStr">
        <is>
          <t>강내면</t>
        </is>
      </c>
    </row>
    <row r="3037">
      <c r="A3037" s="3" t="n">
        <v>2024</v>
      </c>
      <c r="B3037" s="4" t="n">
        <v>36200</v>
      </c>
      <c r="C3037" s="4" t="n">
        <v>1555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470.3875</v>
      </c>
      <c r="I3037" s="5" t="n">
        <v>77</v>
      </c>
      <c r="J3037" s="3" t="inlineStr">
        <is>
          <t>강내면</t>
        </is>
      </c>
    </row>
    <row r="3038">
      <c r="A3038" s="3" t="n">
        <v>2024</v>
      </c>
      <c r="B3038" s="4" t="n">
        <v>95000</v>
      </c>
      <c r="C3038" s="4" t="n">
        <v>2668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제1종일반주거지역</t>
        </is>
      </c>
      <c r="G3038" s="3" t="inlineStr">
        <is>
          <t>과수원</t>
        </is>
      </c>
      <c r="H3038" s="4" t="n">
        <v>807.0699999999999</v>
      </c>
      <c r="I3038" s="5" t="n">
        <v>117.7</v>
      </c>
      <c r="J3038" s="3" t="inlineStr">
        <is>
          <t>오송읍</t>
        </is>
      </c>
    </row>
    <row r="3039">
      <c r="A3039" s="3" t="n">
        <v>2024</v>
      </c>
      <c r="B3039" s="4" t="n">
        <v>10565</v>
      </c>
      <c r="C3039" s="4" t="n">
        <v>635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192.0875</v>
      </c>
      <c r="I3039" s="5" t="n">
        <v>55</v>
      </c>
      <c r="J3039" s="3" t="inlineStr">
        <is>
          <t>강내면</t>
        </is>
      </c>
    </row>
    <row r="3040">
      <c r="A3040" s="3" t="n">
        <v>2024</v>
      </c>
      <c r="B3040" s="4" t="n">
        <v>18585</v>
      </c>
      <c r="C3040" s="4" t="n">
        <v>1117</v>
      </c>
      <c r="D3040" s="3" t="inlineStr">
        <is>
          <t>강내면</t>
        </is>
      </c>
      <c r="E3040" s="3" t="inlineStr">
        <is>
          <t>사곡리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337.8925</v>
      </c>
      <c r="I3040" s="5" t="n">
        <v>55</v>
      </c>
      <c r="J3040" s="3" t="inlineStr">
        <is>
          <t>강내면</t>
        </is>
      </c>
    </row>
    <row r="3041">
      <c r="A3041" s="3" t="n">
        <v>2022</v>
      </c>
      <c r="B3041" s="4" t="n">
        <v>9210</v>
      </c>
      <c r="C3041" s="4" t="n">
        <v>1016</v>
      </c>
      <c r="D3041" s="3" t="inlineStr">
        <is>
          <t>오송읍</t>
        </is>
      </c>
      <c r="E3041" s="3" t="inlineStr">
        <is>
          <t>상봉리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307.34</v>
      </c>
      <c r="I3041" s="5" t="n">
        <v>30</v>
      </c>
      <c r="J3041" s="3" t="inlineStr">
        <is>
          <t>오송읍</t>
        </is>
      </c>
    </row>
    <row r="3042">
      <c r="A3042" s="3" t="n">
        <v>2022</v>
      </c>
      <c r="B3042" s="4" t="n">
        <v>5010</v>
      </c>
      <c r="C3042" s="4" t="n">
        <v>552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농림지역</t>
        </is>
      </c>
      <c r="G3042" s="3" t="inlineStr">
        <is>
          <t>답</t>
        </is>
      </c>
      <c r="H3042" s="4" t="n">
        <v>166.98</v>
      </c>
      <c r="I3042" s="5" t="n">
        <v>30</v>
      </c>
      <c r="J3042" s="3" t="inlineStr">
        <is>
          <t>오송읍</t>
        </is>
      </c>
    </row>
    <row r="3043">
      <c r="A3043" s="3" t="n">
        <v>2022</v>
      </c>
      <c r="B3043" s="4" t="n">
        <v>4350</v>
      </c>
      <c r="C3043" s="4" t="n">
        <v>480</v>
      </c>
      <c r="D3043" s="3" t="inlineStr">
        <is>
          <t>오송읍</t>
        </is>
      </c>
      <c r="E3043" s="3" t="inlineStr">
        <is>
          <t>상봉리</t>
        </is>
      </c>
      <c r="F3043" s="3" t="inlineStr">
        <is>
          <t>농림지역</t>
        </is>
      </c>
      <c r="G3043" s="3" t="inlineStr">
        <is>
          <t>답</t>
        </is>
      </c>
      <c r="H3043" s="4" t="n">
        <v>145.2</v>
      </c>
      <c r="I3043" s="5" t="n">
        <v>30</v>
      </c>
      <c r="J3043" s="3" t="inlineStr">
        <is>
          <t>오송읍</t>
        </is>
      </c>
    </row>
    <row r="3044">
      <c r="A3044" s="3" t="n">
        <v>2022</v>
      </c>
      <c r="B3044" s="4" t="n">
        <v>29000</v>
      </c>
      <c r="C3044" s="4" t="n">
        <v>269.8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81.61450000000001</v>
      </c>
      <c r="I3044" s="5" t="n">
        <v>355.3</v>
      </c>
      <c r="J3044" s="3" t="inlineStr">
        <is>
          <t>오송읍</t>
        </is>
      </c>
    </row>
    <row r="3045">
      <c r="A3045" s="3" t="n">
        <v>2022</v>
      </c>
      <c r="B3045" s="4" t="n">
        <v>21000</v>
      </c>
      <c r="C3045" s="4" t="n">
        <v>711</v>
      </c>
      <c r="D3045" s="3" t="inlineStr">
        <is>
          <t>강내면</t>
        </is>
      </c>
      <c r="E3045" s="3" t="inlineStr">
        <is>
          <t>산단리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215.0775</v>
      </c>
      <c r="I3045" s="5" t="n">
        <v>97.59999999999999</v>
      </c>
      <c r="J3045" s="3" t="inlineStr">
        <is>
          <t>강내면</t>
        </is>
      </c>
    </row>
    <row r="3046">
      <c r="A3046" s="3" t="n">
        <v>2022</v>
      </c>
      <c r="B3046" s="4" t="n">
        <v>21207</v>
      </c>
      <c r="C3046" s="4" t="n">
        <v>566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계획관리지역</t>
        </is>
      </c>
      <c r="G3046" s="3" t="inlineStr">
        <is>
          <t>공장용지</t>
        </is>
      </c>
      <c r="H3046" s="4" t="n">
        <v>171.215</v>
      </c>
      <c r="I3046" s="5" t="n">
        <v>123.9</v>
      </c>
      <c r="J3046" s="3" t="inlineStr">
        <is>
          <t>오송읍</t>
        </is>
      </c>
    </row>
    <row r="3047">
      <c r="A3047" s="3" t="n">
        <v>2022</v>
      </c>
      <c r="B3047" s="4" t="n">
        <v>2178</v>
      </c>
      <c r="C3047" s="4" t="n">
        <v>240</v>
      </c>
      <c r="D3047" s="3" t="inlineStr">
        <is>
          <t>강내면</t>
        </is>
      </c>
      <c r="E3047" s="3" t="inlineStr">
        <is>
          <t>사곡리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72.59999999999999</v>
      </c>
      <c r="I3047" s="5" t="n">
        <v>30</v>
      </c>
      <c r="J3047" s="3" t="inlineStr">
        <is>
          <t>강내면</t>
        </is>
      </c>
    </row>
    <row r="3048">
      <c r="A3048" s="3" t="n">
        <v>2022</v>
      </c>
      <c r="B3048" s="4" t="n">
        <v>900</v>
      </c>
      <c r="C3048" s="4" t="n">
        <v>60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보전관리지역</t>
        </is>
      </c>
      <c r="G3048" s="3" t="inlineStr">
        <is>
          <t>전</t>
        </is>
      </c>
      <c r="H3048" s="4" t="n">
        <v>18.15</v>
      </c>
      <c r="I3048" s="5" t="n">
        <v>49.6</v>
      </c>
      <c r="J3048" s="3" t="inlineStr">
        <is>
          <t>강내면</t>
        </is>
      </c>
    </row>
    <row r="3049">
      <c r="A3049" s="3" t="n">
        <v>2022</v>
      </c>
      <c r="B3049" s="4" t="n">
        <v>30000</v>
      </c>
      <c r="C3049" s="4" t="n">
        <v>273.6</v>
      </c>
      <c r="D3049" s="3" t="inlineStr">
        <is>
          <t>오송읍</t>
        </is>
      </c>
      <c r="E3049" s="3" t="inlineStr">
        <is>
          <t>봉산리</t>
        </is>
      </c>
      <c r="F3049" s="3" t="inlineStr">
        <is>
          <t>제1종일반주거지역</t>
        </is>
      </c>
      <c r="G3049" s="3" t="inlineStr">
        <is>
          <t>대</t>
        </is>
      </c>
      <c r="H3049" s="4" t="n">
        <v>82.76400000000001</v>
      </c>
      <c r="I3049" s="5" t="n">
        <v>362.5</v>
      </c>
      <c r="J3049" s="3" t="inlineStr">
        <is>
          <t>오송읍</t>
        </is>
      </c>
    </row>
    <row r="3050">
      <c r="A3050" s="3" t="n">
        <v>2022</v>
      </c>
      <c r="B3050" s="4" t="n">
        <v>30000</v>
      </c>
      <c r="C3050" s="4" t="n">
        <v>1993</v>
      </c>
      <c r="D3050" s="3" t="inlineStr">
        <is>
          <t>오송읍</t>
        </is>
      </c>
      <c r="E3050" s="3" t="inlineStr">
        <is>
          <t>호계리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602.8824999999999</v>
      </c>
      <c r="I3050" s="5" t="n">
        <v>49.8</v>
      </c>
      <c r="J3050" s="3" t="inlineStr">
        <is>
          <t>오송읍</t>
        </is>
      </c>
    </row>
    <row r="3051">
      <c r="A3051" s="3" t="n">
        <v>2022</v>
      </c>
      <c r="B3051" s="4" t="n">
        <v>30500</v>
      </c>
      <c r="C3051" s="4" t="n">
        <v>264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전</t>
        </is>
      </c>
      <c r="H3051" s="4" t="n">
        <v>79.86</v>
      </c>
      <c r="I3051" s="5" t="n">
        <v>381.9</v>
      </c>
      <c r="J3051" s="3" t="inlineStr">
        <is>
          <t>강내면</t>
        </is>
      </c>
    </row>
    <row r="3052">
      <c r="A3052" s="3" t="n">
        <v>2022</v>
      </c>
      <c r="B3052" s="4" t="n">
        <v>27000</v>
      </c>
      <c r="C3052" s="4" t="n">
        <v>265.3</v>
      </c>
      <c r="D3052" s="3" t="inlineStr">
        <is>
          <t>오송읍</t>
        </is>
      </c>
      <c r="E3052" s="3" t="inlineStr">
        <is>
          <t>봉산리</t>
        </is>
      </c>
      <c r="F3052" s="3" t="inlineStr">
        <is>
          <t>제1종일반주거지역</t>
        </is>
      </c>
      <c r="G3052" s="3" t="inlineStr">
        <is>
          <t>대</t>
        </is>
      </c>
      <c r="H3052" s="4" t="n">
        <v>80.25324999999999</v>
      </c>
      <c r="I3052" s="5" t="n">
        <v>336.4</v>
      </c>
      <c r="J3052" s="3" t="inlineStr">
        <is>
          <t>오송읍</t>
        </is>
      </c>
    </row>
    <row r="3053">
      <c r="A3053" s="3" t="n">
        <v>2022</v>
      </c>
      <c r="B3053" s="4" t="n">
        <v>21890</v>
      </c>
      <c r="C3053" s="4" t="n">
        <v>566</v>
      </c>
      <c r="D3053" s="3" t="inlineStr">
        <is>
          <t>오송읍</t>
        </is>
      </c>
      <c r="E3053" s="3" t="inlineStr">
        <is>
          <t>쌍청리</t>
        </is>
      </c>
      <c r="F3053" s="3" t="inlineStr">
        <is>
          <t>계획관리지역</t>
        </is>
      </c>
      <c r="G3053" s="3" t="inlineStr">
        <is>
          <t>공장용지</t>
        </is>
      </c>
      <c r="H3053" s="4" t="n">
        <v>171.215</v>
      </c>
      <c r="I3053" s="5" t="n">
        <v>127.9</v>
      </c>
      <c r="J3053" s="3" t="inlineStr">
        <is>
          <t>오송읍</t>
        </is>
      </c>
    </row>
    <row r="3054">
      <c r="A3054" s="3" t="n">
        <v>2022</v>
      </c>
      <c r="B3054" s="4" t="n">
        <v>39000</v>
      </c>
      <c r="C3054" s="4" t="n">
        <v>2466</v>
      </c>
      <c r="D3054" s="3" t="inlineStr">
        <is>
          <t>강내면</t>
        </is>
      </c>
      <c r="E3054" s="3" t="inlineStr">
        <is>
          <t>학천리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745.965</v>
      </c>
      <c r="I3054" s="5" t="n">
        <v>52.3</v>
      </c>
      <c r="J3054" s="3" t="inlineStr">
        <is>
          <t>강내면</t>
        </is>
      </c>
    </row>
    <row r="3055">
      <c r="A3055" s="3" t="n">
        <v>2022</v>
      </c>
      <c r="B3055" s="4" t="n">
        <v>26072</v>
      </c>
      <c r="C3055" s="4" t="n">
        <v>1928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583.22</v>
      </c>
      <c r="I3055" s="5" t="n">
        <v>44.7</v>
      </c>
      <c r="J3055" s="3" t="inlineStr">
        <is>
          <t>오송읍</t>
        </is>
      </c>
    </row>
    <row r="3056">
      <c r="A3056" s="3" t="n">
        <v>2022</v>
      </c>
      <c r="B3056" s="4" t="n">
        <v>10428</v>
      </c>
      <c r="C3056" s="4" t="n">
        <v>771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233.2275</v>
      </c>
      <c r="I3056" s="5" t="n">
        <v>44.7</v>
      </c>
      <c r="J3056" s="3" t="inlineStr">
        <is>
          <t>오송읍</t>
        </is>
      </c>
    </row>
    <row r="3057">
      <c r="A3057" s="3" t="n">
        <v>2022</v>
      </c>
      <c r="B3057" s="4" t="n">
        <v>50000</v>
      </c>
      <c r="C3057" s="4" t="n">
        <v>1475</v>
      </c>
      <c r="D3057" s="3" t="inlineStr">
        <is>
          <t>강내면</t>
        </is>
      </c>
      <c r="E3057" s="3" t="inlineStr">
        <is>
          <t>연정리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446.1875</v>
      </c>
      <c r="I3057" s="5" t="n">
        <v>112.1</v>
      </c>
      <c r="J3057" s="3" t="inlineStr">
        <is>
          <t>강내면</t>
        </is>
      </c>
    </row>
    <row r="3058">
      <c r="A3058" s="3" t="n">
        <v>2022</v>
      </c>
      <c r="B3058" s="4" t="n">
        <v>81804</v>
      </c>
      <c r="C3058" s="4" t="n">
        <v>1513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임야</t>
        </is>
      </c>
      <c r="H3058" s="4" t="n">
        <v>457.6825</v>
      </c>
      <c r="I3058" s="5" t="n">
        <v>178.7</v>
      </c>
      <c r="J3058" s="3" t="inlineStr">
        <is>
          <t>강내면</t>
        </is>
      </c>
    </row>
    <row r="3059">
      <c r="A3059" s="3" t="n">
        <v>2022</v>
      </c>
      <c r="B3059" s="4" t="n">
        <v>59312</v>
      </c>
      <c r="C3059" s="4" t="n">
        <v>1097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331.8425</v>
      </c>
      <c r="I3059" s="5" t="n">
        <v>178.7</v>
      </c>
      <c r="J3059" s="3" t="inlineStr">
        <is>
          <t>강내면</t>
        </is>
      </c>
    </row>
    <row r="3060">
      <c r="A3060" s="3" t="n">
        <v>2022</v>
      </c>
      <c r="B3060" s="4" t="n">
        <v>1784</v>
      </c>
      <c r="C3060" s="4" t="n">
        <v>33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9.9825</v>
      </c>
      <c r="I3060" s="5" t="n">
        <v>178.7</v>
      </c>
      <c r="J3060" s="3" t="inlineStr">
        <is>
          <t>강내면</t>
        </is>
      </c>
    </row>
    <row r="3061">
      <c r="A3061" s="3" t="n">
        <v>2022</v>
      </c>
      <c r="B3061" s="4" t="n">
        <v>15085</v>
      </c>
      <c r="C3061" s="4" t="n">
        <v>279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84.39749999999999</v>
      </c>
      <c r="I3061" s="5" t="n">
        <v>178.7</v>
      </c>
      <c r="J3061" s="3" t="inlineStr">
        <is>
          <t>강내면</t>
        </is>
      </c>
    </row>
    <row r="3062">
      <c r="A3062" s="3" t="n">
        <v>2022</v>
      </c>
      <c r="B3062" s="4" t="n">
        <v>45000</v>
      </c>
      <c r="C3062" s="4" t="n">
        <v>249.8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75.5645</v>
      </c>
      <c r="I3062" s="5" t="n">
        <v>595.5</v>
      </c>
      <c r="J3062" s="3" t="inlineStr">
        <is>
          <t>오송읍</t>
        </is>
      </c>
    </row>
    <row r="3063">
      <c r="A3063" s="3" t="n">
        <v>2022</v>
      </c>
      <c r="B3063" s="4" t="n">
        <v>20700</v>
      </c>
      <c r="C3063" s="4" t="n">
        <v>1368</v>
      </c>
      <c r="D3063" s="3" t="inlineStr">
        <is>
          <t>강내면</t>
        </is>
      </c>
      <c r="E3063" s="3" t="inlineStr">
        <is>
          <t>탑연리</t>
        </is>
      </c>
      <c r="F3063" s="3" t="inlineStr">
        <is>
          <t>생산녹지지역</t>
        </is>
      </c>
      <c r="G3063" s="3" t="inlineStr">
        <is>
          <t>답</t>
        </is>
      </c>
      <c r="H3063" s="4" t="n">
        <v>413.82</v>
      </c>
      <c r="I3063" s="5" t="n">
        <v>50</v>
      </c>
      <c r="J3063" s="3" t="inlineStr">
        <is>
          <t>강내면</t>
        </is>
      </c>
    </row>
    <row r="3064">
      <c r="A3064" s="3" t="n">
        <v>2022</v>
      </c>
      <c r="B3064" s="4" t="n">
        <v>50000</v>
      </c>
      <c r="C3064" s="4" t="n">
        <v>4215</v>
      </c>
      <c r="D3064" s="3" t="inlineStr">
        <is>
          <t>오송읍</t>
        </is>
      </c>
      <c r="E3064" s="3" t="inlineStr">
        <is>
          <t>공북리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1275.0375</v>
      </c>
      <c r="I3064" s="5" t="n">
        <v>39.2</v>
      </c>
      <c r="J3064" s="3" t="inlineStr">
        <is>
          <t>오송읍</t>
        </is>
      </c>
    </row>
    <row r="3065">
      <c r="A3065" s="3" t="n">
        <v>2022</v>
      </c>
      <c r="B3065" s="4" t="n">
        <v>155000</v>
      </c>
      <c r="C3065" s="4" t="n">
        <v>1088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준공업지역</t>
        </is>
      </c>
      <c r="G3065" s="3" t="inlineStr">
        <is>
          <t>대</t>
        </is>
      </c>
      <c r="H3065" s="4" t="n">
        <v>329.12</v>
      </c>
      <c r="I3065" s="5" t="n">
        <v>471</v>
      </c>
      <c r="J3065" s="3" t="inlineStr">
        <is>
          <t>오송읍</t>
        </is>
      </c>
    </row>
    <row r="3066">
      <c r="A3066" s="3" t="n">
        <v>2022</v>
      </c>
      <c r="B3066" s="4" t="n">
        <v>36000</v>
      </c>
      <c r="C3066" s="4" t="n">
        <v>2000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605</v>
      </c>
      <c r="I3066" s="5" t="n">
        <v>59.5</v>
      </c>
      <c r="J3066" s="3" t="inlineStr">
        <is>
          <t>오송읍</t>
        </is>
      </c>
    </row>
    <row r="3067">
      <c r="A3067" s="3" t="n">
        <v>2022</v>
      </c>
      <c r="B3067" s="4" t="n">
        <v>2200</v>
      </c>
      <c r="C3067" s="4" t="n">
        <v>268</v>
      </c>
      <c r="D3067" s="3" t="inlineStr">
        <is>
          <t>강내면</t>
        </is>
      </c>
      <c r="E3067" s="3" t="inlineStr">
        <is>
          <t>석화리</t>
        </is>
      </c>
      <c r="F3067" s="3" t="inlineStr">
        <is>
          <t>자연녹지지역</t>
        </is>
      </c>
      <c r="G3067" s="3" t="inlineStr">
        <is>
          <t>전</t>
        </is>
      </c>
      <c r="H3067" s="4" t="n">
        <v>81.06999999999999</v>
      </c>
      <c r="I3067" s="5" t="n">
        <v>27.1</v>
      </c>
      <c r="J3067" s="3" t="inlineStr">
        <is>
          <t>강내면</t>
        </is>
      </c>
    </row>
    <row r="3068">
      <c r="A3068" s="3" t="n">
        <v>2022</v>
      </c>
      <c r="B3068" s="4" t="n">
        <v>36450</v>
      </c>
      <c r="C3068" s="4" t="n">
        <v>4465</v>
      </c>
      <c r="D3068" s="3" t="inlineStr">
        <is>
          <t>강내면</t>
        </is>
      </c>
      <c r="E3068" s="3" t="inlineStr">
        <is>
          <t>석화리</t>
        </is>
      </c>
      <c r="F3068" s="3" t="inlineStr">
        <is>
          <t>자연녹지지역</t>
        </is>
      </c>
      <c r="G3068" s="3" t="inlineStr">
        <is>
          <t>임야</t>
        </is>
      </c>
      <c r="H3068" s="4" t="n">
        <v>1350.6625</v>
      </c>
      <c r="I3068" s="5" t="n">
        <v>27</v>
      </c>
      <c r="J3068" s="3" t="inlineStr">
        <is>
          <t>강내면</t>
        </is>
      </c>
    </row>
    <row r="3069">
      <c r="A3069" s="3" t="n">
        <v>2023</v>
      </c>
      <c r="B3069" s="4" t="n">
        <v>15463</v>
      </c>
      <c r="C3069" s="4" t="n">
        <v>522.9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계획관리지역</t>
        </is>
      </c>
      <c r="G3069" s="3" t="inlineStr">
        <is>
          <t>대</t>
        </is>
      </c>
      <c r="H3069" s="4" t="n">
        <v>158.17725</v>
      </c>
      <c r="I3069" s="5" t="n">
        <v>97.8</v>
      </c>
      <c r="J3069" s="3" t="inlineStr">
        <is>
          <t>오송읍</t>
        </is>
      </c>
    </row>
    <row r="3070">
      <c r="A3070" s="3" t="n">
        <v>2023</v>
      </c>
      <c r="B3070" s="4" t="n">
        <v>32190</v>
      </c>
      <c r="C3070" s="4" t="n">
        <v>556.7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168.40175</v>
      </c>
      <c r="I3070" s="5" t="n">
        <v>191.2</v>
      </c>
      <c r="J3070" s="3" t="inlineStr">
        <is>
          <t>강내면</t>
        </is>
      </c>
    </row>
    <row r="3071">
      <c r="A3071" s="3" t="n">
        <v>2023</v>
      </c>
      <c r="B3071" s="4" t="n">
        <v>593631</v>
      </c>
      <c r="C3071" s="4" t="n">
        <v>16722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일반공업지역</t>
        </is>
      </c>
      <c r="G3071" s="3" t="inlineStr">
        <is>
          <t>공장용지</t>
        </is>
      </c>
      <c r="H3071" s="4" t="n">
        <v>5058.405</v>
      </c>
      <c r="I3071" s="5" t="n">
        <v>117.4</v>
      </c>
      <c r="J3071" s="3" t="inlineStr">
        <is>
          <t>오송읍</t>
        </is>
      </c>
    </row>
    <row r="3072">
      <c r="A3072" s="3" t="n">
        <v>2023</v>
      </c>
      <c r="B3072" s="4" t="n">
        <v>43000</v>
      </c>
      <c r="C3072" s="4" t="n">
        <v>1140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보전관리지역</t>
        </is>
      </c>
      <c r="G3072" s="3" t="inlineStr">
        <is>
          <t>전</t>
        </is>
      </c>
      <c r="H3072" s="4" t="n">
        <v>344.85</v>
      </c>
      <c r="I3072" s="5" t="n">
        <v>124.7</v>
      </c>
      <c r="J3072" s="3" t="inlineStr">
        <is>
          <t>오송읍</t>
        </is>
      </c>
    </row>
    <row r="3073">
      <c r="A3073" s="3" t="n">
        <v>2023</v>
      </c>
      <c r="B3073" s="4" t="n">
        <v>30000</v>
      </c>
      <c r="C3073" s="4" t="n">
        <v>356</v>
      </c>
      <c r="D3073" s="3" t="inlineStr">
        <is>
          <t>오송읍</t>
        </is>
      </c>
      <c r="E3073" s="3" t="inlineStr">
        <is>
          <t>오송리</t>
        </is>
      </c>
      <c r="F3073" s="3" t="inlineStr">
        <is>
          <t>계획관리지역</t>
        </is>
      </c>
      <c r="G3073" s="3" t="inlineStr">
        <is>
          <t>전</t>
        </is>
      </c>
      <c r="H3073" s="4" t="n">
        <v>107.69</v>
      </c>
      <c r="I3073" s="5" t="n">
        <v>278.6</v>
      </c>
      <c r="J3073" s="3" t="inlineStr">
        <is>
          <t>오송읍</t>
        </is>
      </c>
    </row>
    <row r="3074">
      <c r="A3074" s="3" t="n">
        <v>2023</v>
      </c>
      <c r="B3074" s="4" t="n">
        <v>21000</v>
      </c>
      <c r="C3074" s="4" t="n">
        <v>182</v>
      </c>
      <c r="D3074" s="3" t="inlineStr">
        <is>
          <t>오송읍</t>
        </is>
      </c>
      <c r="E3074" s="3" t="inlineStr">
        <is>
          <t>오송리</t>
        </is>
      </c>
      <c r="F3074" s="3" t="inlineStr">
        <is>
          <t>계획관리지역</t>
        </is>
      </c>
      <c r="G3074" s="3" t="inlineStr">
        <is>
          <t>대</t>
        </is>
      </c>
      <c r="H3074" s="4" t="n">
        <v>55.055</v>
      </c>
      <c r="I3074" s="5" t="n">
        <v>381.4</v>
      </c>
      <c r="J3074" s="3" t="inlineStr">
        <is>
          <t>오송읍</t>
        </is>
      </c>
    </row>
    <row r="3075">
      <c r="A3075" s="3" t="n">
        <v>2023</v>
      </c>
      <c r="B3075" s="4" t="n">
        <v>85000</v>
      </c>
      <c r="C3075" s="4" t="n">
        <v>331</v>
      </c>
      <c r="D3075" s="3" t="inlineStr">
        <is>
          <t>강내면</t>
        </is>
      </c>
      <c r="E3075" s="3" t="inlineStr">
        <is>
          <t>탑연리</t>
        </is>
      </c>
      <c r="F3075" s="3" t="inlineStr">
        <is>
          <t>일반상업지역</t>
        </is>
      </c>
      <c r="G3075" s="3" t="inlineStr">
        <is>
          <t>대</t>
        </is>
      </c>
      <c r="H3075" s="4" t="n">
        <v>100.1275</v>
      </c>
      <c r="I3075" s="5" t="n">
        <v>848.9</v>
      </c>
      <c r="J3075" s="3" t="inlineStr">
        <is>
          <t>강내면</t>
        </is>
      </c>
    </row>
    <row r="3076">
      <c r="A3076" s="3" t="n">
        <v>2023</v>
      </c>
      <c r="B3076" s="4" t="n">
        <v>1000</v>
      </c>
      <c r="C3076" s="4" t="n">
        <v>4</v>
      </c>
      <c r="D3076" s="3" t="inlineStr">
        <is>
          <t>강내면</t>
        </is>
      </c>
      <c r="E3076" s="3" t="inlineStr">
        <is>
          <t>탑연리</t>
        </is>
      </c>
      <c r="F3076" s="3" t="inlineStr">
        <is>
          <t>일반상업지역</t>
        </is>
      </c>
      <c r="G3076" s="3" t="inlineStr">
        <is>
          <t>전</t>
        </is>
      </c>
      <c r="H3076" s="4" t="n">
        <v>1.21</v>
      </c>
      <c r="I3076" s="5" t="n">
        <v>826.4</v>
      </c>
      <c r="J3076" s="3" t="inlineStr">
        <is>
          <t>강내면</t>
        </is>
      </c>
    </row>
    <row r="3077">
      <c r="A3077" s="3" t="n">
        <v>2023</v>
      </c>
      <c r="B3077" s="4" t="n">
        <v>15000</v>
      </c>
      <c r="C3077" s="4" t="n">
        <v>49</v>
      </c>
      <c r="D3077" s="3" t="inlineStr">
        <is>
          <t>강내면</t>
        </is>
      </c>
      <c r="E3077" s="3" t="inlineStr">
        <is>
          <t>탑연리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14.8225</v>
      </c>
      <c r="I3077" s="5" t="n">
        <v>1012</v>
      </c>
      <c r="J3077" s="3" t="inlineStr">
        <is>
          <t>강내면</t>
        </is>
      </c>
    </row>
    <row r="3078">
      <c r="A3078" s="3" t="n">
        <v>2023</v>
      </c>
      <c r="B3078" s="4" t="n">
        <v>10000</v>
      </c>
      <c r="C3078" s="4" t="n">
        <v>34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일반상업지역</t>
        </is>
      </c>
      <c r="G3078" s="3" t="inlineStr">
        <is>
          <t>전</t>
        </is>
      </c>
      <c r="H3078" s="4" t="n">
        <v>10.285</v>
      </c>
      <c r="I3078" s="5" t="n">
        <v>972.3</v>
      </c>
      <c r="J3078" s="3" t="inlineStr">
        <is>
          <t>강내면</t>
        </is>
      </c>
    </row>
    <row r="3079">
      <c r="A3079" s="3" t="n">
        <v>2023</v>
      </c>
      <c r="B3079" s="4" t="n">
        <v>49000</v>
      </c>
      <c r="C3079" s="4" t="n">
        <v>162</v>
      </c>
      <c r="D3079" s="3" t="inlineStr">
        <is>
          <t>강내면</t>
        </is>
      </c>
      <c r="E3079" s="3" t="inlineStr">
        <is>
          <t>탑연리</t>
        </is>
      </c>
      <c r="F3079" s="3" t="inlineStr">
        <is>
          <t>일반상업지역</t>
        </is>
      </c>
      <c r="G3079" s="3" t="inlineStr">
        <is>
          <t>임야</t>
        </is>
      </c>
      <c r="H3079" s="4" t="n">
        <v>49.005</v>
      </c>
      <c r="I3079" s="5" t="n">
        <v>999.9</v>
      </c>
      <c r="J3079" s="3" t="inlineStr">
        <is>
          <t>강내면</t>
        </is>
      </c>
    </row>
    <row r="3080">
      <c r="A3080" s="3" t="n">
        <v>2023</v>
      </c>
      <c r="B3080" s="4" t="n">
        <v>19481</v>
      </c>
      <c r="C3080" s="4" t="n">
        <v>454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보전관리지역</t>
        </is>
      </c>
      <c r="G3080" s="3" t="inlineStr">
        <is>
          <t>임야</t>
        </is>
      </c>
      <c r="H3080" s="4" t="n">
        <v>137.335</v>
      </c>
      <c r="I3080" s="5" t="n">
        <v>141.9</v>
      </c>
      <c r="J3080" s="3" t="inlineStr">
        <is>
          <t>강내면</t>
        </is>
      </c>
    </row>
    <row r="3081">
      <c r="A3081" s="3" t="n">
        <v>2023</v>
      </c>
      <c r="B3081" s="4" t="n">
        <v>14240</v>
      </c>
      <c r="C3081" s="4" t="n">
        <v>627</v>
      </c>
      <c r="D3081" s="3" t="inlineStr">
        <is>
          <t>오송읍</t>
        </is>
      </c>
      <c r="E3081" s="3" t="inlineStr">
        <is>
          <t>정중리</t>
        </is>
      </c>
      <c r="F3081" s="3" t="inlineStr">
        <is>
          <t>생산관리지역</t>
        </is>
      </c>
      <c r="G3081" s="3" t="inlineStr">
        <is>
          <t>전</t>
        </is>
      </c>
      <c r="H3081" s="4" t="n">
        <v>189.6675</v>
      </c>
      <c r="I3081" s="5" t="n">
        <v>75.09999999999999</v>
      </c>
      <c r="J3081" s="3" t="inlineStr">
        <is>
          <t>오송읍</t>
        </is>
      </c>
    </row>
    <row r="3082">
      <c r="A3082" s="3" t="n">
        <v>2023</v>
      </c>
      <c r="B3082" s="4" t="n">
        <v>13680</v>
      </c>
      <c r="C3082" s="4" t="n">
        <v>602</v>
      </c>
      <c r="D3082" s="3" t="inlineStr">
        <is>
          <t>오송읍</t>
        </is>
      </c>
      <c r="E3082" s="3" t="inlineStr">
        <is>
          <t>정중리</t>
        </is>
      </c>
      <c r="F3082" s="3" t="inlineStr">
        <is>
          <t>생산관리지역</t>
        </is>
      </c>
      <c r="G3082" s="3" t="inlineStr">
        <is>
          <t>전</t>
        </is>
      </c>
      <c r="H3082" s="4" t="n">
        <v>182.105</v>
      </c>
      <c r="I3082" s="5" t="n">
        <v>75.09999999999999</v>
      </c>
      <c r="J3082" s="3" t="inlineStr">
        <is>
          <t>오송읍</t>
        </is>
      </c>
    </row>
    <row r="3083">
      <c r="A3083" s="3" t="n">
        <v>2023</v>
      </c>
      <c r="B3083" s="4" t="n">
        <v>6840</v>
      </c>
      <c r="C3083" s="4" t="n">
        <v>301</v>
      </c>
      <c r="D3083" s="3" t="inlineStr">
        <is>
          <t>오송읍</t>
        </is>
      </c>
      <c r="E3083" s="3" t="inlineStr">
        <is>
          <t>정중리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91.05249999999999</v>
      </c>
      <c r="I3083" s="5" t="n">
        <v>75.09999999999999</v>
      </c>
      <c r="J3083" s="3" t="inlineStr">
        <is>
          <t>오송읍</t>
        </is>
      </c>
    </row>
    <row r="3084">
      <c r="A3084" s="3" t="n">
        <v>2023</v>
      </c>
      <c r="B3084" s="4" t="n">
        <v>6840</v>
      </c>
      <c r="C3084" s="4" t="n">
        <v>301</v>
      </c>
      <c r="D3084" s="3" t="inlineStr">
        <is>
          <t>오송읍</t>
        </is>
      </c>
      <c r="E3084" s="3" t="inlineStr">
        <is>
          <t>정중리</t>
        </is>
      </c>
      <c r="F3084" s="3" t="inlineStr">
        <is>
          <t>생산관리지역</t>
        </is>
      </c>
      <c r="G3084" s="3" t="inlineStr">
        <is>
          <t>전</t>
        </is>
      </c>
      <c r="H3084" s="4" t="n">
        <v>91.05249999999999</v>
      </c>
      <c r="I3084" s="5" t="n">
        <v>75.09999999999999</v>
      </c>
      <c r="J3084" s="3" t="inlineStr">
        <is>
          <t>오송읍</t>
        </is>
      </c>
    </row>
    <row r="3085">
      <c r="A3085" s="3" t="n">
        <v>2023</v>
      </c>
      <c r="B3085" s="4" t="n">
        <v>32000</v>
      </c>
      <c r="C3085" s="4" t="n">
        <v>276.5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83.64125</v>
      </c>
      <c r="I3085" s="5" t="n">
        <v>382.6</v>
      </c>
      <c r="J3085" s="3" t="inlineStr">
        <is>
          <t>오송읍</t>
        </is>
      </c>
    </row>
    <row r="3086">
      <c r="A3086" s="3" t="n">
        <v>2023</v>
      </c>
      <c r="B3086" s="4" t="n">
        <v>1050</v>
      </c>
      <c r="C3086" s="4" t="n">
        <v>26</v>
      </c>
      <c r="D3086" s="3" t="inlineStr">
        <is>
          <t>오송읍</t>
        </is>
      </c>
      <c r="E3086" s="3" t="inlineStr">
        <is>
          <t>쌍청리</t>
        </is>
      </c>
      <c r="F3086" s="3" t="inlineStr">
        <is>
          <t>계획관리지역</t>
        </is>
      </c>
      <c r="G3086" s="3" t="inlineStr">
        <is>
          <t>구거</t>
        </is>
      </c>
      <c r="H3086" s="4" t="n">
        <v>7.865</v>
      </c>
      <c r="I3086" s="5" t="n">
        <v>133.5</v>
      </c>
      <c r="J3086" s="3" t="inlineStr">
        <is>
          <t>오송읍</t>
        </is>
      </c>
    </row>
    <row r="3087">
      <c r="A3087" s="3" t="n">
        <v>2023</v>
      </c>
      <c r="B3087" s="4" t="n">
        <v>10500</v>
      </c>
      <c r="C3087" s="4" t="n">
        <v>807</v>
      </c>
      <c r="D3087" s="3" t="inlineStr">
        <is>
          <t>강내면</t>
        </is>
      </c>
      <c r="E3087" s="3" t="inlineStr">
        <is>
          <t>석화리</t>
        </is>
      </c>
      <c r="F3087" s="3" t="inlineStr">
        <is>
          <t>자연녹지지역</t>
        </is>
      </c>
      <c r="G3087" s="3" t="inlineStr">
        <is>
          <t>전</t>
        </is>
      </c>
      <c r="H3087" s="4" t="n">
        <v>244.1175</v>
      </c>
      <c r="I3087" s="5" t="n">
        <v>43</v>
      </c>
      <c r="J3087" s="3" t="inlineStr">
        <is>
          <t>강내면</t>
        </is>
      </c>
    </row>
    <row r="3088">
      <c r="A3088" s="3" t="n">
        <v>2023</v>
      </c>
      <c r="B3088" s="4" t="n">
        <v>5779</v>
      </c>
      <c r="C3088" s="4" t="n">
        <v>252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용도미지정</t>
        </is>
      </c>
      <c r="G3088" s="3" t="inlineStr">
        <is>
          <t>답</t>
        </is>
      </c>
      <c r="H3088" s="4" t="n">
        <v>76.23</v>
      </c>
      <c r="I3088" s="5" t="n">
        <v>75.8</v>
      </c>
      <c r="J3088" s="3" t="inlineStr">
        <is>
          <t>강내면</t>
        </is>
      </c>
    </row>
    <row r="3089">
      <c r="A3089" s="3" t="n">
        <v>2023</v>
      </c>
      <c r="B3089" s="4" t="n">
        <v>458</v>
      </c>
      <c r="C3089" s="4" t="n">
        <v>20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용도미지정</t>
        </is>
      </c>
      <c r="G3089" s="3" t="inlineStr">
        <is>
          <t>답</t>
        </is>
      </c>
      <c r="H3089" s="4" t="n">
        <v>6.05</v>
      </c>
      <c r="I3089" s="5" t="n">
        <v>75.7</v>
      </c>
      <c r="J3089" s="3" t="inlineStr">
        <is>
          <t>강내면</t>
        </is>
      </c>
    </row>
    <row r="3090">
      <c r="A3090" s="3" t="n">
        <v>2023</v>
      </c>
      <c r="B3090" s="4" t="n">
        <v>252</v>
      </c>
      <c r="C3090" s="4" t="n">
        <v>11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답</t>
        </is>
      </c>
      <c r="H3090" s="4" t="n">
        <v>3.3275</v>
      </c>
      <c r="I3090" s="5" t="n">
        <v>75.7</v>
      </c>
      <c r="J3090" s="3" t="inlineStr">
        <is>
          <t>강내면</t>
        </is>
      </c>
    </row>
    <row r="3091">
      <c r="A3091" s="3" t="n">
        <v>2023</v>
      </c>
      <c r="B3091" s="4" t="n">
        <v>5985</v>
      </c>
      <c r="C3091" s="4" t="n">
        <v>261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답</t>
        </is>
      </c>
      <c r="H3091" s="4" t="n">
        <v>78.9525</v>
      </c>
      <c r="I3091" s="5" t="n">
        <v>75.8</v>
      </c>
      <c r="J3091" s="3" t="inlineStr">
        <is>
          <t>강내면</t>
        </is>
      </c>
    </row>
    <row r="3092">
      <c r="A3092" s="3" t="n">
        <v>2023</v>
      </c>
      <c r="B3092" s="4" t="n">
        <v>79000</v>
      </c>
      <c r="C3092" s="4" t="n">
        <v>3494</v>
      </c>
      <c r="D3092" s="3" t="inlineStr">
        <is>
          <t>오송읍</t>
        </is>
      </c>
      <c r="E3092" s="3" t="inlineStr">
        <is>
          <t>궁평리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1056.935</v>
      </c>
      <c r="I3092" s="5" t="n">
        <v>74.7</v>
      </c>
      <c r="J3092" s="3" t="inlineStr">
        <is>
          <t>오송읍</t>
        </is>
      </c>
    </row>
    <row r="3093">
      <c r="A3093" s="3" t="n">
        <v>2023</v>
      </c>
      <c r="B3093" s="4" t="n">
        <v>30000</v>
      </c>
      <c r="C3093" s="4" t="n">
        <v>241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72.9025</v>
      </c>
      <c r="I3093" s="5" t="n">
        <v>411.5</v>
      </c>
      <c r="J3093" s="3" t="inlineStr">
        <is>
          <t>오송읍</t>
        </is>
      </c>
    </row>
    <row r="3094">
      <c r="A3094" s="3" t="n">
        <v>2024</v>
      </c>
      <c r="B3094" s="4" t="n">
        <v>2949</v>
      </c>
      <c r="C3094" s="4" t="n">
        <v>240</v>
      </c>
      <c r="D3094" s="3" t="inlineStr">
        <is>
          <t>오송읍</t>
        </is>
      </c>
      <c r="E3094" s="3" t="inlineStr">
        <is>
          <t>정중리</t>
        </is>
      </c>
      <c r="F3094" s="3" t="inlineStr">
        <is>
          <t>생산관리지역</t>
        </is>
      </c>
      <c r="G3094" s="3" t="inlineStr">
        <is>
          <t>전</t>
        </is>
      </c>
      <c r="H3094" s="4" t="n">
        <v>72.59999999999999</v>
      </c>
      <c r="I3094" s="5" t="n">
        <v>40.6</v>
      </c>
      <c r="J3094" s="3" t="inlineStr">
        <is>
          <t>오송읍</t>
        </is>
      </c>
    </row>
    <row r="3095">
      <c r="A3095" s="3" t="n">
        <v>2024</v>
      </c>
      <c r="B3095" s="4" t="n">
        <v>65000</v>
      </c>
      <c r="C3095" s="4" t="n">
        <v>1653</v>
      </c>
      <c r="D3095" s="3" t="inlineStr">
        <is>
          <t>강내면</t>
        </is>
      </c>
      <c r="E3095" s="3" t="inlineStr">
        <is>
          <t>월곡리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500.0325</v>
      </c>
      <c r="I3095" s="5" t="n">
        <v>130</v>
      </c>
      <c r="J3095" s="3" t="inlineStr">
        <is>
          <t>강내면</t>
        </is>
      </c>
    </row>
    <row r="3096">
      <c r="A3096" s="3" t="n">
        <v>2024</v>
      </c>
      <c r="B3096" s="4" t="n">
        <v>5000</v>
      </c>
      <c r="C3096" s="4" t="n">
        <v>344</v>
      </c>
      <c r="D3096" s="3" t="inlineStr">
        <is>
          <t>오송읍</t>
        </is>
      </c>
      <c r="E3096" s="3" t="inlineStr">
        <is>
          <t>상봉리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104.06</v>
      </c>
      <c r="I3096" s="5" t="n">
        <v>48</v>
      </c>
      <c r="J3096" s="3" t="inlineStr">
        <is>
          <t>오송읍</t>
        </is>
      </c>
    </row>
    <row r="3097">
      <c r="A3097" s="3" t="n">
        <v>2024</v>
      </c>
      <c r="B3097" s="4" t="n">
        <v>15388</v>
      </c>
      <c r="C3097" s="4" t="n">
        <v>443</v>
      </c>
      <c r="D3097" s="3" t="inlineStr">
        <is>
          <t>강내면</t>
        </is>
      </c>
      <c r="E3097" s="3" t="inlineStr">
        <is>
          <t>다락리</t>
        </is>
      </c>
      <c r="F3097" s="3" t="inlineStr">
        <is>
          <t>계획관리지역</t>
        </is>
      </c>
      <c r="G3097" s="3" t="inlineStr">
        <is>
          <t>대</t>
        </is>
      </c>
      <c r="H3097" s="4" t="n">
        <v>134.0075</v>
      </c>
      <c r="I3097" s="5" t="n">
        <v>114.8</v>
      </c>
      <c r="J3097" s="3" t="inlineStr">
        <is>
          <t>강내면</t>
        </is>
      </c>
    </row>
    <row r="3098">
      <c r="A3098" s="3" t="n">
        <v>2024</v>
      </c>
      <c r="B3098" s="4" t="n">
        <v>450</v>
      </c>
      <c r="C3098" s="4" t="n">
        <v>36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10.89</v>
      </c>
      <c r="I3098" s="5" t="n">
        <v>41.3</v>
      </c>
      <c r="J3098" s="3" t="inlineStr">
        <is>
          <t>강내면</t>
        </is>
      </c>
    </row>
    <row r="3099">
      <c r="A3099" s="3" t="n">
        <v>2024</v>
      </c>
      <c r="B3099" s="4" t="n">
        <v>55000</v>
      </c>
      <c r="C3099" s="4" t="n">
        <v>3045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921.1125</v>
      </c>
      <c r="I3099" s="5" t="n">
        <v>59.7</v>
      </c>
      <c r="J3099" s="3" t="inlineStr">
        <is>
          <t>오송읍</t>
        </is>
      </c>
    </row>
    <row r="3100">
      <c r="A3100" s="3" t="n">
        <v>2024</v>
      </c>
      <c r="B3100" s="4" t="n">
        <v>4943</v>
      </c>
      <c r="C3100" s="4" t="n">
        <v>397</v>
      </c>
      <c r="D3100" s="3" t="inlineStr">
        <is>
          <t>강내면</t>
        </is>
      </c>
      <c r="E3100" s="3" t="inlineStr">
        <is>
          <t>석화리</t>
        </is>
      </c>
      <c r="F3100" s="3" t="inlineStr">
        <is>
          <t>자연녹지지역</t>
        </is>
      </c>
      <c r="G3100" s="3" t="inlineStr">
        <is>
          <t>답</t>
        </is>
      </c>
      <c r="H3100" s="4" t="n">
        <v>120.0925</v>
      </c>
      <c r="I3100" s="5" t="n">
        <v>41.2</v>
      </c>
      <c r="J3100" s="3" t="inlineStr">
        <is>
          <t>강내면</t>
        </is>
      </c>
    </row>
    <row r="3101">
      <c r="A3101" s="3" t="n">
        <v>2024</v>
      </c>
      <c r="B3101" s="4" t="n">
        <v>4320</v>
      </c>
      <c r="C3101" s="4" t="n">
        <v>347</v>
      </c>
      <c r="D3101" s="3" t="inlineStr">
        <is>
          <t>강내면</t>
        </is>
      </c>
      <c r="E3101" s="3" t="inlineStr">
        <is>
          <t>석화리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104.9675</v>
      </c>
      <c r="I3101" s="5" t="n">
        <v>41.2</v>
      </c>
      <c r="J3101" s="3" t="inlineStr">
        <is>
          <t>강내면</t>
        </is>
      </c>
    </row>
    <row r="3102">
      <c r="A3102" s="3" t="n">
        <v>2024</v>
      </c>
      <c r="B3102" s="4" t="n">
        <v>693</v>
      </c>
      <c r="C3102" s="4" t="n">
        <v>50</v>
      </c>
      <c r="D3102" s="3" t="inlineStr">
        <is>
          <t>강내면</t>
        </is>
      </c>
      <c r="E3102" s="3" t="inlineStr">
        <is>
          <t>석화리</t>
        </is>
      </c>
      <c r="F3102" s="3" t="inlineStr">
        <is>
          <t>자연녹지지역</t>
        </is>
      </c>
      <c r="G3102" s="3" t="inlineStr">
        <is>
          <t>답</t>
        </is>
      </c>
      <c r="H3102" s="4" t="n">
        <v>15.125</v>
      </c>
      <c r="I3102" s="5" t="n">
        <v>45.8</v>
      </c>
      <c r="J3102" s="3" t="inlineStr">
        <is>
          <t>강내면</t>
        </is>
      </c>
    </row>
    <row r="3103">
      <c r="A3103" s="3" t="n">
        <v>2024</v>
      </c>
      <c r="B3103" s="4" t="n">
        <v>1820</v>
      </c>
      <c r="C3103" s="4" t="n">
        <v>615</v>
      </c>
      <c r="D3103" s="3" t="inlineStr">
        <is>
          <t>강내면</t>
        </is>
      </c>
      <c r="E3103" s="3" t="inlineStr">
        <is>
          <t>사인리</t>
        </is>
      </c>
      <c r="F3103" s="3" t="inlineStr">
        <is>
          <t>자연녹지지역</t>
        </is>
      </c>
      <c r="G3103" s="3" t="inlineStr">
        <is>
          <t>전</t>
        </is>
      </c>
      <c r="H3103" s="4" t="n">
        <v>186.0375</v>
      </c>
      <c r="I3103" s="5" t="n">
        <v>9.800000000000001</v>
      </c>
      <c r="J3103" s="3" t="inlineStr">
        <is>
          <t>강내면</t>
        </is>
      </c>
    </row>
    <row r="3104">
      <c r="A3104" s="3" t="n">
        <v>2024</v>
      </c>
      <c r="B3104" s="4" t="n">
        <v>500</v>
      </c>
      <c r="C3104" s="4" t="n">
        <v>40</v>
      </c>
      <c r="D3104" s="3" t="inlineStr">
        <is>
          <t>오송읍</t>
        </is>
      </c>
      <c r="E3104" s="3" t="inlineStr">
        <is>
          <t>서평리</t>
        </is>
      </c>
      <c r="F3104" s="3" t="inlineStr">
        <is>
          <t>생산관리지역</t>
        </is>
      </c>
      <c r="G3104" s="3" t="inlineStr">
        <is>
          <t>전</t>
        </is>
      </c>
      <c r="H3104" s="4" t="n">
        <v>12.1</v>
      </c>
      <c r="I3104" s="5" t="n">
        <v>41.3</v>
      </c>
      <c r="J3104" s="3" t="inlineStr">
        <is>
          <t>오송읍</t>
        </is>
      </c>
    </row>
    <row r="3105">
      <c r="A3105" s="3" t="n">
        <v>2024</v>
      </c>
      <c r="B3105" s="4" t="n">
        <v>860452</v>
      </c>
      <c r="C3105" s="4" t="n">
        <v>4958.7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준공업지역</t>
        </is>
      </c>
      <c r="G3105" s="3" t="inlineStr">
        <is>
          <t>대</t>
        </is>
      </c>
      <c r="H3105" s="4" t="n">
        <v>1500.00675</v>
      </c>
      <c r="I3105" s="5" t="n">
        <v>573.6</v>
      </c>
      <c r="J3105" s="3" t="inlineStr">
        <is>
          <t>오송읍</t>
        </is>
      </c>
    </row>
    <row r="3106">
      <c r="A3106" s="3" t="n">
        <v>2024</v>
      </c>
      <c r="B3106" s="4" t="n">
        <v>869548</v>
      </c>
      <c r="C3106" s="4" t="n">
        <v>4958.7</v>
      </c>
      <c r="D3106" s="3" t="inlineStr">
        <is>
          <t>오송읍</t>
        </is>
      </c>
      <c r="E3106" s="3" t="inlineStr">
        <is>
          <t>연제리</t>
        </is>
      </c>
      <c r="F3106" s="3" t="inlineStr">
        <is>
          <t>준공업지역</t>
        </is>
      </c>
      <c r="G3106" s="3" t="inlineStr">
        <is>
          <t>대</t>
        </is>
      </c>
      <c r="H3106" s="4" t="n">
        <v>1500.00675</v>
      </c>
      <c r="I3106" s="5" t="n">
        <v>579.7</v>
      </c>
      <c r="J3106" s="3" t="inlineStr">
        <is>
          <t>오송읍</t>
        </is>
      </c>
    </row>
    <row r="3107">
      <c r="A3107" s="3" t="n">
        <v>2024</v>
      </c>
      <c r="B3107" s="4" t="n">
        <v>18000</v>
      </c>
      <c r="C3107" s="4" t="n">
        <v>192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대</t>
        </is>
      </c>
      <c r="H3107" s="4" t="n">
        <v>58.08</v>
      </c>
      <c r="I3107" s="5" t="n">
        <v>309.9</v>
      </c>
      <c r="J3107" s="3" t="inlineStr">
        <is>
          <t>오송읍</t>
        </is>
      </c>
    </row>
    <row r="3108">
      <c r="A3108" s="3" t="n">
        <v>2024</v>
      </c>
      <c r="B3108" s="4" t="n">
        <v>314000</v>
      </c>
      <c r="C3108" s="4" t="n">
        <v>799.6</v>
      </c>
      <c r="D3108" s="3" t="inlineStr">
        <is>
          <t>오송읍</t>
        </is>
      </c>
      <c r="E3108" s="3" t="inlineStr">
        <is>
          <t>연제리</t>
        </is>
      </c>
      <c r="F3108" s="3" t="inlineStr">
        <is>
          <t>일반상업지역</t>
        </is>
      </c>
      <c r="G3108" s="3" t="inlineStr">
        <is>
          <t>대</t>
        </is>
      </c>
      <c r="H3108" s="4" t="n">
        <v>241.879</v>
      </c>
      <c r="I3108" s="5" t="n">
        <v>1298.2</v>
      </c>
      <c r="J3108" s="3" t="inlineStr">
        <is>
          <t>오송읍</t>
        </is>
      </c>
    </row>
    <row r="3109">
      <c r="A3109" s="3" t="n">
        <v>2024</v>
      </c>
      <c r="B3109" s="4" t="n">
        <v>43730</v>
      </c>
      <c r="C3109" s="4" t="n">
        <v>2628</v>
      </c>
      <c r="D3109" s="3" t="inlineStr">
        <is>
          <t>오송읍</t>
        </is>
      </c>
      <c r="E3109" s="3" t="inlineStr">
        <is>
          <t>동평리</t>
        </is>
      </c>
      <c r="F3109" s="3" t="inlineStr">
        <is>
          <t>농림지역</t>
        </is>
      </c>
      <c r="G3109" s="3" t="inlineStr">
        <is>
          <t>답</t>
        </is>
      </c>
      <c r="H3109" s="4" t="n">
        <v>794.97</v>
      </c>
      <c r="I3109" s="5" t="n">
        <v>55</v>
      </c>
      <c r="J3109" s="3" t="inlineStr">
        <is>
          <t>오송읍</t>
        </is>
      </c>
    </row>
    <row r="3110">
      <c r="A3110" s="3" t="n">
        <v>2024</v>
      </c>
      <c r="B3110" s="4" t="n">
        <v>5770</v>
      </c>
      <c r="C3110" s="4" t="n">
        <v>347</v>
      </c>
      <c r="D3110" s="3" t="inlineStr">
        <is>
          <t>오송읍</t>
        </is>
      </c>
      <c r="E3110" s="3" t="inlineStr">
        <is>
          <t>동평리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104.9675</v>
      </c>
      <c r="I3110" s="5" t="n">
        <v>55</v>
      </c>
      <c r="J3110" s="3" t="inlineStr">
        <is>
          <t>오송읍</t>
        </is>
      </c>
    </row>
    <row r="3111">
      <c r="A3111" s="3" t="n">
        <v>2022</v>
      </c>
      <c r="B3111" s="4" t="n">
        <v>1000</v>
      </c>
      <c r="C3111" s="4" t="n">
        <v>357</v>
      </c>
      <c r="D3111" s="3" t="inlineStr">
        <is>
          <t>오송읍</t>
        </is>
      </c>
      <c r="E3111" s="3" t="inlineStr">
        <is>
          <t>호계리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107.9925</v>
      </c>
      <c r="I3111" s="5" t="n">
        <v>9.300000000000001</v>
      </c>
      <c r="J3111" s="3" t="inlineStr">
        <is>
          <t>오송읍</t>
        </is>
      </c>
    </row>
    <row r="3112">
      <c r="A3112" s="3" t="n">
        <v>2025</v>
      </c>
      <c r="B3112" s="4" t="n">
        <v>4431</v>
      </c>
      <c r="C3112" s="4" t="n">
        <v>257</v>
      </c>
      <c r="D3112" s="3" t="inlineStr">
        <is>
          <t>오송읍</t>
        </is>
      </c>
      <c r="E3112" s="3" t="inlineStr">
        <is>
          <t>공북리</t>
        </is>
      </c>
      <c r="F3112" s="3" t="inlineStr">
        <is>
          <t>농림지역</t>
        </is>
      </c>
      <c r="G3112" s="3" t="inlineStr">
        <is>
          <t>임야</t>
        </is>
      </c>
      <c r="H3112" s="4" t="n">
        <v>77.74249999999999</v>
      </c>
      <c r="I3112" s="5" t="n">
        <v>57</v>
      </c>
      <c r="J3112" s="3" t="inlineStr">
        <is>
          <t>오송읍</t>
        </is>
      </c>
    </row>
    <row r="3113">
      <c r="A3113" s="3" t="n">
        <v>2022</v>
      </c>
      <c r="B3113" s="4" t="n">
        <v>70000</v>
      </c>
      <c r="C3113" s="4" t="n">
        <v>3798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농림지역</t>
        </is>
      </c>
      <c r="G3113" s="3" t="inlineStr">
        <is>
          <t>답</t>
        </is>
      </c>
      <c r="H3113" s="4" t="n">
        <v>1148.895</v>
      </c>
      <c r="I3113" s="5" t="n">
        <v>60.9</v>
      </c>
      <c r="J3113" s="3" t="inlineStr">
        <is>
          <t>오송읍</t>
        </is>
      </c>
    </row>
    <row r="3114">
      <c r="A3114" s="3" t="n">
        <v>2022</v>
      </c>
      <c r="B3114" s="4" t="n">
        <v>200</v>
      </c>
      <c r="C3114" s="4" t="n">
        <v>17</v>
      </c>
      <c r="D3114" s="3" t="inlineStr">
        <is>
          <t>강내면</t>
        </is>
      </c>
      <c r="E3114" s="3" t="inlineStr">
        <is>
          <t>산단리</t>
        </is>
      </c>
      <c r="F3114" s="3" t="inlineStr">
        <is>
          <t>계획관리지역</t>
        </is>
      </c>
      <c r="G3114" s="3" t="inlineStr">
        <is>
          <t>도로</t>
        </is>
      </c>
      <c r="H3114" s="4" t="n">
        <v>5.1425</v>
      </c>
      <c r="I3114" s="5" t="n">
        <v>38.9</v>
      </c>
      <c r="J3114" s="3" t="inlineStr">
        <is>
          <t>강내면</t>
        </is>
      </c>
    </row>
    <row r="3115">
      <c r="A3115" s="3" t="n">
        <v>2022</v>
      </c>
      <c r="B3115" s="4" t="n">
        <v>26500</v>
      </c>
      <c r="C3115" s="4" t="n">
        <v>1819</v>
      </c>
      <c r="D3115" s="3" t="inlineStr">
        <is>
          <t>강내면</t>
        </is>
      </c>
      <c r="E3115" s="3" t="inlineStr">
        <is>
          <t>당곡리</t>
        </is>
      </c>
      <c r="F3115" s="3" t="inlineStr">
        <is>
          <t>농림지역</t>
        </is>
      </c>
      <c r="G3115" s="3" t="inlineStr">
        <is>
          <t>답</t>
        </is>
      </c>
      <c r="H3115" s="4" t="n">
        <v>550.2474999999999</v>
      </c>
      <c r="I3115" s="5" t="n">
        <v>48.2</v>
      </c>
      <c r="J3115" s="3" t="inlineStr">
        <is>
          <t>강내면</t>
        </is>
      </c>
    </row>
    <row r="3116">
      <c r="A3116" s="3" t="n">
        <v>2022</v>
      </c>
      <c r="B3116" s="4" t="n">
        <v>28450</v>
      </c>
      <c r="C3116" s="4" t="n">
        <v>1537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464.9425</v>
      </c>
      <c r="I3116" s="5" t="n">
        <v>61.2</v>
      </c>
      <c r="J3116" s="3" t="inlineStr">
        <is>
          <t>오송읍</t>
        </is>
      </c>
    </row>
    <row r="3117">
      <c r="A3117" s="3" t="n">
        <v>2022</v>
      </c>
      <c r="B3117" s="4" t="n">
        <v>1550</v>
      </c>
      <c r="C3117" s="4" t="n">
        <v>84</v>
      </c>
      <c r="D3117" s="3" t="inlineStr">
        <is>
          <t>오송읍</t>
        </is>
      </c>
      <c r="E3117" s="3" t="inlineStr">
        <is>
          <t>오송리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25.41</v>
      </c>
      <c r="I3117" s="5" t="n">
        <v>61</v>
      </c>
      <c r="J3117" s="3" t="inlineStr">
        <is>
          <t>오송읍</t>
        </is>
      </c>
    </row>
    <row r="3118">
      <c r="A3118" s="3" t="n">
        <v>2022</v>
      </c>
      <c r="B3118" s="4" t="n">
        <v>3950</v>
      </c>
      <c r="C3118" s="4" t="n">
        <v>162</v>
      </c>
      <c r="D3118" s="3" t="inlineStr">
        <is>
          <t>강내면</t>
        </is>
      </c>
      <c r="E3118" s="3" t="inlineStr">
        <is>
          <t>저산리</t>
        </is>
      </c>
      <c r="F3118" s="3" t="inlineStr">
        <is>
          <t>계획관리지역</t>
        </is>
      </c>
      <c r="G3118" s="3" t="inlineStr">
        <is>
          <t>임야</t>
        </is>
      </c>
      <c r="H3118" s="4" t="n">
        <v>49.005</v>
      </c>
      <c r="I3118" s="5" t="n">
        <v>80.59999999999999</v>
      </c>
      <c r="J3118" s="3" t="inlineStr">
        <is>
          <t>강내면</t>
        </is>
      </c>
    </row>
    <row r="3119">
      <c r="A3119" s="3" t="n">
        <v>2022</v>
      </c>
      <c r="B3119" s="4" t="n">
        <v>1000</v>
      </c>
      <c r="C3119" s="4" t="n">
        <v>202</v>
      </c>
      <c r="D3119" s="3" t="inlineStr">
        <is>
          <t>오송읍</t>
        </is>
      </c>
      <c r="E3119" s="3" t="inlineStr">
        <is>
          <t>상봉리</t>
        </is>
      </c>
      <c r="F3119" s="3" t="inlineStr">
        <is>
          <t>생산관리지역</t>
        </is>
      </c>
      <c r="G3119" s="3" t="inlineStr">
        <is>
          <t>도로</t>
        </is>
      </c>
      <c r="H3119" s="4" t="n">
        <v>61.105</v>
      </c>
      <c r="I3119" s="5" t="n">
        <v>16.4</v>
      </c>
      <c r="J3119" s="3" t="inlineStr">
        <is>
          <t>오송읍</t>
        </is>
      </c>
    </row>
    <row r="3120">
      <c r="A3120" s="3" t="n">
        <v>2022</v>
      </c>
      <c r="B3120" s="4" t="n">
        <v>11400</v>
      </c>
      <c r="C3120" s="4" t="n">
        <v>397</v>
      </c>
      <c r="D3120" s="3" t="inlineStr">
        <is>
          <t>강내면</t>
        </is>
      </c>
      <c r="E3120" s="3" t="inlineStr">
        <is>
          <t>궁현리</t>
        </is>
      </c>
      <c r="F3120" s="3" t="inlineStr">
        <is>
          <t>보전관리지역</t>
        </is>
      </c>
      <c r="G3120" s="3" t="inlineStr">
        <is>
          <t>묘지</t>
        </is>
      </c>
      <c r="H3120" s="4" t="n">
        <v>120.0925</v>
      </c>
      <c r="I3120" s="5" t="n">
        <v>94.90000000000001</v>
      </c>
      <c r="J3120" s="3" t="inlineStr">
        <is>
          <t>강내면</t>
        </is>
      </c>
    </row>
    <row r="3121">
      <c r="A3121" s="3" t="n">
        <v>2022</v>
      </c>
      <c r="B3121" s="4" t="n">
        <v>38000</v>
      </c>
      <c r="C3121" s="4" t="n">
        <v>247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74.7175</v>
      </c>
      <c r="I3121" s="5" t="n">
        <v>508.6</v>
      </c>
      <c r="J3121" s="3" t="inlineStr">
        <is>
          <t>오송읍</t>
        </is>
      </c>
    </row>
    <row r="3122">
      <c r="A3122" s="3" t="n">
        <v>2022</v>
      </c>
      <c r="B3122" s="4" t="n">
        <v>500</v>
      </c>
      <c r="C3122" s="4" t="n">
        <v>94</v>
      </c>
      <c r="D3122" s="3" t="inlineStr">
        <is>
          <t>강내면</t>
        </is>
      </c>
      <c r="E3122" s="3" t="inlineStr">
        <is>
          <t>학천리</t>
        </is>
      </c>
      <c r="F3122" s="3" t="inlineStr">
        <is>
          <t>생산녹지지역</t>
        </is>
      </c>
      <c r="G3122" s="3" t="inlineStr">
        <is>
          <t>답</t>
        </is>
      </c>
      <c r="H3122" s="4" t="n">
        <v>28.435</v>
      </c>
      <c r="I3122" s="5" t="n">
        <v>17.6</v>
      </c>
      <c r="J3122" s="3" t="inlineStr">
        <is>
          <t>강내면</t>
        </is>
      </c>
    </row>
    <row r="3123">
      <c r="A3123" s="3" t="n">
        <v>2022</v>
      </c>
      <c r="B3123" s="4" t="n">
        <v>4000</v>
      </c>
      <c r="C3123" s="4" t="n">
        <v>780</v>
      </c>
      <c r="D3123" s="3" t="inlineStr">
        <is>
          <t>강내면</t>
        </is>
      </c>
      <c r="E3123" s="3" t="inlineStr">
        <is>
          <t>학천리</t>
        </is>
      </c>
      <c r="F3123" s="3" t="inlineStr">
        <is>
          <t>생산녹지지역</t>
        </is>
      </c>
      <c r="G3123" s="3" t="inlineStr">
        <is>
          <t>답</t>
        </is>
      </c>
      <c r="H3123" s="4" t="n">
        <v>235.95</v>
      </c>
      <c r="I3123" s="5" t="n">
        <v>17</v>
      </c>
      <c r="J3123" s="3" t="inlineStr">
        <is>
          <t>강내면</t>
        </is>
      </c>
    </row>
    <row r="3124">
      <c r="A3124" s="3" t="n">
        <v>2022</v>
      </c>
      <c r="B3124" s="4" t="n">
        <v>41000</v>
      </c>
      <c r="C3124" s="4" t="n">
        <v>470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자연녹지지역</t>
        </is>
      </c>
      <c r="G3124" s="3" t="inlineStr">
        <is>
          <t>답</t>
        </is>
      </c>
      <c r="H3124" s="4" t="n">
        <v>142.175</v>
      </c>
      <c r="I3124" s="5" t="n">
        <v>288.4</v>
      </c>
      <c r="J3124" s="3" t="inlineStr">
        <is>
          <t>강내면</t>
        </is>
      </c>
    </row>
    <row r="3125">
      <c r="A3125" s="3" t="n">
        <v>2022</v>
      </c>
      <c r="B3125" s="4" t="n">
        <v>1400</v>
      </c>
      <c r="C3125" s="4" t="n">
        <v>272</v>
      </c>
      <c r="D3125" s="3" t="inlineStr">
        <is>
          <t>강내면</t>
        </is>
      </c>
      <c r="E3125" s="3" t="inlineStr">
        <is>
          <t>학천리</t>
        </is>
      </c>
      <c r="F3125" s="3" t="inlineStr">
        <is>
          <t>생산녹지지역</t>
        </is>
      </c>
      <c r="G3125" s="3" t="inlineStr">
        <is>
          <t>답</t>
        </is>
      </c>
      <c r="H3125" s="4" t="n">
        <v>82.28</v>
      </c>
      <c r="I3125" s="5" t="n">
        <v>17</v>
      </c>
      <c r="J3125" s="3" t="inlineStr">
        <is>
          <t>강내면</t>
        </is>
      </c>
    </row>
    <row r="3126">
      <c r="A3126" s="3" t="n">
        <v>2022</v>
      </c>
      <c r="B3126" s="4" t="n">
        <v>43000</v>
      </c>
      <c r="C3126" s="4" t="n">
        <v>287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86.8175</v>
      </c>
      <c r="I3126" s="5" t="n">
        <v>495.3</v>
      </c>
      <c r="J3126" s="3" t="inlineStr">
        <is>
          <t>오송읍</t>
        </is>
      </c>
    </row>
    <row r="3127">
      <c r="A3127" s="3" t="n">
        <v>2022</v>
      </c>
      <c r="B3127" s="4" t="n">
        <v>27000</v>
      </c>
      <c r="C3127" s="4" t="n">
        <v>653</v>
      </c>
      <c r="D3127" s="3" t="inlineStr">
        <is>
          <t>오송읍</t>
        </is>
      </c>
      <c r="E3127" s="3" t="inlineStr">
        <is>
          <t>공북리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197.5325</v>
      </c>
      <c r="I3127" s="5" t="n">
        <v>136.7</v>
      </c>
      <c r="J3127" s="3" t="inlineStr">
        <is>
          <t>오송읍</t>
        </is>
      </c>
    </row>
    <row r="3128">
      <c r="A3128" s="3" t="n">
        <v>2022</v>
      </c>
      <c r="B3128" s="4" t="n">
        <v>35000</v>
      </c>
      <c r="C3128" s="4" t="n">
        <v>2939</v>
      </c>
      <c r="D3128" s="3" t="inlineStr">
        <is>
          <t>강내면</t>
        </is>
      </c>
      <c r="E3128" s="3" t="inlineStr">
        <is>
          <t>사인리</t>
        </is>
      </c>
      <c r="F3128" s="3" t="inlineStr">
        <is>
          <t>생산녹지지역</t>
        </is>
      </c>
      <c r="G3128" s="3" t="inlineStr">
        <is>
          <t>답</t>
        </is>
      </c>
      <c r="H3128" s="4" t="n">
        <v>889.0475</v>
      </c>
      <c r="I3128" s="5" t="n">
        <v>39.4</v>
      </c>
      <c r="J3128" s="3" t="inlineStr">
        <is>
          <t>강내면</t>
        </is>
      </c>
    </row>
    <row r="3129">
      <c r="A3129" s="3" t="n">
        <v>2022</v>
      </c>
      <c r="B3129" s="4" t="n">
        <v>10500</v>
      </c>
      <c r="C3129" s="4" t="n">
        <v>466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140.965</v>
      </c>
      <c r="I3129" s="5" t="n">
        <v>74.5</v>
      </c>
      <c r="J3129" s="3" t="inlineStr">
        <is>
          <t>강내면</t>
        </is>
      </c>
    </row>
    <row r="3130">
      <c r="A3130" s="3" t="n">
        <v>2022</v>
      </c>
      <c r="B3130" s="4" t="n">
        <v>21000</v>
      </c>
      <c r="C3130" s="4" t="n">
        <v>2165</v>
      </c>
      <c r="D3130" s="3" t="inlineStr">
        <is>
          <t>강내면</t>
        </is>
      </c>
      <c r="E3130" s="3" t="inlineStr">
        <is>
          <t>학천리</t>
        </is>
      </c>
      <c r="F3130" s="3" t="inlineStr">
        <is>
          <t>생산녹지지역</t>
        </is>
      </c>
      <c r="G3130" s="3" t="inlineStr">
        <is>
          <t>답</t>
        </is>
      </c>
      <c r="H3130" s="4" t="n">
        <v>654.9125</v>
      </c>
      <c r="I3130" s="5" t="n">
        <v>32.1</v>
      </c>
      <c r="J3130" s="3" t="inlineStr">
        <is>
          <t>강내면</t>
        </is>
      </c>
    </row>
    <row r="3131">
      <c r="A3131" s="3" t="n">
        <v>2022</v>
      </c>
      <c r="B3131" s="4" t="n">
        <v>2175</v>
      </c>
      <c r="C3131" s="4" t="n">
        <v>96</v>
      </c>
      <c r="D3131" s="3" t="inlineStr">
        <is>
          <t>강내면</t>
        </is>
      </c>
      <c r="E3131" s="3" t="inlineStr">
        <is>
          <t>저산리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29.04</v>
      </c>
      <c r="I3131" s="5" t="n">
        <v>74.90000000000001</v>
      </c>
      <c r="J3131" s="3" t="inlineStr">
        <is>
          <t>강내면</t>
        </is>
      </c>
    </row>
    <row r="3132">
      <c r="A3132" s="3" t="n">
        <v>2022</v>
      </c>
      <c r="B3132" s="4" t="n">
        <v>35000</v>
      </c>
      <c r="C3132" s="4" t="n">
        <v>1242</v>
      </c>
      <c r="D3132" s="3" t="inlineStr">
        <is>
          <t>강내면</t>
        </is>
      </c>
      <c r="E3132" s="3" t="inlineStr">
        <is>
          <t>석화리</t>
        </is>
      </c>
      <c r="F3132" s="3" t="inlineStr">
        <is>
          <t>농림지역</t>
        </is>
      </c>
      <c r="G3132" s="3" t="inlineStr">
        <is>
          <t>전</t>
        </is>
      </c>
      <c r="H3132" s="4" t="n">
        <v>375.705</v>
      </c>
      <c r="I3132" s="5" t="n">
        <v>93.2</v>
      </c>
      <c r="J3132" s="3" t="inlineStr">
        <is>
          <t>강내면</t>
        </is>
      </c>
    </row>
    <row r="3133">
      <c r="A3133" s="3" t="n">
        <v>2022</v>
      </c>
      <c r="B3133" s="4" t="n">
        <v>60000</v>
      </c>
      <c r="C3133" s="4" t="n">
        <v>808</v>
      </c>
      <c r="D3133" s="3" t="inlineStr">
        <is>
          <t>강내면</t>
        </is>
      </c>
      <c r="E3133" s="3" t="inlineStr">
        <is>
          <t>월곡리</t>
        </is>
      </c>
      <c r="F3133" s="3" t="inlineStr">
        <is>
          <t>자연녹지지역</t>
        </is>
      </c>
      <c r="G3133" s="3" t="inlineStr">
        <is>
          <t>답</t>
        </is>
      </c>
      <c r="H3133" s="4" t="n">
        <v>244.42</v>
      </c>
      <c r="I3133" s="5" t="n">
        <v>245.5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267.7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80.97924999999999</v>
      </c>
      <c r="I3134" s="5" t="n">
        <v>370.5</v>
      </c>
      <c r="J3134" s="3" t="inlineStr">
        <is>
          <t>오송읍</t>
        </is>
      </c>
    </row>
    <row r="3135">
      <c r="A3135" s="3" t="n">
        <v>2022</v>
      </c>
      <c r="B3135" s="4" t="n">
        <v>14501</v>
      </c>
      <c r="C3135" s="4" t="n">
        <v>12501</v>
      </c>
      <c r="D3135" s="3" t="inlineStr">
        <is>
          <t>강내면</t>
        </is>
      </c>
      <c r="E3135" s="3" t="inlineStr">
        <is>
          <t>궁현리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3781.5525</v>
      </c>
      <c r="I3135" s="5" t="n">
        <v>3.8</v>
      </c>
      <c r="J3135" s="3" t="inlineStr">
        <is>
          <t>강내면</t>
        </is>
      </c>
    </row>
    <row r="3136">
      <c r="A3136" s="3" t="n">
        <v>2022</v>
      </c>
      <c r="B3136" s="4" t="n">
        <v>403</v>
      </c>
      <c r="C3136" s="4" t="n">
        <v>336</v>
      </c>
      <c r="D3136" s="3" t="inlineStr">
        <is>
          <t>강내면</t>
        </is>
      </c>
      <c r="E3136" s="3" t="inlineStr">
        <is>
          <t>궁현리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101.64</v>
      </c>
      <c r="I3136" s="5" t="n">
        <v>4</v>
      </c>
      <c r="J3136" s="3" t="inlineStr">
        <is>
          <t>강내면</t>
        </is>
      </c>
    </row>
    <row r="3137">
      <c r="A3137" s="3" t="n">
        <v>2022</v>
      </c>
      <c r="B3137" s="4" t="n">
        <v>18900</v>
      </c>
      <c r="C3137" s="4" t="n">
        <v>1333</v>
      </c>
      <c r="D3137" s="3" t="inlineStr">
        <is>
          <t>오송읍</t>
        </is>
      </c>
      <c r="E3137" s="3" t="inlineStr">
        <is>
          <t>상봉리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403.2325</v>
      </c>
      <c r="I3137" s="5" t="n">
        <v>46.9</v>
      </c>
      <c r="J3137" s="3" t="inlineStr">
        <is>
          <t>오송읍</t>
        </is>
      </c>
    </row>
    <row r="3138">
      <c r="A3138" s="3" t="n">
        <v>2022</v>
      </c>
      <c r="B3138" s="4" t="n">
        <v>8000</v>
      </c>
      <c r="C3138" s="4" t="n">
        <v>3386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농림지역</t>
        </is>
      </c>
      <c r="G3138" s="3" t="inlineStr">
        <is>
          <t>임야</t>
        </is>
      </c>
      <c r="H3138" s="4" t="n">
        <v>1024.265</v>
      </c>
      <c r="I3138" s="5" t="n">
        <v>7.8</v>
      </c>
      <c r="J3138" s="3" t="inlineStr">
        <is>
          <t>오송읍</t>
        </is>
      </c>
    </row>
    <row r="3139">
      <c r="A3139" s="3" t="n">
        <v>2022</v>
      </c>
      <c r="B3139" s="4" t="n">
        <v>23100</v>
      </c>
      <c r="C3139" s="4" t="n">
        <v>567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171.5175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30500</v>
      </c>
      <c r="C3140" s="4" t="n">
        <v>240.5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72.75125</v>
      </c>
      <c r="I3140" s="5" t="n">
        <v>419.2</v>
      </c>
      <c r="J3140" s="3" t="inlineStr">
        <is>
          <t>오송읍</t>
        </is>
      </c>
    </row>
    <row r="3141">
      <c r="A3141" s="3" t="n">
        <v>2022</v>
      </c>
      <c r="B3141" s="4" t="n">
        <v>42500</v>
      </c>
      <c r="C3141" s="4" t="n">
        <v>3094</v>
      </c>
      <c r="D3141" s="3" t="inlineStr">
        <is>
          <t>강내면</t>
        </is>
      </c>
      <c r="E3141" s="3" t="inlineStr">
        <is>
          <t>다락리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935.9349999999999</v>
      </c>
      <c r="I3141" s="5" t="n">
        <v>45.4</v>
      </c>
      <c r="J3141" s="3" t="inlineStr">
        <is>
          <t>강내면</t>
        </is>
      </c>
    </row>
    <row r="3142">
      <c r="A3142" s="3" t="n">
        <v>2022</v>
      </c>
      <c r="B3142" s="4" t="n">
        <v>4000</v>
      </c>
      <c r="C3142" s="4" t="n">
        <v>456</v>
      </c>
      <c r="D3142" s="3" t="inlineStr">
        <is>
          <t>강내면</t>
        </is>
      </c>
      <c r="E3142" s="3" t="inlineStr">
        <is>
          <t>다락리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137.94</v>
      </c>
      <c r="I3142" s="5" t="n">
        <v>29</v>
      </c>
      <c r="J3142" s="3" t="inlineStr">
        <is>
          <t>강내면</t>
        </is>
      </c>
    </row>
    <row r="3143">
      <c r="A3143" s="3" t="n">
        <v>2022</v>
      </c>
      <c r="B3143" s="4" t="n">
        <v>34331</v>
      </c>
      <c r="C3143" s="4" t="n">
        <v>371</v>
      </c>
      <c r="D3143" s="3" t="inlineStr">
        <is>
          <t>오송읍</t>
        </is>
      </c>
      <c r="E3143" s="3" t="inlineStr">
        <is>
          <t>오송리</t>
        </is>
      </c>
      <c r="F3143" s="3" t="inlineStr">
        <is>
          <t>계획관리지역</t>
        </is>
      </c>
      <c r="G3143" s="3" t="inlineStr">
        <is>
          <t>대</t>
        </is>
      </c>
      <c r="H3143" s="4" t="n">
        <v>112.2275</v>
      </c>
      <c r="I3143" s="5" t="n">
        <v>305.9</v>
      </c>
      <c r="J3143" s="3" t="inlineStr">
        <is>
          <t>오송읍</t>
        </is>
      </c>
    </row>
    <row r="3144">
      <c r="A3144" s="3" t="n">
        <v>2022</v>
      </c>
      <c r="B3144" s="4" t="n">
        <v>51989</v>
      </c>
      <c r="C3144" s="4" t="n">
        <v>522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계획관리지역</t>
        </is>
      </c>
      <c r="G3144" s="3" t="inlineStr">
        <is>
          <t>답</t>
        </is>
      </c>
      <c r="H3144" s="4" t="n">
        <v>157.905</v>
      </c>
      <c r="I3144" s="5" t="n">
        <v>329.2</v>
      </c>
      <c r="J3144" s="3" t="inlineStr">
        <is>
          <t>오송읍</t>
        </is>
      </c>
    </row>
    <row r="3145">
      <c r="A3145" s="3" t="n">
        <v>2022</v>
      </c>
      <c r="B3145" s="4" t="n">
        <v>1500</v>
      </c>
      <c r="C3145" s="4" t="n">
        <v>124</v>
      </c>
      <c r="D3145" s="3" t="inlineStr">
        <is>
          <t>오송읍</t>
        </is>
      </c>
      <c r="E3145" s="3" t="inlineStr">
        <is>
          <t>상봉리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37.51</v>
      </c>
      <c r="I3145" s="5" t="n">
        <v>40</v>
      </c>
      <c r="J3145" s="3" t="inlineStr">
        <is>
          <t>오송읍</t>
        </is>
      </c>
    </row>
    <row r="3146">
      <c r="A3146" s="3" t="n">
        <v>2023</v>
      </c>
      <c r="B3146" s="4" t="n">
        <v>135000</v>
      </c>
      <c r="C3146" s="4" t="n">
        <v>3949.1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일반공업지역</t>
        </is>
      </c>
      <c r="G3146" s="3" t="inlineStr">
        <is>
          <t>공장용지</t>
        </is>
      </c>
      <c r="H3146" s="4" t="n">
        <v>1194.60275</v>
      </c>
      <c r="I3146" s="5" t="n">
        <v>113</v>
      </c>
      <c r="J3146" s="3" t="inlineStr">
        <is>
          <t>오송읍</t>
        </is>
      </c>
    </row>
    <row r="3147">
      <c r="A3147" s="3" t="n">
        <v>2023</v>
      </c>
      <c r="B3147" s="4" t="n">
        <v>9550</v>
      </c>
      <c r="C3147" s="4" t="n">
        <v>330</v>
      </c>
      <c r="D3147" s="3" t="inlineStr">
        <is>
          <t>강내면</t>
        </is>
      </c>
      <c r="E3147" s="3" t="inlineStr">
        <is>
          <t>사곡리</t>
        </is>
      </c>
      <c r="F3147" s="3" t="inlineStr">
        <is>
          <t>보전관리지역</t>
        </is>
      </c>
      <c r="G3147" s="3" t="inlineStr">
        <is>
          <t>전</t>
        </is>
      </c>
      <c r="H3147" s="4" t="n">
        <v>99.825</v>
      </c>
      <c r="I3147" s="5" t="n">
        <v>95.7</v>
      </c>
      <c r="J3147" s="3" t="inlineStr">
        <is>
          <t>강내면</t>
        </is>
      </c>
    </row>
    <row r="3148">
      <c r="A3148" s="3" t="n">
        <v>2023</v>
      </c>
      <c r="B3148" s="4" t="n">
        <v>61233</v>
      </c>
      <c r="C3148" s="4" t="n">
        <v>1901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575.0525</v>
      </c>
      <c r="I3148" s="5" t="n">
        <v>106.5</v>
      </c>
      <c r="J3148" s="3" t="inlineStr">
        <is>
          <t>오송읍</t>
        </is>
      </c>
    </row>
    <row r="3149">
      <c r="A3149" s="3" t="n">
        <v>2023</v>
      </c>
      <c r="B3149" s="4" t="n">
        <v>8490</v>
      </c>
      <c r="C3149" s="4" t="n">
        <v>401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계획관리지역</t>
        </is>
      </c>
      <c r="G3149" s="3" t="inlineStr">
        <is>
          <t>전</t>
        </is>
      </c>
      <c r="H3149" s="4" t="n">
        <v>121.3025</v>
      </c>
      <c r="I3149" s="5" t="n">
        <v>70</v>
      </c>
      <c r="J3149" s="3" t="inlineStr">
        <is>
          <t>강내면</t>
        </is>
      </c>
    </row>
    <row r="3150">
      <c r="A3150" s="3" t="n">
        <v>2023</v>
      </c>
      <c r="B3150" s="4" t="n">
        <v>2350</v>
      </c>
      <c r="C3150" s="4" t="n">
        <v>111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전</t>
        </is>
      </c>
      <c r="H3150" s="4" t="n">
        <v>33.5775</v>
      </c>
      <c r="I3150" s="5" t="n">
        <v>70</v>
      </c>
      <c r="J3150" s="3" t="inlineStr">
        <is>
          <t>강내면</t>
        </is>
      </c>
    </row>
    <row r="3151">
      <c r="A3151" s="3" t="n">
        <v>2023</v>
      </c>
      <c r="B3151" s="4" t="n">
        <v>4720</v>
      </c>
      <c r="C3151" s="4" t="n">
        <v>223</v>
      </c>
      <c r="D3151" s="3" t="inlineStr">
        <is>
          <t>강내면</t>
        </is>
      </c>
      <c r="E3151" s="3" t="inlineStr">
        <is>
          <t>저산리</t>
        </is>
      </c>
      <c r="F3151" s="3" t="inlineStr">
        <is>
          <t>계획관리지역</t>
        </is>
      </c>
      <c r="G3151" s="3" t="inlineStr">
        <is>
          <t>임야</t>
        </is>
      </c>
      <c r="H3151" s="4" t="n">
        <v>67.4575</v>
      </c>
      <c r="I3151" s="5" t="n">
        <v>70</v>
      </c>
      <c r="J3151" s="3" t="inlineStr">
        <is>
          <t>강내면</t>
        </is>
      </c>
    </row>
    <row r="3152">
      <c r="A3152" s="3" t="n">
        <v>2023</v>
      </c>
      <c r="B3152" s="4" t="n">
        <v>572</v>
      </c>
      <c r="C3152" s="4" t="n">
        <v>27</v>
      </c>
      <c r="D3152" s="3" t="inlineStr">
        <is>
          <t>강내면</t>
        </is>
      </c>
      <c r="E3152" s="3" t="inlineStr">
        <is>
          <t>저산리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8.1675</v>
      </c>
      <c r="I3152" s="5" t="n">
        <v>70</v>
      </c>
      <c r="J3152" s="3" t="inlineStr">
        <is>
          <t>강내면</t>
        </is>
      </c>
    </row>
    <row r="3153">
      <c r="A3153" s="3" t="n">
        <v>2023</v>
      </c>
      <c r="B3153" s="4" t="n">
        <v>3048</v>
      </c>
      <c r="C3153" s="4" t="n">
        <v>144</v>
      </c>
      <c r="D3153" s="3" t="inlineStr">
        <is>
          <t>강내면</t>
        </is>
      </c>
      <c r="E3153" s="3" t="inlineStr">
        <is>
          <t>저산리</t>
        </is>
      </c>
      <c r="F3153" s="3" t="inlineStr">
        <is>
          <t>계획관리지역</t>
        </is>
      </c>
      <c r="G3153" s="3" t="inlineStr">
        <is>
          <t>도로</t>
        </is>
      </c>
      <c r="H3153" s="4" t="n">
        <v>43.56</v>
      </c>
      <c r="I3153" s="5" t="n">
        <v>70</v>
      </c>
      <c r="J3153" s="3" t="inlineStr">
        <is>
          <t>강내면</t>
        </is>
      </c>
    </row>
    <row r="3154">
      <c r="A3154" s="3" t="n">
        <v>2023</v>
      </c>
      <c r="B3154" s="4" t="n">
        <v>55000</v>
      </c>
      <c r="C3154" s="4" t="n">
        <v>1155</v>
      </c>
      <c r="D3154" s="3" t="inlineStr">
        <is>
          <t>오송읍</t>
        </is>
      </c>
      <c r="E3154" s="3" t="inlineStr">
        <is>
          <t>만수리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349.3875</v>
      </c>
      <c r="I3154" s="5" t="n">
        <v>157.4</v>
      </c>
      <c r="J3154" s="3" t="inlineStr">
        <is>
          <t>오송읍</t>
        </is>
      </c>
    </row>
    <row r="3155">
      <c r="A3155" s="3" t="n">
        <v>2023</v>
      </c>
      <c r="B3155" s="4" t="n">
        <v>28000</v>
      </c>
      <c r="C3155" s="4" t="n">
        <v>592</v>
      </c>
      <c r="D3155" s="3" t="inlineStr">
        <is>
          <t>오송읍</t>
        </is>
      </c>
      <c r="E3155" s="3" t="inlineStr">
        <is>
          <t>정중리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179.08</v>
      </c>
      <c r="I3155" s="5" t="n">
        <v>156.4</v>
      </c>
      <c r="J3155" s="3" t="inlineStr">
        <is>
          <t>오송읍</t>
        </is>
      </c>
    </row>
    <row r="3156">
      <c r="A3156" s="3" t="n">
        <v>2023</v>
      </c>
      <c r="B3156" s="4" t="n">
        <v>137000</v>
      </c>
      <c r="C3156" s="4" t="n">
        <v>3306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1000.065</v>
      </c>
      <c r="I3156" s="5" t="n">
        <v>137</v>
      </c>
      <c r="J3156" s="3" t="inlineStr">
        <is>
          <t>강내면</t>
        </is>
      </c>
    </row>
    <row r="3157">
      <c r="A3157" s="3" t="n">
        <v>2024</v>
      </c>
      <c r="B3157" s="4" t="n">
        <v>28000</v>
      </c>
      <c r="C3157" s="4" t="n">
        <v>307</v>
      </c>
      <c r="D3157" s="3" t="inlineStr">
        <is>
          <t>오송읍</t>
        </is>
      </c>
      <c r="E3157" s="3" t="inlineStr">
        <is>
          <t>궁평리</t>
        </is>
      </c>
      <c r="F3157" s="3" t="inlineStr">
        <is>
          <t>일반상업지역</t>
        </is>
      </c>
      <c r="G3157" s="3" t="inlineStr">
        <is>
          <t>대</t>
        </is>
      </c>
      <c r="H3157" s="4" t="n">
        <v>92.86749999999999</v>
      </c>
      <c r="I3157" s="5" t="n">
        <v>301.5</v>
      </c>
      <c r="J3157" s="3" t="inlineStr">
        <is>
          <t>오송읍</t>
        </is>
      </c>
    </row>
    <row r="3158">
      <c r="A3158" s="3" t="n">
        <v>2024</v>
      </c>
      <c r="B3158" s="4" t="n">
        <v>102400</v>
      </c>
      <c r="C3158" s="4" t="n">
        <v>932</v>
      </c>
      <c r="D3158" s="3" t="inlineStr">
        <is>
          <t>오송읍</t>
        </is>
      </c>
      <c r="E3158" s="3" t="inlineStr">
        <is>
          <t>궁평리</t>
        </is>
      </c>
      <c r="F3158" s="3" t="inlineStr">
        <is>
          <t>계획관리지역</t>
        </is>
      </c>
      <c r="G3158" s="3" t="inlineStr">
        <is>
          <t>잡종지</t>
        </is>
      </c>
      <c r="H3158" s="4" t="n">
        <v>281.93</v>
      </c>
      <c r="I3158" s="5" t="n">
        <v>363.2</v>
      </c>
      <c r="J3158" s="3" t="inlineStr">
        <is>
          <t>오송읍</t>
        </is>
      </c>
    </row>
    <row r="3159">
      <c r="A3159" s="3" t="n">
        <v>2024</v>
      </c>
      <c r="B3159" s="4" t="n">
        <v>90240</v>
      </c>
      <c r="C3159" s="4" t="n">
        <v>932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계획관리지역</t>
        </is>
      </c>
      <c r="G3159" s="3" t="inlineStr">
        <is>
          <t>잡종지</t>
        </is>
      </c>
      <c r="H3159" s="4" t="n">
        <v>281.93</v>
      </c>
      <c r="I3159" s="5" t="n">
        <v>320.1</v>
      </c>
      <c r="J3159" s="3" t="inlineStr">
        <is>
          <t>오송읍</t>
        </is>
      </c>
    </row>
    <row r="3160">
      <c r="A3160" s="3" t="n">
        <v>2024</v>
      </c>
      <c r="B3160" s="4" t="n">
        <v>12160</v>
      </c>
      <c r="C3160" s="4" t="n">
        <v>126</v>
      </c>
      <c r="D3160" s="3" t="inlineStr">
        <is>
          <t>오송읍</t>
        </is>
      </c>
      <c r="E3160" s="3" t="inlineStr">
        <is>
          <t>궁평리</t>
        </is>
      </c>
      <c r="F3160" s="3" t="inlineStr">
        <is>
          <t>계획관리지역</t>
        </is>
      </c>
      <c r="G3160" s="3" t="inlineStr">
        <is>
          <t>잡종지</t>
        </is>
      </c>
      <c r="H3160" s="4" t="n">
        <v>38.115</v>
      </c>
      <c r="I3160" s="5" t="n">
        <v>319</v>
      </c>
      <c r="J3160" s="3" t="inlineStr">
        <is>
          <t>오송읍</t>
        </is>
      </c>
    </row>
    <row r="3161">
      <c r="A3161" s="3" t="n">
        <v>2024</v>
      </c>
      <c r="B3161" s="4" t="n">
        <v>102400</v>
      </c>
      <c r="C3161" s="4" t="n">
        <v>932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계획관리지역</t>
        </is>
      </c>
      <c r="G3161" s="3" t="inlineStr">
        <is>
          <t>잡종지</t>
        </is>
      </c>
      <c r="H3161" s="4" t="n">
        <v>281.93</v>
      </c>
      <c r="I3161" s="5" t="n">
        <v>363.2</v>
      </c>
      <c r="J3161" s="3" t="inlineStr">
        <is>
          <t>오송읍</t>
        </is>
      </c>
    </row>
    <row r="3162">
      <c r="A3162" s="3" t="n">
        <v>2024</v>
      </c>
      <c r="B3162" s="4" t="n">
        <v>13997</v>
      </c>
      <c r="C3162" s="4" t="n">
        <v>607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자연녹지지역</t>
        </is>
      </c>
      <c r="G3162" s="3" t="inlineStr">
        <is>
          <t>대</t>
        </is>
      </c>
      <c r="H3162" s="4" t="n">
        <v>183.6175</v>
      </c>
      <c r="I3162" s="5" t="n">
        <v>76.2</v>
      </c>
      <c r="J3162" s="3" t="inlineStr">
        <is>
          <t>강내면</t>
        </is>
      </c>
    </row>
    <row r="3163">
      <c r="A3163" s="3" t="n">
        <v>2024</v>
      </c>
      <c r="B3163" s="4" t="n">
        <v>1568</v>
      </c>
      <c r="C3163" s="4" t="n">
        <v>66</v>
      </c>
      <c r="D3163" s="3" t="inlineStr">
        <is>
          <t>강내면</t>
        </is>
      </c>
      <c r="E3163" s="3" t="inlineStr">
        <is>
          <t>월곡리</t>
        </is>
      </c>
      <c r="F3163" s="3" t="inlineStr">
        <is>
          <t>자연녹지지역</t>
        </is>
      </c>
      <c r="G3163" s="3" t="inlineStr">
        <is>
          <t>대</t>
        </is>
      </c>
      <c r="H3163" s="4" t="n">
        <v>19.965</v>
      </c>
      <c r="I3163" s="5" t="n">
        <v>78.5</v>
      </c>
      <c r="J3163" s="3" t="inlineStr">
        <is>
          <t>강내면</t>
        </is>
      </c>
    </row>
    <row r="3164">
      <c r="A3164" s="3" t="n">
        <v>2024</v>
      </c>
      <c r="B3164" s="4" t="n">
        <v>26590</v>
      </c>
      <c r="C3164" s="4" t="n">
        <v>1956</v>
      </c>
      <c r="D3164" s="3" t="inlineStr">
        <is>
          <t>강내면</t>
        </is>
      </c>
      <c r="E3164" s="3" t="inlineStr">
        <is>
          <t>사곡리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591.6899999999999</v>
      </c>
      <c r="I3164" s="5" t="n">
        <v>44.9</v>
      </c>
      <c r="J3164" s="3" t="inlineStr">
        <is>
          <t>강내면</t>
        </is>
      </c>
    </row>
    <row r="3165">
      <c r="A3165" s="3" t="n">
        <v>2024</v>
      </c>
      <c r="B3165" s="4" t="n">
        <v>69000</v>
      </c>
      <c r="C3165" s="4" t="n">
        <v>2281</v>
      </c>
      <c r="D3165" s="3" t="inlineStr">
        <is>
          <t>강내면</t>
        </is>
      </c>
      <c r="E3165" s="3" t="inlineStr">
        <is>
          <t>학천리</t>
        </is>
      </c>
      <c r="F3165" s="3" t="inlineStr">
        <is>
          <t>자연녹지지역</t>
        </is>
      </c>
      <c r="G3165" s="3" t="inlineStr">
        <is>
          <t>임야</t>
        </is>
      </c>
      <c r="H3165" s="4" t="n">
        <v>690.0024999999999</v>
      </c>
      <c r="I3165" s="5" t="n">
        <v>100</v>
      </c>
      <c r="J3165" s="3" t="inlineStr">
        <is>
          <t>강내면</t>
        </is>
      </c>
    </row>
    <row r="3166">
      <c r="A3166" s="3" t="n">
        <v>2024</v>
      </c>
      <c r="B3166" s="4" t="n">
        <v>69000</v>
      </c>
      <c r="C3166" s="4" t="n">
        <v>2281</v>
      </c>
      <c r="D3166" s="3" t="inlineStr">
        <is>
          <t>강내면</t>
        </is>
      </c>
      <c r="E3166" s="3" t="inlineStr">
        <is>
          <t>학천리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690.0024999999999</v>
      </c>
      <c r="I3166" s="5" t="n">
        <v>100</v>
      </c>
      <c r="J3166" s="3" t="inlineStr">
        <is>
          <t>강내면</t>
        </is>
      </c>
    </row>
    <row r="3167">
      <c r="A3167" s="3" t="n">
        <v>2024</v>
      </c>
      <c r="B3167" s="4" t="n">
        <v>15125</v>
      </c>
      <c r="C3167" s="4" t="n">
        <v>1000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302.5</v>
      </c>
      <c r="I3167" s="5" t="n">
        <v>50</v>
      </c>
      <c r="J3167" s="3" t="inlineStr">
        <is>
          <t>강내면</t>
        </is>
      </c>
    </row>
    <row r="3168">
      <c r="A3168" s="3" t="n">
        <v>2024</v>
      </c>
      <c r="B3168" s="4" t="n">
        <v>492</v>
      </c>
      <c r="C3168" s="4" t="n">
        <v>19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도로</t>
        </is>
      </c>
      <c r="H3168" s="4" t="n">
        <v>5.7475</v>
      </c>
      <c r="I3168" s="5" t="n">
        <v>85.59999999999999</v>
      </c>
      <c r="J3168" s="3" t="inlineStr">
        <is>
          <t>강내면</t>
        </is>
      </c>
    </row>
    <row r="3169">
      <c r="A3169" s="3" t="n">
        <v>2024</v>
      </c>
      <c r="B3169" s="4" t="n">
        <v>31000</v>
      </c>
      <c r="C3169" s="4" t="n">
        <v>436.2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131.9505</v>
      </c>
      <c r="I3169" s="5" t="n">
        <v>234.9</v>
      </c>
      <c r="J3169" s="3" t="inlineStr">
        <is>
          <t>오송읍</t>
        </is>
      </c>
    </row>
    <row r="3170">
      <c r="A3170" s="3" t="n">
        <v>2024</v>
      </c>
      <c r="B3170" s="4" t="n">
        <v>12015</v>
      </c>
      <c r="C3170" s="4" t="n">
        <v>239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답</t>
        </is>
      </c>
      <c r="H3170" s="4" t="n">
        <v>72.2975</v>
      </c>
      <c r="I3170" s="5" t="n">
        <v>166.2</v>
      </c>
      <c r="J3170" s="3" t="inlineStr">
        <is>
          <t>강내면</t>
        </is>
      </c>
    </row>
    <row r="3171">
      <c r="A3171" s="3" t="n">
        <v>2024</v>
      </c>
      <c r="B3171" s="4" t="n">
        <v>30046</v>
      </c>
      <c r="C3171" s="4" t="n">
        <v>2353.4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711.9035</v>
      </c>
      <c r="I3171" s="5" t="n">
        <v>42.2</v>
      </c>
      <c r="J3171" s="3" t="inlineStr">
        <is>
          <t>강내면</t>
        </is>
      </c>
    </row>
    <row r="3172">
      <c r="A3172" s="3" t="n">
        <v>2024</v>
      </c>
      <c r="B3172" s="4" t="n">
        <v>38954</v>
      </c>
      <c r="C3172" s="4" t="n">
        <v>3043.6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920.689</v>
      </c>
      <c r="I3172" s="5" t="n">
        <v>42.3</v>
      </c>
      <c r="J3172" s="3" t="inlineStr">
        <is>
          <t>강내면</t>
        </is>
      </c>
    </row>
    <row r="3173">
      <c r="A3173" s="3" t="n">
        <v>2024</v>
      </c>
      <c r="B3173" s="4" t="n">
        <v>2652</v>
      </c>
      <c r="C3173" s="4" t="n">
        <v>39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11.7975</v>
      </c>
      <c r="I3173" s="5" t="n">
        <v>224.8</v>
      </c>
      <c r="J3173" s="3" t="inlineStr">
        <is>
          <t>강내면</t>
        </is>
      </c>
    </row>
    <row r="3174">
      <c r="A3174" s="3" t="n">
        <v>2024</v>
      </c>
      <c r="B3174" s="4" t="n">
        <v>448</v>
      </c>
      <c r="C3174" s="4" t="n">
        <v>6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1.815</v>
      </c>
      <c r="I3174" s="5" t="n">
        <v>246.8</v>
      </c>
      <c r="J3174" s="3" t="inlineStr">
        <is>
          <t>강내면</t>
        </is>
      </c>
    </row>
    <row r="3175">
      <c r="A3175" s="3" t="n">
        <v>2024</v>
      </c>
      <c r="B3175" s="4" t="n">
        <v>4170</v>
      </c>
      <c r="C3175" s="4" t="n">
        <v>124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37.51</v>
      </c>
      <c r="I3175" s="5" t="n">
        <v>111.2</v>
      </c>
      <c r="J3175" s="3" t="inlineStr">
        <is>
          <t>강내면</t>
        </is>
      </c>
    </row>
    <row r="3176">
      <c r="A3176" s="3" t="n">
        <v>2024</v>
      </c>
      <c r="B3176" s="4" t="n">
        <v>7400</v>
      </c>
      <c r="C3176" s="4" t="n">
        <v>220</v>
      </c>
      <c r="D3176" s="3" t="inlineStr">
        <is>
          <t>강내면</t>
        </is>
      </c>
      <c r="E3176" s="3" t="inlineStr">
        <is>
          <t>저산리</t>
        </is>
      </c>
      <c r="F3176" s="3" t="inlineStr">
        <is>
          <t>계획관리지역</t>
        </is>
      </c>
      <c r="G3176" s="3" t="inlineStr">
        <is>
          <t>대</t>
        </is>
      </c>
      <c r="H3176" s="4" t="n">
        <v>66.55</v>
      </c>
      <c r="I3176" s="5" t="n">
        <v>111.2</v>
      </c>
      <c r="J3176" s="3" t="inlineStr">
        <is>
          <t>강내면</t>
        </is>
      </c>
    </row>
    <row r="3177">
      <c r="A3177" s="3" t="n">
        <v>2024</v>
      </c>
      <c r="B3177" s="4" t="n">
        <v>2380</v>
      </c>
      <c r="C3177" s="4" t="n">
        <v>71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계획관리지역</t>
        </is>
      </c>
      <c r="G3177" s="3" t="inlineStr">
        <is>
          <t>도로</t>
        </is>
      </c>
      <c r="H3177" s="4" t="n">
        <v>21.4775</v>
      </c>
      <c r="I3177" s="5" t="n">
        <v>110.8</v>
      </c>
      <c r="J3177" s="3" t="inlineStr">
        <is>
          <t>강내면</t>
        </is>
      </c>
    </row>
    <row r="3178">
      <c r="A3178" s="3" t="n">
        <v>2024</v>
      </c>
      <c r="B3178" s="4" t="n">
        <v>15800</v>
      </c>
      <c r="C3178" s="4" t="n">
        <v>231</v>
      </c>
      <c r="D3178" s="3" t="inlineStr">
        <is>
          <t>강내면</t>
        </is>
      </c>
      <c r="E3178" s="3" t="inlineStr">
        <is>
          <t>탑연리</t>
        </is>
      </c>
      <c r="F3178" s="3" t="inlineStr">
        <is>
          <t>자연녹지지역</t>
        </is>
      </c>
      <c r="G3178" s="3" t="inlineStr">
        <is>
          <t>공장용지</t>
        </is>
      </c>
      <c r="H3178" s="4" t="n">
        <v>69.8775</v>
      </c>
      <c r="I3178" s="5" t="n">
        <v>226.1</v>
      </c>
      <c r="J3178" s="3" t="inlineStr">
        <is>
          <t>강내면</t>
        </is>
      </c>
    </row>
    <row r="3179">
      <c r="A3179" s="3" t="n">
        <v>2024</v>
      </c>
      <c r="B3179" s="4" t="n">
        <v>11900</v>
      </c>
      <c r="C3179" s="4" t="n">
        <v>372</v>
      </c>
      <c r="D3179" s="3" t="inlineStr">
        <is>
          <t>강내면</t>
        </is>
      </c>
      <c r="E3179" s="3" t="inlineStr">
        <is>
          <t>태성리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112.53</v>
      </c>
      <c r="I3179" s="5" t="n">
        <v>105.7</v>
      </c>
      <c r="J3179" s="3" t="inlineStr">
        <is>
          <t>강내면</t>
        </is>
      </c>
    </row>
    <row r="3180">
      <c r="A3180" s="3" t="n">
        <v>2024</v>
      </c>
      <c r="B3180" s="4" t="n">
        <v>11900</v>
      </c>
      <c r="C3180" s="4" t="n">
        <v>372</v>
      </c>
      <c r="D3180" s="3" t="inlineStr">
        <is>
          <t>강내면</t>
        </is>
      </c>
      <c r="E3180" s="3" t="inlineStr">
        <is>
          <t>태성리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112.53</v>
      </c>
      <c r="I3180" s="5" t="n">
        <v>105.7</v>
      </c>
      <c r="J3180" s="3" t="inlineStr">
        <is>
          <t>강내면</t>
        </is>
      </c>
    </row>
    <row r="3181">
      <c r="A3181" s="3" t="n">
        <v>2024</v>
      </c>
      <c r="B3181" s="4" t="n">
        <v>27000</v>
      </c>
      <c r="C3181" s="4" t="n">
        <v>240.9</v>
      </c>
      <c r="D3181" s="3" t="inlineStr">
        <is>
          <t>오송읍</t>
        </is>
      </c>
      <c r="E3181" s="3" t="inlineStr">
        <is>
          <t>봉산리</t>
        </is>
      </c>
      <c r="F3181" s="3" t="inlineStr">
        <is>
          <t>제1종일반주거지역</t>
        </is>
      </c>
      <c r="G3181" s="3" t="inlineStr">
        <is>
          <t>대</t>
        </is>
      </c>
      <c r="H3181" s="4" t="n">
        <v>72.87224999999999</v>
      </c>
      <c r="I3181" s="5" t="n">
        <v>370.5</v>
      </c>
      <c r="J3181" s="3" t="inlineStr">
        <is>
          <t>오송읍</t>
        </is>
      </c>
    </row>
    <row r="3182">
      <c r="A3182" s="3" t="n">
        <v>2024</v>
      </c>
      <c r="B3182" s="4" t="n">
        <v>4600</v>
      </c>
      <c r="C3182" s="4" t="n">
        <v>387</v>
      </c>
      <c r="D3182" s="3" t="inlineStr">
        <is>
          <t>오송읍</t>
        </is>
      </c>
      <c r="E3182" s="3" t="inlineStr">
        <is>
          <t>서평리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117.0675</v>
      </c>
      <c r="I3182" s="5" t="n">
        <v>39.3</v>
      </c>
      <c r="J3182" s="3" t="inlineStr">
        <is>
          <t>오송읍</t>
        </is>
      </c>
    </row>
    <row r="3183">
      <c r="A3183" s="3" t="n">
        <v>2024</v>
      </c>
      <c r="B3183" s="4" t="n">
        <v>32000</v>
      </c>
      <c r="C3183" s="4" t="n">
        <v>2645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800.1125</v>
      </c>
      <c r="I3183" s="5" t="n">
        <v>40</v>
      </c>
      <c r="J3183" s="3" t="inlineStr">
        <is>
          <t>오송읍</t>
        </is>
      </c>
    </row>
    <row r="3184">
      <c r="A3184" s="3" t="n">
        <v>2024</v>
      </c>
      <c r="B3184" s="4" t="n">
        <v>5200</v>
      </c>
      <c r="C3184" s="4" t="n">
        <v>248</v>
      </c>
      <c r="D3184" s="3" t="inlineStr">
        <is>
          <t>강내면</t>
        </is>
      </c>
      <c r="E3184" s="3" t="inlineStr">
        <is>
          <t>학천리</t>
        </is>
      </c>
      <c r="F3184" s="3" t="inlineStr">
        <is>
          <t>자연녹지지역</t>
        </is>
      </c>
      <c r="G3184" s="3" t="inlineStr">
        <is>
          <t>대</t>
        </is>
      </c>
      <c r="H3184" s="4" t="n">
        <v>75.02</v>
      </c>
      <c r="I3184" s="5" t="n">
        <v>69.3</v>
      </c>
      <c r="J3184" s="3" t="inlineStr">
        <is>
          <t>강내면</t>
        </is>
      </c>
    </row>
    <row r="3185">
      <c r="A3185" s="3" t="n">
        <v>2024</v>
      </c>
      <c r="B3185" s="4" t="n">
        <v>8502</v>
      </c>
      <c r="C3185" s="4" t="n">
        <v>846</v>
      </c>
      <c r="D3185" s="3" t="inlineStr">
        <is>
          <t>오송읍</t>
        </is>
      </c>
      <c r="E3185" s="3" t="inlineStr">
        <is>
          <t>쌍청리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255.915</v>
      </c>
      <c r="I3185" s="5" t="n">
        <v>33.2</v>
      </c>
      <c r="J3185" s="3" t="inlineStr">
        <is>
          <t>오송읍</t>
        </is>
      </c>
    </row>
    <row r="3186">
      <c r="A3186" s="3" t="n">
        <v>2022</v>
      </c>
      <c r="B3186" s="4" t="n">
        <v>2000</v>
      </c>
      <c r="C3186" s="4" t="n">
        <v>73</v>
      </c>
      <c r="D3186" s="3" t="inlineStr">
        <is>
          <t>강내면</t>
        </is>
      </c>
      <c r="E3186" s="3" t="inlineStr">
        <is>
          <t>사인리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22.0825</v>
      </c>
      <c r="I3186" s="5" t="n">
        <v>90.59999999999999</v>
      </c>
      <c r="J3186" s="3" t="inlineStr">
        <is>
          <t>강내면</t>
        </is>
      </c>
    </row>
    <row r="3187">
      <c r="A3187" s="3" t="n">
        <v>2024</v>
      </c>
      <c r="B3187" s="4" t="n">
        <v>23500</v>
      </c>
      <c r="C3187" s="4" t="n">
        <v>233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70.4825</v>
      </c>
      <c r="I3187" s="5" t="n">
        <v>333.4</v>
      </c>
      <c r="J3187" s="3" t="inlineStr">
        <is>
          <t>오송읍</t>
        </is>
      </c>
    </row>
    <row r="3188">
      <c r="A3188" s="3" t="n">
        <v>2024</v>
      </c>
      <c r="B3188" s="4" t="n">
        <v>26590</v>
      </c>
      <c r="C3188" s="4" t="n">
        <v>1956</v>
      </c>
      <c r="D3188" s="3" t="inlineStr">
        <is>
          <t>강내면</t>
        </is>
      </c>
      <c r="E3188" s="3" t="inlineStr">
        <is>
          <t>사곡리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591.6899999999999</v>
      </c>
      <c r="I3188" s="5" t="n">
        <v>44.9</v>
      </c>
      <c r="J3188" s="3" t="inlineStr">
        <is>
          <t>강내면</t>
        </is>
      </c>
    </row>
    <row r="3189">
      <c r="A3189" s="3" t="n">
        <v>2024</v>
      </c>
      <c r="B3189" s="4" t="n">
        <v>83760</v>
      </c>
      <c r="C3189" s="4" t="n">
        <v>2309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698.4725</v>
      </c>
      <c r="I3189" s="5" t="n">
        <v>119.9</v>
      </c>
      <c r="J3189" s="3" t="inlineStr">
        <is>
          <t>강내면</t>
        </is>
      </c>
    </row>
    <row r="3190">
      <c r="A3190" s="3" t="n">
        <v>2024</v>
      </c>
      <c r="B3190" s="4" t="n">
        <v>60000</v>
      </c>
      <c r="C3190" s="4" t="n">
        <v>1806</v>
      </c>
      <c r="D3190" s="3" t="inlineStr">
        <is>
          <t>오송읍</t>
        </is>
      </c>
      <c r="E3190" s="3" t="inlineStr">
        <is>
          <t>쌍청리</t>
        </is>
      </c>
      <c r="F3190" s="3" t="inlineStr">
        <is>
          <t>생산관리지역</t>
        </is>
      </c>
      <c r="G3190" s="3" t="inlineStr">
        <is>
          <t>답</t>
        </is>
      </c>
      <c r="H3190" s="4" t="n">
        <v>546.3149999999999</v>
      </c>
      <c r="I3190" s="5" t="n">
        <v>109.8</v>
      </c>
      <c r="J3190" s="3" t="inlineStr">
        <is>
          <t>오송읍</t>
        </is>
      </c>
    </row>
    <row r="3191">
      <c r="A3191" s="3" t="n">
        <v>2024</v>
      </c>
      <c r="B3191" s="4" t="n">
        <v>29600</v>
      </c>
      <c r="C3191" s="4" t="n">
        <v>612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185.13</v>
      </c>
      <c r="I3191" s="5" t="n">
        <v>159.9</v>
      </c>
      <c r="J3191" s="3" t="inlineStr">
        <is>
          <t>강내면</t>
        </is>
      </c>
    </row>
    <row r="3192">
      <c r="A3192" s="3" t="n">
        <v>2024</v>
      </c>
      <c r="B3192" s="4" t="n">
        <v>7910</v>
      </c>
      <c r="C3192" s="4" t="n">
        <v>1440</v>
      </c>
      <c r="D3192" s="3" t="inlineStr">
        <is>
          <t>강내면</t>
        </is>
      </c>
      <c r="E3192" s="3" t="inlineStr">
        <is>
          <t>산단리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435.6</v>
      </c>
      <c r="I3192" s="5" t="n">
        <v>18.2</v>
      </c>
      <c r="J3192" s="3" t="inlineStr">
        <is>
          <t>강내면</t>
        </is>
      </c>
    </row>
    <row r="3193">
      <c r="A3193" s="3" t="n">
        <v>2024</v>
      </c>
      <c r="B3193" s="4" t="n">
        <v>6590</v>
      </c>
      <c r="C3193" s="4" t="n">
        <v>1200</v>
      </c>
      <c r="D3193" s="3" t="inlineStr">
        <is>
          <t>강내면</t>
        </is>
      </c>
      <c r="E3193" s="3" t="inlineStr">
        <is>
          <t>산단리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363</v>
      </c>
      <c r="I3193" s="5" t="n">
        <v>18.2</v>
      </c>
      <c r="J3193" s="3" t="inlineStr">
        <is>
          <t>강내면</t>
        </is>
      </c>
    </row>
    <row r="3194">
      <c r="A3194" s="3" t="n">
        <v>2024</v>
      </c>
      <c r="B3194" s="4" t="n">
        <v>8500</v>
      </c>
      <c r="C3194" s="4" t="n">
        <v>1545</v>
      </c>
      <c r="D3194" s="3" t="inlineStr">
        <is>
          <t>강내면</t>
        </is>
      </c>
      <c r="E3194" s="3" t="inlineStr">
        <is>
          <t>산단리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467.3625</v>
      </c>
      <c r="I3194" s="5" t="n">
        <v>18.2</v>
      </c>
      <c r="J3194" s="3" t="inlineStr">
        <is>
          <t>강내면</t>
        </is>
      </c>
    </row>
    <row r="3195">
      <c r="A3195" s="3" t="n">
        <v>2024</v>
      </c>
      <c r="B3195" s="4" t="n">
        <v>9000</v>
      </c>
      <c r="C3195" s="4" t="n">
        <v>39</v>
      </c>
      <c r="D3195" s="3" t="inlineStr">
        <is>
          <t>강내면</t>
        </is>
      </c>
      <c r="E3195" s="3" t="inlineStr">
        <is>
          <t>탑연리</t>
        </is>
      </c>
      <c r="F3195" s="3" t="inlineStr">
        <is>
          <t>제2종일반주거지역</t>
        </is>
      </c>
      <c r="G3195" s="3" t="inlineStr">
        <is>
          <t>답</t>
        </is>
      </c>
      <c r="H3195" s="4" t="n">
        <v>11.7975</v>
      </c>
      <c r="I3195" s="5" t="n">
        <v>762.9</v>
      </c>
      <c r="J3195" s="3" t="inlineStr">
        <is>
          <t>강내면</t>
        </is>
      </c>
    </row>
    <row r="3196">
      <c r="A3196" s="3" t="n">
        <v>2022</v>
      </c>
      <c r="B3196" s="4" t="n">
        <v>23900</v>
      </c>
      <c r="C3196" s="4" t="n">
        <v>566</v>
      </c>
      <c r="D3196" s="3" t="inlineStr">
        <is>
          <t>오송읍</t>
        </is>
      </c>
      <c r="E3196" s="3" t="inlineStr">
        <is>
          <t>쌍청리</t>
        </is>
      </c>
      <c r="F3196" s="3" t="inlineStr">
        <is>
          <t>계획관리지역</t>
        </is>
      </c>
      <c r="G3196" s="3" t="inlineStr">
        <is>
          <t>공장용지</t>
        </is>
      </c>
      <c r="H3196" s="4" t="n">
        <v>171.215</v>
      </c>
      <c r="I3196" s="5" t="n">
        <v>139.6</v>
      </c>
      <c r="J3196" s="3" t="inlineStr">
        <is>
          <t>오송읍</t>
        </is>
      </c>
    </row>
    <row r="3197">
      <c r="A3197" s="3" t="n">
        <v>2022</v>
      </c>
      <c r="B3197" s="4" t="n">
        <v>14894</v>
      </c>
      <c r="C3197" s="4" t="n">
        <v>1047</v>
      </c>
      <c r="D3197" s="3" t="inlineStr">
        <is>
          <t>오송읍</t>
        </is>
      </c>
      <c r="E3197" s="3" t="inlineStr">
        <is>
          <t>상봉리</t>
        </is>
      </c>
      <c r="F3197" s="3" t="inlineStr">
        <is>
          <t>생산관리지역</t>
        </is>
      </c>
      <c r="G3197" s="3" t="inlineStr">
        <is>
          <t>전</t>
        </is>
      </c>
      <c r="H3197" s="4" t="n">
        <v>316.7175</v>
      </c>
      <c r="I3197" s="5" t="n">
        <v>47</v>
      </c>
      <c r="J3197" s="3" t="inlineStr">
        <is>
          <t>오송읍</t>
        </is>
      </c>
    </row>
    <row r="3198">
      <c r="A3198" s="3" t="n">
        <v>2022</v>
      </c>
      <c r="B3198" s="4" t="n">
        <v>16643</v>
      </c>
      <c r="C3198" s="4" t="n">
        <v>1170</v>
      </c>
      <c r="D3198" s="3" t="inlineStr">
        <is>
          <t>오송읍</t>
        </is>
      </c>
      <c r="E3198" s="3" t="inlineStr">
        <is>
          <t>상봉리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353.925</v>
      </c>
      <c r="I3198" s="5" t="n">
        <v>47</v>
      </c>
      <c r="J3198" s="3" t="inlineStr">
        <is>
          <t>오송읍</t>
        </is>
      </c>
    </row>
    <row r="3199">
      <c r="A3199" s="3" t="n">
        <v>2022</v>
      </c>
      <c r="B3199" s="4" t="n">
        <v>5875</v>
      </c>
      <c r="C3199" s="4" t="n">
        <v>413</v>
      </c>
      <c r="D3199" s="3" t="inlineStr">
        <is>
          <t>오송읍</t>
        </is>
      </c>
      <c r="E3199" s="3" t="inlineStr">
        <is>
          <t>상봉리</t>
        </is>
      </c>
      <c r="F3199" s="3" t="inlineStr">
        <is>
          <t>생산관리지역</t>
        </is>
      </c>
      <c r="G3199" s="3" t="inlineStr">
        <is>
          <t>전</t>
        </is>
      </c>
      <c r="H3199" s="4" t="n">
        <v>124.9325</v>
      </c>
      <c r="I3199" s="5" t="n">
        <v>47</v>
      </c>
      <c r="J3199" s="3" t="inlineStr">
        <is>
          <t>오송읍</t>
        </is>
      </c>
    </row>
    <row r="3200">
      <c r="A3200" s="3" t="n">
        <v>2022</v>
      </c>
      <c r="B3200" s="4" t="n">
        <v>59920</v>
      </c>
      <c r="C3200" s="4" t="n">
        <v>3574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1081.135</v>
      </c>
      <c r="I3200" s="5" t="n">
        <v>55.4</v>
      </c>
      <c r="J3200" s="3" t="inlineStr">
        <is>
          <t>강내면</t>
        </is>
      </c>
    </row>
    <row r="3201">
      <c r="A3201" s="3" t="n">
        <v>2022</v>
      </c>
      <c r="B3201" s="4" t="n">
        <v>1080</v>
      </c>
      <c r="C3201" s="4" t="n">
        <v>66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19.965</v>
      </c>
      <c r="I3201" s="5" t="n">
        <v>54.1</v>
      </c>
      <c r="J3201" s="3" t="inlineStr">
        <is>
          <t>강내면</t>
        </is>
      </c>
    </row>
    <row r="3202">
      <c r="A3202" s="3" t="n">
        <v>2022</v>
      </c>
      <c r="B3202" s="4" t="n">
        <v>31300</v>
      </c>
      <c r="C3202" s="4" t="n">
        <v>1759</v>
      </c>
      <c r="D3202" s="3" t="inlineStr">
        <is>
          <t>강내면</t>
        </is>
      </c>
      <c r="E3202" s="3" t="inlineStr">
        <is>
          <t>월곡리</t>
        </is>
      </c>
      <c r="F3202" s="3" t="inlineStr">
        <is>
          <t>생산녹지지역</t>
        </is>
      </c>
      <c r="G3202" s="3" t="inlineStr">
        <is>
          <t>답</t>
        </is>
      </c>
      <c r="H3202" s="4" t="n">
        <v>532.0975</v>
      </c>
      <c r="I3202" s="5" t="n">
        <v>58.8</v>
      </c>
      <c r="J3202" s="3" t="inlineStr">
        <is>
          <t>강내면</t>
        </is>
      </c>
    </row>
    <row r="3203">
      <c r="A3203" s="3" t="n">
        <v>2022</v>
      </c>
      <c r="B3203" s="4" t="n">
        <v>56200</v>
      </c>
      <c r="C3203" s="4" t="n">
        <v>3154</v>
      </c>
      <c r="D3203" s="3" t="inlineStr">
        <is>
          <t>강내면</t>
        </is>
      </c>
      <c r="E3203" s="3" t="inlineStr">
        <is>
          <t>월곡리</t>
        </is>
      </c>
      <c r="F3203" s="3" t="inlineStr">
        <is>
          <t>생산녹지지역</t>
        </is>
      </c>
      <c r="G3203" s="3" t="inlineStr">
        <is>
          <t>답</t>
        </is>
      </c>
      <c r="H3203" s="4" t="n">
        <v>954.0849999999999</v>
      </c>
      <c r="I3203" s="5" t="n">
        <v>58.9</v>
      </c>
      <c r="J3203" s="3" t="inlineStr">
        <is>
          <t>강내면</t>
        </is>
      </c>
    </row>
    <row r="3204">
      <c r="A3204" s="3" t="n">
        <v>2022</v>
      </c>
      <c r="B3204" s="4" t="n">
        <v>31300</v>
      </c>
      <c r="C3204" s="4" t="n">
        <v>1759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생산녹지지역</t>
        </is>
      </c>
      <c r="G3204" s="3" t="inlineStr">
        <is>
          <t>답</t>
        </is>
      </c>
      <c r="H3204" s="4" t="n">
        <v>532.0975</v>
      </c>
      <c r="I3204" s="5" t="n">
        <v>58.8</v>
      </c>
      <c r="J3204" s="3" t="inlineStr">
        <is>
          <t>강내면</t>
        </is>
      </c>
    </row>
    <row r="3205">
      <c r="A3205" s="3" t="n">
        <v>2022</v>
      </c>
      <c r="B3205" s="4" t="n">
        <v>56200</v>
      </c>
      <c r="C3205" s="4" t="n">
        <v>3154</v>
      </c>
      <c r="D3205" s="3" t="inlineStr">
        <is>
          <t>강내면</t>
        </is>
      </c>
      <c r="E3205" s="3" t="inlineStr">
        <is>
          <t>월곡리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954.0849999999999</v>
      </c>
      <c r="I3205" s="5" t="n">
        <v>58.9</v>
      </c>
      <c r="J3205" s="3" t="inlineStr">
        <is>
          <t>강내면</t>
        </is>
      </c>
    </row>
    <row r="3206">
      <c r="A3206" s="3" t="n">
        <v>2022</v>
      </c>
      <c r="B3206" s="4" t="n">
        <v>6000</v>
      </c>
      <c r="C3206" s="4" t="n">
        <v>43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준주거지역</t>
        </is>
      </c>
      <c r="G3206" s="3" t="inlineStr">
        <is>
          <t>잡종지</t>
        </is>
      </c>
      <c r="H3206" s="4" t="n">
        <v>13.0075</v>
      </c>
      <c r="I3206" s="5" t="n">
        <v>461.3</v>
      </c>
      <c r="J3206" s="3" t="inlineStr">
        <is>
          <t>오송읍</t>
        </is>
      </c>
    </row>
    <row r="3207">
      <c r="A3207" s="3" t="n">
        <v>2022</v>
      </c>
      <c r="B3207" s="4" t="n">
        <v>28000</v>
      </c>
      <c r="C3207" s="4" t="n">
        <v>232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70.17999999999999</v>
      </c>
      <c r="I3207" s="5" t="n">
        <v>399</v>
      </c>
      <c r="J3207" s="3" t="inlineStr">
        <is>
          <t>오송읍</t>
        </is>
      </c>
    </row>
    <row r="3208">
      <c r="A3208" s="3" t="n">
        <v>2022</v>
      </c>
      <c r="B3208" s="4" t="n">
        <v>28000</v>
      </c>
      <c r="C3208" s="4" t="n">
        <v>240.9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72.87224999999999</v>
      </c>
      <c r="I3208" s="5" t="n">
        <v>384.2</v>
      </c>
      <c r="J3208" s="3" t="inlineStr">
        <is>
          <t>오송읍</t>
        </is>
      </c>
    </row>
    <row r="3209">
      <c r="A3209" s="3" t="n">
        <v>2022</v>
      </c>
      <c r="B3209" s="4" t="n">
        <v>30500</v>
      </c>
      <c r="C3209" s="4" t="n">
        <v>267.7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80.97924999999999</v>
      </c>
      <c r="I3209" s="5" t="n">
        <v>376.6</v>
      </c>
      <c r="J3209" s="3" t="inlineStr">
        <is>
          <t>오송읍</t>
        </is>
      </c>
    </row>
    <row r="3210">
      <c r="A3210" s="3" t="n">
        <v>2022</v>
      </c>
      <c r="B3210" s="4" t="n">
        <v>28600</v>
      </c>
      <c r="C3210" s="4" t="n">
        <v>946</v>
      </c>
      <c r="D3210" s="3" t="inlineStr">
        <is>
          <t>오송읍</t>
        </is>
      </c>
      <c r="E3210" s="3" t="inlineStr">
        <is>
          <t>쌍청리</t>
        </is>
      </c>
      <c r="F3210" s="3" t="inlineStr">
        <is>
          <t>계획관리지역</t>
        </is>
      </c>
      <c r="G3210" s="3" t="inlineStr">
        <is>
          <t>전</t>
        </is>
      </c>
      <c r="H3210" s="4" t="n">
        <v>286.165</v>
      </c>
      <c r="I3210" s="5" t="n">
        <v>99.90000000000001</v>
      </c>
      <c r="J3210" s="3" t="inlineStr">
        <is>
          <t>오송읍</t>
        </is>
      </c>
    </row>
    <row r="3211">
      <c r="A3211" s="3" t="n">
        <v>2022</v>
      </c>
      <c r="B3211" s="4" t="n">
        <v>369580</v>
      </c>
      <c r="C3211" s="4" t="n">
        <v>7187</v>
      </c>
      <c r="D3211" s="3" t="inlineStr">
        <is>
          <t>강내면</t>
        </is>
      </c>
      <c r="E3211" s="3" t="inlineStr">
        <is>
          <t>사곡리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2174.0675</v>
      </c>
      <c r="I3211" s="5" t="n">
        <v>170</v>
      </c>
      <c r="J3211" s="3" t="inlineStr">
        <is>
          <t>강내면</t>
        </is>
      </c>
    </row>
    <row r="3212">
      <c r="A3212" s="3" t="n">
        <v>2022</v>
      </c>
      <c r="B3212" s="4" t="n">
        <v>51000</v>
      </c>
      <c r="C3212" s="4" t="n">
        <v>296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준주거지역</t>
        </is>
      </c>
      <c r="G3212" s="3" t="inlineStr">
        <is>
          <t>대</t>
        </is>
      </c>
      <c r="H3212" s="4" t="n">
        <v>89.53999999999999</v>
      </c>
      <c r="I3212" s="5" t="n">
        <v>569.6</v>
      </c>
      <c r="J3212" s="3" t="inlineStr">
        <is>
          <t>오송읍</t>
        </is>
      </c>
    </row>
    <row r="3213">
      <c r="A3213" s="3" t="n">
        <v>2022</v>
      </c>
      <c r="B3213" s="4" t="n">
        <v>29000</v>
      </c>
      <c r="C3213" s="4" t="n">
        <v>985</v>
      </c>
      <c r="D3213" s="3" t="inlineStr">
        <is>
          <t>강내면</t>
        </is>
      </c>
      <c r="E3213" s="3" t="inlineStr">
        <is>
          <t>연정리</t>
        </is>
      </c>
      <c r="F3213" s="3" t="inlineStr">
        <is>
          <t>계획관리지역</t>
        </is>
      </c>
      <c r="G3213" s="3" t="inlineStr">
        <is>
          <t>답</t>
        </is>
      </c>
      <c r="H3213" s="4" t="n">
        <v>297.9625</v>
      </c>
      <c r="I3213" s="5" t="n">
        <v>97.3</v>
      </c>
      <c r="J3213" s="3" t="inlineStr">
        <is>
          <t>강내면</t>
        </is>
      </c>
    </row>
    <row r="3214">
      <c r="A3214" s="3" t="n">
        <v>2022</v>
      </c>
      <c r="B3214" s="4" t="n">
        <v>1000</v>
      </c>
      <c r="C3214" s="4" t="n">
        <v>35</v>
      </c>
      <c r="D3214" s="3" t="inlineStr">
        <is>
          <t>강내면</t>
        </is>
      </c>
      <c r="E3214" s="3" t="inlineStr">
        <is>
          <t>연정리</t>
        </is>
      </c>
      <c r="F3214" s="3" t="inlineStr">
        <is>
          <t>계획관리지역</t>
        </is>
      </c>
      <c r="G3214" s="3" t="inlineStr">
        <is>
          <t>답</t>
        </is>
      </c>
      <c r="H3214" s="4" t="n">
        <v>10.5875</v>
      </c>
      <c r="I3214" s="5" t="n">
        <v>94.5</v>
      </c>
      <c r="J3214" s="3" t="inlineStr">
        <is>
          <t>강내면</t>
        </is>
      </c>
    </row>
    <row r="3215">
      <c r="A3215" s="3" t="n">
        <v>2022</v>
      </c>
      <c r="B3215" s="4" t="n">
        <v>7000</v>
      </c>
      <c r="C3215" s="4" t="n">
        <v>135</v>
      </c>
      <c r="D3215" s="3" t="inlineStr">
        <is>
          <t>오송읍</t>
        </is>
      </c>
      <c r="E3215" s="3" t="inlineStr">
        <is>
          <t>오송리</t>
        </is>
      </c>
      <c r="F3215" s="3" t="inlineStr">
        <is>
          <t>계획관리지역</t>
        </is>
      </c>
      <c r="G3215" s="3" t="inlineStr">
        <is>
          <t>답</t>
        </is>
      </c>
      <c r="H3215" s="4" t="n">
        <v>40.8375</v>
      </c>
      <c r="I3215" s="5" t="n">
        <v>171.4</v>
      </c>
      <c r="J3215" s="3" t="inlineStr">
        <is>
          <t>오송읍</t>
        </is>
      </c>
    </row>
    <row r="3216">
      <c r="A3216" s="3" t="n">
        <v>2022</v>
      </c>
      <c r="B3216" s="4" t="n">
        <v>5000</v>
      </c>
      <c r="C3216" s="4" t="n">
        <v>747</v>
      </c>
      <c r="D3216" s="3" t="inlineStr">
        <is>
          <t>오송읍</t>
        </is>
      </c>
      <c r="E3216" s="3" t="inlineStr">
        <is>
          <t>상봉리</t>
        </is>
      </c>
      <c r="F3216" s="3" t="inlineStr">
        <is>
          <t>계획관리지역</t>
        </is>
      </c>
      <c r="G3216" s="3" t="inlineStr">
        <is>
          <t>답</t>
        </is>
      </c>
      <c r="H3216" s="4" t="n">
        <v>225.9675</v>
      </c>
      <c r="I3216" s="5" t="n">
        <v>22.1</v>
      </c>
      <c r="J3216" s="3" t="inlineStr">
        <is>
          <t>오송읍</t>
        </is>
      </c>
    </row>
    <row r="3217">
      <c r="A3217" s="3" t="n">
        <v>2022</v>
      </c>
      <c r="B3217" s="4" t="n">
        <v>12000</v>
      </c>
      <c r="C3217" s="4" t="n">
        <v>165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계획관리지역</t>
        </is>
      </c>
      <c r="G3217" s="3" t="inlineStr">
        <is>
          <t>전</t>
        </is>
      </c>
      <c r="H3217" s="4" t="n">
        <v>49.9125</v>
      </c>
      <c r="I3217" s="5" t="n">
        <v>240.4</v>
      </c>
      <c r="J3217" s="3" t="inlineStr">
        <is>
          <t>오송읍</t>
        </is>
      </c>
    </row>
    <row r="3218">
      <c r="A3218" s="3" t="n">
        <v>2022</v>
      </c>
      <c r="B3218" s="4" t="n">
        <v>29000</v>
      </c>
      <c r="C3218" s="4" t="n">
        <v>985</v>
      </c>
      <c r="D3218" s="3" t="inlineStr">
        <is>
          <t>강내면</t>
        </is>
      </c>
      <c r="E3218" s="3" t="inlineStr">
        <is>
          <t>연정리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297.9625</v>
      </c>
      <c r="I3218" s="5" t="n">
        <v>97.3</v>
      </c>
      <c r="J3218" s="3" t="inlineStr">
        <is>
          <t>강내면</t>
        </is>
      </c>
    </row>
    <row r="3219">
      <c r="A3219" s="3" t="n">
        <v>2022</v>
      </c>
      <c r="B3219" s="4" t="n">
        <v>1000</v>
      </c>
      <c r="C3219" s="4" t="n">
        <v>35</v>
      </c>
      <c r="D3219" s="3" t="inlineStr">
        <is>
          <t>강내면</t>
        </is>
      </c>
      <c r="E3219" s="3" t="inlineStr">
        <is>
          <t>연정리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10.5875</v>
      </c>
      <c r="I3219" s="5" t="n">
        <v>94.5</v>
      </c>
      <c r="J3219" s="3" t="inlineStr">
        <is>
          <t>강내면</t>
        </is>
      </c>
    </row>
    <row r="3220">
      <c r="A3220" s="3" t="n">
        <v>2022</v>
      </c>
      <c r="B3220" s="4" t="n">
        <v>37500</v>
      </c>
      <c r="C3220" s="4" t="n">
        <v>990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자연녹지지역</t>
        </is>
      </c>
      <c r="G3220" s="3" t="inlineStr">
        <is>
          <t>임야</t>
        </is>
      </c>
      <c r="H3220" s="4" t="n">
        <v>299.475</v>
      </c>
      <c r="I3220" s="5" t="n">
        <v>125.2</v>
      </c>
      <c r="J3220" s="3" t="inlineStr">
        <is>
          <t>강내면</t>
        </is>
      </c>
    </row>
    <row r="3221">
      <c r="A3221" s="3" t="n">
        <v>2022</v>
      </c>
      <c r="B3221" s="4" t="n">
        <v>11000</v>
      </c>
      <c r="C3221" s="4" t="n">
        <v>132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39.93</v>
      </c>
      <c r="I3221" s="5" t="n">
        <v>275.5</v>
      </c>
      <c r="J3221" s="3" t="inlineStr">
        <is>
          <t>오송읍</t>
        </is>
      </c>
    </row>
    <row r="3222">
      <c r="A3222" s="3" t="n">
        <v>2022</v>
      </c>
      <c r="B3222" s="4" t="n">
        <v>53000</v>
      </c>
      <c r="C3222" s="4" t="n">
        <v>660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199.65</v>
      </c>
      <c r="I3222" s="5" t="n">
        <v>265.5</v>
      </c>
      <c r="J3222" s="3" t="inlineStr">
        <is>
          <t>오송읍</t>
        </is>
      </c>
    </row>
    <row r="3223">
      <c r="A3223" s="3" t="n">
        <v>2022</v>
      </c>
      <c r="B3223" s="4" t="n">
        <v>6700</v>
      </c>
      <c r="C3223" s="4" t="n">
        <v>555</v>
      </c>
      <c r="D3223" s="3" t="inlineStr">
        <is>
          <t>강내면</t>
        </is>
      </c>
      <c r="E3223" s="3" t="inlineStr">
        <is>
          <t>궁현리</t>
        </is>
      </c>
      <c r="F3223" s="3" t="inlineStr">
        <is>
          <t>계획관리지역</t>
        </is>
      </c>
      <c r="G3223" s="3" t="inlineStr">
        <is>
          <t>임야</t>
        </is>
      </c>
      <c r="H3223" s="4" t="n">
        <v>167.8875</v>
      </c>
      <c r="I3223" s="5" t="n">
        <v>39.9</v>
      </c>
      <c r="J3223" s="3" t="inlineStr">
        <is>
          <t>강내면</t>
        </is>
      </c>
    </row>
    <row r="3224">
      <c r="A3224" s="3" t="n">
        <v>2022</v>
      </c>
      <c r="B3224" s="4" t="n">
        <v>3406</v>
      </c>
      <c r="C3224" s="4" t="n">
        <v>563</v>
      </c>
      <c r="D3224" s="3" t="inlineStr">
        <is>
          <t>강내면</t>
        </is>
      </c>
      <c r="E3224" s="3" t="inlineStr">
        <is>
          <t>저산리</t>
        </is>
      </c>
      <c r="F3224" s="3" t="inlineStr">
        <is>
          <t>계획관리지역</t>
        </is>
      </c>
      <c r="G3224" s="3" t="inlineStr">
        <is>
          <t>도로</t>
        </is>
      </c>
      <c r="H3224" s="4" t="n">
        <v>170.3075</v>
      </c>
      <c r="I3224" s="5" t="n">
        <v>20</v>
      </c>
      <c r="J3224" s="3" t="inlineStr">
        <is>
          <t>강내면</t>
        </is>
      </c>
    </row>
    <row r="3225">
      <c r="A3225" s="3" t="n">
        <v>2022</v>
      </c>
      <c r="B3225" s="4" t="n">
        <v>116000</v>
      </c>
      <c r="C3225" s="4" t="n">
        <v>2186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661.265</v>
      </c>
      <c r="I3225" s="5" t="n">
        <v>175.4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350</v>
      </c>
      <c r="D3226" s="3" t="inlineStr">
        <is>
          <t>강내면</t>
        </is>
      </c>
      <c r="E3226" s="3" t="inlineStr">
        <is>
          <t>탑연리</t>
        </is>
      </c>
      <c r="F3226" s="3" t="inlineStr">
        <is>
          <t>자연녹지지역</t>
        </is>
      </c>
      <c r="G3226" s="3" t="inlineStr">
        <is>
          <t>대</t>
        </is>
      </c>
      <c r="H3226" s="4" t="n">
        <v>105.875</v>
      </c>
      <c r="I3226" s="5" t="n">
        <v>283.4</v>
      </c>
      <c r="J3226" s="3" t="inlineStr">
        <is>
          <t>강내면</t>
        </is>
      </c>
    </row>
    <row r="3227">
      <c r="A3227" s="3" t="n">
        <v>2022</v>
      </c>
      <c r="B3227" s="4" t="n">
        <v>21900</v>
      </c>
      <c r="C3227" s="4" t="n">
        <v>241</v>
      </c>
      <c r="D3227" s="3" t="inlineStr">
        <is>
          <t>오송읍</t>
        </is>
      </c>
      <c r="E3227" s="3" t="inlineStr">
        <is>
          <t>동평리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72.9025</v>
      </c>
      <c r="I3227" s="5" t="n">
        <v>300.4</v>
      </c>
      <c r="J3227" s="3" t="inlineStr">
        <is>
          <t>오송읍</t>
        </is>
      </c>
    </row>
    <row r="3228">
      <c r="A3228" s="3" t="n">
        <v>2022</v>
      </c>
      <c r="B3228" s="4" t="n">
        <v>13717</v>
      </c>
      <c r="C3228" s="4" t="n">
        <v>667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농림지역</t>
        </is>
      </c>
      <c r="G3228" s="3" t="inlineStr">
        <is>
          <t>답</t>
        </is>
      </c>
      <c r="H3228" s="4" t="n">
        <v>201.7675</v>
      </c>
      <c r="I3228" s="5" t="n">
        <v>68</v>
      </c>
      <c r="J3228" s="3" t="inlineStr">
        <is>
          <t>오송읍</t>
        </is>
      </c>
    </row>
    <row r="3229">
      <c r="A3229" s="3" t="n">
        <v>2022</v>
      </c>
      <c r="B3229" s="4" t="n">
        <v>17418</v>
      </c>
      <c r="C3229" s="4" t="n">
        <v>847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256.2175</v>
      </c>
      <c r="I3229" s="5" t="n">
        <v>68</v>
      </c>
      <c r="J3229" s="3" t="inlineStr">
        <is>
          <t>오송읍</t>
        </is>
      </c>
    </row>
    <row r="3230">
      <c r="A3230" s="3" t="n">
        <v>2022</v>
      </c>
      <c r="B3230" s="4" t="n">
        <v>27865</v>
      </c>
      <c r="C3230" s="4" t="n">
        <v>1355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409.8875</v>
      </c>
      <c r="I3230" s="5" t="n">
        <v>68</v>
      </c>
      <c r="J3230" s="3" t="inlineStr">
        <is>
          <t>오송읍</t>
        </is>
      </c>
    </row>
    <row r="3231">
      <c r="A3231" s="3" t="n">
        <v>2023</v>
      </c>
      <c r="B3231" s="4" t="n">
        <v>21913</v>
      </c>
      <c r="C3231" s="4" t="n">
        <v>360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생산관리지역</t>
        </is>
      </c>
      <c r="G3231" s="3" t="inlineStr">
        <is>
          <t>전</t>
        </is>
      </c>
      <c r="H3231" s="4" t="n">
        <v>108.9</v>
      </c>
      <c r="I3231" s="5" t="n">
        <v>201.2</v>
      </c>
      <c r="J3231" s="3" t="inlineStr">
        <is>
          <t>오송읍</t>
        </is>
      </c>
    </row>
    <row r="3232">
      <c r="A3232" s="3" t="n">
        <v>2023</v>
      </c>
      <c r="B3232" s="4" t="n">
        <v>21913</v>
      </c>
      <c r="C3232" s="4" t="n">
        <v>360</v>
      </c>
      <c r="D3232" s="3" t="inlineStr">
        <is>
          <t>오송읍</t>
        </is>
      </c>
      <c r="E3232" s="3" t="inlineStr">
        <is>
          <t>정중리</t>
        </is>
      </c>
      <c r="F3232" s="3" t="inlineStr">
        <is>
          <t>생산관리지역</t>
        </is>
      </c>
      <c r="G3232" s="3" t="inlineStr">
        <is>
          <t>전</t>
        </is>
      </c>
      <c r="H3232" s="4" t="n">
        <v>108.9</v>
      </c>
      <c r="I3232" s="5" t="n">
        <v>201.2</v>
      </c>
      <c r="J3232" s="3" t="inlineStr">
        <is>
          <t>오송읍</t>
        </is>
      </c>
    </row>
    <row r="3233">
      <c r="A3233" s="3" t="n">
        <v>2023</v>
      </c>
      <c r="B3233" s="4" t="n">
        <v>34047</v>
      </c>
      <c r="C3233" s="4" t="n">
        <v>566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생산관리지역</t>
        </is>
      </c>
      <c r="G3233" s="3" t="inlineStr">
        <is>
          <t>임야</t>
        </is>
      </c>
      <c r="H3233" s="4" t="n">
        <v>171.215</v>
      </c>
      <c r="I3233" s="5" t="n">
        <v>198.9</v>
      </c>
      <c r="J3233" s="3" t="inlineStr">
        <is>
          <t>오송읍</t>
        </is>
      </c>
    </row>
    <row r="3234">
      <c r="A3234" s="3" t="n">
        <v>2023</v>
      </c>
      <c r="B3234" s="4" t="n">
        <v>28303</v>
      </c>
      <c r="C3234" s="4" t="n">
        <v>514</v>
      </c>
      <c r="D3234" s="3" t="inlineStr">
        <is>
          <t>오송읍</t>
        </is>
      </c>
      <c r="E3234" s="3" t="inlineStr">
        <is>
          <t>정중리</t>
        </is>
      </c>
      <c r="F3234" s="3" t="inlineStr">
        <is>
          <t>생산관리지역</t>
        </is>
      </c>
      <c r="G3234" s="3" t="inlineStr">
        <is>
          <t>임야</t>
        </is>
      </c>
      <c r="H3234" s="4" t="n">
        <v>155.485</v>
      </c>
      <c r="I3234" s="5" t="n">
        <v>182</v>
      </c>
      <c r="J3234" s="3" t="inlineStr">
        <is>
          <t>오송읍</t>
        </is>
      </c>
    </row>
    <row r="3235">
      <c r="A3235" s="3" t="n">
        <v>2023</v>
      </c>
      <c r="B3235" s="4" t="n">
        <v>39152</v>
      </c>
      <c r="C3235" s="4" t="n">
        <v>600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생산관리지역</t>
        </is>
      </c>
      <c r="G3235" s="3" t="inlineStr">
        <is>
          <t>임야</t>
        </is>
      </c>
      <c r="H3235" s="4" t="n">
        <v>181.5</v>
      </c>
      <c r="I3235" s="5" t="n">
        <v>215.7</v>
      </c>
      <c r="J3235" s="3" t="inlineStr">
        <is>
          <t>오송읍</t>
        </is>
      </c>
    </row>
    <row r="3236">
      <c r="A3236" s="3" t="n">
        <v>2024</v>
      </c>
      <c r="B3236" s="4" t="n">
        <v>15064</v>
      </c>
      <c r="C3236" s="4" t="n">
        <v>1382</v>
      </c>
      <c r="D3236" s="3" t="inlineStr">
        <is>
          <t>오송읍</t>
        </is>
      </c>
      <c r="E3236" s="3" t="inlineStr">
        <is>
          <t>쌍청리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418.055</v>
      </c>
      <c r="I3236" s="5" t="n">
        <v>36</v>
      </c>
      <c r="J3236" s="3" t="inlineStr">
        <is>
          <t>오송읍</t>
        </is>
      </c>
    </row>
    <row r="3237">
      <c r="A3237" s="3" t="n">
        <v>2022</v>
      </c>
      <c r="B3237" s="4" t="n">
        <v>77000</v>
      </c>
      <c r="C3237" s="4" t="n">
        <v>3636</v>
      </c>
      <c r="D3237" s="3" t="inlineStr">
        <is>
          <t>오송읍</t>
        </is>
      </c>
      <c r="E3237" s="3" t="inlineStr">
        <is>
          <t>연제리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1099.89</v>
      </c>
      <c r="I3237" s="5" t="n">
        <v>70</v>
      </c>
      <c r="J3237" s="3" t="inlineStr">
        <is>
          <t>오송읍</t>
        </is>
      </c>
    </row>
    <row r="3238">
      <c r="A3238" s="3" t="n">
        <v>2022</v>
      </c>
      <c r="B3238" s="4" t="n">
        <v>53545</v>
      </c>
      <c r="C3238" s="4" t="n">
        <v>331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대</t>
        </is>
      </c>
      <c r="H3238" s="4" t="n">
        <v>100.1275</v>
      </c>
      <c r="I3238" s="5" t="n">
        <v>534.8</v>
      </c>
      <c r="J3238" s="3" t="inlineStr">
        <is>
          <t>강내면</t>
        </is>
      </c>
    </row>
    <row r="3239">
      <c r="A3239" s="3" t="n">
        <v>2022</v>
      </c>
      <c r="B3239" s="4" t="n">
        <v>483</v>
      </c>
      <c r="C3239" s="4" t="n">
        <v>4</v>
      </c>
      <c r="D3239" s="3" t="inlineStr">
        <is>
          <t>강내면</t>
        </is>
      </c>
      <c r="E3239" s="3" t="inlineStr">
        <is>
          <t>탑연리</t>
        </is>
      </c>
      <c r="F3239" s="3" t="inlineStr">
        <is>
          <t>일반상업지역</t>
        </is>
      </c>
      <c r="G3239" s="3" t="inlineStr">
        <is>
          <t>전</t>
        </is>
      </c>
      <c r="H3239" s="4" t="n">
        <v>1.21</v>
      </c>
      <c r="I3239" s="5" t="n">
        <v>399.2</v>
      </c>
      <c r="J3239" s="3" t="inlineStr">
        <is>
          <t>강내면</t>
        </is>
      </c>
    </row>
    <row r="3240">
      <c r="A3240" s="3" t="n">
        <v>2022</v>
      </c>
      <c r="B3240" s="4" t="n">
        <v>5911</v>
      </c>
      <c r="C3240" s="4" t="n">
        <v>49</v>
      </c>
      <c r="D3240" s="3" t="inlineStr">
        <is>
          <t>강내면</t>
        </is>
      </c>
      <c r="E3240" s="3" t="inlineStr">
        <is>
          <t>탑연리</t>
        </is>
      </c>
      <c r="F3240" s="3" t="inlineStr">
        <is>
          <t>일반상업지역</t>
        </is>
      </c>
      <c r="G3240" s="3" t="inlineStr">
        <is>
          <t>대</t>
        </is>
      </c>
      <c r="H3240" s="4" t="n">
        <v>14.8225</v>
      </c>
      <c r="I3240" s="5" t="n">
        <v>398.8</v>
      </c>
      <c r="J3240" s="3" t="inlineStr">
        <is>
          <t>강내면</t>
        </is>
      </c>
    </row>
    <row r="3241">
      <c r="A3241" s="3" t="n">
        <v>2022</v>
      </c>
      <c r="B3241" s="4" t="n">
        <v>4102</v>
      </c>
      <c r="C3241" s="4" t="n">
        <v>34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일반상업지역</t>
        </is>
      </c>
      <c r="G3241" s="3" t="inlineStr">
        <is>
          <t>전</t>
        </is>
      </c>
      <c r="H3241" s="4" t="n">
        <v>10.285</v>
      </c>
      <c r="I3241" s="5" t="n">
        <v>398.8</v>
      </c>
      <c r="J3241" s="3" t="inlineStr">
        <is>
          <t>강내면</t>
        </is>
      </c>
    </row>
    <row r="3242">
      <c r="A3242" s="3" t="n">
        <v>2022</v>
      </c>
      <c r="B3242" s="4" t="n">
        <v>32072</v>
      </c>
      <c r="C3242" s="4" t="n">
        <v>162</v>
      </c>
      <c r="D3242" s="3" t="inlineStr">
        <is>
          <t>강내면</t>
        </is>
      </c>
      <c r="E3242" s="3" t="inlineStr">
        <is>
          <t>탑연리</t>
        </is>
      </c>
      <c r="F3242" s="3" t="inlineStr">
        <is>
          <t>일반상업지역</t>
        </is>
      </c>
      <c r="G3242" s="3" t="inlineStr">
        <is>
          <t>임야</t>
        </is>
      </c>
      <c r="H3242" s="4" t="n">
        <v>49.005</v>
      </c>
      <c r="I3242" s="5" t="n">
        <v>654.5</v>
      </c>
      <c r="J3242" s="3" t="inlineStr">
        <is>
          <t>강내면</t>
        </is>
      </c>
    </row>
    <row r="3243">
      <c r="A3243" s="3" t="n">
        <v>2022</v>
      </c>
      <c r="B3243" s="4" t="n">
        <v>14875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28</v>
      </c>
      <c r="J3243" s="3" t="inlineStr">
        <is>
          <t>강내면</t>
        </is>
      </c>
    </row>
    <row r="3244">
      <c r="A3244" s="3" t="n">
        <v>2022</v>
      </c>
      <c r="B3244" s="4" t="n">
        <v>72625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76.09999999999999</v>
      </c>
      <c r="J3244" s="3" t="inlineStr">
        <is>
          <t>강내면</t>
        </is>
      </c>
    </row>
    <row r="3245">
      <c r="A3245" s="3" t="n">
        <v>2022</v>
      </c>
      <c r="B3245" s="4" t="n">
        <v>23400</v>
      </c>
      <c r="C3245" s="4" t="n">
        <v>1193</v>
      </c>
      <c r="D3245" s="3" t="inlineStr">
        <is>
          <t>강내면</t>
        </is>
      </c>
      <c r="E3245" s="3" t="inlineStr">
        <is>
          <t>당곡리</t>
        </is>
      </c>
      <c r="F3245" s="3" t="inlineStr">
        <is>
          <t>계획관리지역</t>
        </is>
      </c>
      <c r="G3245" s="3" t="inlineStr">
        <is>
          <t>임야</t>
        </is>
      </c>
      <c r="H3245" s="4" t="n">
        <v>360.8825</v>
      </c>
      <c r="I3245" s="5" t="n">
        <v>64.8</v>
      </c>
      <c r="J3245" s="3" t="inlineStr">
        <is>
          <t>강내면</t>
        </is>
      </c>
    </row>
    <row r="3246">
      <c r="A3246" s="3" t="n">
        <v>2022</v>
      </c>
      <c r="B3246" s="4" t="n">
        <v>17550</v>
      </c>
      <c r="C3246" s="4" t="n">
        <v>894</v>
      </c>
      <c r="D3246" s="3" t="inlineStr">
        <is>
          <t>강내면</t>
        </is>
      </c>
      <c r="E3246" s="3" t="inlineStr">
        <is>
          <t>당곡리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270.435</v>
      </c>
      <c r="I3246" s="5" t="n">
        <v>64.90000000000001</v>
      </c>
      <c r="J3246" s="3" t="inlineStr">
        <is>
          <t>강내면</t>
        </is>
      </c>
    </row>
    <row r="3247">
      <c r="A3247" s="3" t="n">
        <v>2022</v>
      </c>
      <c r="B3247" s="4" t="n">
        <v>33800</v>
      </c>
      <c r="C3247" s="4" t="n">
        <v>1722</v>
      </c>
      <c r="D3247" s="3" t="inlineStr">
        <is>
          <t>강내면</t>
        </is>
      </c>
      <c r="E3247" s="3" t="inlineStr">
        <is>
          <t>당곡리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520.905</v>
      </c>
      <c r="I3247" s="5" t="n">
        <v>64.90000000000001</v>
      </c>
      <c r="J3247" s="3" t="inlineStr">
        <is>
          <t>강내면</t>
        </is>
      </c>
    </row>
    <row r="3248">
      <c r="A3248" s="3" t="n">
        <v>2022</v>
      </c>
      <c r="B3248" s="4" t="n">
        <v>8000</v>
      </c>
      <c r="C3248" s="4" t="n">
        <v>480</v>
      </c>
      <c r="D3248" s="3" t="inlineStr">
        <is>
          <t>강내면</t>
        </is>
      </c>
      <c r="E3248" s="3" t="inlineStr">
        <is>
          <t>저산리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145.2</v>
      </c>
      <c r="I3248" s="5" t="n">
        <v>55.1</v>
      </c>
      <c r="J3248" s="3" t="inlineStr">
        <is>
          <t>강내면</t>
        </is>
      </c>
    </row>
    <row r="3249">
      <c r="A3249" s="3" t="n">
        <v>2022</v>
      </c>
      <c r="B3249" s="4" t="n">
        <v>33000</v>
      </c>
      <c r="C3249" s="4" t="n">
        <v>283.2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85.66799999999999</v>
      </c>
      <c r="I3249" s="5" t="n">
        <v>385.2</v>
      </c>
      <c r="J3249" s="3" t="inlineStr">
        <is>
          <t>오송읍</t>
        </is>
      </c>
    </row>
    <row r="3250">
      <c r="A3250" s="3" t="n">
        <v>2022</v>
      </c>
      <c r="B3250" s="4" t="n">
        <v>43500</v>
      </c>
      <c r="C3250" s="4" t="n">
        <v>2579</v>
      </c>
      <c r="D3250" s="3" t="inlineStr">
        <is>
          <t>강내면</t>
        </is>
      </c>
      <c r="E3250" s="3" t="inlineStr">
        <is>
          <t>저산리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780.1474999999999</v>
      </c>
      <c r="I3250" s="5" t="n">
        <v>55.8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1937</v>
      </c>
      <c r="D3251" s="3" t="inlineStr">
        <is>
          <t>오송읍</t>
        </is>
      </c>
      <c r="E3251" s="3" t="inlineStr">
        <is>
          <t>호계리</t>
        </is>
      </c>
      <c r="F3251" s="3" t="inlineStr">
        <is>
          <t>농림지역</t>
        </is>
      </c>
      <c r="G3251" s="3" t="inlineStr">
        <is>
          <t>전</t>
        </is>
      </c>
      <c r="H3251" s="4" t="n">
        <v>585.9425</v>
      </c>
      <c r="I3251" s="5" t="n">
        <v>30.7</v>
      </c>
      <c r="J3251" s="3" t="inlineStr">
        <is>
          <t>오송읍</t>
        </is>
      </c>
    </row>
    <row r="3252">
      <c r="A3252" s="3" t="n">
        <v>2022</v>
      </c>
      <c r="B3252" s="4" t="n">
        <v>15863</v>
      </c>
      <c r="C3252" s="4" t="n">
        <v>251</v>
      </c>
      <c r="D3252" s="3" t="inlineStr">
        <is>
          <t>강내면</t>
        </is>
      </c>
      <c r="E3252" s="3" t="inlineStr">
        <is>
          <t>월곡리</t>
        </is>
      </c>
      <c r="F3252" s="3" t="inlineStr">
        <is>
          <t>제2종일반주거지역</t>
        </is>
      </c>
      <c r="G3252" s="3" t="inlineStr">
        <is>
          <t>도로</t>
        </is>
      </c>
      <c r="H3252" s="4" t="n">
        <v>75.92749999999999</v>
      </c>
      <c r="I3252" s="5" t="n">
        <v>208.9</v>
      </c>
      <c r="J3252" s="3" t="inlineStr">
        <is>
          <t>강내면</t>
        </is>
      </c>
    </row>
    <row r="3253">
      <c r="A3253" s="3" t="n">
        <v>2022</v>
      </c>
      <c r="B3253" s="4" t="n">
        <v>884</v>
      </c>
      <c r="C3253" s="4" t="n">
        <v>13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도로</t>
        </is>
      </c>
      <c r="H3253" s="4" t="n">
        <v>3.9325</v>
      </c>
      <c r="I3253" s="5" t="n">
        <v>224.8</v>
      </c>
      <c r="J3253" s="3" t="inlineStr">
        <is>
          <t>강내면</t>
        </is>
      </c>
    </row>
    <row r="3254">
      <c r="A3254" s="3" t="n">
        <v>2022</v>
      </c>
      <c r="B3254" s="4" t="n">
        <v>30000</v>
      </c>
      <c r="C3254" s="4" t="n">
        <v>286.8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제1종일반주거지역</t>
        </is>
      </c>
      <c r="G3254" s="3" t="inlineStr">
        <is>
          <t>대</t>
        </is>
      </c>
      <c r="H3254" s="4" t="n">
        <v>86.75700000000001</v>
      </c>
      <c r="I3254" s="5" t="n">
        <v>345.8</v>
      </c>
      <c r="J3254" s="3" t="inlineStr">
        <is>
          <t>오송읍</t>
        </is>
      </c>
    </row>
    <row r="3255">
      <c r="A3255" s="3" t="n">
        <v>2022</v>
      </c>
      <c r="B3255" s="4" t="n">
        <v>21300</v>
      </c>
      <c r="C3255" s="4" t="n">
        <v>534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자연녹지지역</t>
        </is>
      </c>
      <c r="G3255" s="3" t="inlineStr">
        <is>
          <t>임야</t>
        </is>
      </c>
      <c r="H3255" s="4" t="n">
        <v>161.535</v>
      </c>
      <c r="I3255" s="5" t="n">
        <v>131.9</v>
      </c>
      <c r="J3255" s="3" t="inlineStr">
        <is>
          <t>강내면</t>
        </is>
      </c>
    </row>
    <row r="3256">
      <c r="A3256" s="3" t="n">
        <v>2022</v>
      </c>
      <c r="B3256" s="4" t="n">
        <v>20600</v>
      </c>
      <c r="C3256" s="4" t="n">
        <v>514</v>
      </c>
      <c r="D3256" s="3" t="inlineStr">
        <is>
          <t>강내면</t>
        </is>
      </c>
      <c r="E3256" s="3" t="inlineStr">
        <is>
          <t>학천리</t>
        </is>
      </c>
      <c r="F3256" s="3" t="inlineStr">
        <is>
          <t>자연녹지지역</t>
        </is>
      </c>
      <c r="G3256" s="3" t="inlineStr">
        <is>
          <t>임야</t>
        </is>
      </c>
      <c r="H3256" s="4" t="n">
        <v>155.485</v>
      </c>
      <c r="I3256" s="5" t="n">
        <v>132.5</v>
      </c>
      <c r="J3256" s="3" t="inlineStr">
        <is>
          <t>강내면</t>
        </is>
      </c>
    </row>
    <row r="3257">
      <c r="A3257" s="3" t="n">
        <v>2022</v>
      </c>
      <c r="B3257" s="4" t="n">
        <v>30000</v>
      </c>
      <c r="C3257" s="4" t="n">
        <v>267.6</v>
      </c>
      <c r="D3257" s="3" t="inlineStr">
        <is>
          <t>오송읍</t>
        </is>
      </c>
      <c r="E3257" s="3" t="inlineStr">
        <is>
          <t>봉산리</t>
        </is>
      </c>
      <c r="F3257" s="3" t="inlineStr">
        <is>
          <t>제1종일반주거지역</t>
        </is>
      </c>
      <c r="G3257" s="3" t="inlineStr">
        <is>
          <t>대</t>
        </is>
      </c>
      <c r="H3257" s="4" t="n">
        <v>80.949</v>
      </c>
      <c r="I3257" s="5" t="n">
        <v>370.6</v>
      </c>
      <c r="J3257" s="3" t="inlineStr">
        <is>
          <t>오송읍</t>
        </is>
      </c>
    </row>
    <row r="3258">
      <c r="A3258" s="3" t="n">
        <v>2022</v>
      </c>
      <c r="B3258" s="4" t="n">
        <v>80000</v>
      </c>
      <c r="C3258" s="4" t="n">
        <v>815.7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246.74925</v>
      </c>
      <c r="I3258" s="5" t="n">
        <v>324.2</v>
      </c>
      <c r="J3258" s="3" t="inlineStr">
        <is>
          <t>오송읍</t>
        </is>
      </c>
    </row>
    <row r="3259">
      <c r="A3259" s="3" t="n">
        <v>2022</v>
      </c>
      <c r="B3259" s="4" t="n">
        <v>11000</v>
      </c>
      <c r="C3259" s="4" t="n">
        <v>182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계획관리지역</t>
        </is>
      </c>
      <c r="G3259" s="3" t="inlineStr">
        <is>
          <t>대</t>
        </is>
      </c>
      <c r="H3259" s="4" t="n">
        <v>55.055</v>
      </c>
      <c r="I3259" s="5" t="n">
        <v>199.8</v>
      </c>
      <c r="J3259" s="3" t="inlineStr">
        <is>
          <t>오송읍</t>
        </is>
      </c>
    </row>
    <row r="3260">
      <c r="A3260" s="3" t="n">
        <v>2022</v>
      </c>
      <c r="B3260" s="4" t="n">
        <v>55000</v>
      </c>
      <c r="C3260" s="4" t="n">
        <v>275.5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83.33875</v>
      </c>
      <c r="I3260" s="5" t="n">
        <v>660</v>
      </c>
      <c r="J3260" s="3" t="inlineStr">
        <is>
          <t>오송읍</t>
        </is>
      </c>
    </row>
    <row r="3261">
      <c r="A3261" s="3" t="n">
        <v>2022</v>
      </c>
      <c r="B3261" s="4" t="n">
        <v>2632</v>
      </c>
      <c r="C3261" s="4" t="n">
        <v>29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8.772499999999999</v>
      </c>
      <c r="I3261" s="5" t="n">
        <v>300</v>
      </c>
      <c r="J3261" s="3" t="inlineStr">
        <is>
          <t>오송읍</t>
        </is>
      </c>
    </row>
    <row r="3262">
      <c r="A3262" s="3" t="n">
        <v>2022</v>
      </c>
      <c r="B3262" s="4" t="n">
        <v>180000</v>
      </c>
      <c r="C3262" s="4" t="n">
        <v>1983</v>
      </c>
      <c r="D3262" s="3" t="inlineStr">
        <is>
          <t>강내면</t>
        </is>
      </c>
      <c r="E3262" s="3" t="inlineStr">
        <is>
          <t>다락리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599.8575</v>
      </c>
      <c r="I3262" s="5" t="n">
        <v>300.1</v>
      </c>
      <c r="J3262" s="3" t="inlineStr">
        <is>
          <t>강내면</t>
        </is>
      </c>
    </row>
    <row r="3263">
      <c r="A3263" s="3" t="n">
        <v>2022</v>
      </c>
      <c r="B3263" s="4" t="n">
        <v>34600</v>
      </c>
      <c r="C3263" s="4" t="n">
        <v>1907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576.8674999999999</v>
      </c>
      <c r="I3263" s="5" t="n">
        <v>60</v>
      </c>
      <c r="J3263" s="3" t="inlineStr">
        <is>
          <t>오송읍</t>
        </is>
      </c>
    </row>
    <row r="3264">
      <c r="A3264" s="3" t="n">
        <v>2022</v>
      </c>
      <c r="B3264" s="4" t="n">
        <v>39000</v>
      </c>
      <c r="C3264" s="4" t="n">
        <v>261.9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79.22474999999999</v>
      </c>
      <c r="I3264" s="5" t="n">
        <v>492.3</v>
      </c>
      <c r="J3264" s="3" t="inlineStr">
        <is>
          <t>오송읍</t>
        </is>
      </c>
    </row>
    <row r="3265">
      <c r="A3265" s="3" t="n">
        <v>2022</v>
      </c>
      <c r="B3265" s="4" t="n">
        <v>130000</v>
      </c>
      <c r="C3265" s="4" t="n">
        <v>2988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903.87</v>
      </c>
      <c r="I3265" s="5" t="n">
        <v>143.8</v>
      </c>
      <c r="J3265" s="3" t="inlineStr">
        <is>
          <t>강내면</t>
        </is>
      </c>
    </row>
    <row r="3266">
      <c r="A3266" s="3" t="n">
        <v>2022</v>
      </c>
      <c r="B3266" s="4" t="n">
        <v>130000</v>
      </c>
      <c r="C3266" s="4" t="n">
        <v>2988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903.87</v>
      </c>
      <c r="I3266" s="5" t="n">
        <v>143.8</v>
      </c>
      <c r="J3266" s="3" t="inlineStr">
        <is>
          <t>강내면</t>
        </is>
      </c>
    </row>
    <row r="3267">
      <c r="A3267" s="3" t="n">
        <v>2022</v>
      </c>
      <c r="B3267" s="4" t="n">
        <v>110000</v>
      </c>
      <c r="C3267" s="4" t="n">
        <v>575</v>
      </c>
      <c r="D3267" s="3" t="inlineStr">
        <is>
          <t>오송읍</t>
        </is>
      </c>
      <c r="E3267" s="3" t="inlineStr">
        <is>
          <t>만수리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173.9375</v>
      </c>
      <c r="I3267" s="5" t="n">
        <v>632.4</v>
      </c>
      <c r="J3267" s="3" t="inlineStr">
        <is>
          <t>오송읍</t>
        </is>
      </c>
    </row>
    <row r="3268">
      <c r="A3268" s="3" t="n">
        <v>2022</v>
      </c>
      <c r="B3268" s="4" t="n">
        <v>2200</v>
      </c>
      <c r="C3268" s="4" t="n">
        <v>302</v>
      </c>
      <c r="D3268" s="3" t="inlineStr">
        <is>
          <t>강내면</t>
        </is>
      </c>
      <c r="E3268" s="3" t="inlineStr">
        <is>
          <t>황탄리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91.355</v>
      </c>
      <c r="I3268" s="5" t="n">
        <v>24.1</v>
      </c>
      <c r="J3268" s="3" t="inlineStr">
        <is>
          <t>강내면</t>
        </is>
      </c>
    </row>
    <row r="3269">
      <c r="A3269" s="3" t="n">
        <v>2022</v>
      </c>
      <c r="B3269" s="4" t="n">
        <v>2566</v>
      </c>
      <c r="C3269" s="4" t="n">
        <v>536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임야</t>
        </is>
      </c>
      <c r="H3269" s="4" t="n">
        <v>162.14</v>
      </c>
      <c r="I3269" s="5" t="n">
        <v>15.8</v>
      </c>
      <c r="J3269" s="3" t="inlineStr">
        <is>
          <t>강내면</t>
        </is>
      </c>
    </row>
    <row r="3270">
      <c r="A3270" s="3" t="n">
        <v>2022</v>
      </c>
      <c r="B3270" s="4" t="n">
        <v>364</v>
      </c>
      <c r="C3270" s="4" t="n">
        <v>76</v>
      </c>
      <c r="D3270" s="3" t="inlineStr">
        <is>
          <t>강내면</t>
        </is>
      </c>
      <c r="E3270" s="3" t="inlineStr">
        <is>
          <t>학천리</t>
        </is>
      </c>
      <c r="F3270" s="3" t="inlineStr">
        <is>
          <t>생산녹지지역</t>
        </is>
      </c>
      <c r="G3270" s="3" t="inlineStr">
        <is>
          <t>전</t>
        </is>
      </c>
      <c r="H3270" s="4" t="n">
        <v>22.99</v>
      </c>
      <c r="I3270" s="5" t="n">
        <v>15.8</v>
      </c>
      <c r="J3270" s="3" t="inlineStr">
        <is>
          <t>강내면</t>
        </is>
      </c>
    </row>
    <row r="3271">
      <c r="A3271" s="3" t="n">
        <v>2022</v>
      </c>
      <c r="B3271" s="4" t="n">
        <v>38000</v>
      </c>
      <c r="C3271" s="4" t="n">
        <v>331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100.1275</v>
      </c>
      <c r="I3271" s="5" t="n">
        <v>379.5</v>
      </c>
      <c r="J3271" s="3" t="inlineStr">
        <is>
          <t>강내면</t>
        </is>
      </c>
    </row>
    <row r="3272">
      <c r="A3272" s="3" t="n">
        <v>2022</v>
      </c>
      <c r="B3272" s="4" t="n">
        <v>44400</v>
      </c>
      <c r="C3272" s="4" t="n">
        <v>4214</v>
      </c>
      <c r="D3272" s="3" t="inlineStr">
        <is>
          <t>강내면</t>
        </is>
      </c>
      <c r="E3272" s="3" t="inlineStr">
        <is>
          <t>탑연리</t>
        </is>
      </c>
      <c r="F3272" s="3" t="inlineStr">
        <is>
          <t>자연녹지지역</t>
        </is>
      </c>
      <c r="G3272" s="3" t="inlineStr">
        <is>
          <t>전</t>
        </is>
      </c>
      <c r="H3272" s="4" t="n">
        <v>1274.735</v>
      </c>
      <c r="I3272" s="5" t="n">
        <v>34.8</v>
      </c>
      <c r="J3272" s="3" t="inlineStr">
        <is>
          <t>강내면</t>
        </is>
      </c>
    </row>
    <row r="3273">
      <c r="A3273" s="3" t="n">
        <v>2023</v>
      </c>
      <c r="B3273" s="4" t="n">
        <v>24070</v>
      </c>
      <c r="C3273" s="4" t="n">
        <v>351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생산관리지역</t>
        </is>
      </c>
      <c r="G3273" s="3" t="inlineStr">
        <is>
          <t>임야</t>
        </is>
      </c>
      <c r="H3273" s="4" t="n">
        <v>106.1775</v>
      </c>
      <c r="I3273" s="5" t="n">
        <v>226.7</v>
      </c>
      <c r="J3273" s="3" t="inlineStr">
        <is>
          <t>오송읍</t>
        </is>
      </c>
    </row>
    <row r="3274">
      <c r="A3274" s="3" t="n">
        <v>2023</v>
      </c>
      <c r="B3274" s="4" t="n">
        <v>5042</v>
      </c>
      <c r="C3274" s="4" t="n">
        <v>85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전</t>
        </is>
      </c>
      <c r="H3274" s="4" t="n">
        <v>25.7125</v>
      </c>
      <c r="I3274" s="5" t="n">
        <v>196.1</v>
      </c>
      <c r="J3274" s="3" t="inlineStr">
        <is>
          <t>오송읍</t>
        </is>
      </c>
    </row>
    <row r="3275">
      <c r="A3275" s="3" t="n">
        <v>2023</v>
      </c>
      <c r="B3275" s="4" t="n">
        <v>1138</v>
      </c>
      <c r="C3275" s="4" t="n">
        <v>23</v>
      </c>
      <c r="D3275" s="3" t="inlineStr">
        <is>
          <t>오송읍</t>
        </is>
      </c>
      <c r="E3275" s="3" t="inlineStr">
        <is>
          <t>정중리</t>
        </is>
      </c>
      <c r="F3275" s="3" t="inlineStr">
        <is>
          <t>생산관리지역</t>
        </is>
      </c>
      <c r="G3275" s="3" t="inlineStr">
        <is>
          <t>대</t>
        </is>
      </c>
      <c r="H3275" s="4" t="n">
        <v>6.9575</v>
      </c>
      <c r="I3275" s="5" t="n">
        <v>163.6</v>
      </c>
      <c r="J3275" s="3" t="inlineStr">
        <is>
          <t>오송읍</t>
        </is>
      </c>
    </row>
    <row r="3276">
      <c r="A3276" s="3" t="n">
        <v>2023</v>
      </c>
      <c r="B3276" s="4" t="n">
        <v>48</v>
      </c>
      <c r="C3276" s="4" t="n">
        <v>1</v>
      </c>
      <c r="D3276" s="3" t="inlineStr">
        <is>
          <t>오송읍</t>
        </is>
      </c>
      <c r="E3276" s="3" t="inlineStr">
        <is>
          <t>정중리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0.3025</v>
      </c>
      <c r="I3276" s="5" t="n">
        <v>158.7</v>
      </c>
      <c r="J3276" s="3" t="inlineStr">
        <is>
          <t>오송읍</t>
        </is>
      </c>
    </row>
    <row r="3277">
      <c r="A3277" s="3" t="n">
        <v>2023</v>
      </c>
      <c r="B3277" s="4" t="n">
        <v>25163</v>
      </c>
      <c r="C3277" s="4" t="n">
        <v>390</v>
      </c>
      <c r="D3277" s="3" t="inlineStr">
        <is>
          <t>오송읍</t>
        </is>
      </c>
      <c r="E3277" s="3" t="inlineStr">
        <is>
          <t>정중리</t>
        </is>
      </c>
      <c r="F3277" s="3" t="inlineStr">
        <is>
          <t>생산관리지역</t>
        </is>
      </c>
      <c r="G3277" s="3" t="inlineStr">
        <is>
          <t>대</t>
        </is>
      </c>
      <c r="H3277" s="4" t="n">
        <v>117.975</v>
      </c>
      <c r="I3277" s="5" t="n">
        <v>213.3</v>
      </c>
      <c r="J3277" s="3" t="inlineStr">
        <is>
          <t>오송읍</t>
        </is>
      </c>
    </row>
    <row r="3278">
      <c r="A3278" s="3" t="n">
        <v>2023</v>
      </c>
      <c r="B3278" s="4" t="n">
        <v>142</v>
      </c>
      <c r="C3278" s="4" t="n">
        <v>6</v>
      </c>
      <c r="D3278" s="3" t="inlineStr">
        <is>
          <t>오송읍</t>
        </is>
      </c>
      <c r="E3278" s="3" t="inlineStr">
        <is>
          <t>정중리</t>
        </is>
      </c>
      <c r="F3278" s="3" t="inlineStr">
        <is>
          <t>생산관리지역</t>
        </is>
      </c>
      <c r="G3278" s="3" t="inlineStr">
        <is>
          <t>임야</t>
        </is>
      </c>
      <c r="H3278" s="4" t="n">
        <v>1.815</v>
      </c>
      <c r="I3278" s="5" t="n">
        <v>78.2</v>
      </c>
      <c r="J3278" s="3" t="inlineStr">
        <is>
          <t>오송읍</t>
        </is>
      </c>
    </row>
    <row r="3279">
      <c r="A3279" s="3" t="n">
        <v>2023</v>
      </c>
      <c r="B3279" s="4" t="n">
        <v>32804</v>
      </c>
      <c r="C3279" s="4" t="n">
        <v>519</v>
      </c>
      <c r="D3279" s="3" t="inlineStr">
        <is>
          <t>오송읍</t>
        </is>
      </c>
      <c r="E3279" s="3" t="inlineStr">
        <is>
          <t>정중리</t>
        </is>
      </c>
      <c r="F3279" s="3" t="inlineStr">
        <is>
          <t>생산관리지역</t>
        </is>
      </c>
      <c r="G3279" s="3" t="inlineStr">
        <is>
          <t>임야</t>
        </is>
      </c>
      <c r="H3279" s="4" t="n">
        <v>156.9975</v>
      </c>
      <c r="I3279" s="5" t="n">
        <v>208.9</v>
      </c>
      <c r="J3279" s="3" t="inlineStr">
        <is>
          <t>오송읍</t>
        </is>
      </c>
    </row>
    <row r="3280">
      <c r="A3280" s="3" t="n">
        <v>2023</v>
      </c>
      <c r="B3280" s="4" t="n">
        <v>52</v>
      </c>
      <c r="C3280" s="4" t="n">
        <v>1</v>
      </c>
      <c r="D3280" s="3" t="inlineStr">
        <is>
          <t>오송읍</t>
        </is>
      </c>
      <c r="E3280" s="3" t="inlineStr">
        <is>
          <t>정중리</t>
        </is>
      </c>
      <c r="F3280" s="3" t="inlineStr">
        <is>
          <t>생산관리지역</t>
        </is>
      </c>
      <c r="G3280" s="3" t="inlineStr">
        <is>
          <t>대</t>
        </is>
      </c>
      <c r="H3280" s="4" t="n">
        <v>0.3025</v>
      </c>
      <c r="I3280" s="5" t="n">
        <v>171.9</v>
      </c>
      <c r="J3280" s="3" t="inlineStr">
        <is>
          <t>오송읍</t>
        </is>
      </c>
    </row>
    <row r="3281">
      <c r="A3281" s="3" t="n">
        <v>2023</v>
      </c>
      <c r="B3281" s="4" t="n">
        <v>20031</v>
      </c>
      <c r="C3281" s="4" t="n">
        <v>224</v>
      </c>
      <c r="D3281" s="3" t="inlineStr">
        <is>
          <t>오송읍</t>
        </is>
      </c>
      <c r="E3281" s="3" t="inlineStr">
        <is>
          <t>정중리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67.75999999999999</v>
      </c>
      <c r="I3281" s="5" t="n">
        <v>295.6</v>
      </c>
      <c r="J3281" s="3" t="inlineStr">
        <is>
          <t>오송읍</t>
        </is>
      </c>
    </row>
    <row r="3282">
      <c r="A3282" s="3" t="n">
        <v>2023</v>
      </c>
      <c r="B3282" s="4" t="n">
        <v>12410</v>
      </c>
      <c r="C3282" s="4" t="n">
        <v>136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생산관리지역</t>
        </is>
      </c>
      <c r="G3282" s="3" t="inlineStr">
        <is>
          <t>대</t>
        </is>
      </c>
      <c r="H3282" s="4" t="n">
        <v>41.14</v>
      </c>
      <c r="I3282" s="5" t="n">
        <v>301.7</v>
      </c>
      <c r="J3282" s="3" t="inlineStr">
        <is>
          <t>오송읍</t>
        </is>
      </c>
    </row>
    <row r="3283">
      <c r="A3283" s="3" t="n">
        <v>2024</v>
      </c>
      <c r="B3283" s="4" t="n">
        <v>32000</v>
      </c>
      <c r="C3283" s="4" t="n">
        <v>240.5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제1종일반주거지역</t>
        </is>
      </c>
      <c r="G3283" s="3" t="inlineStr">
        <is>
          <t>대</t>
        </is>
      </c>
      <c r="H3283" s="4" t="n">
        <v>72.75125</v>
      </c>
      <c r="I3283" s="5" t="n">
        <v>439.9</v>
      </c>
      <c r="J3283" s="3" t="inlineStr">
        <is>
          <t>오송읍</t>
        </is>
      </c>
    </row>
    <row r="3284">
      <c r="A3284" s="3" t="n">
        <v>2024</v>
      </c>
      <c r="B3284" s="4" t="n">
        <v>24254</v>
      </c>
      <c r="C3284" s="4" t="n">
        <v>422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127.655</v>
      </c>
      <c r="I3284" s="5" t="n">
        <v>190</v>
      </c>
      <c r="J3284" s="3" t="inlineStr">
        <is>
          <t>오송읍</t>
        </is>
      </c>
    </row>
    <row r="3285">
      <c r="A3285" s="3" t="n">
        <v>2024</v>
      </c>
      <c r="B3285" s="4" t="n">
        <v>4227</v>
      </c>
      <c r="C3285" s="4" t="n">
        <v>350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전</t>
        </is>
      </c>
      <c r="H3285" s="4" t="n">
        <v>105.875</v>
      </c>
      <c r="I3285" s="5" t="n">
        <v>39.9</v>
      </c>
      <c r="J3285" s="3" t="inlineStr">
        <is>
          <t>강내면</t>
        </is>
      </c>
    </row>
    <row r="3286">
      <c r="A3286" s="3" t="n">
        <v>2024</v>
      </c>
      <c r="B3286" s="4" t="n">
        <v>3333</v>
      </c>
      <c r="C3286" s="4" t="n">
        <v>276</v>
      </c>
      <c r="D3286" s="3" t="inlineStr">
        <is>
          <t>강내면</t>
        </is>
      </c>
      <c r="E3286" s="3" t="inlineStr">
        <is>
          <t>석화리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83.48999999999999</v>
      </c>
      <c r="I3286" s="5" t="n">
        <v>39.9</v>
      </c>
      <c r="J3286" s="3" t="inlineStr">
        <is>
          <t>강내면</t>
        </is>
      </c>
    </row>
    <row r="3287">
      <c r="A3287" s="3" t="n">
        <v>2024</v>
      </c>
      <c r="B3287" s="4" t="n">
        <v>10000</v>
      </c>
      <c r="C3287" s="4" t="n">
        <v>777</v>
      </c>
      <c r="D3287" s="3" t="inlineStr">
        <is>
          <t>강내면</t>
        </is>
      </c>
      <c r="E3287" s="3" t="inlineStr">
        <is>
          <t>월탄리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235.0425</v>
      </c>
      <c r="I3287" s="5" t="n">
        <v>42.5</v>
      </c>
      <c r="J3287" s="3" t="inlineStr">
        <is>
          <t>강내면</t>
        </is>
      </c>
    </row>
    <row r="3288">
      <c r="A3288" s="3" t="n">
        <v>2024</v>
      </c>
      <c r="B3288" s="4" t="n">
        <v>2000</v>
      </c>
      <c r="C3288" s="4" t="n">
        <v>45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농림지역</t>
        </is>
      </c>
      <c r="G3288" s="3" t="inlineStr">
        <is>
          <t>과수원</t>
        </is>
      </c>
      <c r="H3288" s="4" t="n">
        <v>13.6125</v>
      </c>
      <c r="I3288" s="5" t="n">
        <v>146.9</v>
      </c>
      <c r="J3288" s="3" t="inlineStr">
        <is>
          <t>오송읍</t>
        </is>
      </c>
    </row>
    <row r="3289">
      <c r="A3289" s="3" t="n">
        <v>2024</v>
      </c>
      <c r="B3289" s="4" t="n">
        <v>2700</v>
      </c>
      <c r="C3289" s="4" t="n">
        <v>297</v>
      </c>
      <c r="D3289" s="3" t="inlineStr">
        <is>
          <t>강내면</t>
        </is>
      </c>
      <c r="E3289" s="3" t="inlineStr">
        <is>
          <t>사곡리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89.8425</v>
      </c>
      <c r="I3289" s="5" t="n">
        <v>30.1</v>
      </c>
      <c r="J3289" s="3" t="inlineStr">
        <is>
          <t>강내면</t>
        </is>
      </c>
    </row>
    <row r="3290">
      <c r="A3290" s="3" t="n">
        <v>2024</v>
      </c>
      <c r="B3290" s="4" t="n">
        <v>20000</v>
      </c>
      <c r="C3290" s="4" t="n">
        <v>455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137.6375</v>
      </c>
      <c r="I3290" s="5" t="n">
        <v>145.3</v>
      </c>
      <c r="J3290" s="3" t="inlineStr">
        <is>
          <t>강내면</t>
        </is>
      </c>
    </row>
    <row r="3291">
      <c r="A3291" s="3" t="n">
        <v>2024</v>
      </c>
      <c r="B3291" s="4" t="n">
        <v>19000</v>
      </c>
      <c r="C3291" s="4" t="n">
        <v>575</v>
      </c>
      <c r="D3291" s="3" t="inlineStr">
        <is>
          <t>오송읍</t>
        </is>
      </c>
      <c r="E3291" s="3" t="inlineStr">
        <is>
          <t>쌍청리</t>
        </is>
      </c>
      <c r="F3291" s="3" t="inlineStr">
        <is>
          <t>계획관리지역</t>
        </is>
      </c>
      <c r="G3291" s="3" t="inlineStr">
        <is>
          <t>대</t>
        </is>
      </c>
      <c r="H3291" s="4" t="n">
        <v>173.9375</v>
      </c>
      <c r="I3291" s="5" t="n">
        <v>109.2</v>
      </c>
      <c r="J3291" s="3" t="inlineStr">
        <is>
          <t>오송읍</t>
        </is>
      </c>
    </row>
    <row r="3292">
      <c r="A3292" s="3" t="n">
        <v>2024</v>
      </c>
      <c r="B3292" s="4" t="n">
        <v>9000</v>
      </c>
      <c r="C3292" s="4" t="n">
        <v>460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임야</t>
        </is>
      </c>
      <c r="H3292" s="4" t="n">
        <v>139.15</v>
      </c>
      <c r="I3292" s="5" t="n">
        <v>64.7</v>
      </c>
      <c r="J3292" s="3" t="inlineStr">
        <is>
          <t>오송읍</t>
        </is>
      </c>
    </row>
    <row r="3293">
      <c r="A3293" s="3" t="n">
        <v>2024</v>
      </c>
      <c r="B3293" s="4" t="n">
        <v>2900</v>
      </c>
      <c r="C3293" s="4" t="n">
        <v>184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임야</t>
        </is>
      </c>
      <c r="H3293" s="4" t="n">
        <v>55.66</v>
      </c>
      <c r="I3293" s="5" t="n">
        <v>52.1</v>
      </c>
      <c r="J3293" s="3" t="inlineStr">
        <is>
          <t>오송읍</t>
        </is>
      </c>
    </row>
    <row r="3294">
      <c r="A3294" s="3" t="n">
        <v>2024</v>
      </c>
      <c r="B3294" s="4" t="n">
        <v>1000</v>
      </c>
      <c r="C3294" s="4" t="n">
        <v>70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21.175</v>
      </c>
      <c r="I3294" s="5" t="n">
        <v>47.2</v>
      </c>
      <c r="J3294" s="3" t="inlineStr">
        <is>
          <t>오송읍</t>
        </is>
      </c>
    </row>
    <row r="3295">
      <c r="A3295" s="3" t="n">
        <v>2024</v>
      </c>
      <c r="B3295" s="4" t="n">
        <v>16100</v>
      </c>
      <c r="C3295" s="4" t="n">
        <v>580</v>
      </c>
      <c r="D3295" s="3" t="inlineStr">
        <is>
          <t>강내면</t>
        </is>
      </c>
      <c r="E3295" s="3" t="inlineStr">
        <is>
          <t>태성리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175.45</v>
      </c>
      <c r="I3295" s="5" t="n">
        <v>91.8</v>
      </c>
      <c r="J3295" s="3" t="inlineStr">
        <is>
          <t>강내면</t>
        </is>
      </c>
    </row>
    <row r="3296">
      <c r="A3296" s="3" t="n">
        <v>2024</v>
      </c>
      <c r="B3296" s="4" t="n">
        <v>40000</v>
      </c>
      <c r="C3296" s="4" t="n">
        <v>2030</v>
      </c>
      <c r="D3296" s="3" t="inlineStr">
        <is>
          <t>오송읍</t>
        </is>
      </c>
      <c r="E3296" s="3" t="inlineStr">
        <is>
          <t>동평리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614.0749999999999</v>
      </c>
      <c r="I3296" s="5" t="n">
        <v>65.09999999999999</v>
      </c>
      <c r="J3296" s="3" t="inlineStr">
        <is>
          <t>오송읍</t>
        </is>
      </c>
    </row>
    <row r="3297">
      <c r="A3297" s="3" t="n">
        <v>2024</v>
      </c>
      <c r="B3297" s="4" t="n">
        <v>41000</v>
      </c>
      <c r="C3297" s="4" t="n">
        <v>2073</v>
      </c>
      <c r="D3297" s="3" t="inlineStr">
        <is>
          <t>오송읍</t>
        </is>
      </c>
      <c r="E3297" s="3" t="inlineStr">
        <is>
          <t>동평리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627.0825</v>
      </c>
      <c r="I3297" s="5" t="n">
        <v>65.40000000000001</v>
      </c>
      <c r="J3297" s="3" t="inlineStr">
        <is>
          <t>오송읍</t>
        </is>
      </c>
    </row>
    <row r="3298">
      <c r="A3298" s="3" t="n">
        <v>2024</v>
      </c>
      <c r="B3298" s="4" t="n">
        <v>2239</v>
      </c>
      <c r="C3298" s="4" t="n">
        <v>202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도로</t>
        </is>
      </c>
      <c r="H3298" s="4" t="n">
        <v>61.105</v>
      </c>
      <c r="I3298" s="5" t="n">
        <v>36.6</v>
      </c>
      <c r="J3298" s="3" t="inlineStr">
        <is>
          <t>강내면</t>
        </is>
      </c>
    </row>
    <row r="3299">
      <c r="A3299" s="3" t="n">
        <v>2024</v>
      </c>
      <c r="B3299" s="4" t="n">
        <v>11250</v>
      </c>
      <c r="C3299" s="4" t="n">
        <v>1015</v>
      </c>
      <c r="D3299" s="3" t="inlineStr">
        <is>
          <t>강내면</t>
        </is>
      </c>
      <c r="E3299" s="3" t="inlineStr">
        <is>
          <t>학천리</t>
        </is>
      </c>
      <c r="F3299" s="3" t="inlineStr">
        <is>
          <t>생산녹지지역</t>
        </is>
      </c>
      <c r="G3299" s="3" t="inlineStr">
        <is>
          <t>답</t>
        </is>
      </c>
      <c r="H3299" s="4" t="n">
        <v>307.0375</v>
      </c>
      <c r="I3299" s="5" t="n">
        <v>36.6</v>
      </c>
      <c r="J3299" s="3" t="inlineStr">
        <is>
          <t>강내면</t>
        </is>
      </c>
    </row>
    <row r="3300">
      <c r="A3300" s="3" t="n">
        <v>2024</v>
      </c>
      <c r="B3300" s="4" t="n">
        <v>7215</v>
      </c>
      <c r="C3300" s="4" t="n">
        <v>651</v>
      </c>
      <c r="D3300" s="3" t="inlineStr">
        <is>
          <t>강내면</t>
        </is>
      </c>
      <c r="E3300" s="3" t="inlineStr">
        <is>
          <t>학천리</t>
        </is>
      </c>
      <c r="F3300" s="3" t="inlineStr">
        <is>
          <t>생산녹지지역</t>
        </is>
      </c>
      <c r="G3300" s="3" t="inlineStr">
        <is>
          <t>전</t>
        </is>
      </c>
      <c r="H3300" s="4" t="n">
        <v>196.9275</v>
      </c>
      <c r="I3300" s="5" t="n">
        <v>36.6</v>
      </c>
      <c r="J3300" s="3" t="inlineStr">
        <is>
          <t>강내면</t>
        </is>
      </c>
    </row>
    <row r="3301">
      <c r="A3301" s="3" t="n">
        <v>2024</v>
      </c>
      <c r="B3301" s="4" t="n">
        <v>8407</v>
      </c>
      <c r="C3301" s="4" t="n">
        <v>800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242</v>
      </c>
      <c r="I3301" s="5" t="n">
        <v>34.7</v>
      </c>
      <c r="J3301" s="3" t="inlineStr">
        <is>
          <t>강내면</t>
        </is>
      </c>
    </row>
    <row r="3302">
      <c r="A3302" s="3" t="n">
        <v>2024</v>
      </c>
      <c r="B3302" s="4" t="n">
        <v>4067</v>
      </c>
      <c r="C3302" s="4" t="n">
        <v>387</v>
      </c>
      <c r="D3302" s="3" t="inlineStr">
        <is>
          <t>강내면</t>
        </is>
      </c>
      <c r="E3302" s="3" t="inlineStr">
        <is>
          <t>학천리</t>
        </is>
      </c>
      <c r="F3302" s="3" t="inlineStr">
        <is>
          <t>생산녹지지역</t>
        </is>
      </c>
      <c r="G3302" s="3" t="inlineStr">
        <is>
          <t>답</t>
        </is>
      </c>
      <c r="H3302" s="4" t="n">
        <v>117.0675</v>
      </c>
      <c r="I3302" s="5" t="n">
        <v>34.7</v>
      </c>
      <c r="J3302" s="3" t="inlineStr">
        <is>
          <t>강내면</t>
        </is>
      </c>
    </row>
    <row r="3303">
      <c r="A3303" s="3" t="n">
        <v>2024</v>
      </c>
      <c r="B3303" s="4" t="n">
        <v>725</v>
      </c>
      <c r="C3303" s="4" t="n">
        <v>69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20.8725</v>
      </c>
      <c r="I3303" s="5" t="n">
        <v>34.7</v>
      </c>
      <c r="J3303" s="3" t="inlineStr">
        <is>
          <t>강내면</t>
        </is>
      </c>
    </row>
    <row r="3304">
      <c r="A3304" s="3" t="n">
        <v>2024</v>
      </c>
      <c r="B3304" s="4" t="n">
        <v>5938</v>
      </c>
      <c r="C3304" s="4" t="n">
        <v>565</v>
      </c>
      <c r="D3304" s="3" t="inlineStr">
        <is>
          <t>강내면</t>
        </is>
      </c>
      <c r="E3304" s="3" t="inlineStr">
        <is>
          <t>학천리</t>
        </is>
      </c>
      <c r="F3304" s="3" t="inlineStr">
        <is>
          <t>생산녹지지역</t>
        </is>
      </c>
      <c r="G3304" s="3" t="inlineStr">
        <is>
          <t>전</t>
        </is>
      </c>
      <c r="H3304" s="4" t="n">
        <v>170.9125</v>
      </c>
      <c r="I3304" s="5" t="n">
        <v>34.7</v>
      </c>
      <c r="J3304" s="3" t="inlineStr">
        <is>
          <t>강내면</t>
        </is>
      </c>
    </row>
    <row r="3305">
      <c r="A3305" s="3" t="n">
        <v>2024</v>
      </c>
      <c r="B3305" s="4" t="n">
        <v>15827</v>
      </c>
      <c r="C3305" s="4" t="n">
        <v>436</v>
      </c>
      <c r="D3305" s="3" t="inlineStr">
        <is>
          <t>강내면</t>
        </is>
      </c>
      <c r="E3305" s="3" t="inlineStr">
        <is>
          <t>다락리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131.89</v>
      </c>
      <c r="I3305" s="5" t="n">
        <v>120</v>
      </c>
      <c r="J3305" s="3" t="inlineStr">
        <is>
          <t>강내면</t>
        </is>
      </c>
    </row>
    <row r="3306">
      <c r="A3306" s="3" t="n">
        <v>2024</v>
      </c>
      <c r="B3306" s="4" t="n">
        <v>62400</v>
      </c>
      <c r="C3306" s="4" t="n">
        <v>1653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500.0325</v>
      </c>
      <c r="I3306" s="5" t="n">
        <v>124.8</v>
      </c>
      <c r="J3306" s="3" t="inlineStr">
        <is>
          <t>강내면</t>
        </is>
      </c>
    </row>
    <row r="3307">
      <c r="A3307" s="3" t="n">
        <v>2024</v>
      </c>
      <c r="B3307" s="4" t="n">
        <v>13000</v>
      </c>
      <c r="C3307" s="4" t="n">
        <v>783</v>
      </c>
      <c r="D3307" s="3" t="inlineStr">
        <is>
          <t>오송읍</t>
        </is>
      </c>
      <c r="E3307" s="3" t="inlineStr">
        <is>
          <t>정중리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236.8575</v>
      </c>
      <c r="I3307" s="5" t="n">
        <v>54.9</v>
      </c>
      <c r="J3307" s="3" t="inlineStr">
        <is>
          <t>오송읍</t>
        </is>
      </c>
    </row>
    <row r="3308">
      <c r="A3308" s="3" t="n">
        <v>2024</v>
      </c>
      <c r="B3308" s="4" t="n">
        <v>20000</v>
      </c>
      <c r="C3308" s="4" t="n">
        <v>2688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답</t>
        </is>
      </c>
      <c r="H3308" s="4" t="n">
        <v>813.12</v>
      </c>
      <c r="I3308" s="5" t="n">
        <v>24.6</v>
      </c>
      <c r="J3308" s="3" t="inlineStr">
        <is>
          <t>강내면</t>
        </is>
      </c>
    </row>
    <row r="3309">
      <c r="A3309" s="3" t="n">
        <v>2024</v>
      </c>
      <c r="B3309" s="4" t="n">
        <v>1400</v>
      </c>
      <c r="C3309" s="4" t="n">
        <v>21</v>
      </c>
      <c r="D3309" s="3" t="inlineStr">
        <is>
          <t>오송읍</t>
        </is>
      </c>
      <c r="E3309" s="3" t="inlineStr">
        <is>
          <t>궁평리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6.3525</v>
      </c>
      <c r="I3309" s="5" t="n">
        <v>220.4</v>
      </c>
      <c r="J3309" s="3" t="inlineStr">
        <is>
          <t>오송읍</t>
        </is>
      </c>
    </row>
    <row r="3310">
      <c r="A3310" s="3" t="n">
        <v>2024</v>
      </c>
      <c r="B3310" s="4" t="n">
        <v>40000</v>
      </c>
      <c r="C3310" s="4" t="n">
        <v>1483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448.6075</v>
      </c>
      <c r="I3310" s="5" t="n">
        <v>89.2</v>
      </c>
      <c r="J3310" s="3" t="inlineStr">
        <is>
          <t>오송읍</t>
        </is>
      </c>
    </row>
    <row r="3311">
      <c r="A3311" s="3" t="n">
        <v>2024</v>
      </c>
      <c r="B3311" s="4" t="n">
        <v>1700</v>
      </c>
      <c r="C3311" s="4" t="n">
        <v>58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17.545</v>
      </c>
      <c r="I3311" s="5" t="n">
        <v>96.90000000000001</v>
      </c>
      <c r="J3311" s="3" t="inlineStr">
        <is>
          <t>오송읍</t>
        </is>
      </c>
    </row>
    <row r="3312">
      <c r="A3312" s="3" t="n">
        <v>2024</v>
      </c>
      <c r="B3312" s="4" t="n">
        <v>1300</v>
      </c>
      <c r="C3312" s="4" t="n">
        <v>20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도로</t>
        </is>
      </c>
      <c r="H3312" s="4" t="n">
        <v>6.05</v>
      </c>
      <c r="I3312" s="5" t="n">
        <v>214.9</v>
      </c>
      <c r="J3312" s="3" t="inlineStr">
        <is>
          <t>오송읍</t>
        </is>
      </c>
    </row>
    <row r="3313">
      <c r="A3313" s="3" t="n">
        <v>2024</v>
      </c>
      <c r="B3313" s="4" t="n">
        <v>12851</v>
      </c>
      <c r="C3313" s="4" t="n">
        <v>431</v>
      </c>
      <c r="D3313" s="3" t="inlineStr">
        <is>
          <t>강내면</t>
        </is>
      </c>
      <c r="E3313" s="3" t="inlineStr">
        <is>
          <t>저산리</t>
        </is>
      </c>
      <c r="F3313" s="3" t="inlineStr">
        <is>
          <t>계획관리지역</t>
        </is>
      </c>
      <c r="G3313" s="3" t="inlineStr">
        <is>
          <t>답</t>
        </is>
      </c>
      <c r="H3313" s="4" t="n">
        <v>130.3775</v>
      </c>
      <c r="I3313" s="5" t="n">
        <v>98.59999999999999</v>
      </c>
      <c r="J3313" s="3" t="inlineStr">
        <is>
          <t>강내면</t>
        </is>
      </c>
    </row>
    <row r="3314">
      <c r="A3314" s="3" t="n">
        <v>2025</v>
      </c>
      <c r="B3314" s="4" t="n">
        <v>34040</v>
      </c>
      <c r="C3314" s="4" t="n">
        <v>1830</v>
      </c>
      <c r="D3314" s="3" t="inlineStr">
        <is>
          <t>오송읍</t>
        </is>
      </c>
      <c r="E3314" s="3" t="inlineStr">
        <is>
          <t>공북리</t>
        </is>
      </c>
      <c r="F3314" s="3" t="inlineStr">
        <is>
          <t>농림지역</t>
        </is>
      </c>
      <c r="G3314" s="3" t="inlineStr">
        <is>
          <t>전</t>
        </is>
      </c>
      <c r="H3314" s="4" t="n">
        <v>553.5749999999999</v>
      </c>
      <c r="I3314" s="5" t="n">
        <v>61.5</v>
      </c>
      <c r="J3314" s="3" t="inlineStr">
        <is>
          <t>오송읍</t>
        </is>
      </c>
    </row>
    <row r="3315">
      <c r="A3315" s="3" t="n">
        <v>2025</v>
      </c>
      <c r="B3315" s="4" t="n">
        <v>3103</v>
      </c>
      <c r="C3315" s="4" t="n">
        <v>180</v>
      </c>
      <c r="D3315" s="3" t="inlineStr">
        <is>
          <t>오송읍</t>
        </is>
      </c>
      <c r="E3315" s="3" t="inlineStr">
        <is>
          <t>공북리</t>
        </is>
      </c>
      <c r="F3315" s="3" t="inlineStr">
        <is>
          <t>농림지역</t>
        </is>
      </c>
      <c r="G3315" s="3" t="inlineStr">
        <is>
          <t>임야</t>
        </is>
      </c>
      <c r="H3315" s="4" t="n">
        <v>54.45</v>
      </c>
      <c r="I3315" s="5" t="n">
        <v>57</v>
      </c>
      <c r="J3315" s="3" t="inlineStr">
        <is>
          <t>오송읍</t>
        </is>
      </c>
    </row>
    <row r="3316">
      <c r="A3316" s="3" t="n">
        <v>2025</v>
      </c>
      <c r="B3316" s="4" t="n">
        <v>12277</v>
      </c>
      <c r="C3316" s="4" t="n">
        <v>660</v>
      </c>
      <c r="D3316" s="3" t="inlineStr">
        <is>
          <t>오송읍</t>
        </is>
      </c>
      <c r="E3316" s="3" t="inlineStr">
        <is>
          <t>공북리</t>
        </is>
      </c>
      <c r="F3316" s="3" t="inlineStr">
        <is>
          <t>농림지역</t>
        </is>
      </c>
      <c r="G3316" s="3" t="inlineStr">
        <is>
          <t>전</t>
        </is>
      </c>
      <c r="H3316" s="4" t="n">
        <v>199.65</v>
      </c>
      <c r="I3316" s="5" t="n">
        <v>61.5</v>
      </c>
      <c r="J3316" s="3" t="inlineStr">
        <is>
          <t>오송읍</t>
        </is>
      </c>
    </row>
    <row r="3317">
      <c r="A3317" s="3" t="n">
        <v>2025</v>
      </c>
      <c r="B3317" s="4" t="n">
        <v>7496</v>
      </c>
      <c r="C3317" s="4" t="n">
        <v>403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농림지역</t>
        </is>
      </c>
      <c r="G3317" s="3" t="inlineStr">
        <is>
          <t>전</t>
        </is>
      </c>
      <c r="H3317" s="4" t="n">
        <v>121.9075</v>
      </c>
      <c r="I3317" s="5" t="n">
        <v>61.5</v>
      </c>
      <c r="J3317" s="3" t="inlineStr">
        <is>
          <t>오송읍</t>
        </is>
      </c>
    </row>
    <row r="3318">
      <c r="A3318" s="3" t="n">
        <v>2025</v>
      </c>
      <c r="B3318" s="4" t="n">
        <v>50000</v>
      </c>
      <c r="C3318" s="4" t="n">
        <v>308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93.17</v>
      </c>
      <c r="I3318" s="5" t="n">
        <v>536.7</v>
      </c>
      <c r="J3318" s="3" t="inlineStr">
        <is>
          <t>오송읍</t>
        </is>
      </c>
    </row>
    <row r="3319">
      <c r="A3319" s="3" t="n">
        <v>2025</v>
      </c>
      <c r="B3319" s="4" t="n">
        <v>18000</v>
      </c>
      <c r="C3319" s="4" t="n">
        <v>1983</v>
      </c>
      <c r="D3319" s="3" t="inlineStr">
        <is>
          <t>강내면</t>
        </is>
      </c>
      <c r="E3319" s="3" t="inlineStr">
        <is>
          <t>학천리</t>
        </is>
      </c>
      <c r="F3319" s="3" t="inlineStr">
        <is>
          <t>보전녹지지역</t>
        </is>
      </c>
      <c r="G3319" s="3" t="inlineStr">
        <is>
          <t>임야</t>
        </is>
      </c>
      <c r="H3319" s="4" t="n">
        <v>599.8575</v>
      </c>
      <c r="I3319" s="5" t="n">
        <v>30</v>
      </c>
      <c r="J3319" s="3" t="inlineStr">
        <is>
          <t>강내면</t>
        </is>
      </c>
    </row>
    <row r="3320">
      <c r="A3320" s="3" t="n">
        <v>2025</v>
      </c>
      <c r="B3320" s="4" t="n">
        <v>24553</v>
      </c>
      <c r="C3320" s="4" t="n">
        <v>1320</v>
      </c>
      <c r="D3320" s="3" t="inlineStr">
        <is>
          <t>오송읍</t>
        </is>
      </c>
      <c r="E3320" s="3" t="inlineStr">
        <is>
          <t>공북리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399.3</v>
      </c>
      <c r="I3320" s="5" t="n">
        <v>61.5</v>
      </c>
      <c r="J3320" s="3" t="inlineStr">
        <is>
          <t>오송읍</t>
        </is>
      </c>
    </row>
    <row r="3321">
      <c r="A3321" s="3" t="n">
        <v>2025</v>
      </c>
      <c r="B3321" s="4" t="n">
        <v>31000</v>
      </c>
      <c r="C3321" s="4" t="n">
        <v>266.8</v>
      </c>
      <c r="D3321" s="3" t="inlineStr">
        <is>
          <t>오송읍</t>
        </is>
      </c>
      <c r="E3321" s="3" t="inlineStr">
        <is>
          <t>봉산리</t>
        </is>
      </c>
      <c r="F3321" s="3" t="inlineStr">
        <is>
          <t>제1종일반주거지역</t>
        </is>
      </c>
      <c r="G3321" s="3" t="inlineStr">
        <is>
          <t>대</t>
        </is>
      </c>
      <c r="H3321" s="4" t="n">
        <v>80.70700000000001</v>
      </c>
      <c r="I3321" s="5" t="n">
        <v>384.1</v>
      </c>
      <c r="J3321" s="3" t="inlineStr">
        <is>
          <t>오송읍</t>
        </is>
      </c>
    </row>
    <row r="3322">
      <c r="A3322" s="3" t="n">
        <v>2025</v>
      </c>
      <c r="B3322" s="4" t="n">
        <v>848</v>
      </c>
      <c r="C3322" s="4" t="n">
        <v>44</v>
      </c>
      <c r="D3322" s="3" t="inlineStr">
        <is>
          <t>강내면</t>
        </is>
      </c>
      <c r="E3322" s="3" t="inlineStr">
        <is>
          <t>황탄리</t>
        </is>
      </c>
      <c r="F3322" s="3" t="inlineStr">
        <is>
          <t>보전관리지역</t>
        </is>
      </c>
      <c r="G3322" s="3" t="inlineStr">
        <is>
          <t>임야</t>
        </is>
      </c>
      <c r="H3322" s="4" t="n">
        <v>13.31</v>
      </c>
      <c r="I3322" s="5" t="n">
        <v>63.7</v>
      </c>
      <c r="J3322" s="3" t="inlineStr">
        <is>
          <t>강내면</t>
        </is>
      </c>
    </row>
    <row r="3323">
      <c r="A3323" s="3" t="n">
        <v>2025</v>
      </c>
      <c r="B3323" s="4" t="n">
        <v>7918</v>
      </c>
      <c r="C3323" s="4" t="n">
        <v>3272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보전관리지역</t>
        </is>
      </c>
      <c r="G3323" s="3" t="inlineStr">
        <is>
          <t>임야</t>
        </is>
      </c>
      <c r="H3323" s="4" t="n">
        <v>989.78</v>
      </c>
      <c r="I3323" s="5" t="n">
        <v>8</v>
      </c>
      <c r="J3323" s="3" t="inlineStr">
        <is>
          <t>강내면</t>
        </is>
      </c>
    </row>
    <row r="3324">
      <c r="A3324" s="3" t="n">
        <v>2025</v>
      </c>
      <c r="B3324" s="4" t="n">
        <v>10767</v>
      </c>
      <c r="C3324" s="4" t="n">
        <v>4449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1345.8225</v>
      </c>
      <c r="I3324" s="5" t="n">
        <v>8</v>
      </c>
      <c r="J3324" s="3" t="inlineStr">
        <is>
          <t>강내면</t>
        </is>
      </c>
    </row>
    <row r="3325">
      <c r="A3325" s="3" t="n">
        <v>2025</v>
      </c>
      <c r="B3325" s="4" t="n">
        <v>4590</v>
      </c>
      <c r="C3325" s="4" t="n">
        <v>56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16.94</v>
      </c>
      <c r="I3325" s="5" t="n">
        <v>271</v>
      </c>
      <c r="J3325" s="3" t="inlineStr">
        <is>
          <t>오송읍</t>
        </is>
      </c>
    </row>
    <row r="3326">
      <c r="A3326" s="3" t="n">
        <v>2025</v>
      </c>
      <c r="B3326" s="4" t="n">
        <v>19000</v>
      </c>
      <c r="C3326" s="4" t="n">
        <v>577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보전관리지역</t>
        </is>
      </c>
      <c r="G3326" s="3" t="inlineStr">
        <is>
          <t>창고용지</t>
        </is>
      </c>
      <c r="H3326" s="4" t="n">
        <v>174.5425</v>
      </c>
      <c r="I3326" s="5" t="n">
        <v>108.9</v>
      </c>
      <c r="J3326" s="3" t="inlineStr">
        <is>
          <t>오송읍</t>
        </is>
      </c>
    </row>
    <row r="3327">
      <c r="A3327" s="3" t="n">
        <v>2025</v>
      </c>
      <c r="B3327" s="4" t="n">
        <v>33000</v>
      </c>
      <c r="C3327" s="4" t="n">
        <v>3423</v>
      </c>
      <c r="D3327" s="3" t="inlineStr">
        <is>
          <t>강내면</t>
        </is>
      </c>
      <c r="E3327" s="3" t="inlineStr">
        <is>
          <t>저산리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1035.4575</v>
      </c>
      <c r="I3327" s="5" t="n">
        <v>31.9</v>
      </c>
      <c r="J3327" s="3" t="inlineStr">
        <is>
          <t>강내면</t>
        </is>
      </c>
    </row>
    <row r="3328">
      <c r="A3328" s="3" t="n">
        <v>2025</v>
      </c>
      <c r="B3328" s="4" t="n">
        <v>26000</v>
      </c>
      <c r="C3328" s="4" t="n">
        <v>269.3</v>
      </c>
      <c r="D3328" s="3" t="inlineStr">
        <is>
          <t>오송읍</t>
        </is>
      </c>
      <c r="E3328" s="3" t="inlineStr">
        <is>
          <t>봉산리</t>
        </is>
      </c>
      <c r="F3328" s="3" t="inlineStr">
        <is>
          <t>제1종일반주거지역</t>
        </is>
      </c>
      <c r="G3328" s="3" t="inlineStr">
        <is>
          <t>대</t>
        </is>
      </c>
      <c r="H3328" s="4" t="n">
        <v>81.46325</v>
      </c>
      <c r="I3328" s="5" t="n">
        <v>319.2</v>
      </c>
      <c r="J3328" s="3" t="inlineStr">
        <is>
          <t>오송읍</t>
        </is>
      </c>
    </row>
    <row r="3329">
      <c r="A3329" s="3" t="n">
        <v>2025</v>
      </c>
      <c r="B3329" s="4" t="n">
        <v>19500</v>
      </c>
      <c r="C3329" s="4" t="n">
        <v>1899</v>
      </c>
      <c r="D3329" s="3" t="inlineStr">
        <is>
          <t>강내면</t>
        </is>
      </c>
      <c r="E3329" s="3" t="inlineStr">
        <is>
          <t>저산리</t>
        </is>
      </c>
      <c r="F3329" s="3" t="inlineStr">
        <is>
          <t>보전관리지역</t>
        </is>
      </c>
      <c r="G3329" s="3" t="inlineStr">
        <is>
          <t>임야</t>
        </is>
      </c>
      <c r="H3329" s="4" t="n">
        <v>574.4475</v>
      </c>
      <c r="I3329" s="5" t="n">
        <v>33.9</v>
      </c>
      <c r="J3329" s="3" t="inlineStr">
        <is>
          <t>강내면</t>
        </is>
      </c>
    </row>
    <row r="3330">
      <c r="A3330" s="3" t="n">
        <v>2025</v>
      </c>
      <c r="B3330" s="4" t="n">
        <v>26318</v>
      </c>
      <c r="C3330" s="4" t="n">
        <v>2563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775.3075</v>
      </c>
      <c r="I3330" s="5" t="n">
        <v>33.9</v>
      </c>
      <c r="J3330" s="3" t="inlineStr">
        <is>
          <t>강내면</t>
        </is>
      </c>
    </row>
    <row r="3331">
      <c r="A3331" s="3" t="n">
        <v>2025</v>
      </c>
      <c r="B3331" s="4" t="n">
        <v>2080</v>
      </c>
      <c r="C3331" s="4" t="n">
        <v>398</v>
      </c>
      <c r="D3331" s="3" t="inlineStr">
        <is>
          <t>강내면</t>
        </is>
      </c>
      <c r="E3331" s="3" t="inlineStr">
        <is>
          <t>저산리</t>
        </is>
      </c>
      <c r="F3331" s="3" t="inlineStr">
        <is>
          <t>보전관리지역</t>
        </is>
      </c>
      <c r="G3331" s="3" t="inlineStr">
        <is>
          <t>전</t>
        </is>
      </c>
      <c r="H3331" s="4" t="n">
        <v>120.395</v>
      </c>
      <c r="I3331" s="5" t="n">
        <v>17.3</v>
      </c>
      <c r="J3331" s="3" t="inlineStr">
        <is>
          <t>강내면</t>
        </is>
      </c>
    </row>
    <row r="3332">
      <c r="A3332" s="3" t="n">
        <v>2025</v>
      </c>
      <c r="B3332" s="4" t="n">
        <v>33000</v>
      </c>
      <c r="C3332" s="4" t="n">
        <v>287.2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86.878</v>
      </c>
      <c r="I3332" s="5" t="n">
        <v>379.8</v>
      </c>
      <c r="J3332" s="3" t="inlineStr">
        <is>
          <t>오송읍</t>
        </is>
      </c>
    </row>
    <row r="3333">
      <c r="A3333" s="3" t="n">
        <v>2022</v>
      </c>
      <c r="B3333" s="4" t="n">
        <v>6600</v>
      </c>
      <c r="C3333" s="4" t="n">
        <v>628</v>
      </c>
      <c r="D3333" s="3" t="inlineStr">
        <is>
          <t>강내면</t>
        </is>
      </c>
      <c r="E3333" s="3" t="inlineStr">
        <is>
          <t>탑연리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189.97</v>
      </c>
      <c r="I3333" s="5" t="n">
        <v>34.7</v>
      </c>
      <c r="J3333" s="3" t="inlineStr">
        <is>
          <t>강내면</t>
        </is>
      </c>
    </row>
    <row r="3334">
      <c r="A3334" s="3" t="n">
        <v>2024</v>
      </c>
      <c r="B3334" s="4" t="n">
        <v>1500</v>
      </c>
      <c r="C3334" s="4" t="n">
        <v>50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15.125</v>
      </c>
      <c r="I3334" s="5" t="n">
        <v>99.2</v>
      </c>
      <c r="J3334" s="3" t="inlineStr">
        <is>
          <t>강내면</t>
        </is>
      </c>
    </row>
    <row r="3335">
      <c r="A3335" s="3" t="n">
        <v>2026</v>
      </c>
      <c r="B3335" s="4" t="n">
        <v>43000</v>
      </c>
      <c r="C3335" s="4" t="n">
        <v>505</v>
      </c>
      <c r="D3335" s="3" t="inlineStr">
        <is>
          <t>강내면</t>
        </is>
      </c>
      <c r="E3335" s="3" t="inlineStr">
        <is>
          <t>탑연리</t>
        </is>
      </c>
      <c r="F3335" s="3" t="inlineStr">
        <is>
          <t>제2종일반주거지역</t>
        </is>
      </c>
      <c r="G3335" s="3" t="inlineStr">
        <is>
          <t>전</t>
        </is>
      </c>
      <c r="H3335" s="4" t="n">
        <v>152.7625</v>
      </c>
      <c r="I3335" s="5" t="n">
        <v>281.5</v>
      </c>
      <c r="J3335" s="3" t="inlineStr">
        <is>
          <t>강내면</t>
        </is>
      </c>
    </row>
    <row r="3336">
      <c r="A3336" s="3" t="n">
        <v>2022</v>
      </c>
      <c r="B3336" s="4" t="n">
        <v>15000</v>
      </c>
      <c r="C3336" s="4" t="n">
        <v>4959</v>
      </c>
      <c r="D3336" s="3" t="inlineStr">
        <is>
          <t>강내면</t>
        </is>
      </c>
      <c r="E3336" s="3" t="inlineStr">
        <is>
          <t>궁현리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1500.0975</v>
      </c>
      <c r="I3336" s="5" t="n">
        <v>10</v>
      </c>
      <c r="J3336" s="3" t="inlineStr">
        <is>
          <t>강내면</t>
        </is>
      </c>
    </row>
    <row r="3337">
      <c r="A3337" s="3" t="n">
        <v>2022</v>
      </c>
      <c r="B3337" s="4" t="n">
        <v>167470</v>
      </c>
      <c r="C3337" s="4" t="n">
        <v>5157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계획관리지역</t>
        </is>
      </c>
      <c r="G3337" s="3" t="inlineStr">
        <is>
          <t>임야</t>
        </is>
      </c>
      <c r="H3337" s="4" t="n">
        <v>1559.9925</v>
      </c>
      <c r="I3337" s="5" t="n">
        <v>107.4</v>
      </c>
      <c r="J3337" s="3" t="inlineStr">
        <is>
          <t>오송읍</t>
        </is>
      </c>
    </row>
    <row r="3338">
      <c r="A3338" s="3" t="n">
        <v>2022</v>
      </c>
      <c r="B3338" s="4" t="n">
        <v>19320</v>
      </c>
      <c r="C3338" s="4" t="n">
        <v>595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계획관리지역</t>
        </is>
      </c>
      <c r="G3338" s="3" t="inlineStr">
        <is>
          <t>임야</t>
        </is>
      </c>
      <c r="H3338" s="4" t="n">
        <v>179.9875</v>
      </c>
      <c r="I3338" s="5" t="n">
        <v>107.3</v>
      </c>
      <c r="J3338" s="3" t="inlineStr">
        <is>
          <t>오송읍</t>
        </is>
      </c>
    </row>
    <row r="3339">
      <c r="A3339" s="3" t="n">
        <v>2022</v>
      </c>
      <c r="B3339" s="4" t="n">
        <v>3210</v>
      </c>
      <c r="C3339" s="4" t="n">
        <v>99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임야</t>
        </is>
      </c>
      <c r="H3339" s="4" t="n">
        <v>29.9475</v>
      </c>
      <c r="I3339" s="5" t="n">
        <v>107.2</v>
      </c>
      <c r="J3339" s="3" t="inlineStr">
        <is>
          <t>오송읍</t>
        </is>
      </c>
    </row>
    <row r="3340">
      <c r="A3340" s="3" t="n">
        <v>2022</v>
      </c>
      <c r="B3340" s="4" t="n">
        <v>83000</v>
      </c>
      <c r="C3340" s="4" t="n">
        <v>3967</v>
      </c>
      <c r="D3340" s="3" t="inlineStr">
        <is>
          <t>오송읍</t>
        </is>
      </c>
      <c r="E3340" s="3" t="inlineStr">
        <is>
          <t>궁평리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1200.0175</v>
      </c>
      <c r="I3340" s="5" t="n">
        <v>69.2</v>
      </c>
      <c r="J3340" s="3" t="inlineStr">
        <is>
          <t>오송읍</t>
        </is>
      </c>
    </row>
    <row r="3341">
      <c r="A3341" s="3" t="n">
        <v>2022</v>
      </c>
      <c r="B3341" s="4" t="n">
        <v>9000</v>
      </c>
      <c r="C3341" s="4" t="n">
        <v>615</v>
      </c>
      <c r="D3341" s="3" t="inlineStr">
        <is>
          <t>강내면</t>
        </is>
      </c>
      <c r="E3341" s="3" t="inlineStr">
        <is>
          <t>태성리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186.0375</v>
      </c>
      <c r="I3341" s="5" t="n">
        <v>48.4</v>
      </c>
      <c r="J3341" s="3" t="inlineStr">
        <is>
          <t>강내면</t>
        </is>
      </c>
    </row>
    <row r="3342">
      <c r="A3342" s="3" t="n">
        <v>2022</v>
      </c>
      <c r="B3342" s="4" t="n">
        <v>10000</v>
      </c>
      <c r="C3342" s="4" t="n">
        <v>1603</v>
      </c>
      <c r="D3342" s="3" t="inlineStr">
        <is>
          <t>강내면</t>
        </is>
      </c>
      <c r="E3342" s="3" t="inlineStr">
        <is>
          <t>사곡리</t>
        </is>
      </c>
      <c r="F3342" s="3" t="inlineStr">
        <is>
          <t>생산관리지역</t>
        </is>
      </c>
      <c r="G3342" s="3" t="inlineStr">
        <is>
          <t>전</t>
        </is>
      </c>
      <c r="H3342" s="4" t="n">
        <v>484.9075</v>
      </c>
      <c r="I3342" s="5" t="n">
        <v>20.6</v>
      </c>
      <c r="J3342" s="3" t="inlineStr">
        <is>
          <t>강내면</t>
        </is>
      </c>
    </row>
    <row r="3343">
      <c r="A3343" s="3" t="n">
        <v>2022</v>
      </c>
      <c r="B3343" s="4" t="n">
        <v>23500</v>
      </c>
      <c r="C3343" s="4" t="n">
        <v>2366</v>
      </c>
      <c r="D3343" s="3" t="inlineStr">
        <is>
          <t>강내면</t>
        </is>
      </c>
      <c r="E3343" s="3" t="inlineStr">
        <is>
          <t>궁현리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715.715</v>
      </c>
      <c r="I3343" s="5" t="n">
        <v>32.8</v>
      </c>
      <c r="J3343" s="3" t="inlineStr">
        <is>
          <t>강내면</t>
        </is>
      </c>
    </row>
    <row r="3344">
      <c r="A3344" s="3" t="n">
        <v>2022</v>
      </c>
      <c r="B3344" s="4" t="n">
        <v>32000</v>
      </c>
      <c r="C3344" s="4" t="n">
        <v>270.1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81.70525000000001</v>
      </c>
      <c r="I3344" s="5" t="n">
        <v>391.7</v>
      </c>
      <c r="J3344" s="3" t="inlineStr">
        <is>
          <t>오송읍</t>
        </is>
      </c>
    </row>
    <row r="3345">
      <c r="A3345" s="3" t="n">
        <v>2022</v>
      </c>
      <c r="B3345" s="4" t="n">
        <v>51400</v>
      </c>
      <c r="C3345" s="4" t="n">
        <v>1566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473.715</v>
      </c>
      <c r="I3345" s="5" t="n">
        <v>108.5</v>
      </c>
      <c r="J3345" s="3" t="inlineStr">
        <is>
          <t>오송읍</t>
        </is>
      </c>
    </row>
    <row r="3346">
      <c r="A3346" s="3" t="n">
        <v>2022</v>
      </c>
      <c r="B3346" s="4" t="n">
        <v>41500</v>
      </c>
      <c r="C3346" s="4" t="n">
        <v>394</v>
      </c>
      <c r="D3346" s="3" t="inlineStr">
        <is>
          <t>강내면</t>
        </is>
      </c>
      <c r="E3346" s="3" t="inlineStr">
        <is>
          <t>탑연리</t>
        </is>
      </c>
      <c r="F3346" s="3" t="inlineStr">
        <is>
          <t>제2종일반주거지역</t>
        </is>
      </c>
      <c r="G3346" s="3" t="inlineStr">
        <is>
          <t>답</t>
        </is>
      </c>
      <c r="H3346" s="4" t="n">
        <v>119.185</v>
      </c>
      <c r="I3346" s="5" t="n">
        <v>348.2</v>
      </c>
      <c r="J3346" s="3" t="inlineStr">
        <is>
          <t>강내면</t>
        </is>
      </c>
    </row>
    <row r="3347">
      <c r="A3347" s="3" t="n">
        <v>2022</v>
      </c>
      <c r="B3347" s="4" t="n">
        <v>1640</v>
      </c>
      <c r="C3347" s="4" t="n">
        <v>81</v>
      </c>
      <c r="D3347" s="3" t="inlineStr">
        <is>
          <t>오송읍</t>
        </is>
      </c>
      <c r="E3347" s="3" t="inlineStr">
        <is>
          <t>공북리</t>
        </is>
      </c>
      <c r="F3347" s="3" t="inlineStr">
        <is>
          <t>계획관리지역</t>
        </is>
      </c>
      <c r="G3347" s="3" t="inlineStr">
        <is>
          <t>잡종지</t>
        </is>
      </c>
      <c r="H3347" s="4" t="n">
        <v>24.5025</v>
      </c>
      <c r="I3347" s="5" t="n">
        <v>66.90000000000001</v>
      </c>
      <c r="J3347" s="3" t="inlineStr">
        <is>
          <t>오송읍</t>
        </is>
      </c>
    </row>
    <row r="3348">
      <c r="A3348" s="3" t="n">
        <v>2022</v>
      </c>
      <c r="B3348" s="4" t="n">
        <v>35000</v>
      </c>
      <c r="C3348" s="4" t="n">
        <v>271.1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82.00775</v>
      </c>
      <c r="I3348" s="5" t="n">
        <v>426.8</v>
      </c>
      <c r="J3348" s="3" t="inlineStr">
        <is>
          <t>오송읍</t>
        </is>
      </c>
    </row>
    <row r="3349">
      <c r="A3349" s="3" t="n">
        <v>2022</v>
      </c>
      <c r="B3349" s="4" t="n">
        <v>669</v>
      </c>
      <c r="C3349" s="4" t="n">
        <v>38</v>
      </c>
      <c r="D3349" s="3" t="inlineStr">
        <is>
          <t>오송읍</t>
        </is>
      </c>
      <c r="E3349" s="3" t="inlineStr">
        <is>
          <t>연제리</t>
        </is>
      </c>
      <c r="F3349" s="3" t="inlineStr">
        <is>
          <t>계획관리지역</t>
        </is>
      </c>
      <c r="G3349" s="3" t="inlineStr">
        <is>
          <t>과수원</t>
        </is>
      </c>
      <c r="H3349" s="4" t="n">
        <v>11.495</v>
      </c>
      <c r="I3349" s="5" t="n">
        <v>58.2</v>
      </c>
      <c r="J3349" s="3" t="inlineStr">
        <is>
          <t>오송읍</t>
        </is>
      </c>
    </row>
    <row r="3350">
      <c r="A3350" s="3" t="n">
        <v>2022</v>
      </c>
      <c r="B3350" s="4" t="n">
        <v>1500</v>
      </c>
      <c r="C3350" s="4" t="n">
        <v>15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4.5375</v>
      </c>
      <c r="I3350" s="5" t="n">
        <v>330.6</v>
      </c>
      <c r="J3350" s="3" t="inlineStr">
        <is>
          <t>오송읍</t>
        </is>
      </c>
    </row>
    <row r="3351">
      <c r="A3351" s="3" t="n">
        <v>2022</v>
      </c>
      <c r="B3351" s="4" t="n">
        <v>53000</v>
      </c>
      <c r="C3351" s="4" t="n">
        <v>3309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자연녹지지역</t>
        </is>
      </c>
      <c r="G3351" s="3" t="inlineStr">
        <is>
          <t>답</t>
        </is>
      </c>
      <c r="H3351" s="4" t="n">
        <v>1000.9725</v>
      </c>
      <c r="I3351" s="5" t="n">
        <v>52.9</v>
      </c>
      <c r="J3351" s="3" t="inlineStr">
        <is>
          <t>강내면</t>
        </is>
      </c>
    </row>
    <row r="3352">
      <c r="A3352" s="3" t="n">
        <v>2022</v>
      </c>
      <c r="B3352" s="4" t="n">
        <v>100</v>
      </c>
      <c r="C3352" s="4" t="n">
        <v>7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대</t>
        </is>
      </c>
      <c r="H3352" s="4" t="n">
        <v>2.1175</v>
      </c>
      <c r="I3352" s="5" t="n">
        <v>47.2</v>
      </c>
      <c r="J3352" s="3" t="inlineStr">
        <is>
          <t>강내면</t>
        </is>
      </c>
    </row>
    <row r="3353">
      <c r="A3353" s="3" t="n">
        <v>2022</v>
      </c>
      <c r="B3353" s="4" t="n">
        <v>235000</v>
      </c>
      <c r="C3353" s="4" t="n">
        <v>4099</v>
      </c>
      <c r="D3353" s="3" t="inlineStr">
        <is>
          <t>오송읍</t>
        </is>
      </c>
      <c r="E3353" s="3" t="inlineStr">
        <is>
          <t>궁평리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1239.9475</v>
      </c>
      <c r="I3353" s="5" t="n">
        <v>189.5</v>
      </c>
      <c r="J3353" s="3" t="inlineStr">
        <is>
          <t>오송읍</t>
        </is>
      </c>
    </row>
    <row r="3354">
      <c r="A3354" s="3" t="n">
        <v>2022</v>
      </c>
      <c r="B3354" s="4" t="n">
        <v>800</v>
      </c>
      <c r="C3354" s="4" t="n">
        <v>30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9.074999999999999</v>
      </c>
      <c r="I3354" s="5" t="n">
        <v>88.2</v>
      </c>
      <c r="J3354" s="3" t="inlineStr">
        <is>
          <t>강내면</t>
        </is>
      </c>
    </row>
    <row r="3355">
      <c r="A3355" s="3" t="n">
        <v>2022</v>
      </c>
      <c r="B3355" s="4" t="n">
        <v>45000</v>
      </c>
      <c r="C3355" s="4" t="n">
        <v>3557</v>
      </c>
      <c r="D3355" s="3" t="inlineStr">
        <is>
          <t>강내면</t>
        </is>
      </c>
      <c r="E3355" s="3" t="inlineStr">
        <is>
          <t>궁현리</t>
        </is>
      </c>
      <c r="F3355" s="3" t="inlineStr">
        <is>
          <t>농림지역</t>
        </is>
      </c>
      <c r="G3355" s="3" t="inlineStr">
        <is>
          <t>답</t>
        </is>
      </c>
      <c r="H3355" s="4" t="n">
        <v>1075.9925</v>
      </c>
      <c r="I3355" s="5" t="n">
        <v>41.8</v>
      </c>
      <c r="J3355" s="3" t="inlineStr">
        <is>
          <t>강내면</t>
        </is>
      </c>
    </row>
    <row r="3356">
      <c r="A3356" s="3" t="n">
        <v>2022</v>
      </c>
      <c r="B3356" s="4" t="n">
        <v>14340</v>
      </c>
      <c r="C3356" s="4" t="n">
        <v>595</v>
      </c>
      <c r="D3356" s="3" t="inlineStr">
        <is>
          <t>강내면</t>
        </is>
      </c>
      <c r="E3356" s="3" t="inlineStr">
        <is>
          <t>사인리</t>
        </is>
      </c>
      <c r="F3356" s="3" t="inlineStr">
        <is>
          <t>생산녹지지역</t>
        </is>
      </c>
      <c r="G3356" s="3" t="inlineStr">
        <is>
          <t>전</t>
        </is>
      </c>
      <c r="H3356" s="4" t="n">
        <v>179.9875</v>
      </c>
      <c r="I3356" s="5" t="n">
        <v>79.7</v>
      </c>
      <c r="J3356" s="3" t="inlineStr">
        <is>
          <t>강내면</t>
        </is>
      </c>
    </row>
    <row r="3357">
      <c r="A3357" s="3" t="n">
        <v>2022</v>
      </c>
      <c r="B3357" s="4" t="n">
        <v>14380</v>
      </c>
      <c r="C3357" s="4" t="n">
        <v>672</v>
      </c>
      <c r="D3357" s="3" t="inlineStr">
        <is>
          <t>강내면</t>
        </is>
      </c>
      <c r="E3357" s="3" t="inlineStr">
        <is>
          <t>사인리</t>
        </is>
      </c>
      <c r="F3357" s="3" t="inlineStr">
        <is>
          <t>생산녹지지역</t>
        </is>
      </c>
      <c r="G3357" s="3" t="inlineStr">
        <is>
          <t>전</t>
        </is>
      </c>
      <c r="H3357" s="4" t="n">
        <v>203.28</v>
      </c>
      <c r="I3357" s="5" t="n">
        <v>70.7</v>
      </c>
      <c r="J3357" s="3" t="inlineStr">
        <is>
          <t>강내면</t>
        </is>
      </c>
    </row>
    <row r="3358">
      <c r="A3358" s="3" t="n">
        <v>2022</v>
      </c>
      <c r="B3358" s="4" t="n">
        <v>980</v>
      </c>
      <c r="C3358" s="4" t="n">
        <v>46</v>
      </c>
      <c r="D3358" s="3" t="inlineStr">
        <is>
          <t>강내면</t>
        </is>
      </c>
      <c r="E3358" s="3" t="inlineStr">
        <is>
          <t>사인리</t>
        </is>
      </c>
      <c r="F3358" s="3" t="inlineStr">
        <is>
          <t>생산녹지지역</t>
        </is>
      </c>
      <c r="G3358" s="3" t="inlineStr">
        <is>
          <t>전</t>
        </is>
      </c>
      <c r="H3358" s="4" t="n">
        <v>13.915</v>
      </c>
      <c r="I3358" s="5" t="n">
        <v>70.40000000000001</v>
      </c>
      <c r="J3358" s="3" t="inlineStr">
        <is>
          <t>강내면</t>
        </is>
      </c>
    </row>
    <row r="3359">
      <c r="A3359" s="3" t="n">
        <v>2022</v>
      </c>
      <c r="B3359" s="4" t="n">
        <v>1500</v>
      </c>
      <c r="C3359" s="4" t="n">
        <v>172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52.03</v>
      </c>
      <c r="I3359" s="5" t="n">
        <v>28.8</v>
      </c>
      <c r="J3359" s="3" t="inlineStr">
        <is>
          <t>강내면</t>
        </is>
      </c>
    </row>
    <row r="3360">
      <c r="A3360" s="3" t="n">
        <v>2022</v>
      </c>
      <c r="B3360" s="4" t="n">
        <v>4500</v>
      </c>
      <c r="C3360" s="4" t="n">
        <v>380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114.95</v>
      </c>
      <c r="I3360" s="5" t="n">
        <v>39.1</v>
      </c>
      <c r="J3360" s="3" t="inlineStr">
        <is>
          <t>강내면</t>
        </is>
      </c>
    </row>
    <row r="3361">
      <c r="A3361" s="3" t="n">
        <v>2022</v>
      </c>
      <c r="B3361" s="4" t="n">
        <v>83700</v>
      </c>
      <c r="C3361" s="4" t="n">
        <v>1846.5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558.56625</v>
      </c>
      <c r="I3361" s="5" t="n">
        <v>149.8</v>
      </c>
      <c r="J3361" s="3" t="inlineStr">
        <is>
          <t>강내면</t>
        </is>
      </c>
    </row>
    <row r="3362">
      <c r="A3362" s="3" t="n">
        <v>2022</v>
      </c>
      <c r="B3362" s="4" t="n">
        <v>16500</v>
      </c>
      <c r="C3362" s="4" t="n">
        <v>400</v>
      </c>
      <c r="D3362" s="3" t="inlineStr">
        <is>
          <t>강내면</t>
        </is>
      </c>
      <c r="E3362" s="3" t="inlineStr">
        <is>
          <t>사곡리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121</v>
      </c>
      <c r="I3362" s="5" t="n">
        <v>136.4</v>
      </c>
      <c r="J3362" s="3" t="inlineStr">
        <is>
          <t>강내면</t>
        </is>
      </c>
    </row>
    <row r="3363">
      <c r="A3363" s="3" t="n">
        <v>2022</v>
      </c>
      <c r="B3363" s="4" t="n">
        <v>12800</v>
      </c>
      <c r="C3363" s="4" t="n">
        <v>308.5</v>
      </c>
      <c r="D3363" s="3" t="inlineStr">
        <is>
          <t>강내면</t>
        </is>
      </c>
      <c r="E3363" s="3" t="inlineStr">
        <is>
          <t>사곡리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93.32124999999999</v>
      </c>
      <c r="I3363" s="5" t="n">
        <v>137.2</v>
      </c>
      <c r="J3363" s="3" t="inlineStr">
        <is>
          <t>강내면</t>
        </is>
      </c>
    </row>
    <row r="3364">
      <c r="A3364" s="3" t="n">
        <v>2022</v>
      </c>
      <c r="B3364" s="4" t="n">
        <v>4100</v>
      </c>
      <c r="C3364" s="4" t="n">
        <v>893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임야</t>
        </is>
      </c>
      <c r="H3364" s="4" t="n">
        <v>270.1325</v>
      </c>
      <c r="I3364" s="5" t="n">
        <v>15.2</v>
      </c>
      <c r="J3364" s="3" t="inlineStr">
        <is>
          <t>강내면</t>
        </is>
      </c>
    </row>
    <row r="3365">
      <c r="A3365" s="3" t="n">
        <v>2022</v>
      </c>
      <c r="B3365" s="4" t="n">
        <v>4700</v>
      </c>
      <c r="C3365" s="4" t="n">
        <v>314</v>
      </c>
      <c r="D3365" s="3" t="inlineStr">
        <is>
          <t>오송읍</t>
        </is>
      </c>
      <c r="E3365" s="3" t="inlineStr">
        <is>
          <t>쌍청리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94.985</v>
      </c>
      <c r="I3365" s="5" t="n">
        <v>49.5</v>
      </c>
      <c r="J3365" s="3" t="inlineStr">
        <is>
          <t>오송읍</t>
        </is>
      </c>
    </row>
    <row r="3366">
      <c r="A3366" s="3" t="n">
        <v>2022</v>
      </c>
      <c r="B3366" s="4" t="n">
        <v>25500</v>
      </c>
      <c r="C3366" s="4" t="n">
        <v>1042</v>
      </c>
      <c r="D3366" s="3" t="inlineStr">
        <is>
          <t>강내면</t>
        </is>
      </c>
      <c r="E3366" s="3" t="inlineStr">
        <is>
          <t>산단리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315.205</v>
      </c>
      <c r="I3366" s="5" t="n">
        <v>80.90000000000001</v>
      </c>
      <c r="J3366" s="3" t="inlineStr">
        <is>
          <t>강내면</t>
        </is>
      </c>
    </row>
    <row r="3367">
      <c r="A3367" s="3" t="n">
        <v>2023</v>
      </c>
      <c r="B3367" s="4" t="n">
        <v>32500</v>
      </c>
      <c r="C3367" s="4" t="n">
        <v>351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106.1775</v>
      </c>
      <c r="I3367" s="5" t="n">
        <v>306.1</v>
      </c>
      <c r="J3367" s="3" t="inlineStr">
        <is>
          <t>오송읍</t>
        </is>
      </c>
    </row>
    <row r="3368">
      <c r="A3368" s="3" t="n">
        <v>2023</v>
      </c>
      <c r="B3368" s="4" t="n">
        <v>2400</v>
      </c>
      <c r="C3368" s="4" t="n">
        <v>53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생산관리지역</t>
        </is>
      </c>
      <c r="G3368" s="3" t="inlineStr">
        <is>
          <t>임야</t>
        </is>
      </c>
      <c r="H3368" s="4" t="n">
        <v>16.0325</v>
      </c>
      <c r="I3368" s="5" t="n">
        <v>149.7</v>
      </c>
      <c r="J3368" s="3" t="inlineStr">
        <is>
          <t>오송읍</t>
        </is>
      </c>
    </row>
    <row r="3369">
      <c r="A3369" s="3" t="n">
        <v>2023</v>
      </c>
      <c r="B3369" s="4" t="n">
        <v>30420</v>
      </c>
      <c r="C3369" s="4" t="n">
        <v>324</v>
      </c>
      <c r="D3369" s="3" t="inlineStr">
        <is>
          <t>오송읍</t>
        </is>
      </c>
      <c r="E3369" s="3" t="inlineStr">
        <is>
          <t>정중리</t>
        </is>
      </c>
      <c r="F3369" s="3" t="inlineStr">
        <is>
          <t>계획관리지역</t>
        </is>
      </c>
      <c r="G3369" s="3" t="inlineStr">
        <is>
          <t>대</t>
        </is>
      </c>
      <c r="H3369" s="4" t="n">
        <v>98.00999999999999</v>
      </c>
      <c r="I3369" s="5" t="n">
        <v>310.4</v>
      </c>
      <c r="J3369" s="3" t="inlineStr">
        <is>
          <t>오송읍</t>
        </is>
      </c>
    </row>
    <row r="3370">
      <c r="A3370" s="3" t="n">
        <v>2026</v>
      </c>
      <c r="B3370" s="4" t="n">
        <v>21483</v>
      </c>
      <c r="C3370" s="4" t="n">
        <v>3570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1079.925</v>
      </c>
      <c r="I3370" s="5" t="n">
        <v>19.9</v>
      </c>
      <c r="J3370" s="3" t="inlineStr">
        <is>
          <t>오송읍</t>
        </is>
      </c>
    </row>
    <row r="3371">
      <c r="A3371" s="3" t="n">
        <v>2026</v>
      </c>
      <c r="B3371" s="4" t="n">
        <v>25000</v>
      </c>
      <c r="C3371" s="4" t="n">
        <v>568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생산녹지지역</t>
        </is>
      </c>
      <c r="G3371" s="3" t="inlineStr">
        <is>
          <t>전</t>
        </is>
      </c>
      <c r="H3371" s="4" t="n">
        <v>171.82</v>
      </c>
      <c r="I3371" s="5" t="n">
        <v>145.5</v>
      </c>
      <c r="J3371" s="3" t="inlineStr">
        <is>
          <t>강내면</t>
        </is>
      </c>
    </row>
    <row r="3372">
      <c r="A3372" s="3" t="n">
        <v>2026</v>
      </c>
      <c r="B3372" s="4" t="n">
        <v>20000</v>
      </c>
      <c r="C3372" s="4" t="n">
        <v>1831</v>
      </c>
      <c r="D3372" s="3" t="inlineStr">
        <is>
          <t>강내면</t>
        </is>
      </c>
      <c r="E3372" s="3" t="inlineStr">
        <is>
          <t>월곡리</t>
        </is>
      </c>
      <c r="F3372" s="3" t="inlineStr">
        <is>
          <t>보전녹지지역</t>
        </is>
      </c>
      <c r="G3372" s="3" t="inlineStr">
        <is>
          <t>전</t>
        </is>
      </c>
      <c r="H3372" s="4" t="n">
        <v>553.8774999999999</v>
      </c>
      <c r="I3372" s="5" t="n">
        <v>36.1</v>
      </c>
      <c r="J3372" s="3" t="inlineStr">
        <is>
          <t>강내면</t>
        </is>
      </c>
    </row>
    <row r="3373">
      <c r="A3373" s="3" t="n">
        <v>2026</v>
      </c>
      <c r="B3373" s="4" t="n">
        <v>21702</v>
      </c>
      <c r="C3373" s="4" t="n">
        <v>444.1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대</t>
        </is>
      </c>
      <c r="H3373" s="4" t="n">
        <v>134.34025</v>
      </c>
      <c r="I3373" s="5" t="n">
        <v>161.5</v>
      </c>
      <c r="J3373" s="3" t="inlineStr">
        <is>
          <t>강내면</t>
        </is>
      </c>
    </row>
    <row r="3374">
      <c r="A3374" s="3" t="n">
        <v>2026</v>
      </c>
      <c r="B3374" s="4" t="n">
        <v>2194741</v>
      </c>
      <c r="C3374" s="4" t="n">
        <v>66942</v>
      </c>
      <c r="D3374" s="3" t="inlineStr">
        <is>
          <t>오송읍</t>
        </is>
      </c>
      <c r="E3374" s="3" t="inlineStr">
        <is>
          <t>공북리</t>
        </is>
      </c>
      <c r="F3374" s="3" t="inlineStr">
        <is>
          <t>계획관리지역</t>
        </is>
      </c>
      <c r="G3374" s="3" t="inlineStr">
        <is>
          <t>체육용지</t>
        </is>
      </c>
      <c r="H3374" s="4" t="n">
        <v>20249.955</v>
      </c>
      <c r="I3374" s="5" t="n">
        <v>108.4</v>
      </c>
      <c r="J3374" s="3" t="inlineStr">
        <is>
          <t>오송읍</t>
        </is>
      </c>
    </row>
    <row r="3375">
      <c r="A3375" s="3" t="n">
        <v>2026</v>
      </c>
      <c r="B3375" s="4" t="n">
        <v>23500</v>
      </c>
      <c r="C3375" s="4" t="n">
        <v>242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용도미지정</t>
        </is>
      </c>
      <c r="G3375" s="3" t="inlineStr">
        <is>
          <t>대</t>
        </is>
      </c>
      <c r="H3375" s="4" t="n">
        <v>73.205</v>
      </c>
      <c r="I3375" s="5" t="n">
        <v>321</v>
      </c>
      <c r="J3375" s="3" t="inlineStr">
        <is>
          <t>오송읍</t>
        </is>
      </c>
    </row>
    <row r="3376">
      <c r="A3376" s="3" t="n">
        <v>2026</v>
      </c>
      <c r="B3376" s="4" t="n">
        <v>117000</v>
      </c>
      <c r="C3376" s="4" t="n">
        <v>2407</v>
      </c>
      <c r="D3376" s="3" t="inlineStr">
        <is>
          <t>강내면</t>
        </is>
      </c>
      <c r="E3376" s="3" t="inlineStr">
        <is>
          <t>월곡리</t>
        </is>
      </c>
      <c r="F3376" s="3" t="inlineStr">
        <is>
          <t>자연녹지지역</t>
        </is>
      </c>
      <c r="G3376" s="3" t="inlineStr">
        <is>
          <t>전</t>
        </is>
      </c>
      <c r="H3376" s="4" t="n">
        <v>728.1174999999999</v>
      </c>
      <c r="I3376" s="5" t="n">
        <v>160.7</v>
      </c>
      <c r="J3376" s="3" t="inlineStr">
        <is>
          <t>강내면</t>
        </is>
      </c>
    </row>
    <row r="3377">
      <c r="A3377" s="3" t="n">
        <v>2026</v>
      </c>
      <c r="B3377" s="4" t="n">
        <v>4000</v>
      </c>
      <c r="C3377" s="4" t="n">
        <v>119</v>
      </c>
      <c r="D3377" s="3" t="inlineStr">
        <is>
          <t>강내면</t>
        </is>
      </c>
      <c r="E3377" s="3" t="inlineStr">
        <is>
          <t>학천리</t>
        </is>
      </c>
      <c r="F3377" s="3" t="inlineStr">
        <is>
          <t>자연녹지지역</t>
        </is>
      </c>
      <c r="G3377" s="3" t="inlineStr">
        <is>
          <t>임야</t>
        </is>
      </c>
      <c r="H3377" s="4" t="n">
        <v>35.9975</v>
      </c>
      <c r="I3377" s="5" t="n">
        <v>111.1</v>
      </c>
      <c r="J3377" s="3" t="inlineStr">
        <is>
          <t>강내면</t>
        </is>
      </c>
    </row>
    <row r="3378">
      <c r="A3378" s="3" t="n">
        <v>2025</v>
      </c>
      <c r="B3378" s="4" t="n">
        <v>4500</v>
      </c>
      <c r="C3378" s="4" t="n">
        <v>150</v>
      </c>
      <c r="D3378" s="3" t="inlineStr">
        <is>
          <t>오송읍</t>
        </is>
      </c>
      <c r="E3378" s="3" t="inlineStr">
        <is>
          <t>정중리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45.375</v>
      </c>
      <c r="I3378" s="5" t="n">
        <v>99.2</v>
      </c>
      <c r="J3378" s="3" t="inlineStr">
        <is>
          <t>오송읍</t>
        </is>
      </c>
    </row>
    <row r="3379">
      <c r="A3379" s="3" t="n">
        <v>2025</v>
      </c>
      <c r="B3379" s="4" t="n">
        <v>25065</v>
      </c>
      <c r="C3379" s="4" t="n">
        <v>532</v>
      </c>
      <c r="D3379" s="3" t="inlineStr">
        <is>
          <t>강내면</t>
        </is>
      </c>
      <c r="E3379" s="3" t="inlineStr">
        <is>
          <t>사곡리</t>
        </is>
      </c>
      <c r="F3379" s="3" t="inlineStr">
        <is>
          <t>보전관리지역</t>
        </is>
      </c>
      <c r="G3379" s="3" t="inlineStr">
        <is>
          <t>대</t>
        </is>
      </c>
      <c r="H3379" s="4" t="n">
        <v>160.93</v>
      </c>
      <c r="I3379" s="5" t="n">
        <v>155.8</v>
      </c>
      <c r="J3379" s="3" t="inlineStr">
        <is>
          <t>강내면</t>
        </is>
      </c>
    </row>
    <row r="3380">
      <c r="A3380" s="3" t="n">
        <v>2025</v>
      </c>
      <c r="B3380" s="4" t="n">
        <v>58890</v>
      </c>
      <c r="C3380" s="4" t="n">
        <v>2995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905.9875</v>
      </c>
      <c r="I3380" s="5" t="n">
        <v>65</v>
      </c>
      <c r="J3380" s="3" t="inlineStr">
        <is>
          <t>오송읍</t>
        </is>
      </c>
    </row>
    <row r="3381">
      <c r="A3381" s="3" t="n">
        <v>2025</v>
      </c>
      <c r="B3381" s="4" t="n">
        <v>82800</v>
      </c>
      <c r="C3381" s="4" t="n">
        <v>4215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1275.0375</v>
      </c>
      <c r="I3381" s="5" t="n">
        <v>64.90000000000001</v>
      </c>
      <c r="J3381" s="3" t="inlineStr">
        <is>
          <t>오송읍</t>
        </is>
      </c>
    </row>
    <row r="3382">
      <c r="A3382" s="3" t="n">
        <v>2025</v>
      </c>
      <c r="B3382" s="4" t="n">
        <v>25000</v>
      </c>
      <c r="C3382" s="4" t="n">
        <v>240.6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72.78149999999999</v>
      </c>
      <c r="I3382" s="5" t="n">
        <v>343.5</v>
      </c>
      <c r="J3382" s="3" t="inlineStr">
        <is>
          <t>오송읍</t>
        </is>
      </c>
    </row>
    <row r="3383">
      <c r="A3383" s="3" t="n">
        <v>2025</v>
      </c>
      <c r="B3383" s="4" t="n">
        <v>9000</v>
      </c>
      <c r="C3383" s="4" t="n">
        <v>399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120.6975</v>
      </c>
      <c r="I3383" s="5" t="n">
        <v>74.59999999999999</v>
      </c>
      <c r="J3383" s="3" t="inlineStr">
        <is>
          <t>강내면</t>
        </is>
      </c>
    </row>
    <row r="3384">
      <c r="A3384" s="3" t="n">
        <v>2025</v>
      </c>
      <c r="B3384" s="4" t="n">
        <v>35000</v>
      </c>
      <c r="C3384" s="4" t="n">
        <v>240.5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72.75125</v>
      </c>
      <c r="I3384" s="5" t="n">
        <v>481.1</v>
      </c>
      <c r="J3384" s="3" t="inlineStr">
        <is>
          <t>오송읍</t>
        </is>
      </c>
    </row>
    <row r="3385">
      <c r="A3385" s="3" t="n">
        <v>2025</v>
      </c>
      <c r="B3385" s="4" t="n">
        <v>55000</v>
      </c>
      <c r="C3385" s="4" t="n">
        <v>290.8</v>
      </c>
      <c r="D3385" s="3" t="inlineStr">
        <is>
          <t>오송읍</t>
        </is>
      </c>
      <c r="E3385" s="3" t="inlineStr">
        <is>
          <t>봉산리</t>
        </is>
      </c>
      <c r="F3385" s="3" t="inlineStr">
        <is>
          <t>제1종일반주거지역</t>
        </is>
      </c>
      <c r="G3385" s="3" t="inlineStr">
        <is>
          <t>대</t>
        </is>
      </c>
      <c r="H3385" s="4" t="n">
        <v>87.967</v>
      </c>
      <c r="I3385" s="5" t="n">
        <v>625.2</v>
      </c>
      <c r="J3385" s="3" t="inlineStr">
        <is>
          <t>오송읍</t>
        </is>
      </c>
    </row>
    <row r="3386">
      <c r="A3386" s="3" t="n">
        <v>2025</v>
      </c>
      <c r="B3386" s="4" t="n">
        <v>35000</v>
      </c>
      <c r="C3386" s="4" t="n">
        <v>267.6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80.949</v>
      </c>
      <c r="I3386" s="5" t="n">
        <v>432.4</v>
      </c>
      <c r="J3386" s="3" t="inlineStr">
        <is>
          <t>오송읍</t>
        </is>
      </c>
    </row>
    <row r="3387">
      <c r="A3387" s="3" t="n">
        <v>2025</v>
      </c>
      <c r="B3387" s="4" t="n">
        <v>32427</v>
      </c>
      <c r="C3387" s="4" t="n">
        <v>573</v>
      </c>
      <c r="D3387" s="3" t="inlineStr">
        <is>
          <t>강내면</t>
        </is>
      </c>
      <c r="E3387" s="3" t="inlineStr">
        <is>
          <t>다락리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173.3325</v>
      </c>
      <c r="I3387" s="5" t="n">
        <v>187.1</v>
      </c>
      <c r="J3387" s="3" t="inlineStr">
        <is>
          <t>강내면</t>
        </is>
      </c>
    </row>
    <row r="3388">
      <c r="A3388" s="3" t="n">
        <v>2025</v>
      </c>
      <c r="B3388" s="4" t="n">
        <v>16000</v>
      </c>
      <c r="C3388" s="4" t="n">
        <v>754</v>
      </c>
      <c r="D3388" s="3" t="inlineStr">
        <is>
          <t>오송읍</t>
        </is>
      </c>
      <c r="E3388" s="3" t="inlineStr">
        <is>
          <t>정중리</t>
        </is>
      </c>
      <c r="F3388" s="3" t="inlineStr">
        <is>
          <t>생산관리지역</t>
        </is>
      </c>
      <c r="G3388" s="3" t="inlineStr">
        <is>
          <t>전</t>
        </is>
      </c>
      <c r="H3388" s="4" t="n">
        <v>228.085</v>
      </c>
      <c r="I3388" s="5" t="n">
        <v>70.09999999999999</v>
      </c>
      <c r="J3388" s="3" t="inlineStr">
        <is>
          <t>오송읍</t>
        </is>
      </c>
    </row>
    <row r="3389">
      <c r="A3389" s="3" t="n">
        <v>2026</v>
      </c>
      <c r="B3389" s="4" t="n">
        <v>36000</v>
      </c>
      <c r="C3389" s="4" t="n">
        <v>268.1</v>
      </c>
      <c r="D3389" s="3" t="inlineStr">
        <is>
          <t>오송읍</t>
        </is>
      </c>
      <c r="E3389" s="3" t="inlineStr">
        <is>
          <t>봉산리</t>
        </is>
      </c>
      <c r="F3389" s="3" t="inlineStr">
        <is>
          <t>제1종일반주거지역</t>
        </is>
      </c>
      <c r="G3389" s="3" t="inlineStr">
        <is>
          <t>대</t>
        </is>
      </c>
      <c r="H3389" s="4" t="n">
        <v>81.10025</v>
      </c>
      <c r="I3389" s="5" t="n">
        <v>443.9</v>
      </c>
      <c r="J3389" s="3" t="inlineStr">
        <is>
          <t>오송읍</t>
        </is>
      </c>
    </row>
    <row r="3390">
      <c r="A3390" s="3" t="n">
        <v>2026</v>
      </c>
      <c r="B3390" s="4" t="n">
        <v>4550</v>
      </c>
      <c r="C3390" s="4" t="n">
        <v>301</v>
      </c>
      <c r="D3390" s="3" t="inlineStr">
        <is>
          <t>오송읍</t>
        </is>
      </c>
      <c r="E3390" s="3" t="inlineStr">
        <is>
          <t>상봉리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91.05249999999999</v>
      </c>
      <c r="I3390" s="5" t="n">
        <v>50</v>
      </c>
      <c r="J3390" s="3" t="inlineStr">
        <is>
          <t>오송읍</t>
        </is>
      </c>
    </row>
    <row r="3391">
      <c r="A3391" s="3" t="n">
        <v>2026</v>
      </c>
      <c r="B3391" s="4" t="n">
        <v>63600</v>
      </c>
      <c r="C3391" s="4" t="n">
        <v>2802</v>
      </c>
      <c r="D3391" s="3" t="inlineStr">
        <is>
          <t>오송읍</t>
        </is>
      </c>
      <c r="E3391" s="3" t="inlineStr">
        <is>
          <t>서평리</t>
        </is>
      </c>
      <c r="F3391" s="3" t="inlineStr">
        <is>
          <t>생산관리지역</t>
        </is>
      </c>
      <c r="G3391" s="3" t="inlineStr">
        <is>
          <t>전</t>
        </is>
      </c>
      <c r="H3391" s="4" t="n">
        <v>847.605</v>
      </c>
      <c r="I3391" s="5" t="n">
        <v>75</v>
      </c>
      <c r="J3391" s="3" t="inlineStr">
        <is>
          <t>오송읍</t>
        </is>
      </c>
    </row>
    <row r="3392">
      <c r="A3392" s="3" t="n">
        <v>2026</v>
      </c>
      <c r="B3392" s="4" t="n">
        <v>5650</v>
      </c>
      <c r="C3392" s="4" t="n">
        <v>669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202.3725</v>
      </c>
      <c r="I3392" s="5" t="n">
        <v>27.9</v>
      </c>
      <c r="J3392" s="3" t="inlineStr">
        <is>
          <t>강내면</t>
        </is>
      </c>
    </row>
    <row r="3393">
      <c r="A3393" s="3" t="n">
        <v>2026</v>
      </c>
      <c r="B3393" s="4" t="n">
        <v>39000</v>
      </c>
      <c r="C3393" s="4" t="n">
        <v>268.1</v>
      </c>
      <c r="D3393" s="3" t="inlineStr">
        <is>
          <t>오송읍</t>
        </is>
      </c>
      <c r="E3393" s="3" t="inlineStr">
        <is>
          <t>봉산리</t>
        </is>
      </c>
      <c r="F3393" s="3" t="inlineStr">
        <is>
          <t>제1종일반주거지역</t>
        </is>
      </c>
      <c r="G3393" s="3" t="inlineStr">
        <is>
          <t>대</t>
        </is>
      </c>
      <c r="H3393" s="4" t="n">
        <v>81.10025</v>
      </c>
      <c r="I3393" s="5" t="n">
        <v>480.9</v>
      </c>
      <c r="J3393" s="3" t="inlineStr">
        <is>
          <t>오송읍</t>
        </is>
      </c>
    </row>
    <row r="3394">
      <c r="A3394" s="3" t="n">
        <v>2026</v>
      </c>
      <c r="B3394" s="4" t="n">
        <v>40000</v>
      </c>
      <c r="C3394" s="4" t="n">
        <v>4107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농림지역</t>
        </is>
      </c>
      <c r="G3394" s="3" t="inlineStr">
        <is>
          <t>전</t>
        </is>
      </c>
      <c r="H3394" s="4" t="n">
        <v>1242.3675</v>
      </c>
      <c r="I3394" s="5" t="n">
        <v>32.2</v>
      </c>
      <c r="J3394" s="3" t="inlineStr">
        <is>
          <t>강내면</t>
        </is>
      </c>
    </row>
    <row r="3395">
      <c r="A3395" s="3" t="n">
        <v>2026</v>
      </c>
      <c r="B3395" s="4" t="n">
        <v>35000</v>
      </c>
      <c r="C3395" s="4" t="n">
        <v>313</v>
      </c>
      <c r="D3395" s="3" t="inlineStr">
        <is>
          <t>오송읍</t>
        </is>
      </c>
      <c r="E3395" s="3" t="inlineStr">
        <is>
          <t>봉산리</t>
        </is>
      </c>
      <c r="F3395" s="3" t="inlineStr">
        <is>
          <t>제1종일반주거지역</t>
        </is>
      </c>
      <c r="G3395" s="3" t="inlineStr">
        <is>
          <t>대</t>
        </is>
      </c>
      <c r="H3395" s="4" t="n">
        <v>94.68249999999999</v>
      </c>
      <c r="I3395" s="5" t="n">
        <v>369.7</v>
      </c>
      <c r="J3395" s="3" t="inlineStr">
        <is>
          <t>오송읍</t>
        </is>
      </c>
    </row>
    <row r="3396">
      <c r="A3396" s="3" t="n">
        <v>2026</v>
      </c>
      <c r="B3396" s="4" t="n">
        <v>154684</v>
      </c>
      <c r="C3396" s="4" t="n">
        <v>6648.4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2011.141</v>
      </c>
      <c r="I3396" s="5" t="n">
        <v>76.90000000000001</v>
      </c>
      <c r="J3396" s="3" t="inlineStr">
        <is>
          <t>오송읍</t>
        </is>
      </c>
    </row>
    <row r="3397">
      <c r="A3397" s="3" t="n">
        <v>2026</v>
      </c>
      <c r="B3397" s="4" t="n">
        <v>32000</v>
      </c>
      <c r="C3397" s="4" t="n">
        <v>267.7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80.97924999999999</v>
      </c>
      <c r="I3397" s="5" t="n">
        <v>395.2</v>
      </c>
      <c r="J3397" s="3" t="inlineStr">
        <is>
          <t>오송읍</t>
        </is>
      </c>
    </row>
    <row r="3398">
      <c r="A3398" s="3" t="n">
        <v>2026</v>
      </c>
      <c r="B3398" s="4" t="n">
        <v>65000</v>
      </c>
      <c r="C3398" s="4" t="n">
        <v>1653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생산관리지역</t>
        </is>
      </c>
      <c r="G3398" s="3" t="inlineStr">
        <is>
          <t>과수원</t>
        </is>
      </c>
      <c r="H3398" s="4" t="n">
        <v>500.0325</v>
      </c>
      <c r="I3398" s="5" t="n">
        <v>130</v>
      </c>
      <c r="J3398" s="3" t="inlineStr">
        <is>
          <t>오송읍</t>
        </is>
      </c>
    </row>
    <row r="3399">
      <c r="A3399" s="3" t="n">
        <v>2026</v>
      </c>
      <c r="B3399" s="4" t="n">
        <v>940000</v>
      </c>
      <c r="C3399" s="4" t="n">
        <v>33991.9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일반공업지역</t>
        </is>
      </c>
      <c r="G3399" s="3" t="inlineStr">
        <is>
          <t>공장용지</t>
        </is>
      </c>
      <c r="H3399" s="4" t="n">
        <v>10282.54975</v>
      </c>
      <c r="I3399" s="5" t="n">
        <v>91.40000000000001</v>
      </c>
      <c r="J3399" s="3" t="inlineStr">
        <is>
          <t>오송읍</t>
        </is>
      </c>
    </row>
    <row r="3400">
      <c r="A3400" s="3" t="n">
        <v>2026</v>
      </c>
      <c r="B3400" s="4" t="n">
        <v>65000</v>
      </c>
      <c r="C3400" s="4" t="n">
        <v>1653</v>
      </c>
      <c r="D3400" s="3" t="inlineStr">
        <is>
          <t>오송읍</t>
        </is>
      </c>
      <c r="E3400" s="3" t="inlineStr">
        <is>
          <t>서평리</t>
        </is>
      </c>
      <c r="F3400" s="3" t="inlineStr">
        <is>
          <t>생산관리지역</t>
        </is>
      </c>
      <c r="G3400" s="3" t="inlineStr">
        <is>
          <t>과수원</t>
        </is>
      </c>
      <c r="H3400" s="4" t="n">
        <v>500.0325</v>
      </c>
      <c r="I3400" s="5" t="n">
        <v>130</v>
      </c>
      <c r="J3400" s="3" t="inlineStr">
        <is>
          <t>오송읍</t>
        </is>
      </c>
    </row>
    <row r="3401">
      <c r="A3401" s="3" t="n">
        <v>2026</v>
      </c>
      <c r="B3401" s="4" t="n">
        <v>18000</v>
      </c>
      <c r="C3401" s="4" t="n">
        <v>1076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325.49</v>
      </c>
      <c r="I3401" s="5" t="n">
        <v>55.3</v>
      </c>
      <c r="J3401" s="3" t="inlineStr">
        <is>
          <t>오송읍</t>
        </is>
      </c>
    </row>
    <row r="3402">
      <c r="A3402" s="3" t="n">
        <v>2026</v>
      </c>
      <c r="B3402" s="4" t="n">
        <v>45000</v>
      </c>
      <c r="C3402" s="4" t="n">
        <v>2004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606.21</v>
      </c>
      <c r="I3402" s="5" t="n">
        <v>74.2</v>
      </c>
      <c r="J3402" s="3" t="inlineStr">
        <is>
          <t>오송읍</t>
        </is>
      </c>
    </row>
    <row r="3403">
      <c r="A3403" s="3" t="n">
        <v>2026</v>
      </c>
      <c r="B3403" s="4" t="n">
        <v>31750</v>
      </c>
      <c r="C3403" s="4" t="n">
        <v>1567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474.0175</v>
      </c>
      <c r="I3403" s="5" t="n">
        <v>67</v>
      </c>
      <c r="J3403" s="3" t="inlineStr">
        <is>
          <t>오송읍</t>
        </is>
      </c>
    </row>
    <row r="3404">
      <c r="A3404" s="3" t="n">
        <v>2026</v>
      </c>
      <c r="B3404" s="4" t="n">
        <v>2136</v>
      </c>
      <c r="C3404" s="4" t="n">
        <v>178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53.845</v>
      </c>
      <c r="I3404" s="5" t="n">
        <v>39.7</v>
      </c>
      <c r="J3404" s="3" t="inlineStr">
        <is>
          <t>강내면</t>
        </is>
      </c>
    </row>
    <row r="3405">
      <c r="A3405" s="3" t="n">
        <v>2026</v>
      </c>
      <c r="B3405" s="4" t="n">
        <v>24000</v>
      </c>
      <c r="C3405" s="4" t="n">
        <v>1111</v>
      </c>
      <c r="D3405" s="3" t="inlineStr">
        <is>
          <t>강내면</t>
        </is>
      </c>
      <c r="E3405" s="3" t="inlineStr">
        <is>
          <t>월탄리</t>
        </is>
      </c>
      <c r="F3405" s="3" t="inlineStr">
        <is>
          <t>자연녹지지역</t>
        </is>
      </c>
      <c r="G3405" s="3" t="inlineStr">
        <is>
          <t>답</t>
        </is>
      </c>
      <c r="H3405" s="4" t="n">
        <v>336.0775</v>
      </c>
      <c r="I3405" s="5" t="n">
        <v>71.40000000000001</v>
      </c>
      <c r="J3405" s="3" t="inlineStr">
        <is>
          <t>강내면</t>
        </is>
      </c>
    </row>
    <row r="3406">
      <c r="A3406" s="3" t="n">
        <v>2026</v>
      </c>
      <c r="B3406" s="4" t="n">
        <v>19558</v>
      </c>
      <c r="C3406" s="4" t="n">
        <v>488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147.62</v>
      </c>
      <c r="I3406" s="5" t="n">
        <v>132.5</v>
      </c>
      <c r="J3406" s="3" t="inlineStr">
        <is>
          <t>강내면</t>
        </is>
      </c>
    </row>
    <row r="3407">
      <c r="A3407" s="3" t="n">
        <v>2026</v>
      </c>
      <c r="B3407" s="4" t="n">
        <v>80000</v>
      </c>
      <c r="C3407" s="4" t="n">
        <v>2460</v>
      </c>
      <c r="D3407" s="3" t="inlineStr">
        <is>
          <t>오송읍</t>
        </is>
      </c>
      <c r="E3407" s="3" t="inlineStr">
        <is>
          <t>서평리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744.15</v>
      </c>
      <c r="I3407" s="5" t="n">
        <v>107.5</v>
      </c>
      <c r="J3407" s="3" t="inlineStr">
        <is>
          <t>오송읍</t>
        </is>
      </c>
    </row>
    <row r="3408">
      <c r="A3408" s="3" t="n">
        <v>2026</v>
      </c>
      <c r="B3408" s="4" t="n">
        <v>30000</v>
      </c>
      <c r="C3408" s="4" t="n">
        <v>314</v>
      </c>
      <c r="D3408" s="3" t="inlineStr">
        <is>
          <t>오송읍</t>
        </is>
      </c>
      <c r="E3408" s="3" t="inlineStr">
        <is>
          <t>봉산리</t>
        </is>
      </c>
      <c r="F3408" s="3" t="inlineStr">
        <is>
          <t>제1종일반주거지역</t>
        </is>
      </c>
      <c r="G3408" s="3" t="inlineStr">
        <is>
          <t>대</t>
        </is>
      </c>
      <c r="H3408" s="4" t="n">
        <v>94.985</v>
      </c>
      <c r="I3408" s="5" t="n">
        <v>315.8</v>
      </c>
      <c r="J3408" s="3" t="inlineStr">
        <is>
          <t>오송읍</t>
        </is>
      </c>
    </row>
    <row r="3409">
      <c r="A3409" s="3" t="n">
        <v>2026</v>
      </c>
      <c r="B3409" s="4" t="n">
        <v>35000</v>
      </c>
      <c r="C3409" s="4" t="n">
        <v>330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도로</t>
        </is>
      </c>
      <c r="H3409" s="4" t="n">
        <v>99.825</v>
      </c>
      <c r="I3409" s="5" t="n">
        <v>350.6</v>
      </c>
      <c r="J3409" s="3" t="inlineStr">
        <is>
          <t>강내면</t>
        </is>
      </c>
    </row>
    <row r="3410">
      <c r="A3410" s="3" t="n">
        <v>2026</v>
      </c>
      <c r="B3410" s="4" t="n">
        <v>28000</v>
      </c>
      <c r="C3410" s="4" t="n">
        <v>283.7</v>
      </c>
      <c r="D3410" s="3" t="inlineStr">
        <is>
          <t>오송읍</t>
        </is>
      </c>
      <c r="E3410" s="3" t="inlineStr">
        <is>
          <t>봉산리</t>
        </is>
      </c>
      <c r="F3410" s="3" t="inlineStr">
        <is>
          <t>제1종일반주거지역</t>
        </is>
      </c>
      <c r="G3410" s="3" t="inlineStr">
        <is>
          <t>대</t>
        </is>
      </c>
      <c r="H3410" s="4" t="n">
        <v>85.81925</v>
      </c>
      <c r="I3410" s="5" t="n">
        <v>326.3</v>
      </c>
      <c r="J3410" s="3" t="inlineStr">
        <is>
          <t>오송읍</t>
        </is>
      </c>
    </row>
    <row r="3411">
      <c r="A3411" s="3" t="n">
        <v>2026</v>
      </c>
      <c r="B3411" s="4" t="n">
        <v>22700</v>
      </c>
      <c r="C3411" s="4" t="n">
        <v>2040</v>
      </c>
      <c r="D3411" s="3" t="inlineStr">
        <is>
          <t>강내면</t>
        </is>
      </c>
      <c r="E3411" s="3" t="inlineStr">
        <is>
          <t>학천리</t>
        </is>
      </c>
      <c r="F3411" s="3" t="inlineStr">
        <is>
          <t>생산녹지지역</t>
        </is>
      </c>
      <c r="G3411" s="3" t="inlineStr">
        <is>
          <t>답</t>
        </is>
      </c>
      <c r="H3411" s="4" t="n">
        <v>617.1</v>
      </c>
      <c r="I3411" s="5" t="n">
        <v>36.8</v>
      </c>
      <c r="J3411" s="3" t="inlineStr">
        <is>
          <t>강내면</t>
        </is>
      </c>
    </row>
    <row r="3412">
      <c r="A3412" s="3" t="n">
        <v>2026</v>
      </c>
      <c r="B3412" s="4" t="n">
        <v>15500</v>
      </c>
      <c r="C3412" s="4" t="n">
        <v>2066</v>
      </c>
      <c r="D3412" s="3" t="inlineStr">
        <is>
          <t>강내면</t>
        </is>
      </c>
      <c r="E3412" s="3" t="inlineStr">
        <is>
          <t>학천리</t>
        </is>
      </c>
      <c r="F3412" s="3" t="inlineStr">
        <is>
          <t>생산녹지지역</t>
        </is>
      </c>
      <c r="G3412" s="3" t="inlineStr">
        <is>
          <t>답</t>
        </is>
      </c>
      <c r="H3412" s="4" t="n">
        <v>624.965</v>
      </c>
      <c r="I3412" s="5" t="n">
        <v>24.8</v>
      </c>
      <c r="J3412" s="3" t="inlineStr">
        <is>
          <t>강내면</t>
        </is>
      </c>
    </row>
    <row r="3413">
      <c r="A3413" s="3" t="n">
        <v>2026</v>
      </c>
      <c r="B3413" s="4" t="n">
        <v>40000</v>
      </c>
      <c r="C3413" s="4" t="n">
        <v>2382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답</t>
        </is>
      </c>
      <c r="H3413" s="4" t="n">
        <v>720.5549999999999</v>
      </c>
      <c r="I3413" s="5" t="n">
        <v>55.5</v>
      </c>
      <c r="J3413" s="3" t="inlineStr">
        <is>
          <t>오송읍</t>
        </is>
      </c>
    </row>
    <row r="3414">
      <c r="A3414" s="3" t="n">
        <v>2026</v>
      </c>
      <c r="B3414" s="4" t="n">
        <v>17000</v>
      </c>
      <c r="C3414" s="4" t="n">
        <v>2083</v>
      </c>
      <c r="D3414" s="3" t="inlineStr">
        <is>
          <t>오송읍</t>
        </is>
      </c>
      <c r="E3414" s="3" t="inlineStr">
        <is>
          <t>호계리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630.1075</v>
      </c>
      <c r="I3414" s="5" t="n">
        <v>27</v>
      </c>
      <c r="J3414" s="3" t="inlineStr">
        <is>
          <t>오송읍</t>
        </is>
      </c>
    </row>
    <row r="3415">
      <c r="A3415" s="3" t="n">
        <v>2026</v>
      </c>
      <c r="B3415" s="4" t="n">
        <v>11250</v>
      </c>
      <c r="C3415" s="4" t="n">
        <v>126</v>
      </c>
      <c r="D3415" s="3" t="inlineStr">
        <is>
          <t>오송읍</t>
        </is>
      </c>
      <c r="E3415" s="3" t="inlineStr">
        <is>
          <t>동평리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38.115</v>
      </c>
      <c r="I3415" s="5" t="n">
        <v>295.2</v>
      </c>
      <c r="J3415" s="3" t="inlineStr">
        <is>
          <t>오송읍</t>
        </is>
      </c>
    </row>
    <row r="3416">
      <c r="A3416" s="3" t="n">
        <v>2026</v>
      </c>
      <c r="B3416" s="4" t="n">
        <v>25000</v>
      </c>
      <c r="C3416" s="4" t="n">
        <v>4241</v>
      </c>
      <c r="D3416" s="3" t="inlineStr">
        <is>
          <t>강내면</t>
        </is>
      </c>
      <c r="E3416" s="3" t="inlineStr">
        <is>
          <t>사인리</t>
        </is>
      </c>
      <c r="F3416" s="3" t="inlineStr">
        <is>
          <t>생산녹지지역</t>
        </is>
      </c>
      <c r="G3416" s="3" t="inlineStr">
        <is>
          <t>답</t>
        </is>
      </c>
      <c r="H3416" s="4" t="n">
        <v>1282.9025</v>
      </c>
      <c r="I3416" s="5" t="n">
        <v>19.5</v>
      </c>
      <c r="J3416" s="3" t="inlineStr">
        <is>
          <t>강내면</t>
        </is>
      </c>
    </row>
    <row r="3417">
      <c r="A3417" s="3" t="n">
        <v>2026</v>
      </c>
      <c r="B3417" s="4" t="n">
        <v>10600</v>
      </c>
      <c r="C3417" s="4" t="n">
        <v>701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생산관리지역</t>
        </is>
      </c>
      <c r="G3417" s="3" t="inlineStr">
        <is>
          <t>과수원</t>
        </is>
      </c>
      <c r="H3417" s="4" t="n">
        <v>212.0525</v>
      </c>
      <c r="I3417" s="5" t="n">
        <v>50</v>
      </c>
      <c r="J3417" s="3" t="inlineStr">
        <is>
          <t>오송읍</t>
        </is>
      </c>
    </row>
    <row r="3418">
      <c r="A3418" s="3" t="n">
        <v>2026</v>
      </c>
      <c r="B3418" s="4" t="n">
        <v>450</v>
      </c>
      <c r="C3418" s="4" t="n">
        <v>1028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310.97</v>
      </c>
      <c r="I3418" s="5" t="n">
        <v>1.4</v>
      </c>
      <c r="J3418" s="3" t="inlineStr">
        <is>
          <t>오송읍</t>
        </is>
      </c>
    </row>
    <row r="3419">
      <c r="A3419" s="3" t="n">
        <v>2026</v>
      </c>
      <c r="B3419" s="4" t="n">
        <v>300</v>
      </c>
      <c r="C3419" s="4" t="n">
        <v>26</v>
      </c>
      <c r="D3419" s="3" t="inlineStr">
        <is>
          <t>강내면</t>
        </is>
      </c>
      <c r="E3419" s="3" t="inlineStr">
        <is>
          <t>월곡리</t>
        </is>
      </c>
      <c r="F3419" s="3" t="inlineStr">
        <is>
          <t>제2종일반주거지역</t>
        </is>
      </c>
      <c r="G3419" s="3" t="inlineStr">
        <is>
          <t>임야</t>
        </is>
      </c>
      <c r="H3419" s="4" t="n">
        <v>7.865</v>
      </c>
      <c r="I3419" s="5" t="n">
        <v>38.1</v>
      </c>
      <c r="J3419" s="3" t="inlineStr">
        <is>
          <t>강내면</t>
        </is>
      </c>
    </row>
    <row r="3420">
      <c r="A3420" s="3" t="n">
        <v>2026</v>
      </c>
      <c r="B3420" s="4" t="n">
        <v>200</v>
      </c>
      <c r="C3420" s="4" t="n">
        <v>20</v>
      </c>
      <c r="D3420" s="3" t="inlineStr">
        <is>
          <t>강내면</t>
        </is>
      </c>
      <c r="E3420" s="3" t="inlineStr">
        <is>
          <t>월곡리</t>
        </is>
      </c>
      <c r="F3420" s="3" t="inlineStr">
        <is>
          <t>제2종일반주거지역</t>
        </is>
      </c>
      <c r="G3420" s="3" t="inlineStr">
        <is>
          <t>전</t>
        </is>
      </c>
      <c r="H3420" s="4" t="n">
        <v>6.05</v>
      </c>
      <c r="I3420" s="5" t="n">
        <v>33.1</v>
      </c>
      <c r="J3420" s="3" t="inlineStr">
        <is>
          <t>강내면</t>
        </is>
      </c>
    </row>
    <row r="3421">
      <c r="A3421" s="3" t="n">
        <v>2026</v>
      </c>
      <c r="B3421" s="4" t="n">
        <v>3839</v>
      </c>
      <c r="C3421" s="4" t="n">
        <v>365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계획관리지역</t>
        </is>
      </c>
      <c r="G3421" s="3" t="inlineStr">
        <is>
          <t>목장용지</t>
        </is>
      </c>
      <c r="H3421" s="4" t="n">
        <v>110.4125</v>
      </c>
      <c r="I3421" s="5" t="n">
        <v>34.8</v>
      </c>
      <c r="J3421" s="3" t="inlineStr">
        <is>
          <t>강내면</t>
        </is>
      </c>
    </row>
    <row r="3422">
      <c r="A3422" s="3" t="n">
        <v>2026</v>
      </c>
      <c r="B3422" s="4" t="n">
        <v>2172</v>
      </c>
      <c r="C3422" s="4" t="n">
        <v>170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과수원</t>
        </is>
      </c>
      <c r="H3422" s="4" t="n">
        <v>51.425</v>
      </c>
      <c r="I3422" s="5" t="n">
        <v>42.2</v>
      </c>
      <c r="J3422" s="3" t="inlineStr">
        <is>
          <t>강내면</t>
        </is>
      </c>
    </row>
    <row r="3423">
      <c r="A3423" s="3" t="n">
        <v>2026</v>
      </c>
      <c r="B3423" s="4" t="n">
        <v>5847</v>
      </c>
      <c r="C3423" s="4" t="n">
        <v>481</v>
      </c>
      <c r="D3423" s="3" t="inlineStr">
        <is>
          <t>강내면</t>
        </is>
      </c>
      <c r="E3423" s="3" t="inlineStr">
        <is>
          <t>산단리</t>
        </is>
      </c>
      <c r="F3423" s="3" t="inlineStr">
        <is>
          <t>계획관리지역</t>
        </is>
      </c>
      <c r="G3423" s="3" t="inlineStr">
        <is>
          <t>과수원</t>
        </is>
      </c>
      <c r="H3423" s="4" t="n">
        <v>145.5025</v>
      </c>
      <c r="I3423" s="5" t="n">
        <v>40.2</v>
      </c>
      <c r="J3423" s="3" t="inlineStr">
        <is>
          <t>강내면</t>
        </is>
      </c>
    </row>
    <row r="3424">
      <c r="A3424" s="3" t="n">
        <v>2026</v>
      </c>
      <c r="B3424" s="4" t="n">
        <v>27785</v>
      </c>
      <c r="C3424" s="4" t="n">
        <v>10747</v>
      </c>
      <c r="D3424" s="3" t="inlineStr">
        <is>
          <t>강내면</t>
        </is>
      </c>
      <c r="E3424" s="3" t="inlineStr">
        <is>
          <t>산단리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3250.9675</v>
      </c>
      <c r="I3424" s="5" t="n">
        <v>8.5</v>
      </c>
      <c r="J3424" s="3" t="inlineStr">
        <is>
          <t>강내면</t>
        </is>
      </c>
    </row>
    <row r="3425">
      <c r="A3425" s="3" t="n">
        <v>2026</v>
      </c>
      <c r="B3425" s="4" t="n">
        <v>13662</v>
      </c>
      <c r="C3425" s="4" t="n">
        <v>11227</v>
      </c>
      <c r="D3425" s="3" t="inlineStr">
        <is>
          <t>강내면</t>
        </is>
      </c>
      <c r="E3425" s="3" t="inlineStr">
        <is>
          <t>산단리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3396.1675</v>
      </c>
      <c r="I3425" s="5" t="n">
        <v>4</v>
      </c>
      <c r="J3425" s="3" t="inlineStr">
        <is>
          <t>강내면</t>
        </is>
      </c>
    </row>
    <row r="3426">
      <c r="A3426" s="3" t="n">
        <v>2026</v>
      </c>
      <c r="B3426" s="4" t="n">
        <v>6740</v>
      </c>
      <c r="C3426" s="4" t="n">
        <v>253</v>
      </c>
      <c r="D3426" s="3" t="inlineStr">
        <is>
          <t>강내면</t>
        </is>
      </c>
      <c r="E3426" s="3" t="inlineStr">
        <is>
          <t>산단리</t>
        </is>
      </c>
      <c r="F3426" s="3" t="inlineStr">
        <is>
          <t>계획관리지역</t>
        </is>
      </c>
      <c r="G3426" s="3" t="inlineStr">
        <is>
          <t>공장용지</t>
        </is>
      </c>
      <c r="H3426" s="4" t="n">
        <v>76.5325</v>
      </c>
      <c r="I3426" s="5" t="n">
        <v>88.09999999999999</v>
      </c>
      <c r="J3426" s="3" t="inlineStr">
        <is>
          <t>강내면</t>
        </is>
      </c>
    </row>
    <row r="3427">
      <c r="A3427" s="3" t="n">
        <v>2026</v>
      </c>
      <c r="B3427" s="4" t="n">
        <v>10337</v>
      </c>
      <c r="C3427" s="4" t="n">
        <v>1895</v>
      </c>
      <c r="D3427" s="3" t="inlineStr">
        <is>
          <t>강내면</t>
        </is>
      </c>
      <c r="E3427" s="3" t="inlineStr">
        <is>
          <t>산단리</t>
        </is>
      </c>
      <c r="F3427" s="3" t="inlineStr">
        <is>
          <t>계획관리지역</t>
        </is>
      </c>
      <c r="G3427" s="3" t="inlineStr">
        <is>
          <t>도로</t>
        </is>
      </c>
      <c r="H3427" s="4" t="n">
        <v>573.2375</v>
      </c>
      <c r="I3427" s="5" t="n">
        <v>18</v>
      </c>
      <c r="J3427" s="3" t="inlineStr">
        <is>
          <t>강내면</t>
        </is>
      </c>
    </row>
    <row r="3428">
      <c r="A3428" s="3" t="n">
        <v>2026</v>
      </c>
      <c r="B3428" s="4" t="n">
        <v>639</v>
      </c>
      <c r="C3428" s="4" t="n">
        <v>1119</v>
      </c>
      <c r="D3428" s="3" t="inlineStr">
        <is>
          <t>강내면</t>
        </is>
      </c>
      <c r="E3428" s="3" t="inlineStr">
        <is>
          <t>산단리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338.4975</v>
      </c>
      <c r="I3428" s="5" t="n">
        <v>1.9</v>
      </c>
      <c r="J3428" s="3" t="inlineStr">
        <is>
          <t>강내면</t>
        </is>
      </c>
    </row>
    <row r="3429">
      <c r="A3429" s="3" t="n">
        <v>2026</v>
      </c>
      <c r="B3429" s="4" t="n">
        <v>10000</v>
      </c>
      <c r="C3429" s="4" t="n">
        <v>625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189.0625</v>
      </c>
      <c r="I3429" s="5" t="n">
        <v>52.9</v>
      </c>
      <c r="J3429" s="3" t="inlineStr">
        <is>
          <t>강내면</t>
        </is>
      </c>
    </row>
    <row r="3430">
      <c r="A3430" s="3" t="n">
        <v>2026</v>
      </c>
      <c r="B3430" s="4" t="n">
        <v>2000</v>
      </c>
      <c r="C3430" s="4" t="n">
        <v>12</v>
      </c>
      <c r="D3430" s="3" t="inlineStr">
        <is>
          <t>오송읍</t>
        </is>
      </c>
      <c r="E3430" s="3" t="inlineStr">
        <is>
          <t>오송리</t>
        </is>
      </c>
      <c r="F3430" s="3" t="inlineStr">
        <is>
          <t>준주거지역</t>
        </is>
      </c>
      <c r="G3430" s="3" t="inlineStr">
        <is>
          <t>대</t>
        </is>
      </c>
      <c r="H3430" s="4" t="n">
        <v>3.63</v>
      </c>
      <c r="I3430" s="5" t="n">
        <v>551</v>
      </c>
      <c r="J3430" s="3" t="inlineStr">
        <is>
          <t>오송읍</t>
        </is>
      </c>
    </row>
    <row r="3431">
      <c r="A3431" s="3" t="n">
        <v>2026</v>
      </c>
      <c r="B3431" s="4" t="n">
        <v>1298</v>
      </c>
      <c r="C3431" s="4" t="n">
        <v>197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59.5925</v>
      </c>
      <c r="I3431" s="5" t="n">
        <v>21.8</v>
      </c>
      <c r="J3431" s="3" t="inlineStr">
        <is>
          <t>강내면</t>
        </is>
      </c>
    </row>
    <row r="3432">
      <c r="A3432" s="3" t="n">
        <v>2026</v>
      </c>
      <c r="B3432" s="4" t="n">
        <v>1298</v>
      </c>
      <c r="C3432" s="4" t="n">
        <v>197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59.5925</v>
      </c>
      <c r="I3432" s="5" t="n">
        <v>21.8</v>
      </c>
      <c r="J3432" s="3" t="inlineStr">
        <is>
          <t>강내면</t>
        </is>
      </c>
    </row>
    <row r="3433">
      <c r="A3433" s="3" t="n">
        <v>2025</v>
      </c>
      <c r="B3433" s="4" t="n">
        <v>28500</v>
      </c>
      <c r="C3433" s="4" t="n">
        <v>1922</v>
      </c>
      <c r="D3433" s="3" t="inlineStr">
        <is>
          <t>강내면</t>
        </is>
      </c>
      <c r="E3433" s="3" t="inlineStr">
        <is>
          <t>태성리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581.405</v>
      </c>
      <c r="I3433" s="5" t="n">
        <v>49</v>
      </c>
      <c r="J3433" s="3" t="inlineStr">
        <is>
          <t>강내면</t>
        </is>
      </c>
    </row>
    <row r="3434">
      <c r="A3434" s="3" t="n">
        <v>2025</v>
      </c>
      <c r="B3434" s="4" t="n">
        <v>18000</v>
      </c>
      <c r="C3434" s="4" t="n">
        <v>833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251.9825</v>
      </c>
      <c r="I3434" s="5" t="n">
        <v>71.40000000000001</v>
      </c>
      <c r="J3434" s="3" t="inlineStr">
        <is>
          <t>강내면</t>
        </is>
      </c>
    </row>
    <row r="3435">
      <c r="A3435" s="3" t="n">
        <v>2025</v>
      </c>
      <c r="B3435" s="4" t="n">
        <v>22000</v>
      </c>
      <c r="C3435" s="4" t="n">
        <v>1359</v>
      </c>
      <c r="D3435" s="3" t="inlineStr">
        <is>
          <t>오송읍</t>
        </is>
      </c>
      <c r="E3435" s="3" t="inlineStr">
        <is>
          <t>동평리</t>
        </is>
      </c>
      <c r="F3435" s="3" t="inlineStr">
        <is>
          <t>농림지역</t>
        </is>
      </c>
      <c r="G3435" s="3" t="inlineStr">
        <is>
          <t>임야</t>
        </is>
      </c>
      <c r="H3435" s="4" t="n">
        <v>411.0975</v>
      </c>
      <c r="I3435" s="5" t="n">
        <v>53.5</v>
      </c>
      <c r="J3435" s="3" t="inlineStr">
        <is>
          <t>오송읍</t>
        </is>
      </c>
    </row>
    <row r="3436">
      <c r="A3436" s="3" t="n">
        <v>2025</v>
      </c>
      <c r="B3436" s="4" t="n">
        <v>8150</v>
      </c>
      <c r="C3436" s="4" t="n">
        <v>539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163.0475</v>
      </c>
      <c r="I3436" s="5" t="n">
        <v>50</v>
      </c>
      <c r="J3436" s="3" t="inlineStr">
        <is>
          <t>강내면</t>
        </is>
      </c>
    </row>
    <row r="3437">
      <c r="A3437" s="3" t="n">
        <v>2025</v>
      </c>
      <c r="B3437" s="4" t="n">
        <v>9000</v>
      </c>
      <c r="C3437" s="4" t="n">
        <v>258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자연녹지지역</t>
        </is>
      </c>
      <c r="G3437" s="3" t="inlineStr">
        <is>
          <t>전</t>
        </is>
      </c>
      <c r="H3437" s="4" t="n">
        <v>78.045</v>
      </c>
      <c r="I3437" s="5" t="n">
        <v>115.3</v>
      </c>
      <c r="J3437" s="3" t="inlineStr">
        <is>
          <t>강내면</t>
        </is>
      </c>
    </row>
    <row r="3438">
      <c r="A3438" s="3" t="n">
        <v>2025</v>
      </c>
      <c r="B3438" s="4" t="n">
        <v>14504</v>
      </c>
      <c r="C3438" s="4" t="n">
        <v>1922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임야</t>
        </is>
      </c>
      <c r="H3438" s="4" t="n">
        <v>581.405</v>
      </c>
      <c r="I3438" s="5" t="n">
        <v>24.9</v>
      </c>
      <c r="J3438" s="3" t="inlineStr">
        <is>
          <t>강내면</t>
        </is>
      </c>
    </row>
    <row r="3439">
      <c r="A3439" s="3" t="n">
        <v>2025</v>
      </c>
      <c r="B3439" s="4" t="n">
        <v>12096</v>
      </c>
      <c r="C3439" s="4" t="n">
        <v>1603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484.9075</v>
      </c>
      <c r="I3439" s="5" t="n">
        <v>24.9</v>
      </c>
      <c r="J3439" s="3" t="inlineStr">
        <is>
          <t>강내면</t>
        </is>
      </c>
    </row>
    <row r="3440">
      <c r="A3440" s="3" t="n">
        <v>2025</v>
      </c>
      <c r="B3440" s="4" t="n">
        <v>14300</v>
      </c>
      <c r="C3440" s="4" t="n">
        <v>630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농림지역</t>
        </is>
      </c>
      <c r="G3440" s="3" t="inlineStr">
        <is>
          <t>전</t>
        </is>
      </c>
      <c r="H3440" s="4" t="n">
        <v>190.575</v>
      </c>
      <c r="I3440" s="5" t="n">
        <v>75</v>
      </c>
      <c r="J3440" s="3" t="inlineStr">
        <is>
          <t>강내면</t>
        </is>
      </c>
    </row>
    <row r="3441">
      <c r="A3441" s="3" t="n">
        <v>2025</v>
      </c>
      <c r="B3441" s="4" t="n">
        <v>10000</v>
      </c>
      <c r="C3441" s="4" t="n">
        <v>1329</v>
      </c>
      <c r="D3441" s="3" t="inlineStr">
        <is>
          <t>강내면</t>
        </is>
      </c>
      <c r="E3441" s="3" t="inlineStr">
        <is>
          <t>태성리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402.0225</v>
      </c>
      <c r="I3441" s="5" t="n">
        <v>24.9</v>
      </c>
      <c r="J3441" s="3" t="inlineStr">
        <is>
          <t>강내면</t>
        </is>
      </c>
    </row>
    <row r="3442">
      <c r="A3442" s="3" t="n">
        <v>2024</v>
      </c>
      <c r="B3442" s="4" t="n">
        <v>26100</v>
      </c>
      <c r="C3442" s="4" t="n">
        <v>864</v>
      </c>
      <c r="D3442" s="3" t="inlineStr">
        <is>
          <t>오송읍</t>
        </is>
      </c>
      <c r="E3442" s="3" t="inlineStr">
        <is>
          <t>쌍청리</t>
        </is>
      </c>
      <c r="F3442" s="3" t="inlineStr">
        <is>
          <t>기타</t>
        </is>
      </c>
      <c r="G3442" s="3" t="inlineStr">
        <is>
          <t>답</t>
        </is>
      </c>
      <c r="H3442" s="4" t="n">
        <v>261.36</v>
      </c>
      <c r="I3442" s="5" t="n">
        <v>99.90000000000001</v>
      </c>
      <c r="J3442" s="3" t="inlineStr">
        <is>
          <t>오송읍</t>
        </is>
      </c>
    </row>
    <row r="3443">
      <c r="A3443" s="3" t="n">
        <v>2024</v>
      </c>
      <c r="B3443" s="4" t="n">
        <v>6900</v>
      </c>
      <c r="C3443" s="4" t="n">
        <v>456</v>
      </c>
      <c r="D3443" s="3" t="inlineStr">
        <is>
          <t>강내면</t>
        </is>
      </c>
      <c r="E3443" s="3" t="inlineStr">
        <is>
          <t>황탄리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137.94</v>
      </c>
      <c r="I3443" s="5" t="n">
        <v>50</v>
      </c>
      <c r="J3443" s="3" t="inlineStr">
        <is>
          <t>강내면</t>
        </is>
      </c>
    </row>
    <row r="3444">
      <c r="A3444" s="3" t="n">
        <v>2024</v>
      </c>
      <c r="B3444" s="4" t="n">
        <v>20000</v>
      </c>
      <c r="C3444" s="4" t="n">
        <v>449</v>
      </c>
      <c r="D3444" s="3" t="inlineStr">
        <is>
          <t>강내면</t>
        </is>
      </c>
      <c r="E3444" s="3" t="inlineStr">
        <is>
          <t>월탄리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135.8225</v>
      </c>
      <c r="I3444" s="5" t="n">
        <v>147.3</v>
      </c>
      <c r="J3444" s="3" t="inlineStr">
        <is>
          <t>강내면</t>
        </is>
      </c>
    </row>
    <row r="3445">
      <c r="A3445" s="3" t="n">
        <v>2024</v>
      </c>
      <c r="B3445" s="4" t="n">
        <v>35453</v>
      </c>
      <c r="C3445" s="4" t="n">
        <v>293</v>
      </c>
      <c r="D3445" s="3" t="inlineStr">
        <is>
          <t>오송읍</t>
        </is>
      </c>
      <c r="E3445" s="3" t="inlineStr">
        <is>
          <t>궁평리</t>
        </is>
      </c>
      <c r="F3445" s="3" t="inlineStr">
        <is>
          <t>계획관리지역</t>
        </is>
      </c>
      <c r="G3445" s="3" t="inlineStr">
        <is>
          <t>잡종지</t>
        </is>
      </c>
      <c r="H3445" s="4" t="n">
        <v>88.63249999999999</v>
      </c>
      <c r="I3445" s="5" t="n">
        <v>400</v>
      </c>
      <c r="J3445" s="3" t="inlineStr">
        <is>
          <t>오송읍</t>
        </is>
      </c>
    </row>
    <row r="3446">
      <c r="A3446" s="3" t="n">
        <v>2024</v>
      </c>
      <c r="B3446" s="4" t="n">
        <v>10500</v>
      </c>
      <c r="C3446" s="4" t="n">
        <v>281.6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제1종일반주거지역</t>
        </is>
      </c>
      <c r="G3446" s="3" t="inlineStr">
        <is>
          <t>대</t>
        </is>
      </c>
      <c r="H3446" s="4" t="n">
        <v>85.184</v>
      </c>
      <c r="I3446" s="5" t="n">
        <v>123.3</v>
      </c>
      <c r="J3446" s="3" t="inlineStr">
        <is>
          <t>오송읍</t>
        </is>
      </c>
    </row>
    <row r="3447">
      <c r="A3447" s="3" t="n">
        <v>2024</v>
      </c>
      <c r="B3447" s="4" t="n">
        <v>9000</v>
      </c>
      <c r="C3447" s="4" t="n">
        <v>247.5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74.86874999999999</v>
      </c>
      <c r="I3447" s="5" t="n">
        <v>120.2</v>
      </c>
      <c r="J3447" s="3" t="inlineStr">
        <is>
          <t>오송읍</t>
        </is>
      </c>
    </row>
    <row r="3448">
      <c r="A3448" s="3" t="n">
        <v>2024</v>
      </c>
      <c r="B3448" s="4" t="n">
        <v>71400</v>
      </c>
      <c r="C3448" s="4" t="n">
        <v>2101</v>
      </c>
      <c r="D3448" s="3" t="inlineStr">
        <is>
          <t>강내면</t>
        </is>
      </c>
      <c r="E3448" s="3" t="inlineStr">
        <is>
          <t>산단리</t>
        </is>
      </c>
      <c r="F3448" s="3" t="inlineStr">
        <is>
          <t>계획관리지역</t>
        </is>
      </c>
      <c r="G3448" s="3" t="inlineStr">
        <is>
          <t>임야</t>
        </is>
      </c>
      <c r="H3448" s="4" t="n">
        <v>635.5525</v>
      </c>
      <c r="I3448" s="5" t="n">
        <v>112.3</v>
      </c>
      <c r="J3448" s="3" t="inlineStr">
        <is>
          <t>강내면</t>
        </is>
      </c>
    </row>
    <row r="3449">
      <c r="A3449" s="3" t="n">
        <v>2024</v>
      </c>
      <c r="B3449" s="4" t="n">
        <v>750</v>
      </c>
      <c r="C3449" s="4" t="n">
        <v>11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제1종일반주거지역</t>
        </is>
      </c>
      <c r="G3449" s="3" t="inlineStr">
        <is>
          <t>답</t>
        </is>
      </c>
      <c r="H3449" s="4" t="n">
        <v>3.3275</v>
      </c>
      <c r="I3449" s="5" t="n">
        <v>225.4</v>
      </c>
      <c r="J3449" s="3" t="inlineStr">
        <is>
          <t>오송읍</t>
        </is>
      </c>
    </row>
    <row r="3450">
      <c r="A3450" s="3" t="n">
        <v>2024</v>
      </c>
      <c r="B3450" s="4" t="n">
        <v>3900</v>
      </c>
      <c r="C3450" s="4" t="n">
        <v>185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55.9625</v>
      </c>
      <c r="I3450" s="5" t="n">
        <v>69.7</v>
      </c>
      <c r="J3450" s="3" t="inlineStr">
        <is>
          <t>강내면</t>
        </is>
      </c>
    </row>
    <row r="3451">
      <c r="A3451" s="3" t="n">
        <v>2024</v>
      </c>
      <c r="B3451" s="4" t="n">
        <v>3470</v>
      </c>
      <c r="C3451" s="4" t="n">
        <v>166</v>
      </c>
      <c r="D3451" s="3" t="inlineStr">
        <is>
          <t>강내면</t>
        </is>
      </c>
      <c r="E3451" s="3" t="inlineStr">
        <is>
          <t>저산리</t>
        </is>
      </c>
      <c r="F3451" s="3" t="inlineStr">
        <is>
          <t>계획관리지역</t>
        </is>
      </c>
      <c r="G3451" s="3" t="inlineStr">
        <is>
          <t>임야</t>
        </is>
      </c>
      <c r="H3451" s="4" t="n">
        <v>50.215</v>
      </c>
      <c r="I3451" s="5" t="n">
        <v>69.09999999999999</v>
      </c>
      <c r="J3451" s="3" t="inlineStr">
        <is>
          <t>강내면</t>
        </is>
      </c>
    </row>
    <row r="3452">
      <c r="A3452" s="3" t="n">
        <v>2024</v>
      </c>
      <c r="B3452" s="4" t="n">
        <v>1230</v>
      </c>
      <c r="C3452" s="4" t="n">
        <v>59.6</v>
      </c>
      <c r="D3452" s="3" t="inlineStr">
        <is>
          <t>강내면</t>
        </is>
      </c>
      <c r="E3452" s="3" t="inlineStr">
        <is>
          <t>저산리</t>
        </is>
      </c>
      <c r="F3452" s="3" t="inlineStr">
        <is>
          <t>계획관리지역</t>
        </is>
      </c>
      <c r="G3452" s="3" t="inlineStr">
        <is>
          <t>도로</t>
        </is>
      </c>
      <c r="H3452" s="4" t="n">
        <v>18.029</v>
      </c>
      <c r="I3452" s="5" t="n">
        <v>68.2</v>
      </c>
      <c r="J3452" s="3" t="inlineStr">
        <is>
          <t>강내면</t>
        </is>
      </c>
    </row>
    <row r="3453">
      <c r="A3453" s="3" t="n">
        <v>2024</v>
      </c>
      <c r="B3453" s="4" t="n">
        <v>12000</v>
      </c>
      <c r="C3453" s="4" t="n">
        <v>1964</v>
      </c>
      <c r="D3453" s="3" t="inlineStr">
        <is>
          <t>강내면</t>
        </is>
      </c>
      <c r="E3453" s="3" t="inlineStr">
        <is>
          <t>학천리</t>
        </is>
      </c>
      <c r="F3453" s="3" t="inlineStr">
        <is>
          <t>생산녹지지역</t>
        </is>
      </c>
      <c r="G3453" s="3" t="inlineStr">
        <is>
          <t>답</t>
        </is>
      </c>
      <c r="H3453" s="4" t="n">
        <v>594.11</v>
      </c>
      <c r="I3453" s="5" t="n">
        <v>20.2</v>
      </c>
      <c r="J3453" s="3" t="inlineStr">
        <is>
          <t>강내면</t>
        </is>
      </c>
    </row>
    <row r="3454">
      <c r="A3454" s="3" t="n">
        <v>2024</v>
      </c>
      <c r="B3454" s="4" t="n">
        <v>1830</v>
      </c>
      <c r="C3454" s="4" t="n">
        <v>67</v>
      </c>
      <c r="D3454" s="3" t="inlineStr">
        <is>
          <t>강내면</t>
        </is>
      </c>
      <c r="E3454" s="3" t="inlineStr">
        <is>
          <t>다락리</t>
        </is>
      </c>
      <c r="F3454" s="3" t="inlineStr">
        <is>
          <t>용도미지정</t>
        </is>
      </c>
      <c r="G3454" s="3" t="inlineStr">
        <is>
          <t>전</t>
        </is>
      </c>
      <c r="H3454" s="4" t="n">
        <v>20.2675</v>
      </c>
      <c r="I3454" s="5" t="n">
        <v>90.3</v>
      </c>
      <c r="J3454" s="3" t="inlineStr">
        <is>
          <t>강내면</t>
        </is>
      </c>
    </row>
    <row r="3455">
      <c r="A3455" s="3" t="n">
        <v>2024</v>
      </c>
      <c r="B3455" s="4" t="n">
        <v>95596</v>
      </c>
      <c r="C3455" s="4" t="n">
        <v>4887.8</v>
      </c>
      <c r="D3455" s="3" t="inlineStr">
        <is>
          <t>오송읍</t>
        </is>
      </c>
      <c r="E3455" s="3" t="inlineStr">
        <is>
          <t>연제리</t>
        </is>
      </c>
      <c r="F3455" s="3" t="inlineStr">
        <is>
          <t>준공업지역</t>
        </is>
      </c>
      <c r="G3455" s="3" t="inlineStr">
        <is>
          <t>대</t>
        </is>
      </c>
      <c r="H3455" s="4" t="n">
        <v>1478.5595</v>
      </c>
      <c r="I3455" s="5" t="n">
        <v>64.7</v>
      </c>
      <c r="J3455" s="3" t="inlineStr">
        <is>
          <t>오송읍</t>
        </is>
      </c>
    </row>
    <row r="3456">
      <c r="A3456" s="3" t="n">
        <v>2024</v>
      </c>
      <c r="B3456" s="4" t="n">
        <v>3000</v>
      </c>
      <c r="C3456" s="4" t="n">
        <v>118</v>
      </c>
      <c r="D3456" s="3" t="inlineStr">
        <is>
          <t>강내면</t>
        </is>
      </c>
      <c r="E3456" s="3" t="inlineStr">
        <is>
          <t>다락리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35.695</v>
      </c>
      <c r="I3456" s="5" t="n">
        <v>84</v>
      </c>
      <c r="J3456" s="3" t="inlineStr">
        <is>
          <t>강내면</t>
        </is>
      </c>
    </row>
    <row r="3457">
      <c r="A3457" s="3" t="n">
        <v>2024</v>
      </c>
      <c r="B3457" s="4" t="n">
        <v>28000</v>
      </c>
      <c r="C3457" s="4" t="n">
        <v>267.5</v>
      </c>
      <c r="D3457" s="3" t="inlineStr">
        <is>
          <t>오송읍</t>
        </is>
      </c>
      <c r="E3457" s="3" t="inlineStr">
        <is>
          <t>봉산리</t>
        </is>
      </c>
      <c r="F3457" s="3" t="inlineStr">
        <is>
          <t>제1종일반주거지역</t>
        </is>
      </c>
      <c r="G3457" s="3" t="inlineStr">
        <is>
          <t>대</t>
        </is>
      </c>
      <c r="H3457" s="4" t="n">
        <v>80.91875</v>
      </c>
      <c r="I3457" s="5" t="n">
        <v>346</v>
      </c>
      <c r="J3457" s="3" t="inlineStr">
        <is>
          <t>오송읍</t>
        </is>
      </c>
    </row>
    <row r="3458">
      <c r="A3458" s="3" t="n">
        <v>2024</v>
      </c>
      <c r="B3458" s="4" t="n">
        <v>4227</v>
      </c>
      <c r="C3458" s="4" t="n">
        <v>61</v>
      </c>
      <c r="D3458" s="3" t="inlineStr">
        <is>
          <t>오송읍</t>
        </is>
      </c>
      <c r="E3458" s="3" t="inlineStr">
        <is>
          <t>동평리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18.4525</v>
      </c>
      <c r="I3458" s="5" t="n">
        <v>229.1</v>
      </c>
      <c r="J3458" s="3" t="inlineStr">
        <is>
          <t>오송읍</t>
        </is>
      </c>
    </row>
    <row r="3459">
      <c r="A3459" s="3" t="n">
        <v>2024</v>
      </c>
      <c r="B3459" s="4" t="n">
        <v>762</v>
      </c>
      <c r="C3459" s="4" t="n">
        <v>11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3.3275</v>
      </c>
      <c r="I3459" s="5" t="n">
        <v>229</v>
      </c>
      <c r="J3459" s="3" t="inlineStr">
        <is>
          <t>오송읍</t>
        </is>
      </c>
    </row>
    <row r="3460">
      <c r="A3460" s="3" t="n">
        <v>2024</v>
      </c>
      <c r="B3460" s="4" t="n">
        <v>11500</v>
      </c>
      <c r="C3460" s="4" t="n">
        <v>276.5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83.64125</v>
      </c>
      <c r="I3460" s="5" t="n">
        <v>137.5</v>
      </c>
      <c r="J3460" s="3" t="inlineStr">
        <is>
          <t>오송읍</t>
        </is>
      </c>
    </row>
    <row r="3461">
      <c r="A3461" s="3" t="n">
        <v>2024</v>
      </c>
      <c r="B3461" s="4" t="n">
        <v>127000</v>
      </c>
      <c r="C3461" s="4" t="n">
        <v>2932</v>
      </c>
      <c r="D3461" s="3" t="inlineStr">
        <is>
          <t>오송읍</t>
        </is>
      </c>
      <c r="E3461" s="3" t="inlineStr">
        <is>
          <t>궁평리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886.9299999999999</v>
      </c>
      <c r="I3461" s="5" t="n">
        <v>143.2</v>
      </c>
      <c r="J3461" s="3" t="inlineStr">
        <is>
          <t>오송읍</t>
        </is>
      </c>
    </row>
    <row r="3462">
      <c r="A3462" s="3" t="n">
        <v>2024</v>
      </c>
      <c r="B3462" s="4" t="n">
        <v>720</v>
      </c>
      <c r="C3462" s="4" t="n">
        <v>119</v>
      </c>
      <c r="D3462" s="3" t="inlineStr">
        <is>
          <t>오송읍</t>
        </is>
      </c>
      <c r="E3462" s="3" t="inlineStr">
        <is>
          <t>쌍청리</t>
        </is>
      </c>
      <c r="F3462" s="3" t="inlineStr">
        <is>
          <t>계획관리지역</t>
        </is>
      </c>
      <c r="G3462" s="3" t="inlineStr">
        <is>
          <t>전</t>
        </is>
      </c>
      <c r="H3462" s="4" t="n">
        <v>35.9975</v>
      </c>
      <c r="I3462" s="5" t="n">
        <v>20</v>
      </c>
      <c r="J3462" s="3" t="inlineStr">
        <is>
          <t>오송읍</t>
        </is>
      </c>
    </row>
    <row r="3463">
      <c r="A3463" s="3" t="n">
        <v>2024</v>
      </c>
      <c r="B3463" s="4" t="n">
        <v>660</v>
      </c>
      <c r="C3463" s="4" t="n">
        <v>73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22.0825</v>
      </c>
      <c r="I3463" s="5" t="n">
        <v>29.9</v>
      </c>
      <c r="J3463" s="3" t="inlineStr">
        <is>
          <t>오송읍</t>
        </is>
      </c>
    </row>
    <row r="3464">
      <c r="A3464" s="3" t="n">
        <v>2024</v>
      </c>
      <c r="B3464" s="4" t="n">
        <v>1100</v>
      </c>
      <c r="C3464" s="4" t="n">
        <v>38</v>
      </c>
      <c r="D3464" s="3" t="inlineStr">
        <is>
          <t>오송읍</t>
        </is>
      </c>
      <c r="E3464" s="3" t="inlineStr">
        <is>
          <t>쌍청리</t>
        </is>
      </c>
      <c r="F3464" s="3" t="inlineStr">
        <is>
          <t>계획관리지역</t>
        </is>
      </c>
      <c r="G3464" s="3" t="inlineStr">
        <is>
          <t>임야</t>
        </is>
      </c>
      <c r="H3464" s="4" t="n">
        <v>11.495</v>
      </c>
      <c r="I3464" s="5" t="n">
        <v>95.7</v>
      </c>
      <c r="J3464" s="3" t="inlineStr">
        <is>
          <t>오송읍</t>
        </is>
      </c>
    </row>
    <row r="3465">
      <c r="A3465" s="3" t="n">
        <v>2024</v>
      </c>
      <c r="B3465" s="4" t="n">
        <v>266904</v>
      </c>
      <c r="C3465" s="4" t="n">
        <v>26442</v>
      </c>
      <c r="D3465" s="3" t="inlineStr">
        <is>
          <t>오송읍</t>
        </is>
      </c>
      <c r="E3465" s="3" t="inlineStr">
        <is>
          <t>상정리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7998.705</v>
      </c>
      <c r="I3465" s="5" t="n">
        <v>33.4</v>
      </c>
      <c r="J3465" s="3" t="inlineStr">
        <is>
          <t>오송읍</t>
        </is>
      </c>
    </row>
    <row r="3466">
      <c r="A3466" s="3" t="n">
        <v>2024</v>
      </c>
      <c r="B3466" s="4" t="n">
        <v>61000</v>
      </c>
      <c r="C3466" s="4" t="n">
        <v>2529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765.0224999999999</v>
      </c>
      <c r="I3466" s="5" t="n">
        <v>79.7</v>
      </c>
      <c r="J3466" s="3" t="inlineStr">
        <is>
          <t>강내면</t>
        </is>
      </c>
    </row>
    <row r="3467">
      <c r="A3467" s="3" t="n">
        <v>2024</v>
      </c>
      <c r="B3467" s="4" t="n">
        <v>33000</v>
      </c>
      <c r="C3467" s="4" t="n">
        <v>248.5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75.17125</v>
      </c>
      <c r="I3467" s="5" t="n">
        <v>439</v>
      </c>
      <c r="J3467" s="3" t="inlineStr">
        <is>
          <t>오송읍</t>
        </is>
      </c>
    </row>
    <row r="3468">
      <c r="A3468" s="3" t="n">
        <v>2024</v>
      </c>
      <c r="B3468" s="4" t="n">
        <v>1540</v>
      </c>
      <c r="C3468" s="4" t="n">
        <v>103</v>
      </c>
      <c r="D3468" s="3" t="inlineStr">
        <is>
          <t>강내면</t>
        </is>
      </c>
      <c r="E3468" s="3" t="inlineStr">
        <is>
          <t>다락리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31.1575</v>
      </c>
      <c r="I3468" s="5" t="n">
        <v>49.4</v>
      </c>
      <c r="J3468" s="3" t="inlineStr">
        <is>
          <t>강내면</t>
        </is>
      </c>
    </row>
    <row r="3469">
      <c r="A3469" s="3" t="n">
        <v>2024</v>
      </c>
      <c r="B3469" s="4" t="n">
        <v>6590</v>
      </c>
      <c r="C3469" s="4" t="n">
        <v>440</v>
      </c>
      <c r="D3469" s="3" t="inlineStr">
        <is>
          <t>강내면</t>
        </is>
      </c>
      <c r="E3469" s="3" t="inlineStr">
        <is>
          <t>다락리</t>
        </is>
      </c>
      <c r="F3469" s="3" t="inlineStr">
        <is>
          <t>계획관리지역</t>
        </is>
      </c>
      <c r="G3469" s="3" t="inlineStr">
        <is>
          <t>임야</t>
        </is>
      </c>
      <c r="H3469" s="4" t="n">
        <v>133.1</v>
      </c>
      <c r="I3469" s="5" t="n">
        <v>49.5</v>
      </c>
      <c r="J3469" s="3" t="inlineStr">
        <is>
          <t>강내면</t>
        </is>
      </c>
    </row>
    <row r="3470">
      <c r="A3470" s="3" t="n">
        <v>2024</v>
      </c>
      <c r="B3470" s="4" t="n">
        <v>13800</v>
      </c>
      <c r="C3470" s="4" t="n">
        <v>921</v>
      </c>
      <c r="D3470" s="3" t="inlineStr">
        <is>
          <t>강내면</t>
        </is>
      </c>
      <c r="E3470" s="3" t="inlineStr">
        <is>
          <t>다락리</t>
        </is>
      </c>
      <c r="F3470" s="3" t="inlineStr">
        <is>
          <t>계획관리지역</t>
        </is>
      </c>
      <c r="G3470" s="3" t="inlineStr">
        <is>
          <t>임야</t>
        </is>
      </c>
      <c r="H3470" s="4" t="n">
        <v>278.6025</v>
      </c>
      <c r="I3470" s="5" t="n">
        <v>49.5</v>
      </c>
      <c r="J3470" s="3" t="inlineStr">
        <is>
          <t>강내면</t>
        </is>
      </c>
    </row>
    <row r="3471">
      <c r="A3471" s="3" t="n">
        <v>2024</v>
      </c>
      <c r="B3471" s="4" t="n">
        <v>1900</v>
      </c>
      <c r="C3471" s="4" t="n">
        <v>127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38.4175</v>
      </c>
      <c r="I3471" s="5" t="n">
        <v>49.5</v>
      </c>
      <c r="J3471" s="3" t="inlineStr">
        <is>
          <t>강내면</t>
        </is>
      </c>
    </row>
    <row r="3472">
      <c r="A3472" s="3" t="n">
        <v>2024</v>
      </c>
      <c r="B3472" s="4" t="n">
        <v>810</v>
      </c>
      <c r="C3472" s="4" t="n">
        <v>54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16.335</v>
      </c>
      <c r="I3472" s="5" t="n">
        <v>49.6</v>
      </c>
      <c r="J3472" s="3" t="inlineStr">
        <is>
          <t>강내면</t>
        </is>
      </c>
    </row>
    <row r="3473">
      <c r="A3473" s="3" t="n">
        <v>2024</v>
      </c>
      <c r="B3473" s="4" t="n">
        <v>5270</v>
      </c>
      <c r="C3473" s="4" t="n">
        <v>352</v>
      </c>
      <c r="D3473" s="3" t="inlineStr">
        <is>
          <t>강내면</t>
        </is>
      </c>
      <c r="E3473" s="3" t="inlineStr">
        <is>
          <t>다락리</t>
        </is>
      </c>
      <c r="F3473" s="3" t="inlineStr">
        <is>
          <t>계획관리지역</t>
        </is>
      </c>
      <c r="G3473" s="3" t="inlineStr">
        <is>
          <t>임야</t>
        </is>
      </c>
      <c r="H3473" s="4" t="n">
        <v>106.48</v>
      </c>
      <c r="I3473" s="5" t="n">
        <v>49.5</v>
      </c>
      <c r="J3473" s="3" t="inlineStr">
        <is>
          <t>강내면</t>
        </is>
      </c>
    </row>
    <row r="3474">
      <c r="A3474" s="3" t="n">
        <v>2024</v>
      </c>
      <c r="B3474" s="4" t="n">
        <v>1930</v>
      </c>
      <c r="C3474" s="4" t="n">
        <v>129</v>
      </c>
      <c r="D3474" s="3" t="inlineStr">
        <is>
          <t>강내면</t>
        </is>
      </c>
      <c r="E3474" s="3" t="inlineStr">
        <is>
          <t>다락리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39.0225</v>
      </c>
      <c r="I3474" s="5" t="n">
        <v>49.5</v>
      </c>
      <c r="J3474" s="3" t="inlineStr">
        <is>
          <t>강내면</t>
        </is>
      </c>
    </row>
    <row r="3475">
      <c r="A3475" s="3" t="n">
        <v>2024</v>
      </c>
      <c r="B3475" s="4" t="n">
        <v>6820</v>
      </c>
      <c r="C3475" s="4" t="n">
        <v>455</v>
      </c>
      <c r="D3475" s="3" t="inlineStr">
        <is>
          <t>강내면</t>
        </is>
      </c>
      <c r="E3475" s="3" t="inlineStr">
        <is>
          <t>다락리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137.6375</v>
      </c>
      <c r="I3475" s="5" t="n">
        <v>49.6</v>
      </c>
      <c r="J3475" s="3" t="inlineStr">
        <is>
          <t>강내면</t>
        </is>
      </c>
    </row>
    <row r="3476">
      <c r="A3476" s="3" t="n">
        <v>2024</v>
      </c>
      <c r="B3476" s="4" t="n">
        <v>40200</v>
      </c>
      <c r="C3476" s="4" t="n">
        <v>1593</v>
      </c>
      <c r="D3476" s="3" t="inlineStr">
        <is>
          <t>오송읍</t>
        </is>
      </c>
      <c r="E3476" s="3" t="inlineStr">
        <is>
          <t>서평리</t>
        </is>
      </c>
      <c r="F3476" s="3" t="inlineStr">
        <is>
          <t>농림지역</t>
        </is>
      </c>
      <c r="G3476" s="3" t="inlineStr">
        <is>
          <t>답</t>
        </is>
      </c>
      <c r="H3476" s="4" t="n">
        <v>481.8825</v>
      </c>
      <c r="I3476" s="5" t="n">
        <v>83.40000000000001</v>
      </c>
      <c r="J3476" s="3" t="inlineStr">
        <is>
          <t>오송읍</t>
        </is>
      </c>
    </row>
    <row r="3477">
      <c r="A3477" s="3" t="n">
        <v>2024</v>
      </c>
      <c r="B3477" s="4" t="n">
        <v>2000</v>
      </c>
      <c r="C3477" s="4" t="n">
        <v>78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23.595</v>
      </c>
      <c r="I3477" s="5" t="n">
        <v>84.8</v>
      </c>
      <c r="J3477" s="3" t="inlineStr">
        <is>
          <t>오송읍</t>
        </is>
      </c>
    </row>
    <row r="3478">
      <c r="A3478" s="3" t="n">
        <v>2024</v>
      </c>
      <c r="B3478" s="4" t="n">
        <v>900</v>
      </c>
      <c r="C3478" s="4" t="n">
        <v>36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농림지역</t>
        </is>
      </c>
      <c r="G3478" s="3" t="inlineStr">
        <is>
          <t>도로</t>
        </is>
      </c>
      <c r="H3478" s="4" t="n">
        <v>10.89</v>
      </c>
      <c r="I3478" s="5" t="n">
        <v>82.59999999999999</v>
      </c>
      <c r="J3478" s="3" t="inlineStr">
        <is>
          <t>오송읍</t>
        </is>
      </c>
    </row>
    <row r="3479">
      <c r="A3479" s="3" t="n">
        <v>2024</v>
      </c>
      <c r="B3479" s="4" t="n">
        <v>18848</v>
      </c>
      <c r="C3479" s="4" t="n">
        <v>249.1</v>
      </c>
      <c r="D3479" s="3" t="inlineStr">
        <is>
          <t>오송읍</t>
        </is>
      </c>
      <c r="E3479" s="3" t="inlineStr">
        <is>
          <t>오송리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75.35275</v>
      </c>
      <c r="I3479" s="5" t="n">
        <v>250.1</v>
      </c>
      <c r="J3479" s="3" t="inlineStr">
        <is>
          <t>오송읍</t>
        </is>
      </c>
    </row>
    <row r="3480">
      <c r="A3480" s="3" t="n">
        <v>2025</v>
      </c>
      <c r="B3480" s="4" t="n">
        <v>663</v>
      </c>
      <c r="C3480" s="4" t="n">
        <v>16</v>
      </c>
      <c r="D3480" s="3" t="inlineStr">
        <is>
          <t>강내면</t>
        </is>
      </c>
      <c r="E3480" s="3" t="inlineStr">
        <is>
          <t>다락리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4.84</v>
      </c>
      <c r="I3480" s="5" t="n">
        <v>137</v>
      </c>
      <c r="J3480" s="3" t="inlineStr">
        <is>
          <t>강내면</t>
        </is>
      </c>
    </row>
    <row r="3481">
      <c r="A3481" s="3" t="n">
        <v>2025</v>
      </c>
      <c r="B3481" s="4" t="n">
        <v>8000</v>
      </c>
      <c r="C3481" s="4" t="n">
        <v>585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176.9625</v>
      </c>
      <c r="I3481" s="5" t="n">
        <v>45.2</v>
      </c>
      <c r="J3481" s="3" t="inlineStr">
        <is>
          <t>오송읍</t>
        </is>
      </c>
    </row>
    <row r="3482">
      <c r="A3482" s="3" t="n">
        <v>2025</v>
      </c>
      <c r="B3482" s="4" t="n">
        <v>1500</v>
      </c>
      <c r="C3482" s="4" t="n">
        <v>96</v>
      </c>
      <c r="D3482" s="3" t="inlineStr">
        <is>
          <t>오송읍</t>
        </is>
      </c>
      <c r="E3482" s="3" t="inlineStr">
        <is>
          <t>쌍청리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29.04</v>
      </c>
      <c r="I3482" s="5" t="n">
        <v>51.7</v>
      </c>
      <c r="J3482" s="3" t="inlineStr">
        <is>
          <t>오송읍</t>
        </is>
      </c>
    </row>
    <row r="3483">
      <c r="A3483" s="3" t="n">
        <v>2025</v>
      </c>
      <c r="B3483" s="4" t="n">
        <v>1000</v>
      </c>
      <c r="C3483" s="4" t="n">
        <v>149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생산녹지지역</t>
        </is>
      </c>
      <c r="G3483" s="3" t="inlineStr">
        <is>
          <t>답</t>
        </is>
      </c>
      <c r="H3483" s="4" t="n">
        <v>45.0725</v>
      </c>
      <c r="I3483" s="5" t="n">
        <v>22.2</v>
      </c>
      <c r="J3483" s="3" t="inlineStr">
        <is>
          <t>강내면</t>
        </is>
      </c>
    </row>
    <row r="3484">
      <c r="A3484" s="3" t="n">
        <v>2025</v>
      </c>
      <c r="B3484" s="4" t="n">
        <v>5000</v>
      </c>
      <c r="C3484" s="4" t="n">
        <v>814</v>
      </c>
      <c r="D3484" s="3" t="inlineStr">
        <is>
          <t>오송읍</t>
        </is>
      </c>
      <c r="E3484" s="3" t="inlineStr">
        <is>
          <t>쌍청리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246.235</v>
      </c>
      <c r="I3484" s="5" t="n">
        <v>20.3</v>
      </c>
      <c r="J3484" s="3" t="inlineStr">
        <is>
          <t>오송읍</t>
        </is>
      </c>
    </row>
    <row r="3485">
      <c r="A3485" s="3" t="n">
        <v>2025</v>
      </c>
      <c r="B3485" s="4" t="n">
        <v>18600</v>
      </c>
      <c r="C3485" s="4" t="n">
        <v>879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265.8975</v>
      </c>
      <c r="I3485" s="5" t="n">
        <v>70</v>
      </c>
      <c r="J3485" s="3" t="inlineStr">
        <is>
          <t>오송읍</t>
        </is>
      </c>
    </row>
    <row r="3486">
      <c r="A3486" s="3" t="n">
        <v>2026</v>
      </c>
      <c r="B3486" s="4" t="n">
        <v>58464</v>
      </c>
      <c r="C3486" s="4" t="n">
        <v>3332</v>
      </c>
      <c r="D3486" s="3" t="inlineStr">
        <is>
          <t>오송읍</t>
        </is>
      </c>
      <c r="E3486" s="3" t="inlineStr">
        <is>
          <t>서평리</t>
        </is>
      </c>
      <c r="F3486" s="3" t="inlineStr">
        <is>
          <t>농림지역</t>
        </is>
      </c>
      <c r="G3486" s="3" t="inlineStr">
        <is>
          <t>답</t>
        </is>
      </c>
      <c r="H3486" s="4" t="n">
        <v>1007.93</v>
      </c>
      <c r="I3486" s="5" t="n">
        <v>58</v>
      </c>
      <c r="J3486" s="3" t="inlineStr">
        <is>
          <t>오송읍</t>
        </is>
      </c>
    </row>
    <row r="3487">
      <c r="A3487" s="3" t="n">
        <v>2026</v>
      </c>
      <c r="B3487" s="4" t="n">
        <v>200000</v>
      </c>
      <c r="C3487" s="4" t="n">
        <v>558.8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준공업지역</t>
        </is>
      </c>
      <c r="G3487" s="3" t="inlineStr">
        <is>
          <t>대</t>
        </is>
      </c>
      <c r="H3487" s="4" t="n">
        <v>169.037</v>
      </c>
      <c r="I3487" s="5" t="n">
        <v>1183.2</v>
      </c>
      <c r="J3487" s="3" t="inlineStr">
        <is>
          <t>오송읍</t>
        </is>
      </c>
    </row>
    <row r="3488">
      <c r="A3488" s="3" t="n">
        <v>2026</v>
      </c>
      <c r="B3488" s="4" t="n">
        <v>33000</v>
      </c>
      <c r="C3488" s="4" t="n">
        <v>266.7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80.67675</v>
      </c>
      <c r="I3488" s="5" t="n">
        <v>409</v>
      </c>
      <c r="J3488" s="3" t="inlineStr">
        <is>
          <t>오송읍</t>
        </is>
      </c>
    </row>
    <row r="3489">
      <c r="A3489" s="3" t="n">
        <v>2026</v>
      </c>
      <c r="B3489" s="4" t="n">
        <v>28000</v>
      </c>
      <c r="C3489" s="4" t="n">
        <v>276.3</v>
      </c>
      <c r="D3489" s="3" t="inlineStr">
        <is>
          <t>오송읍</t>
        </is>
      </c>
      <c r="E3489" s="3" t="inlineStr">
        <is>
          <t>봉산리</t>
        </is>
      </c>
      <c r="F3489" s="3" t="inlineStr">
        <is>
          <t>제1종일반주거지역</t>
        </is>
      </c>
      <c r="G3489" s="3" t="inlineStr">
        <is>
          <t>대</t>
        </is>
      </c>
      <c r="H3489" s="4" t="n">
        <v>83.58074999999999</v>
      </c>
      <c r="I3489" s="5" t="n">
        <v>335</v>
      </c>
      <c r="J3489" s="3" t="inlineStr">
        <is>
          <t>오송읍</t>
        </is>
      </c>
    </row>
    <row r="3490">
      <c r="A3490" s="3" t="n">
        <v>2026</v>
      </c>
      <c r="B3490" s="4" t="n">
        <v>155</v>
      </c>
      <c r="C3490" s="4" t="n">
        <v>23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답</t>
        </is>
      </c>
      <c r="H3490" s="4" t="n">
        <v>6.9575</v>
      </c>
      <c r="I3490" s="5" t="n">
        <v>22.3</v>
      </c>
      <c r="J3490" s="3" t="inlineStr">
        <is>
          <t>강내면</t>
        </is>
      </c>
    </row>
    <row r="3491">
      <c r="A3491" s="3" t="n">
        <v>2026</v>
      </c>
      <c r="B3491" s="4" t="n">
        <v>495</v>
      </c>
      <c r="C3491" s="4" t="n">
        <v>71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21.4775</v>
      </c>
      <c r="I3491" s="5" t="n">
        <v>23</v>
      </c>
      <c r="J3491" s="3" t="inlineStr">
        <is>
          <t>강내면</t>
        </is>
      </c>
    </row>
    <row r="3492">
      <c r="A3492" s="3" t="n">
        <v>2026</v>
      </c>
      <c r="B3492" s="4" t="n">
        <v>10000</v>
      </c>
      <c r="C3492" s="4" t="n">
        <v>506</v>
      </c>
      <c r="D3492" s="3" t="inlineStr">
        <is>
          <t>강내면</t>
        </is>
      </c>
      <c r="E3492" s="3" t="inlineStr">
        <is>
          <t>탑연리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153.065</v>
      </c>
      <c r="I3492" s="5" t="n">
        <v>65.3</v>
      </c>
      <c r="J3492" s="3" t="inlineStr">
        <is>
          <t>강내면</t>
        </is>
      </c>
    </row>
    <row r="3493">
      <c r="A3493" s="3" t="n">
        <v>2026</v>
      </c>
      <c r="B3493" s="4" t="n">
        <v>45000</v>
      </c>
      <c r="C3493" s="4" t="n">
        <v>2003</v>
      </c>
      <c r="D3493" s="3" t="inlineStr">
        <is>
          <t>오송읍</t>
        </is>
      </c>
      <c r="E3493" s="3" t="inlineStr">
        <is>
          <t>궁평리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605.9075</v>
      </c>
      <c r="I3493" s="5" t="n">
        <v>74.3</v>
      </c>
      <c r="J3493" s="3" t="inlineStr">
        <is>
          <t>오송읍</t>
        </is>
      </c>
    </row>
    <row r="3494">
      <c r="A3494" s="3" t="n">
        <v>2025</v>
      </c>
      <c r="B3494" s="4" t="n">
        <v>50329</v>
      </c>
      <c r="C3494" s="4" t="n">
        <v>2829</v>
      </c>
      <c r="D3494" s="3" t="inlineStr">
        <is>
          <t>오송읍</t>
        </is>
      </c>
      <c r="E3494" s="3" t="inlineStr">
        <is>
          <t>연제리</t>
        </is>
      </c>
      <c r="F3494" s="3" t="inlineStr">
        <is>
          <t>준공업지역</t>
        </is>
      </c>
      <c r="G3494" s="3" t="inlineStr">
        <is>
          <t>대</t>
        </is>
      </c>
      <c r="H3494" s="4" t="n">
        <v>855.7724999999999</v>
      </c>
      <c r="I3494" s="5" t="n">
        <v>58.8</v>
      </c>
      <c r="J3494" s="3" t="inlineStr">
        <is>
          <t>오송읍</t>
        </is>
      </c>
    </row>
    <row r="3495">
      <c r="A3495" s="3" t="n">
        <v>2025</v>
      </c>
      <c r="B3495" s="4" t="n">
        <v>5881</v>
      </c>
      <c r="C3495" s="4" t="n">
        <v>324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98.00999999999999</v>
      </c>
      <c r="I3495" s="5" t="n">
        <v>60</v>
      </c>
      <c r="J3495" s="3" t="inlineStr">
        <is>
          <t>오송읍</t>
        </is>
      </c>
    </row>
    <row r="3496">
      <c r="A3496" s="3" t="n">
        <v>2025</v>
      </c>
      <c r="B3496" s="4" t="n">
        <v>71277</v>
      </c>
      <c r="C3496" s="4" t="n">
        <v>3927</v>
      </c>
      <c r="D3496" s="3" t="inlineStr">
        <is>
          <t>오송읍</t>
        </is>
      </c>
      <c r="E3496" s="3" t="inlineStr">
        <is>
          <t>서평리</t>
        </is>
      </c>
      <c r="F3496" s="3" t="inlineStr">
        <is>
          <t>농림지역</t>
        </is>
      </c>
      <c r="G3496" s="3" t="inlineStr">
        <is>
          <t>답</t>
        </is>
      </c>
      <c r="H3496" s="4" t="n">
        <v>1187.9175</v>
      </c>
      <c r="I3496" s="5" t="n">
        <v>60</v>
      </c>
      <c r="J3496" s="3" t="inlineStr">
        <is>
          <t>오송읍</t>
        </is>
      </c>
    </row>
    <row r="3497">
      <c r="A3497" s="3" t="n">
        <v>2025</v>
      </c>
      <c r="B3497" s="4" t="n">
        <v>17643</v>
      </c>
      <c r="C3497" s="4" t="n">
        <v>972</v>
      </c>
      <c r="D3497" s="3" t="inlineStr">
        <is>
          <t>오송읍</t>
        </is>
      </c>
      <c r="E3497" s="3" t="inlineStr">
        <is>
          <t>서평리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294.03</v>
      </c>
      <c r="I3497" s="5" t="n">
        <v>60</v>
      </c>
      <c r="J3497" s="3" t="inlineStr">
        <is>
          <t>오송읍</t>
        </is>
      </c>
    </row>
    <row r="3498">
      <c r="A3498" s="3" t="n">
        <v>2025</v>
      </c>
      <c r="B3498" s="4" t="n">
        <v>37500</v>
      </c>
      <c r="C3498" s="4" t="n">
        <v>240.5</v>
      </c>
      <c r="D3498" s="3" t="inlineStr">
        <is>
          <t>오송읍</t>
        </is>
      </c>
      <c r="E3498" s="3" t="inlineStr">
        <is>
          <t>봉산리</t>
        </is>
      </c>
      <c r="F3498" s="3" t="inlineStr">
        <is>
          <t>제1종일반주거지역</t>
        </is>
      </c>
      <c r="G3498" s="3" t="inlineStr">
        <is>
          <t>대</t>
        </is>
      </c>
      <c r="H3498" s="4" t="n">
        <v>72.75125</v>
      </c>
      <c r="I3498" s="5" t="n">
        <v>515.5</v>
      </c>
      <c r="J3498" s="3" t="inlineStr">
        <is>
          <t>오송읍</t>
        </is>
      </c>
    </row>
    <row r="3499">
      <c r="A3499" s="3" t="n">
        <v>2025</v>
      </c>
      <c r="B3499" s="4" t="n">
        <v>42900</v>
      </c>
      <c r="C3499" s="4" t="n">
        <v>2367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전</t>
        </is>
      </c>
      <c r="H3499" s="4" t="n">
        <v>716.0174999999999</v>
      </c>
      <c r="I3499" s="5" t="n">
        <v>59.9</v>
      </c>
      <c r="J3499" s="3" t="inlineStr">
        <is>
          <t>오송읍</t>
        </is>
      </c>
    </row>
    <row r="3500">
      <c r="A3500" s="3" t="n">
        <v>2025</v>
      </c>
      <c r="B3500" s="4" t="n">
        <v>20753</v>
      </c>
      <c r="C3500" s="4" t="n">
        <v>444.4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보전관리지역</t>
        </is>
      </c>
      <c r="G3500" s="3" t="inlineStr">
        <is>
          <t>대</t>
        </is>
      </c>
      <c r="H3500" s="4" t="n">
        <v>134.431</v>
      </c>
      <c r="I3500" s="5" t="n">
        <v>154.4</v>
      </c>
      <c r="J3500" s="3" t="inlineStr">
        <is>
          <t>강내면</t>
        </is>
      </c>
    </row>
    <row r="3501">
      <c r="A3501" s="3" t="n">
        <v>2025</v>
      </c>
      <c r="B3501" s="4" t="n">
        <v>24569</v>
      </c>
      <c r="C3501" s="4" t="n">
        <v>493.3</v>
      </c>
      <c r="D3501" s="3" t="inlineStr">
        <is>
          <t>강내면</t>
        </is>
      </c>
      <c r="E3501" s="3" t="inlineStr">
        <is>
          <t>사곡리</t>
        </is>
      </c>
      <c r="F3501" s="3" t="inlineStr">
        <is>
          <t>보전관리지역</t>
        </is>
      </c>
      <c r="G3501" s="3" t="inlineStr">
        <is>
          <t>대</t>
        </is>
      </c>
      <c r="H3501" s="4" t="n">
        <v>149.22325</v>
      </c>
      <c r="I3501" s="5" t="n">
        <v>164.6</v>
      </c>
      <c r="J3501" s="3" t="inlineStr">
        <is>
          <t>강내면</t>
        </is>
      </c>
    </row>
    <row r="3502">
      <c r="A3502" s="3" t="n">
        <v>2025</v>
      </c>
      <c r="B3502" s="4" t="n">
        <v>87000</v>
      </c>
      <c r="C3502" s="4" t="n">
        <v>580.2</v>
      </c>
      <c r="D3502" s="3" t="inlineStr">
        <is>
          <t>오송읍</t>
        </is>
      </c>
      <c r="E3502" s="3" t="inlineStr">
        <is>
          <t>정중리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175.5105</v>
      </c>
      <c r="I3502" s="5" t="n">
        <v>495.7</v>
      </c>
      <c r="J3502" s="3" t="inlineStr">
        <is>
          <t>오송읍</t>
        </is>
      </c>
    </row>
    <row r="3503">
      <c r="A3503" s="3" t="n">
        <v>2025</v>
      </c>
      <c r="B3503" s="4" t="n">
        <v>25600</v>
      </c>
      <c r="C3503" s="4" t="n">
        <v>2658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804.045</v>
      </c>
      <c r="I3503" s="5" t="n">
        <v>31.8</v>
      </c>
      <c r="J3503" s="3" t="inlineStr">
        <is>
          <t>강내면</t>
        </is>
      </c>
    </row>
    <row r="3504">
      <c r="A3504" s="3" t="n">
        <v>2025</v>
      </c>
      <c r="B3504" s="4" t="n">
        <v>5200</v>
      </c>
      <c r="C3504" s="4" t="n">
        <v>536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162.14</v>
      </c>
      <c r="I3504" s="5" t="n">
        <v>32.1</v>
      </c>
      <c r="J3504" s="3" t="inlineStr">
        <is>
          <t>강내면</t>
        </is>
      </c>
    </row>
    <row r="3505">
      <c r="A3505" s="3" t="n">
        <v>2025</v>
      </c>
      <c r="B3505" s="4" t="n">
        <v>2200</v>
      </c>
      <c r="C3505" s="4" t="n">
        <v>229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농림지역</t>
        </is>
      </c>
      <c r="G3505" s="3" t="inlineStr">
        <is>
          <t>전</t>
        </is>
      </c>
      <c r="H3505" s="4" t="n">
        <v>69.27249999999999</v>
      </c>
      <c r="I3505" s="5" t="n">
        <v>31.8</v>
      </c>
      <c r="J3505" s="3" t="inlineStr">
        <is>
          <t>강내면</t>
        </is>
      </c>
    </row>
    <row r="3506">
      <c r="A3506" s="3" t="n">
        <v>2025</v>
      </c>
      <c r="B3506" s="4" t="n">
        <v>600</v>
      </c>
      <c r="C3506" s="4" t="n">
        <v>40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생산관리지역</t>
        </is>
      </c>
      <c r="G3506" s="3" t="inlineStr">
        <is>
          <t>전</t>
        </is>
      </c>
      <c r="H3506" s="4" t="n">
        <v>12.1</v>
      </c>
      <c r="I3506" s="5" t="n">
        <v>49.6</v>
      </c>
      <c r="J3506" s="3" t="inlineStr">
        <is>
          <t>오송읍</t>
        </is>
      </c>
    </row>
    <row r="3507">
      <c r="A3507" s="3" t="n">
        <v>2026</v>
      </c>
      <c r="B3507" s="4" t="n">
        <v>12000</v>
      </c>
      <c r="C3507" s="4" t="n">
        <v>330</v>
      </c>
      <c r="D3507" s="3" t="inlineStr">
        <is>
          <t>오송읍</t>
        </is>
      </c>
      <c r="E3507" s="3" t="inlineStr">
        <is>
          <t>동평리</t>
        </is>
      </c>
      <c r="F3507" s="3" t="inlineStr">
        <is>
          <t>계획관리지역</t>
        </is>
      </c>
      <c r="G3507" s="3" t="inlineStr">
        <is>
          <t>잡종지</t>
        </is>
      </c>
      <c r="H3507" s="4" t="n">
        <v>99.825</v>
      </c>
      <c r="I3507" s="5" t="n">
        <v>120.2</v>
      </c>
      <c r="J3507" s="3" t="inlineStr">
        <is>
          <t>오송읍</t>
        </is>
      </c>
    </row>
    <row r="3508">
      <c r="A3508" s="3" t="n">
        <v>2026</v>
      </c>
      <c r="B3508" s="4" t="n">
        <v>12000</v>
      </c>
      <c r="C3508" s="4" t="n">
        <v>339</v>
      </c>
      <c r="D3508" s="3" t="inlineStr">
        <is>
          <t>오송읍</t>
        </is>
      </c>
      <c r="E3508" s="3" t="inlineStr">
        <is>
          <t>동평리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102.5475</v>
      </c>
      <c r="I3508" s="5" t="n">
        <v>117</v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1153</v>
      </c>
      <c r="D3509" s="3" t="inlineStr">
        <is>
          <t>강내면</t>
        </is>
      </c>
      <c r="E3509" s="3" t="inlineStr">
        <is>
          <t>궁현리</t>
        </is>
      </c>
      <c r="F3509" s="3" t="inlineStr">
        <is>
          <t>보전관리지역</t>
        </is>
      </c>
      <c r="G3509" s="3" t="inlineStr">
        <is>
          <t>임야</t>
        </is>
      </c>
      <c r="H3509" s="4" t="n">
        <v>348.7825</v>
      </c>
      <c r="I3509" s="5" t="n">
        <v>14.3</v>
      </c>
      <c r="J3509" s="3" t="inlineStr">
        <is>
          <t>강내면</t>
        </is>
      </c>
    </row>
    <row r="3510">
      <c r="A3510" s="3" t="n">
        <v>2026</v>
      </c>
      <c r="B3510" s="4" t="n">
        <v>19808</v>
      </c>
      <c r="C3510" s="4" t="n">
        <v>7171</v>
      </c>
      <c r="D3510" s="3" t="inlineStr">
        <is>
          <t>강내면</t>
        </is>
      </c>
      <c r="E3510" s="3" t="inlineStr">
        <is>
          <t>궁현리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2169.2275</v>
      </c>
      <c r="I3510" s="5" t="n">
        <v>9.1</v>
      </c>
      <c r="J3510" s="3" t="inlineStr">
        <is>
          <t>강내면</t>
        </is>
      </c>
    </row>
    <row r="3511">
      <c r="A3511" s="3" t="n">
        <v>2026</v>
      </c>
      <c r="B3511" s="4" t="n">
        <v>16720</v>
      </c>
      <c r="C3511" s="4" t="n">
        <v>493</v>
      </c>
      <c r="D3511" s="3" t="inlineStr">
        <is>
          <t>오송읍</t>
        </is>
      </c>
      <c r="E3511" s="3" t="inlineStr">
        <is>
          <t>상정리</t>
        </is>
      </c>
      <c r="F3511" s="3" t="inlineStr">
        <is>
          <t>생산관리지역</t>
        </is>
      </c>
      <c r="G3511" s="3" t="inlineStr">
        <is>
          <t>대</t>
        </is>
      </c>
      <c r="H3511" s="4" t="n">
        <v>149.1325</v>
      </c>
      <c r="I3511" s="5" t="n">
        <v>112.1</v>
      </c>
      <c r="J3511" s="3" t="inlineStr">
        <is>
          <t>오송읍</t>
        </is>
      </c>
    </row>
    <row r="3512">
      <c r="A3512" s="3" t="n">
        <v>2026</v>
      </c>
      <c r="B3512" s="4" t="n">
        <v>25000</v>
      </c>
      <c r="C3512" s="4" t="n">
        <v>856</v>
      </c>
      <c r="D3512" s="3" t="inlineStr">
        <is>
          <t>오송읍</t>
        </is>
      </c>
      <c r="E3512" s="3" t="inlineStr">
        <is>
          <t>서평리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258.94</v>
      </c>
      <c r="I3512" s="5" t="n">
        <v>96.5</v>
      </c>
      <c r="J3512" s="3" t="inlineStr">
        <is>
          <t>오송읍</t>
        </is>
      </c>
    </row>
    <row r="3513">
      <c r="A3513" s="3" t="n">
        <v>2026</v>
      </c>
      <c r="B3513" s="4" t="n">
        <v>60000</v>
      </c>
      <c r="C3513" s="4" t="n">
        <v>3073</v>
      </c>
      <c r="D3513" s="3" t="inlineStr">
        <is>
          <t>오송읍</t>
        </is>
      </c>
      <c r="E3513" s="3" t="inlineStr">
        <is>
          <t>궁평리</t>
        </is>
      </c>
      <c r="F3513" s="3" t="inlineStr">
        <is>
          <t>농림지역</t>
        </is>
      </c>
      <c r="G3513" s="3" t="inlineStr">
        <is>
          <t>전</t>
        </is>
      </c>
      <c r="H3513" s="4" t="n">
        <v>929.5825</v>
      </c>
      <c r="I3513" s="5" t="n">
        <v>64.5</v>
      </c>
      <c r="J3513" s="3" t="inlineStr">
        <is>
          <t>오송읍</t>
        </is>
      </c>
    </row>
    <row r="3514">
      <c r="A3514" s="3" t="n">
        <v>2026</v>
      </c>
      <c r="B3514" s="4" t="n">
        <v>21250</v>
      </c>
      <c r="C3514" s="4" t="n">
        <v>939</v>
      </c>
      <c r="D3514" s="3" t="inlineStr">
        <is>
          <t>오송읍</t>
        </is>
      </c>
      <c r="E3514" s="3" t="inlineStr">
        <is>
          <t>쌍청리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284.0475</v>
      </c>
      <c r="I3514" s="5" t="n">
        <v>74.8</v>
      </c>
      <c r="J3514" s="3" t="inlineStr">
        <is>
          <t>오송읍</t>
        </is>
      </c>
    </row>
    <row r="3515">
      <c r="A3515" s="3" t="n">
        <v>2026</v>
      </c>
      <c r="B3515" s="4" t="n">
        <v>4651</v>
      </c>
      <c r="C3515" s="4" t="n">
        <v>323.6</v>
      </c>
      <c r="D3515" s="3" t="inlineStr">
        <is>
          <t>오송읍</t>
        </is>
      </c>
      <c r="E3515" s="3" t="inlineStr">
        <is>
          <t>상봉리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97.88900000000001</v>
      </c>
      <c r="I3515" s="5" t="n">
        <v>47.5</v>
      </c>
      <c r="J3515" s="3" t="inlineStr">
        <is>
          <t>오송읍</t>
        </is>
      </c>
    </row>
    <row r="3516">
      <c r="A3516" s="3" t="n">
        <v>2026</v>
      </c>
      <c r="B3516" s="4" t="n">
        <v>1202</v>
      </c>
      <c r="C3516" s="4" t="n">
        <v>34</v>
      </c>
      <c r="D3516" s="3" t="inlineStr">
        <is>
          <t>강내면</t>
        </is>
      </c>
      <c r="E3516" s="3" t="inlineStr">
        <is>
          <t>석화리</t>
        </is>
      </c>
      <c r="F3516" s="3" t="inlineStr">
        <is>
          <t>자연녹지지역</t>
        </is>
      </c>
      <c r="G3516" s="3" t="inlineStr">
        <is>
          <t>답</t>
        </is>
      </c>
      <c r="H3516" s="4" t="n">
        <v>10.285</v>
      </c>
      <c r="I3516" s="5" t="n">
        <v>116.9</v>
      </c>
      <c r="J3516" s="3" t="inlineStr">
        <is>
          <t>강내면</t>
        </is>
      </c>
    </row>
    <row r="3517">
      <c r="A3517" s="3" t="n">
        <v>2026</v>
      </c>
      <c r="B3517" s="4" t="n">
        <v>14000</v>
      </c>
      <c r="C3517" s="4" t="n">
        <v>466</v>
      </c>
      <c r="D3517" s="3" t="inlineStr">
        <is>
          <t>강내면</t>
        </is>
      </c>
      <c r="E3517" s="3" t="inlineStr">
        <is>
          <t>다락리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140.965</v>
      </c>
      <c r="I3517" s="5" t="n">
        <v>99.3</v>
      </c>
      <c r="J3517" s="3" t="inlineStr">
        <is>
          <t>강내면</t>
        </is>
      </c>
    </row>
    <row r="3518">
      <c r="A3518" s="3" t="n">
        <v>2026</v>
      </c>
      <c r="B3518" s="4" t="n">
        <v>30000</v>
      </c>
      <c r="C3518" s="4" t="n">
        <v>427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유지</t>
        </is>
      </c>
      <c r="H3518" s="4" t="n">
        <v>129.1675</v>
      </c>
      <c r="I3518" s="5" t="n">
        <v>232.3</v>
      </c>
      <c r="J3518" s="3" t="inlineStr">
        <is>
          <t>오송읍</t>
        </is>
      </c>
    </row>
    <row r="3519">
      <c r="A3519" s="3" t="n">
        <v>2026</v>
      </c>
      <c r="B3519" s="4" t="n">
        <v>5000</v>
      </c>
      <c r="C3519" s="4" t="n">
        <v>86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생산관리지역</t>
        </is>
      </c>
      <c r="G3519" s="3" t="inlineStr">
        <is>
          <t>전</t>
        </is>
      </c>
      <c r="H3519" s="4" t="n">
        <v>26.015</v>
      </c>
      <c r="I3519" s="5" t="n">
        <v>192.2</v>
      </c>
      <c r="J3519" s="3" t="inlineStr">
        <is>
          <t>오송읍</t>
        </is>
      </c>
    </row>
    <row r="3520">
      <c r="A3520" s="3" t="n">
        <v>2025</v>
      </c>
      <c r="B3520" s="4" t="n">
        <v>1300</v>
      </c>
      <c r="C3520" s="4" t="n">
        <v>60</v>
      </c>
      <c r="D3520" s="3" t="inlineStr">
        <is>
          <t>오송읍</t>
        </is>
      </c>
      <c r="E3520" s="3" t="inlineStr">
        <is>
          <t>정중리</t>
        </is>
      </c>
      <c r="F3520" s="3" t="inlineStr">
        <is>
          <t>생산관리지역</t>
        </is>
      </c>
      <c r="G3520" s="3" t="inlineStr">
        <is>
          <t>전</t>
        </is>
      </c>
      <c r="H3520" s="4" t="n">
        <v>18.15</v>
      </c>
      <c r="I3520" s="5" t="n">
        <v>71.59999999999999</v>
      </c>
      <c r="J3520" s="3" t="inlineStr">
        <is>
          <t>오송읍</t>
        </is>
      </c>
    </row>
    <row r="3521">
      <c r="A3521" s="3" t="n">
        <v>2025</v>
      </c>
      <c r="B3521" s="4" t="n">
        <v>11100</v>
      </c>
      <c r="C3521" s="4" t="n">
        <v>529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160.0225</v>
      </c>
      <c r="I3521" s="5" t="n">
        <v>69.40000000000001</v>
      </c>
      <c r="J3521" s="3" t="inlineStr">
        <is>
          <t>오송읍</t>
        </is>
      </c>
    </row>
    <row r="3522">
      <c r="A3522" s="3" t="n">
        <v>2025</v>
      </c>
      <c r="B3522" s="4" t="n">
        <v>5000</v>
      </c>
      <c r="C3522" s="4" t="n">
        <v>340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계획관리지역</t>
        </is>
      </c>
      <c r="G3522" s="3" t="inlineStr">
        <is>
          <t>전</t>
        </is>
      </c>
      <c r="H3522" s="4" t="n">
        <v>102.85</v>
      </c>
      <c r="I3522" s="5" t="n">
        <v>48.6</v>
      </c>
      <c r="J3522" s="3" t="inlineStr">
        <is>
          <t>오송읍</t>
        </is>
      </c>
    </row>
    <row r="3523">
      <c r="A3523" s="3" t="n">
        <v>2025</v>
      </c>
      <c r="B3523" s="4" t="n">
        <v>16000</v>
      </c>
      <c r="C3523" s="4" t="n">
        <v>754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생산관리지역</t>
        </is>
      </c>
      <c r="G3523" s="3" t="inlineStr">
        <is>
          <t>전</t>
        </is>
      </c>
      <c r="H3523" s="4" t="n">
        <v>228.085</v>
      </c>
      <c r="I3523" s="5" t="n">
        <v>70.09999999999999</v>
      </c>
      <c r="J3523" s="3" t="inlineStr">
        <is>
          <t>오송읍</t>
        </is>
      </c>
    </row>
    <row r="3524">
      <c r="A3524" s="3" t="n">
        <v>2025</v>
      </c>
      <c r="B3524" s="4" t="n">
        <v>18600</v>
      </c>
      <c r="C3524" s="4" t="n">
        <v>879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생산관리지역</t>
        </is>
      </c>
      <c r="G3524" s="3" t="inlineStr">
        <is>
          <t>전</t>
        </is>
      </c>
      <c r="H3524" s="4" t="n">
        <v>265.8975</v>
      </c>
      <c r="I3524" s="5" t="n">
        <v>70</v>
      </c>
      <c r="J3524" s="3" t="inlineStr">
        <is>
          <t>오송읍</t>
        </is>
      </c>
    </row>
    <row r="3525">
      <c r="A3525" s="3" t="n">
        <v>2025</v>
      </c>
      <c r="B3525" s="4" t="n">
        <v>1300</v>
      </c>
      <c r="C3525" s="4" t="n">
        <v>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18.15</v>
      </c>
      <c r="I3525" s="5" t="n">
        <v>71.59999999999999</v>
      </c>
      <c r="J3525" s="3" t="inlineStr">
        <is>
          <t>오송읍</t>
        </is>
      </c>
    </row>
    <row r="3526">
      <c r="A3526" s="3" t="n">
        <v>2025</v>
      </c>
      <c r="B3526" s="4" t="n">
        <v>11100</v>
      </c>
      <c r="C3526" s="4" t="n">
        <v>529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160.0225</v>
      </c>
      <c r="I3526" s="5" t="n">
        <v>69.40000000000001</v>
      </c>
      <c r="J3526" s="3" t="inlineStr">
        <is>
          <t>오송읍</t>
        </is>
      </c>
    </row>
    <row r="3527">
      <c r="A3527" s="3" t="n">
        <v>2025</v>
      </c>
      <c r="B3527" s="4" t="n">
        <v>30000</v>
      </c>
      <c r="C3527" s="4" t="n">
        <v>321.9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97.37474999999999</v>
      </c>
      <c r="I3527" s="5" t="n">
        <v>308.1</v>
      </c>
      <c r="J3527" s="3" t="inlineStr">
        <is>
          <t>오송읍</t>
        </is>
      </c>
    </row>
    <row r="3528">
      <c r="A3528" s="3" t="n">
        <v>2025</v>
      </c>
      <c r="B3528" s="4" t="n">
        <v>8250</v>
      </c>
      <c r="C3528" s="4" t="n">
        <v>270.2</v>
      </c>
      <c r="D3528" s="3" t="inlineStr">
        <is>
          <t>오송읍</t>
        </is>
      </c>
      <c r="E3528" s="3" t="inlineStr">
        <is>
          <t>상정리</t>
        </is>
      </c>
      <c r="F3528" s="3" t="inlineStr">
        <is>
          <t>계획관리지역</t>
        </is>
      </c>
      <c r="G3528" s="3" t="inlineStr">
        <is>
          <t>대</t>
        </is>
      </c>
      <c r="H3528" s="4" t="n">
        <v>81.73549999999999</v>
      </c>
      <c r="I3528" s="5" t="n">
        <v>100.9</v>
      </c>
      <c r="J3528" s="3" t="inlineStr">
        <is>
          <t>오송읍</t>
        </is>
      </c>
    </row>
    <row r="3529">
      <c r="A3529" s="3" t="n">
        <v>2025</v>
      </c>
      <c r="B3529" s="4" t="n">
        <v>30000</v>
      </c>
      <c r="C3529" s="4" t="n">
        <v>2859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생산관리지역</t>
        </is>
      </c>
      <c r="G3529" s="3" t="inlineStr">
        <is>
          <t>임야</t>
        </is>
      </c>
      <c r="H3529" s="4" t="n">
        <v>864.8475</v>
      </c>
      <c r="I3529" s="5" t="n">
        <v>34.7</v>
      </c>
      <c r="J3529" s="3" t="inlineStr">
        <is>
          <t>오송읍</t>
        </is>
      </c>
    </row>
    <row r="3530">
      <c r="A3530" s="3" t="n">
        <v>2025</v>
      </c>
      <c r="B3530" s="4" t="n">
        <v>35053</v>
      </c>
      <c r="C3530" s="4" t="n">
        <v>469</v>
      </c>
      <c r="D3530" s="3" t="inlineStr">
        <is>
          <t>오송읍</t>
        </is>
      </c>
      <c r="E3530" s="3" t="inlineStr">
        <is>
          <t>오송리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141.8725</v>
      </c>
      <c r="I3530" s="5" t="n">
        <v>247.1</v>
      </c>
      <c r="J3530" s="3" t="inlineStr">
        <is>
          <t>오송읍</t>
        </is>
      </c>
    </row>
    <row r="3531">
      <c r="A3531" s="3" t="n">
        <v>2025</v>
      </c>
      <c r="B3531" s="4" t="n">
        <v>12332</v>
      </c>
      <c r="C3531" s="4" t="n">
        <v>165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답</t>
        </is>
      </c>
      <c r="H3531" s="4" t="n">
        <v>49.9125</v>
      </c>
      <c r="I3531" s="5" t="n">
        <v>247.1</v>
      </c>
      <c r="J3531" s="3" t="inlineStr">
        <is>
          <t>오송읍</t>
        </is>
      </c>
    </row>
    <row r="3532">
      <c r="A3532" s="3" t="n">
        <v>2025</v>
      </c>
      <c r="B3532" s="4" t="n">
        <v>45375</v>
      </c>
      <c r="C3532" s="4" t="n">
        <v>2000</v>
      </c>
      <c r="D3532" s="3" t="inlineStr">
        <is>
          <t>오송읍</t>
        </is>
      </c>
      <c r="E3532" s="3" t="inlineStr">
        <is>
          <t>서평리</t>
        </is>
      </c>
      <c r="F3532" s="3" t="inlineStr">
        <is>
          <t>생산관리지역</t>
        </is>
      </c>
      <c r="G3532" s="3" t="inlineStr">
        <is>
          <t>전</t>
        </is>
      </c>
      <c r="H3532" s="4" t="n">
        <v>605</v>
      </c>
      <c r="I3532" s="5" t="n">
        <v>75</v>
      </c>
      <c r="J3532" s="3" t="inlineStr">
        <is>
          <t>오송읍</t>
        </is>
      </c>
    </row>
    <row r="3533">
      <c r="A3533" s="3" t="n">
        <v>2026</v>
      </c>
      <c r="B3533" s="4" t="n">
        <v>87564</v>
      </c>
      <c r="C3533" s="4" t="n">
        <v>2420.1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일반공업지역</t>
        </is>
      </c>
      <c r="G3533" s="3" t="inlineStr">
        <is>
          <t>공장용지</t>
        </is>
      </c>
      <c r="H3533" s="4" t="n">
        <v>732.08025</v>
      </c>
      <c r="I3533" s="5" t="n">
        <v>119.6</v>
      </c>
      <c r="J3533" s="3" t="inlineStr">
        <is>
          <t>오송읍</t>
        </is>
      </c>
    </row>
    <row r="3534">
      <c r="A3534" s="3" t="n">
        <v>2026</v>
      </c>
      <c r="B3534" s="4" t="n">
        <v>7300</v>
      </c>
      <c r="C3534" s="4" t="n">
        <v>774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보전녹지지역</t>
        </is>
      </c>
      <c r="G3534" s="3" t="inlineStr">
        <is>
          <t>전</t>
        </is>
      </c>
      <c r="H3534" s="4" t="n">
        <v>234.135</v>
      </c>
      <c r="I3534" s="5" t="n">
        <v>31.2</v>
      </c>
      <c r="J3534" s="3" t="inlineStr">
        <is>
          <t>강내면</t>
        </is>
      </c>
    </row>
    <row r="3535">
      <c r="A3535" s="3" t="n">
        <v>2026</v>
      </c>
      <c r="B3535" s="4" t="n">
        <v>30000</v>
      </c>
      <c r="C3535" s="4" t="n">
        <v>267.7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80.97924999999999</v>
      </c>
      <c r="I3535" s="5" t="n">
        <v>370.5</v>
      </c>
      <c r="J3535" s="3" t="inlineStr">
        <is>
          <t>오송읍</t>
        </is>
      </c>
    </row>
    <row r="3536">
      <c r="A3536" s="3" t="n">
        <v>2026</v>
      </c>
      <c r="B3536" s="4" t="n">
        <v>7300</v>
      </c>
      <c r="C3536" s="4" t="n">
        <v>774</v>
      </c>
      <c r="D3536" s="3" t="inlineStr">
        <is>
          <t>강내면</t>
        </is>
      </c>
      <c r="E3536" s="3" t="inlineStr">
        <is>
          <t>학천리</t>
        </is>
      </c>
      <c r="F3536" s="3" t="inlineStr">
        <is>
          <t>보전녹지지역</t>
        </is>
      </c>
      <c r="G3536" s="3" t="inlineStr">
        <is>
          <t>전</t>
        </is>
      </c>
      <c r="H3536" s="4" t="n">
        <v>234.135</v>
      </c>
      <c r="I3536" s="5" t="n">
        <v>31.2</v>
      </c>
      <c r="J3536" s="3" t="inlineStr">
        <is>
          <t>강내면</t>
        </is>
      </c>
    </row>
    <row r="3537">
      <c r="A3537" s="3" t="n">
        <v>2026</v>
      </c>
      <c r="B3537" s="4" t="n">
        <v>6000</v>
      </c>
      <c r="C3537" s="4" t="n">
        <v>593</v>
      </c>
      <c r="D3537" s="3" t="inlineStr">
        <is>
          <t>오송읍</t>
        </is>
      </c>
      <c r="E3537" s="3" t="inlineStr">
        <is>
          <t>상봉리</t>
        </is>
      </c>
      <c r="F3537" s="3" t="inlineStr">
        <is>
          <t>생산관리지역</t>
        </is>
      </c>
      <c r="G3537" s="3" t="inlineStr">
        <is>
          <t>전</t>
        </is>
      </c>
      <c r="H3537" s="4" t="n">
        <v>179.3825</v>
      </c>
      <c r="I3537" s="5" t="n">
        <v>33.4</v>
      </c>
      <c r="J3537" s="3" t="inlineStr">
        <is>
          <t>오송읍</t>
        </is>
      </c>
    </row>
    <row r="3538">
      <c r="A3538" s="3" t="n">
        <v>2026</v>
      </c>
      <c r="B3538" s="4" t="n">
        <v>6413</v>
      </c>
      <c r="C3538" s="4" t="n">
        <v>106</v>
      </c>
      <c r="D3538" s="3" t="inlineStr">
        <is>
          <t>오송읍</t>
        </is>
      </c>
      <c r="E3538" s="3" t="inlineStr">
        <is>
          <t>궁평리</t>
        </is>
      </c>
      <c r="F3538" s="3" t="inlineStr">
        <is>
          <t>용도미지정</t>
        </is>
      </c>
      <c r="G3538" s="3" t="inlineStr">
        <is>
          <t>대</t>
        </is>
      </c>
      <c r="H3538" s="4" t="n">
        <v>32.065</v>
      </c>
      <c r="I3538" s="5" t="n">
        <v>200</v>
      </c>
      <c r="J3538" s="3" t="inlineStr">
        <is>
          <t>오송읍</t>
        </is>
      </c>
    </row>
    <row r="3539">
      <c r="A3539" s="3" t="n">
        <v>2026</v>
      </c>
      <c r="B3539" s="4" t="n">
        <v>44000</v>
      </c>
      <c r="C3539" s="4" t="n">
        <v>2430</v>
      </c>
      <c r="D3539" s="3" t="inlineStr">
        <is>
          <t>오송읍</t>
        </is>
      </c>
      <c r="E3539" s="3" t="inlineStr">
        <is>
          <t>서평리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735.0749999999999</v>
      </c>
      <c r="I3539" s="5" t="n">
        <v>59.9</v>
      </c>
      <c r="J3539" s="3" t="inlineStr">
        <is>
          <t>오송읍</t>
        </is>
      </c>
    </row>
    <row r="3540">
      <c r="A3540" s="3" t="n">
        <v>2026</v>
      </c>
      <c r="B3540" s="4" t="n">
        <v>45280</v>
      </c>
      <c r="C3540" s="4" t="n">
        <v>935</v>
      </c>
      <c r="D3540" s="3" t="inlineStr">
        <is>
          <t>강내면</t>
        </is>
      </c>
      <c r="E3540" s="3" t="inlineStr">
        <is>
          <t>사곡리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282.8375</v>
      </c>
      <c r="I3540" s="5" t="n">
        <v>160.1</v>
      </c>
      <c r="J3540" s="3" t="inlineStr">
        <is>
          <t>강내면</t>
        </is>
      </c>
    </row>
    <row r="3541">
      <c r="A3541" s="3" t="n">
        <v>2026</v>
      </c>
      <c r="B3541" s="4" t="n">
        <v>10000</v>
      </c>
      <c r="C3541" s="4" t="n">
        <v>351</v>
      </c>
      <c r="D3541" s="3" t="inlineStr">
        <is>
          <t>강내면</t>
        </is>
      </c>
      <c r="E3541" s="3" t="inlineStr">
        <is>
          <t>사인리</t>
        </is>
      </c>
      <c r="F3541" s="3" t="inlineStr">
        <is>
          <t>자연녹지지역</t>
        </is>
      </c>
      <c r="G3541" s="3" t="inlineStr">
        <is>
          <t>대</t>
        </is>
      </c>
      <c r="H3541" s="4" t="n">
        <v>106.1775</v>
      </c>
      <c r="I3541" s="5" t="n">
        <v>94.2</v>
      </c>
      <c r="J3541" s="3" t="inlineStr">
        <is>
          <t>강내면</t>
        </is>
      </c>
    </row>
    <row r="3542">
      <c r="A3542" s="3" t="n">
        <v>2026</v>
      </c>
      <c r="B3542" s="4" t="n">
        <v>24000</v>
      </c>
      <c r="C3542" s="4" t="n">
        <v>854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258.335</v>
      </c>
      <c r="I3542" s="5" t="n">
        <v>92.90000000000001</v>
      </c>
      <c r="J3542" s="3" t="inlineStr">
        <is>
          <t>오송읍</t>
        </is>
      </c>
    </row>
    <row r="3543">
      <c r="A3543" s="3" t="n">
        <v>2026</v>
      </c>
      <c r="B3543" s="4" t="n">
        <v>11200</v>
      </c>
      <c r="C3543" s="4" t="n">
        <v>2786</v>
      </c>
      <c r="D3543" s="3" t="inlineStr">
        <is>
          <t>강내면</t>
        </is>
      </c>
      <c r="E3543" s="3" t="inlineStr">
        <is>
          <t>태성리</t>
        </is>
      </c>
      <c r="F3543" s="3" t="inlineStr">
        <is>
          <t>계획관리지역</t>
        </is>
      </c>
      <c r="G3543" s="3" t="inlineStr">
        <is>
          <t>임야</t>
        </is>
      </c>
      <c r="H3543" s="4" t="n">
        <v>842.765</v>
      </c>
      <c r="I3543" s="5" t="n">
        <v>13.3</v>
      </c>
      <c r="J3543" s="3" t="inlineStr">
        <is>
          <t>강내면</t>
        </is>
      </c>
    </row>
    <row r="3544">
      <c r="A3544" s="3" t="n">
        <v>2026</v>
      </c>
      <c r="B3544" s="4" t="n">
        <v>35000</v>
      </c>
      <c r="C3544" s="4" t="n">
        <v>269.8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81.61450000000001</v>
      </c>
      <c r="I3544" s="5" t="n">
        <v>428.8</v>
      </c>
      <c r="J3544" s="3" t="inlineStr">
        <is>
          <t>오송읍</t>
        </is>
      </c>
    </row>
    <row r="3545">
      <c r="A3545" s="3" t="n">
        <v>2026</v>
      </c>
      <c r="B3545" s="4" t="n">
        <v>12990</v>
      </c>
      <c r="C3545" s="4" t="n">
        <v>1431</v>
      </c>
      <c r="D3545" s="3" t="inlineStr">
        <is>
          <t>오송읍</t>
        </is>
      </c>
      <c r="E3545" s="3" t="inlineStr">
        <is>
          <t>정중리</t>
        </is>
      </c>
      <c r="F3545" s="3" t="inlineStr">
        <is>
          <t>농림지역</t>
        </is>
      </c>
      <c r="G3545" s="3" t="inlineStr">
        <is>
          <t>과수원</t>
        </is>
      </c>
      <c r="H3545" s="4" t="n">
        <v>432.8775</v>
      </c>
      <c r="I3545" s="5" t="n">
        <v>30</v>
      </c>
      <c r="J3545" s="3" t="inlineStr">
        <is>
          <t>오송읍</t>
        </is>
      </c>
    </row>
    <row r="3546">
      <c r="A3546" s="3" t="n">
        <v>2026</v>
      </c>
      <c r="B3546" s="4" t="n">
        <v>4100</v>
      </c>
      <c r="C3546" s="4" t="n">
        <v>893</v>
      </c>
      <c r="D3546" s="3" t="inlineStr">
        <is>
          <t>강내면</t>
        </is>
      </c>
      <c r="E3546" s="3" t="inlineStr">
        <is>
          <t>사곡리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270.1325</v>
      </c>
      <c r="I3546" s="5" t="n">
        <v>15.2</v>
      </c>
      <c r="J3546" s="3" t="inlineStr">
        <is>
          <t>강내면</t>
        </is>
      </c>
    </row>
    <row r="3547">
      <c r="A3547" s="3" t="n">
        <v>2026</v>
      </c>
      <c r="B3547" s="4" t="n">
        <v>32000</v>
      </c>
      <c r="C3547" s="4" t="n">
        <v>267.6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80.949</v>
      </c>
      <c r="I3547" s="5" t="n">
        <v>395.3</v>
      </c>
      <c r="J3547" s="3" t="inlineStr">
        <is>
          <t>오송읍</t>
        </is>
      </c>
    </row>
    <row r="3548">
      <c r="A3548" s="3" t="n">
        <v>2026</v>
      </c>
      <c r="B3548" s="4" t="n">
        <v>62000</v>
      </c>
      <c r="C3548" s="4" t="n">
        <v>2061</v>
      </c>
      <c r="D3548" s="3" t="inlineStr">
        <is>
          <t>오송읍</t>
        </is>
      </c>
      <c r="E3548" s="3" t="inlineStr">
        <is>
          <t>서평리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623.4525</v>
      </c>
      <c r="I3548" s="5" t="n">
        <v>99.40000000000001</v>
      </c>
      <c r="J3548" s="3" t="inlineStr">
        <is>
          <t>오송읍</t>
        </is>
      </c>
    </row>
    <row r="3549">
      <c r="A3549" s="3" t="n">
        <v>2026</v>
      </c>
      <c r="B3549" s="4" t="n">
        <v>59600</v>
      </c>
      <c r="C3549" s="4" t="n">
        <v>490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계획관리지역</t>
        </is>
      </c>
      <c r="G3549" s="3" t="inlineStr">
        <is>
          <t>공장용지</t>
        </is>
      </c>
      <c r="H3549" s="4" t="n">
        <v>148.225</v>
      </c>
      <c r="I3549" s="5" t="n">
        <v>402.1</v>
      </c>
      <c r="J3549" s="3" t="inlineStr">
        <is>
          <t>오송읍</t>
        </is>
      </c>
    </row>
    <row r="3550">
      <c r="A3550" s="3" t="n">
        <v>2026</v>
      </c>
      <c r="B3550" s="4" t="n">
        <v>72000</v>
      </c>
      <c r="C3550" s="4" t="n">
        <v>2235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676.0875</v>
      </c>
      <c r="I3550" s="5" t="n">
        <v>106.5</v>
      </c>
      <c r="J3550" s="3" t="inlineStr">
        <is>
          <t>오송읍</t>
        </is>
      </c>
    </row>
    <row r="3551">
      <c r="A3551" s="3" t="n">
        <v>2026</v>
      </c>
      <c r="B3551" s="4" t="n">
        <v>24938</v>
      </c>
      <c r="C3551" s="4" t="n">
        <v>465</v>
      </c>
      <c r="D3551" s="3" t="inlineStr">
        <is>
          <t>강내면</t>
        </is>
      </c>
      <c r="E3551" s="3" t="inlineStr">
        <is>
          <t>사곡리</t>
        </is>
      </c>
      <c r="F3551" s="3" t="inlineStr">
        <is>
          <t>보전관리지역</t>
        </is>
      </c>
      <c r="G3551" s="3" t="inlineStr">
        <is>
          <t>대</t>
        </is>
      </c>
      <c r="H3551" s="4" t="n">
        <v>140.6625</v>
      </c>
      <c r="I3551" s="5" t="n">
        <v>177.3</v>
      </c>
      <c r="J3551" s="3" t="inlineStr">
        <is>
          <t>강내면</t>
        </is>
      </c>
    </row>
    <row r="3552">
      <c r="A3552" s="3" t="n">
        <v>2026</v>
      </c>
      <c r="B3552" s="4" t="n">
        <v>40000</v>
      </c>
      <c r="C3552" s="4" t="n">
        <v>272.9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제1종일반주거지역</t>
        </is>
      </c>
      <c r="G3552" s="3" t="inlineStr">
        <is>
          <t>대</t>
        </is>
      </c>
      <c r="H3552" s="4" t="n">
        <v>82.55224999999999</v>
      </c>
      <c r="I3552" s="5" t="n">
        <v>484.5</v>
      </c>
      <c r="J3552" s="3" t="inlineStr">
        <is>
          <t>오송읍</t>
        </is>
      </c>
    </row>
    <row r="3553">
      <c r="A3553" s="3" t="n">
        <v>2026</v>
      </c>
      <c r="B3553" s="4" t="n">
        <v>400</v>
      </c>
      <c r="C3553" s="4" t="n">
        <v>322</v>
      </c>
      <c r="D3553" s="3" t="inlineStr">
        <is>
          <t>강내면</t>
        </is>
      </c>
      <c r="E3553" s="3" t="inlineStr">
        <is>
          <t>당곡리</t>
        </is>
      </c>
      <c r="F3553" s="3" t="inlineStr">
        <is>
          <t>보전관리지역</t>
        </is>
      </c>
      <c r="G3553" s="3" t="inlineStr">
        <is>
          <t>임야</t>
        </is>
      </c>
      <c r="H3553" s="4" t="n">
        <v>97.405</v>
      </c>
      <c r="I3553" s="5" t="n">
        <v>4.1</v>
      </c>
      <c r="J3553" s="3" t="inlineStr">
        <is>
          <t>강내면</t>
        </is>
      </c>
    </row>
    <row r="3554">
      <c r="A3554" s="3" t="n">
        <v>2026</v>
      </c>
      <c r="B3554" s="4" t="n">
        <v>950</v>
      </c>
      <c r="C3554" s="4" t="n">
        <v>595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179.9875</v>
      </c>
      <c r="I3554" s="5" t="n">
        <v>5.3</v>
      </c>
      <c r="J3554" s="3" t="inlineStr">
        <is>
          <t>강내면</t>
        </is>
      </c>
    </row>
    <row r="3555">
      <c r="A3555" s="3" t="n">
        <v>2026</v>
      </c>
      <c r="B3555" s="4" t="n">
        <v>20000</v>
      </c>
      <c r="C3555" s="4" t="n">
        <v>2777</v>
      </c>
      <c r="D3555" s="3" t="inlineStr">
        <is>
          <t>오송읍</t>
        </is>
      </c>
      <c r="E3555" s="3" t="inlineStr">
        <is>
          <t>상정리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840.0425</v>
      </c>
      <c r="I3555" s="5" t="n">
        <v>23.8</v>
      </c>
      <c r="J3555" s="3" t="inlineStr">
        <is>
          <t>오송읍</t>
        </is>
      </c>
    </row>
    <row r="3556">
      <c r="A3556" s="3" t="n">
        <v>2026</v>
      </c>
      <c r="B3556" s="4" t="n">
        <v>26277</v>
      </c>
      <c r="C3556" s="4" t="n">
        <v>2766</v>
      </c>
      <c r="D3556" s="3" t="inlineStr">
        <is>
          <t>강내면</t>
        </is>
      </c>
      <c r="E3556" s="3" t="inlineStr">
        <is>
          <t>연정리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836.715</v>
      </c>
      <c r="I3556" s="5" t="n">
        <v>31.4</v>
      </c>
      <c r="J3556" s="3" t="inlineStr">
        <is>
          <t>강내면</t>
        </is>
      </c>
    </row>
    <row r="3557">
      <c r="A3557" s="3" t="n">
        <v>2026</v>
      </c>
      <c r="B3557" s="4" t="n">
        <v>11315</v>
      </c>
      <c r="C3557" s="4" t="n">
        <v>3934</v>
      </c>
      <c r="D3557" s="3" t="inlineStr">
        <is>
          <t>오송읍</t>
        </is>
      </c>
      <c r="E3557" s="3" t="inlineStr">
        <is>
          <t>상봉리</t>
        </is>
      </c>
      <c r="F3557" s="3" t="inlineStr">
        <is>
          <t>생산관리지역</t>
        </is>
      </c>
      <c r="G3557" s="3" t="inlineStr">
        <is>
          <t>임야</t>
        </is>
      </c>
      <c r="H3557" s="4" t="n">
        <v>1190.035</v>
      </c>
      <c r="I3557" s="5" t="n">
        <v>9.5</v>
      </c>
      <c r="J3557" s="3" t="inlineStr">
        <is>
          <t>오송읍</t>
        </is>
      </c>
    </row>
    <row r="3558">
      <c r="A3558" s="3" t="n">
        <v>2024</v>
      </c>
      <c r="B3558" s="4" t="n">
        <v>43700</v>
      </c>
      <c r="C3558" s="4" t="n">
        <v>2469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746.8724999999999</v>
      </c>
      <c r="I3558" s="5" t="n">
        <v>58.5</v>
      </c>
      <c r="J3558" s="3" t="inlineStr">
        <is>
          <t>강내면</t>
        </is>
      </c>
    </row>
    <row r="3559">
      <c r="A3559" s="3" t="n">
        <v>2024</v>
      </c>
      <c r="B3559" s="4" t="n">
        <v>37440</v>
      </c>
      <c r="C3559" s="4" t="n">
        <v>2116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답</t>
        </is>
      </c>
      <c r="H3559" s="4" t="n">
        <v>640.09</v>
      </c>
      <c r="I3559" s="5" t="n">
        <v>58.5</v>
      </c>
      <c r="J3559" s="3" t="inlineStr">
        <is>
          <t>강내면</t>
        </is>
      </c>
    </row>
    <row r="3560">
      <c r="A3560" s="3" t="n">
        <v>2024</v>
      </c>
      <c r="B3560" s="4" t="n">
        <v>69861</v>
      </c>
      <c r="C3560" s="4" t="n">
        <v>3940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답</t>
        </is>
      </c>
      <c r="H3560" s="4" t="n">
        <v>1191.85</v>
      </c>
      <c r="I3560" s="5" t="n">
        <v>58.6</v>
      </c>
      <c r="J3560" s="3" t="inlineStr">
        <is>
          <t>강내면</t>
        </is>
      </c>
    </row>
    <row r="3561">
      <c r="A3561" s="3" t="n">
        <v>2025</v>
      </c>
      <c r="B3561" s="4" t="n">
        <v>10700</v>
      </c>
      <c r="C3561" s="4" t="n">
        <v>276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83.48999999999999</v>
      </c>
      <c r="I3561" s="5" t="n">
        <v>128.2</v>
      </c>
      <c r="J3561" s="3" t="inlineStr">
        <is>
          <t>강내면</t>
        </is>
      </c>
    </row>
    <row r="3562">
      <c r="A3562" s="3" t="n">
        <v>2025</v>
      </c>
      <c r="B3562" s="4" t="n">
        <v>160000</v>
      </c>
      <c r="C3562" s="4" t="n">
        <v>34909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10559.9725</v>
      </c>
      <c r="I3562" s="5" t="n">
        <v>15.2</v>
      </c>
      <c r="J3562" s="3" t="inlineStr">
        <is>
          <t>오송읍</t>
        </is>
      </c>
    </row>
    <row r="3563">
      <c r="A3563" s="3" t="n">
        <v>2025</v>
      </c>
      <c r="B3563" s="4" t="n">
        <v>20500</v>
      </c>
      <c r="C3563" s="4" t="n">
        <v>271.1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82.00775</v>
      </c>
      <c r="I3563" s="5" t="n">
        <v>250</v>
      </c>
      <c r="J3563" s="3" t="inlineStr">
        <is>
          <t>오송읍</t>
        </is>
      </c>
    </row>
    <row r="3564">
      <c r="A3564" s="3" t="n">
        <v>2025</v>
      </c>
      <c r="B3564" s="4" t="n">
        <v>2000</v>
      </c>
      <c r="C3564" s="4" t="n">
        <v>106</v>
      </c>
      <c r="D3564" s="3" t="inlineStr">
        <is>
          <t>오송읍</t>
        </is>
      </c>
      <c r="E3564" s="3" t="inlineStr">
        <is>
          <t>정중리</t>
        </is>
      </c>
      <c r="F3564" s="3" t="inlineStr">
        <is>
          <t>생산관리지역</t>
        </is>
      </c>
      <c r="G3564" s="3" t="inlineStr">
        <is>
          <t>전</t>
        </is>
      </c>
      <c r="H3564" s="4" t="n">
        <v>32.065</v>
      </c>
      <c r="I3564" s="5" t="n">
        <v>62.4</v>
      </c>
      <c r="J3564" s="3" t="inlineStr">
        <is>
          <t>오송읍</t>
        </is>
      </c>
    </row>
    <row r="3565">
      <c r="A3565" s="3" t="n">
        <v>2025</v>
      </c>
      <c r="B3565" s="4" t="n">
        <v>24846</v>
      </c>
      <c r="C3565" s="4" t="n">
        <v>2000</v>
      </c>
      <c r="D3565" s="3" t="inlineStr">
        <is>
          <t>오송읍</t>
        </is>
      </c>
      <c r="E3565" s="3" t="inlineStr">
        <is>
          <t>호계리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605</v>
      </c>
      <c r="I3565" s="5" t="n">
        <v>41.1</v>
      </c>
      <c r="J3565" s="3" t="inlineStr">
        <is>
          <t>오송읍</t>
        </is>
      </c>
    </row>
    <row r="3566">
      <c r="A3566" s="3" t="n">
        <v>2025</v>
      </c>
      <c r="B3566" s="4" t="n">
        <v>2100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제1종일반주거지역</t>
        </is>
      </c>
      <c r="G3566" s="3" t="inlineStr">
        <is>
          <t>과수원</t>
        </is>
      </c>
      <c r="H3566" s="4" t="n">
        <v>13.6125</v>
      </c>
      <c r="I3566" s="5" t="n">
        <v>154.3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265.3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80.25324999999999</v>
      </c>
      <c r="I3567" s="5" t="n">
        <v>373.8</v>
      </c>
      <c r="J3567" s="3" t="inlineStr">
        <is>
          <t>오송읍</t>
        </is>
      </c>
    </row>
    <row r="3568">
      <c r="A3568" s="3" t="n">
        <v>2025</v>
      </c>
      <c r="B3568" s="4" t="n">
        <v>17257</v>
      </c>
      <c r="C3568" s="4" t="n">
        <v>454.8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보전관리지역</t>
        </is>
      </c>
      <c r="G3568" s="3" t="inlineStr">
        <is>
          <t>대</t>
        </is>
      </c>
      <c r="H3568" s="4" t="n">
        <v>137.577</v>
      </c>
      <c r="I3568" s="5" t="n">
        <v>125.4</v>
      </c>
      <c r="J3568" s="3" t="inlineStr">
        <is>
          <t>강내면</t>
        </is>
      </c>
    </row>
    <row r="3569">
      <c r="A3569" s="3" t="n">
        <v>2025</v>
      </c>
      <c r="B3569" s="4" t="n">
        <v>17203</v>
      </c>
      <c r="C3569" s="4" t="n">
        <v>460</v>
      </c>
      <c r="D3569" s="3" t="inlineStr">
        <is>
          <t>강내면</t>
        </is>
      </c>
      <c r="E3569" s="3" t="inlineStr">
        <is>
          <t>사곡리</t>
        </is>
      </c>
      <c r="F3569" s="3" t="inlineStr">
        <is>
          <t>보전관리지역</t>
        </is>
      </c>
      <c r="G3569" s="3" t="inlineStr">
        <is>
          <t>대</t>
        </is>
      </c>
      <c r="H3569" s="4" t="n">
        <v>139.15</v>
      </c>
      <c r="I3569" s="5" t="n">
        <v>123.6</v>
      </c>
      <c r="J3569" s="3" t="inlineStr">
        <is>
          <t>강내면</t>
        </is>
      </c>
    </row>
    <row r="3570">
      <c r="A3570" s="3" t="n">
        <v>2025</v>
      </c>
      <c r="B3570" s="4" t="n">
        <v>23503</v>
      </c>
      <c r="C3570" s="4" t="n">
        <v>545.2</v>
      </c>
      <c r="D3570" s="3" t="inlineStr">
        <is>
          <t>강내면</t>
        </is>
      </c>
      <c r="E3570" s="3" t="inlineStr">
        <is>
          <t>사곡리</t>
        </is>
      </c>
      <c r="F3570" s="3" t="inlineStr">
        <is>
          <t>보전관리지역</t>
        </is>
      </c>
      <c r="G3570" s="3" t="inlineStr">
        <is>
          <t>대</t>
        </is>
      </c>
      <c r="H3570" s="4" t="n">
        <v>164.923</v>
      </c>
      <c r="I3570" s="5" t="n">
        <v>142.5</v>
      </c>
      <c r="J3570" s="3" t="inlineStr">
        <is>
          <t>강내면</t>
        </is>
      </c>
    </row>
    <row r="3571">
      <c r="A3571" s="3" t="n">
        <v>2024</v>
      </c>
      <c r="B3571" s="4" t="n">
        <v>24000</v>
      </c>
      <c r="C3571" s="4" t="n">
        <v>239.5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72.44875</v>
      </c>
      <c r="I3571" s="5" t="n">
        <v>331.3</v>
      </c>
      <c r="J3571" s="3" t="inlineStr">
        <is>
          <t>오송읍</t>
        </is>
      </c>
    </row>
    <row r="3572">
      <c r="A3572" s="3" t="n">
        <v>2024</v>
      </c>
      <c r="B3572" s="4" t="n">
        <v>7424</v>
      </c>
      <c r="C3572" s="4" t="n">
        <v>276</v>
      </c>
      <c r="D3572" s="3" t="inlineStr">
        <is>
          <t>강내면</t>
        </is>
      </c>
      <c r="E3572" s="3" t="inlineStr">
        <is>
          <t>연정리</t>
        </is>
      </c>
      <c r="F3572" s="3" t="inlineStr">
        <is>
          <t>계획관리지역</t>
        </is>
      </c>
      <c r="G3572" s="3" t="inlineStr">
        <is>
          <t>잡종지</t>
        </is>
      </c>
      <c r="H3572" s="4" t="n">
        <v>83.48999999999999</v>
      </c>
      <c r="I3572" s="5" t="n">
        <v>88.90000000000001</v>
      </c>
      <c r="J3572" s="3" t="inlineStr">
        <is>
          <t>강내면</t>
        </is>
      </c>
    </row>
    <row r="3573">
      <c r="A3573" s="3" t="n">
        <v>2024</v>
      </c>
      <c r="B3573" s="4" t="n">
        <v>1000</v>
      </c>
      <c r="C3573" s="4" t="n">
        <v>13</v>
      </c>
      <c r="D3573" s="3" t="inlineStr">
        <is>
          <t>오송읍</t>
        </is>
      </c>
      <c r="E3573" s="3" t="inlineStr">
        <is>
          <t>오송리</t>
        </is>
      </c>
      <c r="F3573" s="3" t="inlineStr">
        <is>
          <t>농림지역</t>
        </is>
      </c>
      <c r="G3573" s="3" t="inlineStr">
        <is>
          <t>도로</t>
        </is>
      </c>
      <c r="H3573" s="4" t="n">
        <v>3.9325</v>
      </c>
      <c r="I3573" s="5" t="n">
        <v>254.3</v>
      </c>
      <c r="J3573" s="3" t="inlineStr">
        <is>
          <t>오송읍</t>
        </is>
      </c>
    </row>
    <row r="3574">
      <c r="A3574" s="3" t="n">
        <v>2024</v>
      </c>
      <c r="B3574" s="4" t="n">
        <v>11000</v>
      </c>
      <c r="C3574" s="4" t="n">
        <v>377</v>
      </c>
      <c r="D3574" s="3" t="inlineStr">
        <is>
          <t>강내면</t>
        </is>
      </c>
      <c r="E3574" s="3" t="inlineStr">
        <is>
          <t>학천리</t>
        </is>
      </c>
      <c r="F3574" s="3" t="inlineStr">
        <is>
          <t>자연녹지지역</t>
        </is>
      </c>
      <c r="G3574" s="3" t="inlineStr">
        <is>
          <t>대</t>
        </is>
      </c>
      <c r="H3574" s="4" t="n">
        <v>114.0425</v>
      </c>
      <c r="I3574" s="5" t="n">
        <v>96.5</v>
      </c>
      <c r="J3574" s="3" t="inlineStr">
        <is>
          <t>강내면</t>
        </is>
      </c>
    </row>
    <row r="3575">
      <c r="A3575" s="3" t="n">
        <v>2024</v>
      </c>
      <c r="B3575" s="4" t="n">
        <v>16841</v>
      </c>
      <c r="C3575" s="4" t="n">
        <v>4960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보전관리지역</t>
        </is>
      </c>
      <c r="G3575" s="3" t="inlineStr">
        <is>
          <t>임야</t>
        </is>
      </c>
      <c r="H3575" s="4" t="n">
        <v>1500.4</v>
      </c>
      <c r="I3575" s="5" t="n">
        <v>11.2</v>
      </c>
      <c r="J3575" s="3" t="inlineStr">
        <is>
          <t>강내면</t>
        </is>
      </c>
    </row>
    <row r="3576">
      <c r="A3576" s="3" t="n">
        <v>2025</v>
      </c>
      <c r="B3576" s="4" t="n">
        <v>144000</v>
      </c>
      <c r="C3576" s="4" t="n">
        <v>3967</v>
      </c>
      <c r="D3576" s="3" t="inlineStr">
        <is>
          <t>오송읍</t>
        </is>
      </c>
      <c r="E3576" s="3" t="inlineStr">
        <is>
          <t>궁평리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1200.0175</v>
      </c>
      <c r="I3576" s="5" t="n">
        <v>120</v>
      </c>
      <c r="J3576" s="3" t="inlineStr">
        <is>
          <t>오송읍</t>
        </is>
      </c>
    </row>
    <row r="3577">
      <c r="A3577" s="3" t="n">
        <v>2025</v>
      </c>
      <c r="B3577" s="4" t="n">
        <v>40000</v>
      </c>
      <c r="C3577" s="4" t="n">
        <v>1087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계획관리지역</t>
        </is>
      </c>
      <c r="G3577" s="3" t="inlineStr">
        <is>
          <t>전</t>
        </is>
      </c>
      <c r="H3577" s="4" t="n">
        <v>328.8175</v>
      </c>
      <c r="I3577" s="5" t="n">
        <v>121.6</v>
      </c>
      <c r="J3577" s="3" t="inlineStr">
        <is>
          <t>강내면</t>
        </is>
      </c>
    </row>
    <row r="3578">
      <c r="A3578" s="3" t="n">
        <v>2025</v>
      </c>
      <c r="B3578" s="4" t="n">
        <v>5000</v>
      </c>
      <c r="C3578" s="4" t="n">
        <v>1051</v>
      </c>
      <c r="D3578" s="3" t="inlineStr">
        <is>
          <t>강내면</t>
        </is>
      </c>
      <c r="E3578" s="3" t="inlineStr">
        <is>
          <t>황탄리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317.9275</v>
      </c>
      <c r="I3578" s="5" t="n">
        <v>15.7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85300</v>
      </c>
      <c r="C3580" s="4" t="n">
        <v>4245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1284.1125</v>
      </c>
      <c r="I3580" s="5" t="n">
        <v>66.40000000000001</v>
      </c>
      <c r="J3580" s="3" t="inlineStr">
        <is>
          <t>오송읍</t>
        </is>
      </c>
    </row>
    <row r="3581">
      <c r="A3581" s="3" t="n">
        <v>2025</v>
      </c>
      <c r="B3581" s="4" t="n">
        <v>12700</v>
      </c>
      <c r="C3581" s="4" t="n">
        <v>635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192.0875</v>
      </c>
      <c r="I3581" s="5" t="n">
        <v>66.09999999999999</v>
      </c>
      <c r="J3581" s="3" t="inlineStr">
        <is>
          <t>오송읍</t>
        </is>
      </c>
    </row>
    <row r="3582">
      <c r="A3582" s="3" t="n">
        <v>2025</v>
      </c>
      <c r="B3582" s="4" t="n">
        <v>65000</v>
      </c>
      <c r="C3582" s="4" t="n">
        <v>3233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977.9825</v>
      </c>
      <c r="I3582" s="5" t="n">
        <v>66.5</v>
      </c>
      <c r="J3582" s="3" t="inlineStr">
        <is>
          <t>오송읍</t>
        </is>
      </c>
    </row>
    <row r="3583">
      <c r="A3583" s="3" t="n">
        <v>2025</v>
      </c>
      <c r="B3583" s="4" t="n">
        <v>20300</v>
      </c>
      <c r="C3583" s="4" t="n">
        <v>1012</v>
      </c>
      <c r="D3583" s="3" t="inlineStr">
        <is>
          <t>오송읍</t>
        </is>
      </c>
      <c r="E3583" s="3" t="inlineStr">
        <is>
          <t>서평리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306.13</v>
      </c>
      <c r="I3583" s="5" t="n">
        <v>66.3</v>
      </c>
      <c r="J3583" s="3" t="inlineStr">
        <is>
          <t>오송읍</t>
        </is>
      </c>
    </row>
    <row r="3584">
      <c r="A3584" s="3" t="n">
        <v>2025</v>
      </c>
      <c r="B3584" s="4" t="n">
        <v>25456</v>
      </c>
      <c r="C3584" s="4" t="n">
        <v>2274</v>
      </c>
      <c r="D3584" s="3" t="inlineStr">
        <is>
          <t>강내면</t>
        </is>
      </c>
      <c r="E3584" s="3" t="inlineStr">
        <is>
          <t>석화리</t>
        </is>
      </c>
      <c r="F3584" s="3" t="inlineStr">
        <is>
          <t>생산녹지지역</t>
        </is>
      </c>
      <c r="G3584" s="3" t="inlineStr">
        <is>
          <t>전</t>
        </is>
      </c>
      <c r="H3584" s="4" t="n">
        <v>687.885</v>
      </c>
      <c r="I3584" s="5" t="n">
        <v>37</v>
      </c>
      <c r="J3584" s="3" t="inlineStr">
        <is>
          <t>강내면</t>
        </is>
      </c>
    </row>
    <row r="3585">
      <c r="A3585" s="3" t="n">
        <v>2025</v>
      </c>
      <c r="B3585" s="4" t="n">
        <v>11729</v>
      </c>
      <c r="C3585" s="4" t="n">
        <v>1048</v>
      </c>
      <c r="D3585" s="3" t="inlineStr">
        <is>
          <t>강내면</t>
        </is>
      </c>
      <c r="E3585" s="3" t="inlineStr">
        <is>
          <t>석화리</t>
        </is>
      </c>
      <c r="F3585" s="3" t="inlineStr">
        <is>
          <t>자연녹지지역</t>
        </is>
      </c>
      <c r="G3585" s="3" t="inlineStr">
        <is>
          <t>답</t>
        </is>
      </c>
      <c r="H3585" s="4" t="n">
        <v>317.02</v>
      </c>
      <c r="I3585" s="5" t="n">
        <v>37</v>
      </c>
      <c r="J3585" s="3" t="inlineStr">
        <is>
          <t>강내면</t>
        </is>
      </c>
    </row>
    <row r="3586">
      <c r="A3586" s="3" t="n">
        <v>2025</v>
      </c>
      <c r="B3586" s="4" t="n">
        <v>20000</v>
      </c>
      <c r="C3586" s="4" t="n">
        <v>367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111.0175</v>
      </c>
      <c r="I3586" s="5" t="n">
        <v>180.2</v>
      </c>
      <c r="J3586" s="3" t="inlineStr">
        <is>
          <t>오송읍</t>
        </is>
      </c>
    </row>
    <row r="3587">
      <c r="A3587" s="3" t="n">
        <v>2025</v>
      </c>
      <c r="B3587" s="4" t="n">
        <v>134000</v>
      </c>
      <c r="C3587" s="4" t="n">
        <v>2202</v>
      </c>
      <c r="D3587" s="3" t="inlineStr">
        <is>
          <t>오송읍</t>
        </is>
      </c>
      <c r="E3587" s="3" t="inlineStr">
        <is>
          <t>봉산리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666.105</v>
      </c>
      <c r="I3587" s="5" t="n">
        <v>201.2</v>
      </c>
      <c r="J3587" s="3" t="inlineStr">
        <is>
          <t>오송읍</t>
        </is>
      </c>
    </row>
    <row r="3588">
      <c r="A3588" s="3" t="n">
        <v>2025</v>
      </c>
      <c r="B3588" s="4" t="n">
        <v>63500</v>
      </c>
      <c r="C3588" s="4" t="n">
        <v>1750</v>
      </c>
      <c r="D3588" s="3" t="inlineStr">
        <is>
          <t>오송읍</t>
        </is>
      </c>
      <c r="E3588" s="3" t="inlineStr">
        <is>
          <t>서평리</t>
        </is>
      </c>
      <c r="F3588" s="3" t="inlineStr">
        <is>
          <t>농림지역</t>
        </is>
      </c>
      <c r="G3588" s="3" t="inlineStr">
        <is>
          <t>전</t>
        </is>
      </c>
      <c r="H3588" s="4" t="n">
        <v>529.375</v>
      </c>
      <c r="I3588" s="5" t="n">
        <v>120</v>
      </c>
      <c r="J3588" s="3" t="inlineStr">
        <is>
          <t>오송읍</t>
        </is>
      </c>
    </row>
    <row r="3589">
      <c r="A3589" s="3" t="n">
        <v>2025</v>
      </c>
      <c r="B3589" s="4" t="n">
        <v>13000</v>
      </c>
      <c r="C3589" s="4" t="n">
        <v>685</v>
      </c>
      <c r="D3589" s="3" t="inlineStr">
        <is>
          <t>강내면</t>
        </is>
      </c>
      <c r="E3589" s="3" t="inlineStr">
        <is>
          <t>태성리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207.2125</v>
      </c>
      <c r="I3589" s="5" t="n">
        <v>62.7</v>
      </c>
      <c r="J3589" s="3" t="inlineStr">
        <is>
          <t>강내면</t>
        </is>
      </c>
    </row>
    <row r="3590">
      <c r="A3590" s="3" t="n">
        <v>2025</v>
      </c>
      <c r="B3590" s="4" t="n">
        <v>39000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481.8</v>
      </c>
      <c r="J3590" s="3" t="inlineStr">
        <is>
          <t>오송읍</t>
        </is>
      </c>
    </row>
    <row r="3591">
      <c r="A3591" s="3" t="n">
        <v>2025</v>
      </c>
      <c r="B3591" s="4" t="n">
        <v>67680</v>
      </c>
      <c r="C3591" s="4" t="n">
        <v>3858</v>
      </c>
      <c r="D3591" s="3" t="inlineStr">
        <is>
          <t>오송읍</t>
        </is>
      </c>
      <c r="E3591" s="3" t="inlineStr">
        <is>
          <t>서평리</t>
        </is>
      </c>
      <c r="F3591" s="3" t="inlineStr">
        <is>
          <t>농림지역</t>
        </is>
      </c>
      <c r="G3591" s="3" t="inlineStr">
        <is>
          <t>답</t>
        </is>
      </c>
      <c r="H3591" s="4" t="n">
        <v>1167.045</v>
      </c>
      <c r="I3591" s="5" t="n">
        <v>58</v>
      </c>
      <c r="J3591" s="3" t="inlineStr">
        <is>
          <t>오송읍</t>
        </is>
      </c>
    </row>
    <row r="3592">
      <c r="A3592" s="3" t="n">
        <v>2025</v>
      </c>
      <c r="B3592" s="4" t="n">
        <v>5955</v>
      </c>
      <c r="C3592" s="4" t="n">
        <v>200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60.5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1876</v>
      </c>
      <c r="C3593" s="4" t="n">
        <v>63</v>
      </c>
      <c r="D3593" s="3" t="inlineStr">
        <is>
          <t>강내면</t>
        </is>
      </c>
      <c r="E3593" s="3" t="inlineStr">
        <is>
          <t>저산리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19.0575</v>
      </c>
      <c r="I3593" s="5" t="n">
        <v>98.40000000000001</v>
      </c>
      <c r="J3593" s="3" t="inlineStr">
        <is>
          <t>강내면</t>
        </is>
      </c>
    </row>
    <row r="3594">
      <c r="A3594" s="3" t="n">
        <v>2025</v>
      </c>
      <c r="B3594" s="4" t="n">
        <v>89</v>
      </c>
      <c r="C3594" s="4" t="n">
        <v>3</v>
      </c>
      <c r="D3594" s="3" t="inlineStr">
        <is>
          <t>강내면</t>
        </is>
      </c>
      <c r="E3594" s="3" t="inlineStr">
        <is>
          <t>저산리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0.9075</v>
      </c>
      <c r="I3594" s="5" t="n">
        <v>98.09999999999999</v>
      </c>
      <c r="J3594" s="3" t="inlineStr">
        <is>
          <t>강내면</t>
        </is>
      </c>
    </row>
    <row r="3595">
      <c r="A3595" s="3" t="n">
        <v>2025</v>
      </c>
      <c r="B3595" s="4" t="n">
        <v>6759</v>
      </c>
      <c r="C3595" s="4" t="n">
        <v>227</v>
      </c>
      <c r="D3595" s="3" t="inlineStr">
        <is>
          <t>강내면</t>
        </is>
      </c>
      <c r="E3595" s="3" t="inlineStr">
        <is>
          <t>저산리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68.6675</v>
      </c>
      <c r="I3595" s="5" t="n">
        <v>98.40000000000001</v>
      </c>
      <c r="J3595" s="3" t="inlineStr">
        <is>
          <t>강내면</t>
        </is>
      </c>
    </row>
    <row r="3596">
      <c r="A3596" s="3" t="n">
        <v>2025</v>
      </c>
      <c r="B3596" s="4" t="n">
        <v>2760</v>
      </c>
      <c r="C3596" s="4" t="n">
        <v>76</v>
      </c>
      <c r="D3596" s="3" t="inlineStr">
        <is>
          <t>오송읍</t>
        </is>
      </c>
      <c r="E3596" s="3" t="inlineStr">
        <is>
          <t>상정리</t>
        </is>
      </c>
      <c r="F3596" s="3" t="inlineStr">
        <is>
          <t>생산관리지역</t>
        </is>
      </c>
      <c r="G3596" s="3" t="inlineStr">
        <is>
          <t>구거</t>
        </is>
      </c>
      <c r="H3596" s="4" t="n">
        <v>22.99</v>
      </c>
      <c r="I3596" s="5" t="n">
        <v>120.1</v>
      </c>
      <c r="J3596" s="3" t="inlineStr">
        <is>
          <t>오송읍</t>
        </is>
      </c>
    </row>
    <row r="3597">
      <c r="A3597" s="3" t="n">
        <v>2025</v>
      </c>
      <c r="B3597" s="4" t="n">
        <v>21714</v>
      </c>
      <c r="C3597" s="4" t="n">
        <v>465</v>
      </c>
      <c r="D3597" s="3" t="inlineStr">
        <is>
          <t>강내면</t>
        </is>
      </c>
      <c r="E3597" s="3" t="inlineStr">
        <is>
          <t>사곡리</t>
        </is>
      </c>
      <c r="F3597" s="3" t="inlineStr">
        <is>
          <t>보전관리지역</t>
        </is>
      </c>
      <c r="G3597" s="3" t="inlineStr">
        <is>
          <t>대</t>
        </is>
      </c>
      <c r="H3597" s="4" t="n">
        <v>140.6625</v>
      </c>
      <c r="I3597" s="5" t="n">
        <v>154.4</v>
      </c>
      <c r="J3597" s="3" t="inlineStr">
        <is>
          <t>강내면</t>
        </is>
      </c>
    </row>
    <row r="3598">
      <c r="A3598" s="3" t="n">
        <v>2022</v>
      </c>
      <c r="B3598" s="4" t="n">
        <v>25500</v>
      </c>
      <c r="C3598" s="4" t="n">
        <v>246.9</v>
      </c>
      <c r="D3598" s="3" t="inlineStr">
        <is>
          <t>오송읍</t>
        </is>
      </c>
      <c r="E3598" s="3" t="inlineStr">
        <is>
          <t>봉산리</t>
        </is>
      </c>
      <c r="F3598" s="3" t="inlineStr">
        <is>
          <t>제1종일반주거지역</t>
        </is>
      </c>
      <c r="G3598" s="3" t="inlineStr">
        <is>
          <t>대</t>
        </is>
      </c>
      <c r="H3598" s="4" t="n">
        <v>74.68725000000001</v>
      </c>
      <c r="I3598" s="5" t="n">
        <v>341.4</v>
      </c>
      <c r="J3598" s="3" t="inlineStr">
        <is>
          <t>오송읍</t>
        </is>
      </c>
    </row>
    <row r="3599">
      <c r="A3599" s="3" t="n">
        <v>2022</v>
      </c>
      <c r="B3599" s="4" t="n">
        <v>108000</v>
      </c>
      <c r="C3599" s="4" t="n">
        <v>1555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470.3875</v>
      </c>
      <c r="I3599" s="5" t="n">
        <v>229.6</v>
      </c>
      <c r="J3599" s="3" t="inlineStr">
        <is>
          <t>오송읍</t>
        </is>
      </c>
    </row>
    <row r="3600">
      <c r="A3600" s="3" t="n">
        <v>2022</v>
      </c>
      <c r="B3600" s="4" t="n">
        <v>50000</v>
      </c>
      <c r="C3600" s="4" t="n">
        <v>3712</v>
      </c>
      <c r="D3600" s="3" t="inlineStr">
        <is>
          <t>오송읍</t>
        </is>
      </c>
      <c r="E3600" s="3" t="inlineStr">
        <is>
          <t>오송리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1122.88</v>
      </c>
      <c r="I3600" s="5" t="n">
        <v>44.5</v>
      </c>
      <c r="J3600" s="3" t="inlineStr">
        <is>
          <t>오송읍</t>
        </is>
      </c>
    </row>
    <row r="3601">
      <c r="A3601" s="3" t="n">
        <v>2022</v>
      </c>
      <c r="B3601" s="4" t="n">
        <v>2350</v>
      </c>
      <c r="C3601" s="4" t="n">
        <v>311</v>
      </c>
      <c r="D3601" s="3" t="inlineStr">
        <is>
          <t>오송읍</t>
        </is>
      </c>
      <c r="E3601" s="3" t="inlineStr">
        <is>
          <t>상봉리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94.0775</v>
      </c>
      <c r="I3601" s="5" t="n">
        <v>25</v>
      </c>
      <c r="J3601" s="3" t="inlineStr">
        <is>
          <t>오송읍</t>
        </is>
      </c>
    </row>
    <row r="3602">
      <c r="A3602" s="3" t="n">
        <v>2022</v>
      </c>
      <c r="B3602" s="4" t="n">
        <v>568300</v>
      </c>
      <c r="C3602" s="4" t="n">
        <v>1019.6</v>
      </c>
      <c r="D3602" s="3" t="inlineStr">
        <is>
          <t>오송읍</t>
        </is>
      </c>
      <c r="E3602" s="3" t="inlineStr">
        <is>
          <t>봉산리</t>
        </is>
      </c>
      <c r="F3602" s="3" t="inlineStr">
        <is>
          <t>일반상업지역</t>
        </is>
      </c>
      <c r="G3602" s="3" t="inlineStr">
        <is>
          <t>대</t>
        </is>
      </c>
      <c r="H3602" s="4" t="n">
        <v>308.429</v>
      </c>
      <c r="I3602" s="5" t="n">
        <v>1842.6</v>
      </c>
      <c r="J3602" s="3" t="inlineStr">
        <is>
          <t>오송읍</t>
        </is>
      </c>
    </row>
    <row r="3603">
      <c r="A3603" s="3" t="n">
        <v>2022</v>
      </c>
      <c r="B3603" s="4" t="n">
        <v>1000</v>
      </c>
      <c r="C3603" s="4" t="n">
        <v>66</v>
      </c>
      <c r="D3603" s="3" t="inlineStr">
        <is>
          <t>강내면</t>
        </is>
      </c>
      <c r="E3603" s="3" t="inlineStr">
        <is>
          <t>궁현리</t>
        </is>
      </c>
      <c r="F3603" s="3" t="inlineStr">
        <is>
          <t>농림지역</t>
        </is>
      </c>
      <c r="G3603" s="3" t="inlineStr">
        <is>
          <t>도로</t>
        </is>
      </c>
      <c r="H3603" s="4" t="n">
        <v>19.965</v>
      </c>
      <c r="I3603" s="5" t="n">
        <v>50.1</v>
      </c>
      <c r="J3603" s="3" t="inlineStr">
        <is>
          <t>강내면</t>
        </is>
      </c>
    </row>
    <row r="3604">
      <c r="A3604" s="3" t="n">
        <v>2022</v>
      </c>
      <c r="B3604" s="4" t="n">
        <v>11650</v>
      </c>
      <c r="C3604" s="4" t="n">
        <v>505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152.7625</v>
      </c>
      <c r="I3604" s="5" t="n">
        <v>76.3</v>
      </c>
      <c r="J3604" s="3" t="inlineStr">
        <is>
          <t>강내면</t>
        </is>
      </c>
    </row>
    <row r="3605">
      <c r="A3605" s="3" t="n">
        <v>2022</v>
      </c>
      <c r="B3605" s="4" t="n">
        <v>4850</v>
      </c>
      <c r="C3605" s="4" t="n">
        <v>465</v>
      </c>
      <c r="D3605" s="3" t="inlineStr">
        <is>
          <t>강내면</t>
        </is>
      </c>
      <c r="E3605" s="3" t="inlineStr">
        <is>
          <t>궁현리</t>
        </is>
      </c>
      <c r="F3605" s="3" t="inlineStr">
        <is>
          <t>계획관리지역</t>
        </is>
      </c>
      <c r="G3605" s="3" t="inlineStr">
        <is>
          <t>임야</t>
        </is>
      </c>
      <c r="H3605" s="4" t="n">
        <v>140.6625</v>
      </c>
      <c r="I3605" s="5" t="n">
        <v>34.5</v>
      </c>
      <c r="J3605" s="3" t="inlineStr">
        <is>
          <t>강내면</t>
        </is>
      </c>
    </row>
    <row r="3606">
      <c r="A3606" s="3" t="n">
        <v>2022</v>
      </c>
      <c r="B3606" s="4" t="n">
        <v>6500</v>
      </c>
      <c r="C3606" s="4" t="n">
        <v>545</v>
      </c>
      <c r="D3606" s="3" t="inlineStr">
        <is>
          <t>강내면</t>
        </is>
      </c>
      <c r="E3606" s="3" t="inlineStr">
        <is>
          <t>궁현리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164.8625</v>
      </c>
      <c r="I3606" s="5" t="n">
        <v>39.4</v>
      </c>
      <c r="J3606" s="3" t="inlineStr">
        <is>
          <t>강내면</t>
        </is>
      </c>
    </row>
    <row r="3607">
      <c r="A3607" s="3" t="n">
        <v>2022</v>
      </c>
      <c r="B3607" s="4" t="n">
        <v>6700</v>
      </c>
      <c r="C3607" s="4" t="n">
        <v>555</v>
      </c>
      <c r="D3607" s="3" t="inlineStr">
        <is>
          <t>강내면</t>
        </is>
      </c>
      <c r="E3607" s="3" t="inlineStr">
        <is>
          <t>궁현리</t>
        </is>
      </c>
      <c r="F3607" s="3" t="inlineStr">
        <is>
          <t>계획관리지역</t>
        </is>
      </c>
      <c r="G3607" s="3" t="inlineStr">
        <is>
          <t>임야</t>
        </is>
      </c>
      <c r="H3607" s="4" t="n">
        <v>167.8875</v>
      </c>
      <c r="I3607" s="5" t="n">
        <v>39.9</v>
      </c>
      <c r="J3607" s="3" t="inlineStr">
        <is>
          <t>강내면</t>
        </is>
      </c>
    </row>
    <row r="3608">
      <c r="A3608" s="3" t="n">
        <v>2022</v>
      </c>
      <c r="B3608" s="4" t="n">
        <v>27000</v>
      </c>
      <c r="C3608" s="4" t="n">
        <v>2250</v>
      </c>
      <c r="D3608" s="3" t="inlineStr">
        <is>
          <t>강내면</t>
        </is>
      </c>
      <c r="E3608" s="3" t="inlineStr">
        <is>
          <t>궁현리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680.625</v>
      </c>
      <c r="I3608" s="5" t="n">
        <v>39.7</v>
      </c>
      <c r="J3608" s="3" t="inlineStr">
        <is>
          <t>강내면</t>
        </is>
      </c>
    </row>
    <row r="3609">
      <c r="A3609" s="3" t="n">
        <v>2022</v>
      </c>
      <c r="B3609" s="4" t="n">
        <v>150000</v>
      </c>
      <c r="C3609" s="4" t="n">
        <v>819.4</v>
      </c>
      <c r="D3609" s="3" t="inlineStr">
        <is>
          <t>오송읍</t>
        </is>
      </c>
      <c r="E3609" s="3" t="inlineStr">
        <is>
          <t>연제리</t>
        </is>
      </c>
      <c r="F3609" s="3" t="inlineStr">
        <is>
          <t>일반상업지역</t>
        </is>
      </c>
      <c r="G3609" s="3" t="inlineStr">
        <is>
          <t>대</t>
        </is>
      </c>
      <c r="H3609" s="4" t="n">
        <v>247.8685</v>
      </c>
      <c r="I3609" s="5" t="n">
        <v>605.2</v>
      </c>
      <c r="J3609" s="3" t="inlineStr">
        <is>
          <t>오송읍</t>
        </is>
      </c>
    </row>
    <row r="3610">
      <c r="A3610" s="3" t="n">
        <v>2022</v>
      </c>
      <c r="B3610" s="4" t="n">
        <v>25000</v>
      </c>
      <c r="C3610" s="4" t="n">
        <v>592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179.08</v>
      </c>
      <c r="I3610" s="5" t="n">
        <v>139.6</v>
      </c>
      <c r="J3610" s="3" t="inlineStr">
        <is>
          <t>오송읍</t>
        </is>
      </c>
    </row>
    <row r="3611">
      <c r="A3611" s="3" t="n">
        <v>2022</v>
      </c>
      <c r="B3611" s="4" t="n">
        <v>8500</v>
      </c>
      <c r="C3611" s="4" t="n">
        <v>68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계획관리지역</t>
        </is>
      </c>
      <c r="G3611" s="3" t="inlineStr">
        <is>
          <t>도로</t>
        </is>
      </c>
      <c r="H3611" s="4" t="n">
        <v>20.57</v>
      </c>
      <c r="I3611" s="5" t="n">
        <v>413.2</v>
      </c>
      <c r="J3611" s="3" t="inlineStr">
        <is>
          <t>오송읍</t>
        </is>
      </c>
    </row>
    <row r="3612">
      <c r="A3612" s="3" t="n">
        <v>2022</v>
      </c>
      <c r="B3612" s="4" t="n">
        <v>35500</v>
      </c>
      <c r="C3612" s="4" t="n">
        <v>1920</v>
      </c>
      <c r="D3612" s="3" t="inlineStr">
        <is>
          <t>강내면</t>
        </is>
      </c>
      <c r="E3612" s="3" t="inlineStr">
        <is>
          <t>산단리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580.8</v>
      </c>
      <c r="I3612" s="5" t="n">
        <v>61.1</v>
      </c>
      <c r="J3612" s="3" t="inlineStr">
        <is>
          <t>강내면</t>
        </is>
      </c>
    </row>
    <row r="3613">
      <c r="A3613" s="3" t="n">
        <v>2022</v>
      </c>
      <c r="B3613" s="4" t="n">
        <v>4500</v>
      </c>
      <c r="C3613" s="4" t="n">
        <v>245</v>
      </c>
      <c r="D3613" s="3" t="inlineStr">
        <is>
          <t>강내면</t>
        </is>
      </c>
      <c r="E3613" s="3" t="inlineStr">
        <is>
          <t>산단리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74.1125</v>
      </c>
      <c r="I3613" s="5" t="n">
        <v>60.7</v>
      </c>
      <c r="J3613" s="3" t="inlineStr">
        <is>
          <t>강내면</t>
        </is>
      </c>
    </row>
    <row r="3614">
      <c r="A3614" s="3" t="n">
        <v>2022</v>
      </c>
      <c r="B3614" s="4" t="n">
        <v>88540</v>
      </c>
      <c r="C3614" s="4" t="n">
        <v>1541</v>
      </c>
      <c r="D3614" s="3" t="inlineStr">
        <is>
          <t>강내면</t>
        </is>
      </c>
      <c r="E3614" s="3" t="inlineStr">
        <is>
          <t>탑연리</t>
        </is>
      </c>
      <c r="F3614" s="3" t="inlineStr">
        <is>
          <t>자연녹지지역</t>
        </is>
      </c>
      <c r="G3614" s="3" t="inlineStr">
        <is>
          <t>답</t>
        </is>
      </c>
      <c r="H3614" s="4" t="n">
        <v>466.1525</v>
      </c>
      <c r="I3614" s="5" t="n">
        <v>189.9</v>
      </c>
      <c r="J3614" s="3" t="inlineStr">
        <is>
          <t>강내면</t>
        </is>
      </c>
    </row>
    <row r="3615">
      <c r="A3615" s="3" t="n">
        <v>2022</v>
      </c>
      <c r="B3615" s="4" t="n">
        <v>10500</v>
      </c>
      <c r="C3615" s="4" t="n">
        <v>347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104.9675</v>
      </c>
      <c r="I3615" s="5" t="n">
        <v>100</v>
      </c>
      <c r="J3615" s="3" t="inlineStr">
        <is>
          <t>강내면</t>
        </is>
      </c>
    </row>
    <row r="3616">
      <c r="A3616" s="3" t="n">
        <v>2022</v>
      </c>
      <c r="B3616" s="4" t="n">
        <v>68000</v>
      </c>
      <c r="C3616" s="4" t="n">
        <v>1699</v>
      </c>
      <c r="D3616" s="3" t="inlineStr">
        <is>
          <t>강내면</t>
        </is>
      </c>
      <c r="E3616" s="3" t="inlineStr">
        <is>
          <t>저산리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513.9475</v>
      </c>
      <c r="I3616" s="5" t="n">
        <v>132.3</v>
      </c>
      <c r="J3616" s="3" t="inlineStr">
        <is>
          <t>강내면</t>
        </is>
      </c>
    </row>
    <row r="3617">
      <c r="A3617" s="3" t="n">
        <v>2022</v>
      </c>
      <c r="B3617" s="4" t="n">
        <v>40000</v>
      </c>
      <c r="C3617" s="4" t="n">
        <v>641</v>
      </c>
      <c r="D3617" s="3" t="inlineStr">
        <is>
          <t>강내면</t>
        </is>
      </c>
      <c r="E3617" s="3" t="inlineStr">
        <is>
          <t>탑연리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193.9025</v>
      </c>
      <c r="I3617" s="5" t="n">
        <v>206.3</v>
      </c>
      <c r="J3617" s="3" t="inlineStr">
        <is>
          <t>강내면</t>
        </is>
      </c>
    </row>
    <row r="3618">
      <c r="A3618" s="3" t="n">
        <v>2022</v>
      </c>
      <c r="B3618" s="4" t="n">
        <v>9100</v>
      </c>
      <c r="C3618" s="4" t="n">
        <v>149</v>
      </c>
      <c r="D3618" s="3" t="inlineStr">
        <is>
          <t>강내면</t>
        </is>
      </c>
      <c r="E3618" s="3" t="inlineStr">
        <is>
          <t>월탄리</t>
        </is>
      </c>
      <c r="F3618" s="3" t="inlineStr">
        <is>
          <t>계획관리지역</t>
        </is>
      </c>
      <c r="G3618" s="3" t="inlineStr">
        <is>
          <t>대</t>
        </is>
      </c>
      <c r="H3618" s="4" t="n">
        <v>45.0725</v>
      </c>
      <c r="I3618" s="5" t="n">
        <v>201.9</v>
      </c>
      <c r="J3618" s="3" t="inlineStr">
        <is>
          <t>강내면</t>
        </is>
      </c>
    </row>
    <row r="3619">
      <c r="A3619" s="3" t="n">
        <v>2022</v>
      </c>
      <c r="B3619" s="4" t="n">
        <v>49300</v>
      </c>
      <c r="C3619" s="4" t="n">
        <v>816</v>
      </c>
      <c r="D3619" s="3" t="inlineStr">
        <is>
          <t>강내면</t>
        </is>
      </c>
      <c r="E3619" s="3" t="inlineStr">
        <is>
          <t>월탄리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246.84</v>
      </c>
      <c r="I3619" s="5" t="n">
        <v>199.7</v>
      </c>
      <c r="J3619" s="3" t="inlineStr">
        <is>
          <t>강내면</t>
        </is>
      </c>
    </row>
    <row r="3620">
      <c r="A3620" s="3" t="n">
        <v>2022</v>
      </c>
      <c r="B3620" s="4" t="n">
        <v>36000</v>
      </c>
      <c r="C3620" s="4" t="n">
        <v>660</v>
      </c>
      <c r="D3620" s="3" t="inlineStr">
        <is>
          <t>오송읍</t>
        </is>
      </c>
      <c r="E3620" s="3" t="inlineStr">
        <is>
          <t>궁평리</t>
        </is>
      </c>
      <c r="F3620" s="3" t="inlineStr">
        <is>
          <t>농림지역</t>
        </is>
      </c>
      <c r="G3620" s="3" t="inlineStr">
        <is>
          <t>창고용지</t>
        </is>
      </c>
      <c r="H3620" s="4" t="n">
        <v>199.65</v>
      </c>
      <c r="I3620" s="5" t="n">
        <v>180.3</v>
      </c>
      <c r="J3620" s="3" t="inlineStr">
        <is>
          <t>오송읍</t>
        </is>
      </c>
    </row>
    <row r="3621">
      <c r="A3621" s="3" t="n">
        <v>2022</v>
      </c>
      <c r="B3621" s="4" t="n">
        <v>40000</v>
      </c>
      <c r="C3621" s="4" t="n">
        <v>272.7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82.49175</v>
      </c>
      <c r="I3621" s="5" t="n">
        <v>484.9</v>
      </c>
      <c r="J3621" s="3" t="inlineStr">
        <is>
          <t>오송읍</t>
        </is>
      </c>
    </row>
    <row r="3622">
      <c r="A3622" s="3" t="n">
        <v>2022</v>
      </c>
      <c r="B3622" s="4" t="n">
        <v>9000</v>
      </c>
      <c r="C3622" s="4" t="n">
        <v>1001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302.8025</v>
      </c>
      <c r="I3622" s="5" t="n">
        <v>29.7</v>
      </c>
      <c r="J3622" s="3" t="inlineStr">
        <is>
          <t>강내면</t>
        </is>
      </c>
    </row>
    <row r="3623">
      <c r="A3623" s="3" t="n">
        <v>2022</v>
      </c>
      <c r="B3623" s="4" t="n">
        <v>77717</v>
      </c>
      <c r="C3623" s="4" t="n">
        <v>6626.3</v>
      </c>
      <c r="D3623" s="3" t="inlineStr">
        <is>
          <t>오송읍</t>
        </is>
      </c>
      <c r="E3623" s="3" t="inlineStr">
        <is>
          <t>연제리</t>
        </is>
      </c>
      <c r="F3623" s="3" t="inlineStr">
        <is>
          <t>준공업지역</t>
        </is>
      </c>
      <c r="G3623" s="3" t="inlineStr">
        <is>
          <t>대</t>
        </is>
      </c>
      <c r="H3623" s="4" t="n">
        <v>2004.45575</v>
      </c>
      <c r="I3623" s="5" t="n">
        <v>38.8</v>
      </c>
      <c r="J3623" s="3" t="inlineStr">
        <is>
          <t>오송읍</t>
        </is>
      </c>
    </row>
    <row r="3624">
      <c r="A3624" s="3" t="n">
        <v>2022</v>
      </c>
      <c r="B3624" s="4" t="n">
        <v>20000</v>
      </c>
      <c r="C3624" s="4" t="n">
        <v>1368</v>
      </c>
      <c r="D3624" s="3" t="inlineStr">
        <is>
          <t>강내면</t>
        </is>
      </c>
      <c r="E3624" s="3" t="inlineStr">
        <is>
          <t>탑연리</t>
        </is>
      </c>
      <c r="F3624" s="3" t="inlineStr">
        <is>
          <t>생산녹지지역</t>
        </is>
      </c>
      <c r="G3624" s="3" t="inlineStr">
        <is>
          <t>답</t>
        </is>
      </c>
      <c r="H3624" s="4" t="n">
        <v>413.82</v>
      </c>
      <c r="I3624" s="5" t="n">
        <v>48.3</v>
      </c>
      <c r="J3624" s="3" t="inlineStr">
        <is>
          <t>강내면</t>
        </is>
      </c>
    </row>
    <row r="3625">
      <c r="A3625" s="3" t="n">
        <v>2022</v>
      </c>
      <c r="B3625" s="4" t="n">
        <v>12000</v>
      </c>
      <c r="C3625" s="4" t="n">
        <v>485</v>
      </c>
      <c r="D3625" s="3" t="inlineStr">
        <is>
          <t>오송읍</t>
        </is>
      </c>
      <c r="E3625" s="3" t="inlineStr">
        <is>
          <t>상봉리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146.7125</v>
      </c>
      <c r="I3625" s="5" t="n">
        <v>81.8</v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17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준주거지역</t>
        </is>
      </c>
      <c r="G3626" s="3" t="inlineStr">
        <is>
          <t>답</t>
        </is>
      </c>
      <c r="H3626" s="4" t="n">
        <v>5.1425</v>
      </c>
      <c r="I3626" s="5" t="n">
        <v>301.4</v>
      </c>
      <c r="J3626" s="3" t="inlineStr">
        <is>
          <t>오송읍</t>
        </is>
      </c>
    </row>
    <row r="3627">
      <c r="A3627" s="3" t="n">
        <v>2022</v>
      </c>
      <c r="B3627" s="4" t="n">
        <v>487996</v>
      </c>
      <c r="C3627" s="4" t="n">
        <v>14266.6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일반공업지역</t>
        </is>
      </c>
      <c r="G3627" s="3" t="inlineStr">
        <is>
          <t>대</t>
        </is>
      </c>
      <c r="H3627" s="4" t="n">
        <v>4315.6465</v>
      </c>
      <c r="I3627" s="5" t="n">
        <v>113.1</v>
      </c>
      <c r="J3627" s="3" t="inlineStr">
        <is>
          <t>오송읍</t>
        </is>
      </c>
    </row>
    <row r="3628">
      <c r="A3628" s="3" t="n">
        <v>2022</v>
      </c>
      <c r="B3628" s="4" t="n">
        <v>11600</v>
      </c>
      <c r="C3628" s="4" t="n">
        <v>1283</v>
      </c>
      <c r="D3628" s="3" t="inlineStr">
        <is>
          <t>오송읍</t>
        </is>
      </c>
      <c r="E3628" s="3" t="inlineStr">
        <is>
          <t>쌍청리</t>
        </is>
      </c>
      <c r="F3628" s="3" t="inlineStr">
        <is>
          <t>농림지역</t>
        </is>
      </c>
      <c r="G3628" s="3" t="inlineStr">
        <is>
          <t>전</t>
        </is>
      </c>
      <c r="H3628" s="4" t="n">
        <v>388.1075</v>
      </c>
      <c r="I3628" s="5" t="n">
        <v>29.9</v>
      </c>
      <c r="J3628" s="3" t="inlineStr">
        <is>
          <t>오송읍</t>
        </is>
      </c>
    </row>
    <row r="3629">
      <c r="A3629" s="3" t="n">
        <v>2022</v>
      </c>
      <c r="B3629" s="4" t="n">
        <v>75</v>
      </c>
      <c r="C3629" s="4" t="n">
        <v>3</v>
      </c>
      <c r="D3629" s="3" t="inlineStr">
        <is>
          <t>오송읍</t>
        </is>
      </c>
      <c r="E3629" s="3" t="inlineStr">
        <is>
          <t>연제리</t>
        </is>
      </c>
      <c r="F3629" s="3" t="inlineStr">
        <is>
          <t>농림지역</t>
        </is>
      </c>
      <c r="G3629" s="3" t="inlineStr">
        <is>
          <t>도로</t>
        </is>
      </c>
      <c r="H3629" s="4" t="n">
        <v>0.9075</v>
      </c>
      <c r="I3629" s="5" t="n">
        <v>82.59999999999999</v>
      </c>
      <c r="J3629" s="3" t="inlineStr">
        <is>
          <t>오송읍</t>
        </is>
      </c>
    </row>
    <row r="3630">
      <c r="A3630" s="3" t="n">
        <v>2022</v>
      </c>
      <c r="B3630" s="4" t="n">
        <v>31500</v>
      </c>
      <c r="C3630" s="4" t="n">
        <v>287.2</v>
      </c>
      <c r="D3630" s="3" t="inlineStr">
        <is>
          <t>오송읍</t>
        </is>
      </c>
      <c r="E3630" s="3" t="inlineStr">
        <is>
          <t>봉산리</t>
        </is>
      </c>
      <c r="F3630" s="3" t="inlineStr">
        <is>
          <t>제1종일반주거지역</t>
        </is>
      </c>
      <c r="G3630" s="3" t="inlineStr">
        <is>
          <t>대</t>
        </is>
      </c>
      <c r="H3630" s="4" t="n">
        <v>86.878</v>
      </c>
      <c r="I3630" s="5" t="n">
        <v>362.6</v>
      </c>
      <c r="J3630" s="3" t="inlineStr">
        <is>
          <t>오송읍</t>
        </is>
      </c>
    </row>
    <row r="3631">
      <c r="A3631" s="3" t="n">
        <v>2022</v>
      </c>
      <c r="B3631" s="4" t="n">
        <v>462</v>
      </c>
      <c r="C3631" s="4" t="n">
        <v>6</v>
      </c>
      <c r="D3631" s="3" t="inlineStr">
        <is>
          <t>강내면</t>
        </is>
      </c>
      <c r="E3631" s="3" t="inlineStr">
        <is>
          <t>월곡리</t>
        </is>
      </c>
      <c r="F3631" s="3" t="inlineStr">
        <is>
          <t>제2종일반주거지역</t>
        </is>
      </c>
      <c r="G3631" s="3" t="inlineStr">
        <is>
          <t>대</t>
        </is>
      </c>
      <c r="H3631" s="4" t="n">
        <v>1.815</v>
      </c>
      <c r="I3631" s="5" t="n">
        <v>254.5</v>
      </c>
      <c r="J3631" s="3" t="inlineStr">
        <is>
          <t>강내면</t>
        </is>
      </c>
    </row>
    <row r="3632">
      <c r="A3632" s="3" t="n">
        <v>2023</v>
      </c>
      <c r="B3632" s="4" t="n">
        <v>2100</v>
      </c>
      <c r="C3632" s="4" t="n">
        <v>24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7.26</v>
      </c>
      <c r="I3632" s="5" t="n">
        <v>289.3</v>
      </c>
      <c r="J3632" s="3" t="inlineStr">
        <is>
          <t>오송읍</t>
        </is>
      </c>
    </row>
    <row r="3633">
      <c r="A3633" s="3" t="n">
        <v>2023</v>
      </c>
      <c r="B3633" s="4" t="n">
        <v>7100</v>
      </c>
      <c r="C3633" s="4" t="n">
        <v>143</v>
      </c>
      <c r="D3633" s="3" t="inlineStr">
        <is>
          <t>강내면</t>
        </is>
      </c>
      <c r="E3633" s="3" t="inlineStr">
        <is>
          <t>석화리</t>
        </is>
      </c>
      <c r="F3633" s="3" t="inlineStr">
        <is>
          <t>자연녹지지역</t>
        </is>
      </c>
      <c r="G3633" s="3" t="inlineStr">
        <is>
          <t>대</t>
        </is>
      </c>
      <c r="H3633" s="4" t="n">
        <v>43.2575</v>
      </c>
      <c r="I3633" s="5" t="n">
        <v>164.1</v>
      </c>
      <c r="J3633" s="3" t="inlineStr">
        <is>
          <t>강내면</t>
        </is>
      </c>
    </row>
    <row r="3634">
      <c r="A3634" s="3" t="n">
        <v>2023</v>
      </c>
      <c r="B3634" s="4" t="n">
        <v>1075</v>
      </c>
      <c r="C3634" s="4" t="n">
        <v>15</v>
      </c>
      <c r="D3634" s="3" t="inlineStr">
        <is>
          <t>오송읍</t>
        </is>
      </c>
      <c r="E3634" s="3" t="inlineStr">
        <is>
          <t>오송리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4.5375</v>
      </c>
      <c r="I3634" s="5" t="n">
        <v>236.9</v>
      </c>
      <c r="J3634" s="3" t="inlineStr">
        <is>
          <t>오송읍</t>
        </is>
      </c>
    </row>
    <row r="3635">
      <c r="A3635" s="3" t="n">
        <v>2023</v>
      </c>
      <c r="B3635" s="4" t="n">
        <v>5394</v>
      </c>
      <c r="C3635" s="4" t="n">
        <v>79</v>
      </c>
      <c r="D3635" s="3" t="inlineStr">
        <is>
          <t>오송읍</t>
        </is>
      </c>
      <c r="E3635" s="3" t="inlineStr">
        <is>
          <t>오송리</t>
        </is>
      </c>
      <c r="F3635" s="3" t="inlineStr">
        <is>
          <t>계획관리지역</t>
        </is>
      </c>
      <c r="G3635" s="3" t="inlineStr">
        <is>
          <t>대</t>
        </is>
      </c>
      <c r="H3635" s="4" t="n">
        <v>23.8975</v>
      </c>
      <c r="I3635" s="5" t="n">
        <v>225.7</v>
      </c>
      <c r="J3635" s="3" t="inlineStr">
        <is>
          <t>오송읍</t>
        </is>
      </c>
    </row>
    <row r="3636">
      <c r="A3636" s="3" t="n">
        <v>2023</v>
      </c>
      <c r="B3636" s="4" t="n">
        <v>51400</v>
      </c>
      <c r="C3636" s="4" t="n">
        <v>2178</v>
      </c>
      <c r="D3636" s="3" t="inlineStr">
        <is>
          <t>강내면</t>
        </is>
      </c>
      <c r="E3636" s="3" t="inlineStr">
        <is>
          <t>저산리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658.845</v>
      </c>
      <c r="I3636" s="5" t="n">
        <v>78</v>
      </c>
      <c r="J3636" s="3" t="inlineStr">
        <is>
          <t>강내면</t>
        </is>
      </c>
    </row>
    <row r="3637">
      <c r="A3637" s="3" t="n">
        <v>2023</v>
      </c>
      <c r="B3637" s="4" t="n">
        <v>30000</v>
      </c>
      <c r="C3637" s="4" t="n">
        <v>271.1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82.00775</v>
      </c>
      <c r="I3637" s="5" t="n">
        <v>365.8</v>
      </c>
      <c r="J3637" s="3" t="inlineStr">
        <is>
          <t>오송읍</t>
        </is>
      </c>
    </row>
    <row r="3638">
      <c r="A3638" s="3" t="n">
        <v>2023</v>
      </c>
      <c r="B3638" s="4" t="n">
        <v>11855</v>
      </c>
      <c r="C3638" s="4" t="n">
        <v>196.3</v>
      </c>
      <c r="D3638" s="3" t="inlineStr">
        <is>
          <t>강내면</t>
        </is>
      </c>
      <c r="E3638" s="3" t="inlineStr">
        <is>
          <t>사곡리</t>
        </is>
      </c>
      <c r="F3638" s="3" t="inlineStr">
        <is>
          <t>보전관리지역</t>
        </is>
      </c>
      <c r="G3638" s="3" t="inlineStr">
        <is>
          <t>대</t>
        </is>
      </c>
      <c r="H3638" s="4" t="n">
        <v>59.38075</v>
      </c>
      <c r="I3638" s="5" t="n">
        <v>199.6</v>
      </c>
      <c r="J3638" s="3" t="inlineStr">
        <is>
          <t>강내면</t>
        </is>
      </c>
    </row>
    <row r="3639">
      <c r="A3639" s="3" t="n">
        <v>2023</v>
      </c>
      <c r="B3639" s="4" t="n">
        <v>10000</v>
      </c>
      <c r="C3639" s="4" t="n">
        <v>517</v>
      </c>
      <c r="D3639" s="3" t="inlineStr">
        <is>
          <t>오송읍</t>
        </is>
      </c>
      <c r="E3639" s="3" t="inlineStr">
        <is>
          <t>정중리</t>
        </is>
      </c>
      <c r="F3639" s="3" t="inlineStr">
        <is>
          <t>생산관리지역</t>
        </is>
      </c>
      <c r="G3639" s="3" t="inlineStr">
        <is>
          <t>전</t>
        </is>
      </c>
      <c r="H3639" s="4" t="n">
        <v>156.3925</v>
      </c>
      <c r="I3639" s="5" t="n">
        <v>63.9</v>
      </c>
      <c r="J3639" s="3" t="inlineStr">
        <is>
          <t>오송읍</t>
        </is>
      </c>
    </row>
    <row r="3640">
      <c r="A3640" s="3" t="n">
        <v>2023</v>
      </c>
      <c r="B3640" s="4" t="n">
        <v>2208</v>
      </c>
      <c r="C3640" s="4" t="n">
        <v>1216</v>
      </c>
      <c r="D3640" s="3" t="inlineStr">
        <is>
          <t>강내면</t>
        </is>
      </c>
      <c r="E3640" s="3" t="inlineStr">
        <is>
          <t>궁현리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367.84</v>
      </c>
      <c r="I3640" s="5" t="n">
        <v>6</v>
      </c>
      <c r="J3640" s="3" t="inlineStr">
        <is>
          <t>강내면</t>
        </is>
      </c>
    </row>
    <row r="3641">
      <c r="A3641" s="3" t="n">
        <v>2023</v>
      </c>
      <c r="B3641" s="4" t="n">
        <v>3224</v>
      </c>
      <c r="C3641" s="4" t="n">
        <v>85</v>
      </c>
      <c r="D3641" s="3" t="inlineStr">
        <is>
          <t>오송읍</t>
        </is>
      </c>
      <c r="E3641" s="3" t="inlineStr">
        <is>
          <t>정중리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25.7125</v>
      </c>
      <c r="I3641" s="5" t="n">
        <v>125.4</v>
      </c>
      <c r="J3641" s="3" t="inlineStr">
        <is>
          <t>오송읍</t>
        </is>
      </c>
    </row>
    <row r="3642">
      <c r="A3642" s="3" t="n">
        <v>2023</v>
      </c>
      <c r="B3642" s="4" t="n">
        <v>1403</v>
      </c>
      <c r="C3642" s="4" t="n">
        <v>37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11.1925</v>
      </c>
      <c r="I3642" s="5" t="n">
        <v>125.4</v>
      </c>
      <c r="J3642" s="3" t="inlineStr">
        <is>
          <t>오송읍</t>
        </is>
      </c>
    </row>
    <row r="3643">
      <c r="A3643" s="3" t="n">
        <v>2023</v>
      </c>
      <c r="B3643" s="4" t="n">
        <v>8495</v>
      </c>
      <c r="C3643" s="4" t="n">
        <v>224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67.75999999999999</v>
      </c>
      <c r="I3643" s="5" t="n">
        <v>125.4</v>
      </c>
      <c r="J3643" s="3" t="inlineStr">
        <is>
          <t>오송읍</t>
        </is>
      </c>
    </row>
    <row r="3644">
      <c r="A3644" s="3" t="n">
        <v>2023</v>
      </c>
      <c r="B3644" s="4" t="n">
        <v>40</v>
      </c>
      <c r="C3644" s="4" t="n">
        <v>1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0.3025</v>
      </c>
      <c r="I3644" s="5" t="n">
        <v>132.2</v>
      </c>
      <c r="J3644" s="3" t="inlineStr">
        <is>
          <t>오송읍</t>
        </is>
      </c>
    </row>
    <row r="3645">
      <c r="A3645" s="3" t="n">
        <v>2023</v>
      </c>
      <c r="B3645" s="4" t="n">
        <v>13653</v>
      </c>
      <c r="C3645" s="4" t="n">
        <v>360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108.9</v>
      </c>
      <c r="I3645" s="5" t="n">
        <v>125.4</v>
      </c>
      <c r="J3645" s="3" t="inlineStr">
        <is>
          <t>오송읍</t>
        </is>
      </c>
    </row>
    <row r="3646">
      <c r="A3646" s="3" t="n">
        <v>2023</v>
      </c>
      <c r="B3646" s="4" t="n">
        <v>13653</v>
      </c>
      <c r="C3646" s="4" t="n">
        <v>360</v>
      </c>
      <c r="D3646" s="3" t="inlineStr">
        <is>
          <t>오송읍</t>
        </is>
      </c>
      <c r="E3646" s="3" t="inlineStr">
        <is>
          <t>정중리</t>
        </is>
      </c>
      <c r="F3646" s="3" t="inlineStr">
        <is>
          <t>생산관리지역</t>
        </is>
      </c>
      <c r="G3646" s="3" t="inlineStr">
        <is>
          <t>전</t>
        </is>
      </c>
      <c r="H3646" s="4" t="n">
        <v>108.9</v>
      </c>
      <c r="I3646" s="5" t="n">
        <v>125.4</v>
      </c>
      <c r="J3646" s="3" t="inlineStr">
        <is>
          <t>오송읍</t>
        </is>
      </c>
    </row>
    <row r="3647">
      <c r="A3647" s="3" t="n">
        <v>2023</v>
      </c>
      <c r="B3647" s="4" t="n">
        <v>3262</v>
      </c>
      <c r="C3647" s="4" t="n">
        <v>86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26.015</v>
      </c>
      <c r="I3647" s="5" t="n">
        <v>125.4</v>
      </c>
      <c r="J3647" s="3" t="inlineStr">
        <is>
          <t>오송읍</t>
        </is>
      </c>
    </row>
    <row r="3648">
      <c r="A3648" s="3" t="n">
        <v>2023</v>
      </c>
      <c r="B3648" s="4" t="n">
        <v>872</v>
      </c>
      <c r="C3648" s="4" t="n">
        <v>23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계획관리지역</t>
        </is>
      </c>
      <c r="G3648" s="3" t="inlineStr">
        <is>
          <t>도로</t>
        </is>
      </c>
      <c r="H3648" s="4" t="n">
        <v>6.9575</v>
      </c>
      <c r="I3648" s="5" t="n">
        <v>125.3</v>
      </c>
      <c r="J3648" s="3" t="inlineStr">
        <is>
          <t>오송읍</t>
        </is>
      </c>
    </row>
    <row r="3649">
      <c r="A3649" s="3" t="n">
        <v>2023</v>
      </c>
      <c r="B3649" s="4" t="n">
        <v>303</v>
      </c>
      <c r="C3649" s="4" t="n">
        <v>8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계획관리지역</t>
        </is>
      </c>
      <c r="G3649" s="3" t="inlineStr">
        <is>
          <t>도로</t>
        </is>
      </c>
      <c r="H3649" s="4" t="n">
        <v>2.42</v>
      </c>
      <c r="I3649" s="5" t="n">
        <v>125.2</v>
      </c>
      <c r="J3649" s="3" t="inlineStr">
        <is>
          <t>오송읍</t>
        </is>
      </c>
    </row>
    <row r="3650">
      <c r="A3650" s="3" t="n">
        <v>2023</v>
      </c>
      <c r="B3650" s="4" t="n">
        <v>12095</v>
      </c>
      <c r="C3650" s="4" t="n">
        <v>319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계획관리지역</t>
        </is>
      </c>
      <c r="G3650" s="3" t="inlineStr">
        <is>
          <t>도로</t>
        </is>
      </c>
      <c r="H3650" s="4" t="n">
        <v>96.4975</v>
      </c>
      <c r="I3650" s="5" t="n">
        <v>125.3</v>
      </c>
      <c r="J3650" s="3" t="inlineStr">
        <is>
          <t>오송읍</t>
        </is>
      </c>
    </row>
    <row r="3651">
      <c r="A3651" s="3" t="n">
        <v>2023</v>
      </c>
      <c r="B3651" s="4" t="n">
        <v>68322</v>
      </c>
      <c r="C3651" s="4" t="n">
        <v>1914.2</v>
      </c>
      <c r="D3651" s="3" t="inlineStr">
        <is>
          <t>오송읍</t>
        </is>
      </c>
      <c r="E3651" s="3" t="inlineStr">
        <is>
          <t>정중리</t>
        </is>
      </c>
      <c r="F3651" s="3" t="inlineStr">
        <is>
          <t>일반공업지역</t>
        </is>
      </c>
      <c r="G3651" s="3" t="inlineStr">
        <is>
          <t>대</t>
        </is>
      </c>
      <c r="H3651" s="4" t="n">
        <v>579.0454999999999</v>
      </c>
      <c r="I3651" s="5" t="n">
        <v>118</v>
      </c>
      <c r="J3651" s="3" t="inlineStr">
        <is>
          <t>오송읍</t>
        </is>
      </c>
    </row>
    <row r="3652">
      <c r="A3652" s="3" t="n">
        <v>2023</v>
      </c>
      <c r="B3652" s="4" t="n">
        <v>1300</v>
      </c>
      <c r="C3652" s="4" t="n">
        <v>108</v>
      </c>
      <c r="D3652" s="3" t="inlineStr">
        <is>
          <t>오송읍</t>
        </is>
      </c>
      <c r="E3652" s="3" t="inlineStr">
        <is>
          <t>연제리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32.67</v>
      </c>
      <c r="I3652" s="5" t="n">
        <v>39.8</v>
      </c>
      <c r="J3652" s="3" t="inlineStr">
        <is>
          <t>오송읍</t>
        </is>
      </c>
    </row>
    <row r="3653">
      <c r="A3653" s="3" t="n">
        <v>2023</v>
      </c>
      <c r="B3653" s="4" t="n">
        <v>1500</v>
      </c>
      <c r="C3653" s="4" t="n">
        <v>73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22.0825</v>
      </c>
      <c r="I3653" s="5" t="n">
        <v>67.90000000000001</v>
      </c>
      <c r="J3653" s="3" t="inlineStr">
        <is>
          <t>오송읍</t>
        </is>
      </c>
    </row>
    <row r="3654">
      <c r="A3654" s="3" t="n">
        <v>2022</v>
      </c>
      <c r="B3654" s="4" t="n">
        <v>52930</v>
      </c>
      <c r="C3654" s="4" t="n">
        <v>33650</v>
      </c>
      <c r="D3654" s="3" t="inlineStr">
        <is>
          <t>부강면</t>
        </is>
      </c>
      <c r="E3654" s="3" t="inlineStr">
        <is>
          <t>등곡리</t>
        </is>
      </c>
      <c r="F3654" s="3" t="inlineStr">
        <is>
          <t>농림지역</t>
        </is>
      </c>
      <c r="G3654" s="3" t="inlineStr">
        <is>
          <t>임야</t>
        </is>
      </c>
      <c r="H3654" s="4" t="n">
        <v>10179.125</v>
      </c>
      <c r="I3654" s="5" t="n">
        <v>5.2</v>
      </c>
      <c r="J3654" s="3" t="inlineStr">
        <is>
          <t>부강면</t>
        </is>
      </c>
    </row>
    <row r="3655">
      <c r="A3655" s="3" t="n">
        <v>2022</v>
      </c>
      <c r="B3655" s="4" t="n">
        <v>57600</v>
      </c>
      <c r="C3655" s="4" t="n">
        <v>2646</v>
      </c>
      <c r="D3655" s="3" t="inlineStr">
        <is>
          <t>연동면</t>
        </is>
      </c>
      <c r="E3655" s="3" t="inlineStr">
        <is>
          <t>송용리</t>
        </is>
      </c>
      <c r="F3655" s="3" t="inlineStr">
        <is>
          <t>제2종일반주거지역</t>
        </is>
      </c>
      <c r="G3655" s="3" t="inlineStr">
        <is>
          <t>답</t>
        </is>
      </c>
      <c r="H3655" s="4" t="n">
        <v>800.415</v>
      </c>
      <c r="I3655" s="5" t="n">
        <v>72</v>
      </c>
      <c r="J3655" s="3" t="inlineStr">
        <is>
          <t>연동면</t>
        </is>
      </c>
    </row>
    <row r="3656">
      <c r="A3656" s="3" t="n">
        <v>2022</v>
      </c>
      <c r="B3656" s="4" t="n">
        <v>41760</v>
      </c>
      <c r="C3656" s="4" t="n">
        <v>6901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2087.5525</v>
      </c>
      <c r="I3656" s="5" t="n">
        <v>20</v>
      </c>
      <c r="J3656" s="3" t="inlineStr">
        <is>
          <t>연서면</t>
        </is>
      </c>
    </row>
    <row r="3657">
      <c r="A3657" s="3" t="n">
        <v>2022</v>
      </c>
      <c r="B3657" s="4" t="n">
        <v>3350</v>
      </c>
      <c r="C3657" s="4" t="n">
        <v>223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67.4575</v>
      </c>
      <c r="I3657" s="5" t="n">
        <v>49.7</v>
      </c>
      <c r="J3657" s="3" t="inlineStr">
        <is>
          <t>연서면</t>
        </is>
      </c>
    </row>
    <row r="3658">
      <c r="A3658" s="3" t="n">
        <v>2022</v>
      </c>
      <c r="B3658" s="4" t="n">
        <v>43200</v>
      </c>
      <c r="C3658" s="4" t="n">
        <v>1785</v>
      </c>
      <c r="D3658" s="3" t="inlineStr">
        <is>
          <t>연서면</t>
        </is>
      </c>
      <c r="E3658" s="3" t="inlineStr">
        <is>
          <t>쌍류리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539.9625</v>
      </c>
      <c r="I3658" s="5" t="n">
        <v>80</v>
      </c>
      <c r="J3658" s="3" t="inlineStr">
        <is>
          <t>연서면</t>
        </is>
      </c>
    </row>
    <row r="3659">
      <c r="A3659" s="3" t="n">
        <v>2022</v>
      </c>
      <c r="B3659" s="4" t="n">
        <v>24720</v>
      </c>
      <c r="C3659" s="4" t="n">
        <v>1021</v>
      </c>
      <c r="D3659" s="3" t="inlineStr">
        <is>
          <t>연서면</t>
        </is>
      </c>
      <c r="E3659" s="3" t="inlineStr">
        <is>
          <t>쌍류리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308.8525</v>
      </c>
      <c r="I3659" s="5" t="n">
        <v>80</v>
      </c>
      <c r="J3659" s="3" t="inlineStr">
        <is>
          <t>연서면</t>
        </is>
      </c>
    </row>
    <row r="3660">
      <c r="A3660" s="3" t="n">
        <v>2022</v>
      </c>
      <c r="B3660" s="4" t="n">
        <v>8640</v>
      </c>
      <c r="C3660" s="4" t="n">
        <v>357</v>
      </c>
      <c r="D3660" s="3" t="inlineStr">
        <is>
          <t>연서면</t>
        </is>
      </c>
      <c r="E3660" s="3" t="inlineStr">
        <is>
          <t>쌍류리</t>
        </is>
      </c>
      <c r="F3660" s="3" t="inlineStr">
        <is>
          <t>계획관리지역</t>
        </is>
      </c>
      <c r="G3660" s="3" t="inlineStr">
        <is>
          <t>대</t>
        </is>
      </c>
      <c r="H3660" s="4" t="n">
        <v>107.9925</v>
      </c>
      <c r="I3660" s="5" t="n">
        <v>80</v>
      </c>
      <c r="J3660" s="3" t="inlineStr">
        <is>
          <t>연서면</t>
        </is>
      </c>
    </row>
    <row r="3661">
      <c r="A3661" s="3" t="n">
        <v>2022</v>
      </c>
      <c r="B3661" s="4" t="n">
        <v>9558</v>
      </c>
      <c r="C3661" s="4" t="n">
        <v>665</v>
      </c>
      <c r="D3661" s="3" t="inlineStr">
        <is>
          <t>연서면</t>
        </is>
      </c>
      <c r="E3661" s="3" t="inlineStr">
        <is>
          <t>신대리</t>
        </is>
      </c>
      <c r="F3661" s="3" t="inlineStr">
        <is>
          <t>계획관리지역</t>
        </is>
      </c>
      <c r="G3661" s="3" t="inlineStr">
        <is>
          <t>답</t>
        </is>
      </c>
      <c r="H3661" s="4" t="n">
        <v>201.1625</v>
      </c>
      <c r="I3661" s="5" t="n">
        <v>47.5</v>
      </c>
      <c r="J3661" s="3" t="inlineStr">
        <is>
          <t>연서면</t>
        </is>
      </c>
    </row>
    <row r="3662">
      <c r="A3662" s="3" t="n">
        <v>2022</v>
      </c>
      <c r="B3662" s="4" t="n">
        <v>7215</v>
      </c>
      <c r="C3662" s="4" t="n">
        <v>477</v>
      </c>
      <c r="D3662" s="3" t="inlineStr">
        <is>
          <t>연서면</t>
        </is>
      </c>
      <c r="E3662" s="3" t="inlineStr">
        <is>
          <t>신대리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144.2925</v>
      </c>
      <c r="I3662" s="5" t="n">
        <v>50</v>
      </c>
      <c r="J3662" s="3" t="inlineStr">
        <is>
          <t>연서면</t>
        </is>
      </c>
    </row>
    <row r="3663">
      <c r="A3663" s="3" t="n">
        <v>2022</v>
      </c>
      <c r="B3663" s="4" t="n">
        <v>41000</v>
      </c>
      <c r="C3663" s="4" t="n">
        <v>341</v>
      </c>
      <c r="D3663" s="3" t="inlineStr">
        <is>
          <t>연서면</t>
        </is>
      </c>
      <c r="E3663" s="3" t="inlineStr">
        <is>
          <t>고복리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103.1525</v>
      </c>
      <c r="I3663" s="5" t="n">
        <v>397.5</v>
      </c>
      <c r="J3663" s="3" t="inlineStr">
        <is>
          <t>연서면</t>
        </is>
      </c>
    </row>
    <row r="3664">
      <c r="A3664" s="3" t="n">
        <v>2022</v>
      </c>
      <c r="B3664" s="4" t="n">
        <v>132049</v>
      </c>
      <c r="C3664" s="4" t="n">
        <v>116528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농림지역</t>
        </is>
      </c>
      <c r="G3664" s="3" t="inlineStr">
        <is>
          <t>임야</t>
        </is>
      </c>
      <c r="H3664" s="4" t="n">
        <v>35249.72</v>
      </c>
      <c r="I3664" s="5" t="n">
        <v>3.7</v>
      </c>
      <c r="J3664" s="3" t="inlineStr">
        <is>
          <t>연서면</t>
        </is>
      </c>
    </row>
    <row r="3665">
      <c r="A3665" s="3" t="n">
        <v>2022</v>
      </c>
      <c r="B3665" s="4" t="n">
        <v>41760</v>
      </c>
      <c r="C3665" s="4" t="n">
        <v>6901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보전관리지역</t>
        </is>
      </c>
      <c r="G3665" s="3" t="inlineStr">
        <is>
          <t>임야</t>
        </is>
      </c>
      <c r="H3665" s="4" t="n">
        <v>2087.5525</v>
      </c>
      <c r="I3665" s="5" t="n">
        <v>20</v>
      </c>
      <c r="J3665" s="3" t="inlineStr">
        <is>
          <t>연서면</t>
        </is>
      </c>
    </row>
    <row r="3666">
      <c r="A3666" s="3" t="n">
        <v>2022</v>
      </c>
      <c r="B3666" s="4" t="n">
        <v>3350</v>
      </c>
      <c r="C3666" s="4" t="n">
        <v>223</v>
      </c>
      <c r="D3666" s="3" t="inlineStr">
        <is>
          <t>연서면</t>
        </is>
      </c>
      <c r="E3666" s="3" t="inlineStr">
        <is>
          <t>쌍류리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67.4575</v>
      </c>
      <c r="I3666" s="5" t="n">
        <v>49.7</v>
      </c>
      <c r="J3666" s="3" t="inlineStr">
        <is>
          <t>연서면</t>
        </is>
      </c>
    </row>
    <row r="3667">
      <c r="A3667" s="3" t="n">
        <v>2022</v>
      </c>
      <c r="B3667" s="4" t="n">
        <v>43200</v>
      </c>
      <c r="C3667" s="4" t="n">
        <v>1785</v>
      </c>
      <c r="D3667" s="3" t="inlineStr">
        <is>
          <t>연서면</t>
        </is>
      </c>
      <c r="E3667" s="3" t="inlineStr">
        <is>
          <t>쌍류리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539.9625</v>
      </c>
      <c r="I3667" s="5" t="n">
        <v>80</v>
      </c>
      <c r="J3667" s="3" t="inlineStr">
        <is>
          <t>연서면</t>
        </is>
      </c>
    </row>
    <row r="3668">
      <c r="A3668" s="3" t="n">
        <v>2022</v>
      </c>
      <c r="B3668" s="4" t="n">
        <v>24720</v>
      </c>
      <c r="C3668" s="4" t="n">
        <v>1021</v>
      </c>
      <c r="D3668" s="3" t="inlineStr">
        <is>
          <t>연서면</t>
        </is>
      </c>
      <c r="E3668" s="3" t="inlineStr">
        <is>
          <t>쌍류리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308.8525</v>
      </c>
      <c r="I3668" s="5" t="n">
        <v>80</v>
      </c>
      <c r="J3668" s="3" t="inlineStr">
        <is>
          <t>연서면</t>
        </is>
      </c>
    </row>
    <row r="3669">
      <c r="A3669" s="3" t="n">
        <v>2022</v>
      </c>
      <c r="B3669" s="4" t="n">
        <v>8640</v>
      </c>
      <c r="C3669" s="4" t="n">
        <v>357</v>
      </c>
      <c r="D3669" s="3" t="inlineStr">
        <is>
          <t>연서면</t>
        </is>
      </c>
      <c r="E3669" s="3" t="inlineStr">
        <is>
          <t>쌍류리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107.9925</v>
      </c>
      <c r="I3669" s="5" t="n">
        <v>80</v>
      </c>
      <c r="J3669" s="3" t="inlineStr">
        <is>
          <t>연서면</t>
        </is>
      </c>
    </row>
    <row r="3670">
      <c r="A3670" s="3" t="n">
        <v>2022</v>
      </c>
      <c r="B3670" s="4" t="n">
        <v>4266</v>
      </c>
      <c r="C3670" s="4" t="n">
        <v>522</v>
      </c>
      <c r="D3670" s="3" t="inlineStr">
        <is>
          <t>연서면</t>
        </is>
      </c>
      <c r="E3670" s="3" t="inlineStr">
        <is>
          <t>쌍류리</t>
        </is>
      </c>
      <c r="F3670" s="3" t="inlineStr">
        <is>
          <t>보전관리지역</t>
        </is>
      </c>
      <c r="G3670" s="3" t="inlineStr">
        <is>
          <t>전</t>
        </is>
      </c>
      <c r="H3670" s="4" t="n">
        <v>157.905</v>
      </c>
      <c r="I3670" s="5" t="n">
        <v>27</v>
      </c>
      <c r="J3670" s="3" t="inlineStr">
        <is>
          <t>연서면</t>
        </is>
      </c>
    </row>
    <row r="3671">
      <c r="A3671" s="3" t="n">
        <v>2022</v>
      </c>
      <c r="B3671" s="4" t="n">
        <v>3040</v>
      </c>
      <c r="C3671" s="4" t="n">
        <v>504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전</t>
        </is>
      </c>
      <c r="H3671" s="4" t="n">
        <v>152.46</v>
      </c>
      <c r="I3671" s="5" t="n">
        <v>19.9</v>
      </c>
      <c r="J3671" s="3" t="inlineStr">
        <is>
          <t>연서면</t>
        </is>
      </c>
    </row>
    <row r="3672">
      <c r="A3672" s="3" t="n">
        <v>2022</v>
      </c>
      <c r="B3672" s="4" t="n">
        <v>30240</v>
      </c>
      <c r="C3672" s="4" t="n">
        <v>1428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전</t>
        </is>
      </c>
      <c r="H3672" s="4" t="n">
        <v>431.97</v>
      </c>
      <c r="I3672" s="5" t="n">
        <v>70</v>
      </c>
      <c r="J3672" s="3" t="inlineStr">
        <is>
          <t>연서면</t>
        </is>
      </c>
    </row>
    <row r="3673">
      <c r="A3673" s="3" t="n">
        <v>2022</v>
      </c>
      <c r="B3673" s="4" t="n">
        <v>4580</v>
      </c>
      <c r="C3673" s="4" t="n">
        <v>756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228.69</v>
      </c>
      <c r="I3673" s="5" t="n">
        <v>20</v>
      </c>
      <c r="J3673" s="3" t="inlineStr">
        <is>
          <t>연서면</t>
        </is>
      </c>
    </row>
    <row r="3674">
      <c r="A3674" s="3" t="n">
        <v>2022</v>
      </c>
      <c r="B3674" s="4" t="n">
        <v>2835</v>
      </c>
      <c r="C3674" s="4" t="n">
        <v>346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보전관리지역</t>
        </is>
      </c>
      <c r="G3674" s="3" t="inlineStr">
        <is>
          <t>전</t>
        </is>
      </c>
      <c r="H3674" s="4" t="n">
        <v>104.665</v>
      </c>
      <c r="I3674" s="5" t="n">
        <v>27.1</v>
      </c>
      <c r="J3674" s="3" t="inlineStr">
        <is>
          <t>연서면</t>
        </is>
      </c>
    </row>
    <row r="3675">
      <c r="A3675" s="3" t="n">
        <v>2022</v>
      </c>
      <c r="B3675" s="4" t="n">
        <v>11320</v>
      </c>
      <c r="C3675" s="4" t="n">
        <v>1872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전</t>
        </is>
      </c>
      <c r="H3675" s="4" t="n">
        <v>566.28</v>
      </c>
      <c r="I3675" s="5" t="n">
        <v>20</v>
      </c>
      <c r="J3675" s="3" t="inlineStr">
        <is>
          <t>연서면</t>
        </is>
      </c>
    </row>
    <row r="3676">
      <c r="A3676" s="3" t="n">
        <v>2022</v>
      </c>
      <c r="B3676" s="4" t="n">
        <v>47150</v>
      </c>
      <c r="C3676" s="4" t="n">
        <v>2136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646.14</v>
      </c>
      <c r="I3676" s="5" t="n">
        <v>73</v>
      </c>
      <c r="J3676" s="3" t="inlineStr">
        <is>
          <t>연서면</t>
        </is>
      </c>
    </row>
    <row r="3677">
      <c r="A3677" s="3" t="n">
        <v>2022</v>
      </c>
      <c r="B3677" s="4" t="n">
        <v>7215</v>
      </c>
      <c r="C3677" s="4" t="n">
        <v>477</v>
      </c>
      <c r="D3677" s="3" t="inlineStr">
        <is>
          <t>연서면</t>
        </is>
      </c>
      <c r="E3677" s="3" t="inlineStr">
        <is>
          <t>신대리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144.2925</v>
      </c>
      <c r="I3677" s="5" t="n">
        <v>50</v>
      </c>
      <c r="J3677" s="3" t="inlineStr">
        <is>
          <t>연서면</t>
        </is>
      </c>
    </row>
    <row r="3678">
      <c r="A3678" s="3" t="n">
        <v>2023</v>
      </c>
      <c r="B3678" s="4" t="n">
        <v>16000</v>
      </c>
      <c r="C3678" s="4" t="n">
        <v>661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자연녹지지역</t>
        </is>
      </c>
      <c r="G3678" s="3" t="inlineStr">
        <is>
          <t>임야</t>
        </is>
      </c>
      <c r="H3678" s="4" t="n">
        <v>199.9525</v>
      </c>
      <c r="I3678" s="5" t="n">
        <v>80</v>
      </c>
      <c r="J3678" s="3" t="inlineStr">
        <is>
          <t>연서면</t>
        </is>
      </c>
    </row>
    <row r="3679">
      <c r="A3679" s="3" t="n">
        <v>2023</v>
      </c>
      <c r="B3679" s="4" t="n">
        <v>15450</v>
      </c>
      <c r="C3679" s="4" t="n">
        <v>1020</v>
      </c>
      <c r="D3679" s="3" t="inlineStr">
        <is>
          <t>연서면</t>
        </is>
      </c>
      <c r="E3679" s="3" t="inlineStr">
        <is>
          <t>기룡리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308.55</v>
      </c>
      <c r="I3679" s="5" t="n">
        <v>50.1</v>
      </c>
      <c r="J3679" s="3" t="inlineStr">
        <is>
          <t>연서면</t>
        </is>
      </c>
    </row>
    <row r="3680">
      <c r="A3680" s="3" t="n">
        <v>2023</v>
      </c>
      <c r="B3680" s="4" t="n">
        <v>4500</v>
      </c>
      <c r="C3680" s="4" t="n">
        <v>647.6</v>
      </c>
      <c r="D3680" s="3" t="inlineStr">
        <is>
          <t>부강면</t>
        </is>
      </c>
      <c r="E3680" s="3" t="inlineStr">
        <is>
          <t>산수리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195.899</v>
      </c>
      <c r="I3680" s="5" t="n">
        <v>23</v>
      </c>
      <c r="J3680" s="3" t="inlineStr">
        <is>
          <t>부강면</t>
        </is>
      </c>
    </row>
    <row r="3681">
      <c r="A3681" s="3" t="n">
        <v>2023</v>
      </c>
      <c r="B3681" s="4" t="n">
        <v>5900</v>
      </c>
      <c r="C3681" s="4" t="n">
        <v>851.6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257.609</v>
      </c>
      <c r="I3681" s="5" t="n">
        <v>22.9</v>
      </c>
      <c r="J3681" s="3" t="inlineStr">
        <is>
          <t>부강면</t>
        </is>
      </c>
    </row>
    <row r="3682">
      <c r="A3682" s="3" t="n">
        <v>2023</v>
      </c>
      <c r="B3682" s="4" t="n">
        <v>6090</v>
      </c>
      <c r="C3682" s="4" t="n">
        <v>2777</v>
      </c>
      <c r="D3682" s="3" t="inlineStr">
        <is>
          <t>연동면</t>
        </is>
      </c>
      <c r="E3682" s="3" t="inlineStr">
        <is>
          <t>명학리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840.0425</v>
      </c>
      <c r="I3682" s="5" t="n">
        <v>7.2</v>
      </c>
      <c r="J3682" s="3" t="inlineStr">
        <is>
          <t>연동면</t>
        </is>
      </c>
    </row>
    <row r="3683">
      <c r="A3683" s="3" t="n">
        <v>2023</v>
      </c>
      <c r="B3683" s="4" t="n">
        <v>1910</v>
      </c>
      <c r="C3683" s="4" t="n">
        <v>753</v>
      </c>
      <c r="D3683" s="3" t="inlineStr">
        <is>
          <t>연동면</t>
        </is>
      </c>
      <c r="E3683" s="3" t="inlineStr">
        <is>
          <t>명학리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227.7825</v>
      </c>
      <c r="I3683" s="5" t="n">
        <v>8.4</v>
      </c>
      <c r="J3683" s="3" t="inlineStr">
        <is>
          <t>연동면</t>
        </is>
      </c>
    </row>
    <row r="3684">
      <c r="A3684" s="3" t="n">
        <v>2024</v>
      </c>
      <c r="B3684" s="4" t="n">
        <v>57000</v>
      </c>
      <c r="C3684" s="4" t="n">
        <v>395.8</v>
      </c>
      <c r="D3684" s="3" t="inlineStr">
        <is>
          <t>한솔동</t>
        </is>
      </c>
      <c r="E3684" s="3" t="inlineStr"/>
      <c r="F3684" s="3" t="inlineStr">
        <is>
          <t>제1종전용주거지역</t>
        </is>
      </c>
      <c r="G3684" s="3" t="inlineStr">
        <is>
          <t>대</t>
        </is>
      </c>
      <c r="H3684" s="4" t="n">
        <v>119.7295</v>
      </c>
      <c r="I3684" s="5" t="n">
        <v>476.1</v>
      </c>
      <c r="J3684" s="3" t="inlineStr">
        <is>
          <t>한솔동</t>
        </is>
      </c>
    </row>
    <row r="3685">
      <c r="A3685" s="3" t="n">
        <v>2024</v>
      </c>
      <c r="B3685" s="4" t="n">
        <v>13500</v>
      </c>
      <c r="C3685" s="4" t="n">
        <v>145</v>
      </c>
      <c r="D3685" s="3" t="inlineStr">
        <is>
          <t>조치원읍</t>
        </is>
      </c>
      <c r="E3685" s="3" t="inlineStr">
        <is>
          <t>번암리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43.8625</v>
      </c>
      <c r="I3685" s="5" t="n">
        <v>307.8</v>
      </c>
      <c r="J3685" s="3" t="inlineStr">
        <is>
          <t>조치원읍</t>
        </is>
      </c>
    </row>
    <row r="3686">
      <c r="A3686" s="3" t="n">
        <v>2024</v>
      </c>
      <c r="B3686" s="4" t="n">
        <v>50000</v>
      </c>
      <c r="C3686" s="4" t="n">
        <v>348</v>
      </c>
      <c r="D3686" s="3" t="inlineStr">
        <is>
          <t>아름동</t>
        </is>
      </c>
      <c r="E3686" s="3" t="inlineStr"/>
      <c r="F3686" s="3" t="inlineStr">
        <is>
          <t>제1종전용주거지역</t>
        </is>
      </c>
      <c r="G3686" s="3" t="inlineStr">
        <is>
          <t>대</t>
        </is>
      </c>
      <c r="H3686" s="4" t="n">
        <v>105.27</v>
      </c>
      <c r="I3686" s="5" t="n">
        <v>475</v>
      </c>
      <c r="J3686" s="3" t="inlineStr">
        <is>
          <t>아름동</t>
        </is>
      </c>
    </row>
    <row r="3687">
      <c r="A3687" s="3" t="n">
        <v>2024</v>
      </c>
      <c r="B3687" s="4" t="n">
        <v>1500</v>
      </c>
      <c r="C3687" s="4" t="n">
        <v>65</v>
      </c>
      <c r="D3687" s="3" t="inlineStr">
        <is>
          <t>연서면</t>
        </is>
      </c>
      <c r="E3687" s="3" t="inlineStr">
        <is>
          <t>신대리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19.6625</v>
      </c>
      <c r="I3687" s="5" t="n">
        <v>76.3</v>
      </c>
      <c r="J3687" s="3" t="inlineStr">
        <is>
          <t>연서면</t>
        </is>
      </c>
    </row>
    <row r="3688">
      <c r="A3688" s="3" t="n">
        <v>2024</v>
      </c>
      <c r="B3688" s="4" t="n">
        <v>51300</v>
      </c>
      <c r="C3688" s="4" t="n">
        <v>345.6</v>
      </c>
      <c r="D3688" s="3" t="inlineStr">
        <is>
          <t>고운동</t>
        </is>
      </c>
      <c r="E3688" s="3" t="inlineStr"/>
      <c r="F3688" s="3" t="inlineStr">
        <is>
          <t>제1종전용주거지역</t>
        </is>
      </c>
      <c r="G3688" s="3" t="inlineStr">
        <is>
          <t>대</t>
        </is>
      </c>
      <c r="H3688" s="4" t="n">
        <v>104.544</v>
      </c>
      <c r="I3688" s="5" t="n">
        <v>490.7</v>
      </c>
      <c r="J3688" s="3" t="inlineStr">
        <is>
          <t>고운동</t>
        </is>
      </c>
    </row>
    <row r="3689">
      <c r="A3689" s="3" t="n">
        <v>2024</v>
      </c>
      <c r="B3689" s="4" t="n">
        <v>37500</v>
      </c>
      <c r="C3689" s="4" t="n">
        <v>450</v>
      </c>
      <c r="D3689" s="3" t="inlineStr">
        <is>
          <t>연동면</t>
        </is>
      </c>
      <c r="E3689" s="3" t="inlineStr">
        <is>
          <t>내판리</t>
        </is>
      </c>
      <c r="F3689" s="3" t="inlineStr">
        <is>
          <t>보전관리지역</t>
        </is>
      </c>
      <c r="G3689" s="3" t="inlineStr">
        <is>
          <t>대</t>
        </is>
      </c>
      <c r="H3689" s="4" t="n">
        <v>136.125</v>
      </c>
      <c r="I3689" s="5" t="n">
        <v>275.5</v>
      </c>
      <c r="J3689" s="3" t="inlineStr">
        <is>
          <t>연동면</t>
        </is>
      </c>
    </row>
    <row r="3690">
      <c r="A3690" s="3" t="n">
        <v>2024</v>
      </c>
      <c r="B3690" s="4" t="n">
        <v>24500</v>
      </c>
      <c r="C3690" s="4" t="n">
        <v>262.4</v>
      </c>
      <c r="D3690" s="3" t="inlineStr">
        <is>
          <t>집현동</t>
        </is>
      </c>
      <c r="E3690" s="3" t="inlineStr"/>
      <c r="F3690" s="3" t="inlineStr">
        <is>
          <t>제1종일반주거지역</t>
        </is>
      </c>
      <c r="G3690" s="3" t="inlineStr">
        <is>
          <t>대</t>
        </is>
      </c>
      <c r="H3690" s="4" t="n">
        <v>79.37599999999999</v>
      </c>
      <c r="I3690" s="5" t="n">
        <v>308.7</v>
      </c>
      <c r="J3690" s="3" t="inlineStr">
        <is>
          <t>집현동</t>
        </is>
      </c>
    </row>
    <row r="3691">
      <c r="A3691" s="3" t="n">
        <v>2024</v>
      </c>
      <c r="B3691" s="4" t="n">
        <v>7400</v>
      </c>
      <c r="C3691" s="4" t="n">
        <v>463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답</t>
        </is>
      </c>
      <c r="H3691" s="4" t="n">
        <v>140.0575</v>
      </c>
      <c r="I3691" s="5" t="n">
        <v>52.8</v>
      </c>
      <c r="J3691" s="3" t="inlineStr">
        <is>
          <t>부강면</t>
        </is>
      </c>
    </row>
    <row r="3692">
      <c r="A3692" s="3" t="n">
        <v>2022</v>
      </c>
      <c r="B3692" s="4" t="n">
        <v>9558</v>
      </c>
      <c r="C3692" s="4" t="n">
        <v>665</v>
      </c>
      <c r="D3692" s="3" t="inlineStr">
        <is>
          <t>연서면</t>
        </is>
      </c>
      <c r="E3692" s="3" t="inlineStr">
        <is>
          <t>신대리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201.1625</v>
      </c>
      <c r="I3692" s="5" t="n">
        <v>47.5</v>
      </c>
      <c r="J3692" s="3" t="inlineStr">
        <is>
          <t>연서면</t>
        </is>
      </c>
    </row>
    <row r="3693">
      <c r="A3693" s="3" t="n">
        <v>2022</v>
      </c>
      <c r="B3693" s="4" t="n">
        <v>19459</v>
      </c>
      <c r="C3693" s="4" t="n">
        <v>201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60.80249999999999</v>
      </c>
      <c r="I3693" s="5" t="n">
        <v>320</v>
      </c>
      <c r="J3693" s="3" t="inlineStr">
        <is>
          <t>연서면</t>
        </is>
      </c>
    </row>
    <row r="3694">
      <c r="A3694" s="3" t="n">
        <v>2022</v>
      </c>
      <c r="B3694" s="4" t="n">
        <v>1277</v>
      </c>
      <c r="C3694" s="4" t="n">
        <v>18</v>
      </c>
      <c r="D3694" s="3" t="inlineStr">
        <is>
          <t>연서면</t>
        </is>
      </c>
      <c r="E3694" s="3" t="inlineStr">
        <is>
          <t>봉암리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5.445</v>
      </c>
      <c r="I3694" s="5" t="n">
        <v>234.5</v>
      </c>
      <c r="J3694" s="3" t="inlineStr">
        <is>
          <t>연서면</t>
        </is>
      </c>
    </row>
    <row r="3695">
      <c r="A3695" s="3" t="n">
        <v>2022</v>
      </c>
      <c r="B3695" s="4" t="n">
        <v>110374</v>
      </c>
      <c r="C3695" s="4" t="n">
        <v>1144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346.06</v>
      </c>
      <c r="I3695" s="5" t="n">
        <v>318.9</v>
      </c>
      <c r="J3695" s="3" t="inlineStr">
        <is>
          <t>연서면</t>
        </is>
      </c>
    </row>
    <row r="3696">
      <c r="A3696" s="3" t="n">
        <v>2022</v>
      </c>
      <c r="B3696" s="4" t="n">
        <v>44900</v>
      </c>
      <c r="C3696" s="4" t="n">
        <v>743</v>
      </c>
      <c r="D3696" s="3" t="inlineStr">
        <is>
          <t>부강면</t>
        </is>
      </c>
      <c r="E3696" s="3" t="inlineStr">
        <is>
          <t>부강리</t>
        </is>
      </c>
      <c r="F3696" s="3" t="inlineStr">
        <is>
          <t>제2종일반주거지역</t>
        </is>
      </c>
      <c r="G3696" s="3" t="inlineStr">
        <is>
          <t>대</t>
        </is>
      </c>
      <c r="H3696" s="4" t="n">
        <v>224.7575</v>
      </c>
      <c r="I3696" s="5" t="n">
        <v>199.8</v>
      </c>
      <c r="J3696" s="3" t="inlineStr">
        <is>
          <t>부강면</t>
        </is>
      </c>
    </row>
    <row r="3697">
      <c r="A3697" s="3" t="n">
        <v>2022</v>
      </c>
      <c r="B3697" s="4" t="n">
        <v>118000</v>
      </c>
      <c r="C3697" s="4" t="n">
        <v>1564</v>
      </c>
      <c r="D3697" s="3" t="inlineStr">
        <is>
          <t>연동면</t>
        </is>
      </c>
      <c r="E3697" s="3" t="inlineStr">
        <is>
          <t>명학리</t>
        </is>
      </c>
      <c r="F3697" s="3" t="inlineStr">
        <is>
          <t>농림지역</t>
        </is>
      </c>
      <c r="G3697" s="3" t="inlineStr">
        <is>
          <t>전</t>
        </is>
      </c>
      <c r="H3697" s="4" t="n">
        <v>473.11</v>
      </c>
      <c r="I3697" s="5" t="n">
        <v>249.4</v>
      </c>
      <c r="J3697" s="3" t="inlineStr">
        <is>
          <t>연동면</t>
        </is>
      </c>
    </row>
    <row r="3698">
      <c r="A3698" s="3" t="n">
        <v>2022</v>
      </c>
      <c r="B3698" s="4" t="n">
        <v>131588</v>
      </c>
      <c r="C3698" s="4" t="n">
        <v>1450</v>
      </c>
      <c r="D3698" s="3" t="inlineStr">
        <is>
          <t>부강면</t>
        </is>
      </c>
      <c r="E3698" s="3" t="inlineStr">
        <is>
          <t>부강리</t>
        </is>
      </c>
      <c r="F3698" s="3" t="inlineStr">
        <is>
          <t>계획관리지역</t>
        </is>
      </c>
      <c r="G3698" s="3" t="inlineStr">
        <is>
          <t>잡종지</t>
        </is>
      </c>
      <c r="H3698" s="4" t="n">
        <v>438.625</v>
      </c>
      <c r="I3698" s="5" t="n">
        <v>300</v>
      </c>
      <c r="J3698" s="3" t="inlineStr">
        <is>
          <t>부강면</t>
        </is>
      </c>
    </row>
    <row r="3699">
      <c r="A3699" s="3" t="n">
        <v>2022</v>
      </c>
      <c r="B3699" s="4" t="n">
        <v>21326</v>
      </c>
      <c r="C3699" s="4" t="n">
        <v>235</v>
      </c>
      <c r="D3699" s="3" t="inlineStr">
        <is>
          <t>부강면</t>
        </is>
      </c>
      <c r="E3699" s="3" t="inlineStr">
        <is>
          <t>부강리</t>
        </is>
      </c>
      <c r="F3699" s="3" t="inlineStr">
        <is>
          <t>계획관리지역</t>
        </is>
      </c>
      <c r="G3699" s="3" t="inlineStr">
        <is>
          <t>도로</t>
        </is>
      </c>
      <c r="H3699" s="4" t="n">
        <v>71.08749999999999</v>
      </c>
      <c r="I3699" s="5" t="n">
        <v>300</v>
      </c>
      <c r="J3699" s="3" t="inlineStr">
        <is>
          <t>부강면</t>
        </is>
      </c>
    </row>
    <row r="3700">
      <c r="A3700" s="3" t="n">
        <v>2022</v>
      </c>
      <c r="B3700" s="4" t="n">
        <v>2450</v>
      </c>
      <c r="C3700" s="4" t="n">
        <v>27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계획관리지역</t>
        </is>
      </c>
      <c r="G3700" s="3" t="inlineStr">
        <is>
          <t>공장용지</t>
        </is>
      </c>
      <c r="H3700" s="4" t="n">
        <v>8.1675</v>
      </c>
      <c r="I3700" s="5" t="n">
        <v>300</v>
      </c>
      <c r="J3700" s="3" t="inlineStr">
        <is>
          <t>부강면</t>
        </is>
      </c>
    </row>
    <row r="3701">
      <c r="A3701" s="3" t="n">
        <v>2022</v>
      </c>
      <c r="B3701" s="4" t="n">
        <v>18500</v>
      </c>
      <c r="C3701" s="4" t="n">
        <v>384</v>
      </c>
      <c r="D3701" s="3" t="inlineStr">
        <is>
          <t>연서면</t>
        </is>
      </c>
      <c r="E3701" s="3" t="inlineStr">
        <is>
          <t>성제리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116.16</v>
      </c>
      <c r="I3701" s="5" t="n">
        <v>159.3</v>
      </c>
      <c r="J3701" s="3" t="inlineStr">
        <is>
          <t>연서면</t>
        </is>
      </c>
    </row>
    <row r="3702">
      <c r="A3702" s="3" t="n">
        <v>2025</v>
      </c>
      <c r="B3702" s="4" t="n">
        <v>300</v>
      </c>
      <c r="C3702" s="4" t="n">
        <v>4</v>
      </c>
      <c r="D3702" s="3" t="inlineStr">
        <is>
          <t>부강면</t>
        </is>
      </c>
      <c r="E3702" s="3" t="inlineStr">
        <is>
          <t>부강리</t>
        </is>
      </c>
      <c r="F3702" s="3" t="inlineStr">
        <is>
          <t>생산녹지지역</t>
        </is>
      </c>
      <c r="G3702" s="3" t="inlineStr">
        <is>
          <t>답</t>
        </is>
      </c>
      <c r="H3702" s="4" t="n">
        <v>1.21</v>
      </c>
      <c r="I3702" s="5" t="n">
        <v>247.9</v>
      </c>
      <c r="J3702" s="3" t="inlineStr">
        <is>
          <t>부강면</t>
        </is>
      </c>
    </row>
    <row r="3703">
      <c r="A3703" s="3" t="n">
        <v>2026</v>
      </c>
      <c r="B3703" s="4" t="n">
        <v>70000</v>
      </c>
      <c r="C3703" s="4" t="n">
        <v>510</v>
      </c>
      <c r="D3703" s="3" t="inlineStr">
        <is>
          <t>반곡동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154.275</v>
      </c>
      <c r="I3703" s="5" t="n">
        <v>453.7</v>
      </c>
      <c r="J3703" s="3" t="inlineStr">
        <is>
          <t>반곡동</t>
        </is>
      </c>
    </row>
    <row r="3704">
      <c r="A3704" s="3" t="n">
        <v>2026</v>
      </c>
      <c r="B3704" s="4" t="n">
        <v>10000</v>
      </c>
      <c r="C3704" s="4" t="n">
        <v>3967</v>
      </c>
      <c r="D3704" s="3" t="inlineStr">
        <is>
          <t>부강면</t>
        </is>
      </c>
      <c r="E3704" s="3" t="inlineStr">
        <is>
          <t>노호리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1200.0175</v>
      </c>
      <c r="I3704" s="5" t="n">
        <v>8.300000000000001</v>
      </c>
      <c r="J3704" s="3" t="inlineStr">
        <is>
          <t>부강면</t>
        </is>
      </c>
    </row>
    <row r="3705">
      <c r="A3705" s="3" t="n">
        <v>2026</v>
      </c>
      <c r="B3705" s="4" t="n">
        <v>56850</v>
      </c>
      <c r="C3705" s="4" t="n">
        <v>2502</v>
      </c>
      <c r="D3705" s="3" t="inlineStr">
        <is>
          <t>부강면</t>
        </is>
      </c>
      <c r="E3705" s="3" t="inlineStr">
        <is>
          <t>등곡리</t>
        </is>
      </c>
      <c r="F3705" s="3" t="inlineStr">
        <is>
          <t>계획관리지역</t>
        </is>
      </c>
      <c r="G3705" s="3" t="inlineStr">
        <is>
          <t>전</t>
        </is>
      </c>
      <c r="H3705" s="4" t="n">
        <v>756.855</v>
      </c>
      <c r="I3705" s="5" t="n">
        <v>75.09999999999999</v>
      </c>
      <c r="J3705" s="3" t="inlineStr">
        <is>
          <t>부강면</t>
        </is>
      </c>
    </row>
    <row r="3706">
      <c r="A3706" s="3" t="n">
        <v>2026</v>
      </c>
      <c r="B3706" s="4" t="n">
        <v>205313</v>
      </c>
      <c r="C3706" s="4" t="n">
        <v>3232</v>
      </c>
      <c r="D3706" s="3" t="inlineStr">
        <is>
          <t>연서면</t>
        </is>
      </c>
      <c r="E3706" s="3" t="inlineStr">
        <is>
          <t>부동리</t>
        </is>
      </c>
      <c r="F3706" s="3" t="inlineStr">
        <is>
          <t>계획관리지역</t>
        </is>
      </c>
      <c r="G3706" s="3" t="inlineStr">
        <is>
          <t>과수원</t>
        </is>
      </c>
      <c r="H3706" s="4" t="n">
        <v>977.6799999999999</v>
      </c>
      <c r="I3706" s="5" t="n">
        <v>210</v>
      </c>
      <c r="J3706" s="3" t="inlineStr">
        <is>
          <t>연서면</t>
        </is>
      </c>
    </row>
    <row r="3707">
      <c r="A3707" s="3" t="n">
        <v>2026</v>
      </c>
      <c r="B3707" s="4" t="n">
        <v>6000</v>
      </c>
      <c r="C3707" s="4" t="n">
        <v>331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100.1275</v>
      </c>
      <c r="I3707" s="5" t="n">
        <v>59.9</v>
      </c>
      <c r="J3707" s="3" t="inlineStr">
        <is>
          <t>연서면</t>
        </is>
      </c>
    </row>
    <row r="3708">
      <c r="A3708" s="3" t="n">
        <v>2025</v>
      </c>
      <c r="B3708" s="4" t="n">
        <v>24900</v>
      </c>
      <c r="C3708" s="4" t="n">
        <v>916</v>
      </c>
      <c r="D3708" s="3" t="inlineStr">
        <is>
          <t>부강면</t>
        </is>
      </c>
      <c r="E3708" s="3" t="inlineStr">
        <is>
          <t>부강리</t>
        </is>
      </c>
      <c r="F3708" s="3" t="inlineStr">
        <is>
          <t>자연녹지지역</t>
        </is>
      </c>
      <c r="G3708" s="3" t="inlineStr">
        <is>
          <t>전</t>
        </is>
      </c>
      <c r="H3708" s="4" t="n">
        <v>277.09</v>
      </c>
      <c r="I3708" s="5" t="n">
        <v>89.90000000000001</v>
      </c>
      <c r="J3708" s="3" t="inlineStr">
        <is>
          <t>부강면</t>
        </is>
      </c>
    </row>
    <row r="3709">
      <c r="A3709" s="3" t="n">
        <v>2022</v>
      </c>
      <c r="B3709" s="4" t="n">
        <v>28350</v>
      </c>
      <c r="C3709" s="4" t="n">
        <v>852</v>
      </c>
      <c r="D3709" s="3" t="inlineStr">
        <is>
          <t>부강면</t>
        </is>
      </c>
      <c r="E3709" s="3" t="inlineStr">
        <is>
          <t>노호리</t>
        </is>
      </c>
      <c r="F3709" s="3" t="inlineStr">
        <is>
          <t>계획관리지역</t>
        </is>
      </c>
      <c r="G3709" s="3" t="inlineStr">
        <is>
          <t>답</t>
        </is>
      </c>
      <c r="H3709" s="4" t="n">
        <v>257.73</v>
      </c>
      <c r="I3709" s="5" t="n">
        <v>110</v>
      </c>
      <c r="J3709" s="3" t="inlineStr">
        <is>
          <t>부강면</t>
        </is>
      </c>
    </row>
    <row r="3710">
      <c r="A3710" s="3" t="n">
        <v>2022</v>
      </c>
      <c r="B3710" s="4" t="n">
        <v>51011</v>
      </c>
      <c r="C3710" s="4" t="n">
        <v>1533</v>
      </c>
      <c r="D3710" s="3" t="inlineStr">
        <is>
          <t>부강면</t>
        </is>
      </c>
      <c r="E3710" s="3" t="inlineStr">
        <is>
          <t>노호리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463.7325</v>
      </c>
      <c r="I3710" s="5" t="n">
        <v>110</v>
      </c>
      <c r="J3710" s="3" t="inlineStr">
        <is>
          <t>부강면</t>
        </is>
      </c>
    </row>
    <row r="3711">
      <c r="A3711" s="3" t="n">
        <v>2022</v>
      </c>
      <c r="B3711" s="4" t="n">
        <v>7187</v>
      </c>
      <c r="C3711" s="4" t="n">
        <v>216</v>
      </c>
      <c r="D3711" s="3" t="inlineStr">
        <is>
          <t>부강면</t>
        </is>
      </c>
      <c r="E3711" s="3" t="inlineStr">
        <is>
          <t>노호리</t>
        </is>
      </c>
      <c r="F3711" s="3" t="inlineStr">
        <is>
          <t>계획관리지역</t>
        </is>
      </c>
      <c r="G3711" s="3" t="inlineStr">
        <is>
          <t>답</t>
        </is>
      </c>
      <c r="H3711" s="4" t="n">
        <v>65.34</v>
      </c>
      <c r="I3711" s="5" t="n">
        <v>110</v>
      </c>
      <c r="J3711" s="3" t="inlineStr">
        <is>
          <t>부강면</t>
        </is>
      </c>
    </row>
    <row r="3712">
      <c r="A3712" s="3" t="n">
        <v>2022</v>
      </c>
      <c r="B3712" s="4" t="n">
        <v>40000</v>
      </c>
      <c r="C3712" s="4" t="n">
        <v>603</v>
      </c>
      <c r="D3712" s="3" t="inlineStr">
        <is>
          <t>조치원읍</t>
        </is>
      </c>
      <c r="E3712" s="3" t="inlineStr">
        <is>
          <t>신흥리</t>
        </is>
      </c>
      <c r="F3712" s="3" t="inlineStr">
        <is>
          <t>제2종일반주거지역</t>
        </is>
      </c>
      <c r="G3712" s="3" t="inlineStr">
        <is>
          <t>임야</t>
        </is>
      </c>
      <c r="H3712" s="4" t="n">
        <v>182.4075</v>
      </c>
      <c r="I3712" s="5" t="n">
        <v>219.3</v>
      </c>
      <c r="J3712" s="3" t="inlineStr">
        <is>
          <t>조치원읍</t>
        </is>
      </c>
    </row>
    <row r="3713">
      <c r="A3713" s="3" t="n">
        <v>2022</v>
      </c>
      <c r="B3713" s="4" t="n">
        <v>25000</v>
      </c>
      <c r="C3713" s="4" t="n">
        <v>852</v>
      </c>
      <c r="D3713" s="3" t="inlineStr">
        <is>
          <t>연서면</t>
        </is>
      </c>
      <c r="E3713" s="3" t="inlineStr">
        <is>
          <t>쌍류리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257.73</v>
      </c>
      <c r="I3713" s="5" t="n">
        <v>97</v>
      </c>
      <c r="J3713" s="3" t="inlineStr">
        <is>
          <t>연서면</t>
        </is>
      </c>
    </row>
    <row r="3714">
      <c r="A3714" s="3" t="n">
        <v>2022</v>
      </c>
      <c r="B3714" s="4" t="n">
        <v>73000</v>
      </c>
      <c r="C3714" s="4" t="n">
        <v>518</v>
      </c>
      <c r="D3714" s="3" t="inlineStr">
        <is>
          <t>연서면</t>
        </is>
      </c>
      <c r="E3714" s="3" t="inlineStr">
        <is>
          <t>봉암리</t>
        </is>
      </c>
      <c r="F3714" s="3" t="inlineStr">
        <is>
          <t>계획관리지역</t>
        </is>
      </c>
      <c r="G3714" s="3" t="inlineStr">
        <is>
          <t>답</t>
        </is>
      </c>
      <c r="H3714" s="4" t="n">
        <v>156.695</v>
      </c>
      <c r="I3714" s="5" t="n">
        <v>465.9</v>
      </c>
      <c r="J3714" s="3" t="inlineStr">
        <is>
          <t>연서면</t>
        </is>
      </c>
    </row>
    <row r="3715">
      <c r="A3715" s="3" t="n">
        <v>2022</v>
      </c>
      <c r="B3715" s="4" t="n">
        <v>41000</v>
      </c>
      <c r="C3715" s="4" t="n">
        <v>592</v>
      </c>
      <c r="D3715" s="3" t="inlineStr">
        <is>
          <t>연동면</t>
        </is>
      </c>
      <c r="E3715" s="3" t="inlineStr">
        <is>
          <t>내판리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179.08</v>
      </c>
      <c r="I3715" s="5" t="n">
        <v>228.9</v>
      </c>
      <c r="J3715" s="3" t="inlineStr">
        <is>
          <t>연동면</t>
        </is>
      </c>
    </row>
    <row r="3716">
      <c r="A3716" s="3" t="n">
        <v>2022</v>
      </c>
      <c r="B3716" s="4" t="n">
        <v>84231</v>
      </c>
      <c r="C3716" s="4" t="n">
        <v>1894</v>
      </c>
      <c r="D3716" s="3" t="inlineStr">
        <is>
          <t>부강면</t>
        </is>
      </c>
      <c r="E3716" s="3" t="inlineStr">
        <is>
          <t>갈산리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572.9349999999999</v>
      </c>
      <c r="I3716" s="5" t="n">
        <v>147</v>
      </c>
      <c r="J3716" s="3" t="inlineStr">
        <is>
          <t>부강면</t>
        </is>
      </c>
    </row>
    <row r="3717">
      <c r="A3717" s="3" t="n">
        <v>2022</v>
      </c>
      <c r="B3717" s="4" t="n">
        <v>4922</v>
      </c>
      <c r="C3717" s="4" t="n">
        <v>169</v>
      </c>
      <c r="D3717" s="3" t="inlineStr">
        <is>
          <t>부강면</t>
        </is>
      </c>
      <c r="E3717" s="3" t="inlineStr">
        <is>
          <t>갈산리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51.1225</v>
      </c>
      <c r="I3717" s="5" t="n">
        <v>96.3</v>
      </c>
      <c r="J3717" s="3" t="inlineStr">
        <is>
          <t>부강면</t>
        </is>
      </c>
    </row>
    <row r="3718">
      <c r="A3718" s="3" t="n">
        <v>2022</v>
      </c>
      <c r="B3718" s="4" t="n">
        <v>32825</v>
      </c>
      <c r="C3718" s="4" t="n">
        <v>1127</v>
      </c>
      <c r="D3718" s="3" t="inlineStr">
        <is>
          <t>부강면</t>
        </is>
      </c>
      <c r="E3718" s="3" t="inlineStr">
        <is>
          <t>갈산리</t>
        </is>
      </c>
      <c r="F3718" s="3" t="inlineStr">
        <is>
          <t>계획관리지역</t>
        </is>
      </c>
      <c r="G3718" s="3" t="inlineStr">
        <is>
          <t>임야</t>
        </is>
      </c>
      <c r="H3718" s="4" t="n">
        <v>340.9175</v>
      </c>
      <c r="I3718" s="5" t="n">
        <v>96.3</v>
      </c>
      <c r="J3718" s="3" t="inlineStr">
        <is>
          <t>부강면</t>
        </is>
      </c>
    </row>
    <row r="3719">
      <c r="A3719" s="3" t="n">
        <v>2022</v>
      </c>
      <c r="B3719" s="4" t="n">
        <v>13572</v>
      </c>
      <c r="C3719" s="4" t="n">
        <v>466</v>
      </c>
      <c r="D3719" s="3" t="inlineStr">
        <is>
          <t>부강면</t>
        </is>
      </c>
      <c r="E3719" s="3" t="inlineStr">
        <is>
          <t>갈산리</t>
        </is>
      </c>
      <c r="F3719" s="3" t="inlineStr">
        <is>
          <t>계획관리지역</t>
        </is>
      </c>
      <c r="G3719" s="3" t="inlineStr">
        <is>
          <t>답</t>
        </is>
      </c>
      <c r="H3719" s="4" t="n">
        <v>140.965</v>
      </c>
      <c r="I3719" s="5" t="n">
        <v>96.3</v>
      </c>
      <c r="J3719" s="3" t="inlineStr">
        <is>
          <t>부강면</t>
        </is>
      </c>
    </row>
    <row r="3720">
      <c r="A3720" s="3" t="n">
        <v>2022</v>
      </c>
      <c r="B3720" s="4" t="n">
        <v>62097</v>
      </c>
      <c r="C3720" s="4" t="n">
        <v>1283</v>
      </c>
      <c r="D3720" s="3" t="inlineStr">
        <is>
          <t>부강면</t>
        </is>
      </c>
      <c r="E3720" s="3" t="inlineStr">
        <is>
          <t>갈산리</t>
        </is>
      </c>
      <c r="F3720" s="3" t="inlineStr">
        <is>
          <t>계획관리지역</t>
        </is>
      </c>
      <c r="G3720" s="3" t="inlineStr">
        <is>
          <t>공장용지</t>
        </is>
      </c>
      <c r="H3720" s="4" t="n">
        <v>388.1075</v>
      </c>
      <c r="I3720" s="5" t="n">
        <v>160</v>
      </c>
      <c r="J3720" s="3" t="inlineStr">
        <is>
          <t>부강면</t>
        </is>
      </c>
    </row>
    <row r="3721">
      <c r="A3721" s="3" t="n">
        <v>2022</v>
      </c>
      <c r="B3721" s="4" t="n">
        <v>38236</v>
      </c>
      <c r="C3721" s="4" t="n">
        <v>790</v>
      </c>
      <c r="D3721" s="3" t="inlineStr">
        <is>
          <t>부강면</t>
        </is>
      </c>
      <c r="E3721" s="3" t="inlineStr">
        <is>
          <t>갈산리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238.975</v>
      </c>
      <c r="I3721" s="5" t="n">
        <v>160</v>
      </c>
      <c r="J3721" s="3" t="inlineStr">
        <is>
          <t>부강면</t>
        </is>
      </c>
    </row>
    <row r="3722">
      <c r="A3722" s="3" t="n">
        <v>2022</v>
      </c>
      <c r="B3722" s="4" t="n">
        <v>371564</v>
      </c>
      <c r="C3722" s="4" t="n">
        <v>7677</v>
      </c>
      <c r="D3722" s="3" t="inlineStr">
        <is>
          <t>부강면</t>
        </is>
      </c>
      <c r="E3722" s="3" t="inlineStr">
        <is>
          <t>갈산리</t>
        </is>
      </c>
      <c r="F3722" s="3" t="inlineStr">
        <is>
          <t>계획관리지역</t>
        </is>
      </c>
      <c r="G3722" s="3" t="inlineStr">
        <is>
          <t>공장용지</t>
        </is>
      </c>
      <c r="H3722" s="4" t="n">
        <v>2322.2925</v>
      </c>
      <c r="I3722" s="5" t="n">
        <v>160</v>
      </c>
      <c r="J3722" s="3" t="inlineStr">
        <is>
          <t>부강면</t>
        </is>
      </c>
    </row>
    <row r="3723">
      <c r="A3723" s="3" t="n">
        <v>2022</v>
      </c>
      <c r="B3723" s="4" t="n">
        <v>22554</v>
      </c>
      <c r="C3723" s="4" t="n">
        <v>466</v>
      </c>
      <c r="D3723" s="3" t="inlineStr">
        <is>
          <t>부강면</t>
        </is>
      </c>
      <c r="E3723" s="3" t="inlineStr">
        <is>
          <t>갈산리</t>
        </is>
      </c>
      <c r="F3723" s="3" t="inlineStr">
        <is>
          <t>계획관리지역</t>
        </is>
      </c>
      <c r="G3723" s="3" t="inlineStr">
        <is>
          <t>공장용지</t>
        </is>
      </c>
      <c r="H3723" s="4" t="n">
        <v>140.965</v>
      </c>
      <c r="I3723" s="5" t="n">
        <v>160</v>
      </c>
      <c r="J3723" s="3" t="inlineStr">
        <is>
          <t>부강면</t>
        </is>
      </c>
    </row>
    <row r="3724">
      <c r="A3724" s="3" t="n">
        <v>2022</v>
      </c>
      <c r="B3724" s="4" t="n">
        <v>9000</v>
      </c>
      <c r="C3724" s="4" t="n">
        <v>327</v>
      </c>
      <c r="D3724" s="3" t="inlineStr">
        <is>
          <t>연동면</t>
        </is>
      </c>
      <c r="E3724" s="3" t="inlineStr">
        <is>
          <t>내판리</t>
        </is>
      </c>
      <c r="F3724" s="3" t="inlineStr">
        <is>
          <t>보전관리지역</t>
        </is>
      </c>
      <c r="G3724" s="3" t="inlineStr">
        <is>
          <t>전</t>
        </is>
      </c>
      <c r="H3724" s="4" t="n">
        <v>98.9175</v>
      </c>
      <c r="I3724" s="5" t="n">
        <v>91</v>
      </c>
      <c r="J3724" s="3" t="inlineStr">
        <is>
          <t>연동면</t>
        </is>
      </c>
    </row>
    <row r="3725">
      <c r="A3725" s="3" t="n">
        <v>2022</v>
      </c>
      <c r="B3725" s="4" t="n">
        <v>118000</v>
      </c>
      <c r="C3725" s="4" t="n">
        <v>1564</v>
      </c>
      <c r="D3725" s="3" t="inlineStr">
        <is>
          <t>연동면</t>
        </is>
      </c>
      <c r="E3725" s="3" t="inlineStr">
        <is>
          <t>명학리</t>
        </is>
      </c>
      <c r="F3725" s="3" t="inlineStr">
        <is>
          <t>농림지역</t>
        </is>
      </c>
      <c r="G3725" s="3" t="inlineStr">
        <is>
          <t>전</t>
        </is>
      </c>
      <c r="H3725" s="4" t="n">
        <v>473.11</v>
      </c>
      <c r="I3725" s="5" t="n">
        <v>249.4</v>
      </c>
      <c r="J3725" s="3" t="inlineStr">
        <is>
          <t>연동면</t>
        </is>
      </c>
    </row>
    <row r="3726">
      <c r="A3726" s="3" t="n">
        <v>2022</v>
      </c>
      <c r="B3726" s="4" t="n">
        <v>49000</v>
      </c>
      <c r="C3726" s="4" t="n">
        <v>1501</v>
      </c>
      <c r="D3726" s="3" t="inlineStr">
        <is>
          <t>연동면</t>
        </is>
      </c>
      <c r="E3726" s="3" t="inlineStr">
        <is>
          <t>송용리</t>
        </is>
      </c>
      <c r="F3726" s="3" t="inlineStr">
        <is>
          <t>보전관리지역</t>
        </is>
      </c>
      <c r="G3726" s="3" t="inlineStr">
        <is>
          <t>대</t>
        </is>
      </c>
      <c r="H3726" s="4" t="n">
        <v>454.0525</v>
      </c>
      <c r="I3726" s="5" t="n">
        <v>107.9</v>
      </c>
      <c r="J3726" s="3" t="inlineStr">
        <is>
          <t>연동면</t>
        </is>
      </c>
    </row>
    <row r="3727">
      <c r="A3727" s="3" t="n">
        <v>2022</v>
      </c>
      <c r="B3727" s="4" t="n">
        <v>29500</v>
      </c>
      <c r="C3727" s="4" t="n">
        <v>842.5</v>
      </c>
      <c r="D3727" s="3" t="inlineStr">
        <is>
          <t>연서면</t>
        </is>
      </c>
      <c r="E3727" s="3" t="inlineStr">
        <is>
          <t>봉암리</t>
        </is>
      </c>
      <c r="F3727" s="3" t="inlineStr">
        <is>
          <t>농림지역</t>
        </is>
      </c>
      <c r="G3727" s="3" t="inlineStr">
        <is>
          <t>전</t>
        </is>
      </c>
      <c r="H3727" s="4" t="n">
        <v>254.85625</v>
      </c>
      <c r="I3727" s="5" t="n">
        <v>115.8</v>
      </c>
      <c r="J3727" s="3" t="inlineStr">
        <is>
          <t>연서면</t>
        </is>
      </c>
    </row>
    <row r="3728">
      <c r="A3728" s="3" t="n">
        <v>2022</v>
      </c>
      <c r="B3728" s="4" t="n">
        <v>19000</v>
      </c>
      <c r="C3728" s="4" t="n">
        <v>1792</v>
      </c>
      <c r="D3728" s="3" t="inlineStr">
        <is>
          <t>연동면</t>
        </is>
      </c>
      <c r="E3728" s="3" t="inlineStr">
        <is>
          <t>송용리</t>
        </is>
      </c>
      <c r="F3728" s="3" t="inlineStr">
        <is>
          <t>농림지역</t>
        </is>
      </c>
      <c r="G3728" s="3" t="inlineStr">
        <is>
          <t>답</t>
        </is>
      </c>
      <c r="H3728" s="4" t="n">
        <v>542.0799999999999</v>
      </c>
      <c r="I3728" s="5" t="n">
        <v>35.1</v>
      </c>
      <c r="J3728" s="3" t="inlineStr">
        <is>
          <t>연동면</t>
        </is>
      </c>
    </row>
    <row r="3729">
      <c r="A3729" s="3" t="n">
        <v>2022</v>
      </c>
      <c r="B3729" s="4" t="n">
        <v>12500</v>
      </c>
      <c r="C3729" s="4" t="n">
        <v>330</v>
      </c>
      <c r="D3729" s="3" t="inlineStr">
        <is>
          <t>연서면</t>
        </is>
      </c>
      <c r="E3729" s="3" t="inlineStr">
        <is>
          <t>쌍류리</t>
        </is>
      </c>
      <c r="F3729" s="3" t="inlineStr">
        <is>
          <t>생산관리지역</t>
        </is>
      </c>
      <c r="G3729" s="3" t="inlineStr">
        <is>
          <t>과수원</t>
        </is>
      </c>
      <c r="H3729" s="4" t="n">
        <v>99.825</v>
      </c>
      <c r="I3729" s="5" t="n">
        <v>125.2</v>
      </c>
      <c r="J3729" s="3" t="inlineStr">
        <is>
          <t>연서면</t>
        </is>
      </c>
    </row>
    <row r="3730">
      <c r="A3730" s="3" t="n">
        <v>2022</v>
      </c>
      <c r="B3730" s="4" t="n">
        <v>32000</v>
      </c>
      <c r="C3730" s="4" t="n">
        <v>2015.5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609.68875</v>
      </c>
      <c r="I3730" s="5" t="n">
        <v>52.5</v>
      </c>
      <c r="J3730" s="3" t="inlineStr">
        <is>
          <t>연서면</t>
        </is>
      </c>
    </row>
    <row r="3731">
      <c r="A3731" s="3" t="n">
        <v>2022</v>
      </c>
      <c r="B3731" s="4" t="n">
        <v>88500</v>
      </c>
      <c r="C3731" s="4" t="n">
        <v>854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계획관리지역</t>
        </is>
      </c>
      <c r="G3731" s="3" t="inlineStr">
        <is>
          <t>공장용지</t>
        </is>
      </c>
      <c r="H3731" s="4" t="n">
        <v>258.335</v>
      </c>
      <c r="I3731" s="5" t="n">
        <v>342.6</v>
      </c>
      <c r="J3731" s="3" t="inlineStr">
        <is>
          <t>부강면</t>
        </is>
      </c>
    </row>
    <row r="3732">
      <c r="A3732" s="3" t="n">
        <v>2022</v>
      </c>
      <c r="B3732" s="4" t="n">
        <v>88500</v>
      </c>
      <c r="C3732" s="4" t="n">
        <v>854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계획관리지역</t>
        </is>
      </c>
      <c r="G3732" s="3" t="inlineStr">
        <is>
          <t>공장용지</t>
        </is>
      </c>
      <c r="H3732" s="4" t="n">
        <v>258.335</v>
      </c>
      <c r="I3732" s="5" t="n">
        <v>342.6</v>
      </c>
      <c r="J3732" s="3" t="inlineStr">
        <is>
          <t>부강면</t>
        </is>
      </c>
    </row>
    <row r="3733">
      <c r="A3733" s="3" t="n">
        <v>2022</v>
      </c>
      <c r="B3733" s="4" t="n">
        <v>239564</v>
      </c>
      <c r="C3733" s="4" t="n">
        <v>19800</v>
      </c>
      <c r="D3733" s="3" t="inlineStr">
        <is>
          <t>부강면</t>
        </is>
      </c>
      <c r="E3733" s="3" t="inlineStr">
        <is>
          <t>갈산리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5989.5</v>
      </c>
      <c r="I3733" s="5" t="n">
        <v>40</v>
      </c>
      <c r="J3733" s="3" t="inlineStr">
        <is>
          <t>부강면</t>
        </is>
      </c>
    </row>
    <row r="3734">
      <c r="A3734" s="3" t="n">
        <v>2022</v>
      </c>
      <c r="B3734" s="4" t="n">
        <v>168156</v>
      </c>
      <c r="C3734" s="4" t="n">
        <v>13898</v>
      </c>
      <c r="D3734" s="3" t="inlineStr">
        <is>
          <t>부강면</t>
        </is>
      </c>
      <c r="E3734" s="3" t="inlineStr">
        <is>
          <t>갈산리</t>
        </is>
      </c>
      <c r="F3734" s="3" t="inlineStr">
        <is>
          <t>계획관리지역</t>
        </is>
      </c>
      <c r="G3734" s="3" t="inlineStr">
        <is>
          <t>임야</t>
        </is>
      </c>
      <c r="H3734" s="4" t="n">
        <v>4204.145</v>
      </c>
      <c r="I3734" s="5" t="n">
        <v>40</v>
      </c>
      <c r="J3734" s="3" t="inlineStr">
        <is>
          <t>부강면</t>
        </is>
      </c>
    </row>
    <row r="3735">
      <c r="A3735" s="3" t="n">
        <v>2022</v>
      </c>
      <c r="B3735" s="4" t="n">
        <v>267</v>
      </c>
      <c r="C3735" s="4" t="n">
        <v>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대</t>
        </is>
      </c>
      <c r="H3735" s="4" t="n">
        <v>1.815</v>
      </c>
      <c r="I3735" s="5" t="n">
        <v>147.1</v>
      </c>
      <c r="J3735" s="3" t="inlineStr">
        <is>
          <t>조치원읍</t>
        </is>
      </c>
    </row>
    <row r="3736">
      <c r="A3736" s="3" t="n">
        <v>2022</v>
      </c>
      <c r="B3736" s="4" t="n">
        <v>25000</v>
      </c>
      <c r="C3736" s="4" t="n">
        <v>1653</v>
      </c>
      <c r="D3736" s="3" t="inlineStr">
        <is>
          <t>부강면</t>
        </is>
      </c>
      <c r="E3736" s="3" t="inlineStr">
        <is>
          <t>금호리</t>
        </is>
      </c>
      <c r="F3736" s="3" t="inlineStr">
        <is>
          <t>생산관리지역</t>
        </is>
      </c>
      <c r="G3736" s="3" t="inlineStr">
        <is>
          <t>답</t>
        </is>
      </c>
      <c r="H3736" s="4" t="n">
        <v>500.0325</v>
      </c>
      <c r="I3736" s="5" t="n">
        <v>50</v>
      </c>
      <c r="J3736" s="3" t="inlineStr">
        <is>
          <t>부강면</t>
        </is>
      </c>
    </row>
    <row r="3737">
      <c r="A3737" s="3" t="n">
        <v>2022</v>
      </c>
      <c r="B3737" s="4" t="n">
        <v>1400</v>
      </c>
      <c r="C3737" s="4" t="n">
        <v>62</v>
      </c>
      <c r="D3737" s="3" t="inlineStr">
        <is>
          <t>연동면</t>
        </is>
      </c>
      <c r="E3737" s="3" t="inlineStr">
        <is>
          <t>예양리</t>
        </is>
      </c>
      <c r="F3737" s="3" t="inlineStr">
        <is>
          <t>생산관리지역</t>
        </is>
      </c>
      <c r="G3737" s="3" t="inlineStr">
        <is>
          <t>답</t>
        </is>
      </c>
      <c r="H3737" s="4" t="n">
        <v>18.755</v>
      </c>
      <c r="I3737" s="5" t="n">
        <v>74.59999999999999</v>
      </c>
      <c r="J3737" s="3" t="inlineStr">
        <is>
          <t>연동면</t>
        </is>
      </c>
    </row>
    <row r="3738">
      <c r="A3738" s="3" t="n">
        <v>2022</v>
      </c>
      <c r="B3738" s="4" t="n">
        <v>150</v>
      </c>
      <c r="C3738" s="4" t="n">
        <v>1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0.3025</v>
      </c>
      <c r="I3738" s="5" t="n">
        <v>495.9</v>
      </c>
      <c r="J3738" s="3" t="inlineStr">
        <is>
          <t>조치원읍</t>
        </is>
      </c>
    </row>
    <row r="3739">
      <c r="A3739" s="3" t="n">
        <v>2022</v>
      </c>
      <c r="B3739" s="4" t="n">
        <v>176400</v>
      </c>
      <c r="C3739" s="4" t="n">
        <v>8331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2520.1275</v>
      </c>
      <c r="I3739" s="5" t="n">
        <v>70</v>
      </c>
      <c r="J3739" s="3" t="inlineStr">
        <is>
          <t>연서면</t>
        </is>
      </c>
    </row>
    <row r="3740">
      <c r="A3740" s="3" t="n">
        <v>2022</v>
      </c>
      <c r="B3740" s="4" t="n">
        <v>600</v>
      </c>
      <c r="C3740" s="4" t="n">
        <v>60</v>
      </c>
      <c r="D3740" s="3" t="inlineStr">
        <is>
          <t>연서면</t>
        </is>
      </c>
      <c r="E3740" s="3" t="inlineStr">
        <is>
          <t>용암리</t>
        </is>
      </c>
      <c r="F3740" s="3" t="inlineStr">
        <is>
          <t>농림지역</t>
        </is>
      </c>
      <c r="G3740" s="3" t="inlineStr">
        <is>
          <t>도로</t>
        </is>
      </c>
      <c r="H3740" s="4" t="n">
        <v>18.15</v>
      </c>
      <c r="I3740" s="5" t="n">
        <v>33.1</v>
      </c>
      <c r="J3740" s="3" t="inlineStr">
        <is>
          <t>연서면</t>
        </is>
      </c>
    </row>
    <row r="3741">
      <c r="A3741" s="3" t="n">
        <v>2022</v>
      </c>
      <c r="B3741" s="4" t="n">
        <v>500</v>
      </c>
      <c r="C3741" s="4" t="n">
        <v>19</v>
      </c>
      <c r="D3741" s="3" t="inlineStr">
        <is>
          <t>연서면</t>
        </is>
      </c>
      <c r="E3741" s="3" t="inlineStr">
        <is>
          <t>용암리</t>
        </is>
      </c>
      <c r="F3741" s="3" t="inlineStr">
        <is>
          <t>농림지역</t>
        </is>
      </c>
      <c r="G3741" s="3" t="inlineStr">
        <is>
          <t>과수원</t>
        </is>
      </c>
      <c r="H3741" s="4" t="n">
        <v>5.7475</v>
      </c>
      <c r="I3741" s="5" t="n">
        <v>87</v>
      </c>
      <c r="J3741" s="3" t="inlineStr">
        <is>
          <t>연서면</t>
        </is>
      </c>
    </row>
    <row r="3742">
      <c r="A3742" s="3" t="n">
        <v>2022</v>
      </c>
      <c r="B3742" s="4" t="n">
        <v>7900</v>
      </c>
      <c r="C3742" s="4" t="n">
        <v>297</v>
      </c>
      <c r="D3742" s="3" t="inlineStr">
        <is>
          <t>연서면</t>
        </is>
      </c>
      <c r="E3742" s="3" t="inlineStr">
        <is>
          <t>용암리</t>
        </is>
      </c>
      <c r="F3742" s="3" t="inlineStr">
        <is>
          <t>농림지역</t>
        </is>
      </c>
      <c r="G3742" s="3" t="inlineStr">
        <is>
          <t>과수원</t>
        </is>
      </c>
      <c r="H3742" s="4" t="n">
        <v>89.8425</v>
      </c>
      <c r="I3742" s="5" t="n">
        <v>87.90000000000001</v>
      </c>
      <c r="J3742" s="3" t="inlineStr">
        <is>
          <t>연서면</t>
        </is>
      </c>
    </row>
    <row r="3743">
      <c r="A3743" s="3" t="n">
        <v>2022</v>
      </c>
      <c r="B3743" s="4" t="n">
        <v>214</v>
      </c>
      <c r="C3743" s="4" t="n">
        <v>17</v>
      </c>
      <c r="D3743" s="3" t="inlineStr">
        <is>
          <t>연서면</t>
        </is>
      </c>
      <c r="E3743" s="3" t="inlineStr">
        <is>
          <t>월하리</t>
        </is>
      </c>
      <c r="F3743" s="3" t="inlineStr">
        <is>
          <t>자연녹지지역</t>
        </is>
      </c>
      <c r="G3743" s="3" t="inlineStr">
        <is>
          <t>답</t>
        </is>
      </c>
      <c r="H3743" s="4" t="n">
        <v>5.1425</v>
      </c>
      <c r="I3743" s="5" t="n">
        <v>41.6</v>
      </c>
      <c r="J3743" s="3" t="inlineStr">
        <is>
          <t>연서면</t>
        </is>
      </c>
    </row>
    <row r="3744">
      <c r="A3744" s="3" t="n">
        <v>2022</v>
      </c>
      <c r="B3744" s="4" t="n">
        <v>616</v>
      </c>
      <c r="C3744" s="4" t="n">
        <v>49</v>
      </c>
      <c r="D3744" s="3" t="inlineStr">
        <is>
          <t>연서면</t>
        </is>
      </c>
      <c r="E3744" s="3" t="inlineStr">
        <is>
          <t>월하리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14.8225</v>
      </c>
      <c r="I3744" s="5" t="n">
        <v>41.6</v>
      </c>
      <c r="J3744" s="3" t="inlineStr">
        <is>
          <t>연서면</t>
        </is>
      </c>
    </row>
    <row r="3745">
      <c r="A3745" s="3" t="n">
        <v>2022</v>
      </c>
      <c r="B3745" s="4" t="n">
        <v>350</v>
      </c>
      <c r="C3745" s="4" t="n">
        <v>39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11.7975</v>
      </c>
      <c r="I3745" s="5" t="n">
        <v>29.7</v>
      </c>
      <c r="J3745" s="3" t="inlineStr">
        <is>
          <t>연서면</t>
        </is>
      </c>
    </row>
    <row r="3746">
      <c r="A3746" s="3" t="n">
        <v>2022</v>
      </c>
      <c r="B3746" s="4" t="n">
        <v>8820</v>
      </c>
      <c r="C3746" s="4" t="n">
        <v>158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47.795</v>
      </c>
      <c r="I3746" s="5" t="n">
        <v>184.5</v>
      </c>
      <c r="J3746" s="3" t="inlineStr">
        <is>
          <t>연서면</t>
        </is>
      </c>
    </row>
    <row r="3747">
      <c r="A3747" s="3" t="n">
        <v>2023</v>
      </c>
      <c r="B3747" s="4" t="n">
        <v>35470</v>
      </c>
      <c r="C3747" s="4" t="n">
        <v>1804</v>
      </c>
      <c r="D3747" s="3" t="inlineStr">
        <is>
          <t>연서면</t>
        </is>
      </c>
      <c r="E3747" s="3" t="inlineStr">
        <is>
          <t>쌍류리</t>
        </is>
      </c>
      <c r="F3747" s="3" t="inlineStr">
        <is>
          <t>생산관리지역</t>
        </is>
      </c>
      <c r="G3747" s="3" t="inlineStr">
        <is>
          <t>전</t>
        </is>
      </c>
      <c r="H3747" s="4" t="n">
        <v>545.71</v>
      </c>
      <c r="I3747" s="5" t="n">
        <v>65</v>
      </c>
      <c r="J3747" s="3" t="inlineStr">
        <is>
          <t>연서면</t>
        </is>
      </c>
    </row>
    <row r="3748">
      <c r="A3748" s="3" t="n">
        <v>2023</v>
      </c>
      <c r="B3748" s="4" t="n">
        <v>2532</v>
      </c>
      <c r="C3748" s="4" t="n">
        <v>650</v>
      </c>
      <c r="D3748" s="3" t="inlineStr">
        <is>
          <t>부강면</t>
        </is>
      </c>
      <c r="E3748" s="3" t="inlineStr">
        <is>
          <t>노호리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196.625</v>
      </c>
      <c r="I3748" s="5" t="n">
        <v>12.9</v>
      </c>
      <c r="J3748" s="3" t="inlineStr">
        <is>
          <t>부강면</t>
        </is>
      </c>
    </row>
    <row r="3749">
      <c r="A3749" s="3" t="n">
        <v>2023</v>
      </c>
      <c r="B3749" s="4" t="n">
        <v>3848</v>
      </c>
      <c r="C3749" s="4" t="n">
        <v>519</v>
      </c>
      <c r="D3749" s="3" t="inlineStr">
        <is>
          <t>부강면</t>
        </is>
      </c>
      <c r="E3749" s="3" t="inlineStr">
        <is>
          <t>노호리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156.9975</v>
      </c>
      <c r="I3749" s="5" t="n">
        <v>24.5</v>
      </c>
      <c r="J3749" s="3" t="inlineStr">
        <is>
          <t>부강면</t>
        </is>
      </c>
    </row>
    <row r="3750">
      <c r="A3750" s="3" t="n">
        <v>2023</v>
      </c>
      <c r="B3750" s="4" t="n">
        <v>1794</v>
      </c>
      <c r="C3750" s="4" t="n">
        <v>635</v>
      </c>
      <c r="D3750" s="3" t="inlineStr">
        <is>
          <t>부강면</t>
        </is>
      </c>
      <c r="E3750" s="3" t="inlineStr">
        <is>
          <t>노호리</t>
        </is>
      </c>
      <c r="F3750" s="3" t="inlineStr">
        <is>
          <t>보전관리지역</t>
        </is>
      </c>
      <c r="G3750" s="3" t="inlineStr">
        <is>
          <t>묘지</t>
        </is>
      </c>
      <c r="H3750" s="4" t="n">
        <v>192.0875</v>
      </c>
      <c r="I3750" s="5" t="n">
        <v>9.300000000000001</v>
      </c>
      <c r="J3750" s="3" t="inlineStr">
        <is>
          <t>부강면</t>
        </is>
      </c>
    </row>
    <row r="3751">
      <c r="A3751" s="3" t="n">
        <v>2023</v>
      </c>
      <c r="B3751" s="4" t="n">
        <v>4545</v>
      </c>
      <c r="C3751" s="4" t="n">
        <v>1003</v>
      </c>
      <c r="D3751" s="3" t="inlineStr">
        <is>
          <t>부강면</t>
        </is>
      </c>
      <c r="E3751" s="3" t="inlineStr">
        <is>
          <t>노호리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303.4075</v>
      </c>
      <c r="I3751" s="5" t="n">
        <v>15</v>
      </c>
      <c r="J3751" s="3" t="inlineStr">
        <is>
          <t>부강면</t>
        </is>
      </c>
    </row>
    <row r="3752">
      <c r="A3752" s="3" t="n">
        <v>2023</v>
      </c>
      <c r="B3752" s="4" t="n">
        <v>14000</v>
      </c>
      <c r="C3752" s="4" t="n">
        <v>700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대</t>
        </is>
      </c>
      <c r="H3752" s="4" t="n">
        <v>211.75</v>
      </c>
      <c r="I3752" s="5" t="n">
        <v>66.09999999999999</v>
      </c>
      <c r="J3752" s="3" t="inlineStr">
        <is>
          <t>연서면</t>
        </is>
      </c>
    </row>
    <row r="3753">
      <c r="A3753" s="3" t="n">
        <v>2023</v>
      </c>
      <c r="B3753" s="4" t="n">
        <v>170500</v>
      </c>
      <c r="C3753" s="4" t="n">
        <v>342.2</v>
      </c>
      <c r="D3753" s="3" t="inlineStr">
        <is>
          <t>고운동</t>
        </is>
      </c>
      <c r="E3753" s="3" t="inlineStr"/>
      <c r="F3753" s="3" t="inlineStr">
        <is>
          <t>제1종전용주거지역</t>
        </is>
      </c>
      <c r="G3753" s="3" t="inlineStr">
        <is>
          <t>대</t>
        </is>
      </c>
      <c r="H3753" s="4" t="n">
        <v>103.5155</v>
      </c>
      <c r="I3753" s="5" t="n">
        <v>1647.1</v>
      </c>
      <c r="J3753" s="3" t="inlineStr">
        <is>
          <t>고운동</t>
        </is>
      </c>
    </row>
    <row r="3754">
      <c r="A3754" s="3" t="n">
        <v>2023</v>
      </c>
      <c r="B3754" s="4" t="n">
        <v>4100</v>
      </c>
      <c r="C3754" s="4" t="n">
        <v>150</v>
      </c>
      <c r="D3754" s="3" t="inlineStr">
        <is>
          <t>연서면</t>
        </is>
      </c>
      <c r="E3754" s="3" t="inlineStr">
        <is>
          <t>신대리</t>
        </is>
      </c>
      <c r="F3754" s="3" t="inlineStr">
        <is>
          <t>보전관리지역</t>
        </is>
      </c>
      <c r="G3754" s="3" t="inlineStr">
        <is>
          <t>전</t>
        </is>
      </c>
      <c r="H3754" s="4" t="n">
        <v>45.375</v>
      </c>
      <c r="I3754" s="5" t="n">
        <v>90.40000000000001</v>
      </c>
      <c r="J3754" s="3" t="inlineStr">
        <is>
          <t>연서면</t>
        </is>
      </c>
    </row>
    <row r="3755">
      <c r="A3755" s="3" t="n">
        <v>2024</v>
      </c>
      <c r="B3755" s="4" t="n">
        <v>48137</v>
      </c>
      <c r="C3755" s="4" t="n">
        <v>2720</v>
      </c>
      <c r="D3755" s="3" t="inlineStr">
        <is>
          <t>연서면</t>
        </is>
      </c>
      <c r="E3755" s="3" t="inlineStr">
        <is>
          <t>기룡리</t>
        </is>
      </c>
      <c r="F3755" s="3" t="inlineStr">
        <is>
          <t>생산관리지역</t>
        </is>
      </c>
      <c r="G3755" s="3" t="inlineStr">
        <is>
          <t>목장용지</t>
        </is>
      </c>
      <c r="H3755" s="4" t="n">
        <v>822.8</v>
      </c>
      <c r="I3755" s="5" t="n">
        <v>58.5</v>
      </c>
      <c r="J3755" s="3" t="inlineStr">
        <is>
          <t>연서면</t>
        </is>
      </c>
    </row>
    <row r="3756">
      <c r="A3756" s="3" t="n">
        <v>2024</v>
      </c>
      <c r="B3756" s="4" t="n">
        <v>1363</v>
      </c>
      <c r="C3756" s="4" t="n">
        <v>77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생산관리지역</t>
        </is>
      </c>
      <c r="G3756" s="3" t="inlineStr">
        <is>
          <t>목장용지</t>
        </is>
      </c>
      <c r="H3756" s="4" t="n">
        <v>23.2925</v>
      </c>
      <c r="I3756" s="5" t="n">
        <v>58.5</v>
      </c>
      <c r="J3756" s="3" t="inlineStr">
        <is>
          <t>연서면</t>
        </is>
      </c>
    </row>
    <row r="3757">
      <c r="A3757" s="3" t="n">
        <v>2024</v>
      </c>
      <c r="B3757" s="4" t="n">
        <v>10000</v>
      </c>
      <c r="C3757" s="4" t="n">
        <v>321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97.10249999999999</v>
      </c>
      <c r="I3757" s="5" t="n">
        <v>103</v>
      </c>
      <c r="J3757" s="3" t="inlineStr">
        <is>
          <t>연동면</t>
        </is>
      </c>
    </row>
    <row r="3758">
      <c r="A3758" s="3" t="n">
        <v>2024</v>
      </c>
      <c r="B3758" s="4" t="n">
        <v>10000</v>
      </c>
      <c r="C3758" s="4" t="n">
        <v>1815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답</t>
        </is>
      </c>
      <c r="H3758" s="4" t="n">
        <v>549.0375</v>
      </c>
      <c r="I3758" s="5" t="n">
        <v>18.2</v>
      </c>
      <c r="J3758" s="3" t="inlineStr">
        <is>
          <t>연서면</t>
        </is>
      </c>
    </row>
    <row r="3759">
      <c r="A3759" s="3" t="n">
        <v>2022</v>
      </c>
      <c r="B3759" s="4" t="n">
        <v>2500</v>
      </c>
      <c r="C3759" s="4" t="n">
        <v>945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생산관리지역</t>
        </is>
      </c>
      <c r="G3759" s="3" t="inlineStr">
        <is>
          <t>답</t>
        </is>
      </c>
      <c r="H3759" s="4" t="n">
        <v>285.8625</v>
      </c>
      <c r="I3759" s="5" t="n">
        <v>8.699999999999999</v>
      </c>
      <c r="J3759" s="3" t="inlineStr">
        <is>
          <t>연서면</t>
        </is>
      </c>
    </row>
    <row r="3760">
      <c r="A3760" s="3" t="n">
        <v>2023</v>
      </c>
      <c r="B3760" s="4" t="n">
        <v>43034</v>
      </c>
      <c r="C3760" s="4" t="n">
        <v>1000</v>
      </c>
      <c r="D3760" s="3" t="inlineStr">
        <is>
          <t>연서면</t>
        </is>
      </c>
      <c r="E3760" s="3" t="inlineStr">
        <is>
          <t>월하리</t>
        </is>
      </c>
      <c r="F3760" s="3" t="inlineStr">
        <is>
          <t>보전관리지역</t>
        </is>
      </c>
      <c r="G3760" s="3" t="inlineStr">
        <is>
          <t>전</t>
        </is>
      </c>
      <c r="H3760" s="4" t="n">
        <v>302.5</v>
      </c>
      <c r="I3760" s="5" t="n">
        <v>142.3</v>
      </c>
      <c r="J3760" s="3" t="inlineStr">
        <is>
          <t>연서면</t>
        </is>
      </c>
    </row>
    <row r="3761">
      <c r="A3761" s="3" t="n">
        <v>2023</v>
      </c>
      <c r="B3761" s="4" t="n">
        <v>1937</v>
      </c>
      <c r="C3761" s="4" t="n">
        <v>45</v>
      </c>
      <c r="D3761" s="3" t="inlineStr">
        <is>
          <t>연서면</t>
        </is>
      </c>
      <c r="E3761" s="3" t="inlineStr">
        <is>
          <t>월하리</t>
        </is>
      </c>
      <c r="F3761" s="3" t="inlineStr">
        <is>
          <t>보전관리지역</t>
        </is>
      </c>
      <c r="G3761" s="3" t="inlineStr">
        <is>
          <t>전</t>
        </is>
      </c>
      <c r="H3761" s="4" t="n">
        <v>13.6125</v>
      </c>
      <c r="I3761" s="5" t="n">
        <v>142.3</v>
      </c>
      <c r="J3761" s="3" t="inlineStr">
        <is>
          <t>연서면</t>
        </is>
      </c>
    </row>
    <row r="3762">
      <c r="A3762" s="3" t="n">
        <v>2023</v>
      </c>
      <c r="B3762" s="4" t="n">
        <v>2152</v>
      </c>
      <c r="C3762" s="4" t="n">
        <v>50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보전관리지역</t>
        </is>
      </c>
      <c r="G3762" s="3" t="inlineStr">
        <is>
          <t>전</t>
        </is>
      </c>
      <c r="H3762" s="4" t="n">
        <v>15.125</v>
      </c>
      <c r="I3762" s="5" t="n">
        <v>142.3</v>
      </c>
      <c r="J3762" s="3" t="inlineStr">
        <is>
          <t>연서면</t>
        </is>
      </c>
    </row>
    <row r="3763">
      <c r="A3763" s="3" t="n">
        <v>2023</v>
      </c>
      <c r="B3763" s="4" t="n">
        <v>32878</v>
      </c>
      <c r="C3763" s="4" t="n">
        <v>764</v>
      </c>
      <c r="D3763" s="3" t="inlineStr">
        <is>
          <t>연서면</t>
        </is>
      </c>
      <c r="E3763" s="3" t="inlineStr">
        <is>
          <t>월하리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231.11</v>
      </c>
      <c r="I3763" s="5" t="n">
        <v>142.3</v>
      </c>
      <c r="J3763" s="3" t="inlineStr">
        <is>
          <t>연서면</t>
        </is>
      </c>
    </row>
    <row r="3764">
      <c r="A3764" s="3" t="n">
        <v>2023</v>
      </c>
      <c r="B3764" s="4" t="n">
        <v>1000</v>
      </c>
      <c r="C3764" s="4" t="n">
        <v>135</v>
      </c>
      <c r="D3764" s="3" t="inlineStr">
        <is>
          <t>연서면</t>
        </is>
      </c>
      <c r="E3764" s="3" t="inlineStr">
        <is>
          <t>기룡리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40.8375</v>
      </c>
      <c r="I3764" s="5" t="n">
        <v>24.5</v>
      </c>
      <c r="J3764" s="3" t="inlineStr">
        <is>
          <t>연서면</t>
        </is>
      </c>
    </row>
    <row r="3765">
      <c r="A3765" s="3" t="n">
        <v>2023</v>
      </c>
      <c r="B3765" s="4" t="n">
        <v>9970</v>
      </c>
      <c r="C3765" s="4" t="n">
        <v>641</v>
      </c>
      <c r="D3765" s="3" t="inlineStr">
        <is>
          <t>부강면</t>
        </is>
      </c>
      <c r="E3765" s="3" t="inlineStr">
        <is>
          <t>부강리</t>
        </is>
      </c>
      <c r="F3765" s="3" t="inlineStr">
        <is>
          <t>계획관리지역</t>
        </is>
      </c>
      <c r="G3765" s="3" t="inlineStr">
        <is>
          <t>전</t>
        </is>
      </c>
      <c r="H3765" s="4" t="n">
        <v>193.9025</v>
      </c>
      <c r="I3765" s="5" t="n">
        <v>51.4</v>
      </c>
      <c r="J3765" s="3" t="inlineStr">
        <is>
          <t>부강면</t>
        </is>
      </c>
    </row>
    <row r="3766">
      <c r="A3766" s="3" t="n">
        <v>2023</v>
      </c>
      <c r="B3766" s="4" t="n">
        <v>3400</v>
      </c>
      <c r="C3766" s="4" t="n">
        <v>75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22.6875</v>
      </c>
      <c r="I3766" s="5" t="n">
        <v>149.9</v>
      </c>
      <c r="J3766" s="3" t="inlineStr">
        <is>
          <t>부강면</t>
        </is>
      </c>
    </row>
    <row r="3767">
      <c r="A3767" s="3" t="n">
        <v>2023</v>
      </c>
      <c r="B3767" s="4" t="n">
        <v>18600</v>
      </c>
      <c r="C3767" s="4" t="n">
        <v>2674</v>
      </c>
      <c r="D3767" s="3" t="inlineStr">
        <is>
          <t>부강면</t>
        </is>
      </c>
      <c r="E3767" s="3" t="inlineStr">
        <is>
          <t>행산리</t>
        </is>
      </c>
      <c r="F3767" s="3" t="inlineStr">
        <is>
          <t>생산관리지역</t>
        </is>
      </c>
      <c r="G3767" s="3" t="inlineStr">
        <is>
          <t>답</t>
        </is>
      </c>
      <c r="H3767" s="4" t="n">
        <v>808.885</v>
      </c>
      <c r="I3767" s="5" t="n">
        <v>23</v>
      </c>
      <c r="J3767" s="3" t="inlineStr">
        <is>
          <t>부강면</t>
        </is>
      </c>
    </row>
    <row r="3768">
      <c r="A3768" s="3" t="n">
        <v>2023</v>
      </c>
      <c r="B3768" s="4" t="n">
        <v>20330</v>
      </c>
      <c r="C3768" s="4" t="n">
        <v>2922</v>
      </c>
      <c r="D3768" s="3" t="inlineStr">
        <is>
          <t>부강면</t>
        </is>
      </c>
      <c r="E3768" s="3" t="inlineStr">
        <is>
          <t>행산리</t>
        </is>
      </c>
      <c r="F3768" s="3" t="inlineStr">
        <is>
          <t>생산관리지역</t>
        </is>
      </c>
      <c r="G3768" s="3" t="inlineStr">
        <is>
          <t>답</t>
        </is>
      </c>
      <c r="H3768" s="4" t="n">
        <v>883.905</v>
      </c>
      <c r="I3768" s="5" t="n">
        <v>23</v>
      </c>
      <c r="J3768" s="3" t="inlineStr">
        <is>
          <t>부강면</t>
        </is>
      </c>
    </row>
    <row r="3769">
      <c r="A3769" s="3" t="n">
        <v>2023</v>
      </c>
      <c r="B3769" s="4" t="n">
        <v>12570</v>
      </c>
      <c r="C3769" s="4" t="n">
        <v>1804</v>
      </c>
      <c r="D3769" s="3" t="inlineStr">
        <is>
          <t>부강면</t>
        </is>
      </c>
      <c r="E3769" s="3" t="inlineStr">
        <is>
          <t>행산리</t>
        </is>
      </c>
      <c r="F3769" s="3" t="inlineStr">
        <is>
          <t>보전관리지역</t>
        </is>
      </c>
      <c r="G3769" s="3" t="inlineStr">
        <is>
          <t>답</t>
        </is>
      </c>
      <c r="H3769" s="4" t="n">
        <v>545.71</v>
      </c>
      <c r="I3769" s="5" t="n">
        <v>23</v>
      </c>
      <c r="J3769" s="3" t="inlineStr">
        <is>
          <t>부강면</t>
        </is>
      </c>
    </row>
    <row r="3770">
      <c r="A3770" s="3" t="n">
        <v>2023</v>
      </c>
      <c r="B3770" s="4" t="n">
        <v>18500</v>
      </c>
      <c r="C3770" s="4" t="n">
        <v>2659</v>
      </c>
      <c r="D3770" s="3" t="inlineStr">
        <is>
          <t>부강면</t>
        </is>
      </c>
      <c r="E3770" s="3" t="inlineStr">
        <is>
          <t>행산리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804.3475</v>
      </c>
      <c r="I3770" s="5" t="n">
        <v>23</v>
      </c>
      <c r="J3770" s="3" t="inlineStr">
        <is>
          <t>부강면</t>
        </is>
      </c>
    </row>
    <row r="3771">
      <c r="A3771" s="3" t="n">
        <v>2023</v>
      </c>
      <c r="B3771" s="4" t="n">
        <v>70500</v>
      </c>
      <c r="C3771" s="4" t="n">
        <v>2324</v>
      </c>
      <c r="D3771" s="3" t="inlineStr">
        <is>
          <t>연서면</t>
        </is>
      </c>
      <c r="E3771" s="3" t="inlineStr">
        <is>
          <t>신대리</t>
        </is>
      </c>
      <c r="F3771" s="3" t="inlineStr">
        <is>
          <t>계획관리지역</t>
        </is>
      </c>
      <c r="G3771" s="3" t="inlineStr">
        <is>
          <t>답</t>
        </is>
      </c>
      <c r="H3771" s="4" t="n">
        <v>703.01</v>
      </c>
      <c r="I3771" s="5" t="n">
        <v>100.3</v>
      </c>
      <c r="J3771" s="3" t="inlineStr">
        <is>
          <t>연서면</t>
        </is>
      </c>
    </row>
    <row r="3772">
      <c r="A3772" s="3" t="n">
        <v>2023</v>
      </c>
      <c r="B3772" s="4" t="n">
        <v>14500</v>
      </c>
      <c r="C3772" s="4" t="n">
        <v>466</v>
      </c>
      <c r="D3772" s="3" t="inlineStr">
        <is>
          <t>연서면</t>
        </is>
      </c>
      <c r="E3772" s="3" t="inlineStr">
        <is>
          <t>신대리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140.965</v>
      </c>
      <c r="I3772" s="5" t="n">
        <v>102.9</v>
      </c>
      <c r="J3772" s="3" t="inlineStr">
        <is>
          <t>연서면</t>
        </is>
      </c>
    </row>
    <row r="3773">
      <c r="A3773" s="3" t="n">
        <v>2023</v>
      </c>
      <c r="B3773" s="4" t="n">
        <v>22000</v>
      </c>
      <c r="C3773" s="4" t="n">
        <v>1406</v>
      </c>
      <c r="D3773" s="3" t="inlineStr">
        <is>
          <t>부강면</t>
        </is>
      </c>
      <c r="E3773" s="3" t="inlineStr">
        <is>
          <t>금호리</t>
        </is>
      </c>
      <c r="F3773" s="3" t="inlineStr">
        <is>
          <t>계획관리지역</t>
        </is>
      </c>
      <c r="G3773" s="3" t="inlineStr">
        <is>
          <t>임야</t>
        </is>
      </c>
      <c r="H3773" s="4" t="n">
        <v>425.315</v>
      </c>
      <c r="I3773" s="5" t="n">
        <v>51.7</v>
      </c>
      <c r="J3773" s="3" t="inlineStr">
        <is>
          <t>부강면</t>
        </is>
      </c>
    </row>
    <row r="3774">
      <c r="A3774" s="3" t="n">
        <v>2022</v>
      </c>
      <c r="B3774" s="4" t="n">
        <v>13000</v>
      </c>
      <c r="C3774" s="4" t="n">
        <v>932</v>
      </c>
      <c r="D3774" s="3" t="inlineStr">
        <is>
          <t>연동면</t>
        </is>
      </c>
      <c r="E3774" s="3" t="inlineStr">
        <is>
          <t>내판리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281.93</v>
      </c>
      <c r="I3774" s="5" t="n">
        <v>46.1</v>
      </c>
      <c r="J3774" s="3" t="inlineStr">
        <is>
          <t>연동면</t>
        </is>
      </c>
    </row>
    <row r="3775">
      <c r="A3775" s="3" t="n">
        <v>2022</v>
      </c>
      <c r="B3775" s="4" t="n">
        <v>32550</v>
      </c>
      <c r="C3775" s="4" t="n">
        <v>538</v>
      </c>
      <c r="D3775" s="3" t="inlineStr">
        <is>
          <t>연서면</t>
        </is>
      </c>
      <c r="E3775" s="3" t="inlineStr">
        <is>
          <t>국촌리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162.745</v>
      </c>
      <c r="I3775" s="5" t="n">
        <v>200</v>
      </c>
      <c r="J3775" s="3" t="inlineStr">
        <is>
          <t>연서면</t>
        </is>
      </c>
    </row>
    <row r="3776">
      <c r="A3776" s="3" t="n">
        <v>2022</v>
      </c>
      <c r="B3776" s="4" t="n">
        <v>2400</v>
      </c>
      <c r="C3776" s="4" t="n">
        <v>200</v>
      </c>
      <c r="D3776" s="3" t="inlineStr">
        <is>
          <t>연서면</t>
        </is>
      </c>
      <c r="E3776" s="3" t="inlineStr">
        <is>
          <t>기룡리</t>
        </is>
      </c>
      <c r="F3776" s="3" t="inlineStr">
        <is>
          <t>생산관리지역</t>
        </is>
      </c>
      <c r="G3776" s="3" t="inlineStr">
        <is>
          <t>전</t>
        </is>
      </c>
      <c r="H3776" s="4" t="n">
        <v>60.5</v>
      </c>
      <c r="I3776" s="5" t="n">
        <v>39.7</v>
      </c>
      <c r="J3776" s="3" t="inlineStr">
        <is>
          <t>연서면</t>
        </is>
      </c>
    </row>
    <row r="3777">
      <c r="A3777" s="3" t="n">
        <v>2022</v>
      </c>
      <c r="B3777" s="4" t="n">
        <v>181742</v>
      </c>
      <c r="C3777" s="4" t="n">
        <v>3004</v>
      </c>
      <c r="D3777" s="3" t="inlineStr">
        <is>
          <t>연서면</t>
        </is>
      </c>
      <c r="E3777" s="3" t="inlineStr">
        <is>
          <t>국촌리</t>
        </is>
      </c>
      <c r="F3777" s="3" t="inlineStr">
        <is>
          <t>계획관리지역</t>
        </is>
      </c>
      <c r="G3777" s="3" t="inlineStr">
        <is>
          <t>답</t>
        </is>
      </c>
      <c r="H3777" s="4" t="n">
        <v>908.7099999999999</v>
      </c>
      <c r="I3777" s="5" t="n">
        <v>200</v>
      </c>
      <c r="J3777" s="3" t="inlineStr">
        <is>
          <t>연서면</t>
        </is>
      </c>
    </row>
    <row r="3778">
      <c r="A3778" s="3" t="n">
        <v>2022</v>
      </c>
      <c r="B3778" s="4" t="n">
        <v>22780</v>
      </c>
      <c r="C3778" s="4" t="n">
        <v>1569</v>
      </c>
      <c r="D3778" s="3" t="inlineStr">
        <is>
          <t>연서면</t>
        </is>
      </c>
      <c r="E3778" s="3" t="inlineStr">
        <is>
          <t>신대리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474.6225</v>
      </c>
      <c r="I3778" s="5" t="n">
        <v>48</v>
      </c>
      <c r="J3778" s="3" t="inlineStr">
        <is>
          <t>연서면</t>
        </is>
      </c>
    </row>
    <row r="3779">
      <c r="A3779" s="3" t="n">
        <v>2022</v>
      </c>
      <c r="B3779" s="4" t="n">
        <v>1920</v>
      </c>
      <c r="C3779" s="4" t="n">
        <v>132</v>
      </c>
      <c r="D3779" s="3" t="inlineStr">
        <is>
          <t>연서면</t>
        </is>
      </c>
      <c r="E3779" s="3" t="inlineStr">
        <is>
          <t>신대리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39.93</v>
      </c>
      <c r="I3779" s="5" t="n">
        <v>48.1</v>
      </c>
      <c r="J3779" s="3" t="inlineStr">
        <is>
          <t>연서면</t>
        </is>
      </c>
    </row>
    <row r="3780">
      <c r="A3780" s="3" t="n">
        <v>2022</v>
      </c>
      <c r="B3780" s="4" t="n">
        <v>4800</v>
      </c>
      <c r="C3780" s="4" t="n">
        <v>111</v>
      </c>
      <c r="D3780" s="3" t="inlineStr">
        <is>
          <t>연서면</t>
        </is>
      </c>
      <c r="E3780" s="3" t="inlineStr">
        <is>
          <t>고복리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33.5775</v>
      </c>
      <c r="I3780" s="5" t="n">
        <v>143</v>
      </c>
      <c r="J3780" s="3" t="inlineStr">
        <is>
          <t>연서면</t>
        </is>
      </c>
    </row>
    <row r="3781">
      <c r="A3781" s="3" t="n">
        <v>2022</v>
      </c>
      <c r="B3781" s="4" t="n">
        <v>7200</v>
      </c>
      <c r="C3781" s="4" t="n">
        <v>164</v>
      </c>
      <c r="D3781" s="3" t="inlineStr">
        <is>
          <t>연서면</t>
        </is>
      </c>
      <c r="E3781" s="3" t="inlineStr">
        <is>
          <t>고복리</t>
        </is>
      </c>
      <c r="F3781" s="3" t="inlineStr">
        <is>
          <t>계획관리지역</t>
        </is>
      </c>
      <c r="G3781" s="3" t="inlineStr">
        <is>
          <t>하천</t>
        </is>
      </c>
      <c r="H3781" s="4" t="n">
        <v>49.61</v>
      </c>
      <c r="I3781" s="5" t="n">
        <v>145.1</v>
      </c>
      <c r="J3781" s="3" t="inlineStr">
        <is>
          <t>연서면</t>
        </is>
      </c>
    </row>
    <row r="3782">
      <c r="A3782" s="3" t="n">
        <v>2022</v>
      </c>
      <c r="B3782" s="4" t="n">
        <v>1200</v>
      </c>
      <c r="C3782" s="4" t="n">
        <v>126</v>
      </c>
      <c r="D3782" s="3" t="inlineStr">
        <is>
          <t>연서면</t>
        </is>
      </c>
      <c r="E3782" s="3" t="inlineStr">
        <is>
          <t>성제리</t>
        </is>
      </c>
      <c r="F3782" s="3" t="inlineStr">
        <is>
          <t>계획관리지역</t>
        </is>
      </c>
      <c r="G3782" s="3" t="inlineStr">
        <is>
          <t>하천</t>
        </is>
      </c>
      <c r="H3782" s="4" t="n">
        <v>38.115</v>
      </c>
      <c r="I3782" s="5" t="n">
        <v>31.5</v>
      </c>
      <c r="J3782" s="3" t="inlineStr">
        <is>
          <t>연서면</t>
        </is>
      </c>
    </row>
    <row r="3783">
      <c r="A3783" s="3" t="n">
        <v>2022</v>
      </c>
      <c r="B3783" s="4" t="n">
        <v>3000</v>
      </c>
      <c r="C3783" s="4" t="n">
        <v>86</v>
      </c>
      <c r="D3783" s="3" t="inlineStr">
        <is>
          <t>연동면</t>
        </is>
      </c>
      <c r="E3783" s="3" t="inlineStr">
        <is>
          <t>응암리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26.015</v>
      </c>
      <c r="I3783" s="5" t="n">
        <v>115.3</v>
      </c>
      <c r="J3783" s="3" t="inlineStr">
        <is>
          <t>연동면</t>
        </is>
      </c>
    </row>
    <row r="3784">
      <c r="A3784" s="3" t="n">
        <v>2022</v>
      </c>
      <c r="B3784" s="4" t="n">
        <v>880</v>
      </c>
      <c r="C3784" s="4" t="n">
        <v>73</v>
      </c>
      <c r="D3784" s="3" t="inlineStr">
        <is>
          <t>연동면</t>
        </is>
      </c>
      <c r="E3784" s="3" t="inlineStr">
        <is>
          <t>응암리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22.0825</v>
      </c>
      <c r="I3784" s="5" t="n">
        <v>39.9</v>
      </c>
      <c r="J3784" s="3" t="inlineStr">
        <is>
          <t>연동면</t>
        </is>
      </c>
    </row>
    <row r="3785">
      <c r="A3785" s="3" t="n">
        <v>2022</v>
      </c>
      <c r="B3785" s="4" t="n">
        <v>880</v>
      </c>
      <c r="C3785" s="4" t="n">
        <v>73</v>
      </c>
      <c r="D3785" s="3" t="inlineStr">
        <is>
          <t>연동면</t>
        </is>
      </c>
      <c r="E3785" s="3" t="inlineStr">
        <is>
          <t>응암리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22.0825</v>
      </c>
      <c r="I3785" s="5" t="n">
        <v>39.9</v>
      </c>
      <c r="J3785" s="3" t="inlineStr">
        <is>
          <t>연동면</t>
        </is>
      </c>
    </row>
    <row r="3786">
      <c r="A3786" s="3" t="n">
        <v>2022</v>
      </c>
      <c r="B3786" s="4" t="n">
        <v>241</v>
      </c>
      <c r="C3786" s="4" t="n">
        <v>20</v>
      </c>
      <c r="D3786" s="3" t="inlineStr">
        <is>
          <t>연동면</t>
        </is>
      </c>
      <c r="E3786" s="3" t="inlineStr">
        <is>
          <t>응암리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6.05</v>
      </c>
      <c r="I3786" s="5" t="n">
        <v>39.8</v>
      </c>
      <c r="J3786" s="3" t="inlineStr">
        <is>
          <t>연동면</t>
        </is>
      </c>
    </row>
    <row r="3787">
      <c r="A3787" s="3" t="n">
        <v>2022</v>
      </c>
      <c r="B3787" s="4" t="n">
        <v>120000</v>
      </c>
      <c r="C3787" s="4" t="n">
        <v>2720</v>
      </c>
      <c r="D3787" s="3" t="inlineStr">
        <is>
          <t>연서면</t>
        </is>
      </c>
      <c r="E3787" s="3" t="inlineStr">
        <is>
          <t>성제리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822.8</v>
      </c>
      <c r="I3787" s="5" t="n">
        <v>145.8</v>
      </c>
      <c r="J3787" s="3" t="inlineStr">
        <is>
          <t>연서면</t>
        </is>
      </c>
    </row>
    <row r="3788">
      <c r="A3788" s="3" t="n">
        <v>2022</v>
      </c>
      <c r="B3788" s="4" t="n">
        <v>3486</v>
      </c>
      <c r="C3788" s="4" t="n">
        <v>139</v>
      </c>
      <c r="D3788" s="3" t="inlineStr">
        <is>
          <t>연동면</t>
        </is>
      </c>
      <c r="E3788" s="3" t="inlineStr">
        <is>
          <t>명학리</t>
        </is>
      </c>
      <c r="F3788" s="3" t="inlineStr">
        <is>
          <t>농림지역</t>
        </is>
      </c>
      <c r="G3788" s="3" t="inlineStr">
        <is>
          <t>대</t>
        </is>
      </c>
      <c r="H3788" s="4" t="n">
        <v>42.0475</v>
      </c>
      <c r="I3788" s="5" t="n">
        <v>82.90000000000001</v>
      </c>
      <c r="J3788" s="3" t="inlineStr">
        <is>
          <t>연동면</t>
        </is>
      </c>
    </row>
    <row r="3789">
      <c r="A3789" s="3" t="n">
        <v>2022</v>
      </c>
      <c r="B3789" s="4" t="n">
        <v>40</v>
      </c>
      <c r="C3789" s="4" t="n">
        <v>3</v>
      </c>
      <c r="D3789" s="3" t="inlineStr">
        <is>
          <t>조치원읍</t>
        </is>
      </c>
      <c r="E3789" s="3" t="inlineStr">
        <is>
          <t>평리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0.9075</v>
      </c>
      <c r="I3789" s="5" t="n">
        <v>44.1</v>
      </c>
      <c r="J3789" s="3" t="inlineStr">
        <is>
          <t>조치원읍</t>
        </is>
      </c>
    </row>
    <row r="3790">
      <c r="A3790" s="3" t="n">
        <v>2022</v>
      </c>
      <c r="B3790" s="4" t="n">
        <v>9800</v>
      </c>
      <c r="C3790" s="4" t="n">
        <v>595</v>
      </c>
      <c r="D3790" s="3" t="inlineStr">
        <is>
          <t>연서면</t>
        </is>
      </c>
      <c r="E3790" s="3" t="inlineStr">
        <is>
          <t>성제리</t>
        </is>
      </c>
      <c r="F3790" s="3" t="inlineStr">
        <is>
          <t>계획관리지역</t>
        </is>
      </c>
      <c r="G3790" s="3" t="inlineStr">
        <is>
          <t>임야</t>
        </is>
      </c>
      <c r="H3790" s="4" t="n">
        <v>179.9875</v>
      </c>
      <c r="I3790" s="5" t="n">
        <v>54.4</v>
      </c>
      <c r="J3790" s="3" t="inlineStr">
        <is>
          <t>연서면</t>
        </is>
      </c>
    </row>
    <row r="3791">
      <c r="A3791" s="3" t="n">
        <v>2022</v>
      </c>
      <c r="B3791" s="4" t="n">
        <v>6200</v>
      </c>
      <c r="C3791" s="4" t="n">
        <v>377</v>
      </c>
      <c r="D3791" s="3" t="inlineStr">
        <is>
          <t>연서면</t>
        </is>
      </c>
      <c r="E3791" s="3" t="inlineStr">
        <is>
          <t>성제리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114.0425</v>
      </c>
      <c r="I3791" s="5" t="n">
        <v>54.4</v>
      </c>
      <c r="J3791" s="3" t="inlineStr">
        <is>
          <t>연서면</t>
        </is>
      </c>
    </row>
    <row r="3792">
      <c r="A3792" s="3" t="n">
        <v>2024</v>
      </c>
      <c r="B3792" s="4" t="n">
        <v>26920</v>
      </c>
      <c r="C3792" s="4" t="n">
        <v>2225.2</v>
      </c>
      <c r="D3792" s="3" t="inlineStr">
        <is>
          <t>연서면</t>
        </is>
      </c>
      <c r="E3792" s="3" t="inlineStr">
        <is>
          <t>월하리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673.1229999999999</v>
      </c>
      <c r="I3792" s="5" t="n">
        <v>40</v>
      </c>
      <c r="J3792" s="3" t="inlineStr">
        <is>
          <t>연서면</t>
        </is>
      </c>
    </row>
    <row r="3793">
      <c r="A3793" s="3" t="n">
        <v>2024</v>
      </c>
      <c r="B3793" s="4" t="n">
        <v>48240</v>
      </c>
      <c r="C3793" s="4" t="n">
        <v>2660</v>
      </c>
      <c r="D3793" s="3" t="inlineStr">
        <is>
          <t>조치원읍</t>
        </is>
      </c>
      <c r="E3793" s="3" t="inlineStr">
        <is>
          <t>신안리</t>
        </is>
      </c>
      <c r="F3793" s="3" t="inlineStr">
        <is>
          <t>생산녹지지역</t>
        </is>
      </c>
      <c r="G3793" s="3" t="inlineStr">
        <is>
          <t>답</t>
        </is>
      </c>
      <c r="H3793" s="4" t="n">
        <v>804.65</v>
      </c>
      <c r="I3793" s="5" t="n">
        <v>60</v>
      </c>
      <c r="J3793" s="3" t="inlineStr">
        <is>
          <t>조치원읍</t>
        </is>
      </c>
    </row>
    <row r="3794">
      <c r="A3794" s="3" t="n">
        <v>2024</v>
      </c>
      <c r="B3794" s="4" t="n">
        <v>14870</v>
      </c>
      <c r="C3794" s="4" t="n">
        <v>228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68.97</v>
      </c>
      <c r="I3794" s="5" t="n">
        <v>215.6</v>
      </c>
      <c r="J3794" s="3" t="inlineStr">
        <is>
          <t>연서면</t>
        </is>
      </c>
    </row>
    <row r="3795">
      <c r="A3795" s="3" t="n">
        <v>2024</v>
      </c>
      <c r="B3795" s="4" t="n">
        <v>68130</v>
      </c>
      <c r="C3795" s="4" t="n">
        <v>1045</v>
      </c>
      <c r="D3795" s="3" t="inlineStr">
        <is>
          <t>연서면</t>
        </is>
      </c>
      <c r="E3795" s="3" t="inlineStr">
        <is>
          <t>월하리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316.1125</v>
      </c>
      <c r="I3795" s="5" t="n">
        <v>215.5</v>
      </c>
      <c r="J3795" s="3" t="inlineStr">
        <is>
          <t>연서면</t>
        </is>
      </c>
    </row>
    <row r="3796">
      <c r="A3796" s="3" t="n">
        <v>2024</v>
      </c>
      <c r="B3796" s="4" t="n">
        <v>22000</v>
      </c>
      <c r="C3796" s="4" t="n">
        <v>1094</v>
      </c>
      <c r="D3796" s="3" t="inlineStr">
        <is>
          <t>연동면</t>
        </is>
      </c>
      <c r="E3796" s="3" t="inlineStr">
        <is>
          <t>응암리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330.935</v>
      </c>
      <c r="I3796" s="5" t="n">
        <v>66.5</v>
      </c>
      <c r="J3796" s="3" t="inlineStr">
        <is>
          <t>연동면</t>
        </is>
      </c>
    </row>
    <row r="3797">
      <c r="A3797" s="3" t="n">
        <v>2024</v>
      </c>
      <c r="B3797" s="4" t="n">
        <v>30000</v>
      </c>
      <c r="C3797" s="4" t="n">
        <v>344</v>
      </c>
      <c r="D3797" s="3" t="inlineStr">
        <is>
          <t>조치원읍</t>
        </is>
      </c>
      <c r="E3797" s="3" t="inlineStr">
        <is>
          <t>신안리</t>
        </is>
      </c>
      <c r="F3797" s="3" t="inlineStr">
        <is>
          <t>제1종일반주거지역</t>
        </is>
      </c>
      <c r="G3797" s="3" t="inlineStr">
        <is>
          <t>대</t>
        </is>
      </c>
      <c r="H3797" s="4" t="n">
        <v>104.06</v>
      </c>
      <c r="I3797" s="5" t="n">
        <v>288.3</v>
      </c>
      <c r="J3797" s="3" t="inlineStr">
        <is>
          <t>조치원읍</t>
        </is>
      </c>
    </row>
    <row r="3798">
      <c r="A3798" s="3" t="n">
        <v>2024</v>
      </c>
      <c r="B3798" s="4" t="n">
        <v>30000</v>
      </c>
      <c r="C3798" s="4" t="n">
        <v>280</v>
      </c>
      <c r="D3798" s="3" t="inlineStr">
        <is>
          <t>조치원읍</t>
        </is>
      </c>
      <c r="E3798" s="3" t="inlineStr">
        <is>
          <t>신안리</t>
        </is>
      </c>
      <c r="F3798" s="3" t="inlineStr">
        <is>
          <t>제1종일반주거지역</t>
        </is>
      </c>
      <c r="G3798" s="3" t="inlineStr">
        <is>
          <t>대</t>
        </is>
      </c>
      <c r="H3798" s="4" t="n">
        <v>84.7</v>
      </c>
      <c r="I3798" s="5" t="n">
        <v>354.2</v>
      </c>
      <c r="J3798" s="3" t="inlineStr">
        <is>
          <t>조치원읍</t>
        </is>
      </c>
    </row>
    <row r="3799">
      <c r="A3799" s="3" t="n">
        <v>2022</v>
      </c>
      <c r="B3799" s="4" t="n">
        <v>50000</v>
      </c>
      <c r="C3799" s="4" t="n">
        <v>3075</v>
      </c>
      <c r="D3799" s="3" t="inlineStr">
        <is>
          <t>부강면</t>
        </is>
      </c>
      <c r="E3799" s="3" t="inlineStr">
        <is>
          <t>금호리</t>
        </is>
      </c>
      <c r="F3799" s="3" t="inlineStr">
        <is>
          <t>보전관리지역</t>
        </is>
      </c>
      <c r="G3799" s="3" t="inlineStr">
        <is>
          <t>임야</t>
        </is>
      </c>
      <c r="H3799" s="4" t="n">
        <v>930.1875</v>
      </c>
      <c r="I3799" s="5" t="n">
        <v>53.8</v>
      </c>
      <c r="J3799" s="3" t="inlineStr">
        <is>
          <t>부강면</t>
        </is>
      </c>
    </row>
    <row r="3800">
      <c r="A3800" s="3" t="n">
        <v>2022</v>
      </c>
      <c r="B3800" s="4" t="n">
        <v>1300</v>
      </c>
      <c r="C3800" s="4" t="n">
        <v>271</v>
      </c>
      <c r="D3800" s="3" t="inlineStr">
        <is>
          <t>연동면</t>
        </is>
      </c>
      <c r="E3800" s="3" t="inlineStr">
        <is>
          <t>노송리</t>
        </is>
      </c>
      <c r="F3800" s="3" t="inlineStr">
        <is>
          <t>보전관리지역</t>
        </is>
      </c>
      <c r="G3800" s="3" t="inlineStr">
        <is>
          <t>임야</t>
        </is>
      </c>
      <c r="H3800" s="4" t="n">
        <v>81.97749999999999</v>
      </c>
      <c r="I3800" s="5" t="n">
        <v>15.9</v>
      </c>
      <c r="J3800" s="3" t="inlineStr">
        <is>
          <t>연동면</t>
        </is>
      </c>
    </row>
    <row r="3801">
      <c r="A3801" s="3" t="n">
        <v>2022</v>
      </c>
      <c r="B3801" s="4" t="n">
        <v>18000</v>
      </c>
      <c r="C3801" s="4" t="n">
        <v>1845</v>
      </c>
      <c r="D3801" s="3" t="inlineStr">
        <is>
          <t>부강면</t>
        </is>
      </c>
      <c r="E3801" s="3" t="inlineStr">
        <is>
          <t>금호리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558.1125</v>
      </c>
      <c r="I3801" s="5" t="n">
        <v>32.3</v>
      </c>
      <c r="J3801" s="3" t="inlineStr">
        <is>
          <t>부강면</t>
        </is>
      </c>
    </row>
    <row r="3802">
      <c r="A3802" s="3" t="n">
        <v>2022</v>
      </c>
      <c r="B3802" s="4" t="n">
        <v>10000</v>
      </c>
      <c r="C3802" s="4" t="n">
        <v>806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답</t>
        </is>
      </c>
      <c r="H3802" s="4" t="n">
        <v>243.815</v>
      </c>
      <c r="I3802" s="5" t="n">
        <v>41</v>
      </c>
      <c r="J3802" s="3" t="inlineStr">
        <is>
          <t>부강면</t>
        </is>
      </c>
    </row>
    <row r="3803">
      <c r="A3803" s="3" t="n">
        <v>2022</v>
      </c>
      <c r="B3803" s="4" t="n">
        <v>54000</v>
      </c>
      <c r="C3803" s="4" t="n">
        <v>2980</v>
      </c>
      <c r="D3803" s="3" t="inlineStr">
        <is>
          <t>연서면</t>
        </is>
      </c>
      <c r="E3803" s="3" t="inlineStr">
        <is>
          <t>고복리</t>
        </is>
      </c>
      <c r="F3803" s="3" t="inlineStr">
        <is>
          <t>농림지역</t>
        </is>
      </c>
      <c r="G3803" s="3" t="inlineStr">
        <is>
          <t>답</t>
        </is>
      </c>
      <c r="H3803" s="4" t="n">
        <v>901.4499999999999</v>
      </c>
      <c r="I3803" s="5" t="n">
        <v>59.9</v>
      </c>
      <c r="J3803" s="3" t="inlineStr">
        <is>
          <t>연서면</t>
        </is>
      </c>
    </row>
    <row r="3804">
      <c r="A3804" s="3" t="n">
        <v>2022</v>
      </c>
      <c r="B3804" s="4" t="n">
        <v>15720</v>
      </c>
      <c r="C3804" s="4" t="n">
        <v>262</v>
      </c>
      <c r="D3804" s="3" t="inlineStr">
        <is>
          <t>조치원읍</t>
        </is>
      </c>
      <c r="E3804" s="3" t="inlineStr">
        <is>
          <t>상리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79.255</v>
      </c>
      <c r="I3804" s="5" t="n">
        <v>198.3</v>
      </c>
      <c r="J3804" s="3" t="inlineStr">
        <is>
          <t>조치원읍</t>
        </is>
      </c>
    </row>
    <row r="3805">
      <c r="A3805" s="3" t="n">
        <v>2022</v>
      </c>
      <c r="B3805" s="4" t="n">
        <v>883</v>
      </c>
      <c r="C3805" s="4" t="n">
        <v>102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30.855</v>
      </c>
      <c r="I3805" s="5" t="n">
        <v>28.6</v>
      </c>
      <c r="J3805" s="3" t="inlineStr">
        <is>
          <t>연서면</t>
        </is>
      </c>
    </row>
    <row r="3806">
      <c r="A3806" s="3" t="n">
        <v>2022</v>
      </c>
      <c r="B3806" s="4" t="n">
        <v>40767</v>
      </c>
      <c r="C3806" s="4" t="n">
        <v>4710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농림지역</t>
        </is>
      </c>
      <c r="G3806" s="3" t="inlineStr">
        <is>
          <t>임야</t>
        </is>
      </c>
      <c r="H3806" s="4" t="n">
        <v>1424.775</v>
      </c>
      <c r="I3806" s="5" t="n">
        <v>28.6</v>
      </c>
      <c r="J3806" s="3" t="inlineStr">
        <is>
          <t>연서면</t>
        </is>
      </c>
    </row>
    <row r="3807">
      <c r="A3807" s="3" t="n">
        <v>2022</v>
      </c>
      <c r="B3807" s="4" t="n">
        <v>46350</v>
      </c>
      <c r="C3807" s="4" t="n">
        <v>1021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308.8525</v>
      </c>
      <c r="I3807" s="5" t="n">
        <v>150.1</v>
      </c>
      <c r="J3807" s="3" t="inlineStr">
        <is>
          <t>연서면</t>
        </is>
      </c>
    </row>
    <row r="3808">
      <c r="A3808" s="3" t="n">
        <v>2022</v>
      </c>
      <c r="B3808" s="4" t="n">
        <v>6000</v>
      </c>
      <c r="C3808" s="4" t="n">
        <v>652</v>
      </c>
      <c r="D3808" s="3" t="inlineStr">
        <is>
          <t>연서면</t>
        </is>
      </c>
      <c r="E3808" s="3" t="inlineStr">
        <is>
          <t>쌍류리</t>
        </is>
      </c>
      <c r="F3808" s="3" t="inlineStr">
        <is>
          <t>농림지역</t>
        </is>
      </c>
      <c r="G3808" s="3" t="inlineStr">
        <is>
          <t>임야</t>
        </is>
      </c>
      <c r="H3808" s="4" t="n">
        <v>197.23</v>
      </c>
      <c r="I3808" s="5" t="n">
        <v>30.4</v>
      </c>
      <c r="J3808" s="3" t="inlineStr">
        <is>
          <t>연서면</t>
        </is>
      </c>
    </row>
    <row r="3809">
      <c r="A3809" s="3" t="n">
        <v>2022</v>
      </c>
      <c r="B3809" s="4" t="n">
        <v>101500</v>
      </c>
      <c r="C3809" s="4" t="n">
        <v>427</v>
      </c>
      <c r="D3809" s="3" t="inlineStr">
        <is>
          <t>조치원읍</t>
        </is>
      </c>
      <c r="E3809" s="3" t="inlineStr">
        <is>
          <t>상리</t>
        </is>
      </c>
      <c r="F3809" s="3" t="inlineStr">
        <is>
          <t>일반상업지역</t>
        </is>
      </c>
      <c r="G3809" s="3" t="inlineStr">
        <is>
          <t>대</t>
        </is>
      </c>
      <c r="H3809" s="4" t="n">
        <v>129.1675</v>
      </c>
      <c r="I3809" s="5" t="n">
        <v>785.8</v>
      </c>
      <c r="J3809" s="3" t="inlineStr">
        <is>
          <t>조치원읍</t>
        </is>
      </c>
    </row>
    <row r="3810">
      <c r="A3810" s="3" t="n">
        <v>2023</v>
      </c>
      <c r="B3810" s="4" t="n">
        <v>800</v>
      </c>
      <c r="C3810" s="4" t="n">
        <v>14</v>
      </c>
      <c r="D3810" s="3" t="inlineStr">
        <is>
          <t>조치원읍</t>
        </is>
      </c>
      <c r="E3810" s="3" t="inlineStr">
        <is>
          <t>서창리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4.234999999999999</v>
      </c>
      <c r="I3810" s="5" t="n">
        <v>188.9</v>
      </c>
      <c r="J3810" s="3" t="inlineStr">
        <is>
          <t>조치원읍</t>
        </is>
      </c>
    </row>
    <row r="3811">
      <c r="A3811" s="3" t="n">
        <v>2023</v>
      </c>
      <c r="B3811" s="4" t="n">
        <v>15000</v>
      </c>
      <c r="C3811" s="4" t="n">
        <v>258</v>
      </c>
      <c r="D3811" s="3" t="inlineStr">
        <is>
          <t>연동면</t>
        </is>
      </c>
      <c r="E3811" s="3" t="inlineStr">
        <is>
          <t>합강리</t>
        </is>
      </c>
      <c r="F3811" s="3" t="inlineStr">
        <is>
          <t>보전관리지역</t>
        </is>
      </c>
      <c r="G3811" s="3" t="inlineStr">
        <is>
          <t>대</t>
        </is>
      </c>
      <c r="H3811" s="4" t="n">
        <v>78.045</v>
      </c>
      <c r="I3811" s="5" t="n">
        <v>192.2</v>
      </c>
      <c r="J3811" s="3" t="inlineStr">
        <is>
          <t>연동면</t>
        </is>
      </c>
    </row>
    <row r="3812">
      <c r="A3812" s="3" t="n">
        <v>2023</v>
      </c>
      <c r="B3812" s="4" t="n">
        <v>25000</v>
      </c>
      <c r="C3812" s="4" t="n">
        <v>450</v>
      </c>
      <c r="D3812" s="3" t="inlineStr">
        <is>
          <t>연동면</t>
        </is>
      </c>
      <c r="E3812" s="3" t="inlineStr">
        <is>
          <t>합강리</t>
        </is>
      </c>
      <c r="F3812" s="3" t="inlineStr">
        <is>
          <t>보전관리지역</t>
        </is>
      </c>
      <c r="G3812" s="3" t="inlineStr">
        <is>
          <t>답</t>
        </is>
      </c>
      <c r="H3812" s="4" t="n">
        <v>136.125</v>
      </c>
      <c r="I3812" s="5" t="n">
        <v>183.7</v>
      </c>
      <c r="J3812" s="3" t="inlineStr">
        <is>
          <t>연동면</t>
        </is>
      </c>
    </row>
    <row r="3813">
      <c r="A3813" s="3" t="n">
        <v>2023</v>
      </c>
      <c r="B3813" s="4" t="n">
        <v>59500</v>
      </c>
      <c r="C3813" s="4" t="n">
        <v>356.9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107.96225</v>
      </c>
      <c r="I3813" s="5" t="n">
        <v>551.1</v>
      </c>
      <c r="J3813" s="3" t="inlineStr">
        <is>
          <t>고운동</t>
        </is>
      </c>
    </row>
    <row r="3814">
      <c r="A3814" s="3" t="n">
        <v>2023</v>
      </c>
      <c r="B3814" s="4" t="n">
        <v>6378</v>
      </c>
      <c r="C3814" s="4" t="n">
        <v>703</v>
      </c>
      <c r="D3814" s="3" t="inlineStr">
        <is>
          <t>연서면</t>
        </is>
      </c>
      <c r="E3814" s="3" t="inlineStr">
        <is>
          <t>청라리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212.6575</v>
      </c>
      <c r="I3814" s="5" t="n">
        <v>30</v>
      </c>
      <c r="J3814" s="3" t="inlineStr">
        <is>
          <t>연서면</t>
        </is>
      </c>
    </row>
    <row r="3815">
      <c r="A3815" s="3" t="n">
        <v>2023</v>
      </c>
      <c r="B3815" s="4" t="n">
        <v>3330</v>
      </c>
      <c r="C3815" s="4" t="n">
        <v>367</v>
      </c>
      <c r="D3815" s="3" t="inlineStr">
        <is>
          <t>연서면</t>
        </is>
      </c>
      <c r="E3815" s="3" t="inlineStr">
        <is>
          <t>청라리</t>
        </is>
      </c>
      <c r="F3815" s="3" t="inlineStr">
        <is>
          <t>생산관리지역</t>
        </is>
      </c>
      <c r="G3815" s="3" t="inlineStr">
        <is>
          <t>전</t>
        </is>
      </c>
      <c r="H3815" s="4" t="n">
        <v>111.0175</v>
      </c>
      <c r="I3815" s="5" t="n">
        <v>30</v>
      </c>
      <c r="J3815" s="3" t="inlineStr">
        <is>
          <t>연서면</t>
        </is>
      </c>
    </row>
    <row r="3816">
      <c r="A3816" s="3" t="n">
        <v>2023</v>
      </c>
      <c r="B3816" s="4" t="n">
        <v>12400</v>
      </c>
      <c r="C3816" s="4" t="n">
        <v>426</v>
      </c>
      <c r="D3816" s="3" t="inlineStr">
        <is>
          <t>부강면</t>
        </is>
      </c>
      <c r="E3816" s="3" t="inlineStr">
        <is>
          <t>갈산리</t>
        </is>
      </c>
      <c r="F3816" s="3" t="inlineStr">
        <is>
          <t>계획관리지역</t>
        </is>
      </c>
      <c r="G3816" s="3" t="inlineStr">
        <is>
          <t>답</t>
        </is>
      </c>
      <c r="H3816" s="4" t="n">
        <v>128.865</v>
      </c>
      <c r="I3816" s="5" t="n">
        <v>96.2</v>
      </c>
      <c r="J3816" s="3" t="inlineStr">
        <is>
          <t>부강면</t>
        </is>
      </c>
    </row>
    <row r="3817">
      <c r="A3817" s="3" t="n">
        <v>2025</v>
      </c>
      <c r="B3817" s="4" t="n">
        <v>3000</v>
      </c>
      <c r="C3817" s="4" t="n">
        <v>66</v>
      </c>
      <c r="D3817" s="3" t="inlineStr">
        <is>
          <t>연서면</t>
        </is>
      </c>
      <c r="E3817" s="3" t="inlineStr">
        <is>
          <t>성제리</t>
        </is>
      </c>
      <c r="F3817" s="3" t="inlineStr">
        <is>
          <t>계획관리지역</t>
        </is>
      </c>
      <c r="G3817" s="3" t="inlineStr">
        <is>
          <t>전</t>
        </is>
      </c>
      <c r="H3817" s="4" t="n">
        <v>19.965</v>
      </c>
      <c r="I3817" s="5" t="n">
        <v>150.3</v>
      </c>
      <c r="J3817" s="3" t="inlineStr">
        <is>
          <t>연서면</t>
        </is>
      </c>
    </row>
    <row r="3818">
      <c r="A3818" s="3" t="n">
        <v>2024</v>
      </c>
      <c r="B3818" s="4" t="n">
        <v>29010</v>
      </c>
      <c r="C3818" s="4" t="n">
        <v>305</v>
      </c>
      <c r="D3818" s="3" t="inlineStr">
        <is>
          <t>집현동</t>
        </is>
      </c>
      <c r="E3818" s="3" t="inlineStr"/>
      <c r="F3818" s="3" t="inlineStr">
        <is>
          <t>기타</t>
        </is>
      </c>
      <c r="G3818" s="3" t="inlineStr">
        <is>
          <t>대</t>
        </is>
      </c>
      <c r="H3818" s="4" t="n">
        <v>92.2625</v>
      </c>
      <c r="I3818" s="5" t="n">
        <v>314.4</v>
      </c>
      <c r="J3818" s="3" t="inlineStr">
        <is>
          <t>집현동</t>
        </is>
      </c>
    </row>
    <row r="3819">
      <c r="A3819" s="3" t="n">
        <v>2024</v>
      </c>
      <c r="B3819" s="4" t="n">
        <v>39000</v>
      </c>
      <c r="C3819" s="4" t="n">
        <v>4336</v>
      </c>
      <c r="D3819" s="3" t="inlineStr">
        <is>
          <t>연서면</t>
        </is>
      </c>
      <c r="E3819" s="3" t="inlineStr">
        <is>
          <t>고복리</t>
        </is>
      </c>
      <c r="F3819" s="3" t="inlineStr">
        <is>
          <t>농림지역</t>
        </is>
      </c>
      <c r="G3819" s="3" t="inlineStr">
        <is>
          <t>임야</t>
        </is>
      </c>
      <c r="H3819" s="4" t="n">
        <v>1311.64</v>
      </c>
      <c r="I3819" s="5" t="n">
        <v>29.7</v>
      </c>
      <c r="J3819" s="3" t="inlineStr">
        <is>
          <t>연서면</t>
        </is>
      </c>
    </row>
    <row r="3820">
      <c r="A3820" s="3" t="n">
        <v>2024</v>
      </c>
      <c r="B3820" s="4" t="n">
        <v>290</v>
      </c>
      <c r="C3820" s="4" t="n">
        <v>53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생산관리지역</t>
        </is>
      </c>
      <c r="G3820" s="3" t="inlineStr">
        <is>
          <t>답</t>
        </is>
      </c>
      <c r="H3820" s="4" t="n">
        <v>16.0325</v>
      </c>
      <c r="I3820" s="5" t="n">
        <v>18.1</v>
      </c>
      <c r="J3820" s="3" t="inlineStr">
        <is>
          <t>부강면</t>
        </is>
      </c>
    </row>
    <row r="3821">
      <c r="A3821" s="3" t="n">
        <v>2024</v>
      </c>
      <c r="B3821" s="4" t="n">
        <v>4040</v>
      </c>
      <c r="C3821" s="4" t="n">
        <v>708</v>
      </c>
      <c r="D3821" s="3" t="inlineStr">
        <is>
          <t>부강면</t>
        </is>
      </c>
      <c r="E3821" s="3" t="inlineStr">
        <is>
          <t>문곡리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214.17</v>
      </c>
      <c r="I3821" s="5" t="n">
        <v>18.9</v>
      </c>
      <c r="J3821" s="3" t="inlineStr">
        <is>
          <t>부강면</t>
        </is>
      </c>
    </row>
    <row r="3822">
      <c r="A3822" s="3" t="n">
        <v>2024</v>
      </c>
      <c r="B3822" s="4" t="n">
        <v>2000</v>
      </c>
      <c r="C3822" s="4" t="n">
        <v>360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생산관리지역</t>
        </is>
      </c>
      <c r="G3822" s="3" t="inlineStr">
        <is>
          <t>전</t>
        </is>
      </c>
      <c r="H3822" s="4" t="n">
        <v>108.9</v>
      </c>
      <c r="I3822" s="5" t="n">
        <v>18.4</v>
      </c>
      <c r="J3822" s="3" t="inlineStr">
        <is>
          <t>부강면</t>
        </is>
      </c>
    </row>
    <row r="3823">
      <c r="A3823" s="3" t="n">
        <v>2024</v>
      </c>
      <c r="B3823" s="4" t="n">
        <v>19200</v>
      </c>
      <c r="C3823" s="4" t="n">
        <v>3431</v>
      </c>
      <c r="D3823" s="3" t="inlineStr">
        <is>
          <t>부강면</t>
        </is>
      </c>
      <c r="E3823" s="3" t="inlineStr">
        <is>
          <t>행산리</t>
        </is>
      </c>
      <c r="F3823" s="3" t="inlineStr">
        <is>
          <t>계획관리지역</t>
        </is>
      </c>
      <c r="G3823" s="3" t="inlineStr">
        <is>
          <t>답</t>
        </is>
      </c>
      <c r="H3823" s="4" t="n">
        <v>1037.8775</v>
      </c>
      <c r="I3823" s="5" t="n">
        <v>18.5</v>
      </c>
      <c r="J3823" s="3" t="inlineStr">
        <is>
          <t>부강면</t>
        </is>
      </c>
    </row>
    <row r="3824">
      <c r="A3824" s="3" t="n">
        <v>2024</v>
      </c>
      <c r="B3824" s="4" t="n">
        <v>890</v>
      </c>
      <c r="C3824" s="4" t="n">
        <v>10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제2종일반주거지역</t>
        </is>
      </c>
      <c r="G3824" s="3" t="inlineStr">
        <is>
          <t>대</t>
        </is>
      </c>
      <c r="H3824" s="4" t="n">
        <v>3.025</v>
      </c>
      <c r="I3824" s="5" t="n">
        <v>294.2</v>
      </c>
      <c r="J3824" s="3" t="inlineStr">
        <is>
          <t>조치원읍</t>
        </is>
      </c>
    </row>
    <row r="3825">
      <c r="A3825" s="3" t="n">
        <v>2024</v>
      </c>
      <c r="B3825" s="4" t="n">
        <v>20791</v>
      </c>
      <c r="C3825" s="4" t="n">
        <v>148.4</v>
      </c>
      <c r="D3825" s="3" t="inlineStr">
        <is>
          <t>조치원읍</t>
        </is>
      </c>
      <c r="E3825" s="3" t="inlineStr">
        <is>
          <t>서창리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44.891</v>
      </c>
      <c r="I3825" s="5" t="n">
        <v>463.1</v>
      </c>
      <c r="J3825" s="3" t="inlineStr">
        <is>
          <t>조치원읍</t>
        </is>
      </c>
    </row>
    <row r="3826">
      <c r="A3826" s="3" t="n">
        <v>2024</v>
      </c>
      <c r="B3826" s="4" t="n">
        <v>24209</v>
      </c>
      <c r="C3826" s="4" t="n">
        <v>172.8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제2종일반주거지역</t>
        </is>
      </c>
      <c r="G3826" s="3" t="inlineStr">
        <is>
          <t>대</t>
        </is>
      </c>
      <c r="H3826" s="4" t="n">
        <v>52.272</v>
      </c>
      <c r="I3826" s="5" t="n">
        <v>463.1</v>
      </c>
      <c r="J3826" s="3" t="inlineStr">
        <is>
          <t>조치원읍</t>
        </is>
      </c>
    </row>
    <row r="3827">
      <c r="A3827" s="3" t="n">
        <v>2022</v>
      </c>
      <c r="B3827" s="4" t="n">
        <v>4500</v>
      </c>
      <c r="C3827" s="4" t="n">
        <v>291</v>
      </c>
      <c r="D3827" s="3" t="inlineStr">
        <is>
          <t>연서면</t>
        </is>
      </c>
      <c r="E3827" s="3" t="inlineStr">
        <is>
          <t>쌍류리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88.0275</v>
      </c>
      <c r="I3827" s="5" t="n">
        <v>51.1</v>
      </c>
      <c r="J3827" s="3" t="inlineStr">
        <is>
          <t>연서면</t>
        </is>
      </c>
    </row>
    <row r="3828">
      <c r="A3828" s="3" t="n">
        <v>2022</v>
      </c>
      <c r="B3828" s="4" t="n">
        <v>2980</v>
      </c>
      <c r="C3828" s="4" t="n">
        <v>152</v>
      </c>
      <c r="D3828" s="3" t="inlineStr">
        <is>
          <t>부강면</t>
        </is>
      </c>
      <c r="E3828" s="3" t="inlineStr">
        <is>
          <t>문곡리</t>
        </is>
      </c>
      <c r="F3828" s="3" t="inlineStr">
        <is>
          <t>생산관리지역</t>
        </is>
      </c>
      <c r="G3828" s="3" t="inlineStr">
        <is>
          <t>전</t>
        </is>
      </c>
      <c r="H3828" s="4" t="n">
        <v>45.98</v>
      </c>
      <c r="I3828" s="5" t="n">
        <v>64.8</v>
      </c>
      <c r="J3828" s="3" t="inlineStr">
        <is>
          <t>부강면</t>
        </is>
      </c>
    </row>
    <row r="3829">
      <c r="A3829" s="3" t="n">
        <v>2022</v>
      </c>
      <c r="B3829" s="4" t="n">
        <v>170</v>
      </c>
      <c r="C3829" s="4" t="n">
        <v>10</v>
      </c>
      <c r="D3829" s="3" t="inlineStr">
        <is>
          <t>부강면</t>
        </is>
      </c>
      <c r="E3829" s="3" t="inlineStr">
        <is>
          <t>문곡리</t>
        </is>
      </c>
      <c r="F3829" s="3" t="inlineStr">
        <is>
          <t>생산관리지역</t>
        </is>
      </c>
      <c r="G3829" s="3" t="inlineStr">
        <is>
          <t>임야</t>
        </is>
      </c>
      <c r="H3829" s="4" t="n">
        <v>3.025</v>
      </c>
      <c r="I3829" s="5" t="n">
        <v>56.2</v>
      </c>
      <c r="J3829" s="3" t="inlineStr">
        <is>
          <t>부강면</t>
        </is>
      </c>
    </row>
    <row r="3830">
      <c r="A3830" s="3" t="n">
        <v>2023</v>
      </c>
      <c r="B3830" s="4" t="n">
        <v>22600</v>
      </c>
      <c r="C3830" s="4" t="n">
        <v>1848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559.02</v>
      </c>
      <c r="I3830" s="5" t="n">
        <v>40.4</v>
      </c>
      <c r="J3830" s="3" t="inlineStr">
        <is>
          <t>부강면</t>
        </is>
      </c>
    </row>
    <row r="3831">
      <c r="A3831" s="3" t="n">
        <v>2023</v>
      </c>
      <c r="B3831" s="4" t="n">
        <v>85500</v>
      </c>
      <c r="C3831" s="4" t="n">
        <v>2997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농림지역</t>
        </is>
      </c>
      <c r="G3831" s="3" t="inlineStr">
        <is>
          <t>답</t>
        </is>
      </c>
      <c r="H3831" s="4" t="n">
        <v>906.5925</v>
      </c>
      <c r="I3831" s="5" t="n">
        <v>94.3</v>
      </c>
      <c r="J3831" s="3" t="inlineStr">
        <is>
          <t>연서면</t>
        </is>
      </c>
    </row>
    <row r="3832">
      <c r="A3832" s="3" t="n">
        <v>2022</v>
      </c>
      <c r="B3832" s="4" t="n">
        <v>69216</v>
      </c>
      <c r="C3832" s="4" t="n">
        <v>1475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보전관리지역</t>
        </is>
      </c>
      <c r="G3832" s="3" t="inlineStr">
        <is>
          <t>임야</t>
        </is>
      </c>
      <c r="H3832" s="4" t="n">
        <v>446.1875</v>
      </c>
      <c r="I3832" s="5" t="n">
        <v>155.1</v>
      </c>
      <c r="J3832" s="3" t="inlineStr">
        <is>
          <t>연서면</t>
        </is>
      </c>
    </row>
    <row r="3833">
      <c r="A3833" s="3" t="n">
        <v>2024</v>
      </c>
      <c r="B3833" s="4" t="n">
        <v>9405</v>
      </c>
      <c r="C3833" s="4" t="n">
        <v>691</v>
      </c>
      <c r="D3833" s="3" t="inlineStr">
        <is>
          <t>연서면</t>
        </is>
      </c>
      <c r="E3833" s="3" t="inlineStr">
        <is>
          <t>청라리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209.0275</v>
      </c>
      <c r="I3833" s="5" t="n">
        <v>45</v>
      </c>
      <c r="J3833" s="3" t="inlineStr">
        <is>
          <t>연서면</t>
        </is>
      </c>
    </row>
    <row r="3834">
      <c r="A3834" s="3" t="n">
        <v>2024</v>
      </c>
      <c r="B3834" s="4" t="n">
        <v>9495</v>
      </c>
      <c r="C3834" s="4" t="n">
        <v>698</v>
      </c>
      <c r="D3834" s="3" t="inlineStr">
        <is>
          <t>연서면</t>
        </is>
      </c>
      <c r="E3834" s="3" t="inlineStr">
        <is>
          <t>청라리</t>
        </is>
      </c>
      <c r="F3834" s="3" t="inlineStr">
        <is>
          <t>생산관리지역</t>
        </is>
      </c>
      <c r="G3834" s="3" t="inlineStr">
        <is>
          <t>전</t>
        </is>
      </c>
      <c r="H3834" s="4" t="n">
        <v>211.145</v>
      </c>
      <c r="I3834" s="5" t="n">
        <v>45</v>
      </c>
      <c r="J3834" s="3" t="inlineStr">
        <is>
          <t>연서면</t>
        </is>
      </c>
    </row>
    <row r="3835">
      <c r="A3835" s="3" t="n">
        <v>2024</v>
      </c>
      <c r="B3835" s="4" t="n">
        <v>24204</v>
      </c>
      <c r="C3835" s="4" t="n">
        <v>295</v>
      </c>
      <c r="D3835" s="3" t="inlineStr">
        <is>
          <t>고운동</t>
        </is>
      </c>
      <c r="E3835" s="3" t="inlineStr"/>
      <c r="F3835" s="3" t="inlineStr">
        <is>
          <t>제1종전용주거지역</t>
        </is>
      </c>
      <c r="G3835" s="3" t="inlineStr">
        <is>
          <t>대</t>
        </is>
      </c>
      <c r="H3835" s="4" t="n">
        <v>89.2375</v>
      </c>
      <c r="I3835" s="5" t="n">
        <v>271.2</v>
      </c>
      <c r="J3835" s="3" t="inlineStr">
        <is>
          <t>고운동</t>
        </is>
      </c>
    </row>
    <row r="3836">
      <c r="A3836" s="3" t="n">
        <v>2022</v>
      </c>
      <c r="B3836" s="4" t="n">
        <v>266634</v>
      </c>
      <c r="C3836" s="4" t="n">
        <v>17474</v>
      </c>
      <c r="D3836" s="3" t="inlineStr">
        <is>
          <t>부강면</t>
        </is>
      </c>
      <c r="E3836" s="3" t="inlineStr">
        <is>
          <t>노호리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5285.885</v>
      </c>
      <c r="I3836" s="5" t="n">
        <v>50.4</v>
      </c>
      <c r="J3836" s="3" t="inlineStr">
        <is>
          <t>부강면</t>
        </is>
      </c>
    </row>
    <row r="3837">
      <c r="A3837" s="3" t="n">
        <v>2022</v>
      </c>
      <c r="B3837" s="4" t="n">
        <v>20889</v>
      </c>
      <c r="C3837" s="4" t="n">
        <v>1369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414.1225</v>
      </c>
      <c r="I3837" s="5" t="n">
        <v>50.4</v>
      </c>
      <c r="J3837" s="3" t="inlineStr">
        <is>
          <t>부강면</t>
        </is>
      </c>
    </row>
    <row r="3838">
      <c r="A3838" s="3" t="n">
        <v>2022</v>
      </c>
      <c r="B3838" s="4" t="n">
        <v>3555</v>
      </c>
      <c r="C3838" s="4" t="n">
        <v>233</v>
      </c>
      <c r="D3838" s="3" t="inlineStr">
        <is>
          <t>부강면</t>
        </is>
      </c>
      <c r="E3838" s="3" t="inlineStr">
        <is>
          <t>노호리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70.4825</v>
      </c>
      <c r="I3838" s="5" t="n">
        <v>50.4</v>
      </c>
      <c r="J3838" s="3" t="inlineStr">
        <is>
          <t>부강면</t>
        </is>
      </c>
    </row>
    <row r="3839">
      <c r="A3839" s="3" t="n">
        <v>2022</v>
      </c>
      <c r="B3839" s="4" t="n">
        <v>4547</v>
      </c>
      <c r="C3839" s="4" t="n">
        <v>298</v>
      </c>
      <c r="D3839" s="3" t="inlineStr">
        <is>
          <t>부강면</t>
        </is>
      </c>
      <c r="E3839" s="3" t="inlineStr">
        <is>
          <t>노호리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90.145</v>
      </c>
      <c r="I3839" s="5" t="n">
        <v>50.4</v>
      </c>
      <c r="J3839" s="3" t="inlineStr">
        <is>
          <t>부강면</t>
        </is>
      </c>
    </row>
    <row r="3840">
      <c r="A3840" s="3" t="n">
        <v>2022</v>
      </c>
      <c r="B3840" s="4" t="n">
        <v>10025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임야</t>
        </is>
      </c>
      <c r="H3840" s="4" t="n">
        <v>198.7425</v>
      </c>
      <c r="I3840" s="5" t="n">
        <v>50.4</v>
      </c>
      <c r="J3840" s="3" t="inlineStr">
        <is>
          <t>부강면</t>
        </is>
      </c>
    </row>
    <row r="3841">
      <c r="A3841" s="3" t="n">
        <v>2022</v>
      </c>
      <c r="B3841" s="4" t="n">
        <v>140000</v>
      </c>
      <c r="C3841" s="4" t="n">
        <v>1893</v>
      </c>
      <c r="D3841" s="3" t="inlineStr">
        <is>
          <t>연서면</t>
        </is>
      </c>
      <c r="E3841" s="3" t="inlineStr">
        <is>
          <t>와촌리</t>
        </is>
      </c>
      <c r="F3841" s="3" t="inlineStr">
        <is>
          <t>계획관리지역</t>
        </is>
      </c>
      <c r="G3841" s="3" t="inlineStr">
        <is>
          <t>전</t>
        </is>
      </c>
      <c r="H3841" s="4" t="n">
        <v>572.6324999999999</v>
      </c>
      <c r="I3841" s="5" t="n">
        <v>244.5</v>
      </c>
      <c r="J3841" s="3" t="inlineStr">
        <is>
          <t>연서면</t>
        </is>
      </c>
    </row>
    <row r="3842">
      <c r="A3842" s="3" t="n">
        <v>2022</v>
      </c>
      <c r="B3842" s="4" t="n">
        <v>198682</v>
      </c>
      <c r="C3842" s="4" t="n">
        <v>821</v>
      </c>
      <c r="D3842" s="3" t="inlineStr">
        <is>
          <t>조치원읍</t>
        </is>
      </c>
      <c r="E3842" s="3" t="inlineStr">
        <is>
          <t>신안리</t>
        </is>
      </c>
      <c r="F3842" s="3" t="inlineStr">
        <is>
          <t>제2종일반주거지역</t>
        </is>
      </c>
      <c r="G3842" s="3" t="inlineStr">
        <is>
          <t>잡종지</t>
        </is>
      </c>
      <c r="H3842" s="4" t="n">
        <v>248.3525</v>
      </c>
      <c r="I3842" s="5" t="n">
        <v>800</v>
      </c>
      <c r="J3842" s="3" t="inlineStr">
        <is>
          <t>조치원읍</t>
        </is>
      </c>
    </row>
    <row r="3843">
      <c r="A3843" s="3" t="n">
        <v>2022</v>
      </c>
      <c r="B3843" s="4" t="n">
        <v>49000</v>
      </c>
      <c r="C3843" s="4" t="n">
        <v>4604</v>
      </c>
      <c r="D3843" s="3" t="inlineStr">
        <is>
          <t>연서면</t>
        </is>
      </c>
      <c r="E3843" s="3" t="inlineStr">
        <is>
          <t>쌍류리</t>
        </is>
      </c>
      <c r="F3843" s="3" t="inlineStr">
        <is>
          <t>농림지역</t>
        </is>
      </c>
      <c r="G3843" s="3" t="inlineStr">
        <is>
          <t>임야</t>
        </is>
      </c>
      <c r="H3843" s="4" t="n">
        <v>1392.71</v>
      </c>
      <c r="I3843" s="5" t="n">
        <v>35.2</v>
      </c>
      <c r="J3843" s="3" t="inlineStr">
        <is>
          <t>연서면</t>
        </is>
      </c>
    </row>
    <row r="3844">
      <c r="A3844" s="3" t="n">
        <v>2022</v>
      </c>
      <c r="B3844" s="4" t="n">
        <v>16000</v>
      </c>
      <c r="C3844" s="4" t="n">
        <v>357</v>
      </c>
      <c r="D3844" s="3" t="inlineStr">
        <is>
          <t>연서면</t>
        </is>
      </c>
      <c r="E3844" s="3" t="inlineStr">
        <is>
          <t>쌍류리</t>
        </is>
      </c>
      <c r="F3844" s="3" t="inlineStr">
        <is>
          <t>계획관리지역</t>
        </is>
      </c>
      <c r="G3844" s="3" t="inlineStr">
        <is>
          <t>대</t>
        </is>
      </c>
      <c r="H3844" s="4" t="n">
        <v>107.9925</v>
      </c>
      <c r="I3844" s="5" t="n">
        <v>148.2</v>
      </c>
      <c r="J3844" s="3" t="inlineStr">
        <is>
          <t>연서면</t>
        </is>
      </c>
    </row>
    <row r="3845">
      <c r="A3845" s="3" t="n">
        <v>2022</v>
      </c>
      <c r="B3845" s="4" t="n">
        <v>49000</v>
      </c>
      <c r="C3845" s="4" t="n">
        <v>662</v>
      </c>
      <c r="D3845" s="3" t="inlineStr">
        <is>
          <t>연동면</t>
        </is>
      </c>
      <c r="E3845" s="3" t="inlineStr">
        <is>
          <t>노송리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200.255</v>
      </c>
      <c r="I3845" s="5" t="n">
        <v>244.7</v>
      </c>
      <c r="J3845" s="3" t="inlineStr">
        <is>
          <t>연동면</t>
        </is>
      </c>
    </row>
    <row r="3846">
      <c r="A3846" s="3" t="n">
        <v>2023</v>
      </c>
      <c r="B3846" s="4" t="n">
        <v>70000</v>
      </c>
      <c r="C3846" s="4" t="n">
        <v>476</v>
      </c>
      <c r="D3846" s="3" t="inlineStr">
        <is>
          <t>반곡동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143.99</v>
      </c>
      <c r="I3846" s="5" t="n">
        <v>486.1</v>
      </c>
      <c r="J3846" s="3" t="inlineStr">
        <is>
          <t>반곡동</t>
        </is>
      </c>
    </row>
    <row r="3847">
      <c r="A3847" s="3" t="n">
        <v>2023</v>
      </c>
      <c r="B3847" s="4" t="n">
        <v>58300</v>
      </c>
      <c r="C3847" s="4" t="n">
        <v>825</v>
      </c>
      <c r="D3847" s="3" t="inlineStr">
        <is>
          <t>연서면</t>
        </is>
      </c>
      <c r="E3847" s="3" t="inlineStr">
        <is>
          <t>봉암리</t>
        </is>
      </c>
      <c r="F3847" s="3" t="inlineStr">
        <is>
          <t>계획관리지역</t>
        </is>
      </c>
      <c r="G3847" s="3" t="inlineStr">
        <is>
          <t>임야</t>
        </is>
      </c>
      <c r="H3847" s="4" t="n">
        <v>249.5625</v>
      </c>
      <c r="I3847" s="5" t="n">
        <v>233.6</v>
      </c>
      <c r="J3847" s="3" t="inlineStr">
        <is>
          <t>연서면</t>
        </is>
      </c>
    </row>
    <row r="3848">
      <c r="A3848" s="3" t="n">
        <v>2023</v>
      </c>
      <c r="B3848" s="4" t="n">
        <v>8700</v>
      </c>
      <c r="C3848" s="4" t="n">
        <v>123</v>
      </c>
      <c r="D3848" s="3" t="inlineStr">
        <is>
          <t>연서면</t>
        </is>
      </c>
      <c r="E3848" s="3" t="inlineStr">
        <is>
          <t>봉암리</t>
        </is>
      </c>
      <c r="F3848" s="3" t="inlineStr">
        <is>
          <t>계획관리지역</t>
        </is>
      </c>
      <c r="G3848" s="3" t="inlineStr">
        <is>
          <t>임야</t>
        </is>
      </c>
      <c r="H3848" s="4" t="n">
        <v>37.2075</v>
      </c>
      <c r="I3848" s="5" t="n">
        <v>233.8</v>
      </c>
      <c r="J3848" s="3" t="inlineStr">
        <is>
          <t>연서면</t>
        </is>
      </c>
    </row>
    <row r="3849">
      <c r="A3849" s="3" t="n">
        <v>2023</v>
      </c>
      <c r="B3849" s="4" t="n">
        <v>1200</v>
      </c>
      <c r="C3849" s="4" t="n">
        <v>20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일반공업지역</t>
        </is>
      </c>
      <c r="G3849" s="3" t="inlineStr">
        <is>
          <t>전</t>
        </is>
      </c>
      <c r="H3849" s="4" t="n">
        <v>6.05</v>
      </c>
      <c r="I3849" s="5" t="n">
        <v>198.3</v>
      </c>
      <c r="J3849" s="3" t="inlineStr">
        <is>
          <t>조치원읍</t>
        </is>
      </c>
    </row>
    <row r="3850">
      <c r="A3850" s="3" t="n">
        <v>2023</v>
      </c>
      <c r="B3850" s="4" t="n">
        <v>1000</v>
      </c>
      <c r="C3850" s="4" t="n">
        <v>200</v>
      </c>
      <c r="D3850" s="3" t="inlineStr">
        <is>
          <t>부강면</t>
        </is>
      </c>
      <c r="E3850" s="3" t="inlineStr">
        <is>
          <t>문곡리</t>
        </is>
      </c>
      <c r="F3850" s="3" t="inlineStr">
        <is>
          <t>계획관리지역</t>
        </is>
      </c>
      <c r="G3850" s="3" t="inlineStr">
        <is>
          <t>임야</t>
        </is>
      </c>
      <c r="H3850" s="4" t="n">
        <v>60.5</v>
      </c>
      <c r="I3850" s="5" t="n">
        <v>16.5</v>
      </c>
      <c r="J3850" s="3" t="inlineStr">
        <is>
          <t>부강면</t>
        </is>
      </c>
    </row>
    <row r="3851">
      <c r="A3851" s="3" t="n">
        <v>2023</v>
      </c>
      <c r="B3851" s="4" t="n">
        <v>100000</v>
      </c>
      <c r="C3851" s="4" t="n">
        <v>329.3</v>
      </c>
      <c r="D3851" s="3" t="inlineStr">
        <is>
          <t>도담동</t>
        </is>
      </c>
      <c r="E3851" s="3" t="inlineStr"/>
      <c r="F3851" s="3" t="inlineStr">
        <is>
          <t>제1종전용주거지역</t>
        </is>
      </c>
      <c r="G3851" s="3" t="inlineStr">
        <is>
          <t>대</t>
        </is>
      </c>
      <c r="H3851" s="4" t="n">
        <v>99.61324999999999</v>
      </c>
      <c r="I3851" s="5" t="n">
        <v>1003.9</v>
      </c>
      <c r="J3851" s="3" t="inlineStr">
        <is>
          <t>도담동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2026-09-19T19:02:04Z</dcterms:created>
  <dcterms:modified xsi:type="dcterms:W3CDTF">2026-09-19T19:02:08Z</dcterms:modified>
</cp:coreProperties>
</file>