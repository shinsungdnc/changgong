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'주택매물'!$A$1:$AA$268</definedName>
    <definedName name="_xlnm._FilterDatabase" localSheetId="2" hidden="1">'토지매물'!$A$1:$V$1844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250</v>
      </c>
      <c r="H20" s="4" t="n">
        <v>5870</v>
      </c>
      <c r="I20" s="4" t="n">
        <v>1776</v>
      </c>
      <c r="J20" s="5" t="n">
        <v>0.1</v>
      </c>
      <c r="K20" s="4" t="n">
        <v>480</v>
      </c>
      <c r="L20" s="4" t="n">
        <v>145</v>
      </c>
      <c r="M20" s="5" t="n">
        <v>1.7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HYPERLINK("https://fin.land.naver.com/articles/2650916208",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철근콘크리트구조</t>
        </is>
      </c>
      <c r="AA20" s="3" t="inlineStr">
        <is>
          <t>공장</t>
        </is>
      </c>
      <c r="AB20" s="3" t="inlineStr">
        <is>
          <t>-</t>
        </is>
      </c>
      <c r="AC20" s="3" t="inlineStr"/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HYPERLINK("https://fin.land.naver.com/articles/2652988625",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3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HYPERLINK("https://fin.land.naver.com/articles/2652778370",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금화랜드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HYPERLINK("https://fin.land.naver.com/articles/2652625541",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HYPERLINK("https://fin.land.naver.com/articles/2652590762",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강내일반산업단지 인근, 690형 대지, 대형차량 진출입좋음</t>
        </is>
      </c>
      <c r="Q45" s="6">
        <f>HYPERLINK("https://fin.land.naver.com/articles/2652595159",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태성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590000</v>
      </c>
      <c r="G54" s="4" t="n">
        <v>0</v>
      </c>
      <c r="H54" s="4" t="n">
        <v>8383</v>
      </c>
      <c r="I54" s="4" t="n">
        <v>2536</v>
      </c>
      <c r="J54" s="5" t="n">
        <v>232.6</v>
      </c>
      <c r="K54" s="4" t="n">
        <v>3333</v>
      </c>
      <c r="L54" s="4" t="n">
        <v>1008</v>
      </c>
      <c r="M54" s="5" t="n">
        <v>585.3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HYPERLINK("https://fin.land.naver.com/articles/2649888598",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복댕이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HYPERLINK("https://fin.land.naver.com/articles/2652510659",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365</t>
        </is>
      </c>
      <c r="U65" s="4" t="n">
        <v>4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4</t>
        </is>
      </c>
      <c r="O66" s="3" t="inlineStr">
        <is>
          <t>-</t>
        </is>
      </c>
      <c r="P66" s="3" t="inlineStr">
        <is>
          <t>오송역ktx 청주ic 약10분거리 4차선대로변 위치좋은 공장</t>
        </is>
      </c>
      <c r="Q66" s="6">
        <f>HYPERLINK("https://fin.land.naver.com/articles/2650873405",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HYPERLINK("https://fin.land.naver.com/articles/2650346158",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HYPERLINK("https://fin.land.naver.com/articles/2650178901",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1</t>
        </is>
      </c>
      <c r="O79" s="3" t="inlineStr">
        <is>
          <t>-</t>
        </is>
      </c>
      <c r="P79" s="3" t="inlineStr">
        <is>
          <t>강내 일반산업단지 인근에 위치, 2차선 대로변으로 접근성 좋음</t>
        </is>
      </c>
      <c r="Q79" s="6">
        <f>HYPERLINK("https://fin.land.naver.com/articles/2650344940",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HYPERLINK("https://fin.land.naver.com/articles/2649682675",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9226</v>
      </c>
      <c r="I88" s="4" t="n">
        <v>2791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마당매우넓은 깔끔한 창고 임대 진출입매우 편리 다양한 평수가능</t>
        </is>
      </c>
      <c r="Q88" s="6">
        <f>HYPERLINK("https://fin.land.naver.com/articles/2651992753",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2</v>
      </c>
      <c r="V88" s="5" t="n">
        <v>62.4</v>
      </c>
      <c r="W88" s="4" t="n">
        <v>209096</v>
      </c>
      <c r="X88" s="3" t="inlineStr">
        <is>
          <t>주6동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7.15m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2400</v>
      </c>
      <c r="H91" s="4" t="n">
        <v>9917</v>
      </c>
      <c r="I91" s="4" t="n">
        <v>3000</v>
      </c>
      <c r="J91" s="5" t="n">
        <v>0.8</v>
      </c>
      <c r="K91" s="4" t="n">
        <v>3765</v>
      </c>
      <c r="L91" s="4" t="n">
        <v>1139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HYPERLINK("https://fin.land.naver.com/articles/2652625260",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주2동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8.3m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3801</v>
      </c>
      <c r="I92" s="4" t="n">
        <v>1150</v>
      </c>
      <c r="J92" s="5" t="n">
        <v>2.1</v>
      </c>
      <c r="K92" s="4" t="n">
        <v>3801</v>
      </c>
      <c r="L92" s="4" t="n">
        <v>1150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HYPERLINK("https://fin.land.naver.com/articles/2651985983",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주2동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8.3m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253</v>
      </c>
      <c r="J95" s="5" t="n">
        <v>0.9</v>
      </c>
      <c r="K95" s="4" t="n">
        <v>327</v>
      </c>
      <c r="L95" s="4" t="n">
        <v>99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실사진有, 강내일반산업단지 인근, 석곡분기점, 청주IC 약 10분거리</t>
        </is>
      </c>
      <c r="Q95" s="6">
        <f>HYPERLINK("https://fin.land.naver.com/articles/2652774030",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태성</t>
        </is>
      </c>
      <c r="U95" s="4" t="n">
        <v>3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HYPERLINK("https://fin.land.naver.com/articles/2647701633",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10000</v>
      </c>
      <c r="G112" s="4" t="n">
        <v>970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HYPERLINK("https://fin.land.naver.com/articles/2649942545",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달인무소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HYPERLINK("https://fin.land.naver.com/articles/2651943229",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나는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HYPERLINK("https://fin.land.naver.com/articles/2652114572",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1815</v>
      </c>
      <c r="I135" s="4" t="n">
        <v>549</v>
      </c>
      <c r="J135" s="5" t="n">
        <v>0.5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2순환로 가까운 신축창고 주차하기 편하고 야적 가능, 매매가능</t>
        </is>
      </c>
      <c r="Q135" s="6">
        <f>HYPERLINK("https://fin.land.naver.com/articles/2651818728",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미래n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1851</v>
      </c>
      <c r="I136" s="4" t="n">
        <v>560</v>
      </c>
      <c r="J136" s="5" t="n">
        <v>264.3</v>
      </c>
      <c r="K136" s="4" t="n">
        <v>1123</v>
      </c>
      <c r="L136" s="4" t="n">
        <v>340</v>
      </c>
      <c r="M136" s="5" t="n">
        <v>435.3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HYPERLINK("https://fin.land.naver.com/articles/2650023956",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골든타임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대형차량 진출입 편리 도크시설완비 넓은 야적장</t>
        </is>
      </c>
      <c r="Q147" s="6">
        <f>HYPERLINK("https://fin.land.naver.com/articles/2650648946",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재일합동사무소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3000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HYPERLINK("https://fin.land.naver.com/articles/2648851464",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KS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남청주ic10분 마당넓은 단독창고 1종근생 사무실있음</t>
        </is>
      </c>
      <c r="Q154" s="6">
        <f>HYPERLINK("https://fin.land.naver.com/articles/2649014498",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290</v>
      </c>
      <c r="H164" s="4" t="n">
        <v>2579</v>
      </c>
      <c r="I164" s="4" t="n">
        <v>780</v>
      </c>
      <c r="J164" s="5" t="n">
        <v>0.4</v>
      </c>
      <c r="K164" s="4" t="n">
        <v>2579</v>
      </c>
      <c r="L164" s="4" t="n">
        <v>780</v>
      </c>
      <c r="M164" s="5" t="n">
        <v>0.4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바로 진출입 가능한 공장입니다</t>
        </is>
      </c>
      <c r="Q164" s="6">
        <f>HYPERLINK("https://fin.land.naver.com/articles/2653100457",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HYPERLINK("https://fin.land.naver.com/articles/2651749996",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HYPERLINK("https://fin.land.naver.com/articles/2647605345",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석곡사거리 5분 남청주ic, 강서하이패스 ic 접근성 좋음</t>
        </is>
      </c>
      <c r="Q172" s="6">
        <f>HYPERLINK("https://fin.land.naver.com/articles/2651673608",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더원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즉시입주가능한 접근성좋은 창고</t>
        </is>
      </c>
      <c r="Q175" s="6">
        <f>HYPERLINK("https://fin.land.naver.com/articles/2650481082",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창고의여왕</t>
        </is>
      </c>
      <c r="U175" s="4" t="n">
        <v>3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HYPERLINK("https://fin.land.naver.com/articles/2651995817",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HYPERLINK("https://fin.land.naver.com/articles/2648090048",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4470</v>
      </c>
      <c r="I189" s="4" t="n">
        <v>1352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사진 有, 신축 중인 1개동에 300형씩 임대, 2개동 사용 가능</t>
        </is>
      </c>
      <c r="Q189" s="6">
        <f>HYPERLINK("https://fin.land.naver.com/articles/2651592763",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태성</t>
        </is>
      </c>
      <c r="U189" s="4" t="n">
        <v>2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 IC 10분 대형차량 진출입 편리 렉설치 대형물류창고</t>
        </is>
      </c>
      <c r="Q198" s="6">
        <f>HYPERLINK("https://fin.land.naver.com/articles/2649061971",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재일합동사무소</t>
        </is>
      </c>
      <c r="U198" s="4" t="n">
        <v>4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600</v>
      </c>
      <c r="L202" s="4" t="n">
        <v>182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대형차랑 진출입 편리 높은층고 3단적재 가능</t>
        </is>
      </c>
      <c r="Q202" s="6">
        <f>HYPERLINK("https://fin.land.naver.com/articles/2649072312",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재일합동사무소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HYPERLINK("https://fin.land.naver.com/articles/2649135170",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2500</v>
      </c>
      <c r="G212" s="4" t="n">
        <v>230</v>
      </c>
      <c r="H212" s="4" t="n">
        <v>1842</v>
      </c>
      <c r="I212" s="4" t="n">
        <v>557</v>
      </c>
      <c r="J212" s="5" t="n">
        <v>0.4</v>
      </c>
      <c r="K212" s="4" t="n">
        <v>494</v>
      </c>
      <c r="L212" s="4" t="n">
        <v>149</v>
      </c>
      <c r="M212" s="5" t="n">
        <v>1.5</v>
      </c>
      <c r="N212" s="3" t="inlineStr">
        <is>
          <t>2</t>
        </is>
      </c>
      <c r="O212" s="3" t="inlineStr">
        <is>
          <t>-</t>
        </is>
      </c>
      <c r="P212" s="3" t="inlineStr">
        <is>
          <t>1층 100형 마당400형</t>
        </is>
      </c>
      <c r="Q212" s="6">
        <f>HYPERLINK("https://fin.land.naver.com/articles/2650897432",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1층,2층 전체사용냉동창고,화물엘리베이터 有</t>
        </is>
      </c>
      <c r="Q214" s="6">
        <f>HYPERLINK("https://fin.land.naver.com/articles/2649149615",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미우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3.5KM 광고효과 좋고 저렴한 무권리 대형 냉장냉동창고</t>
        </is>
      </c>
      <c r="Q215" s="6">
        <f>HYPERLINK("https://fin.land.naver.com/articles/2648362783",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KS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인근. 저온창고 임대. 냉동 가능.</t>
        </is>
      </c>
      <c r="Q216" s="6">
        <f>HYPERLINK("https://fin.land.naver.com/articles/2647717304",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청원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HYPERLINK("https://fin.land.naver.com/articles/2648087319",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즉시 사용가능 남청주 IC 인근, 호이스트 6개 층고 10M 전력300K</t>
        </is>
      </c>
      <c r="Q225" s="6">
        <f>HYPERLINK("https://fin.land.naver.com/articles/2649563368",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HYPERLINK("https://fin.land.naver.com/articles/2647918405",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175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2.9</v>
      </c>
      <c r="N236" s="3" t="inlineStr">
        <is>
          <t>1</t>
        </is>
      </c>
      <c r="O236" s="3" t="inlineStr">
        <is>
          <t>-</t>
        </is>
      </c>
      <c r="P236" s="3" t="inlineStr">
        <is>
          <t>청주,창고,마당넓음</t>
        </is>
      </c>
      <c r="Q236" s="6">
        <f>HYPERLINK("https://fin.land.naver.com/articles/2652690964",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LBA리치아노합동사무소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마당넓어 차량회차 편리한 소형공장</t>
        </is>
      </c>
      <c r="Q239" s="6">
        <f>HYPERLINK("https://fin.land.naver.com/articles/2649121882",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대형차량 진출입 용이, 신축급 야드 넓음, 접근성 좋음</t>
        </is>
      </c>
      <c r="Q242" s="6">
        <f>HYPERLINK("https://fin.land.naver.com/articles/2648673858",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나는</t>
        </is>
      </c>
      <c r="U242" s="4" t="n">
        <v>2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실사진. 신축급 ic가까운 2종근생제조업소, 대형차량진출입용이</t>
        </is>
      </c>
      <c r="Q243" s="6">
        <f>HYPERLINK("https://fin.land.naver.com/articles/2652302730",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한아름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200</v>
      </c>
      <c r="H247" s="4" t="n">
        <v>935</v>
      </c>
      <c r="I247" s="4" t="n">
        <v>283</v>
      </c>
      <c r="J247" s="5" t="n">
        <v>0.7</v>
      </c>
      <c r="K247" s="4" t="n">
        <v>360</v>
      </c>
      <c r="L247" s="4" t="n">
        <v>109</v>
      </c>
      <c r="M247" s="5" t="n">
        <v>1.8</v>
      </c>
      <c r="N247" s="3" t="inlineStr">
        <is>
          <t>1</t>
        </is>
      </c>
      <c r="O247" s="3" t="inlineStr">
        <is>
          <t>B2</t>
        </is>
      </c>
      <c r="P247" s="3" t="inlineStr">
        <is>
          <t>대형차량 진출입 용이, 주차 완전 편리,깨끗한 2종근생 제조업소</t>
        </is>
      </c>
      <c r="Q247" s="6">
        <f>HYPERLINK("https://fin.land.naver.com/articles/2648159964",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HYPERLINK("https://fin.land.naver.com/articles/2649677035",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HYPERLINK("https://fin.land.naver.com/articles/2649672723",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HYPERLINK("https://fin.land.naver.com/articles/2648128086",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외부사진 有, 석판분기점 인근으로 3순환로 이용 편함, 마당 넓음</t>
        </is>
      </c>
      <c r="Q265" s="6">
        <f>HYPERLINK("https://fin.land.naver.com/articles/2650896451",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태성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남청주IC인근 냉장냉동 시설완비된 물류창고임대 대로변에 접함 진출입용이</t>
        </is>
      </c>
      <c r="Q271" s="6">
        <f>HYPERLINK("https://fin.land.naver.com/articles/2651986329",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태광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 5분 공장용도 현 물류창고로 사용중 입주협의</t>
        </is>
      </c>
      <c r="Q272" s="6">
        <f>HYPERLINK("https://fin.land.naver.com/articles/2650949814",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냉장,냉동 설비된 대형물류창고, 공장 매매</t>
        </is>
      </c>
      <c r="Q273" s="6">
        <f>HYPERLINK("https://fin.land.naver.com/articles/2651981912",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2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인근으로 진출입이 원할한곳,급매로 저렴,깨끗한 공장</t>
        </is>
      </c>
      <c r="Q282" s="6">
        <f>HYPERLINK("https://fin.land.naver.com/articles/2647746241",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5분거리이며 대로변 접근성 좋은 사옥형 공장으로  최적</t>
        </is>
      </c>
      <c r="Q283" s="6">
        <f>HYPERLINK("https://fin.land.naver.com/articles/2652625202",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호이스트2.8톤,층고7,5m,남청주IC 근접, 대형차량 진출입 용이</t>
        </is>
      </c>
      <c r="Q284" s="6">
        <f>HYPERLINK("https://fin.land.naver.com/articles/2652762894",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남청주IC와 가까워 진출입이 용이한 곳,계획관리지역,호이스트2.8톤</t>
        </is>
      </c>
      <c r="Q286" s="6">
        <f>HYPERLINK("https://fin.land.naver.com/articles/2649085255",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</t>
        </is>
      </c>
      <c r="Q289" s="6">
        <f>HYPERLINK("https://fin.land.naver.com/articles/2651773919",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400000</v>
      </c>
      <c r="G293" s="4" t="n">
        <v>0</v>
      </c>
      <c r="H293" s="4" t="n">
        <v>6600</v>
      </c>
      <c r="I293" s="4" t="n">
        <v>1996</v>
      </c>
      <c r="J293" s="5" t="n">
        <v>200.4</v>
      </c>
      <c r="K293" s="4" t="n">
        <v>1517</v>
      </c>
      <c r="L293" s="4" t="n">
        <v>459</v>
      </c>
      <c r="M293" s="5" t="n">
        <v>871.5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 깔끔한 사무실겸 숙소완비</t>
        </is>
      </c>
      <c r="Q293" s="6">
        <f>HYPERLINK("https://fin.land.naver.com/articles/2651975021",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5500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신축 첫입주, 남청주IC 및 청남가구단지 인근</t>
        </is>
      </c>
      <c r="Q294" s="6">
        <f>HYPERLINK("https://fin.land.naver.com/articles/2650262549",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500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</t>
        </is>
      </c>
      <c r="Q295" s="6">
        <f>HYPERLINK("https://fin.land.naver.com/articles/2651974388",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2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340000</v>
      </c>
      <c r="G298" s="4" t="n">
        <v>0</v>
      </c>
      <c r="H298" s="4" t="n">
        <v>3723</v>
      </c>
      <c r="I298" s="4" t="n">
        <v>1126</v>
      </c>
      <c r="J298" s="5" t="n">
        <v>302</v>
      </c>
      <c r="K298" s="4" t="n">
        <v>498</v>
      </c>
      <c r="L298" s="4" t="n">
        <v>151</v>
      </c>
      <c r="M298" s="5" t="n">
        <v>2251.7</v>
      </c>
      <c r="N298" s="3" t="inlineStr">
        <is>
          <t>1</t>
        </is>
      </c>
      <c r="O298" s="3" t="inlineStr">
        <is>
          <t>B2</t>
        </is>
      </c>
      <c r="P298" s="3" t="inlineStr">
        <is>
          <t>남청주 IC인근에 위치  2차선 도로 근접</t>
        </is>
      </c>
      <c r="Q298" s="6">
        <f>HYPERLINK("https://fin.land.naver.com/articles/2650550799",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트리풀신화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350000</v>
      </c>
      <c r="G299" s="4" t="n">
        <v>0</v>
      </c>
      <c r="H299" s="4" t="n">
        <v>3723</v>
      </c>
      <c r="I299" s="4" t="n">
        <v>1126</v>
      </c>
      <c r="J299" s="5" t="n">
        <v>310.8</v>
      </c>
      <c r="K299" s="4" t="n">
        <v>498</v>
      </c>
      <c r="L299" s="4" t="n">
        <v>151</v>
      </c>
      <c r="M299" s="5" t="n">
        <v>2317.9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HYPERLINK("https://fin.land.naver.com/articles/2652938811",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이계형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650</v>
      </c>
      <c r="H301" s="4" t="n">
        <v>5120</v>
      </c>
      <c r="I301" s="4" t="n">
        <v>1549</v>
      </c>
      <c r="J301" s="5" t="n">
        <v>0.4</v>
      </c>
      <c r="K301" s="4" t="n">
        <v>1019</v>
      </c>
      <c r="L301" s="4" t="n">
        <v>308</v>
      </c>
      <c r="M301" s="5" t="n">
        <v>2.1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전력300kw 호이스트 설치된 공장 사무실 있음</t>
        </is>
      </c>
      <c r="Q301" s="6">
        <f>HYPERLINK("https://fin.land.naver.com/articles/2650946942",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138</v>
      </c>
      <c r="L305" s="4" t="n">
        <v>42</v>
      </c>
      <c r="M305" s="5" t="n">
        <v>2.9</v>
      </c>
      <c r="N305" s="3" t="inlineStr">
        <is>
          <t>1</t>
        </is>
      </c>
      <c r="O305" s="3" t="inlineStr">
        <is>
          <t>-</t>
        </is>
      </c>
      <c r="P305" s="3" t="inlineStr">
        <is>
          <t>2차선도로접하고 마당넓은 신축소형창고 임대</t>
        </is>
      </c>
      <c r="Q305" s="6">
        <f>HYPERLINK("https://fin.land.naver.com/articles/2649683920",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HYPERLINK("https://fin.land.naver.com/articles/2648362772",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KS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진출입 매우 편리한 창고공장 임대 넓은 마당 확보. 넓은 면적가능</t>
        </is>
      </c>
      <c r="Q308" s="6">
        <f>HYPERLINK("https://fin.land.naver.com/articles/2650609474",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6870</v>
      </c>
      <c r="G310" s="4" t="n">
        <v>687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청주창고임대  남청주IC 인근 마당 넓은 저렴한 대형 공장창고</t>
        </is>
      </c>
      <c r="Q310" s="6">
        <f>HYPERLINK("https://fin.land.naver.com/articles/2649047840",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KS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4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6800</v>
      </c>
      <c r="G312" s="4" t="n">
        <v>680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더 넓은 면적 가능 상세정보 확인요망</t>
        </is>
      </c>
      <c r="Q312" s="6">
        <f>HYPERLINK("https://fin.land.naver.com/articles/2650611002",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11770</v>
      </c>
      <c r="G314" s="4" t="n">
        <v>1177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척북삼거리 인근 2차선대로변에서 바로 진입가능</t>
        </is>
      </c>
      <c r="Q314" s="6">
        <f>HYPERLINK("https://fin.land.naver.com/articles/2651592951",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HYPERLINK("https://fin.land.naver.com/articles/2650094061",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매매</t>
        </is>
      </c>
      <c r="F325" s="4" t="n">
        <v>400000</v>
      </c>
      <c r="G325" s="4" t="n">
        <v>0</v>
      </c>
      <c r="H325" s="4" t="n">
        <v>7264</v>
      </c>
      <c r="I325" s="4" t="n">
        <v>2197</v>
      </c>
      <c r="J325" s="5" t="n">
        <v>182.1</v>
      </c>
      <c r="K325" s="4" t="n">
        <v>1337</v>
      </c>
      <c r="L325" s="4" t="n">
        <v>404</v>
      </c>
      <c r="M325" s="5" t="n">
        <v>990.1</v>
      </c>
      <c r="N325" s="3" t="inlineStr">
        <is>
          <t>2</t>
        </is>
      </c>
      <c r="O325" s="3" t="inlineStr">
        <is>
          <t>-</t>
        </is>
      </c>
      <c r="P325" s="3" t="inlineStr">
        <is>
          <t>공장용도</t>
        </is>
      </c>
      <c r="Q325" s="6">
        <f>HYPERLINK("https://fin.land.naver.com/articles/2650638871",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1000</v>
      </c>
      <c r="H326" s="4" t="n">
        <v>7264</v>
      </c>
      <c r="I326" s="4" t="n">
        <v>2197</v>
      </c>
      <c r="J326" s="5" t="n">
        <v>0.5</v>
      </c>
      <c r="K326" s="4" t="n">
        <v>1337</v>
      </c>
      <c r="L326" s="4" t="n">
        <v>404</v>
      </c>
      <c r="M326" s="5" t="n">
        <v>2.5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 IC 5.3km ,넓은 야적장,  공장 창고 물류,</t>
        </is>
      </c>
      <c r="Q326" s="6">
        <f>HYPERLINK("https://fin.land.naver.com/articles/2649746971",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남청주ic 9분거리로 고속도로 접근성 좋아 타지역으로 물류이동이 편리함</t>
        </is>
      </c>
      <c r="Q327" s="6">
        <f>HYPERLINK("https://fin.land.naver.com/articles/2652625185",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더원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1200000</v>
      </c>
      <c r="G328" s="4" t="n">
        <v>0</v>
      </c>
      <c r="H328" s="4" t="n">
        <v>3068</v>
      </c>
      <c r="I328" s="4" t="n">
        <v>928</v>
      </c>
      <c r="J328" s="5" t="n">
        <v>1293.1</v>
      </c>
      <c r="K328" s="4" t="n">
        <v>2757</v>
      </c>
      <c r="L328" s="4" t="n">
        <v>834</v>
      </c>
      <c r="M328" s="5" t="n">
        <v>1438.8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매매</t>
        </is>
      </c>
      <c r="Q328" s="6">
        <f>HYPERLINK("https://fin.land.naver.com/articles/2650520423",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1810</v>
      </c>
      <c r="L331" s="4" t="n">
        <v>548</v>
      </c>
      <c r="M331" s="5" t="n">
        <v>2.2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 IC 인근 대형 공장, 화물 엘리베이터, 대형차 진출입 원활</t>
        </is>
      </c>
      <c r="Q331" s="6">
        <f>HYPERLINK("https://fin.land.naver.com/articles/2648836433",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1812</v>
      </c>
      <c r="L332" s="4" t="n">
        <v>548</v>
      </c>
      <c r="M332" s="5" t="n">
        <v>2.2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임대</t>
        </is>
      </c>
      <c r="Q332" s="6">
        <f>HYPERLINK("https://fin.land.naver.com/articles/2653027070",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HYPERLINK("https://fin.land.naver.com/articles/2649183975",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HYPERLINK("https://fin.land.naver.com/articles/2649445104",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4000</v>
      </c>
      <c r="G342" s="4" t="n">
        <v>400</v>
      </c>
      <c r="H342" s="4" t="n">
        <v>1749</v>
      </c>
      <c r="I342" s="4" t="n">
        <v>529</v>
      </c>
      <c r="J342" s="5" t="n">
        <v>0.8</v>
      </c>
      <c r="K342" s="4" t="n">
        <v>678</v>
      </c>
      <c r="L342" s="4" t="n">
        <v>205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척산리 창고 월세,  마당 넓어요, 즉시입주 가능</t>
        </is>
      </c>
      <c r="Q342" s="6">
        <f>HYPERLINK("https://fin.land.naver.com/articles/2652902119",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341</v>
      </c>
      <c r="L344" s="4" t="n">
        <v>103</v>
      </c>
      <c r="M344" s="5" t="n">
        <v>3.9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남청주IC근처  척산리 공장 임대.대형차량진입가능.</t>
        </is>
      </c>
      <c r="Q344" s="6">
        <f>HYPERLINK("https://fin.land.naver.com/articles/2651304270",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방서에이스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341</v>
      </c>
      <c r="L345" s="4" t="n">
        <v>103</v>
      </c>
      <c r="M345" s="5" t="n">
        <v>1068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남청주ic까지 6차선확장예정.진입로25t가능.남청줏ic5분거리</t>
        </is>
      </c>
      <c r="Q345" s="6">
        <f>HYPERLINK("https://fin.land.naver.com/articles/2653147017",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옥산제일사무소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HYPERLINK("https://fin.land.naver.com/articles/2649486296",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금맥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 척산리 창고 매매, 남청주ic 인접, 마당 넓음, 유통물류 추천</t>
        </is>
      </c>
      <c r="Q347" s="6">
        <f>HYPERLINK("https://fin.land.naver.com/articles/2652903126",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진출입 용이, 소형 창고용도로 추천 드림, 사무실 및 화장실 있음</t>
        </is>
      </c>
      <c r="Q351" s="6">
        <f>HYPERLINK("https://fin.land.naver.com/articles/2652675497",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제이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건물100형 현재공실 즉시입주</t>
        </is>
      </c>
      <c r="Q355" s="6">
        <f>HYPERLINK("https://fin.land.naver.com/articles/2652949716",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500</v>
      </c>
      <c r="G359" s="4" t="n">
        <v>65</v>
      </c>
      <c r="H359" s="4" t="n">
        <v>1057</v>
      </c>
      <c r="I359" s="4" t="n">
        <v>320</v>
      </c>
      <c r="J359" s="5" t="n">
        <v>0.2</v>
      </c>
      <c r="K359" s="4" t="n">
        <v>111</v>
      </c>
      <c r="L359" s="4" t="n">
        <v>34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부담없는 임대료로 사용 가능한 실용적인 창고입니다.</t>
        </is>
      </c>
      <c r="Q359" s="6">
        <f>HYPERLINK("https://fin.land.naver.com/articles/2653037551",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진천금손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110</v>
      </c>
      <c r="H360" s="4" t="n">
        <v>1058</v>
      </c>
      <c r="I360" s="4" t="n">
        <v>320</v>
      </c>
      <c r="J360" s="5" t="n">
        <v>0.3</v>
      </c>
      <c r="K360" s="4" t="n">
        <v>189</v>
      </c>
      <c r="L360" s="4" t="n">
        <v>57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건물 55형 일반창고 35형 사무실도 있음</t>
        </is>
      </c>
      <c r="Q360" s="6">
        <f>HYPERLINK("https://fin.land.naver.com/articles/2652949730",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인근 척산리, 공장 창고, 넓은마당, 임대료 조절, 즉시입주</t>
        </is>
      </c>
      <c r="Q361" s="6">
        <f>HYPERLINK("https://fin.land.naver.com/articles/2651938990",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라인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제조업소 임대</t>
        </is>
      </c>
      <c r="Q364" s="6">
        <f>HYPERLINK("https://fin.land.naver.com/articles/2653029834",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월드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HYPERLINK("https://fin.land.naver.com/articles/2651018449",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1028</v>
      </c>
      <c r="I367" s="4" t="n">
        <v>311</v>
      </c>
      <c r="J367" s="5" t="n">
        <v>0.6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도로에 접하는 물류이동이 좋은 위치의 창고용도의 임대 물건이예요</t>
        </is>
      </c>
      <c r="Q367" s="6">
        <f>HYPERLINK("https://fin.land.naver.com/articles/2649400817",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4989명품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HYPERLINK("https://fin.land.naver.com/articles/2649343458",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493</v>
      </c>
      <c r="L372" s="4" t="n">
        <v>149</v>
      </c>
      <c r="M372" s="5" t="n">
        <v>3</v>
      </c>
      <c r="N372" s="3" t="inlineStr">
        <is>
          <t>2</t>
        </is>
      </c>
      <c r="O372" s="3" t="inlineStr">
        <is>
          <t>-</t>
        </is>
      </c>
      <c r="P372" s="3" t="inlineStr">
        <is>
          <t>nan</t>
        </is>
      </c>
      <c r="Q372" s="6">
        <f>HYPERLINK("https://fin.land.naver.com/articles/2648397794",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e플러스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 편리한 부강면 공장창고임대, 대형차 출입용이</t>
        </is>
      </c>
      <c r="Q373" s="6">
        <f>HYPERLINK("https://fin.land.naver.com/articles/2650629262",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신탄진다온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창고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세종시 부강 산업단지 옆 공장 및 창고 입니다</t>
        </is>
      </c>
      <c r="Q377" s="6">
        <f>HYPERLINK("https://fin.land.naver.com/articles/2652016240",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더행복</t>
        </is>
      </c>
      <c r="U377" s="4" t="n">
        <v>1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층고 높은 제조업소임대 보증금3000만원 월260만원 부가세 별도</t>
        </is>
      </c>
      <c r="Q378" s="6">
        <f>HYPERLINK("https://fin.land.naver.com/articles/2647680181",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대박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2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부강 산업단지 인접한 공장 및 창고 입니다</t>
        </is>
      </c>
      <c r="Q386" s="6">
        <f>HYPERLINK("https://fin.land.naver.com/articles/2652033586",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2498</v>
      </c>
      <c r="I392" s="4" t="n">
        <v>756</v>
      </c>
      <c r="J392" s="5" t="n">
        <v>264.6</v>
      </c>
      <c r="K392" s="4" t="n">
        <v>755</v>
      </c>
      <c r="L392" s="4" t="n">
        <v>228</v>
      </c>
      <c r="M392" s="5" t="n">
        <v>877.2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부강일반산업단지 인근 리모델링완료된 단독 공장 매매</t>
        </is>
      </c>
      <c r="Q392" s="6">
        <f>HYPERLINK("https://fin.land.naver.com/articles/2652199547",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드림사무소</t>
        </is>
      </c>
      <c r="U392" s="4" t="n">
        <v>2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남청주ic, 신탄진ic 접근성 우수 호이스트 설치된 공장</t>
        </is>
      </c>
      <c r="Q394" s="6">
        <f>HYPERLINK("https://fin.land.naver.com/articles/2650205472",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570000</v>
      </c>
      <c r="G395" s="4" t="n">
        <v>0</v>
      </c>
      <c r="H395" s="4" t="n">
        <v>9585</v>
      </c>
      <c r="I395" s="4" t="n">
        <v>2899</v>
      </c>
      <c r="J395" s="5" t="n">
        <v>196.6</v>
      </c>
      <c r="K395" s="4" t="n">
        <v>1793</v>
      </c>
      <c r="L395" s="4" t="n">
        <v>542</v>
      </c>
      <c r="M395" s="5" t="n">
        <v>1051.7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남청주ic, 신탄진ic 접근성 우수 호이스트설치 전력700kw</t>
        </is>
      </c>
      <c r="Q395" s="6">
        <f>HYPERLINK("https://fin.land.naver.com/articles/2650204516",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계획관리지역 넓은 야드 층고 높은 공장임대 보1억5천 월1500 매매가능</t>
        </is>
      </c>
      <c r="Q396" s="6">
        <f>HYPERLINK("https://fin.land.naver.com/articles/2648078347",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불당대원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HYPERLINK("https://fin.land.naver.com/articles/2649597220",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2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2303</v>
      </c>
      <c r="L407" s="4" t="n">
        <v>697</v>
      </c>
      <c r="M407" s="5" t="n">
        <v>1076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남청주IC 인근 창고, 대형차 진출입 용이</t>
        </is>
      </c>
      <c r="Q407" s="6">
        <f>HYPERLINK("https://fin.land.naver.com/articles/2649744370",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라이프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HYPERLINK("https://fin.land.naver.com/articles/2647508713",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물류창고 매매</t>
        </is>
      </c>
      <c r="Q413" s="6">
        <f>HYPERLINK("https://fin.land.naver.com/articles/2649599413",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5분 거리이며 2차선도로 접한 대형물류창고 도크시설 완비</t>
        </is>
      </c>
      <c r="Q414" s="6">
        <f>HYPERLINK("https://fin.land.naver.com/articles/2648089946",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HYPERLINK("https://fin.land.naver.com/articles/2649726439",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330</v>
      </c>
      <c r="I417" s="4" t="n">
        <v>100</v>
      </c>
      <c r="J417" s="5" t="n">
        <v>1.4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소형 창고 임대 대로변에 접하여 진출입 매우 용이 근생건물</t>
        </is>
      </c>
      <c r="Q417" s="6">
        <f>HYPERLINK("https://fin.land.naver.com/articles/2649200158",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240000</v>
      </c>
      <c r="G424" s="4" t="n">
        <v>0</v>
      </c>
      <c r="H424" s="4" t="n">
        <v>2874</v>
      </c>
      <c r="I424" s="4" t="n">
        <v>869</v>
      </c>
      <c r="J424" s="5" t="n">
        <v>276.2</v>
      </c>
      <c r="K424" s="4" t="n">
        <v>1375</v>
      </c>
      <c r="L424" s="4" t="n">
        <v>416</v>
      </c>
      <c r="M424" s="5" t="n">
        <v>576.9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남청주IC와가까워 대형차진출입이 용이,계획관리지역,6m 도로에접함</t>
        </is>
      </c>
      <c r="Q424" s="6">
        <f>HYPERLINK("https://fin.land.naver.com/articles/2651152338",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(주)미르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HYPERLINK("https://fin.land.naver.com/articles/2648014664",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4500</v>
      </c>
      <c r="G432" s="4" t="n">
        <v>450</v>
      </c>
      <c r="H432" s="4" t="n">
        <v>21410</v>
      </c>
      <c r="I432" s="4" t="n">
        <v>6477</v>
      </c>
      <c r="J432" s="5" t="n">
        <v>0.1</v>
      </c>
      <c r="K432" s="4" t="n">
        <v>727</v>
      </c>
      <c r="L432" s="4" t="n">
        <v>220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남청주IC약 10분거리 공장 및 창고 입니다</t>
        </is>
      </c>
      <c r="Q432" s="6">
        <f>HYPERLINK("https://fin.land.naver.com/articles/2649720688",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더행복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HYPERLINK("https://fin.land.naver.com/articles/2649682702",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10000</v>
      </c>
      <c r="G434" s="4" t="n">
        <v>850</v>
      </c>
      <c r="H434" s="4" t="n">
        <v>21410</v>
      </c>
      <c r="I434" s="4" t="n">
        <v>6477</v>
      </c>
      <c r="J434" s="5" t="n">
        <v>0.1</v>
      </c>
      <c r="K434" s="4" t="n">
        <v>760</v>
      </c>
      <c r="L434" s="4" t="n">
        <v>230</v>
      </c>
      <c r="M434" s="5" t="n">
        <v>3.7</v>
      </c>
      <c r="N434" s="3" t="inlineStr">
        <is>
          <t>1</t>
        </is>
      </c>
      <c r="O434" s="3" t="inlineStr">
        <is>
          <t>-</t>
        </is>
      </c>
      <c r="P434" s="3" t="inlineStr">
        <is>
          <t>귀한 냉동창고와 냉장저온작업실을 구비한 창고 사무실 공간 완비</t>
        </is>
      </c>
      <c r="Q434" s="6">
        <f>HYPERLINK("https://fin.land.naver.com/articles/2648959391",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1050000</v>
      </c>
      <c r="G441" s="4" t="n">
        <v>0</v>
      </c>
      <c r="H441" s="4" t="n">
        <v>9768</v>
      </c>
      <c r="I441" s="4" t="n">
        <v>2955</v>
      </c>
      <c r="J441" s="5" t="n">
        <v>355.3</v>
      </c>
      <c r="K441" s="4" t="n">
        <v>4329</v>
      </c>
      <c r="L441" s="4" t="n">
        <v>1310</v>
      </c>
      <c r="M441" s="5" t="n">
        <v>801.5</v>
      </c>
      <c r="N441" s="3" t="inlineStr">
        <is>
          <t>2</t>
        </is>
      </c>
      <c r="O441" s="3" t="inlineStr">
        <is>
          <t>-</t>
        </is>
      </c>
      <c r="P441" s="3" t="inlineStr">
        <is>
          <t>남청주IC 10분,세종시청 20분거리,빠른 입주 가능</t>
        </is>
      </c>
      <c r="Q441" s="6">
        <f>HYPERLINK("https://fin.land.naver.com/articles/2649056345",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세종5생활권인근 대형공장 창고,남청주IC 10분거리 층고 13.45M</t>
        </is>
      </c>
      <c r="Q451" s="6">
        <f>HYPERLINK("https://fin.land.naver.com/articles/2652625576",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더원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 인근 대형공장, 창고,층고 13.4m, 마당넓고 깨끗함</t>
        </is>
      </c>
      <c r="Q452" s="6">
        <f>HYPERLINK("https://fin.land.naver.com/articles/2652356797",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HYPERLINK("https://fin.land.naver.com/articles/2650955285",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세종땅전문</t>
        </is>
      </c>
      <c r="U453" s="4" t="n">
        <v>1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사진有 공장 매매</t>
        </is>
      </c>
      <c r="Q454" s="6">
        <f>HYPERLINK("https://fin.land.naver.com/articles/2649601039",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행복도시 도심1분 최인접 명학산업단지 건너편 6차선도로 바로옆</t>
        </is>
      </c>
      <c r="Q455" s="6">
        <f>HYPERLINK("https://fin.land.naver.com/articles/2651087083",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세종스타</t>
        </is>
      </c>
      <c r="U455" s="4" t="n">
        <v>2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991</v>
      </c>
      <c r="L456" s="4" t="n">
        <v>300</v>
      </c>
      <c r="M456" s="5" t="n">
        <v>1.2</v>
      </c>
      <c r="N456" s="3" t="inlineStr">
        <is>
          <t>2</t>
        </is>
      </c>
      <c r="O456" s="3" t="inlineStr">
        <is>
          <t>B1</t>
        </is>
      </c>
      <c r="P456" s="3" t="inlineStr">
        <is>
          <t>공장 임대</t>
        </is>
      </c>
      <c r="Q456" s="6">
        <f>HYPERLINK("https://fin.land.naver.com/articles/2653033385",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6682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6.7m</t>
        </is>
      </c>
      <c r="AC456" s="3" t="inlineStr">
        <is>
          <t>1999-11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4000</v>
      </c>
      <c r="G457" s="4" t="n">
        <v>360</v>
      </c>
      <c r="H457" s="4" t="n">
        <v>7015</v>
      </c>
      <c r="I457" s="4" t="n">
        <v>2122</v>
      </c>
      <c r="J457" s="5" t="n">
        <v>0.2</v>
      </c>
      <c r="K457" s="4" t="n">
        <v>4117</v>
      </c>
      <c r="L457" s="4" t="n">
        <v>1245</v>
      </c>
      <c r="M457" s="5" t="n">
        <v>0.3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HYPERLINK("https://fin.land.naver.com/articles/2653062776",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 대형공장매매, 최근 리모델링으로 시설 굿</t>
        </is>
      </c>
      <c r="Q466" s="6">
        <f>HYPERLINK("https://fin.land.naver.com/articles/2648903978",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명진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 조치원산업단지 대형 공장 매매</t>
        </is>
      </c>
      <c r="Q470" s="6">
        <f>HYPERLINK("https://fin.land.naver.com/articles/2651016586",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뉴대전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1</t>
        </is>
      </c>
      <c r="O471" s="3" t="inlineStr">
        <is>
          <t>-</t>
        </is>
      </c>
      <c r="P471" s="3" t="inlineStr">
        <is>
          <t>화학물질 제조 가능</t>
        </is>
      </c>
      <c r="Q471" s="6">
        <f>HYPERLINK("https://fin.land.naver.com/articles/2652703353",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미더스</t>
        </is>
      </c>
      <c r="U471" s="4" t="n">
        <v>2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1616</v>
      </c>
      <c r="I474" s="4" t="n">
        <v>489</v>
      </c>
      <c r="J474" s="5" t="n">
        <v>1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 임대 입니다</t>
        </is>
      </c>
      <c r="Q474" s="6">
        <f>HYPERLINK("https://fin.land.naver.com/articles/2647433809",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HYPERLINK("https://fin.land.naver.com/articles/2647433840",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1857</v>
      </c>
      <c r="I478" s="4" t="n">
        <v>562</v>
      </c>
      <c r="J478" s="5" t="n">
        <v>0.9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전망 좋고 투자가치 높은 월하천 전망의 귀한 공장 창고 판매매장</t>
        </is>
      </c>
      <c r="Q478" s="6">
        <f>HYPERLINK("https://fin.land.naver.com/articles/2651831711",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번영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세종스마트국가산업단지 인근 2차선 도로변 공장 매각</t>
        </is>
      </c>
      <c r="Q480" s="6">
        <f>HYPERLINK("https://fin.land.naver.com/articles/2651693675",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청담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연서면 신대리 사옥 및 공장, 냉동 상온창고 총 6동 매매</t>
        </is>
      </c>
      <c r="Q481" s="6">
        <f>HYPERLINK("https://fin.land.naver.com/articles/2652165001",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뉴스카이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5000</v>
      </c>
      <c r="G485" s="4" t="n">
        <v>600</v>
      </c>
      <c r="H485" s="4" t="n">
        <v>3250</v>
      </c>
      <c r="I485" s="4" t="n">
        <v>983</v>
      </c>
      <c r="J485" s="5" t="n">
        <v>0.6</v>
      </c>
      <c r="K485" s="4" t="n">
        <v>1552</v>
      </c>
      <c r="L485" s="4" t="n">
        <v>469</v>
      </c>
      <c r="M485" s="5" t="n">
        <v>1.3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HYPERLINK("https://fin.land.naver.com/articles/2653032582",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호이스트, 사무동, 기숙사 있는 대형공장 아주 아주 저렴한 임대</t>
        </is>
      </c>
      <c r="Q486" s="6">
        <f>HYPERLINK("https://fin.land.naver.com/articles/2651531957",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더오름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B1</t>
        </is>
      </c>
      <c r="P493" s="3" t="inlineStr">
        <is>
          <t>층고 높고 넓은 창고전용,2차선도로옆</t>
        </is>
      </c>
      <c r="Q493" s="6">
        <f>HYPERLINK("https://fin.land.naver.com/articles/2652903125",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오송올래</t>
        </is>
      </c>
      <c r="U493" s="4" t="n">
        <v>2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250</v>
      </c>
      <c r="H503" s="4" t="n">
        <v>1739</v>
      </c>
      <c r="I503" s="4" t="n">
        <v>526</v>
      </c>
      <c r="J503" s="5" t="n">
        <v>0.5</v>
      </c>
      <c r="K503" s="4" t="n">
        <v>440</v>
      </c>
      <c r="L503" s="4" t="n">
        <v>133</v>
      </c>
      <c r="M503" s="5" t="n">
        <v>1.9</v>
      </c>
      <c r="N503" s="3" t="inlineStr">
        <is>
          <t>1</t>
        </is>
      </c>
      <c r="O503" s="3" t="inlineStr">
        <is>
          <t>B1</t>
        </is>
      </c>
      <c r="P503" s="3" t="inlineStr">
        <is>
          <t>공장, 창고 l 교통 편리 l 6개동 일괄 임대</t>
        </is>
      </c>
      <c r="Q503" s="6">
        <f>HYPERLINK("https://fin.land.naver.com/articles/2650437203",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에이스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592</v>
      </c>
      <c r="L510" s="4" t="n">
        <v>179</v>
      </c>
      <c r="M510" s="5" t="n">
        <v>5.6</v>
      </c>
      <c r="N510" s="3" t="inlineStr">
        <is>
          <t>1</t>
        </is>
      </c>
      <c r="O510" s="3" t="inlineStr">
        <is>
          <t>-</t>
        </is>
      </c>
      <c r="P510" s="3" t="inlineStr">
        <is>
          <t>시설이 완벽하게 갖춰져 있는 건물,공장 월세 임대 가능한 매물입니다</t>
        </is>
      </c>
      <c r="Q510" s="6">
        <f>HYPERLINK("https://fin.land.naver.com/articles/2651110067",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592</v>
      </c>
      <c r="L513" s="4" t="n">
        <v>179</v>
      </c>
      <c r="M513" s="5" t="n">
        <v>1955.3</v>
      </c>
      <c r="N513" s="3" t="inlineStr">
        <is>
          <t>1</t>
        </is>
      </c>
      <c r="O513" s="3" t="inlineStr">
        <is>
          <t>-</t>
        </is>
      </c>
      <c r="P513" s="3" t="inlineStr">
        <is>
          <t>창고부지제공, 공장 운영하기 좋은 구조 ,연구동,공장동</t>
        </is>
      </c>
      <c r="Q513" s="6">
        <f>HYPERLINK("https://fin.land.naver.com/articles/2652141929",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B1</t>
        </is>
      </c>
      <c r="P514" s="3" t="inlineStr">
        <is>
          <t>오송 2산업단지 대로면 접한 공장으로 의료기기 관련업종 즉시 입주 가능</t>
        </is>
      </c>
      <c r="Q514" s="6">
        <f>HYPERLINK("https://fin.land.naver.com/articles/2650796460",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우리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999</v>
      </c>
      <c r="L516" s="4" t="n">
        <v>302</v>
      </c>
      <c r="M516" s="5" t="n">
        <v>3.3</v>
      </c>
      <c r="N516" s="3" t="inlineStr">
        <is>
          <t>2</t>
        </is>
      </c>
      <c r="O516" s="3" t="inlineStr">
        <is>
          <t>-</t>
        </is>
      </c>
      <c r="P516" s="3" t="inlineStr">
        <is>
          <t>오송바이오폴리스 산업단지 사옥형 공장 임대 입주협의</t>
        </is>
      </c>
      <c r="Q516" s="6">
        <f>HYPERLINK("https://fin.land.naver.com/articles/2650873410",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420000</v>
      </c>
      <c r="G517" s="4" t="n">
        <v>0</v>
      </c>
      <c r="H517" s="4" t="n">
        <v>2169</v>
      </c>
      <c r="I517" s="4" t="n">
        <v>656</v>
      </c>
      <c r="J517" s="5" t="n">
        <v>640.2</v>
      </c>
      <c r="K517" s="4" t="n">
        <v>999</v>
      </c>
      <c r="L517" s="4" t="n">
        <v>302</v>
      </c>
      <c r="M517" s="5" t="n">
        <v>1390.7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산업단지 코너 대로접한 신축급 공장</t>
        </is>
      </c>
      <c r="Q517" s="6">
        <f>HYPERLINK("https://fin.land.naver.com/articles/2649742642",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자이원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오송2산단 의료기기업종가능 사옥형 공장으로 추천</t>
        </is>
      </c>
      <c r="Q518" s="6">
        <f>HYPERLINK("https://fin.land.naver.com/articles/2649666291",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HYPERLINK("https://fin.land.naver.com/articles/2648733525",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15064</v>
      </c>
      <c r="L521" s="4" t="n">
        <v>4557</v>
      </c>
      <c r="M521" s="5" t="n">
        <v>0.8</v>
      </c>
      <c r="N521" s="3" t="inlineStr">
        <is>
          <t>5</t>
        </is>
      </c>
      <c r="O521" s="3" t="inlineStr">
        <is>
          <t>-</t>
        </is>
      </c>
      <c r="P521" s="3" t="inlineStr">
        <is>
          <t>크린룸,폐수처리,위험물저장소,전층공조시설,화물엘베 각층3개,신축급 공장</t>
        </is>
      </c>
      <c r="Q521" s="6">
        <f>HYPERLINK("https://fin.land.naver.com/articles/2650398819",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HYPERLINK("https://fin.land.naver.com/articles/2650525742",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1476</v>
      </c>
      <c r="L523" s="4" t="n">
        <v>446</v>
      </c>
      <c r="M523" s="5" t="n">
        <v>22.4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크리트마감, 신축공장,건기식,제약,화장품 추천</t>
        </is>
      </c>
      <c r="Q523" s="6">
        <f>HYPERLINK("https://fin.land.naver.com/articles/2650624911",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HYPERLINK("https://fin.land.naver.com/articles/2648219901",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100000</v>
      </c>
      <c r="G525" s="4" t="n">
        <v>10000</v>
      </c>
      <c r="H525" s="4" t="n">
        <v>10798</v>
      </c>
      <c r="I525" s="4" t="n">
        <v>3266</v>
      </c>
      <c r="J525" s="5" t="n">
        <v>3.1</v>
      </c>
      <c r="K525" s="4" t="n">
        <v>15064</v>
      </c>
      <c r="L525" s="4" t="n">
        <v>4557</v>
      </c>
      <c r="M525" s="5" t="n">
        <v>2.2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HYPERLINK("https://fin.land.naver.com/articles/2649039082",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킹 사진0 규모의 경제 가시성 탁월 여기만 보임 압도적 존재감 절대적</t>
        </is>
      </c>
      <c r="Q527" s="6">
        <f>HYPERLINK("https://fin.land.naver.com/articles/2651362845",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킹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5000000</v>
      </c>
      <c r="G528" s="4" t="n">
        <v>0</v>
      </c>
      <c r="H528" s="4" t="n">
        <v>10798</v>
      </c>
      <c r="I528" s="4" t="n">
        <v>3266</v>
      </c>
      <c r="J528" s="5" t="n">
        <v>1530.9</v>
      </c>
      <c r="K528" s="4" t="n">
        <v>14761</v>
      </c>
      <c r="L528" s="4" t="n">
        <v>4465</v>
      </c>
      <c r="M528" s="5" t="n">
        <v>1119.8</v>
      </c>
      <c r="N528" s="3" t="inlineStr">
        <is>
          <t>5</t>
        </is>
      </c>
      <c r="O528" s="3" t="inlineStr">
        <is>
          <t>-</t>
        </is>
      </c>
      <c r="P528" s="3" t="inlineStr">
        <is>
          <t>청주ic 오송ktx 10분이내 오송산업단지공장 화학업종 가능</t>
        </is>
      </c>
      <c r="Q528" s="6">
        <f>HYPERLINK("https://fin.land.naver.com/articles/2649015627",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HYPERLINK("https://fin.land.naver.com/articles/2649326357",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HYPERLINK("https://fin.land.naver.com/articles/2651773887",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공원조망 최상. 거실이 넓은 주택</t>
        </is>
      </c>
      <c r="P9" s="6">
        <f>HYPERLINK("https://fin.land.naver.com/articles/2652910037",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세종삼촌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1646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165000</v>
      </c>
      <c r="H14" s="4" t="n">
        <v>0</v>
      </c>
      <c r="I14" s="4" t="n">
        <v>374</v>
      </c>
      <c r="J14" s="4" t="n">
        <v>113</v>
      </c>
      <c r="K14" s="5" t="n">
        <v>1460.2</v>
      </c>
      <c r="L14" s="4" t="n">
        <v>182</v>
      </c>
      <c r="M14" s="4" t="n">
        <v>55</v>
      </c>
      <c r="N14" s="5" t="n">
        <v>3000</v>
      </c>
      <c r="O14" s="3" t="inlineStr">
        <is>
          <t>실개천옆 선호위치 초중고 모두 도보가능</t>
        </is>
      </c>
      <c r="P14" s="6">
        <f>HYPERLINK("https://fin.land.naver.com/articles/2653184770", "매물Link")</f>
        <v/>
      </c>
      <c r="Q14" s="6">
        <f>HYPERLINK("https://map.naver.com/p/search/고운동 1646", "지도Link")</f>
        <v/>
      </c>
      <c r="R14" s="6">
        <f>HYPERLINK("http://www.eum.go.kr/web/ar/lu/luLandDet.jsp?pnu=3611011200116460000&amp;isNoScr=script&amp;mode=search",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270.9</v>
      </c>
      <c r="V14" s="4" t="n">
        <v>374.1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HYPERLINK("https://fin.land.naver.com/articles/2652837282",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태양광, 어린이집, 유치원 인근, 조율가능</t>
        </is>
      </c>
      <c r="P18" s="6">
        <f>HYPERLINK("https://fin.land.naver.com/articles/2652844151",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HYPERLINK("https://fin.land.naver.com/articles/2653184611",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nan</t>
        </is>
      </c>
      <c r="P20" s="6">
        <f>HYPERLINK("https://fin.land.naver.com/articles/2652851445",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세종삼촌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태양광, 천정이 높은 거실. 2세대 가능</t>
        </is>
      </c>
      <c r="P21" s="6">
        <f>HYPERLINK("https://fin.land.naver.com/articles/2653080532",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최무연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1791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180000</v>
      </c>
      <c r="H22" s="4" t="n">
        <v>0</v>
      </c>
      <c r="I22" s="4" t="n">
        <v>366</v>
      </c>
      <c r="J22" s="4" t="n">
        <v>111</v>
      </c>
      <c r="K22" s="5" t="n">
        <v>1621.6</v>
      </c>
      <c r="L22" s="4" t="n">
        <v>199</v>
      </c>
      <c r="M22" s="4" t="n">
        <v>60</v>
      </c>
      <c r="N22" s="5" t="n">
        <v>3000</v>
      </c>
      <c r="O22" s="3" t="inlineStr">
        <is>
          <t>nan</t>
        </is>
      </c>
      <c r="P22" s="6">
        <f>HYPERLINK("https://fin.land.naver.com/articles/2652262074", "매물Link")</f>
        <v/>
      </c>
      <c r="Q22" s="6">
        <f>HYPERLINK("https://map.naver.com/p/search/고운동 1791", "지도Link")</f>
        <v/>
      </c>
      <c r="R22" s="6">
        <f>HYPERLINK("http://www.eum.go.kr/web/ar/lu/luLandDet.jsp?pnu=3611011200117910000&amp;isNoScr=script&amp;mode=search", "토지이음")</f>
        <v/>
      </c>
      <c r="S22" s="3" t="inlineStr">
        <is>
          <t>미래개발</t>
        </is>
      </c>
      <c r="T22" s="4" t="n">
        <v>1</v>
      </c>
      <c r="U22" s="5" t="n">
        <v>347.4</v>
      </c>
      <c r="V22" s="4" t="n">
        <v>366.1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중로각지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명성공인, 온빛초품아, 시스템에어컨, 남향 추천 매물</t>
        </is>
      </c>
      <c r="P24" s="6">
        <f>HYPERLINK("https://fin.land.naver.com/articles/2652725079",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명성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335</v>
      </c>
      <c r="J25" s="4" t="n">
        <v>101</v>
      </c>
      <c r="K25" s="5" t="n">
        <v>1584.2</v>
      </c>
      <c r="L25" s="4" t="n">
        <v>253</v>
      </c>
      <c r="M25" s="4" t="n">
        <v>77</v>
      </c>
      <c r="N25" s="5" t="n">
        <v>2077.9</v>
      </c>
      <c r="O25" s="3" t="inlineStr">
        <is>
          <t>프라이빗한 정원,  인네리어</t>
        </is>
      </c>
      <c r="P25" s="6">
        <f>HYPERLINK("https://fin.land.naver.com/articles/2649457044",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세종삼촌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356</v>
      </c>
      <c r="J26" s="4" t="n">
        <v>108</v>
      </c>
      <c r="K26" s="5" t="n">
        <v>1181.5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HYPERLINK("https://fin.land.naver.com/articles/2651673384",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131400</v>
      </c>
      <c r="H31" s="4" t="n">
        <v>0</v>
      </c>
      <c r="I31" s="4" t="n">
        <v>370</v>
      </c>
      <c r="J31" s="4" t="n">
        <v>112</v>
      </c>
      <c r="K31" s="5" t="n">
        <v>1173.2</v>
      </c>
      <c r="L31" s="4" t="n">
        <v>224</v>
      </c>
      <c r="M31" s="4" t="n">
        <v>68</v>
      </c>
      <c r="N31" s="5" t="n">
        <v>1932.4</v>
      </c>
      <c r="O31" s="3" t="inlineStr">
        <is>
          <t>아르티엠 더블랙 선임대 완료 급매</t>
        </is>
      </c>
      <c r="P31" s="6">
        <f>HYPERLINK("https://fin.land.naver.com/articles/2651673423",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HYPERLINK("https://fin.land.naver.com/articles/2652815452",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158000</v>
      </c>
      <c r="H34" s="4" t="n">
        <v>0</v>
      </c>
      <c r="I34" s="4" t="n">
        <v>418</v>
      </c>
      <c r="J34" s="4" t="n">
        <v>126</v>
      </c>
      <c r="K34" s="5" t="n">
        <v>1254</v>
      </c>
      <c r="L34" s="4" t="n">
        <v>253</v>
      </c>
      <c r="M34" s="4" t="n">
        <v>77</v>
      </c>
      <c r="N34" s="5" t="n">
        <v>2051.9</v>
      </c>
      <c r="O34" s="3" t="inlineStr">
        <is>
          <t>아르티엠 더블랙 C타입 선임대 완료 급매</t>
        </is>
      </c>
      <c r="P34" s="6">
        <f>HYPERLINK("https://fin.land.naver.com/articles/2651673445",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404</v>
      </c>
      <c r="J35" s="4" t="n">
        <v>122</v>
      </c>
      <c r="K35" s="5" t="n">
        <v>1311.5</v>
      </c>
      <c r="L35" s="4" t="n">
        <v>253</v>
      </c>
      <c r="M35" s="4" t="n">
        <v>77</v>
      </c>
      <c r="N35" s="5" t="n">
        <v>2077.9</v>
      </c>
      <c r="O35" s="3" t="inlineStr">
        <is>
          <t>인기C타입 마당넓음 탁트인조망 넓은3층면적</t>
        </is>
      </c>
      <c r="P35" s="6">
        <f>HYPERLINK("https://fin.land.naver.com/articles/2651086449",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323</v>
      </c>
      <c r="J36" s="4" t="n">
        <v>98</v>
      </c>
      <c r="K36" s="5" t="n">
        <v>1632.7</v>
      </c>
      <c r="L36" s="4" t="n">
        <v>253</v>
      </c>
      <c r="M36" s="4" t="n">
        <v>77</v>
      </c>
      <c r="N36" s="5" t="n">
        <v>2077.9</v>
      </c>
      <c r="O36" s="3" t="inlineStr">
        <is>
          <t>아르티엠 더블랙  초품아 프리미엄과 풀옵션이 만난 완벽한 타운하우스</t>
        </is>
      </c>
      <c r="P36" s="6">
        <f>HYPERLINK("https://fin.land.naver.com/articles/2651672445",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HYPERLINK("https://fin.land.naver.com/articles/2652588602",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HYPERLINK("https://fin.land.naver.com/articles/2653085610",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HYPERLINK("https://fin.land.naver.com/articles/2652918003",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HYPERLINK("https://fin.land.naver.com/articles/2651945527",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희소성 높은 한옥 매매, 학군과 입지 좋은 위치</t>
        </is>
      </c>
      <c r="P44" s="6">
        <f>HYPERLINK("https://fin.land.naver.com/articles/2650893231",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HYPERLINK("https://fin.land.naver.com/articles/2652942703",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뒷마당이 산과 접한 안쪽위치, 여유로움,</t>
        </is>
      </c>
      <c r="P50" s="6">
        <f>HYPERLINK("https://fin.land.naver.com/articles/2652861851",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최무연</t>
        </is>
      </c>
      <c r="T50" s="4" t="n">
        <v>3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HYPERLINK("https://fin.land.naver.com/articles/2652843664",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105000</v>
      </c>
      <c r="H58" s="4" t="n">
        <v>0</v>
      </c>
      <c r="I58" s="4" t="n">
        <v>299</v>
      </c>
      <c r="J58" s="4" t="n">
        <v>90</v>
      </c>
      <c r="K58" s="5" t="n">
        <v>1166.7</v>
      </c>
      <c r="L58" s="4" t="n">
        <v>171</v>
      </c>
      <c r="M58" s="4" t="n">
        <v>52</v>
      </c>
      <c r="N58" s="5" t="n">
        <v>2019.2</v>
      </c>
      <c r="O58" s="3" t="inlineStr">
        <is>
          <t>급매 마피 신축 첫입주 추가조율협의가능</t>
        </is>
      </c>
      <c r="P58" s="6">
        <f>HYPERLINK("https://fin.land.naver.com/articles/2652943442",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115580</v>
      </c>
      <c r="H60" s="4" t="n">
        <v>0</v>
      </c>
      <c r="I60" s="4" t="n">
        <v>299</v>
      </c>
      <c r="J60" s="4" t="n">
        <v>90</v>
      </c>
      <c r="K60" s="5" t="n">
        <v>1284.2</v>
      </c>
      <c r="L60" s="4" t="n">
        <v>171</v>
      </c>
      <c r="M60" s="4" t="n">
        <v>52</v>
      </c>
      <c r="N60" s="5" t="n">
        <v>2222.7</v>
      </c>
      <c r="O60" s="3" t="inlineStr">
        <is>
          <t>인기 있는 타운하우스 , 매매추천합니다,</t>
        </is>
      </c>
      <c r="P60" s="6">
        <f>HYPERLINK("https://fin.land.naver.com/articles/2648837063",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HYPERLINK("https://fin.land.naver.com/articles/2652917993",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357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팬트하우스 형 주택 최고급</t>
        </is>
      </c>
      <c r="P62" s="6">
        <f>HYPERLINK("https://fin.land.naver.com/articles/2652832579",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세종삼촌</t>
        </is>
      </c>
      <c r="T62" s="4" t="n">
        <v>2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1년차 최신축 방4개 모던한 단독주택</t>
        </is>
      </c>
      <c r="P63" s="6">
        <f>HYPERLINK("https://fin.land.naver.com/articles/2652917981",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세종스타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말발굽 공원인근 귀한주택</t>
        </is>
      </c>
      <c r="P64" s="6">
        <f>HYPERLINK("https://fin.land.naver.com/articles/2652829525",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세종삼촌</t>
        </is>
      </c>
      <c r="T64" s="4" t="n">
        <v>4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급매. 위치 좋은 단독 주택, 구조가 이뻐요</t>
        </is>
      </c>
      <c r="P70" s="6">
        <f>HYPERLINK("https://fin.land.naver.com/articles/2652859350",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최무연</t>
        </is>
      </c>
      <c r="T70" s="4" t="n">
        <v>3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HYPERLINK("https://fin.land.naver.com/articles/2652288526",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HYPERLINK("https://fin.land.naver.com/articles/2653120425",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425-9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26</v>
      </c>
      <c r="M86" s="4" t="n">
        <v>8</v>
      </c>
      <c r="N86" s="5" t="n">
        <v>4.4</v>
      </c>
      <c r="O86" s="3" t="inlineStr">
        <is>
          <t>대박 보안으로 입지 갑 원룸</t>
        </is>
      </c>
      <c r="P86" s="6">
        <f>HYPERLINK("https://fin.land.naver.com/articles/2652887447", "매물Link")</f>
        <v/>
      </c>
      <c r="Q86" s="6">
        <f>HYPERLINK("https://map.naver.com/p/search/부강면 부강리 425-9", "지도Link")</f>
        <v/>
      </c>
      <c r="R86" s="6">
        <f>HYPERLINK("http://www.eum.go.kr/web/ar/lu/luLandDet.jsp?pnu=3611033021104250009&amp;isNoScr=script&amp;mode=search", "토지이음")</f>
        <v/>
      </c>
      <c r="S86" s="3" t="inlineStr">
        <is>
          <t>부강대박</t>
        </is>
      </c>
      <c r="T86" s="4" t="n">
        <v>1</v>
      </c>
      <c r="U86" s="5" t="n">
        <v>256.5</v>
      </c>
      <c r="V86" s="4" t="n">
        <v>294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세로각지(가)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HYPERLINK("https://fin.land.naver.com/articles/2652929725",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HYPERLINK("https://fin.land.naver.com/articles/2652929816",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55</v>
      </c>
      <c r="I90" s="4" t="n">
        <v>50</v>
      </c>
      <c r="J90" s="4" t="n">
        <v>15</v>
      </c>
      <c r="K90" s="5" t="n">
        <v>3.7</v>
      </c>
      <c r="L90" s="4" t="n">
        <v>40</v>
      </c>
      <c r="M90" s="4" t="n">
        <v>12</v>
      </c>
      <c r="N90" s="5" t="n">
        <v>4.6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남향집으로 따뜻한 집 입니다. 입주는 협의 가능하며 가격절충가능합니다.</t>
        </is>
      </c>
      <c r="P92" s="6">
        <f>HYPERLINK("https://fin.land.naver.com/articles/2647499785",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주황푸르지오</t>
        </is>
      </c>
      <c r="T92" s="4" t="n">
        <v>1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 있는 예쁜집, 정남향, 조율가능, 태양광</t>
        </is>
      </c>
      <c r="P93" s="6">
        <f>HYPERLINK("https://fin.land.naver.com/articles/2652843975",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세종무지개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벽난로. 태양광, 국제고인근 남향. 가격조율 가능한</t>
        </is>
      </c>
      <c r="P95" s="6">
        <f>HYPERLINK("https://fin.land.naver.com/articles/2652825554",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최무연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HYPERLINK("https://fin.land.naver.com/articles/2652838554",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전원주택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튼튼하게 지어진 집   교통편리 정남향</t>
        </is>
      </c>
      <c r="P97" s="6">
        <f>HYPERLINK("https://fin.land.naver.com/articles/2652845581",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세종푸르지오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160</v>
      </c>
      <c r="J102" s="4" t="n">
        <v>48</v>
      </c>
      <c r="K102" s="5" t="n">
        <v>2916.7</v>
      </c>
      <c r="L102" s="4" t="n">
        <v>160</v>
      </c>
      <c r="M102" s="4" t="n">
        <v>48</v>
      </c>
      <c r="N102" s="5" t="n">
        <v>2916.7</v>
      </c>
      <c r="O102" s="3" t="inlineStr">
        <is>
          <t>2층주택, 현재 주인거주로 잘 관리된 집</t>
        </is>
      </c>
      <c r="P102" s="6">
        <f>HYPERLINK("https://fin.land.naver.com/articles/2652794190",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강아지풀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올리모델링 방3개 욕실3개 시스템에어컨5대 조율가능</t>
        </is>
      </c>
      <c r="P106" s="6">
        <f>HYPERLINK("https://fin.land.naver.com/articles/2648979509",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HYPERLINK("https://fin.land.naver.com/articles/2652438889",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HYPERLINK("https://fin.land.naver.com/articles/2652844353",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HYPERLINK("https://fin.land.naver.com/articles/2651949107",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HYPERLINK("https://fin.land.naver.com/articles/2651088324",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연동면 내판리 425-4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65000</v>
      </c>
      <c r="H115" s="4" t="n">
        <v>0</v>
      </c>
      <c r="I115" s="4" t="n">
        <v>579</v>
      </c>
      <c r="J115" s="4" t="n">
        <v>175</v>
      </c>
      <c r="K115" s="5" t="n">
        <v>371.4</v>
      </c>
      <c r="L115" s="4" t="n">
        <v>93</v>
      </c>
      <c r="M115" s="4" t="n">
        <v>28</v>
      </c>
      <c r="N115" s="5" t="n">
        <v>2321.4</v>
      </c>
      <c r="O115" s="3" t="inlineStr">
        <is>
          <t>조용하고 살기좋은 전원주택 매매</t>
        </is>
      </c>
      <c r="P115" s="6">
        <f>HYPERLINK("https://fin.land.naver.com/articles/2649113394", "매물Link")</f>
        <v/>
      </c>
      <c r="Q115" s="6">
        <f>HYPERLINK("https://map.naver.com/p/search/연동면 내판리 425-4", "지도Link")</f>
        <v/>
      </c>
      <c r="R115" s="6">
        <f>HYPERLINK("http://www.eum.go.kr/web/ar/lu/luLandDet.jsp?pnu=3611032021104250004&amp;isNoScr=script&amp;mode=search", "토지이음")</f>
        <v/>
      </c>
      <c r="S115" s="3" t="inlineStr">
        <is>
          <t>으뜸</t>
        </is>
      </c>
      <c r="T115" s="4" t="n">
        <v>1</v>
      </c>
      <c r="U115" s="5" t="n">
        <v>73.2</v>
      </c>
      <c r="V115" s="4" t="n">
        <v>499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노송리 28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1756</v>
      </c>
      <c r="J116" s="4" t="n">
        <v>531</v>
      </c>
      <c r="K116" s="5" t="n">
        <v>339</v>
      </c>
      <c r="L116" s="4" t="n">
        <v>191</v>
      </c>
      <c r="M116" s="4" t="n">
        <v>58</v>
      </c>
      <c r="N116" s="5" t="n">
        <v>3103.4</v>
      </c>
      <c r="O116" s="3" t="inlineStr">
        <is>
          <t>남향의 2층 전원주택</t>
        </is>
      </c>
      <c r="P116" s="6">
        <f>HYPERLINK("https://fin.land.naver.com/articles/2651838387", "매물Link")</f>
        <v/>
      </c>
      <c r="Q116" s="6">
        <f>HYPERLINK("https://map.naver.com/p/search/연동면 노송리 28", "지도Link")</f>
        <v/>
      </c>
      <c r="R116" s="6">
        <f>HYPERLINK("http://www.eum.go.kr/web/ar/lu/luLandDet.jsp?pnu=3611032025100280000&amp;isNoScr=script&amp;mode=search", "토지이음")</f>
        <v/>
      </c>
      <c r="S116" s="3" t="inlineStr">
        <is>
          <t>보람최고</t>
        </is>
      </c>
      <c r="T116" s="4" t="n">
        <v>1</v>
      </c>
      <c r="U116" s="5" t="n">
        <v>68.90000000000001</v>
      </c>
      <c r="V116" s="4" t="n">
        <v>1001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세로각지(가)</t>
        </is>
      </c>
    </row>
    <row r="117">
      <c r="A117" s="3" t="inlineStr">
        <is>
          <t>연동면 명학리 217-1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17000</v>
      </c>
      <c r="H117" s="4" t="n">
        <v>0</v>
      </c>
      <c r="I117" s="4" t="n">
        <v>176</v>
      </c>
      <c r="J117" s="4" t="n">
        <v>53</v>
      </c>
      <c r="K117" s="5" t="n">
        <v>320.8</v>
      </c>
      <c r="L117" s="4" t="n">
        <v>52</v>
      </c>
      <c r="M117" s="4" t="n">
        <v>16</v>
      </c>
      <c r="N117" s="5" t="n">
        <v>1062.5</v>
      </c>
      <c r="O117" s="3" t="inlineStr">
        <is>
          <t>태양광,도시가스 사용, 소액 투자, 세컨하우스, 주말별장, 실거주도 추천</t>
        </is>
      </c>
      <c r="P117" s="6">
        <f>HYPERLINK("https://fin.land.naver.com/articles/2652143034", "매물Link")</f>
        <v/>
      </c>
      <c r="Q117" s="6">
        <f>HYPERLINK("https://map.naver.com/p/search/연동면 명학리 217-1", "지도Link")</f>
        <v/>
      </c>
      <c r="R117" s="6">
        <f>HYPERLINK("http://www.eum.go.kr/web/ar/lu/luLandDet.jsp?pnu=3611032023102170001&amp;isNoScr=script&amp;mode=search", "토지이음")</f>
        <v/>
      </c>
      <c r="S117" s="3" t="inlineStr">
        <is>
          <t>수자인시티</t>
        </is>
      </c>
      <c r="T117" s="4" t="n">
        <v>1</v>
      </c>
      <c r="U117" s="5" t="n">
        <v>98.7</v>
      </c>
      <c r="V117" s="4" t="n">
        <v>176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예양리 640-1</t>
        </is>
      </c>
      <c r="B118" s="3" t="inlineStr">
        <is>
          <t>보전관리지역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21000</v>
      </c>
      <c r="H118" s="4" t="n">
        <v>0</v>
      </c>
      <c r="I118" s="4" t="n">
        <v>259</v>
      </c>
      <c r="J118" s="4" t="n">
        <v>78</v>
      </c>
      <c r="K118" s="5" t="n">
        <v>269.2</v>
      </c>
      <c r="L118" s="4" t="n">
        <v>92</v>
      </c>
      <c r="M118" s="4" t="n">
        <v>28</v>
      </c>
      <c r="N118" s="5" t="n">
        <v>750</v>
      </c>
      <c r="O118" s="3" t="inlineStr">
        <is>
          <t>세종시 공기좋고 한적한 곳 저렴한 시골집 세컨하우스 주말주택</t>
        </is>
      </c>
      <c r="P118" s="6">
        <f>HYPERLINK("https://fin.land.naver.com/articles/2651693393", "매물Link")</f>
        <v/>
      </c>
      <c r="Q118" s="6">
        <f>HYPERLINK("https://map.naver.com/p/search/연동면 예양리 640-1", "지도Link")</f>
        <v/>
      </c>
      <c r="R118" s="6">
        <f>HYPERLINK("http://www.eum.go.kr/web/ar/lu/luLandDet.jsp?pnu=3611032026106400001&amp;isNoScr=script&amp;mode=search", "토지이음")</f>
        <v/>
      </c>
      <c r="S118" s="3" t="inlineStr">
        <is>
          <t>청담</t>
        </is>
      </c>
      <c r="T118" s="4" t="n">
        <v>1</v>
      </c>
      <c r="U118" s="5" t="n">
        <v>60.4</v>
      </c>
      <c r="V118" s="4" t="n">
        <v>259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세로한면(가)</t>
        </is>
      </c>
    </row>
    <row r="119">
      <c r="A119" s="3" t="inlineStr">
        <is>
          <t>연동면 응암리 121-4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48000</v>
      </c>
      <c r="H119" s="4" t="n">
        <v>0</v>
      </c>
      <c r="I119" s="4" t="n">
        <v>1025</v>
      </c>
      <c r="J119" s="4" t="n">
        <v>310</v>
      </c>
      <c r="K119" s="5" t="n">
        <v>154.8</v>
      </c>
      <c r="L119" s="4" t="n">
        <v>103</v>
      </c>
      <c r="M119" s="4" t="n">
        <v>31</v>
      </c>
      <c r="N119" s="5" t="n">
        <v>1548.4</v>
      </c>
      <c r="O119" s="3" t="inlineStr">
        <is>
          <t>nan</t>
        </is>
      </c>
      <c r="P119" s="6">
        <f>HYPERLINK("https://fin.land.naver.com/articles/2648221451", "매물Link")</f>
        <v/>
      </c>
      <c r="Q119" s="6">
        <f>HYPERLINK("https://map.naver.com/p/search/연동면 응암리 121-4", "지도Link")</f>
        <v/>
      </c>
      <c r="R119" s="6">
        <f>HYPERLINK("http://www.eum.go.kr/web/ar/lu/luLandDet.jsp?pnu=3611032024101210004&amp;isNoScr=script&amp;mode=search", "토지이음")</f>
        <v/>
      </c>
      <c r="S119" s="3" t="inlineStr">
        <is>
          <t>세종지원</t>
        </is>
      </c>
      <c r="T119" s="4" t="n">
        <v>1</v>
      </c>
      <c r="U119" s="5" t="n">
        <v>67.5</v>
      </c>
      <c r="V119" s="4" t="n">
        <v>1025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응암리 199-4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27000</v>
      </c>
      <c r="H120" s="4" t="n">
        <v>0</v>
      </c>
      <c r="I120" s="4" t="n">
        <v>464</v>
      </c>
      <c r="J120" s="4" t="n">
        <v>140</v>
      </c>
      <c r="K120" s="5" t="n">
        <v>192.9</v>
      </c>
      <c r="L120" s="4" t="n">
        <v>89</v>
      </c>
      <c r="M120" s="4" t="n">
        <v>27</v>
      </c>
      <c r="N120" s="5" t="n">
        <v>1000</v>
      </c>
      <c r="O120" s="3" t="inlineStr">
        <is>
          <t>0초이스0 전세 안고 투자도 가능</t>
        </is>
      </c>
      <c r="P120" s="6">
        <f>HYPERLINK("https://fin.land.naver.com/articles/2649446382", "매물Link")</f>
        <v/>
      </c>
      <c r="Q120" s="6">
        <f>HYPERLINK("https://map.naver.com/p/search/연동면 응암리 199-4", "지도Link")</f>
        <v/>
      </c>
      <c r="R120" s="6">
        <f>HYPERLINK("http://www.eum.go.kr/web/ar/lu/luLandDet.jsp?pnu=3611032024101990004&amp;isNoScr=script&amp;mode=search", "토지이음")</f>
        <v/>
      </c>
      <c r="S120" s="3" t="inlineStr">
        <is>
          <t>세종초이스</t>
        </is>
      </c>
      <c r="T120" s="4" t="n">
        <v>1</v>
      </c>
      <c r="U120" s="5" t="n">
        <v>59.8</v>
      </c>
      <c r="V120" s="4" t="n">
        <v>464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세로각지(가)</t>
        </is>
      </c>
    </row>
    <row r="121">
      <c r="A121" s="3" t="inlineStr">
        <is>
          <t>연서면 고복리 415-34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54200</v>
      </c>
      <c r="H121" s="4" t="n">
        <v>0</v>
      </c>
      <c r="I121" s="4" t="n">
        <v>725</v>
      </c>
      <c r="J121" s="4" t="n">
        <v>219</v>
      </c>
      <c r="K121" s="5" t="n">
        <v>247.5</v>
      </c>
      <c r="L121" s="4" t="n">
        <v>72</v>
      </c>
      <c r="M121" s="4" t="n">
        <v>22</v>
      </c>
      <c r="N121" s="5" t="n">
        <v>2463.6</v>
      </c>
      <c r="O121" s="3" t="inlineStr">
        <is>
          <t>고복저수지 초근접 한 매물이며,별장으로 활용해도 좋아요</t>
        </is>
      </c>
      <c r="P121" s="6">
        <f>HYPERLINK("https://fin.land.naver.com/articles/2647765328", "매물Link")</f>
        <v/>
      </c>
      <c r="Q121" s="6">
        <f>HYPERLINK("https://map.naver.com/p/search/연서면 고복리 415-34", "지도Link")</f>
        <v/>
      </c>
      <c r="R121" s="6">
        <f>HYPERLINK("http://www.eum.go.kr/web/ar/lu/luLandDet.jsp?pnu=3611036024104150034&amp;isNoScr=script&amp;mode=search", "토지이음")</f>
        <v/>
      </c>
      <c r="S121" s="3" t="inlineStr">
        <is>
          <t>지호주식회사</t>
        </is>
      </c>
      <c r="T121" s="4" t="n">
        <v>1</v>
      </c>
      <c r="U121" s="5" t="n">
        <v>122.9</v>
      </c>
      <c r="V121" s="4" t="n">
        <v>725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고복리 460-2</t>
        </is>
      </c>
      <c r="B122" s="3" t="inlineStr">
        <is>
          <t>자연환경보전지역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195000</v>
      </c>
      <c r="H122" s="4" t="n">
        <v>0</v>
      </c>
      <c r="I122" s="4" t="n">
        <v>729</v>
      </c>
      <c r="J122" s="4" t="n">
        <v>221</v>
      </c>
      <c r="K122" s="5" t="n">
        <v>882.4</v>
      </c>
      <c r="L122" s="4" t="n">
        <v>378</v>
      </c>
      <c r="M122" s="4" t="n">
        <v>114</v>
      </c>
      <c r="N122" s="5" t="n">
        <v>1710.5</v>
      </c>
      <c r="O122" s="3" t="inlineStr">
        <is>
          <t>고복저수지가 보이는 곳에 2층 상가주택</t>
        </is>
      </c>
      <c r="P122" s="6">
        <f>HYPERLINK("https://fin.land.naver.com/articles/2651253733", "매물Link")</f>
        <v/>
      </c>
      <c r="Q122" s="6">
        <f>HYPERLINK("https://map.naver.com/p/search/연서면 고복리 460-2", "지도Link")</f>
        <v/>
      </c>
      <c r="R122" s="6">
        <f>HYPERLINK("http://www.eum.go.kr/web/ar/lu/luLandDet.jsp?pnu=3611036024104600002&amp;isNoScr=script&amp;mode=search", "토지이음")</f>
        <v/>
      </c>
      <c r="S122" s="3" t="inlineStr">
        <is>
          <t>세종토박이</t>
        </is>
      </c>
      <c r="T122" s="4" t="n">
        <v>1</v>
      </c>
      <c r="U122" s="5" t="n">
        <v>92.3</v>
      </c>
      <c r="V122" s="4" t="n">
        <v>729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기룡리 657-4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7000</v>
      </c>
      <c r="H123" s="4" t="n">
        <v>0</v>
      </c>
      <c r="I123" s="4" t="n">
        <v>304</v>
      </c>
      <c r="J123" s="4" t="n">
        <v>92</v>
      </c>
      <c r="K123" s="5" t="n">
        <v>76.09999999999999</v>
      </c>
      <c r="L123" s="4" t="n">
        <v>54</v>
      </c>
      <c r="M123" s="4" t="n">
        <v>16</v>
      </c>
      <c r="N123" s="5" t="n">
        <v>437.5</v>
      </c>
      <c r="O123" s="3" t="inlineStr">
        <is>
          <t>매매가 이하 저렴한 농가주택입니다</t>
        </is>
      </c>
      <c r="P123" s="6">
        <f>HYPERLINK("https://fin.land.naver.com/articles/2650597094", "매물Link")</f>
        <v/>
      </c>
      <c r="Q123" s="6">
        <f>HYPERLINK("https://map.naver.com/p/search/연서면 기룡리 657-4", "지도Link")</f>
        <v/>
      </c>
      <c r="R123" s="6">
        <f>HYPERLINK("http://www.eum.go.kr/web/ar/lu/luLandDet.jsp?pnu=3611036028106570004&amp;isNoScr=script&amp;mode=search", "토지이음")</f>
        <v/>
      </c>
      <c r="S123" s="3" t="inlineStr">
        <is>
          <t>캠퍼스</t>
        </is>
      </c>
      <c r="T123" s="4" t="n">
        <v>1</v>
      </c>
      <c r="U123" s="5" t="n">
        <v>66.7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HYPERLINK("https://fin.land.naver.com/articles/2652970391",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112-35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98000</v>
      </c>
      <c r="H126" s="4" t="n">
        <v>0</v>
      </c>
      <c r="I126" s="4" t="n">
        <v>410</v>
      </c>
      <c r="J126" s="4" t="n">
        <v>124</v>
      </c>
      <c r="K126" s="5" t="n">
        <v>790.3</v>
      </c>
      <c r="L126" s="4" t="n">
        <v>487</v>
      </c>
      <c r="M126" s="4" t="n">
        <v>147</v>
      </c>
      <c r="N126" s="5" t="n">
        <v>666.7</v>
      </c>
      <c r="O126" s="3" t="inlineStr">
        <is>
          <t>세종시 투자의 정석 공실 걱정 없는 안정적인 고수익 다가구주택</t>
        </is>
      </c>
      <c r="P126" s="6">
        <f>HYPERLINK("https://fin.land.naver.com/articles/2652498864", "매물Link")</f>
        <v/>
      </c>
      <c r="Q126" s="6">
        <f>HYPERLINK("https://map.naver.com/p/search/연서면 봉암리 112-35", "지도Link")</f>
        <v/>
      </c>
      <c r="R126" s="6">
        <f>HYPERLINK("http://www.eum.go.kr/web/ar/lu/luLandDet.jsp?pnu=3611036033101120035&amp;isNoScr=script&amp;mode=search",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194.8</v>
      </c>
      <c r="V126" s="4" t="n">
        <v>410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360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nan</t>
        </is>
      </c>
      <c r="P134" s="6">
        <f>HYPERLINK("https://fin.land.naver.com/articles/2652499431",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4000</v>
      </c>
      <c r="H140" s="4" t="n">
        <v>40</v>
      </c>
      <c r="I140" s="4" t="n">
        <v>0</v>
      </c>
      <c r="J140" s="4" t="n">
        <v>0</v>
      </c>
      <c r="K140" s="5" t="n">
        <v>0</v>
      </c>
      <c r="L140" s="4" t="n">
        <v>43</v>
      </c>
      <c r="M140" s="4" t="n">
        <v>13</v>
      </c>
      <c r="N140" s="5" t="n">
        <v>3.1</v>
      </c>
      <c r="O140" s="3" t="inlineStr">
        <is>
          <t>인기짱  신축 풀옵션 2룸 심플하고 깔끔한방  엘베설치  넓은주차장</t>
        </is>
      </c>
      <c r="P140" s="6">
        <f>HYPERLINK("https://fin.land.naver.com/articles/2652750077",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190000</v>
      </c>
      <c r="H141" s="4" t="n">
        <v>0</v>
      </c>
      <c r="I141" s="4" t="n">
        <v>570</v>
      </c>
      <c r="J141" s="4" t="n">
        <v>172</v>
      </c>
      <c r="K141" s="5" t="n">
        <v>1104.7</v>
      </c>
      <c r="L141" s="4" t="n">
        <v>568</v>
      </c>
      <c r="M141" s="4" t="n">
        <v>172</v>
      </c>
      <c r="N141" s="5" t="n">
        <v>1104.7</v>
      </c>
      <c r="O141" s="3" t="inlineStr">
        <is>
          <t>신축다가구건물, 엘리베이터 1층 카페,23층 원룸,투룸,1.5룸으로구성</t>
        </is>
      </c>
      <c r="P141" s="6">
        <f>HYPERLINK("https://fin.land.naver.com/articles/2650625683",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178</v>
      </c>
      <c r="J142" s="4" t="n">
        <v>54</v>
      </c>
      <c r="K142" s="5" t="n">
        <v>0.7</v>
      </c>
      <c r="L142" s="4" t="n">
        <v>25</v>
      </c>
      <c r="M142" s="4" t="n">
        <v>8</v>
      </c>
      <c r="N142" s="5" t="n">
        <v>5</v>
      </c>
      <c r="O142" s="3" t="inlineStr">
        <is>
          <t>신축 깔끔한 풀옵션완비방  엘베는기본  주차편리 정남향  정부청사10분</t>
        </is>
      </c>
      <c r="P142" s="6">
        <f>HYPERLINK("https://fin.land.naver.com/articles/2652712844",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4000</v>
      </c>
      <c r="H143" s="4" t="n">
        <v>40</v>
      </c>
      <c r="I143" s="4" t="n">
        <v>60</v>
      </c>
      <c r="J143" s="4" t="n">
        <v>18</v>
      </c>
      <c r="K143" s="5" t="n">
        <v>2.2</v>
      </c>
      <c r="L143" s="4" t="n">
        <v>30</v>
      </c>
      <c r="M143" s="4" t="n">
        <v>9</v>
      </c>
      <c r="N143" s="5" t="n">
        <v>4.4</v>
      </c>
      <c r="O143" s="3" t="inlineStr">
        <is>
          <t>투룸,11월입주 조율가능,금액조율가능,전세도 가능9천만원풀옵션</t>
        </is>
      </c>
      <c r="P143" s="6">
        <f>HYPERLINK("https://fin.land.naver.com/articles/2652335755",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500</v>
      </c>
      <c r="H144" s="4" t="n">
        <v>40</v>
      </c>
      <c r="I144" s="4" t="n">
        <v>33</v>
      </c>
      <c r="J144" s="4" t="n">
        <v>10</v>
      </c>
      <c r="K144" s="5" t="n">
        <v>4</v>
      </c>
      <c r="L144" s="4" t="n">
        <v>16</v>
      </c>
      <c r="M144" s="4" t="n">
        <v>5</v>
      </c>
      <c r="N144" s="5" t="n">
        <v>8</v>
      </c>
      <c r="O144" s="3" t="inlineStr">
        <is>
          <t>원룸,11월하순입주 가능,전세도 가능 6천만원 풀옵션</t>
        </is>
      </c>
      <c r="P144" s="6">
        <f>HYPERLINK("https://fin.land.naver.com/articles/2652745423",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HYPERLINK("https://fin.land.naver.com/articles/2652233102",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월세</t>
        </is>
      </c>
      <c r="G146" s="4" t="n">
        <v>5000</v>
      </c>
      <c r="H146" s="4" t="n">
        <v>120</v>
      </c>
      <c r="I146" s="4" t="n">
        <v>327</v>
      </c>
      <c r="J146" s="4" t="n">
        <v>99</v>
      </c>
      <c r="K146" s="5" t="n">
        <v>1.2</v>
      </c>
      <c r="L146" s="4" t="n">
        <v>168</v>
      </c>
      <c r="M146" s="4" t="n">
        <v>51</v>
      </c>
      <c r="N146" s="5" t="n">
        <v>2.4</v>
      </c>
      <c r="O146" s="3" t="inlineStr">
        <is>
          <t>깔끔한 전원주택</t>
        </is>
      </c>
      <c r="P146" s="6">
        <f>HYPERLINK("https://fin.land.naver.com/articles/2652285276",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40000</v>
      </c>
      <c r="H147" s="4" t="n">
        <v>0</v>
      </c>
      <c r="I147" s="4" t="n">
        <v>327</v>
      </c>
      <c r="J147" s="4" t="n">
        <v>99</v>
      </c>
      <c r="K147" s="5" t="n">
        <v>404</v>
      </c>
      <c r="L147" s="4" t="n">
        <v>168</v>
      </c>
      <c r="M147" s="4" t="n">
        <v>51</v>
      </c>
      <c r="N147" s="5" t="n">
        <v>784.3</v>
      </c>
      <c r="O147" s="3" t="inlineStr">
        <is>
          <t>조용한 전원생활, 초중학교 인접, 고복저수지 자연환경 전원주택 매매</t>
        </is>
      </c>
      <c r="P147" s="6">
        <f>HYPERLINK("https://fin.land.naver.com/articles/2652377919",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연기더조은</t>
        </is>
      </c>
      <c r="T147" s="4" t="n">
        <v>2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깔끔한 전원주택</t>
        </is>
      </c>
      <c r="P148" s="6">
        <f>HYPERLINK("https://fin.land.naver.com/articles/2652284182",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39000</v>
      </c>
      <c r="H149" s="4" t="n">
        <v>0</v>
      </c>
      <c r="I149" s="4" t="n">
        <v>327</v>
      </c>
      <c r="J149" s="4" t="n">
        <v>99</v>
      </c>
      <c r="K149" s="5" t="n">
        <v>393.9</v>
      </c>
      <c r="L149" s="4" t="n">
        <v>168</v>
      </c>
      <c r="M149" s="4" t="n">
        <v>51</v>
      </c>
      <c r="N149" s="5" t="n">
        <v>764.7</v>
      </c>
      <c r="O149" s="3" t="inlineStr">
        <is>
          <t>깔끔한 전원주택</t>
        </is>
      </c>
      <c r="P149" s="6">
        <f>HYPERLINK("https://fin.land.naver.com/articles/2652250435",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제일</t>
        </is>
      </c>
      <c r="T149" s="4" t="n">
        <v>1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30000</v>
      </c>
      <c r="H150" s="4" t="n">
        <v>0</v>
      </c>
      <c r="I150" s="4" t="n">
        <v>327</v>
      </c>
      <c r="J150" s="4" t="n">
        <v>99</v>
      </c>
      <c r="K150" s="5" t="n">
        <v>303</v>
      </c>
      <c r="L150" s="4" t="n">
        <v>168</v>
      </c>
      <c r="M150" s="4" t="n">
        <v>51</v>
      </c>
      <c r="N150" s="5" t="n">
        <v>588.2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HYPERLINK("https://fin.land.naver.com/articles/2652036901",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월세</t>
        </is>
      </c>
      <c r="G151" s="4" t="n">
        <v>5000</v>
      </c>
      <c r="H151" s="4" t="n">
        <v>120</v>
      </c>
      <c r="I151" s="4" t="n">
        <v>327</v>
      </c>
      <c r="J151" s="4" t="n">
        <v>99</v>
      </c>
      <c r="K151" s="5" t="n">
        <v>1.2</v>
      </c>
      <c r="L151" s="4" t="n">
        <v>168</v>
      </c>
      <c r="M151" s="4" t="n">
        <v>51</v>
      </c>
      <c r="N151" s="5" t="n">
        <v>2.4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HYPERLINK("https://fin.land.naver.com/articles/2652036207",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39000</v>
      </c>
      <c r="H152" s="4" t="n">
        <v>0</v>
      </c>
      <c r="I152" s="4" t="n">
        <v>327</v>
      </c>
      <c r="J152" s="4" t="n">
        <v>99</v>
      </c>
      <c r="K152" s="5" t="n">
        <v>393.9</v>
      </c>
      <c r="L152" s="4" t="n">
        <v>168</v>
      </c>
      <c r="M152" s="4" t="n">
        <v>51</v>
      </c>
      <c r="N152" s="5" t="n">
        <v>764.7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HYPERLINK("https://fin.land.naver.com/articles/2651289585",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전세</t>
        </is>
      </c>
      <c r="G155" s="4" t="n">
        <v>17000</v>
      </c>
      <c r="H155" s="4" t="n">
        <v>0</v>
      </c>
      <c r="I155" s="4" t="n">
        <v>84</v>
      </c>
      <c r="J155" s="4" t="n">
        <v>25</v>
      </c>
      <c r="K155" s="5" t="n">
        <v>680</v>
      </c>
      <c r="L155" s="4" t="n">
        <v>84</v>
      </c>
      <c r="M155" s="4" t="n">
        <v>25</v>
      </c>
      <c r="N155" s="5" t="n">
        <v>680</v>
      </c>
      <c r="O155" s="3" t="inlineStr">
        <is>
          <t>nan</t>
        </is>
      </c>
      <c r="P155" s="6">
        <f>HYPERLINK("https://fin.land.naver.com/articles/2649752267",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뉴스카이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618-1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연립</t>
        </is>
      </c>
      <c r="F156" s="3" t="inlineStr">
        <is>
          <t>매매</t>
        </is>
      </c>
      <c r="G156" s="4" t="n">
        <v>8000</v>
      </c>
      <c r="H156" s="4" t="n">
        <v>0</v>
      </c>
      <c r="I156" s="4" t="n">
        <v>54</v>
      </c>
      <c r="J156" s="4" t="n">
        <v>16</v>
      </c>
      <c r="K156" s="5" t="n">
        <v>500</v>
      </c>
      <c r="L156" s="4" t="n">
        <v>54</v>
      </c>
      <c r="M156" s="4" t="n">
        <v>16</v>
      </c>
      <c r="N156" s="5" t="n">
        <v>500</v>
      </c>
      <c r="O156" s="3" t="inlineStr">
        <is>
          <t>욕실,주방,거실,샷시까지 올리모델링됨,세입자끼고매매,소액투자</t>
        </is>
      </c>
      <c r="P156" s="6">
        <f>HYPERLINK("https://fin.land.naver.com/articles/2650717018", "매물Link")</f>
        <v/>
      </c>
      <c r="Q156" s="6">
        <f>HYPERLINK("https://map.naver.com/p/search/연서면 월하리 618-1", "지도Link")</f>
        <v/>
      </c>
      <c r="R156" s="6">
        <f>HYPERLINK("http://www.eum.go.kr/web/ar/lu/luLandDet.jsp?pnu=3611036021106180001&amp;isNoScr=script&amp;mode=search", "토지이음")</f>
        <v/>
      </c>
      <c r="S156" s="3" t="inlineStr">
        <is>
          <t>신안무소</t>
        </is>
      </c>
      <c r="T156" s="4" t="n">
        <v>1</v>
      </c>
      <c r="U156" s="5" t="n">
        <v>151.2</v>
      </c>
      <c r="V156" s="4" t="n">
        <v>281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조치원읍 교리 11-6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상가주택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396</v>
      </c>
      <c r="J157" s="4" t="n">
        <v>120</v>
      </c>
      <c r="K157" s="5" t="n">
        <v>1250</v>
      </c>
      <c r="L157" s="4" t="n">
        <v>616</v>
      </c>
      <c r="M157" s="4" t="n">
        <v>186</v>
      </c>
      <c r="N157" s="5" t="n">
        <v>806.5</v>
      </c>
      <c r="O157" s="3" t="inlineStr">
        <is>
          <t>상가주택, 2가구, 상가임대1, 가격조정가능, 주차가능</t>
        </is>
      </c>
      <c r="P157" s="6">
        <f>HYPERLINK("https://fin.land.naver.com/articles/2650985563", "매물Link")</f>
        <v/>
      </c>
      <c r="Q157" s="6">
        <f>HYPERLINK("https://map.naver.com/p/search/조치원읍 교리 11-6", "지도Link")</f>
        <v/>
      </c>
      <c r="R157" s="6">
        <f>HYPERLINK("http://www.eum.go.kr/web/ar/lu/luLandDet.jsp?pnu=3611025024100110006&amp;isNoScr=script&amp;mode=search", "토지이음")</f>
        <v/>
      </c>
      <c r="S157" s="3" t="inlineStr">
        <is>
          <t>엄마와딸</t>
        </is>
      </c>
      <c r="T157" s="4" t="n">
        <v>1</v>
      </c>
      <c r="U157" s="5" t="n">
        <v>283.3</v>
      </c>
      <c r="V157" s="4" t="n">
        <v>396.4</v>
      </c>
      <c r="W157" s="3" t="inlineStr">
        <is>
          <t>지정되지않음</t>
        </is>
      </c>
      <c r="X157" s="3" t="inlineStr">
        <is>
          <t>주상용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중로각지</t>
        </is>
      </c>
    </row>
    <row r="158">
      <c r="A158" s="3" t="inlineStr">
        <is>
          <t>조치원읍 교리 16-11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0</v>
      </c>
      <c r="J158" s="4" t="n">
        <v>0</v>
      </c>
      <c r="K158" s="5" t="n">
        <v>0</v>
      </c>
      <c r="L158" s="4" t="n">
        <v>23</v>
      </c>
      <c r="M158" s="4" t="n">
        <v>7</v>
      </c>
      <c r="N158" s="5" t="n">
        <v>4.3</v>
      </c>
      <c r="O158" s="3" t="inlineStr">
        <is>
          <t>메가박스 뒷편 조치원역 도보거리</t>
        </is>
      </c>
      <c r="P158" s="6">
        <f>HYPERLINK("https://fin.land.naver.com/articles/2652852845", "매물Link")</f>
        <v/>
      </c>
      <c r="Q158" s="6">
        <f>HYPERLINK("https://map.naver.com/p/search/조치원읍 교리 16-11", "지도Link")</f>
        <v/>
      </c>
      <c r="R158" s="6">
        <f>HYPERLINK("http://www.eum.go.kr/web/ar/lu/luLandDet.jsp?pnu=3611025024100160011&amp;isNoScr=script&amp;mode=search",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367.3</v>
      </c>
      <c r="V158" s="4" t="n">
        <v>445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소로각지</t>
        </is>
      </c>
    </row>
    <row r="159">
      <c r="A159" s="3" t="inlineStr">
        <is>
          <t>조치원읍 교리 16-5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103</v>
      </c>
      <c r="J159" s="4" t="n">
        <v>31</v>
      </c>
      <c r="K159" s="5" t="n">
        <v>1290.3</v>
      </c>
      <c r="L159" s="4" t="n">
        <v>67</v>
      </c>
      <c r="M159" s="4" t="n">
        <v>20</v>
      </c>
      <c r="N159" s="5" t="n">
        <v>2000</v>
      </c>
      <c r="O159" s="3" t="inlineStr">
        <is>
          <t>기업은행 바로 뒷편,구옥2채 매매 입니다.</t>
        </is>
      </c>
      <c r="P159" s="6">
        <f>HYPERLINK("https://fin.land.naver.com/articles/2647876689", "매물Link")</f>
        <v/>
      </c>
      <c r="Q159" s="6">
        <f>HYPERLINK("https://map.naver.com/p/search/조치원읍 교리 16-5", "지도Link")</f>
        <v/>
      </c>
      <c r="R159" s="6">
        <f>HYPERLINK("http://www.eum.go.kr/web/ar/lu/luLandDet.jsp?pnu=3611025024100160005&amp;isNoScr=script&amp;mode=search", "토지이음")</f>
        <v/>
      </c>
      <c r="S159" s="3" t="inlineStr">
        <is>
          <t>이음 사무소</t>
        </is>
      </c>
      <c r="T159" s="4" t="n">
        <v>1</v>
      </c>
      <c r="U159" s="5" t="n">
        <v>206.5</v>
      </c>
      <c r="V159" s="4" t="n">
        <v>103.5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조치원읍 남리 119-10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25</v>
      </c>
      <c r="I160" s="4" t="n">
        <v>33</v>
      </c>
      <c r="J160" s="4" t="n">
        <v>10</v>
      </c>
      <c r="K160" s="5" t="n">
        <v>2.5</v>
      </c>
      <c r="L160" s="4" t="n">
        <v>5</v>
      </c>
      <c r="M160" s="4" t="n">
        <v>2</v>
      </c>
      <c r="N160" s="5" t="n">
        <v>12.5</v>
      </c>
      <c r="O160" s="3" t="inlineStr">
        <is>
          <t>조치원역도보거리 저렴한 원룸 즉시입주</t>
        </is>
      </c>
      <c r="P160" s="6">
        <f>HYPERLINK("https://fin.land.naver.com/articles/2650728690", "매물Link")</f>
        <v/>
      </c>
      <c r="Q160" s="6">
        <f>HYPERLINK("https://map.naver.com/p/search/조치원읍 남리 119-10", "지도Link")</f>
        <v/>
      </c>
      <c r="R160" s="6">
        <f>HYPERLINK("http://www.eum.go.kr/web/ar/lu/luLandDet.jsp?pnu=3611025027101190010&amp;isNoScr=script&amp;mode=search",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242.2</v>
      </c>
      <c r="V160" s="4" t="n">
        <v>280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자루형</t>
        </is>
      </c>
      <c r="AA160" s="3" t="inlineStr">
        <is>
          <t>세로한면(가)</t>
        </is>
      </c>
    </row>
    <row r="161">
      <c r="A161" s="3" t="inlineStr">
        <is>
          <t>조치원읍 남리 119-10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200</v>
      </c>
      <c r="H161" s="4" t="n">
        <v>27</v>
      </c>
      <c r="I161" s="4" t="n">
        <v>33</v>
      </c>
      <c r="J161" s="4" t="n">
        <v>10</v>
      </c>
      <c r="K161" s="5" t="n">
        <v>2.7</v>
      </c>
      <c r="L161" s="4" t="n">
        <v>19</v>
      </c>
      <c r="M161" s="4" t="n">
        <v>6</v>
      </c>
      <c r="N161" s="5" t="n">
        <v>4.5</v>
      </c>
      <c r="O161" s="3" t="inlineStr">
        <is>
          <t>조치원역도보거리O막힘없는O깨끗한 원룸</t>
        </is>
      </c>
      <c r="P161" s="6">
        <f>HYPERLINK("https://fin.land.naver.com/articles/2651069139", "매물Link")</f>
        <v/>
      </c>
      <c r="Q161" s="6">
        <f>HYPERLINK("https://map.naver.com/p/search/조치원읍 남리 119-10", "지도Link")</f>
        <v/>
      </c>
      <c r="R161" s="6">
        <f>HYPERLINK("http://www.eum.go.kr/web/ar/lu/luLandDet.jsp?pnu=3611025027101190010&amp;isNoScr=script&amp;mode=search",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242.2</v>
      </c>
      <c r="V161" s="4" t="n">
        <v>280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조치원읍 남리 119-12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39</v>
      </c>
      <c r="J162" s="4" t="n">
        <v>12</v>
      </c>
      <c r="K162" s="5" t="n">
        <v>2.5</v>
      </c>
      <c r="L162" s="4" t="n">
        <v>26</v>
      </c>
      <c r="M162" s="4" t="n">
        <v>8</v>
      </c>
      <c r="N162" s="5" t="n">
        <v>3.8</v>
      </c>
      <c r="O162" s="3" t="inlineStr">
        <is>
          <t>남향 조치원시내권도보거리 주차시설완비 완벽풀옵션</t>
        </is>
      </c>
      <c r="P162" s="6">
        <f>HYPERLINK("https://fin.land.naver.com/articles/2652366588", "매물Link")</f>
        <v/>
      </c>
      <c r="Q162" s="6">
        <f>HYPERLINK("https://map.naver.com/p/search/조치원읍 남리 119-12", "지도Link")</f>
        <v/>
      </c>
      <c r="R162" s="6">
        <f>HYPERLINK("http://www.eum.go.kr/web/ar/lu/luLandDet.jsp?pnu=3611025027101190012&amp;isNoScr=script&amp;mode=search",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282.8</v>
      </c>
      <c r="V162" s="4" t="n">
        <v>485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25</v>
      </c>
      <c r="I163" s="4" t="n">
        <v>0</v>
      </c>
      <c r="J163" s="4" t="n">
        <v>0</v>
      </c>
      <c r="K163" s="5" t="n">
        <v>0</v>
      </c>
      <c r="L163" s="4" t="n">
        <v>19</v>
      </c>
      <c r="M163" s="4" t="n">
        <v>6</v>
      </c>
      <c r="N163" s="5" t="n">
        <v>4.2</v>
      </c>
      <c r="O163" s="3" t="inlineStr">
        <is>
          <t>남리 버스정류장 가까운 위치</t>
        </is>
      </c>
      <c r="P163" s="6">
        <f>HYPERLINK("https://fin.land.naver.com/articles/2648317995",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1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27</v>
      </c>
      <c r="I164" s="4" t="n">
        <v>16</v>
      </c>
      <c r="J164" s="4" t="n">
        <v>5</v>
      </c>
      <c r="K164" s="5" t="n">
        <v>5.4</v>
      </c>
      <c r="L164" s="4" t="n">
        <v>16</v>
      </c>
      <c r="M164" s="4" t="n">
        <v>5</v>
      </c>
      <c r="N164" s="5" t="n">
        <v>5.4</v>
      </c>
      <c r="O164" s="3" t="inlineStr">
        <is>
          <t>아늑하고 깔끔한 풀옵션,교통과 생활이 아주 편리,가성비 좋음,즉시 입주</t>
        </is>
      </c>
      <c r="P164" s="6">
        <f>HYPERLINK("https://fin.land.naver.com/articles/2651659898",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유정희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조치원역도보거리.융자없음.깔끔한전세.즉시입주</t>
        </is>
      </c>
      <c r="P171" s="6">
        <f>HYPERLINK("https://fin.land.naver.com/articles/2651980466",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20</v>
      </c>
      <c r="J172" s="4" t="n">
        <v>6</v>
      </c>
      <c r="K172" s="5" t="n">
        <v>666.7</v>
      </c>
      <c r="L172" s="4" t="n">
        <v>19</v>
      </c>
      <c r="M172" s="4" t="n">
        <v>6</v>
      </c>
      <c r="N172" s="5" t="n">
        <v>666.7</v>
      </c>
      <c r="O172" s="3" t="inlineStr">
        <is>
          <t>LH가능.HUG.서울보증보험가능 .가성비갑.시장1분 역5분.</t>
        </is>
      </c>
      <c r="P172" s="6">
        <f>HYPERLINK("https://fin.land.naver.com/articles/2647397073",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45000</v>
      </c>
      <c r="H174" s="4" t="n">
        <v>0</v>
      </c>
      <c r="I174" s="4" t="n">
        <v>325</v>
      </c>
      <c r="J174" s="4" t="n">
        <v>98</v>
      </c>
      <c r="K174" s="5" t="n">
        <v>459.2</v>
      </c>
      <c r="L174" s="4" t="n">
        <v>218</v>
      </c>
      <c r="M174" s="4" t="n">
        <v>66</v>
      </c>
      <c r="N174" s="5" t="n">
        <v>681.8</v>
      </c>
      <c r="O174" s="3" t="inlineStr">
        <is>
          <t>교통과 생활이 편리한 위치,초등학교 인근,대지 넓은 단독주택</t>
        </is>
      </c>
      <c r="P174" s="6">
        <f>HYPERLINK("https://fin.land.naver.com/articles/2653047822", "매물Link")</f>
        <v/>
      </c>
      <c r="Q174" s="6">
        <f>HYPERLINK("https://map.naver.com/p/search/조치원읍 명리 51", "지도Link")</f>
        <v/>
      </c>
      <c r="R174" s="6">
        <f>HYPERLINK("http://www.eum.go.kr/web/ar/lu/luLandDet.jsp?pnu=3611025026100510000&amp;isNoScr=script&amp;mode=search", "토지이음")</f>
        <v/>
      </c>
      <c r="S174" s="3" t="inlineStr">
        <is>
          <t>유정희</t>
        </is>
      </c>
      <c r="T174" s="4" t="n">
        <v>1</v>
      </c>
      <c r="U174" s="5" t="n">
        <v>223.3</v>
      </c>
      <c r="V174" s="4" t="n">
        <v>318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소로한면</t>
        </is>
      </c>
    </row>
    <row r="175">
      <c r="A175" s="3" t="inlineStr">
        <is>
          <t>조치원읍 명리 54-12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다가구</t>
        </is>
      </c>
      <c r="F175" s="3" t="inlineStr">
        <is>
          <t>월세</t>
        </is>
      </c>
      <c r="G175" s="4" t="n">
        <v>300</v>
      </c>
      <c r="H175" s="4" t="n">
        <v>31</v>
      </c>
      <c r="I175" s="4" t="n">
        <v>26</v>
      </c>
      <c r="J175" s="4" t="n">
        <v>8</v>
      </c>
      <c r="K175" s="5" t="n">
        <v>3.9</v>
      </c>
      <c r="L175" s="4" t="n">
        <v>26</v>
      </c>
      <c r="M175" s="4" t="n">
        <v>8</v>
      </c>
      <c r="N175" s="5" t="n">
        <v>3.9</v>
      </c>
      <c r="O175" s="3" t="inlineStr">
        <is>
          <t>끌끔하고 위치좋은 원룸 2층</t>
        </is>
      </c>
      <c r="P175" s="6">
        <f>HYPERLINK("https://fin.land.naver.com/articles/2648560985", "매물Link")</f>
        <v/>
      </c>
      <c r="Q175" s="6">
        <f>HYPERLINK("https://map.naver.com/p/search/조치원읍 명리 54-12", "지도Link")</f>
        <v/>
      </c>
      <c r="R175" s="6">
        <f>HYPERLINK("http://www.eum.go.kr/web/ar/lu/luLandDet.jsp?pnu=3611025026100540012&amp;isNoScr=script&amp;mode=search", "토지이음")</f>
        <v/>
      </c>
      <c r="S175" s="3" t="inlineStr">
        <is>
          <t>세종베스트</t>
        </is>
      </c>
      <c r="T175" s="4" t="n">
        <v>1</v>
      </c>
      <c r="U175" s="5" t="n">
        <v>230.3</v>
      </c>
      <c r="V175" s="4" t="n">
        <v>520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조치원읍 명리 79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95000</v>
      </c>
      <c r="H176" s="4" t="n">
        <v>0</v>
      </c>
      <c r="I176" s="4" t="n">
        <v>261</v>
      </c>
      <c r="J176" s="4" t="n">
        <v>79</v>
      </c>
      <c r="K176" s="5" t="n">
        <v>1202.5</v>
      </c>
      <c r="L176" s="4" t="n">
        <v>492</v>
      </c>
      <c r="M176" s="4" t="n">
        <v>149</v>
      </c>
      <c r="N176" s="5" t="n">
        <v>637.6</v>
      </c>
      <c r="O176" s="3" t="inlineStr">
        <is>
          <t>명리 코너 상가주택 1,2층 상가 3층주택</t>
        </is>
      </c>
      <c r="P176" s="6">
        <f>HYPERLINK("https://fin.land.naver.com/articles/2649283511", "매물Link")</f>
        <v/>
      </c>
      <c r="Q176" s="6">
        <f>HYPERLINK("https://map.naver.com/p/search/조치원읍 명리 79", "지도Link")</f>
        <v/>
      </c>
      <c r="R176" s="6">
        <f>HYPERLINK("http://www.eum.go.kr/web/ar/lu/luLandDet.jsp?pnu=3611025026100790000&amp;isNoScr=script&amp;mode=search",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358.3</v>
      </c>
      <c r="V176" s="4" t="n">
        <v>153</v>
      </c>
      <c r="W176" s="3" t="inlineStr">
        <is>
          <t>지정되지않음</t>
        </is>
      </c>
      <c r="X176" s="3" t="inlineStr">
        <is>
          <t>상업용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중로각지</t>
        </is>
      </c>
    </row>
    <row r="177">
      <c r="A177" s="3" t="inlineStr">
        <is>
          <t>조치원읍 번암리 110-1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75000</v>
      </c>
      <c r="H177" s="4" t="n">
        <v>0</v>
      </c>
      <c r="I177" s="4" t="n">
        <v>328</v>
      </c>
      <c r="J177" s="4" t="n">
        <v>99</v>
      </c>
      <c r="K177" s="5" t="n">
        <v>757.6</v>
      </c>
      <c r="L177" s="4" t="n">
        <v>421</v>
      </c>
      <c r="M177" s="4" t="n">
        <v>127</v>
      </c>
      <c r="N177" s="5" t="n">
        <v>590.6</v>
      </c>
      <c r="O177" s="3" t="inlineStr">
        <is>
          <t>번암리 홈플러스 맞은편 6차선 접한 상가주택 저렴합니다</t>
        </is>
      </c>
      <c r="P177" s="6">
        <f>HYPERLINK("https://fin.land.naver.com/articles/2649796407", "매물Link")</f>
        <v/>
      </c>
      <c r="Q177" s="6">
        <f>HYPERLINK("https://map.naver.com/p/search/조치원읍 번암리 110-1", "지도Link")</f>
        <v/>
      </c>
      <c r="R177" s="6">
        <f>HYPERLINK("http://www.eum.go.kr/web/ar/lu/luLandDet.jsp?pnu=3611025031101100001&amp;isNoScr=script&amp;mode=search",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341.8</v>
      </c>
      <c r="V177" s="4" t="n">
        <v>349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광대로한면</t>
        </is>
      </c>
    </row>
    <row r="178">
      <c r="A178" s="3" t="inlineStr">
        <is>
          <t>조치원읍 번암리 69-12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30</v>
      </c>
      <c r="I178" s="4" t="n">
        <v>0</v>
      </c>
      <c r="J178" s="4" t="n">
        <v>0</v>
      </c>
      <c r="K178" s="5" t="n">
        <v>0</v>
      </c>
      <c r="L178" s="4" t="n">
        <v>26</v>
      </c>
      <c r="M178" s="4" t="n">
        <v>8</v>
      </c>
      <c r="N178" s="5" t="n">
        <v>3.8</v>
      </c>
      <c r="O178" s="3" t="inlineStr">
        <is>
          <t>엘리베이터 있어요. 원 룸 분리형 구조</t>
        </is>
      </c>
      <c r="P178" s="6">
        <f>HYPERLINK("https://fin.land.naver.com/articles/2652478073", "매물Link")</f>
        <v/>
      </c>
      <c r="Q178" s="6">
        <f>HYPERLINK("https://map.naver.com/p/search/조치원읍 번암리 69-12", "지도Link")</f>
        <v/>
      </c>
      <c r="R178" s="6">
        <f>HYPERLINK("http://www.eum.go.kr/web/ar/lu/luLandDet.jsp?pnu=3611025031100690012&amp;isNoScr=script&amp;mode=search", "토지이음")</f>
        <v/>
      </c>
      <c r="S178" s="3" t="inlineStr">
        <is>
          <t>지성</t>
        </is>
      </c>
      <c r="T178" s="4" t="n">
        <v>1</v>
      </c>
      <c r="U178" s="5" t="n">
        <v>341.2</v>
      </c>
      <c r="V178" s="4" t="n">
        <v>338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광대로한면</t>
        </is>
      </c>
    </row>
    <row r="179">
      <c r="A179" s="3" t="inlineStr">
        <is>
          <t>조치원읍 봉산리 190-11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빌라</t>
        </is>
      </c>
      <c r="F179" s="3" t="inlineStr">
        <is>
          <t>매매</t>
        </is>
      </c>
      <c r="G179" s="4" t="n">
        <v>4500</v>
      </c>
      <c r="H179" s="4" t="n">
        <v>0</v>
      </c>
      <c r="I179" s="4" t="n">
        <v>21</v>
      </c>
      <c r="J179" s="4" t="n">
        <v>6</v>
      </c>
      <c r="K179" s="5" t="n">
        <v>750</v>
      </c>
      <c r="L179" s="4" t="n">
        <v>20</v>
      </c>
      <c r="M179" s="4" t="n">
        <v>6</v>
      </c>
      <c r="N179" s="5" t="n">
        <v>750</v>
      </c>
      <c r="O179" s="3" t="inlineStr">
        <is>
          <t>고려대 세종캠퍼스 인근 복층형 원룸 개별 매매</t>
        </is>
      </c>
      <c r="P179" s="6">
        <f>HYPERLINK("https://fin.land.naver.com/articles/2648580362", "매물Link")</f>
        <v/>
      </c>
      <c r="Q179" s="6">
        <f>HYPERLINK("https://map.naver.com/p/search/조치원읍 봉산리 190-11", "지도Link")</f>
        <v/>
      </c>
      <c r="R179" s="6">
        <f>HYPERLINK("http://www.eum.go.kr/web/ar/lu/luLandDet.jsp?pnu=3611025033101900011&amp;isNoScr=script&amp;mode=search", "토지이음")</f>
        <v/>
      </c>
      <c r="S179" s="3" t="inlineStr">
        <is>
          <t>고래</t>
        </is>
      </c>
      <c r="T179" s="4" t="n">
        <v>1</v>
      </c>
      <c r="U179" s="5" t="n">
        <v>168.4</v>
      </c>
      <c r="V179" s="4" t="n">
        <v>565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상리 132-1</t>
        </is>
      </c>
      <c r="B180" s="3" t="inlineStr">
        <is>
          <t>준주거지역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65000</v>
      </c>
      <c r="H180" s="4" t="n">
        <v>0</v>
      </c>
      <c r="I180" s="4" t="n">
        <v>116</v>
      </c>
      <c r="J180" s="4" t="n">
        <v>35</v>
      </c>
      <c r="K180" s="5" t="n">
        <v>1857.1</v>
      </c>
      <c r="L180" s="4" t="n">
        <v>184</v>
      </c>
      <c r="M180" s="4" t="n">
        <v>56</v>
      </c>
      <c r="N180" s="5" t="n">
        <v>1160.7</v>
      </c>
      <c r="O180" s="3" t="inlineStr">
        <is>
          <t>상리 세종문화원 맞은편 2차선 접한 전면 넓은 상가 광고효과 좋음</t>
        </is>
      </c>
      <c r="P180" s="6">
        <f>HYPERLINK("https://fin.land.naver.com/articles/2651593382", "매물Link")</f>
        <v/>
      </c>
      <c r="Q180" s="6">
        <f>HYPERLINK("https://map.naver.com/p/search/조치원읍 상리 132-1", "지도Link")</f>
        <v/>
      </c>
      <c r="R180" s="6">
        <f>HYPERLINK("http://www.eum.go.kr/web/ar/lu/luLandDet.jsp?pnu=3611025022101320001&amp;isNoScr=script&amp;mode=search",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640.7</v>
      </c>
      <c r="V180" s="4" t="n">
        <v>116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중로한면</t>
        </is>
      </c>
    </row>
    <row r="181">
      <c r="A181" s="3" t="inlineStr">
        <is>
          <t>조치원읍 상리 67-9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월세</t>
        </is>
      </c>
      <c r="G181" s="4" t="n">
        <v>200</v>
      </c>
      <c r="H181" s="4" t="n">
        <v>25</v>
      </c>
      <c r="I181" s="4" t="n">
        <v>19</v>
      </c>
      <c r="J181" s="4" t="n">
        <v>6</v>
      </c>
      <c r="K181" s="5" t="n">
        <v>4.2</v>
      </c>
      <c r="L181" s="4" t="n">
        <v>19</v>
      </c>
      <c r="M181" s="4" t="n">
        <v>6</v>
      </c>
      <c r="N181" s="5" t="n">
        <v>4.2</v>
      </c>
      <c r="O181" s="3" t="inlineStr">
        <is>
          <t>조치원읍 상리 단독주택 2층 월세</t>
        </is>
      </c>
      <c r="P181" s="6">
        <f>HYPERLINK("https://fin.land.naver.com/articles/2652494086", "매물Link")</f>
        <v/>
      </c>
      <c r="Q181" s="6">
        <f>HYPERLINK("https://map.naver.com/p/search/조치원읍 상리 67-9", "지도Link")</f>
        <v/>
      </c>
      <c r="R181" s="6">
        <f>HYPERLINK("http://www.eum.go.kr/web/ar/lu/luLandDet.jsp?pnu=3611025022100670009&amp;isNoScr=script&amp;mode=search", "토지이음")</f>
        <v/>
      </c>
      <c r="S181" s="3" t="inlineStr">
        <is>
          <t>동원</t>
        </is>
      </c>
      <c r="T181" s="4" t="n">
        <v>1</v>
      </c>
      <c r="U181" s="5" t="n">
        <v>154</v>
      </c>
      <c r="V181" s="4" t="n">
        <v>201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세로한면(불)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상리 터미널인근 깨끗한 원룸</t>
        </is>
      </c>
      <c r="P182" s="6">
        <f>HYPERLINK("https://fin.land.naver.com/articles/2652419757",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7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4200</v>
      </c>
      <c r="H184" s="4" t="n">
        <v>0</v>
      </c>
      <c r="I184" s="4" t="n">
        <v>30</v>
      </c>
      <c r="J184" s="4" t="n">
        <v>9</v>
      </c>
      <c r="K184" s="5" t="n">
        <v>466.7</v>
      </c>
      <c r="L184" s="4" t="n">
        <v>20</v>
      </c>
      <c r="M184" s="4" t="n">
        <v>6</v>
      </c>
      <c r="N184" s="5" t="n">
        <v>700</v>
      </c>
      <c r="O184" s="3" t="inlineStr">
        <is>
          <t>깨끗한원룸.넓은방.협의입주가능.보안철저.주차시설완비</t>
        </is>
      </c>
      <c r="P184" s="6">
        <f>HYPERLINK("https://fin.land.naver.com/articles/2651544463",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5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26</v>
      </c>
      <c r="J185" s="4" t="n">
        <v>8</v>
      </c>
      <c r="K185" s="5" t="n">
        <v>525</v>
      </c>
      <c r="L185" s="4" t="n">
        <v>18</v>
      </c>
      <c r="M185" s="4" t="n">
        <v>5</v>
      </c>
      <c r="N185" s="5" t="n">
        <v>840</v>
      </c>
      <c r="O185" s="3" t="inlineStr">
        <is>
          <t>풀옵션 깔끔한 도시형생활주택 무융자조건</t>
        </is>
      </c>
      <c r="P185" s="6">
        <f>HYPERLINK("https://fin.land.naver.com/articles/2650834927",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용죽부자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6</t>
        </is>
      </c>
      <c r="E186" s="3" t="inlineStr">
        <is>
          <t>도시형생활주택</t>
        </is>
      </c>
      <c r="F186" s="3" t="inlineStr">
        <is>
          <t>월세</t>
        </is>
      </c>
      <c r="G186" s="4" t="n">
        <v>300</v>
      </c>
      <c r="H186" s="4" t="n">
        <v>37</v>
      </c>
      <c r="I186" s="4" t="n">
        <v>26</v>
      </c>
      <c r="J186" s="4" t="n">
        <v>8</v>
      </c>
      <c r="K186" s="5" t="n">
        <v>4.6</v>
      </c>
      <c r="L186" s="4" t="n">
        <v>18</v>
      </c>
      <c r="M186" s="4" t="n">
        <v>5</v>
      </c>
      <c r="N186" s="5" t="n">
        <v>7.4</v>
      </c>
      <c r="O186" s="3" t="inlineStr">
        <is>
          <t>풀옵션 원룸 도시형생활주택 넓고 깔끔해요</t>
        </is>
      </c>
      <c r="P186" s="6">
        <f>HYPERLINK("https://fin.land.naver.com/articles/2650836138",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깨끗한원룸.실사진.보안철저.주차시설완비</t>
        </is>
      </c>
      <c r="P187" s="6">
        <f>HYPERLINK("https://fin.land.naver.com/articles/2651069563",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서창리 203-10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49000</v>
      </c>
      <c r="H188" s="4" t="n">
        <v>0</v>
      </c>
      <c r="I188" s="4" t="n">
        <v>654</v>
      </c>
      <c r="J188" s="4" t="n">
        <v>198</v>
      </c>
      <c r="K188" s="5" t="n">
        <v>247.5</v>
      </c>
      <c r="L188" s="4" t="n">
        <v>581</v>
      </c>
      <c r="M188" s="4" t="n">
        <v>176</v>
      </c>
      <c r="N188" s="5" t="n">
        <v>278.4</v>
      </c>
      <c r="O188" s="3" t="inlineStr">
        <is>
          <t>.급매. o수익률잘나옴 o관리잘되었어요</t>
        </is>
      </c>
      <c r="P188" s="6">
        <f>HYPERLINK("https://fin.land.naver.com/articles/2650552259", "매물Link")</f>
        <v/>
      </c>
      <c r="Q188" s="6">
        <f>HYPERLINK("https://map.naver.com/p/search/조치원읍 서창리 203-10", "지도Link")</f>
        <v/>
      </c>
      <c r="R188" s="6">
        <f>HYPERLINK("http://www.eum.go.kr/web/ar/lu/luLandDet.jsp?pnu=3611025034102030010&amp;isNoScr=script&amp;mode=search",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205.7</v>
      </c>
      <c r="V188" s="4" t="n">
        <v>415</v>
      </c>
      <c r="W188" s="3" t="inlineStr">
        <is>
          <t>자연녹지지역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서창리 290-5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29</v>
      </c>
      <c r="I189" s="4" t="n">
        <v>39</v>
      </c>
      <c r="J189" s="4" t="n">
        <v>12</v>
      </c>
      <c r="K189" s="5" t="n">
        <v>2.4</v>
      </c>
      <c r="L189" s="4" t="n">
        <v>26</v>
      </c>
      <c r="M189" s="4" t="n">
        <v>8</v>
      </c>
      <c r="N189" s="5" t="n">
        <v>3.6</v>
      </c>
      <c r="O189" s="3" t="inlineStr">
        <is>
          <t>서창리.모든게옵션.10월초 협의입주가능</t>
        </is>
      </c>
      <c r="P189" s="6">
        <f>HYPERLINK("https://fin.land.naver.com/articles/2649226212", "매물Link")</f>
        <v/>
      </c>
      <c r="Q189" s="6">
        <f>HYPERLINK("https://map.naver.com/p/search/조치원읍 서창리 290-5", "지도Link")</f>
        <v/>
      </c>
      <c r="R189" s="6">
        <f>HYPERLINK("http://www.eum.go.kr/web/ar/lu/luLandDet.jsp?pnu=3611025034102900005&amp;isNoScr=script&amp;mode=search",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319.2</v>
      </c>
      <c r="V189" s="4" t="n">
        <v>237.8</v>
      </c>
      <c r="W189" s="3" t="inlineStr">
        <is>
          <t>지정되지않음</t>
        </is>
      </c>
      <c r="X189" s="3" t="inlineStr">
        <is>
          <t>주상나지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세로한면(가)</t>
        </is>
      </c>
    </row>
    <row r="190">
      <c r="A190" s="3" t="inlineStr">
        <is>
          <t>조치원읍 서창리 296-8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317</v>
      </c>
      <c r="J190" s="4" t="n">
        <v>96</v>
      </c>
      <c r="K190" s="5" t="n">
        <v>729.2</v>
      </c>
      <c r="L190" s="4" t="n">
        <v>481</v>
      </c>
      <c r="M190" s="4" t="n">
        <v>146</v>
      </c>
      <c r="N190" s="5" t="n">
        <v>479.5</v>
      </c>
      <c r="O190" s="3" t="inlineStr">
        <is>
          <t>다가구 매매 실투자금 약 5억</t>
        </is>
      </c>
      <c r="P190" s="6">
        <f>HYPERLINK("https://fin.land.naver.com/articles/2651340270", "매물Link")</f>
        <v/>
      </c>
      <c r="Q190" s="6">
        <f>HYPERLINK("https://map.naver.com/p/search/조치원읍 서창리 296-8", "지도Link")</f>
        <v/>
      </c>
      <c r="R190" s="6">
        <f>HYPERLINK("http://www.eum.go.kr/web/ar/lu/luLandDet.jsp?pnu=3611025034102960008&amp;isNoScr=script&amp;mode=search", "토지이음")</f>
        <v/>
      </c>
      <c r="S190" s="3" t="inlineStr">
        <is>
          <t>상희</t>
        </is>
      </c>
      <c r="T190" s="4" t="n">
        <v>1</v>
      </c>
      <c r="U190" s="5" t="n">
        <v>321.1</v>
      </c>
      <c r="V190" s="4" t="n">
        <v>317.7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소로한면</t>
        </is>
      </c>
    </row>
    <row r="191">
      <c r="A191" s="3" t="inlineStr">
        <is>
          <t>조치원읍 서창리 66-35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76000</v>
      </c>
      <c r="H191" s="4" t="n">
        <v>0</v>
      </c>
      <c r="I191" s="4" t="n">
        <v>189</v>
      </c>
      <c r="J191" s="4" t="n">
        <v>57</v>
      </c>
      <c r="K191" s="5" t="n">
        <v>1333.3</v>
      </c>
      <c r="L191" s="4" t="n">
        <v>259</v>
      </c>
      <c r="M191" s="4" t="n">
        <v>78</v>
      </c>
      <c r="N191" s="5" t="n">
        <v>974.4</v>
      </c>
      <c r="O191" s="3" t="inlineStr">
        <is>
          <t>대학가 2억7천 투자 수익률7.5</t>
        </is>
      </c>
      <c r="P191" s="6">
        <f>HYPERLINK("https://fin.land.naver.com/articles/2648572698", "매물Link")</f>
        <v/>
      </c>
      <c r="Q191" s="6">
        <f>HYPERLINK("https://map.naver.com/p/search/조치원읍 서창리 66-35", "지도Link")</f>
        <v/>
      </c>
      <c r="R191" s="6">
        <f>HYPERLINK("http://www.eum.go.kr/web/ar/lu/luLandDet.jsp?pnu=3611025034100660035&amp;isNoScr=script&amp;mode=search", "토지이음")</f>
        <v/>
      </c>
      <c r="S191" s="3" t="inlineStr">
        <is>
          <t>고래</t>
        </is>
      </c>
      <c r="T191" s="4" t="n">
        <v>1</v>
      </c>
      <c r="U191" s="5" t="n">
        <v>401.7</v>
      </c>
      <c r="V191" s="4" t="n">
        <v>189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조치원읍 신안리 146-2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48000</v>
      </c>
      <c r="H192" s="4" t="n">
        <v>0</v>
      </c>
      <c r="I192" s="4" t="n">
        <v>283</v>
      </c>
      <c r="J192" s="4" t="n">
        <v>86</v>
      </c>
      <c r="K192" s="5" t="n">
        <v>558.1</v>
      </c>
      <c r="L192" s="4" t="n">
        <v>95</v>
      </c>
      <c r="M192" s="4" t="n">
        <v>29</v>
      </c>
      <c r="N192" s="5" t="n">
        <v>1655.2</v>
      </c>
      <c r="O192" s="3" t="inlineStr">
        <is>
          <t>편의성과 안락함을 다 갖춘 단독주택</t>
        </is>
      </c>
      <c r="P192" s="6">
        <f>HYPERLINK("https://fin.land.naver.com/articles/2647877367", "매물Link")</f>
        <v/>
      </c>
      <c r="Q192" s="6">
        <f>HYPERLINK("https://map.naver.com/p/search/조치원읍 신안리 146-2", "지도Link")</f>
        <v/>
      </c>
      <c r="R192" s="6">
        <f>HYPERLINK("http://www.eum.go.kr/web/ar/lu/luLandDet.jsp?pnu=3611025032101460002&amp;isNoScr=script&amp;mode=search", "토지이음")</f>
        <v/>
      </c>
      <c r="S192" s="3" t="inlineStr">
        <is>
          <t>무지개</t>
        </is>
      </c>
      <c r="T192" s="4" t="n">
        <v>1</v>
      </c>
      <c r="U192" s="5" t="n">
        <v>188.1</v>
      </c>
      <c r="V192" s="4" t="n">
        <v>247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168-4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</v>
      </c>
      <c r="H193" s="4" t="n">
        <v>23</v>
      </c>
      <c r="I193" s="4" t="n">
        <v>20</v>
      </c>
      <c r="J193" s="4" t="n">
        <v>6</v>
      </c>
      <c r="K193" s="5" t="n">
        <v>3.8</v>
      </c>
      <c r="L193" s="4" t="n">
        <v>20</v>
      </c>
      <c r="M193" s="4" t="n">
        <v>6</v>
      </c>
      <c r="N193" s="5" t="n">
        <v>3.8</v>
      </c>
      <c r="O193" s="3" t="inlineStr">
        <is>
          <t>신안리 홍대국제연수원인근 저렴한원룸 즉시 입주가능합니다</t>
        </is>
      </c>
      <c r="P193" s="6">
        <f>HYPERLINK("https://fin.land.naver.com/articles/2649980274", "매물Link")</f>
        <v/>
      </c>
      <c r="Q193" s="6">
        <f>HYPERLINK("https://map.naver.com/p/search/조치원읍 신안리 168-4", "지도Link")</f>
        <v/>
      </c>
      <c r="R193" s="6">
        <f>HYPERLINK("http://www.eum.go.kr/web/ar/lu/luLandDet.jsp?pnu=3611025032101680004&amp;isNoScr=script&amp;mode=search",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171.6</v>
      </c>
      <c r="V193" s="4" t="n">
        <v>217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168-5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50000</v>
      </c>
      <c r="H194" s="4" t="n">
        <v>0</v>
      </c>
      <c r="I194" s="4" t="n">
        <v>208</v>
      </c>
      <c r="J194" s="4" t="n">
        <v>63</v>
      </c>
      <c r="K194" s="5" t="n">
        <v>793.7</v>
      </c>
      <c r="L194" s="4" t="n">
        <v>207</v>
      </c>
      <c r="M194" s="4" t="n">
        <v>63</v>
      </c>
      <c r="N194" s="5" t="n">
        <v>793.7</v>
      </c>
      <c r="O194" s="3" t="inlineStr">
        <is>
          <t>홍익대 조치원캠퍼스 인근 임대료 수익, 11호실</t>
        </is>
      </c>
      <c r="P194" s="6">
        <f>HYPERLINK("https://fin.land.naver.com/articles/2648906557", "매물Link")</f>
        <v/>
      </c>
      <c r="Q194" s="6">
        <f>HYPERLINK("https://map.naver.com/p/search/조치원읍 신안리 168-5", "지도Link")</f>
        <v/>
      </c>
      <c r="R194" s="6">
        <f>HYPERLINK("http://www.eum.go.kr/web/ar/lu/luLandDet.jsp?pnu=3611025032101680005&amp;isNoScr=script&amp;mode=search", "토지이음")</f>
        <v/>
      </c>
      <c r="S194" s="3" t="inlineStr">
        <is>
          <t>웰스플랜</t>
        </is>
      </c>
      <c r="T194" s="4" t="n">
        <v>1</v>
      </c>
      <c r="U194" s="5" t="n">
        <v>171.6</v>
      </c>
      <c r="V194" s="4" t="n">
        <v>208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99</v>
      </c>
      <c r="J195" s="4" t="n">
        <v>30</v>
      </c>
      <c r="K195" s="5" t="n">
        <v>550</v>
      </c>
      <c r="L195" s="4" t="n">
        <v>88</v>
      </c>
      <c r="M195" s="4" t="n">
        <v>27</v>
      </c>
      <c r="N195" s="5" t="n">
        <v>611.1</v>
      </c>
      <c r="O195" s="3" t="inlineStr">
        <is>
          <t>신축빌라,즉시입주가능,주차장 여유로움,올리모델링엘리베이터있음,</t>
        </is>
      </c>
      <c r="P195" s="6">
        <f>HYPERLINK("https://fin.land.naver.com/articles/2652138880",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담뜰</t>
        </is>
      </c>
      <c r="T195" s="4" t="n">
        <v>4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신축,즉시입주가능, 홍대근접,엘리베이터 있음 주차장 여유, 조용한 환경</t>
        </is>
      </c>
      <c r="P196" s="6">
        <f>HYPERLINK("https://fin.land.naver.com/articles/2651286294",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전원형 주거지신축빌라, 올리모델링, 급매 1억6500만원, 역세권예정</t>
        </is>
      </c>
      <c r="P197" s="6">
        <f>HYPERLINK("https://fin.land.naver.com/articles/2651743361",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대한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신안리 올리모델링 30p 빌라.복선전철 수혜 기대.즉시입주 가능</t>
        </is>
      </c>
      <c r="P200" s="6">
        <f>HYPERLINK("https://fin.land.naver.com/articles/2647419659",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하늘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조치원읍 신안리 신축 프리미엄 빌라 급매, 쓰리룸 엘리베이터 주차여유</t>
        </is>
      </c>
      <c r="P201" s="6">
        <f>HYPERLINK("https://fin.land.naver.com/articles/2647624029",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빅토리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383</v>
      </c>
      <c r="J202" s="4" t="n">
        <v>116</v>
      </c>
      <c r="K202" s="5" t="n">
        <v>142.2</v>
      </c>
      <c r="L202" s="4" t="n">
        <v>374</v>
      </c>
      <c r="M202" s="4" t="n">
        <v>113</v>
      </c>
      <c r="N202" s="5" t="n">
        <v>146</v>
      </c>
      <c r="O202" s="3" t="inlineStr">
        <is>
          <t>자연과 어우러진 전원형 빌라주거지 세종시와 청주. 오송방면 이동이편리함</t>
        </is>
      </c>
      <c r="P202" s="6">
        <f>HYPERLINK("https://fin.land.naver.com/articles/2649408871",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재원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올리모델링, 4층단독세대, 방3욕실2, 승강기, 적극협의</t>
        </is>
      </c>
      <c r="P203" s="6">
        <f>HYPERLINK("https://fin.land.naver.com/articles/2647198591",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보배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HYPERLINK("https://fin.land.naver.com/articles/2652407093",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197-3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595</v>
      </c>
      <c r="J205" s="4" t="n">
        <v>180</v>
      </c>
      <c r="K205" s="5" t="n">
        <v>388.9</v>
      </c>
      <c r="L205" s="4" t="n">
        <v>346</v>
      </c>
      <c r="M205" s="4" t="n">
        <v>105</v>
      </c>
      <c r="N205" s="5" t="n">
        <v>666.7</v>
      </c>
      <c r="O205" s="3" t="inlineStr">
        <is>
          <t>서창역인근,주인세대전세끼고,수익형다가구매매,인근대학교,연수원</t>
        </is>
      </c>
      <c r="P205" s="6">
        <f>HYPERLINK("https://fin.land.naver.com/articles/2652964849", "매물Link")</f>
        <v/>
      </c>
      <c r="Q205" s="6">
        <f>HYPERLINK("https://map.naver.com/p/search/조치원읍 신안리 197-3", "지도Link")</f>
        <v/>
      </c>
      <c r="R205" s="6">
        <f>HYPERLINK("http://www.eum.go.kr/web/ar/lu/luLandDet.jsp?pnu=3611025032101970003&amp;isNoScr=script&amp;mode=search", "토지이음")</f>
        <v/>
      </c>
      <c r="S205" s="3" t="inlineStr">
        <is>
          <t>에이팩시티지정</t>
        </is>
      </c>
      <c r="T205" s="4" t="n">
        <v>1</v>
      </c>
      <c r="U205" s="5" t="n">
        <v>171.6</v>
      </c>
      <c r="V205" s="4" t="n">
        <v>595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343-5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단독</t>
        </is>
      </c>
      <c r="F206" s="3" t="inlineStr">
        <is>
          <t>매매</t>
        </is>
      </c>
      <c r="G206" s="4" t="n">
        <v>230000</v>
      </c>
      <c r="H206" s="4" t="n">
        <v>0</v>
      </c>
      <c r="I206" s="4" t="n">
        <v>304</v>
      </c>
      <c r="J206" s="4" t="n">
        <v>92</v>
      </c>
      <c r="K206" s="5" t="n">
        <v>2500</v>
      </c>
      <c r="L206" s="4" t="n">
        <v>331</v>
      </c>
      <c r="M206" s="4" t="n">
        <v>100</v>
      </c>
      <c r="N206" s="5" t="n">
        <v>2300</v>
      </c>
      <c r="O206" s="3" t="inlineStr">
        <is>
          <t>고객만족1위, 앞상가 동시매매,세종시 홍익대, 고려대  인근, 투자 최상</t>
        </is>
      </c>
      <c r="P206" s="6">
        <f>HYPERLINK("https://fin.land.naver.com/articles/2651986134", "매물Link")</f>
        <v/>
      </c>
      <c r="Q206" s="6">
        <f>HYPERLINK("https://map.naver.com/p/search/조치원읍 신안리 343-5", "지도Link")</f>
        <v/>
      </c>
      <c r="R206" s="6">
        <f>HYPERLINK("http://www.eum.go.kr/web/ar/lu/luLandDet.jsp?pnu=3611025032103430005&amp;isNoScr=script&amp;mode=search",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299.6</v>
      </c>
      <c r="V206" s="4" t="n">
        <v>304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62000</v>
      </c>
      <c r="H207" s="4" t="n">
        <v>0</v>
      </c>
      <c r="I207" s="4" t="n">
        <v>158</v>
      </c>
      <c r="J207" s="4" t="n">
        <v>48</v>
      </c>
      <c r="K207" s="5" t="n">
        <v>1291.7</v>
      </c>
      <c r="L207" s="4" t="n">
        <v>264</v>
      </c>
      <c r="M207" s="4" t="n">
        <v>80</v>
      </c>
      <c r="N207" s="5" t="n">
        <v>775</v>
      </c>
      <c r="O207" s="3" t="inlineStr">
        <is>
          <t>nan</t>
        </is>
      </c>
      <c r="P207" s="6">
        <f>HYPERLINK("https://fin.land.naver.com/articles/2650552332",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바다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353-19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72500</v>
      </c>
      <c r="H208" s="4" t="n">
        <v>0</v>
      </c>
      <c r="I208" s="4" t="n">
        <v>156</v>
      </c>
      <c r="J208" s="4" t="n">
        <v>47</v>
      </c>
      <c r="K208" s="5" t="n">
        <v>1542.6</v>
      </c>
      <c r="L208" s="4" t="n">
        <v>264</v>
      </c>
      <c r="M208" s="4" t="n">
        <v>80</v>
      </c>
      <c r="N208" s="5" t="n">
        <v>906.2</v>
      </c>
      <c r="O208" s="3" t="inlineStr">
        <is>
          <t>고객만족1위, 홍익대부근세종캠, 고려대근방세종캠, 조치원역 부근</t>
        </is>
      </c>
      <c r="P208" s="6">
        <f>HYPERLINK("https://fin.land.naver.com/articles/2651992800", "매물Link")</f>
        <v/>
      </c>
      <c r="Q208" s="6">
        <f>HYPERLINK("https://map.naver.com/p/search/조치원읍 신안리 353-19", "지도Link")</f>
        <v/>
      </c>
      <c r="R208" s="6">
        <f>HYPERLINK("http://www.eum.go.kr/web/ar/lu/luLandDet.jsp?pnu=3611025032103530019&amp;isNoScr=script&amp;mode=search", "토지이음")</f>
        <v/>
      </c>
      <c r="S208" s="3" t="inlineStr">
        <is>
          <t>생생</t>
        </is>
      </c>
      <c r="T208" s="4" t="n">
        <v>1</v>
      </c>
      <c r="U208" s="5" t="n">
        <v>210.3</v>
      </c>
      <c r="V208" s="4" t="n">
        <v>156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다가구</t>
        </is>
      </c>
      <c r="F212" s="3" t="inlineStr">
        <is>
          <t>월세</t>
        </is>
      </c>
      <c r="G212" s="4" t="n">
        <v>100</v>
      </c>
      <c r="H212" s="4" t="n">
        <v>26</v>
      </c>
      <c r="I212" s="4" t="n">
        <v>26</v>
      </c>
      <c r="J212" s="4" t="n">
        <v>8</v>
      </c>
      <c r="K212" s="5" t="n">
        <v>3.2</v>
      </c>
      <c r="L212" s="4" t="n">
        <v>26</v>
      </c>
      <c r="M212" s="4" t="n">
        <v>8</v>
      </c>
      <c r="N212" s="5" t="n">
        <v>3.2</v>
      </c>
      <c r="O212" s="3" t="inlineStr">
        <is>
          <t>보증금과 월세가 저렴하고 넓은 방, 고려대, 홍익대 인근임</t>
        </is>
      </c>
      <c r="P212" s="6">
        <f>HYPERLINK("https://fin.land.naver.com/articles/2648513014", "매물Link")</f>
        <v/>
      </c>
      <c r="Q212" s="6">
        <f>HYPERLINK("https://map.naver.com/p/search/조치원읍 신안리 386", "지도Link")</f>
        <v/>
      </c>
      <c r="R212" s="6">
        <f>HYPERLINK("http://www.eum.go.kr/web/ar/lu/luLandDet.jsp?pnu=3611025032103860000&amp;isNoScr=script&amp;mode=search", "토지이음")</f>
        <v/>
      </c>
      <c r="S212" s="3" t="inlineStr">
        <is>
          <t>세종베스트</t>
        </is>
      </c>
      <c r="T212" s="4" t="n">
        <v>1</v>
      </c>
      <c r="U212" s="5" t="n">
        <v>192.9</v>
      </c>
      <c r="V212" s="4" t="n">
        <v>295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394-12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30</v>
      </c>
      <c r="I215" s="4" t="n">
        <v>25</v>
      </c>
      <c r="J215" s="4" t="n">
        <v>8</v>
      </c>
      <c r="K215" s="5" t="n">
        <v>3.8</v>
      </c>
      <c r="L215" s="4" t="n">
        <v>25</v>
      </c>
      <c r="M215" s="4" t="n">
        <v>8</v>
      </c>
      <c r="N215" s="5" t="n">
        <v>3.8</v>
      </c>
      <c r="O215" s="3" t="inlineStr">
        <is>
          <t>음식점, 편의점, 버스정류장도 가까운 곳에 있는 집</t>
        </is>
      </c>
      <c r="P215" s="6">
        <f>HYPERLINK("https://fin.land.naver.com/articles/2649956802", "매물Link")</f>
        <v/>
      </c>
      <c r="Q215" s="6">
        <f>HYPERLINK("https://map.naver.com/p/search/조치원읍 신안리 394-12", "지도Link")</f>
        <v/>
      </c>
      <c r="R215" s="6">
        <f>HYPERLINK("http://www.eum.go.kr/web/ar/lu/luLandDet.jsp?pnu=3611025032103940012&amp;isNoScr=script&amp;mode=search",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302.3</v>
      </c>
      <c r="V215" s="4" t="n">
        <v>222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신안리 394-35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단독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311</v>
      </c>
      <c r="J216" s="4" t="n">
        <v>94</v>
      </c>
      <c r="K216" s="5" t="n">
        <v>957.4</v>
      </c>
      <c r="L216" s="4" t="n">
        <v>328</v>
      </c>
      <c r="M216" s="4" t="n">
        <v>99</v>
      </c>
      <c r="N216" s="5" t="n">
        <v>909.1</v>
      </c>
      <c r="O216" s="3" t="inlineStr">
        <is>
          <t>수익률 10 년수익 5,145만원 원룸 통매매</t>
        </is>
      </c>
      <c r="P216" s="6">
        <f>HYPERLINK("https://fin.land.naver.com/articles/2648570400", "매물Link")</f>
        <v/>
      </c>
      <c r="Q216" s="6">
        <f>HYPERLINK("https://map.naver.com/p/search/조치원읍 신안리 394-35", "지도Link")</f>
        <v/>
      </c>
      <c r="R216" s="6">
        <f>HYPERLINK("http://www.eum.go.kr/web/ar/lu/luLandDet.jsp?pnu=3611025032103940035&amp;isNoScr=script&amp;mode=search", "토지이음")</f>
        <v/>
      </c>
      <c r="S216" s="3" t="inlineStr">
        <is>
          <t>고래</t>
        </is>
      </c>
      <c r="T216" s="4" t="n">
        <v>1</v>
      </c>
      <c r="U216" s="5" t="n">
        <v>235.1</v>
      </c>
      <c r="V216" s="4" t="n">
        <v>311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394-38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100000</v>
      </c>
      <c r="H217" s="4" t="n">
        <v>0</v>
      </c>
      <c r="I217" s="4" t="n">
        <v>289</v>
      </c>
      <c r="J217" s="4" t="n">
        <v>87</v>
      </c>
      <c r="K217" s="5" t="n">
        <v>1149.4</v>
      </c>
      <c r="L217" s="4" t="n">
        <v>329</v>
      </c>
      <c r="M217" s="4" t="n">
        <v>100</v>
      </c>
      <c r="N217" s="5" t="n">
        <v>1000</v>
      </c>
      <c r="O217" s="3" t="inlineStr">
        <is>
          <t>인근 홍익대 위치로 공실없이 연세로 운영되며 수익률10프로 이상</t>
        </is>
      </c>
      <c r="P217" s="6">
        <f>HYPERLINK("https://fin.land.naver.com/articles/2651069625", "매물Link")</f>
        <v/>
      </c>
      <c r="Q217" s="6">
        <f>HYPERLINK("https://map.naver.com/p/search/조치원읍 신안리 394-38", "지도Link")</f>
        <v/>
      </c>
      <c r="R217" s="6">
        <f>HYPERLINK("http://www.eum.go.kr/web/ar/lu/luLandDet.jsp?pnu=3611025032103940038&amp;isNoScr=script&amp;mode=search", "토지이음")</f>
        <v/>
      </c>
      <c r="S217" s="3" t="inlineStr">
        <is>
          <t>한림신화</t>
        </is>
      </c>
      <c r="T217" s="4" t="n">
        <v>2</v>
      </c>
      <c r="U217" s="5" t="n">
        <v>227.9</v>
      </c>
      <c r="V217" s="4" t="n">
        <v>289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394-38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전세</t>
        </is>
      </c>
      <c r="G218" s="4" t="n">
        <v>5000</v>
      </c>
      <c r="H218" s="4" t="n">
        <v>0</v>
      </c>
      <c r="I218" s="4" t="n">
        <v>20</v>
      </c>
      <c r="J218" s="4" t="n">
        <v>6</v>
      </c>
      <c r="K218" s="5" t="n">
        <v>833.3</v>
      </c>
      <c r="L218" s="4" t="n">
        <v>20</v>
      </c>
      <c r="M218" s="4" t="n">
        <v>6</v>
      </c>
      <c r="N218" s="5" t="n">
        <v>833.3</v>
      </c>
      <c r="O218" s="3" t="inlineStr">
        <is>
          <t>귀한 원룸 전세매물</t>
        </is>
      </c>
      <c r="P218" s="6">
        <f>HYPERLINK("https://fin.land.naver.com/articles/2649956631", "매물Link")</f>
        <v/>
      </c>
      <c r="Q218" s="6">
        <f>HYPERLINK("https://map.naver.com/p/search/조치원읍 신안리 394-38", "지도Link")</f>
        <v/>
      </c>
      <c r="R218" s="6">
        <f>HYPERLINK("http://www.eum.go.kr/web/ar/lu/luLandDet.jsp?pnu=3611025032103940038&amp;isNoScr=script&amp;mode=search",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227.9</v>
      </c>
      <c r="V218" s="4" t="n">
        <v>289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세로한면(불)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394-8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월세</t>
        </is>
      </c>
      <c r="G220" s="4" t="n">
        <v>200</v>
      </c>
      <c r="H220" s="4" t="n">
        <v>31</v>
      </c>
      <c r="I220" s="4" t="n">
        <v>26</v>
      </c>
      <c r="J220" s="4" t="n">
        <v>8</v>
      </c>
      <c r="K220" s="5" t="n">
        <v>3.9</v>
      </c>
      <c r="L220" s="4" t="n">
        <v>26</v>
      </c>
      <c r="M220" s="4" t="n">
        <v>8</v>
      </c>
      <c r="N220" s="5" t="n">
        <v>3.9</v>
      </c>
      <c r="O220" s="3" t="inlineStr">
        <is>
          <t>깨끗한 풀옵션  원룸이며, 고려대학교와 홍익대학교와 가까움</t>
        </is>
      </c>
      <c r="P220" s="6">
        <f>HYPERLINK("https://fin.land.naver.com/articles/2651498722", "매물Link")</f>
        <v/>
      </c>
      <c r="Q220" s="6">
        <f>HYPERLINK("https://map.naver.com/p/search/조치원읍 신안리 394-8", "지도Link")</f>
        <v/>
      </c>
      <c r="R220" s="6">
        <f>HYPERLINK("http://www.eum.go.kr/web/ar/lu/luLandDet.jsp?pnu=3611025032103940008&amp;isNoScr=script&amp;mode=search",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255.5</v>
      </c>
      <c r="V220" s="4" t="n">
        <v>251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445-9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49000</v>
      </c>
      <c r="H222" s="4" t="n">
        <v>0</v>
      </c>
      <c r="I222" s="4" t="n">
        <v>268</v>
      </c>
      <c r="J222" s="4" t="n">
        <v>81</v>
      </c>
      <c r="K222" s="5" t="n">
        <v>604.9</v>
      </c>
      <c r="L222" s="4" t="n">
        <v>397</v>
      </c>
      <c r="M222" s="4" t="n">
        <v>120</v>
      </c>
      <c r="N222" s="5" t="n">
        <v>408.3</v>
      </c>
      <c r="O222" s="3" t="inlineStr">
        <is>
          <t>후문앞. 공실없는 원룸건물. 관리잘됨</t>
        </is>
      </c>
      <c r="P222" s="6">
        <f>HYPERLINK("https://fin.land.naver.com/articles/2650538930", "매물Link")</f>
        <v/>
      </c>
      <c r="Q222" s="6">
        <f>HYPERLINK("https://map.naver.com/p/search/조치원읍 신안리 445-9", "지도Link")</f>
        <v/>
      </c>
      <c r="R222" s="6">
        <f>HYPERLINK("http://www.eum.go.kr/web/ar/lu/luLandDet.jsp?pnu=3611025032104450009&amp;isNoScr=script&amp;mode=search",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217</v>
      </c>
      <c r="V222" s="4" t="n">
        <v>268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신흥리 17-2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전세</t>
        </is>
      </c>
      <c r="G223" s="4" t="n">
        <v>3500</v>
      </c>
      <c r="H223" s="4" t="n">
        <v>0</v>
      </c>
      <c r="I223" s="4" t="n">
        <v>61</v>
      </c>
      <c r="J223" s="4" t="n">
        <v>18</v>
      </c>
      <c r="K223" s="5" t="n">
        <v>194.4</v>
      </c>
      <c r="L223" s="4" t="n">
        <v>55</v>
      </c>
      <c r="M223" s="4" t="n">
        <v>17</v>
      </c>
      <c r="N223" s="5" t="n">
        <v>205.9</v>
      </c>
      <c r="O223" s="3" t="inlineStr">
        <is>
          <t>일부리모델링 됨. 이사협의 가능. 도배.장판 새로.깨끗한 호실.</t>
        </is>
      </c>
      <c r="P223" s="6">
        <f>HYPERLINK("https://fin.land.naver.com/articles/2648775732", "매물Link")</f>
        <v/>
      </c>
      <c r="Q223" s="6">
        <f>HYPERLINK("https://map.naver.com/p/search/조치원읍 신흥리 17-2", "지도Link")</f>
        <v/>
      </c>
      <c r="R223" s="6">
        <f>HYPERLINK("http://www.eum.go.kr/web/ar/lu/luLandDet.jsp?pnu=3611025029100170002&amp;isNoScr=script&amp;mode=search", "토지이음")</f>
        <v/>
      </c>
      <c r="S223" s="3" t="inlineStr">
        <is>
          <t>굿모닝</t>
        </is>
      </c>
      <c r="T223" s="4" t="n">
        <v>1</v>
      </c>
      <c r="U223" s="5" t="n">
        <v>162.7</v>
      </c>
      <c r="V223" s="4" t="n">
        <v>451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조치원읍 신흥리 26-1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284</v>
      </c>
      <c r="J224" s="4" t="n">
        <v>86</v>
      </c>
      <c r="K224" s="5" t="n">
        <v>418.6</v>
      </c>
      <c r="L224" s="4" t="n">
        <v>73</v>
      </c>
      <c r="M224" s="4" t="n">
        <v>22</v>
      </c>
      <c r="N224" s="5" t="n">
        <v>1636.4</v>
      </c>
      <c r="O224" s="3" t="inlineStr">
        <is>
          <t>신흥리 위치 좋은 곳 단독주택</t>
        </is>
      </c>
      <c r="P224" s="6">
        <f>HYPERLINK("https://fin.land.naver.com/articles/2647576467", "매물Link")</f>
        <v/>
      </c>
      <c r="Q224" s="6">
        <f>HYPERLINK("https://map.naver.com/p/search/조치원읍 신흥리 26-1", "지도Link")</f>
        <v/>
      </c>
      <c r="R224" s="6">
        <f>HYPERLINK("http://www.eum.go.kr/web/ar/lu/luLandDet.jsp?pnu=3611025029100260001&amp;isNoScr=script&amp;mode=search",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185.6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소로각지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HYPERLINK("https://fin.land.naver.com/articles/2652877281",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144-9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52000</v>
      </c>
      <c r="H230" s="4" t="n">
        <v>0</v>
      </c>
      <c r="I230" s="4" t="n">
        <v>129</v>
      </c>
      <c r="J230" s="4" t="n">
        <v>39</v>
      </c>
      <c r="K230" s="5" t="n">
        <v>1333.3</v>
      </c>
      <c r="L230" s="4" t="n">
        <v>144</v>
      </c>
      <c r="M230" s="4" t="n">
        <v>44</v>
      </c>
      <c r="N230" s="5" t="n">
        <v>1181.8</v>
      </c>
      <c r="O230" s="3" t="inlineStr">
        <is>
          <t>조치원역 서쪽 4차선 도로접함 1층 상가 2층 주택이용하실분 추천</t>
        </is>
      </c>
      <c r="P230" s="6">
        <f>HYPERLINK("https://fin.land.naver.com/articles/2652881315", "매물Link")</f>
        <v/>
      </c>
      <c r="Q230" s="6">
        <f>HYPERLINK("https://map.naver.com/p/search/조치원읍 침산리 144-9", "지도Link")</f>
        <v/>
      </c>
      <c r="R230" s="6">
        <f>HYPERLINK("http://www.eum.go.kr/web/ar/lu/luLandDet.jsp?pnu=3611025028101440009&amp;isNoScr=script&amp;mode=search",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404.6</v>
      </c>
      <c r="V230" s="4" t="n">
        <v>129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중로한면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65</v>
      </c>
      <c r="I231" s="4" t="n">
        <v>46</v>
      </c>
      <c r="J231" s="4" t="n">
        <v>14</v>
      </c>
      <c r="K231" s="5" t="n">
        <v>4.6</v>
      </c>
      <c r="L231" s="4" t="n">
        <v>39</v>
      </c>
      <c r="M231" s="4" t="n">
        <v>12</v>
      </c>
      <c r="N231" s="5" t="n">
        <v>5.4</v>
      </c>
      <c r="O231" s="3" t="inlineStr">
        <is>
          <t>귀한 투룸.도도리파크앞.즉시입주 가능.</t>
        </is>
      </c>
      <c r="P231" s="6">
        <f>HYPERLINK("https://fin.land.naver.com/articles/2650140429",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척척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55</v>
      </c>
      <c r="I233" s="4" t="n">
        <v>130</v>
      </c>
      <c r="J233" s="4" t="n">
        <v>39</v>
      </c>
      <c r="K233" s="5" t="n">
        <v>1.4</v>
      </c>
      <c r="L233" s="4" t="n">
        <v>39</v>
      </c>
      <c r="M233" s="4" t="n">
        <v>12</v>
      </c>
      <c r="N233" s="5" t="n">
        <v>4.6</v>
      </c>
      <c r="O233" s="3" t="inlineStr">
        <is>
          <t>nan</t>
        </is>
      </c>
      <c r="P233" s="6">
        <f>HYPERLINK("https://fin.land.naver.com/articles/2647831340",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한뜰금빛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26</v>
      </c>
      <c r="M234" s="4" t="n">
        <v>8</v>
      </c>
      <c r="N234" s="5" t="n">
        <v>5.6</v>
      </c>
      <c r="O234" s="3" t="inlineStr">
        <is>
          <t>큰방2개 2룸</t>
        </is>
      </c>
      <c r="P234" s="6">
        <f>HYPERLINK("https://fin.land.naver.com/articles/2648309224",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36000</v>
      </c>
      <c r="H236" s="4" t="n">
        <v>0</v>
      </c>
      <c r="I236" s="4" t="n">
        <v>217</v>
      </c>
      <c r="J236" s="4" t="n">
        <v>66</v>
      </c>
      <c r="K236" s="5" t="n">
        <v>545.5</v>
      </c>
      <c r="L236" s="4" t="n">
        <v>124</v>
      </c>
      <c r="M236" s="4" t="n">
        <v>38</v>
      </c>
      <c r="N236" s="5" t="n">
        <v>947.4</v>
      </c>
      <c r="O236" s="3" t="inlineStr">
        <is>
          <t>단층 건물 매매</t>
        </is>
      </c>
      <c r="P236" s="6">
        <f>HYPERLINK("https://fin.land.naver.com/articles/2651339266", "매물Link")</f>
        <v/>
      </c>
      <c r="Q236" s="6">
        <f>HYPERLINK("https://map.naver.com/p/search/조치원읍 침산리 255-12", "지도Link")</f>
        <v/>
      </c>
      <c r="R236" s="6">
        <f>HYPERLINK("http://www.eum.go.kr/web/ar/lu/luLandDet.jsp?pnu=3611025028102550012&amp;isNoScr=script&amp;mode=search",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292.7</v>
      </c>
      <c r="V236" s="4" t="n">
        <v>217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단기임대</t>
        </is>
      </c>
      <c r="G237" s="4" t="n">
        <v>200</v>
      </c>
      <c r="H237" s="4" t="n">
        <v>55</v>
      </c>
      <c r="I237" s="4" t="n">
        <v>46</v>
      </c>
      <c r="J237" s="4" t="n">
        <v>14</v>
      </c>
      <c r="K237" s="5" t="n">
        <v>14.3</v>
      </c>
      <c r="L237" s="4" t="n">
        <v>39</v>
      </c>
      <c r="M237" s="4" t="n">
        <v>12</v>
      </c>
      <c r="N237" s="5" t="n">
        <v>16.7</v>
      </c>
      <c r="O237" s="3" t="inlineStr">
        <is>
          <t>2인숙소.6개월 단기계약가능.에어컨2개.화장실2개</t>
        </is>
      </c>
      <c r="P237" s="6">
        <f>HYPERLINK("https://fin.land.naver.com/articles/2652556288",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265-11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150</v>
      </c>
      <c r="H242" s="4" t="n">
        <v>25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3.6</v>
      </c>
      <c r="O242" s="3" t="inlineStr">
        <is>
          <t>nan</t>
        </is>
      </c>
      <c r="P242" s="6">
        <f>HYPERLINK("https://fin.land.naver.com/articles/2649877584", "매물Link")</f>
        <v/>
      </c>
      <c r="Q242" s="6">
        <f>HYPERLINK("https://map.naver.com/p/search/조치원읍 침산리 265-11", "지도Link")</f>
        <v/>
      </c>
      <c r="R242" s="6">
        <f>HYPERLINK("http://www.eum.go.kr/web/ar/lu/luLandDet.jsp?pnu=3611025028102650011&amp;isNoScr=script&amp;mode=search",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415.5</v>
      </c>
      <c r="V242" s="4" t="n">
        <v>190.7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265-9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40</v>
      </c>
      <c r="I243" s="4" t="n">
        <v>30</v>
      </c>
      <c r="J243" s="4" t="n">
        <v>9</v>
      </c>
      <c r="K243" s="5" t="n">
        <v>4.4</v>
      </c>
      <c r="L243" s="4" t="n">
        <v>30</v>
      </c>
      <c r="M243" s="4" t="n">
        <v>9</v>
      </c>
      <c r="N243" s="5" t="n">
        <v>4.4</v>
      </c>
      <c r="O243" s="3" t="inlineStr">
        <is>
          <t>투베이 분리형 이사협의</t>
        </is>
      </c>
      <c r="P243" s="6">
        <f>HYPERLINK("https://fin.land.naver.com/articles/2648493335", "매물Link")</f>
        <v/>
      </c>
      <c r="Q243" s="6">
        <f>HYPERLINK("https://map.naver.com/p/search/조치원읍 침산리 265-9", "지도Link")</f>
        <v/>
      </c>
      <c r="R243" s="6">
        <f>HYPERLINK("http://www.eum.go.kr/web/ar/lu/luLandDet.jsp?pnu=3611025028102650009&amp;isNoScr=script&amp;mode=search",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419.8</v>
      </c>
      <c r="V243" s="4" t="n">
        <v>274.8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조치원읍 침산리 266-12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259</v>
      </c>
      <c r="J244" s="4" t="n">
        <v>78</v>
      </c>
      <c r="K244" s="5" t="n">
        <v>1282.1</v>
      </c>
      <c r="L244" s="4" t="n">
        <v>473</v>
      </c>
      <c r="M244" s="4" t="n">
        <v>143</v>
      </c>
      <c r="N244" s="5" t="n">
        <v>699.3</v>
      </c>
      <c r="O244" s="3" t="inlineStr">
        <is>
          <t>nan</t>
        </is>
      </c>
      <c r="P244" s="6">
        <f>HYPERLINK("https://fin.land.naver.com/articles/2649229764", "매물Link")</f>
        <v/>
      </c>
      <c r="Q244" s="6">
        <f>HYPERLINK("https://map.naver.com/p/search/조치원읍 침산리 266-12", "지도Link")</f>
        <v/>
      </c>
      <c r="R244" s="6">
        <f>HYPERLINK("http://www.eum.go.kr/web/ar/lu/luLandDet.jsp?pnu=3611025028102660012&amp;isNoScr=script&amp;mode=search",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318.2</v>
      </c>
      <c r="V244" s="4" t="n">
        <v>259.5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월세</t>
        </is>
      </c>
      <c r="G248" s="4" t="n">
        <v>2000</v>
      </c>
      <c r="H248" s="4" t="n">
        <v>10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1.4</v>
      </c>
      <c r="O248" s="3" t="inlineStr">
        <is>
          <t>전세,반전세 가능 도배예정</t>
        </is>
      </c>
      <c r="P248" s="6">
        <f>HYPERLINK("https://fin.land.naver.com/articles/2652860593",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279-15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전세</t>
        </is>
      </c>
      <c r="G249" s="4" t="n">
        <v>3000</v>
      </c>
      <c r="H249" s="4" t="n">
        <v>0</v>
      </c>
      <c r="I249" s="4" t="n">
        <v>0</v>
      </c>
      <c r="J249" s="4" t="n">
        <v>0</v>
      </c>
      <c r="K249" s="5" t="n">
        <v>0</v>
      </c>
      <c r="L249" s="4" t="n">
        <v>19</v>
      </c>
      <c r="M249" s="4" t="n">
        <v>6</v>
      </c>
      <c r="N249" s="5" t="n">
        <v>500</v>
      </c>
      <c r="O249" s="3" t="inlineStr">
        <is>
          <t>안전한 전세</t>
        </is>
      </c>
      <c r="P249" s="6">
        <f>HYPERLINK("https://fin.land.naver.com/articles/2652857402", "매물Link")</f>
        <v/>
      </c>
      <c r="Q249" s="6">
        <f>HYPERLINK("https://map.naver.com/p/search/조치원읍 침산리 279-15", "지도Link")</f>
        <v/>
      </c>
      <c r="R249" s="6">
        <f>HYPERLINK("http://www.eum.go.kr/web/ar/lu/luLandDet.jsp?pnu=3611025028102790015&amp;isNoScr=script&amp;mode=search",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279-15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110000</v>
      </c>
      <c r="H250" s="4" t="n">
        <v>0</v>
      </c>
      <c r="I250" s="4" t="n">
        <v>315</v>
      </c>
      <c r="J250" s="4" t="n">
        <v>95</v>
      </c>
      <c r="K250" s="5" t="n">
        <v>1157.9</v>
      </c>
      <c r="L250" s="4" t="n">
        <v>545</v>
      </c>
      <c r="M250" s="4" t="n">
        <v>165</v>
      </c>
      <c r="N250" s="5" t="n">
        <v>666.7</v>
      </c>
      <c r="O250" s="3" t="inlineStr">
        <is>
          <t>다가주주택 연수익률 8%</t>
        </is>
      </c>
      <c r="P250" s="6">
        <f>HYPERLINK("https://fin.land.naver.com/articles/2649673971", "매물Link")</f>
        <v/>
      </c>
      <c r="Q250" s="6">
        <f>HYPERLINK("https://map.naver.com/p/search/조치원읍 침산리 279-15", "지도Link")</f>
        <v/>
      </c>
      <c r="R250" s="6">
        <f>HYPERLINK("http://www.eum.go.kr/web/ar/lu/luLandDet.jsp?pnu=3611025028102790015&amp;isNoScr=script&amp;mode=search",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299.6</v>
      </c>
      <c r="V250" s="4" t="n">
        <v>315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침산리 282-13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전세</t>
        </is>
      </c>
      <c r="G251" s="4" t="n">
        <v>5000</v>
      </c>
      <c r="H251" s="4" t="n">
        <v>0</v>
      </c>
      <c r="I251" s="4" t="n">
        <v>47</v>
      </c>
      <c r="J251" s="4" t="n">
        <v>14</v>
      </c>
      <c r="K251" s="5" t="n">
        <v>357.1</v>
      </c>
      <c r="L251" s="4" t="n">
        <v>47</v>
      </c>
      <c r="M251" s="4" t="n">
        <v>14</v>
      </c>
      <c r="N251" s="5" t="n">
        <v>357.1</v>
      </c>
      <c r="O251" s="3" t="inlineStr">
        <is>
          <t>깨끗하고 넒은 원룸이며,  주저지역에 위치하여 교통 편리</t>
        </is>
      </c>
      <c r="P251" s="6">
        <f>HYPERLINK("https://fin.land.naver.com/articles/2651486371", "매물Link")</f>
        <v/>
      </c>
      <c r="Q251" s="6">
        <f>HYPERLINK("https://map.naver.com/p/search/조치원읍 침산리 282-13", "지도Link")</f>
        <v/>
      </c>
      <c r="R251" s="6">
        <f>HYPERLINK("http://www.eum.go.kr/web/ar/lu/luLandDet.jsp?pnu=3611025028102820013&amp;isNoScr=script&amp;mode=search",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314.3</v>
      </c>
      <c r="V251" s="4" t="n">
        <v>252.9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조치원읍 침산리 283-12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32</v>
      </c>
      <c r="I252" s="4" t="n">
        <v>0</v>
      </c>
      <c r="J252" s="4" t="n">
        <v>0</v>
      </c>
      <c r="K252" s="5" t="n">
        <v>0</v>
      </c>
      <c r="L252" s="4" t="n">
        <v>24</v>
      </c>
      <c r="M252" s="4" t="n">
        <v>7</v>
      </c>
      <c r="N252" s="5" t="n">
        <v>4.6</v>
      </c>
      <c r="O252" s="3" t="inlineStr">
        <is>
          <t>인기좋은  풀옵션완비방   깔끔한 주거공간  넓은 수납공간  주차편함</t>
        </is>
      </c>
      <c r="P252" s="6">
        <f>HYPERLINK("https://fin.land.naver.com/articles/2652969124", "매물Link")</f>
        <v/>
      </c>
      <c r="Q252" s="6">
        <f>HYPERLINK("https://map.naver.com/p/search/조치원읍 침산리 283-12", "지도Link")</f>
        <v/>
      </c>
      <c r="R252" s="6">
        <f>HYPERLINK("http://www.eum.go.kr/web/ar/lu/luLandDet.jsp?pnu=3611025028102830012&amp;isNoScr=script&amp;mode=search",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263.5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283-16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전세</t>
        </is>
      </c>
      <c r="G253" s="4" t="n">
        <v>3500</v>
      </c>
      <c r="H253" s="4" t="n">
        <v>0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437.5</v>
      </c>
      <c r="O253" s="3" t="inlineStr">
        <is>
          <t>넓고 깔끔한  풀옵션 완비방  주방분리  짐만 가져오세요  바로입주</t>
        </is>
      </c>
      <c r="P253" s="6">
        <f>HYPERLINK("https://fin.land.naver.com/articles/2648568156", "매물Link")</f>
        <v/>
      </c>
      <c r="Q253" s="6">
        <f>HYPERLINK("https://map.naver.com/p/search/조치원읍 침산리 283-16", "지도Link")</f>
        <v/>
      </c>
      <c r="R253" s="6">
        <f>HYPERLINK("http://www.eum.go.kr/web/ar/lu/luLandDet.jsp?pnu=3611025028102830016&amp;isNoScr=script&amp;mode=search",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283.1</v>
      </c>
      <c r="V253" s="4" t="n">
        <v>281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평리 56-2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30</v>
      </c>
      <c r="I254" s="4" t="n">
        <v>39</v>
      </c>
      <c r="J254" s="4" t="n">
        <v>12</v>
      </c>
      <c r="K254" s="5" t="n">
        <v>2.5</v>
      </c>
      <c r="L254" s="4" t="n">
        <v>26</v>
      </c>
      <c r="M254" s="4" t="n">
        <v>8</v>
      </c>
      <c r="N254" s="5" t="n">
        <v>3.8</v>
      </c>
      <c r="O254" s="3" t="inlineStr">
        <is>
          <t>조치원터미널근방.엘리베이터있음.공동주차시설완비</t>
        </is>
      </c>
      <c r="P254" s="6">
        <f>HYPERLINK("https://fin.land.naver.com/articles/2651626263", "매물Link")</f>
        <v/>
      </c>
      <c r="Q254" s="6">
        <f>HYPERLINK("https://map.naver.com/p/search/조치원읍 평리 56-2", "지도Link")</f>
        <v/>
      </c>
      <c r="R254" s="6">
        <f>HYPERLINK("http://www.eum.go.kr/web/ar/lu/luLandDet.jsp?pnu=3611025023100560002&amp;isNoScr=script&amp;mode=search",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206.6</v>
      </c>
      <c r="V254" s="4" t="n">
        <v>575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조치원읍 평리 56-2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0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조치원역 도보거리</t>
        </is>
      </c>
      <c r="P255" s="6">
        <f>HYPERLINK("https://fin.land.naver.com/articles/2652856453", "매물Link")</f>
        <v/>
      </c>
      <c r="Q255" s="6">
        <f>HYPERLINK("https://map.naver.com/p/search/조치원읍 평리 56-2", "지도Link")</f>
        <v/>
      </c>
      <c r="R255" s="6">
        <f>HYPERLINK("http://www.eum.go.kr/web/ar/lu/luLandDet.jsp?pnu=3611025023100560002&amp;isNoScr=script&amp;mode=search",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206.6</v>
      </c>
      <c r="V255" s="4" t="n">
        <v>575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강추 보시면 감동입니다 몸만오세요   대지넓어요 연접지 내집땅처럼사용가능</t>
        </is>
      </c>
      <c r="P256" s="6">
        <f>HYPERLINK("https://fin.land.naver.com/articles/2651945106",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세종삼성래미안</t>
        </is>
      </c>
      <c r="T256" s="4" t="n">
        <v>3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HYPERLINK("https://fin.land.naver.com/articles/2651811636",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공원을 접한 단독주택, 여유로움을 누려보세요</t>
        </is>
      </c>
      <c r="P258" s="6">
        <f>HYPERLINK("https://fin.land.naver.com/articles/2652853639",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최무연</t>
        </is>
      </c>
      <c r="T258" s="4" t="n">
        <v>2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전용49.8p, 방3개 화장실2개, 사유지땅 사용가능</t>
        </is>
      </c>
      <c r="P259" s="6">
        <f>HYPERLINK("https://fin.land.naver.com/articles/2648834239",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1219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85000</v>
      </c>
      <c r="H261" s="4" t="n">
        <v>0</v>
      </c>
      <c r="I261" s="4" t="n">
        <v>394</v>
      </c>
      <c r="J261" s="4" t="n">
        <v>119</v>
      </c>
      <c r="K261" s="5" t="n">
        <v>714.3</v>
      </c>
      <c r="L261" s="4" t="n">
        <v>99</v>
      </c>
      <c r="M261" s="4" t="n">
        <v>30</v>
      </c>
      <c r="N261" s="5" t="n">
        <v>2833.3</v>
      </c>
      <c r="O261" s="3" t="inlineStr">
        <is>
          <t>급매 추가조율협의가능 단층 철근콘크리트 가성비 주택</t>
        </is>
      </c>
      <c r="P261" s="6">
        <f>HYPERLINK("https://fin.land.naver.com/articles/2649375331", "매물Link")</f>
        <v/>
      </c>
      <c r="Q261" s="6">
        <f>HYPERLINK("https://map.naver.com/p/search/한솔동 1219", "지도Link")</f>
        <v/>
      </c>
      <c r="R261" s="6">
        <f>HYPERLINK("http://www.eum.go.kr/web/ar/lu/luLandDet.jsp?pnu=3611010600112190000&amp;isNoScr=script&amp;mode=search", "토지이음")</f>
        <v/>
      </c>
      <c r="S261" s="3" t="inlineStr">
        <is>
          <t>세종스타</t>
        </is>
      </c>
      <c r="T261" s="4" t="n">
        <v>1</v>
      </c>
      <c r="U261" s="5" t="n">
        <v>373.6</v>
      </c>
      <c r="V261" s="4" t="n">
        <v>394.7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정원이 잘 가꾸어진 주택. 초,중, 고 도보권</t>
        </is>
      </c>
      <c r="P262" s="6">
        <f>HYPERLINK("https://fin.land.naver.com/articles/2649457945",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세종삼촌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867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95000</v>
      </c>
      <c r="H263" s="4" t="n">
        <v>0</v>
      </c>
      <c r="I263" s="4" t="n">
        <v>293</v>
      </c>
      <c r="J263" s="4" t="n">
        <v>89</v>
      </c>
      <c r="K263" s="5" t="n">
        <v>1067.4</v>
      </c>
      <c r="L263" s="4" t="n">
        <v>182</v>
      </c>
      <c r="M263" s="4" t="n">
        <v>55</v>
      </c>
      <c r="N263" s="5" t="n">
        <v>1727.3</v>
      </c>
      <c r="O263" s="3" t="inlineStr">
        <is>
          <t>막힘없이 좋아요 좋은 위치 brt 가까운 위치 입니다 방3, 화장실 2</t>
        </is>
      </c>
      <c r="P263" s="6">
        <f>HYPERLINK("https://fin.land.naver.com/articles/2651491871", "매물Link")</f>
        <v/>
      </c>
      <c r="Q263" s="6">
        <f>HYPERLINK("https://map.naver.com/p/search/한솔동 867", "지도Link")</f>
        <v/>
      </c>
      <c r="R263" s="6">
        <f>HYPERLINK("http://www.eum.go.kr/web/ar/lu/luLandDet.jsp?pnu=3611010600108670000&amp;isNoScr=script&amp;mode=search", "토지이음")</f>
        <v/>
      </c>
      <c r="S263" s="3" t="inlineStr">
        <is>
          <t>은성</t>
        </is>
      </c>
      <c r="T263" s="4" t="n">
        <v>1</v>
      </c>
      <c r="U263" s="5" t="n">
        <v>427.1</v>
      </c>
      <c r="V263" s="4" t="n">
        <v>293.3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공원옆 코너각지 남향 가격조절가 태양열 전기차충전기 정원에카페사용공간있음</t>
        </is>
      </c>
      <c r="P264" s="6">
        <f>HYPERLINK("https://fin.land.naver.com/articles/2649425303",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세종시해냄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997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130000</v>
      </c>
      <c r="H267" s="4" t="n">
        <v>0</v>
      </c>
      <c r="I267" s="4" t="n">
        <v>393</v>
      </c>
      <c r="J267" s="4" t="n">
        <v>119</v>
      </c>
      <c r="K267" s="5" t="n">
        <v>1092.4</v>
      </c>
      <c r="L267" s="4" t="n">
        <v>196</v>
      </c>
      <c r="M267" s="4" t="n">
        <v>59</v>
      </c>
      <c r="N267" s="5" t="n">
        <v>2203.4</v>
      </c>
      <c r="O267" s="3" t="inlineStr">
        <is>
          <t>급매 1년차 최신축 현대식 세련된 내부인테리어 방3개 욕실3개</t>
        </is>
      </c>
      <c r="P267" s="6">
        <f>HYPERLINK("https://fin.land.naver.com/articles/2652943099", "매물Link")</f>
        <v/>
      </c>
      <c r="Q267" s="6">
        <f>HYPERLINK("https://map.naver.com/p/search/한솔동 997", "지도Link")</f>
        <v/>
      </c>
      <c r="R267" s="6">
        <f>HYPERLINK("http://www.eum.go.kr/web/ar/lu/luLandDet.jsp?pnu=3611010600109970000&amp;isNoScr=script&amp;mode=search", "토지이음")</f>
        <v/>
      </c>
      <c r="S267" s="3" t="inlineStr">
        <is>
          <t>세종스타</t>
        </is>
      </c>
      <c r="T267" s="4" t="n">
        <v>1</v>
      </c>
      <c r="U267" s="5" t="n">
        <v>302.8</v>
      </c>
      <c r="V267" s="4" t="n">
        <v>393</v>
      </c>
      <c r="W267" s="3" t="inlineStr">
        <is>
          <t>지정되지않음</t>
        </is>
      </c>
      <c r="X267" s="3" t="inlineStr">
        <is>
          <t>주거나지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해밀동 665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전원주택</t>
        </is>
      </c>
      <c r="F268" s="3" t="inlineStr">
        <is>
          <t>월세</t>
        </is>
      </c>
      <c r="G268" s="4" t="n">
        <v>13000</v>
      </c>
      <c r="H268" s="4" t="n">
        <v>160</v>
      </c>
      <c r="I268" s="4" t="n">
        <v>34</v>
      </c>
      <c r="J268" s="4" t="n">
        <v>10</v>
      </c>
      <c r="K268" s="5" t="n">
        <v>16</v>
      </c>
      <c r="L268" s="4" t="n">
        <v>933</v>
      </c>
      <c r="M268" s="4" t="n">
        <v>282</v>
      </c>
      <c r="N268" s="5" t="n">
        <v>0.6</v>
      </c>
      <c r="O268" s="3" t="inlineStr">
        <is>
          <t>해밀동 라포르테 단독주택 월세</t>
        </is>
      </c>
      <c r="P268" s="6">
        <f>HYPERLINK("https://fin.land.naver.com/articles/2649244700", "매물Link")</f>
        <v/>
      </c>
      <c r="Q268" s="6">
        <f>HYPERLINK("https://map.naver.com/p/search/해밀동 665", "지도Link")</f>
        <v/>
      </c>
      <c r="R268" s="6">
        <f>HYPERLINK("http://www.eum.go.kr/web/ar/lu/luLandDet.jsp?pnu=3611011600106650000&amp;isNoScr=script&amp;mode=search", "토지이음")</f>
        <v/>
      </c>
      <c r="S268" s="3" t="inlineStr">
        <is>
          <t>태양</t>
        </is>
      </c>
      <c r="T268" s="4" t="n">
        <v>1</v>
      </c>
      <c r="U268" s="5" t="n">
        <v>215.1</v>
      </c>
      <c r="V268" s="4" t="n">
        <v>34519</v>
      </c>
      <c r="W268" s="3" t="inlineStr">
        <is>
          <t>지정되지않음</t>
        </is>
      </c>
      <c r="X268" s="3" t="inlineStr">
        <is>
          <t>연립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광대소각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HYPERLINK("https://fin.land.naver.com/articles/2651885054",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도시지역 근교위치한 토지.접근성편리.농사. 대토</t>
        </is>
      </c>
      <c r="L182" s="6">
        <f>HYPERLINK("https://fin.land.naver.com/articles/2653097754",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자연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사거리 코너 각지 위치, 입지 좋은 토지매매</t>
        </is>
      </c>
      <c r="L209" s="6">
        <f>HYPERLINK("https://fin.land.naver.com/articles/2651778717",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급매위치좋은코너자리고운동학교 상권 이용편리</t>
        </is>
      </c>
      <c r="L211" s="6">
        <f>HYPERLINK("https://fin.land.naver.com/articles/2652006650",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o택지추천o 두루고 가락초 인근. 남향. 네모 반듯.</t>
        </is>
      </c>
      <c r="L223" s="6">
        <f>HYPERLINK("https://fin.land.naver.com/articles/2652096465",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세종썬</t>
        </is>
      </c>
      <c r="P223" s="4" t="n">
        <v>3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HYPERLINK("https://fin.land.naver.com/articles/2653085815",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330</v>
      </c>
      <c r="H236" s="4" t="n">
        <v>100</v>
      </c>
      <c r="I236" s="5" t="n">
        <v>800</v>
      </c>
      <c r="J236" s="5" t="n">
        <v>383.8</v>
      </c>
      <c r="K236" s="3" t="inlineStr">
        <is>
          <t>코너각지, 실개천 주변으로 입지 좋은 토지매매</t>
        </is>
      </c>
      <c r="L236" s="6">
        <f>HYPERLINK("https://fin.land.naver.com/articles/2651778921",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329</v>
      </c>
      <c r="H237" s="4" t="n">
        <v>100</v>
      </c>
      <c r="I237" s="5" t="n">
        <v>800</v>
      </c>
      <c r="J237" s="5" t="n">
        <v>383.8</v>
      </c>
      <c r="K237" s="3" t="inlineStr">
        <is>
          <t>삼거리 코너, 토지매매, 실개천 인근</t>
        </is>
      </c>
      <c r="L237" s="6">
        <f>HYPERLINK("https://fin.land.naver.com/articles/2651948549",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106.3p, 실개천 앞, 공원인근</t>
        </is>
      </c>
      <c r="L241" s="6">
        <f>HYPERLINK("https://fin.land.naver.com/articles/2650427456",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급매 추가조율가능 넓은평수 뒤로보행로접</t>
        </is>
      </c>
      <c r="L249" s="6">
        <f>HYPERLINK("https://fin.land.naver.com/articles/2652418961",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99000</v>
      </c>
      <c r="G268" s="4" t="n">
        <v>361</v>
      </c>
      <c r="H268" s="4" t="n">
        <v>109</v>
      </c>
      <c r="I268" s="5" t="n">
        <v>908.3</v>
      </c>
      <c r="J268" s="5" t="n">
        <v>771.9</v>
      </c>
      <c r="K268" s="3" t="inlineStr">
        <is>
          <t>I 급매 I 먹자골목 메인 대로변 파격 급매 근생용지, 직접 지어서 운영</t>
        </is>
      </c>
      <c r="L268" s="6">
        <f>HYPERLINK("https://fin.land.naver.com/articles/2648523071",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361</v>
      </c>
      <c r="H269" s="4" t="n">
        <v>109</v>
      </c>
      <c r="I269" s="5" t="n">
        <v>1009.2</v>
      </c>
      <c r="J269" s="5" t="n">
        <v>771.9</v>
      </c>
      <c r="K269" s="3" t="inlineStr">
        <is>
          <t>대로변 근생부지 매매</t>
        </is>
      </c>
      <c r="L269" s="6">
        <f>HYPERLINK("https://fin.land.naver.com/articles/2651891397",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창고의여왕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총 119.9p, 상가인근토지, 삼거리 위치</t>
        </is>
      </c>
      <c r="L273" s="6">
        <f>HYPERLINK("https://fin.land.naver.com/articles/2652843053",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HYPERLINK("https://fin.land.naver.com/articles/2649564858",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HYPERLINK("https://fin.land.naver.com/articles/2651035209",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디아트성심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총 105.5p, 공원 앞, 위치좋은 토지</t>
        </is>
      </c>
      <c r="L288" s="6">
        <f>HYPERLINK("https://fin.land.naver.com/articles/2652842395",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HYPERLINK("https://fin.land.naver.com/articles/2648615800",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일반상업지 토지, 메디컬 및 상가빌딩 건축부지 추천</t>
        </is>
      </c>
      <c r="L323" s="6">
        <f>HYPERLINK("https://fin.land.naver.com/articles/2652799255",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혜성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HYPERLINK("https://fin.land.naver.com/articles/2652224485",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황금도장</t>
        </is>
      </c>
      <c r="P326" s="4" t="n">
        <v>4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HYPERLINK("https://fin.land.naver.com/articles/2648152800",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386</v>
      </c>
      <c r="H335" s="4" t="n">
        <v>117</v>
      </c>
      <c r="I335" s="5" t="n">
        <v>1025.6</v>
      </c>
      <c r="J335" s="5" t="n">
        <v>282.1</v>
      </c>
      <c r="K335" s="3" t="inlineStr">
        <is>
          <t>117.2p, 벙커주차장 가능한 단독토지, 고급타운하우스</t>
        </is>
      </c>
      <c r="L335" s="6">
        <f>HYPERLINK("https://fin.land.naver.com/articles/2650892488",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세종무지개</t>
        </is>
      </c>
      <c r="P335" s="4" t="n">
        <v>2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73000</v>
      </c>
      <c r="G345" s="4" t="n">
        <v>357</v>
      </c>
      <c r="H345" s="4" t="n">
        <v>108</v>
      </c>
      <c r="I345" s="5" t="n">
        <v>675.9</v>
      </c>
      <c r="J345" s="5" t="n">
        <v>357.7</v>
      </c>
      <c r="K345" s="3" t="inlineStr">
        <is>
          <t>총 108.3p, 고운동 노블테라스 타운하우스 토지매매</t>
        </is>
      </c>
      <c r="L345" s="6">
        <f>HYPERLINK("https://fin.land.naver.com/articles/2649020706",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108.3p, 노블테라스 토지매매, 분양가 이하</t>
        </is>
      </c>
      <c r="L346" s="6">
        <f>HYPERLINK("https://fin.land.naver.com/articles/2650890897",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HYPERLINK("https://fin.land.naver.com/articles/2652418949",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HYPERLINK("https://fin.land.naver.com/articles/2647424210",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코지빌 단독주택지, 도로지분 별도</t>
        </is>
      </c>
      <c r="L362" s="6">
        <f>HYPERLINK("https://fin.land.naver.com/articles/2647421619",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아파트 단지 바로 옆, 생활 인프라 좋은 토지매매</t>
        </is>
      </c>
      <c r="L384" s="6">
        <f>HYPERLINK("https://fin.land.naver.com/articles/2647421682",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지대높아 전망좋은 토지</t>
        </is>
      </c>
      <c r="L398" s="6">
        <f>HYPERLINK("https://fin.land.naver.com/articles/2649578017",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킹세종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HYPERLINK("https://fin.land.naver.com/articles/2647421229",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345</v>
      </c>
      <c r="H401" s="4" t="n">
        <v>104</v>
      </c>
      <c r="I401" s="5" t="n">
        <v>596.2</v>
      </c>
      <c r="J401" s="5" t="n">
        <v>329.9</v>
      </c>
      <c r="K401" s="3" t="inlineStr">
        <is>
          <t>입지 좋은 고운동 토지매매, 코너 각지 위치</t>
        </is>
      </c>
      <c r="L401" s="6">
        <f>HYPERLINK("https://fin.land.naver.com/articles/2651905795",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삼거리 코너 각지, 입지 좋은 토지매매</t>
        </is>
      </c>
      <c r="L402" s="6">
        <f>HYPERLINK("https://fin.land.naver.com/articles/2651188999",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1223</v>
      </c>
      <c r="H414" s="4" t="n">
        <v>370</v>
      </c>
      <c r="I414" s="5" t="n">
        <v>129.7</v>
      </c>
      <c r="J414" s="5" t="n">
        <v>46.8</v>
      </c>
      <c r="K414" s="3" t="inlineStr">
        <is>
          <t>자연녹지, 가마리 경지좋고 공기 좋아요, 주말농장으로 강추입니다.</t>
        </is>
      </c>
      <c r="L414" s="6">
        <f>HYPERLINK("https://fin.land.naver.com/articles/2649282375",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1219</v>
      </c>
      <c r="H415" s="4" t="n">
        <v>369</v>
      </c>
      <c r="I415" s="5" t="n">
        <v>130.1</v>
      </c>
      <c r="J415" s="5" t="n">
        <v>46.8</v>
      </c>
      <c r="K415" s="3" t="inlineStr">
        <is>
          <t>가마리 토지매매 경치 좋아요 주말농장 원하시는 분 추천</t>
        </is>
      </c>
      <c r="L415" s="6">
        <f>HYPERLINK("https://fin.land.naver.com/articles/2649177273",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힐데스하임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130000</v>
      </c>
      <c r="G449" s="4" t="n">
        <v>1237</v>
      </c>
      <c r="H449" s="4" t="n">
        <v>374</v>
      </c>
      <c r="I449" s="5" t="n">
        <v>347.6</v>
      </c>
      <c r="J449" s="5" t="n">
        <v>31.6</v>
      </c>
      <c r="K449" s="3" t="inlineStr">
        <is>
          <t>가시성 뛰어난 토지. 4차선 도로접</t>
        </is>
      </c>
      <c r="L449" s="6">
        <f>HYPERLINK("https://fin.land.naver.com/articles/2648191261",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터</t>
        </is>
      </c>
      <c r="P449" s="4" t="n">
        <v>2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131000</v>
      </c>
      <c r="G450" s="4" t="n">
        <v>1237</v>
      </c>
      <c r="H450" s="4" t="n">
        <v>374</v>
      </c>
      <c r="I450" s="5" t="n">
        <v>350.3</v>
      </c>
      <c r="J450" s="5" t="n">
        <v>31.6</v>
      </c>
      <c r="K450" s="3" t="inlineStr">
        <is>
          <t>대도로변 위치했어요. 다용도 건축가능. 절충가능해요.</t>
        </is>
      </c>
      <c r="L450" s="6">
        <f>HYPERLINK("https://fin.land.naver.com/articles/2649503128",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하니힐데스</t>
        </is>
      </c>
      <c r="P450" s="4" t="n">
        <v>1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남이면 가좌리 4차선 대로 접한 토지 음식점, 카페 등 근생 추천</t>
        </is>
      </c>
      <c r="L451" s="6">
        <f>HYPERLINK("https://fin.land.naver.com/articles/2649260760",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로앤홈즈</t>
        </is>
      </c>
      <c r="P451" s="4" t="n">
        <v>3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공장용지</t>
        </is>
      </c>
      <c r="E462" s="3" t="inlineStr">
        <is>
          <t>매매</t>
        </is>
      </c>
      <c r="F462" s="4" t="n">
        <v>544000</v>
      </c>
      <c r="G462" s="4" t="n">
        <v>11240</v>
      </c>
      <c r="H462" s="4" t="n">
        <v>3400</v>
      </c>
      <c r="I462" s="5" t="n">
        <v>160</v>
      </c>
      <c r="J462" s="5" t="n">
        <v>21.5</v>
      </c>
      <c r="K462" s="3" t="inlineStr">
        <is>
          <t>공장 인허가 완료된 토지매매</t>
        </is>
      </c>
      <c r="L462" s="6">
        <f>HYPERLINK("https://fin.land.naver.com/articles/2652774322",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금화랜드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nan</t>
        </is>
      </c>
      <c r="L464" s="6">
        <f>HYPERLINK("https://fin.land.naver.com/articles/2652237520",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김창수</t>
        </is>
      </c>
      <c r="P464" s="4" t="n">
        <v>3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51000</v>
      </c>
      <c r="G465" s="4" t="n">
        <v>5058</v>
      </c>
      <c r="H465" s="4" t="n">
        <v>1530</v>
      </c>
      <c r="I465" s="5" t="n">
        <v>33.3</v>
      </c>
      <c r="J465" s="5" t="n">
        <v>13.1</v>
      </c>
      <c r="K465" s="3" t="inlineStr">
        <is>
          <t>nan</t>
        </is>
      </c>
      <c r="L465" s="6">
        <f>HYPERLINK("https://fin.land.naver.com/articles/2650538806",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세종큰길</t>
        </is>
      </c>
      <c r="P465" s="4" t="n">
        <v>1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74500</v>
      </c>
      <c r="G480" s="4" t="n">
        <v>41068</v>
      </c>
      <c r="H480" s="4" t="n">
        <v>12423</v>
      </c>
      <c r="I480" s="5" t="n">
        <v>6</v>
      </c>
      <c r="J480" s="5" t="n">
        <v>2.6</v>
      </c>
      <c r="K480" s="3" t="inlineStr">
        <is>
          <t>지목  임야     전</t>
        </is>
      </c>
      <c r="L480" s="6">
        <f>HYPERLINK("https://fin.land.naver.com/articles/2648314378",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50000</v>
      </c>
      <c r="G484" s="4" t="n">
        <v>1667</v>
      </c>
      <c r="H484" s="4" t="n">
        <v>504</v>
      </c>
      <c r="I484" s="5" t="n">
        <v>99.2</v>
      </c>
      <c r="J484" s="5" t="n">
        <v>17.8</v>
      </c>
      <c r="K484" s="3" t="inlineStr">
        <is>
          <t>급매,추천,도로접함,위치좋음</t>
        </is>
      </c>
      <c r="L484" s="6">
        <f>HYPERLINK("https://fin.land.naver.com/articles/2651876026",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가경아이파크5단지일타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1665</v>
      </c>
      <c r="H485" s="4" t="n">
        <v>504</v>
      </c>
      <c r="I485" s="5" t="n">
        <v>75.40000000000001</v>
      </c>
      <c r="J485" s="5" t="n">
        <v>17.8</v>
      </c>
      <c r="K485" s="3" t="inlineStr">
        <is>
          <t>2차선도로접,석곡사거리에서2km로 5분거리,토목공사완료</t>
        </is>
      </c>
      <c r="L485" s="6">
        <f>HYPERLINK("https://fin.land.naver.com/articles/2647784396",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GS자이</t>
        </is>
      </c>
      <c r="P485" s="4" t="n">
        <v>1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220000</v>
      </c>
      <c r="G492" s="4" t="n">
        <v>2062</v>
      </c>
      <c r="H492" s="4" t="n">
        <v>624</v>
      </c>
      <c r="I492" s="5" t="n">
        <v>352.6</v>
      </c>
      <c r="J492" s="5" t="n">
        <v>86</v>
      </c>
      <c r="K492" s="3" t="inlineStr">
        <is>
          <t>nan</t>
        </is>
      </c>
      <c r="L492" s="6">
        <f>HYPERLINK("https://fin.land.naver.com/articles/2651957545",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청주 합동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1528</v>
      </c>
      <c r="H513" s="4" t="n">
        <v>462</v>
      </c>
      <c r="I513" s="5" t="n">
        <v>54.1</v>
      </c>
      <c r="J513" s="5" t="n">
        <v>29.7</v>
      </c>
      <c r="K513" s="3" t="inlineStr">
        <is>
          <t>문동리 토목공사 완료된 전원주택지 매매, 1종근생가능</t>
        </is>
      </c>
      <c r="L513" s="6">
        <f>HYPERLINK("https://fin.land.naver.com/articles/2647589340",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원탑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55000</v>
      </c>
      <c r="G540" s="4" t="n">
        <v>2603</v>
      </c>
      <c r="H540" s="4" t="n">
        <v>787</v>
      </c>
      <c r="I540" s="5" t="n">
        <v>69.90000000000001</v>
      </c>
      <c r="J540" s="5" t="n">
        <v>16.7</v>
      </c>
      <c r="K540" s="3" t="inlineStr">
        <is>
          <t>남이면 상발리에 위치한 도로 접한 토지 매매</t>
        </is>
      </c>
      <c r="L540" s="6">
        <f>HYPERLINK("https://fin.land.naver.com/articles/2651110651",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대지</t>
        </is>
      </c>
      <c r="P540" s="4" t="n">
        <v>6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2차선 도로 접, 2종근생허가득, 접근성 좋고 교통편리,</t>
        </is>
      </c>
      <c r="L557" s="6">
        <f>HYPERLINK("https://fin.land.naver.com/articles/2649235597",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진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2차도로변, 2종근생허가득,부지정리해놓음</t>
        </is>
      </c>
      <c r="L558" s="6">
        <f>HYPERLINK("https://fin.land.naver.com/articles/2648332247",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만땅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73000</v>
      </c>
      <c r="G571" s="4" t="n">
        <v>2014</v>
      </c>
      <c r="H571" s="4" t="n">
        <v>609</v>
      </c>
      <c r="I571" s="5" t="n">
        <v>119.9</v>
      </c>
      <c r="J571" s="5" t="n">
        <v>49.9</v>
      </c>
      <c r="K571" s="3" t="inlineStr">
        <is>
          <t>대로변인근,진입로확보,주변시세보다 전렴한가격,물류창고,차고지추천</t>
        </is>
      </c>
      <c r="L571" s="6">
        <f>HYPERLINK("https://fin.land.naver.com/articles/2647853642",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지웰부자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535</v>
      </c>
      <c r="H649" s="4" t="n">
        <v>162</v>
      </c>
      <c r="I649" s="5" t="n">
        <v>419.8</v>
      </c>
      <c r="J649" s="5" t="n">
        <v>278</v>
      </c>
      <c r="K649" s="3" t="inlineStr">
        <is>
          <t>162.1p, 평단가 낮은 다정동 급매 토지</t>
        </is>
      </c>
      <c r="L649" s="6">
        <f>HYPERLINK("https://fin.land.naver.com/articles/2649006160",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643</v>
      </c>
      <c r="H650" s="4" t="n">
        <v>195</v>
      </c>
      <c r="I650" s="5" t="n">
        <v>348.7</v>
      </c>
      <c r="J650" s="5" t="n">
        <v>278</v>
      </c>
      <c r="K650" s="3" t="inlineStr">
        <is>
          <t>급매매 큰땅입니다</t>
        </is>
      </c>
      <c r="L650" s="6">
        <f>HYPERLINK("https://fin.land.naver.com/articles/2648362434",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킹세종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조용한 단독주택지, 정남향</t>
        </is>
      </c>
      <c r="L651" s="6">
        <f>HYPERLINK("https://fin.land.naver.com/articles/2652842480",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급매 정남향 넓은 시유지접함 조율가능</t>
        </is>
      </c>
      <c r="L652" s="6">
        <f>HYPERLINK("https://fin.land.naver.com/articles/2652136487",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세종스타</t>
        </is>
      </c>
      <c r="P652" s="4" t="n">
        <v>2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가격좋은 조용한 위치 토지매매</t>
        </is>
      </c>
      <c r="L653" s="6">
        <f>HYPERLINK("https://fin.land.naver.com/articles/2648902119",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HYPERLINK("https://fin.land.naver.com/articles/2647425898",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69700</v>
      </c>
      <c r="G668" s="4" t="n">
        <v>279</v>
      </c>
      <c r="H668" s="4" t="n">
        <v>84</v>
      </c>
      <c r="I668" s="5" t="n">
        <v>829.8</v>
      </c>
      <c r="J668" s="5" t="n">
        <v>304.6</v>
      </c>
      <c r="K668" s="3" t="inlineStr">
        <is>
          <t>다정동 접근성 좋은 주택지 매매</t>
        </is>
      </c>
      <c r="L668" s="6">
        <f>HYPERLINK("https://fin.land.naver.com/articles/2652651256",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태양</t>
        </is>
      </c>
      <c r="P668" s="4" t="n">
        <v>2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49000</v>
      </c>
      <c r="G683" s="4" t="n">
        <v>315</v>
      </c>
      <c r="H683" s="4" t="n">
        <v>95</v>
      </c>
      <c r="I683" s="5" t="n">
        <v>515.8</v>
      </c>
      <c r="J683" s="5" t="n">
        <v>318.9</v>
      </c>
      <c r="K683" s="3" t="inlineStr">
        <is>
          <t>급매 조율가능 조용한 선호하는 안쪽위치</t>
        </is>
      </c>
      <c r="L683" s="6">
        <f>HYPERLINK("https://fin.land.naver.com/articles/2652419011",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세종스타</t>
        </is>
      </c>
      <c r="P683" s="4" t="n">
        <v>2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HYPERLINK("https://fin.land.naver.com/articles/2652841282",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53000</v>
      </c>
      <c r="G687" s="4" t="n">
        <v>374</v>
      </c>
      <c r="H687" s="4" t="n">
        <v>113</v>
      </c>
      <c r="I687" s="5" t="n">
        <v>469</v>
      </c>
      <c r="J687" s="5" t="n">
        <v>353.7</v>
      </c>
      <c r="K687" s="3" t="inlineStr">
        <is>
          <t>급매로 추가 조율이 가능한 다정동 택지 급매물입니다.</t>
        </is>
      </c>
      <c r="L687" s="6">
        <f>HYPERLINK("https://fin.land.naver.com/articles/2650944049",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스마일세종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HYPERLINK("https://fin.land.naver.com/articles/2647428982",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말발굽모양 택지 중 가장 조용하고 남향으로 집을 지을수 있는 대지</t>
        </is>
      </c>
      <c r="L703" s="6">
        <f>HYPERLINK("https://fin.land.naver.com/articles/2653002631",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스마일세종</t>
        </is>
      </c>
      <c r="P703" s="4" t="n">
        <v>3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총 92.1p, 말발굽 최고입지, 넓은 공원 인근</t>
        </is>
      </c>
      <c r="L705" s="6">
        <f>HYPERLINK("https://fin.land.naver.com/articles/2647421924",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335</v>
      </c>
      <c r="H707" s="4" t="n">
        <v>101</v>
      </c>
      <c r="I707" s="5" t="n">
        <v>920.8</v>
      </c>
      <c r="J707" s="5" t="n">
        <v>358.3</v>
      </c>
      <c r="K707" s="3" t="inlineStr">
        <is>
          <t>조율가능한 말발굽 위치 좋은 토지 매매, 코너각지</t>
        </is>
      </c>
      <c r="L707" s="6">
        <f>HYPERLINK("https://fin.land.naver.com/articles/2650427728",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337</v>
      </c>
      <c r="H708" s="4" t="n">
        <v>102</v>
      </c>
      <c r="I708" s="5" t="n">
        <v>911.8</v>
      </c>
      <c r="J708" s="5" t="n">
        <v>358.3</v>
      </c>
      <c r="K708" s="3" t="inlineStr">
        <is>
          <t>102.1p, 코너자리, 말발굽 좋은위치, 조율가능</t>
        </is>
      </c>
      <c r="L708" s="6">
        <f>HYPERLINK("https://fin.land.naver.com/articles/2648898954",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급매 양지초인근 땅모양좋음 공원용지 접함</t>
        </is>
      </c>
      <c r="L709" s="6">
        <f>HYPERLINK("https://fin.land.naver.com/articles/2649479469",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세종스타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330</v>
      </c>
      <c r="H711" s="4" t="n">
        <v>100</v>
      </c>
      <c r="I711" s="5" t="n">
        <v>800</v>
      </c>
      <c r="J711" s="5" t="n">
        <v>366.9</v>
      </c>
      <c r="K711" s="3" t="inlineStr">
        <is>
          <t>양지초 양지유치원 정문 건너편 최선호 위치 주변시세보다 저렴 추천매물</t>
        </is>
      </c>
      <c r="L711" s="6">
        <f>HYPERLINK("https://fin.land.naver.com/articles/2649479494",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유.초등학교 인근, 사거리 코너자리</t>
        </is>
      </c>
      <c r="L714" s="6">
        <f>HYPERLINK("https://fin.land.naver.com/articles/2648839579",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 총 116p, 대형토지, 도담동 말발굽토지, 조율가능</t>
        </is>
      </c>
      <c r="L715" s="6">
        <f>HYPERLINK("https://fin.land.naver.com/articles/2651944411",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급매,도담동 말발굽택지 116P 코너,조율가능</t>
        </is>
      </c>
      <c r="L717" s="6">
        <f>HYPERLINK("https://fin.land.naver.com/articles/2652729660",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광장</t>
        </is>
      </c>
      <c r="P717" s="4" t="n">
        <v>3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산조망 코너각지 정남향 입지최상</t>
        </is>
      </c>
      <c r="L727" s="6">
        <f>HYPERLINK("https://fin.land.naver.com/articles/2649479678",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도담동 입지 좋은 단독주택지, 조율가능</t>
        </is>
      </c>
      <c r="L728" s="6">
        <f>HYPERLINK("https://fin.land.naver.com/articles/2648297361",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도담동 근린생활용지</t>
        </is>
      </c>
      <c r="L730" s="6">
        <f>HYPERLINK("https://fin.land.naver.com/articles/2653002307",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OK세종 사무소</t>
        </is>
      </c>
      <c r="P730" s="4" t="n">
        <v>2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도담동근생용지 주변입지좋아요. 가격조정가능</t>
        </is>
      </c>
      <c r="L731" s="6">
        <f>HYPERLINK("https://fin.land.naver.com/articles/2650454199",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고운동리치세종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 입지우수한 근생 용지 부지, 매매의사 확실,가격조율가능</t>
        </is>
      </c>
      <c r="L733" s="6">
        <f>HYPERLINK("https://fin.land.naver.com/articles/2647797836",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짱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도담동 생활권 입지 좋은 단독주택지 매매</t>
        </is>
      </c>
      <c r="L742" s="6">
        <f>HYPERLINK("https://fin.land.naver.com/articles/2647429882",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사거리 코너, 생활권 좋은 위치 단독주택지</t>
        </is>
      </c>
      <c r="L743" s="6">
        <f>HYPERLINK("https://fin.land.naver.com/articles/2647425170",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코너 유치원 홈플러스 늘봄초인근 조율가능</t>
        </is>
      </c>
      <c r="L744" s="6">
        <f>HYPERLINK("https://fin.land.naver.com/articles/2649812078",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90000</v>
      </c>
      <c r="G750" s="4" t="n">
        <v>315</v>
      </c>
      <c r="H750" s="4" t="n">
        <v>95</v>
      </c>
      <c r="I750" s="5" t="n">
        <v>947.4</v>
      </c>
      <c r="J750" s="5" t="n">
        <v>391.1</v>
      </c>
      <c r="K750" s="3" t="inlineStr">
        <is>
          <t>도담동 위치 좋은 단독주택, 홈플러스 인근</t>
        </is>
      </c>
      <c r="L750" s="6">
        <f>HYPERLINK("https://fin.land.naver.com/articles/2650892389",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반곡동 토지매매, 대형평형</t>
        </is>
      </c>
      <c r="L759" s="6">
        <f>HYPERLINK("https://fin.land.naver.com/articles/2649001111",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공원 앞, 사거리 코너 각지 위치, 입지 좋은 토지</t>
        </is>
      </c>
      <c r="L761" s="6">
        <f>HYPERLINK("https://fin.land.naver.com/articles/2647427000",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HYPERLINK("https://fin.land.naver.com/articles/2647421791",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급매 코너각지 132p 추가조율가능</t>
        </is>
      </c>
      <c r="L764" s="6">
        <f>HYPERLINK("https://fin.land.naver.com/articles/2649805637",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nan</t>
        </is>
      </c>
      <c r="L769" s="6">
        <f>HYPERLINK("https://fin.land.naver.com/articles/2651653557",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국제</t>
        </is>
      </c>
      <c r="P769" s="4" t="n">
        <v>2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산접한곳 숲유치원 초등학교 인근</t>
        </is>
      </c>
      <c r="L776" s="6">
        <f>HYPERLINK("https://fin.land.naver.com/articles/2649626129",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실개천옆 벙커주차장 설계가능 적극조율 협의가능</t>
        </is>
      </c>
      <c r="L780" s="6">
        <f>HYPERLINK("https://fin.land.naver.com/articles/2649625471",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조율가능, 벙커주차장가능, 반곡동 토지매매</t>
        </is>
      </c>
      <c r="L781" s="6">
        <f>HYPERLINK("https://fin.land.naver.com/articles/2648987702",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</v>
      </c>
      <c r="G814" s="4" t="n">
        <v>1263</v>
      </c>
      <c r="H814" s="4" t="n">
        <v>382</v>
      </c>
      <c r="I814" s="5" t="n">
        <v>65.40000000000001</v>
      </c>
      <c r="J814" s="5" t="n">
        <v>5.2</v>
      </c>
      <c r="K814" s="3" t="inlineStr">
        <is>
          <t>즉시 신축 가능 매매 급매물 상.하수도 전기 기반공사 완료돼있고 건축허가</t>
        </is>
      </c>
      <c r="L814" s="6">
        <f>HYPERLINK("https://fin.land.naver.com/articles/2648082259",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세종시삼성래미안</t>
        </is>
      </c>
      <c r="P814" s="4" t="n">
        <v>1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2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계획관리자연취락 대지 및 기존주택, 산단세종오송 접근 우수</t>
        </is>
      </c>
      <c r="L830" s="6">
        <f>HYPERLINK("https://fin.land.naver.com/articles/2650898603",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세종소담황금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남청주IC 자동차로 약17분거리10km</t>
        </is>
      </c>
      <c r="L831" s="6">
        <f>HYPERLINK("https://fin.land.naver.com/articles/2648088822",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지장고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71930</v>
      </c>
      <c r="G840" s="4" t="n">
        <v>3963</v>
      </c>
      <c r="H840" s="4" t="n">
        <v>1199</v>
      </c>
      <c r="I840" s="5" t="n">
        <v>60</v>
      </c>
      <c r="J840" s="5" t="n">
        <v>25.8</v>
      </c>
      <c r="K840" s="3" t="inlineStr">
        <is>
          <t>매포역 인근 금강 변, 국도 인접 생산관리지역, 개발호재 많은 투자 물건</t>
        </is>
      </c>
      <c r="L840" s="6">
        <f>HYPERLINK("https://fin.land.naver.com/articles/2650180451",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오송3산단  사무소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 노호리 도로접한 토지매매.</t>
        </is>
      </c>
      <c r="L841" s="6">
        <f>HYPERLINK("https://fin.land.naver.com/articles/2647631268",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방서에이스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32000</v>
      </c>
      <c r="G857" s="4" t="n">
        <v>966</v>
      </c>
      <c r="H857" s="4" t="n">
        <v>292</v>
      </c>
      <c r="I857" s="5" t="n">
        <v>109.6</v>
      </c>
      <c r="J857" s="5" t="n">
        <v>36.1</v>
      </c>
      <c r="K857" s="3" t="inlineStr">
        <is>
          <t>부강면 문곡리 2차선 도로옆 토지, 세레니티cc 진입로, 건축가능</t>
        </is>
      </c>
      <c r="L857" s="6">
        <f>HYPERLINK("https://fin.land.naver.com/articles/2647851904",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30000</v>
      </c>
      <c r="G858" s="4" t="n">
        <v>966</v>
      </c>
      <c r="H858" s="4" t="n">
        <v>292</v>
      </c>
      <c r="I858" s="5" t="n">
        <v>102.7</v>
      </c>
      <c r="J858" s="5" t="n">
        <v>36.1</v>
      </c>
      <c r="K858" s="3" t="inlineStr">
        <is>
          <t>계획관리지역 주목</t>
        </is>
      </c>
      <c r="L858" s="6">
        <f>HYPERLINK("https://fin.land.naver.com/articles/2649735022",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세종몽땅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1815</v>
      </c>
      <c r="H869" s="4" t="n">
        <v>549</v>
      </c>
      <c r="I869" s="5" t="n">
        <v>91.09999999999999</v>
      </c>
      <c r="J869" s="5" t="n">
        <v>25.9</v>
      </c>
      <c r="K869" s="3" t="inlineStr">
        <is>
          <t>계획관리지역,  세종에서 10분이내거리</t>
        </is>
      </c>
      <c r="L869" s="6">
        <f>HYPERLINK("https://fin.land.naver.com/articles/2649059214",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이담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주택허가축사경작지 일괄, 축산승계귀농농장 추천</t>
        </is>
      </c>
      <c r="L906" s="6">
        <f>HYPERLINK("https://fin.land.naver.com/articles/2649836388",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세종소담황금</t>
        </is>
      </c>
      <c r="P906" s="4" t="n">
        <v>1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세종시 부강면 주택, 축사·부속시설, 전 사통팔달 교통,계획관리알짜 급매</t>
        </is>
      </c>
      <c r="L907" s="6">
        <f>HYPERLINK("https://fin.land.naver.com/articles/2650006026",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</t>
        </is>
      </c>
      <c r="P907" s="4" t="n">
        <v>2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147600</v>
      </c>
      <c r="G908" s="4" t="n">
        <v>5421</v>
      </c>
      <c r="H908" s="4" t="n">
        <v>1640</v>
      </c>
      <c r="I908" s="5" t="n">
        <v>90</v>
      </c>
      <c r="J908" s="5" t="n">
        <v>33.6</v>
      </c>
      <c r="K908" s="3" t="inlineStr">
        <is>
          <t>투자유망 세종관내 목장, 주택등 매매</t>
        </is>
      </c>
      <c r="L908" s="6">
        <f>HYPERLINK("https://fin.land.naver.com/articles/2648634114",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대하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100000</v>
      </c>
      <c r="G909" s="4" t="n">
        <v>5429</v>
      </c>
      <c r="H909" s="4" t="n">
        <v>1642</v>
      </c>
      <c r="I909" s="5" t="n">
        <v>60.9</v>
      </c>
      <c r="J909" s="5" t="n">
        <v>33.6</v>
      </c>
      <c r="K909" s="3" t="inlineStr">
        <is>
          <t>세종시 부강면 목장용지, 단독주택, 전으로 구성된 4필지 통매매가 10억</t>
        </is>
      </c>
      <c r="L909" s="6">
        <f>HYPERLINK("https://fin.land.naver.com/articles/2650228512",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5프로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대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 대지 전 매매</t>
        </is>
      </c>
      <c r="L914" s="6">
        <f>HYPERLINK("https://fin.land.naver.com/articles/2652837621",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진성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계획관리지역으로 전과 대로 이뤄진 2필지 급매</t>
        </is>
      </c>
      <c r="L915" s="6">
        <f>HYPERLINK("https://fin.land.naver.com/articles/2652535526",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세종대장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52000</v>
      </c>
      <c r="G922" s="4" t="n">
        <v>1725</v>
      </c>
      <c r="H922" s="4" t="n">
        <v>522</v>
      </c>
      <c r="I922" s="5" t="n">
        <v>99.59999999999999</v>
      </c>
      <c r="J922" s="5" t="n">
        <v>24.8</v>
      </c>
      <c r="K922" s="3" t="inlineStr">
        <is>
          <t>계획관리지역의 과수원으로 전기 및 인터넷, 상수도 배수시설이 완비된 토지</t>
        </is>
      </c>
      <c r="L922" s="6">
        <f>HYPERLINK("https://fin.land.naver.com/articles/2649861654",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스마일세종</t>
        </is>
      </c>
      <c r="P922" s="4" t="n">
        <v>2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HYPERLINK("https://fin.land.naver.com/articles/2649493659",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129600</v>
      </c>
      <c r="G933" s="4" t="n">
        <v>7791</v>
      </c>
      <c r="H933" s="4" t="n">
        <v>2357</v>
      </c>
      <c r="I933" s="5" t="n">
        <v>55</v>
      </c>
      <c r="J933" s="5" t="n">
        <v>18.3</v>
      </c>
      <c r="K933" s="3" t="inlineStr">
        <is>
          <t>행산리 농림지역 대토 농지 논 답</t>
        </is>
      </c>
      <c r="L933" s="6">
        <f>HYPERLINK("https://fin.land.naver.com/articles/2651396542",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로데오상가</t>
        </is>
      </c>
      <c r="P933" s="4" t="n">
        <v>2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141000</v>
      </c>
      <c r="G934" s="4" t="n">
        <v>7790</v>
      </c>
      <c r="H934" s="4" t="n">
        <v>2356</v>
      </c>
      <c r="I934" s="5" t="n">
        <v>59.8</v>
      </c>
      <c r="J934" s="5" t="n">
        <v>18.3</v>
      </c>
      <c r="K934" s="3" t="inlineStr">
        <is>
          <t>2차선 도로 인접 토지 매매</t>
        </is>
      </c>
      <c r="L934" s="6">
        <f>HYPERLINK("https://fin.land.naver.com/articles/2653135877",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주식회사넥서스</t>
        </is>
      </c>
      <c r="P934" s="4" t="n">
        <v>4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총 100.5p, 위치좋은 아름동 단독주택지 토지</t>
        </is>
      </c>
      <c r="L940" s="6">
        <f>HYPERLINK("https://fin.land.naver.com/articles/2649022307",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전용100.5p, 국제고인근, 아름동 단독주택지</t>
        </is>
      </c>
      <c r="L941" s="6">
        <f>HYPERLINK("https://fin.land.naver.com/articles/2652837740",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총 108.9p, 사거리코너 위치좋은 입지</t>
        </is>
      </c>
      <c r="L945" s="6">
        <f>HYPERLINK("https://fin.land.naver.com/articles/2647422006",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108.9p, 사거리 코너자리, 아름동 최고입지</t>
        </is>
      </c>
      <c r="L946" s="6">
        <f>HYPERLINK("https://fin.land.naver.com/articles/2648835394",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97.6p, 충대병원 인근 토지 급매, 조율도가능</t>
        </is>
      </c>
      <c r="L951" s="6">
        <f>HYPERLINK("https://fin.land.naver.com/articles/2647420786",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급매 추가조율가능 입지좋은 충대병원인근</t>
        </is>
      </c>
      <c r="L952" s="6">
        <f>HYPERLINK("https://fin.land.naver.com/articles/2651133638",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산조망 조용한위치 18만평 근린공원접함 지대높음</t>
        </is>
      </c>
      <c r="L955" s="6">
        <f>HYPERLINK("https://fin.land.naver.com/articles/2652917974",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공원인근, 조용한 단독주택 토지</t>
        </is>
      </c>
      <c r="L956" s="6">
        <f>HYPERLINK("https://fin.land.naver.com/articles/2652115592",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대로변 코너 노출 좋은 입지좋은 근생 토지 매매</t>
        </is>
      </c>
      <c r="L958" s="6">
        <f>HYPERLINK("https://fin.land.naver.com/articles/2651943193",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 인접한 아름동 근생용지, 약국위치로 좋아요</t>
        </is>
      </c>
      <c r="L960" s="6">
        <f>HYPERLINK("https://fin.land.naver.com/articles/2650939008",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아름동 대로변 근생용지, 96.1p</t>
        </is>
      </c>
      <c r="L963" s="6">
        <f>HYPERLINK("https://fin.land.naver.com/articles/2652839304",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사거리 코너입지 최고, 조율도 가능</t>
        </is>
      </c>
      <c r="L965" s="6">
        <f>HYPERLINK("https://fin.land.naver.com/articles/2648832400",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급매 남향 코너각지 조율가능 옆필지 연접매매가능</t>
        </is>
      </c>
      <c r="L967" s="6">
        <f>HYPERLINK("https://fin.land.naver.com/articles/2649375248",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세종스타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아름동학원가, 상권이용편리로얄택지, 금액조율가능, 추천매매</t>
        </is>
      </c>
      <c r="L974" s="6">
        <f>HYPERLINK("https://fin.land.naver.com/articles/2653093272",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한방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아름동 학교 가까운 주택지</t>
        </is>
      </c>
      <c r="L976" s="6">
        <f>HYPERLINK("https://fin.land.naver.com/articles/2653003576",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OK세종 사무소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조율가능 학원가최인접 땅모양 건축하기 좋음</t>
        </is>
      </c>
      <c r="L980" s="6">
        <f>HYPERLINK("https://fin.land.naver.com/articles/2652682812",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세종스타</t>
        </is>
      </c>
      <c r="P980" s="4" t="n">
        <v>4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총 103.7p, 아름동 삼거리 코너, 아파트 단지 근처</t>
        </is>
      </c>
      <c r="L982" s="6">
        <f>HYPERLINK("https://fin.land.naver.com/articles/2652842249",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363</v>
      </c>
      <c r="H985" s="4" t="n">
        <v>110</v>
      </c>
      <c r="I985" s="5" t="n">
        <v>545.5</v>
      </c>
      <c r="J985" s="5" t="n">
        <v>338.2</v>
      </c>
      <c r="K985" s="3" t="inlineStr">
        <is>
          <t>아름동 단독주택 토지매매, 위치 좋은 자리</t>
        </is>
      </c>
      <c r="L985" s="6">
        <f>HYPERLINK("https://fin.land.naver.com/articles/2649577908",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학교, 편의시설, 정부청사 가까워 생활편리, 보행도로접 코너각지</t>
        </is>
      </c>
      <c r="L986" s="6">
        <f>HYPERLINK("https://fin.land.naver.com/articles/2649697166",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온뜰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HYPERLINK("https://fin.land.naver.com/articles/2648138484",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영무예다음아파트 앞에 위치,하루종일 햇볕 받을수 있는 곳,주택지</t>
        </is>
      </c>
      <c r="L988" s="6">
        <f>HYPERLINK("https://fin.land.naver.com/articles/2648233324",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세종지원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총 91p, 삼거리코너, 아파트 단지 밑</t>
        </is>
      </c>
      <c r="L990" s="6">
        <f>HYPERLINK("https://fin.land.naver.com/articles/2652838634",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아파트와 중심상권지역에 위치함</t>
        </is>
      </c>
      <c r="L992" s="6">
        <f>HYPERLINK("https://fin.land.naver.com/articles/2653068274",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장수</t>
        </is>
      </c>
      <c r="P992" s="4" t="n">
        <v>13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급매 아름동학원가, 상권이용편리로얄택지, 금액조율가능, 추천매매</t>
        </is>
      </c>
      <c r="L993" s="6">
        <f>HYPERLINK("https://fin.land.naver.com/articles/2650559948",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한방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아름동 최상의 택지,학군,상권,충남대병원 생활권 편리,밀마루전망대  인근</t>
        </is>
      </c>
      <c r="L996" s="6">
        <f>HYPERLINK("https://fin.land.naver.com/articles/2647931377",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고운맘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코너각지 홈플러스인근 아름동학원가 인접 조율가능</t>
        </is>
      </c>
      <c r="L997" s="6">
        <f>HYPERLINK("https://fin.land.naver.com/articles/2648615417",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세종스타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총 96.7p, 12단지 맞은편 위치좋은 단독주택지</t>
        </is>
      </c>
      <c r="L1002" s="6">
        <f>HYPERLINK("https://fin.land.naver.com/articles/2651908937",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국제고 인근, 충대병원 가까운 아름동 단독주택 토지매매</t>
        </is>
      </c>
      <c r="L1006" s="6">
        <f>HYPERLINK("https://fin.land.naver.com/articles/2652839214",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아름동 국제고 인근, 입지좋은 단독주택 토지매매</t>
        </is>
      </c>
      <c r="L1007" s="6">
        <f>HYPERLINK("https://fin.land.naver.com/articles/2648188007",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삼거리 코너, 아름동 입지 좋은 단독주택지</t>
        </is>
      </c>
      <c r="L1021" s="6">
        <f>HYPERLINK("https://fin.land.naver.com/articles/2647424901",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좋은매물 단독주택등추천 협의</t>
        </is>
      </c>
      <c r="L1022" s="6">
        <f>HYPERLINK("https://fin.land.naver.com/articles/2652055256",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세석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HYPERLINK("https://fin.land.naver.com/articles/2652837454",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사거리 코너 입지, 가격 최대 조율가능</t>
        </is>
      </c>
      <c r="L1028" s="6">
        <f>HYPERLINK("https://fin.land.naver.com/articles/2647421860",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330</v>
      </c>
      <c r="H1033" s="4" t="n">
        <v>100</v>
      </c>
      <c r="I1033" s="5" t="n">
        <v>360</v>
      </c>
      <c r="J1033" s="5" t="n">
        <v>106.7</v>
      </c>
      <c r="K1033" s="3" t="inlineStr">
        <is>
          <t>세종 내판리 토지 매매.지목 대지구단위계획구역</t>
        </is>
      </c>
      <c r="L1033" s="6">
        <f>HYPERLINK("https://fin.land.naver.com/articles/2648747196",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세종몽땅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207000</v>
      </c>
      <c r="G1041" s="4" t="n">
        <v>5683</v>
      </c>
      <c r="H1041" s="4" t="n">
        <v>1719</v>
      </c>
      <c r="I1041" s="5" t="n">
        <v>120.4</v>
      </c>
      <c r="J1041" s="5" t="n">
        <v>41.8</v>
      </c>
      <c r="K1041" s="3" t="inlineStr">
        <is>
          <t>계획관리지역 건축부지 시세이하가격</t>
        </is>
      </c>
      <c r="L1041" s="6">
        <f>HYPERLINK("https://fin.land.naver.com/articles/2650899167",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(주)경진컨설팅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210000</v>
      </c>
      <c r="G1042" s="4" t="n">
        <v>5683</v>
      </c>
      <c r="H1042" s="4" t="n">
        <v>1719</v>
      </c>
      <c r="I1042" s="5" t="n">
        <v>122.2</v>
      </c>
      <c r="J1042" s="5" t="n">
        <v>41.8</v>
      </c>
      <c r="K1042" s="3" t="inlineStr">
        <is>
          <t>시세보다 저렴한  최상의 위치로  계획관리 토지로 용도다양</t>
        </is>
      </c>
      <c r="L1042" s="6">
        <f>HYPERLINK("https://fin.land.naver.com/articles/2651026655",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220000</v>
      </c>
      <c r="G1043" s="4" t="n">
        <v>5683</v>
      </c>
      <c r="H1043" s="4" t="n">
        <v>1719</v>
      </c>
      <c r="I1043" s="5" t="n">
        <v>128</v>
      </c>
      <c r="J1043" s="5" t="n">
        <v>41.8</v>
      </c>
      <c r="K1043" s="3" t="inlineStr">
        <is>
          <t>급매 시세보다 저렴한 토지 추천매물입니다</t>
        </is>
      </c>
      <c r="L1043" s="6">
        <f>HYPERLINK("https://fin.land.naver.com/articles/2649005969",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165000</v>
      </c>
      <c r="G1072" s="4" t="n">
        <v>991</v>
      </c>
      <c r="H1072" s="4" t="n">
        <v>300</v>
      </c>
      <c r="I1072" s="5" t="n">
        <v>550</v>
      </c>
      <c r="J1072" s="5" t="n">
        <v>25.1</v>
      </c>
      <c r="K1072" s="3" t="inlineStr">
        <is>
          <t>2차선 도로접한 금강이 보이는 지대 높은 토지</t>
        </is>
      </c>
      <c r="L1072" s="6">
        <f>HYPERLINK("https://fin.land.naver.com/articles/2652333436",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담뜰</t>
        </is>
      </c>
      <c r="P1072" s="4" t="n">
        <v>4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3m 도로접한 계획관리</t>
        </is>
      </c>
      <c r="L1126" s="6">
        <f>HYPERLINK("https://fin.land.naver.com/articles/2651242045",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세종땅사랑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행정중심복합도시 동측에 위치한 농지</t>
        </is>
      </c>
      <c r="L1127" s="6">
        <f>HYPERLINK("https://fin.land.naver.com/articles/2651237783",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세종토박이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답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주변시세대비 저렴한 토지, 공장, 창고, 기타 환영.</t>
        </is>
      </c>
      <c r="L1133" s="6">
        <f>HYPERLINK("https://fin.land.naver.com/articles/2651776616",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대박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1.2차선 도로에서 바로진입 2.남청주IC 7KM소요시간 10분이내</t>
        </is>
      </c>
      <c r="L1134" s="6">
        <f>HYPERLINK("https://fin.land.naver.com/articles/2650176467",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연동스카이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21000</v>
      </c>
      <c r="G1172" s="4" t="n">
        <v>2010</v>
      </c>
      <c r="H1172" s="4" t="n">
        <v>608</v>
      </c>
      <c r="I1172" s="5" t="n">
        <v>34.5</v>
      </c>
      <c r="J1172" s="5" t="n">
        <v>22</v>
      </c>
      <c r="K1172" s="3" t="inlineStr">
        <is>
          <t>투자용, 주말 농장용으로 추천 합니다</t>
        </is>
      </c>
      <c r="L1172" s="6">
        <f>HYPERLINK("https://fin.land.naver.com/articles/2650856617",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24000</v>
      </c>
      <c r="G1173" s="4" t="n">
        <v>2010</v>
      </c>
      <c r="H1173" s="4" t="n">
        <v>608</v>
      </c>
      <c r="I1173" s="5" t="n">
        <v>39.5</v>
      </c>
      <c r="J1173" s="5" t="n">
        <v>22</v>
      </c>
      <c r="K1173" s="3" t="inlineStr">
        <is>
          <t>대토용 및 주말농장</t>
        </is>
      </c>
      <c r="L1173" s="6">
        <f>HYPERLINK("https://fin.land.naver.com/articles/2652095031",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지호주식회사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급매물 마을앞 코너각지 도로접한 대지와 전매매</t>
        </is>
      </c>
      <c r="L1203" s="6">
        <f>HYPERLINK("https://fin.land.naver.com/articles/2650172378",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제이파크</t>
        </is>
      </c>
      <c r="P1203" s="4" t="n">
        <v>3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도로접 국가산단 인근으로 투자와 실사용을 동시에 만족</t>
        </is>
      </c>
      <c r="L1204" s="6">
        <f>HYPERLINK("https://fin.land.naver.com/articles/2652765583",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가치잇는</t>
        </is>
      </c>
      <c r="P1204" s="4" t="n">
        <v>8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nan</t>
        </is>
      </c>
      <c r="L1205" s="6">
        <f>HYPERLINK("https://fin.land.naver.com/articles/2652331421",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세종금밭</t>
        </is>
      </c>
      <c r="P1205" s="4" t="n">
        <v>4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급매매 계획관리 도로접 건축가능 세종 연서 기룡리</t>
        </is>
      </c>
      <c r="L1206" s="6">
        <f>HYPERLINK("https://fin.land.naver.com/articles/2649923225",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명장</t>
        </is>
      </c>
      <c r="P1206" s="4" t="n">
        <v>1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1143</v>
      </c>
      <c r="H1242" s="4" t="n">
        <v>346</v>
      </c>
      <c r="I1242" s="5" t="n">
        <v>398.8</v>
      </c>
      <c r="J1242" s="5" t="n">
        <v>55.8</v>
      </c>
      <c r="K1242" s="3" t="inlineStr">
        <is>
          <t>조율가능 국가산단인근 귀한 계획관리 매물</t>
        </is>
      </c>
      <c r="L1242" s="6">
        <f>HYPERLINK("https://fin.land.naver.com/articles/2648979075",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1022</v>
      </c>
      <c r="H1243" s="4" t="n">
        <v>309</v>
      </c>
      <c r="I1243" s="5" t="n">
        <v>446.6</v>
      </c>
      <c r="J1243" s="5" t="n">
        <v>55.8</v>
      </c>
      <c r="K1243" s="3" t="inlineStr">
        <is>
          <t>계획관리 전</t>
        </is>
      </c>
      <c r="L1243" s="6">
        <f>HYPERLINK("https://fin.land.naver.com/articles/2649731129",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세종몽땅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도로변 성장관리구역 과수원</t>
        </is>
      </c>
      <c r="L1246" s="6">
        <f>HYPERLINK("https://fin.land.naver.com/articles/2650613233",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도로접한 과수원 매매</t>
        </is>
      </c>
      <c r="L1247" s="6">
        <f>HYPERLINK("https://fin.land.naver.com/articles/2653195485",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80400</v>
      </c>
      <c r="G1249" s="4" t="n">
        <v>2045</v>
      </c>
      <c r="H1249" s="4" t="n">
        <v>619</v>
      </c>
      <c r="I1249" s="5" t="n">
        <v>129.9</v>
      </c>
      <c r="J1249" s="5" t="n">
        <v>27.3</v>
      </c>
      <c r="K1249" s="3" t="inlineStr">
        <is>
          <t>본 토지는 2차선 도로에 접하여 연서면의 광활한 평지에 개발가능성이 높음</t>
        </is>
      </c>
      <c r="L1249" s="6">
        <f>HYPERLINK("https://fin.land.naver.com/articles/2652983578",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온누리</t>
        </is>
      </c>
      <c r="P1249" s="4" t="n">
        <v>3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200000</v>
      </c>
      <c r="G1251" s="4" t="n">
        <v>5090</v>
      </c>
      <c r="H1251" s="4" t="n">
        <v>1540</v>
      </c>
      <c r="I1251" s="5" t="n">
        <v>129.9</v>
      </c>
      <c r="J1251" s="5" t="n">
        <v>27.3</v>
      </c>
      <c r="K1251" s="3" t="inlineStr">
        <is>
          <t>2차선도로접, 개발호재가 강한지역 투자가치최고</t>
        </is>
      </c>
      <c r="L1251" s="6">
        <f>HYPERLINK("https://fin.land.naver.com/articles/2651043984",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원내</t>
        </is>
      </c>
      <c r="P1251" s="4" t="n">
        <v>2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119000</v>
      </c>
      <c r="G1252" s="4" t="n">
        <v>3045</v>
      </c>
      <c r="H1252" s="4" t="n">
        <v>921</v>
      </c>
      <c r="I1252" s="5" t="n">
        <v>129.2</v>
      </c>
      <c r="J1252" s="5" t="n">
        <v>27.3</v>
      </c>
      <c r="K1252" s="3" t="inlineStr">
        <is>
          <t>연서면 성제리 2차선 도로에 접한 투자용 답, 2필지 합해서 매매도 가능</t>
        </is>
      </c>
      <c r="L1252" s="6">
        <f>HYPERLINK("https://fin.land.naver.com/articles/2651454310",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스마일세종</t>
        </is>
      </c>
      <c r="P1252" s="4" t="n">
        <v>3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93000</v>
      </c>
      <c r="G1253" s="4" t="n">
        <v>2045</v>
      </c>
      <c r="H1253" s="4" t="n">
        <v>619</v>
      </c>
      <c r="I1253" s="5" t="n">
        <v>150.2</v>
      </c>
      <c r="J1253" s="5" t="n">
        <v>27.3</v>
      </c>
      <c r="K1253" s="3" t="inlineStr">
        <is>
          <t>2차선 도로변 토지 매매</t>
        </is>
      </c>
      <c r="L1253" s="6">
        <f>HYPERLINK("https://fin.land.naver.com/articles/2653137602",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주식회사넥서스</t>
        </is>
      </c>
      <c r="P1253" s="4" t="n">
        <v>2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10000</v>
      </c>
      <c r="G1259" s="4" t="n">
        <v>330</v>
      </c>
      <c r="H1259" s="4" t="n">
        <v>100</v>
      </c>
      <c r="I1259" s="5" t="n">
        <v>100</v>
      </c>
      <c r="J1259" s="5" t="n">
        <v>39.5</v>
      </c>
      <c r="K1259" s="3" t="inlineStr">
        <is>
          <t>nan</t>
        </is>
      </c>
      <c r="L1259" s="6">
        <f>HYPERLINK("https://fin.land.naver.com/articles/2651153583",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19000</v>
      </c>
      <c r="G1260" s="4" t="n">
        <v>730</v>
      </c>
      <c r="H1260" s="4" t="n">
        <v>221</v>
      </c>
      <c r="I1260" s="5" t="n">
        <v>86</v>
      </c>
      <c r="J1260" s="5" t="n">
        <v>39.5</v>
      </c>
      <c r="K1260" s="3" t="inlineStr">
        <is>
          <t>분할매도,실수요와 투자를 동시에.미래가치 충분</t>
        </is>
      </c>
      <c r="L1260" s="6">
        <f>HYPERLINK("https://fin.land.naver.com/articles/2650336389",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가치잇는</t>
        </is>
      </c>
      <c r="P1260" s="4" t="n">
        <v>2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77300</v>
      </c>
      <c r="G1261" s="4" t="n">
        <v>3194</v>
      </c>
      <c r="H1261" s="4" t="n">
        <v>966</v>
      </c>
      <c r="I1261" s="5" t="n">
        <v>80</v>
      </c>
      <c r="J1261" s="5" t="n">
        <v>74.8</v>
      </c>
      <c r="K1261" s="3" t="inlineStr">
        <is>
          <t>행정복지센터 인근 자연녹지 저렴한 토지</t>
        </is>
      </c>
      <c r="L1261" s="6">
        <f>HYPERLINK("https://fin.land.naver.com/articles/2652098500",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96000</v>
      </c>
      <c r="G1262" s="4" t="n">
        <v>3193</v>
      </c>
      <c r="H1262" s="4" t="n">
        <v>966</v>
      </c>
      <c r="I1262" s="5" t="n">
        <v>99.40000000000001</v>
      </c>
      <c r="J1262" s="5" t="n">
        <v>74.8</v>
      </c>
      <c r="K1262" s="3" t="inlineStr">
        <is>
          <t>연서면행정복지센타 인근토지</t>
        </is>
      </c>
      <c r="L1262" s="6">
        <f>HYPERLINK("https://fin.land.naver.com/articles/2648029985",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THE행복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82250</v>
      </c>
      <c r="G1265" s="4" t="n">
        <v>1087</v>
      </c>
      <c r="H1265" s="4" t="n">
        <v>329</v>
      </c>
      <c r="I1265" s="5" t="n">
        <v>250</v>
      </c>
      <c r="J1265" s="5" t="n">
        <v>65.90000000000001</v>
      </c>
      <c r="K1265" s="3" t="inlineStr">
        <is>
          <t>집짓기 좋은 정방형 토지 매매</t>
        </is>
      </c>
      <c r="L1265" s="6">
        <f>HYPERLINK("https://fin.land.naver.com/articles/2653195395",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29700</v>
      </c>
      <c r="G1285" s="4" t="n">
        <v>678</v>
      </c>
      <c r="H1285" s="4" t="n">
        <v>205</v>
      </c>
      <c r="I1285" s="5" t="n">
        <v>144.9</v>
      </c>
      <c r="J1285" s="5" t="n">
        <v>66.59999999999999</v>
      </c>
      <c r="K1285" s="3" t="inlineStr">
        <is>
          <t>고복저수지인근 전원주택 단지 교통편리</t>
        </is>
      </c>
      <c r="L1285" s="6">
        <f>HYPERLINK("https://fin.land.naver.com/articles/2648855823",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30000</v>
      </c>
      <c r="G1286" s="4" t="n">
        <v>720</v>
      </c>
      <c r="H1286" s="4" t="n">
        <v>218</v>
      </c>
      <c r="I1286" s="5" t="n">
        <v>137.6</v>
      </c>
      <c r="J1286" s="5" t="n">
        <v>66.59999999999999</v>
      </c>
      <c r="K1286" s="3" t="inlineStr">
        <is>
          <t>고복저수지근처 지목대지 건축 허가 가능.</t>
        </is>
      </c>
      <c r="L1286" s="6">
        <f>HYPERLINK("https://fin.land.naver.com/articles/2650858228",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413</v>
      </c>
      <c r="H1309" s="4" t="n">
        <v>125</v>
      </c>
      <c r="I1309" s="5" t="n">
        <v>128</v>
      </c>
      <c r="J1309" s="5" t="n">
        <v>31.2</v>
      </c>
      <c r="K1309" s="3" t="inlineStr">
        <is>
          <t>체류형쉼터강추,도로접,국유지사용가,도로지분33제곱별도면적포함가</t>
        </is>
      </c>
      <c r="L1309" s="6">
        <f>HYPERLINK("https://fin.land.naver.com/articles/2648103313",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힐스테이트행복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하천, 도로접, 포도농원</t>
        </is>
      </c>
      <c r="L1330" s="6">
        <f>HYPERLINK("https://fin.land.naver.com/articles/2650024525",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삼보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70200</v>
      </c>
      <c r="G1331" s="4" t="n">
        <v>2340</v>
      </c>
      <c r="H1331" s="4" t="n">
        <v>708</v>
      </c>
      <c r="I1331" s="5" t="n">
        <v>99.2</v>
      </c>
      <c r="J1331" s="5" t="n">
        <v>29.4</v>
      </c>
      <c r="K1331" s="3" t="inlineStr">
        <is>
          <t>연서면 쌍류리 2차선변 과수원 매매</t>
        </is>
      </c>
      <c r="L1331" s="6">
        <f>HYPERLINK("https://fin.land.naver.com/articles/2650946339",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길운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17000</v>
      </c>
      <c r="G1350" s="4" t="n">
        <v>522</v>
      </c>
      <c r="H1350" s="4" t="n">
        <v>158</v>
      </c>
      <c r="I1350" s="5" t="n">
        <v>107.6</v>
      </c>
      <c r="J1350" s="5" t="n">
        <v>32.8</v>
      </c>
      <c r="K1350" s="3" t="inlineStr">
        <is>
          <t>쌍류리 2차선길게 접한 코너각지 위치좋고 저렴한 토지</t>
        </is>
      </c>
      <c r="L1350" s="6">
        <f>HYPERLINK("https://fin.land.naver.com/articles/2651241272",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세종땅사랑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16300</v>
      </c>
      <c r="G1351" s="4" t="n">
        <v>522</v>
      </c>
      <c r="H1351" s="4" t="n">
        <v>158</v>
      </c>
      <c r="I1351" s="5" t="n">
        <v>103.2</v>
      </c>
      <c r="J1351" s="5" t="n">
        <v>32.8</v>
      </c>
      <c r="K1351" s="3" t="inlineStr">
        <is>
          <t>2차선 도로변의 접근성 좋은 급매 토지</t>
        </is>
      </c>
      <c r="L1351" s="6">
        <f>HYPERLINK("https://fin.land.naver.com/articles/2648746836",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용궁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26560</v>
      </c>
      <c r="G1353" s="4" t="n">
        <v>477</v>
      </c>
      <c r="H1353" s="4" t="n">
        <v>144</v>
      </c>
      <c r="I1353" s="5" t="n">
        <v>184.4</v>
      </c>
      <c r="J1353" s="5" t="n">
        <v>30.2</v>
      </c>
      <c r="K1353" s="3" t="inlineStr">
        <is>
          <t>nan</t>
        </is>
      </c>
      <c r="L1353" s="6">
        <f>HYPERLINK("https://fin.land.naver.com/articles/2650436505",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세종소담114</t>
        </is>
      </c>
      <c r="P1353" s="4" t="n">
        <v>1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39200</v>
      </c>
      <c r="G1356" s="4" t="n">
        <v>518</v>
      </c>
      <c r="H1356" s="4" t="n">
        <v>157</v>
      </c>
      <c r="I1356" s="5" t="n">
        <v>249.7</v>
      </c>
      <c r="J1356" s="5" t="n">
        <v>66.90000000000001</v>
      </c>
      <c r="K1356" s="3" t="inlineStr">
        <is>
          <t>전원주택단지 최고의 입지  단지조성완료  협의가능  연기군아파트공급호재</t>
        </is>
      </c>
      <c r="L1356" s="6">
        <f>HYPERLINK("https://fin.land.naver.com/articles/2647888422",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연세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HYPERLINK("https://fin.land.naver.com/articles/2648102972",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2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양면6미터도로접,북세종IC예정지앞,현재 복숭아 농사중,성토완료,</t>
        </is>
      </c>
      <c r="L1375" s="6">
        <f>HYPERLINK("https://fin.land.naver.com/articles/2651993946",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담뜰</t>
        </is>
      </c>
      <c r="P1375" s="4" t="n">
        <v>8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개방감 좋고 저렴하게 나온 토지</t>
        </is>
      </c>
      <c r="L1426" s="6">
        <f>HYPERLINK("https://fin.land.naver.com/articles/2651956754",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용궁</t>
        </is>
      </c>
      <c r="P1426" s="4" t="n">
        <v>2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조치원역인근, 주말농장으로 좋아요</t>
        </is>
      </c>
      <c r="L1427" s="6">
        <f>HYPERLINK("https://fin.land.naver.com/articles/2653051509",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세종강남</t>
        </is>
      </c>
      <c r="P1427" s="4" t="n">
        <v>4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위치 좋은 넓은 토지.연락주세요</t>
        </is>
      </c>
      <c r="L1438" s="6">
        <f>HYPERLINK("https://fin.land.naver.com/articles/2648522838",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수자인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세종 연서면 월하리 톨게이트예정지인근 시내인근 개발지 도로접 조정가능</t>
        </is>
      </c>
      <c r="L1439" s="6">
        <f>HYPERLINK("https://fin.land.naver.com/articles/2650823939",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MK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고복저수지5분거리 국산인근수혜지</t>
        </is>
      </c>
      <c r="L1456" s="6">
        <f>HYPERLINK("https://fin.land.naver.com/articles/2652904321",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오송원</t>
        </is>
      </c>
      <c r="P1456" s="4" t="n">
        <v>1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포장도로 접한 세종 북부권 전원주택 검토형 토지</t>
        </is>
      </c>
      <c r="L1457" s="6">
        <f>HYPERLINK("https://fin.land.naver.com/articles/2649753980",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4미터포장도로접.청라2리복지회관인근.국가산단수혜지.고복저수지5분거리</t>
        </is>
      </c>
      <c r="L1458" s="6">
        <f>HYPERLINK("https://fin.land.naver.com/articles/2651977919",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돈방석</t>
        </is>
      </c>
      <c r="P1458" s="4" t="n">
        <v>8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l청년l 세종시 투자가치 있는 토지 입니다.</t>
        </is>
      </c>
      <c r="L1459" s="6">
        <f>HYPERLINK("https://fin.land.naver.com/articles/2652676790",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청년사사무소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풍수지리 최고위치 국가산단 배후지 급매물</t>
        </is>
      </c>
      <c r="L1460" s="6">
        <f>HYPERLINK("https://fin.land.naver.com/articles/2650378739",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THE행복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6750</v>
      </c>
      <c r="G1474" s="4" t="n">
        <v>1402</v>
      </c>
      <c r="H1474" s="4" t="n">
        <v>424</v>
      </c>
      <c r="I1474" s="5" t="n">
        <v>15.9</v>
      </c>
      <c r="J1474" s="5" t="n">
        <v>10.8</v>
      </c>
      <c r="K1474" s="3" t="inlineStr">
        <is>
          <t>구거 접해 있지만 맹지입니다.</t>
        </is>
      </c>
      <c r="L1474" s="6">
        <f>HYPERLINK("https://fin.land.naver.com/articles/2652005290",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세종땅사랑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전</t>
        </is>
      </c>
      <c r="E1475" s="3" t="inlineStr">
        <is>
          <t>매매</t>
        </is>
      </c>
      <c r="F1475" s="4" t="n">
        <v>12700</v>
      </c>
      <c r="G1475" s="4" t="n">
        <v>1402</v>
      </c>
      <c r="H1475" s="4" t="n">
        <v>424</v>
      </c>
      <c r="I1475" s="5" t="n">
        <v>30</v>
      </c>
      <c r="J1475" s="5" t="n">
        <v>10.8</v>
      </c>
      <c r="K1475" s="3" t="inlineStr">
        <is>
          <t>절충가능하고 대토용으로 추천드림니다</t>
        </is>
      </c>
      <c r="L1475" s="6">
        <f>HYPERLINK("https://fin.land.naver.com/articles/2649224599",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HYPERLINK("https://fin.land.naver.com/articles/2648088525",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HYPERLINK("https://fin.land.naver.com/articles/2648087819",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85000</v>
      </c>
      <c r="G1492" s="4" t="n">
        <v>573</v>
      </c>
      <c r="H1492" s="4" t="n">
        <v>173</v>
      </c>
      <c r="I1492" s="5" t="n">
        <v>491.3</v>
      </c>
      <c r="J1492" s="5" t="n">
        <v>161.2</v>
      </c>
      <c r="K1492" s="3" t="inlineStr">
        <is>
          <t>오송역에서 가까운 궁평리에 위치한 토지임</t>
        </is>
      </c>
      <c r="L1492" s="6">
        <f>HYPERLINK("https://fin.land.naver.com/articles/2652419897",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산성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80000</v>
      </c>
      <c r="G1493" s="4" t="n">
        <v>573</v>
      </c>
      <c r="H1493" s="4" t="n">
        <v>173</v>
      </c>
      <c r="I1493" s="5" t="n">
        <v>462.4</v>
      </c>
      <c r="J1493" s="5" t="n">
        <v>161.2</v>
      </c>
      <c r="K1493" s="3" t="inlineStr">
        <is>
          <t>173땅 오송역세권 미래투자가치우수한 토지</t>
        </is>
      </c>
      <c r="L1493" s="6">
        <f>HYPERLINK("https://fin.land.naver.com/articles/2648360295",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매가 조정하여 매2.6억원 오송 산단주변 농림지역 매매</t>
        </is>
      </c>
      <c r="L1544" s="6">
        <f>HYPERLINK("https://fin.land.naver.com/articles/2651395740",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HYPERLINK("https://fin.land.naver.com/articles/2653143304",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nan</t>
        </is>
      </c>
      <c r="L1606" s="6">
        <f>HYPERLINK("https://fin.land.naver.com/articles/2651794517",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바른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외1필지 호텔이나 오피스텔로 투자 적합</t>
        </is>
      </c>
      <c r="L1607" s="6">
        <f>HYPERLINK("https://fin.land.naver.com/articles/2650139636",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옥산하늘채 주식회사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166000</v>
      </c>
      <c r="G1626" s="4" t="n">
        <v>548</v>
      </c>
      <c r="H1626" s="4" t="n">
        <v>166</v>
      </c>
      <c r="I1626" s="5" t="n">
        <v>1000</v>
      </c>
      <c r="J1626" s="5" t="n">
        <v>347.1</v>
      </c>
      <c r="K1626" s="3" t="inlineStr">
        <is>
          <t>오송 2산단 지원시설용지  아파트 인접한 대로변 토지 근생 건물등 가능</t>
        </is>
      </c>
      <c r="L1626" s="6">
        <f>HYPERLINK("https://fin.land.naver.com/articles/2652625205",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더원</t>
        </is>
      </c>
      <c r="P1626" s="4" t="n">
        <v>3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150000</v>
      </c>
      <c r="G1627" s="4" t="n">
        <v>548</v>
      </c>
      <c r="H1627" s="4" t="n">
        <v>166</v>
      </c>
      <c r="I1627" s="5" t="n">
        <v>903.6</v>
      </c>
      <c r="J1627" s="5" t="n">
        <v>347.1</v>
      </c>
      <c r="K1627" s="3" t="inlineStr">
        <is>
          <t>오송 정중리 상가 신축 가능한 투자용지</t>
        </is>
      </c>
      <c r="L1627" s="6">
        <f>HYPERLINK("https://fin.land.naver.com/articles/2647850811",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성진</t>
        </is>
      </c>
      <c r="P1627" s="4" t="n">
        <v>1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218000</v>
      </c>
      <c r="G1628" s="4" t="n">
        <v>1143</v>
      </c>
      <c r="H1628" s="4" t="n">
        <v>346</v>
      </c>
      <c r="I1628" s="5" t="n">
        <v>630.1</v>
      </c>
      <c r="J1628" s="5" t="n">
        <v>407.6</v>
      </c>
      <c r="K1628" s="3" t="inlineStr">
        <is>
          <t>코너땅,현재나대지,지원시설용지</t>
        </is>
      </c>
      <c r="L1628" s="6">
        <f>HYPERLINK("https://fin.land.naver.com/articles/2653153996",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오송올래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380000</v>
      </c>
      <c r="G1629" s="4" t="n">
        <v>1143</v>
      </c>
      <c r="H1629" s="4" t="n">
        <v>346</v>
      </c>
      <c r="I1629" s="5" t="n">
        <v>1098.3</v>
      </c>
      <c r="J1629" s="5" t="n">
        <v>407.6</v>
      </c>
      <c r="K1629" s="3" t="inlineStr">
        <is>
          <t>산업단지 시작 코너 자리, 아파트 세대 배후.</t>
        </is>
      </c>
      <c r="L1629" s="6">
        <f>HYPERLINK("https://fin.land.naver.com/articles/2652526004",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대한민국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4차선 메인 코너토지 대단지아파트들을 끼고있음</t>
        </is>
      </c>
      <c r="L1630" s="6">
        <f>HYPERLINK("https://fin.land.naver.com/articles/2652380240",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조은</t>
        </is>
      </c>
      <c r="P1630" s="4" t="n">
        <v>1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오송2산단 지원시설용지 삼면각지 토지 건폐율70 용적률400 6층이하</t>
        </is>
      </c>
      <c r="L1631" s="6">
        <f>HYPERLINK("https://fin.land.naver.com/articles/2652468960",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365</t>
        </is>
      </c>
      <c r="P1631" s="4" t="n">
        <v>2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105000</v>
      </c>
      <c r="G1634" s="4" t="n">
        <v>590</v>
      </c>
      <c r="H1634" s="4" t="n">
        <v>178</v>
      </c>
      <c r="I1634" s="5" t="n">
        <v>589.9</v>
      </c>
      <c r="J1634" s="5" t="n">
        <v>256.4</v>
      </c>
      <c r="K1634" s="3" t="inlineStr">
        <is>
          <t>오송2산단 준공업지역 급매 대단지아파트 및 공장지역</t>
        </is>
      </c>
      <c r="L1634" s="6">
        <f>HYPERLINK("https://fin.land.naver.com/articles/2651795106",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더원</t>
        </is>
      </c>
      <c r="P1634" s="4" t="n">
        <v>7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125000</v>
      </c>
      <c r="G1636" s="4" t="n">
        <v>590</v>
      </c>
      <c r="H1636" s="4" t="n">
        <v>178</v>
      </c>
      <c r="I1636" s="5" t="n">
        <v>702.2</v>
      </c>
      <c r="J1636" s="5" t="n">
        <v>256.4</v>
      </c>
      <c r="K1636" s="3" t="inlineStr">
        <is>
          <t>지원시설용지 매매</t>
        </is>
      </c>
      <c r="L1636" s="6">
        <f>HYPERLINK("https://fin.land.naver.com/articles/2652685303",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대한민국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nan</t>
        </is>
      </c>
      <c r="L1637" s="6">
        <f>HYPERLINK("https://fin.land.naver.com/articles/2651733349",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동행사무소</t>
        </is>
      </c>
      <c r="P1637" s="4" t="n">
        <v>1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180000</v>
      </c>
      <c r="G1662" s="4" t="n">
        <v>15025</v>
      </c>
      <c r="H1662" s="4" t="n">
        <v>4545</v>
      </c>
      <c r="I1662" s="5" t="n">
        <v>39.6</v>
      </c>
      <c r="J1662" s="5" t="n">
        <v>59.8</v>
      </c>
      <c r="K1662" s="3" t="inlineStr">
        <is>
          <t>도로접근선 우수 여러용도 활용가능</t>
        </is>
      </c>
      <c r="L1662" s="6">
        <f>HYPERLINK("https://fin.land.naver.com/articles/2650788390",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신두정리치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186000</v>
      </c>
      <c r="G1663" s="4" t="n">
        <v>15410</v>
      </c>
      <c r="H1663" s="4" t="n">
        <v>4662</v>
      </c>
      <c r="I1663" s="5" t="n">
        <v>39.9</v>
      </c>
      <c r="J1663" s="5" t="n">
        <v>59.8</v>
      </c>
      <c r="K1663" s="3" t="inlineStr">
        <is>
          <t>급매, 번암리 산업시설,공장다수,향후 활용가능성 높은토지</t>
        </is>
      </c>
      <c r="L1663" s="6">
        <f>HYPERLINK("https://fin.land.naver.com/articles/2651070894",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다옴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375000</v>
      </c>
      <c r="G1676" s="4" t="n">
        <v>828</v>
      </c>
      <c r="H1676" s="4" t="n">
        <v>250</v>
      </c>
      <c r="I1676" s="5" t="n">
        <v>1500</v>
      </c>
      <c r="J1676" s="5" t="n">
        <v>274.4</v>
      </c>
      <c r="K1676" s="3" t="inlineStr">
        <is>
          <t>준주거 대지</t>
        </is>
      </c>
      <c r="L1676" s="6">
        <f>HYPERLINK("https://fin.land.naver.com/articles/2649750743",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세종몽땅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450000</v>
      </c>
      <c r="G1677" s="4" t="n">
        <v>828</v>
      </c>
      <c r="H1677" s="4" t="n">
        <v>250</v>
      </c>
      <c r="I1677" s="5" t="n">
        <v>1800</v>
      </c>
      <c r="J1677" s="5" t="n">
        <v>274.4</v>
      </c>
      <c r="K1677" s="3" t="inlineStr">
        <is>
          <t>조치원 서북부지구 아파트 앞 중심상권 토지</t>
        </is>
      </c>
      <c r="L1677" s="6">
        <f>HYPERLINK("https://fin.land.naver.com/articles/2650856619",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세종대박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상리 일반상업지역 매매 대지 입니다</t>
        </is>
      </c>
      <c r="L1680" s="6">
        <f>HYPERLINK("https://fin.land.naver.com/articles/2653068453",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상희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조치원 버스터미널 인접 도로접 일반상업지역 9억대 나대지</t>
        </is>
      </c>
      <c r="L1682" s="6">
        <f>HYPERLINK("https://fin.land.naver.com/articles/2649751054",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세종소담황금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84960</v>
      </c>
      <c r="G1686" s="4" t="n">
        <v>620</v>
      </c>
      <c r="H1686" s="4" t="n">
        <v>188</v>
      </c>
      <c r="I1686" s="5" t="n">
        <v>451.9</v>
      </c>
      <c r="J1686" s="5" t="n">
        <v>178.5</v>
      </c>
      <c r="K1686" s="3" t="inlineStr">
        <is>
          <t>세종시 조치원읍 서창리 토지 급매 고려대,세종여고옆 제2종주거620㎡급매</t>
        </is>
      </c>
      <c r="L1686" s="6">
        <f>HYPERLINK("https://fin.land.naver.com/articles/2650379617",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세종</t>
        </is>
      </c>
      <c r="P1686" s="4" t="n">
        <v>3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서창리 2종일반주거,2차선접 코너 나대지 토지 급매</t>
        </is>
      </c>
      <c r="L1687" s="6">
        <f>HYPERLINK("https://fin.land.naver.com/articles/2649393495",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광장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620</v>
      </c>
      <c r="H1688" s="4" t="n">
        <v>188</v>
      </c>
      <c r="I1688" s="5" t="n">
        <v>452.1</v>
      </c>
      <c r="J1688" s="5" t="n">
        <v>178.5</v>
      </c>
      <c r="K1688" s="3" t="inlineStr">
        <is>
          <t>서창리 토지 매매</t>
        </is>
      </c>
      <c r="L1688" s="6">
        <f>HYPERLINK("https://fin.land.naver.com/articles/2648992439",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김준희</t>
        </is>
      </c>
      <c r="P1688" s="4" t="n">
        <v>1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nan</t>
        </is>
      </c>
      <c r="L1689" s="6">
        <f>HYPERLINK("https://fin.land.naver.com/articles/2649067843",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번암주공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토지급매 조치원역 인근 대규모 부지 정비소, 세차장, 요양원 추천</t>
        </is>
      </c>
      <c r="L1704" s="6">
        <f>HYPERLINK("https://fin.land.naver.com/articles/2652108627",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다모아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180000</v>
      </c>
      <c r="G1705" s="4" t="n">
        <v>2921</v>
      </c>
      <c r="H1705" s="4" t="n">
        <v>884</v>
      </c>
      <c r="I1705" s="5" t="n">
        <v>203.6</v>
      </c>
      <c r="J1705" s="5" t="n">
        <v>59.7</v>
      </c>
      <c r="K1705" s="3" t="inlineStr">
        <is>
          <t>3필지 일괄매매</t>
        </is>
      </c>
      <c r="L1705" s="6">
        <f>HYPERLINK("https://fin.land.naver.com/articles/2652420151",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오송좋은날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150000</v>
      </c>
      <c r="G1706" s="4" t="n">
        <v>2921</v>
      </c>
      <c r="H1706" s="4" t="n">
        <v>884</v>
      </c>
      <c r="I1706" s="5" t="n">
        <v>169.7</v>
      </c>
      <c r="J1706" s="5" t="n">
        <v>59.7</v>
      </c>
      <c r="K1706" s="3" t="inlineStr">
        <is>
          <t>조치원 생활권 평탄 대형부지 소형창고 차량보관시설 검토</t>
        </is>
      </c>
      <c r="L1706" s="6">
        <f>HYPERLINK("https://fin.land.naver.com/articles/2650423353",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세종소담황금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2920</v>
      </c>
      <c r="H1707" s="4" t="n">
        <v>883</v>
      </c>
      <c r="I1707" s="5" t="n">
        <v>169.9</v>
      </c>
      <c r="J1707" s="5" t="n">
        <v>59.7</v>
      </c>
      <c r="K1707" s="3" t="inlineStr">
        <is>
          <t>nan</t>
        </is>
      </c>
      <c r="L1707" s="6">
        <f>HYPERLINK("https://fin.land.naver.com/articles/2650423179",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현대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1256</v>
      </c>
      <c r="H1721" s="4" t="n">
        <v>380</v>
      </c>
      <c r="I1721" s="5" t="n">
        <v>315.8</v>
      </c>
      <c r="J1721" s="5" t="n">
        <v>72.2</v>
      </c>
      <c r="K1721" s="3" t="inlineStr">
        <is>
          <t>신안리 이편한세상 아파트 초인접, 3면 포장도로 접한 음식점,커피숍</t>
        </is>
      </c>
      <c r="L1721" s="6">
        <f>HYPERLINK("https://fin.land.naver.com/articles/2650955165",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세종나라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932</v>
      </c>
      <c r="H1722" s="4" t="n">
        <v>282</v>
      </c>
      <c r="I1722" s="5" t="n">
        <v>425.5</v>
      </c>
      <c r="J1722" s="5" t="n">
        <v>72.2</v>
      </c>
      <c r="K1722" s="3" t="inlineStr">
        <is>
          <t>3면 포장도로 접함 이편한세상 984세대 인접 공영주차장이용가능</t>
        </is>
      </c>
      <c r="L1722" s="6">
        <f>HYPERLINK("https://fin.land.naver.com/articles/2649618845",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그래그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투자가치가 높은 세종시 조치원읍 신흥리 토지</t>
        </is>
      </c>
      <c r="L1730" s="6">
        <f>HYPERLINK("https://fin.land.naver.com/articles/2648407574",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비전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추천. 조치원 신흥사거리 대지</t>
        </is>
      </c>
      <c r="L1731" s="6">
        <f>HYPERLINK("https://fin.land.naver.com/articles/2649193837",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8미터도로연접, 다가구부지 추천매매</t>
        </is>
      </c>
      <c r="L1766" s="6">
        <f>HYPERLINK("https://fin.land.naver.com/articles/2653056560",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Home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남향토지,도로지분포함,조치원 시장 도보5분거리 위치,</t>
        </is>
      </c>
      <c r="L1767" s="6">
        <f>HYPERLINK("https://fin.land.naver.com/articles/2652137848",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담뜰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집현동 위치 좋은 단독주택, 사거리 코너 입지</t>
        </is>
      </c>
      <c r="L1771" s="6">
        <f>HYPERLINK("https://fin.land.naver.com/articles/2652843192",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삼성천인근 남북트인위치 남쪽 보행로접함</t>
        </is>
      </c>
      <c r="L1772" s="6">
        <f>HYPERLINK("https://fin.land.naver.com/articles/2652943039",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 토지매매, 사거리 코너 입지</t>
        </is>
      </c>
      <c r="L1773" s="6">
        <f>HYPERLINK("https://fin.land.naver.com/articles/2648137252",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최고위치 코너각지 공원뷰 삼성천뷰</t>
        </is>
      </c>
      <c r="L1774" s="6">
        <f>HYPERLINK("https://fin.land.naver.com/articles/2650366745",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세종스타</t>
        </is>
      </c>
      <c r="P1774" s="4" t="n">
        <v>2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코너각지 위치한 토지매매, 공원과 삼성천 뷰 가능</t>
        </is>
      </c>
      <c r="L1775" s="6">
        <f>HYPERLINK("https://fin.land.naver.com/articles/2649592856",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세종무지개</t>
        </is>
      </c>
      <c r="P1775" s="4" t="n">
        <v>1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275</v>
      </c>
      <c r="H1786" s="4" t="n">
        <v>83</v>
      </c>
      <c r="I1786" s="5" t="n">
        <v>500</v>
      </c>
      <c r="J1786" s="5" t="n">
        <v>314.9</v>
      </c>
      <c r="K1786" s="3" t="inlineStr">
        <is>
          <t>급매, 총 84.1p, 삼거리 코너 토지</t>
        </is>
      </c>
      <c r="L1786" s="6">
        <f>HYPERLINK("https://fin.land.naver.com/articles/2652841509",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41500</v>
      </c>
      <c r="G1787" s="4" t="n">
        <v>277</v>
      </c>
      <c r="H1787" s="4" t="n">
        <v>84</v>
      </c>
      <c r="I1787" s="5" t="n">
        <v>494</v>
      </c>
      <c r="J1787" s="5" t="n">
        <v>314.9</v>
      </c>
      <c r="K1787" s="3" t="inlineStr">
        <is>
          <t>급매, 84.1p, 삼거리 코너, 상가와 공원 인근</t>
        </is>
      </c>
      <c r="L1787" s="6">
        <f>HYPERLINK("https://fin.land.naver.com/articles/2648349468",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40500</v>
      </c>
      <c r="G1788" s="4" t="n">
        <v>277</v>
      </c>
      <c r="H1788" s="4" t="n">
        <v>84</v>
      </c>
      <c r="I1788" s="5" t="n">
        <v>482.1</v>
      </c>
      <c r="J1788" s="5" t="n">
        <v>314.9</v>
      </c>
      <c r="K1788" s="3" t="inlineStr">
        <is>
          <t>채광좋음 상권가깝고 뒤로 보행로접함</t>
        </is>
      </c>
      <c r="L1788" s="6">
        <f>HYPERLINK("https://fin.land.naver.com/articles/2648615386",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인기지역 D2 땅모양좋음 조율가능</t>
        </is>
      </c>
      <c r="L1818" s="6">
        <f>HYPERLINK("https://fin.land.naver.com/articles/2650653609",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네모 반듯한 예쁜 토지 매매, 입지 굿</t>
        </is>
      </c>
      <c r="L1820" s="6">
        <f>HYPERLINK("https://fin.land.naver.com/articles/2650893847",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급매, 한솔동 단독주택지 가격 좋은 토지</t>
        </is>
      </c>
      <c r="L1822" s="6">
        <f>HYPERLINK("https://fin.land.naver.com/articles/2651773518",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세종무지개</t>
        </is>
      </c>
      <c r="P1822" s="4" t="n">
        <v>1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352</v>
      </c>
      <c r="H1824" s="4" t="n">
        <v>106</v>
      </c>
      <c r="I1824" s="5" t="n">
        <v>754.7</v>
      </c>
      <c r="J1824" s="5" t="n">
        <v>403</v>
      </c>
      <c r="K1824" s="3" t="inlineStr">
        <is>
          <t>공원 인근, 조용한고 편리한 단독주택지 토지매매</t>
        </is>
      </c>
      <c r="L1824" s="6">
        <f>HYPERLINK("https://fin.land.naver.com/articles/2650427090",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세종시 한솔동 도심속 전원주택부지 매매</t>
        </is>
      </c>
      <c r="L1825" s="6">
        <f>HYPERLINK("https://fin.land.naver.com/articles/2651763249",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전원</t>
        </is>
      </c>
      <c r="P1825" s="4" t="n">
        <v>2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조율가능 남동향 트인위치 땅모양 좋음</t>
        </is>
      </c>
      <c r="L1838" s="6">
        <f>HYPERLINK("https://fin.land.naver.com/articles/2649295989",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세종스타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98.18p, 해밀동 네모 반듯한 단독주택 토지매매</t>
        </is>
      </c>
      <c r="L1839" s="6">
        <f>HYPERLINK("https://fin.land.naver.com/articles/2649004455",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명진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2026-10-02T21:52:21Z</dcterms:created>
  <dcterms:modified xsi:type="dcterms:W3CDTF">2026-10-02T21:52:29Z</dcterms:modified>
</cp:coreProperties>
</file>